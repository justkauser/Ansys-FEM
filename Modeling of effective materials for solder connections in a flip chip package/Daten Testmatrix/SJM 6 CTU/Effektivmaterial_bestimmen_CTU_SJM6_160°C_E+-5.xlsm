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6" i="11" s="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8" i="11" l="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23" i="43"/>
  <c r="D427" i="43"/>
  <c r="D408" i="43"/>
  <c r="D411" i="43"/>
  <c r="D416" i="43"/>
  <c r="D428" i="43"/>
  <c r="D404" i="43"/>
  <c r="D413" i="43"/>
  <c r="D433" i="43"/>
  <c r="D409" i="43"/>
  <c r="D421" i="43"/>
  <c r="D434" i="43"/>
  <c r="D418" i="43"/>
  <c r="D425" i="43"/>
  <c r="D429" i="43"/>
  <c r="D432" i="43"/>
  <c r="D405" i="43"/>
  <c r="D415" i="43"/>
  <c r="D407" i="43"/>
  <c r="D414" i="43"/>
  <c r="D410" i="43"/>
  <c r="D412" i="43"/>
  <c r="D420" i="43"/>
  <c r="D422" i="43"/>
  <c r="D431" i="43"/>
  <c r="D424" i="43"/>
  <c r="B405" i="43"/>
  <c r="B424" i="43"/>
  <c r="B425" i="43"/>
  <c r="B413" i="43"/>
  <c r="B414" i="43"/>
  <c r="B408" i="43"/>
  <c r="B433" i="43"/>
  <c r="B422" i="43"/>
  <c r="B415" i="43"/>
  <c r="B417" i="43"/>
  <c r="B409" i="43"/>
  <c r="B406" i="43"/>
  <c r="B429" i="43"/>
  <c r="B411" i="43"/>
  <c r="B416" i="43"/>
  <c r="B432" i="43"/>
  <c r="B404" i="43"/>
  <c r="B428" i="43"/>
  <c r="B421" i="43"/>
  <c r="B410" i="43"/>
  <c r="B407" i="43"/>
  <c r="B431" i="43"/>
  <c r="B427" i="43"/>
  <c r="B420" i="43"/>
  <c r="B426" i="43"/>
  <c r="B412" i="43"/>
  <c r="B434" i="43"/>
  <c r="B430" i="43"/>
  <c r="B423" i="43"/>
  <c r="B418" i="43"/>
  <c r="B419" i="43"/>
  <c r="C406" i="43"/>
  <c r="C423" i="43"/>
  <c r="C428" i="43"/>
  <c r="C404" i="43"/>
  <c r="C434" i="43"/>
  <c r="C431" i="43"/>
  <c r="C409" i="43"/>
  <c r="C421" i="43"/>
  <c r="C419" i="43"/>
  <c r="C426" i="43"/>
  <c r="C407" i="43"/>
  <c r="C414" i="43"/>
  <c r="C418" i="43"/>
  <c r="C425" i="43"/>
  <c r="C427" i="43"/>
  <c r="C429" i="43"/>
  <c r="C432" i="43"/>
  <c r="C410" i="43"/>
  <c r="C412" i="43"/>
  <c r="C420" i="43"/>
  <c r="C422" i="43"/>
  <c r="C405" i="43"/>
  <c r="C408" i="43"/>
  <c r="C415" i="43"/>
  <c r="C424" i="43"/>
  <c r="C433" i="43"/>
  <c r="C417" i="43"/>
  <c r="C430" i="43"/>
  <c r="C413" i="43"/>
  <c r="C411" i="43"/>
  <c r="C416" i="43"/>
  <c r="H434" i="43"/>
  <c r="H418" i="43"/>
  <c r="H415" i="43"/>
  <c r="H410" i="43"/>
  <c r="H424" i="43"/>
  <c r="H405" i="43"/>
  <c r="H404" i="43"/>
  <c r="H427" i="43"/>
  <c r="H422" i="43"/>
  <c r="H421" i="43"/>
  <c r="H419" i="43"/>
  <c r="H417" i="43"/>
  <c r="H414" i="43"/>
  <c r="H430" i="43"/>
  <c r="H423" i="43"/>
  <c r="H416" i="43"/>
  <c r="H413" i="43"/>
  <c r="H409" i="43"/>
  <c r="H429" i="43"/>
  <c r="H433" i="43"/>
  <c r="H428" i="43"/>
  <c r="H426" i="43"/>
  <c r="H408" i="43"/>
  <c r="H420" i="43"/>
  <c r="H411" i="43"/>
  <c r="H432" i="43"/>
  <c r="H412" i="43"/>
  <c r="H425" i="43"/>
  <c r="H407" i="43"/>
  <c r="H431" i="43"/>
  <c r="H406" i="43"/>
  <c r="G410" i="43"/>
  <c r="G434" i="43"/>
  <c r="G413" i="43"/>
  <c r="G431" i="43"/>
  <c r="G416" i="43"/>
  <c r="G428" i="43"/>
  <c r="G429" i="43"/>
  <c r="G411" i="43"/>
  <c r="G427" i="43"/>
  <c r="G409" i="43"/>
  <c r="G424" i="43"/>
  <c r="G405" i="43"/>
  <c r="G421" i="43"/>
  <c r="G414" i="43"/>
  <c r="G422" i="43"/>
  <c r="G426" i="43"/>
  <c r="G408" i="43"/>
  <c r="G406" i="43"/>
  <c r="G419" i="43"/>
  <c r="G423" i="43"/>
  <c r="G430" i="43"/>
  <c r="G407" i="43"/>
  <c r="G420" i="43"/>
  <c r="G404" i="43"/>
  <c r="G418" i="43"/>
  <c r="G425" i="43"/>
  <c r="G432" i="43"/>
  <c r="G417" i="43"/>
  <c r="G433" i="43"/>
  <c r="G415" i="43"/>
  <c r="G412" i="43"/>
  <c r="E405" i="43"/>
  <c r="E408" i="43"/>
  <c r="E413" i="43"/>
  <c r="E415" i="43"/>
  <c r="E424" i="43"/>
  <c r="E433" i="43"/>
  <c r="E426" i="43"/>
  <c r="E430" i="43"/>
  <c r="E434" i="43"/>
  <c r="E420" i="43"/>
  <c r="E406" i="43"/>
  <c r="E417" i="43"/>
  <c r="E419" i="43"/>
  <c r="E411" i="43"/>
  <c r="E416" i="43"/>
  <c r="E423" i="43"/>
  <c r="E404" i="43"/>
  <c r="E422" i="43"/>
  <c r="E431" i="43"/>
  <c r="E418" i="43"/>
  <c r="E425" i="43"/>
  <c r="E427" i="43"/>
  <c r="E429" i="43"/>
  <c r="E410" i="43"/>
  <c r="E428" i="43"/>
  <c r="E414" i="43"/>
  <c r="E421" i="43"/>
  <c r="E409" i="43"/>
  <c r="E432" i="43"/>
  <c r="E412" i="43"/>
  <c r="E407" i="43"/>
  <c r="F415" i="43"/>
  <c r="F410" i="43"/>
  <c r="F420" i="43"/>
  <c r="F431" i="43"/>
  <c r="F427" i="43"/>
  <c r="F424" i="43"/>
  <c r="F404" i="43"/>
  <c r="F419" i="43"/>
  <c r="F430" i="43"/>
  <c r="F416" i="43"/>
  <c r="F423" i="43"/>
  <c r="F434" i="43"/>
  <c r="F421" i="43"/>
  <c r="F425" i="43"/>
  <c r="F426" i="43"/>
  <c r="F412" i="43"/>
  <c r="F413" i="43"/>
  <c r="F417" i="43"/>
  <c r="F414" i="43"/>
  <c r="F422" i="43"/>
  <c r="F411" i="43"/>
  <c r="F405" i="43"/>
  <c r="F432" i="43"/>
  <c r="F418" i="43"/>
  <c r="F409" i="43"/>
  <c r="F433"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Y247" i="43"/>
  <c r="L427" i="43"/>
  <c r="N247" i="43"/>
  <c r="L416" i="43"/>
  <c r="Y169" i="43"/>
  <c r="K427" i="43"/>
  <c r="G208" i="43"/>
  <c r="K409" i="43"/>
  <c r="Z169" i="43"/>
  <c r="K428" i="43"/>
  <c r="N169" i="43"/>
  <c r="K416" i="43"/>
  <c r="H169" i="43"/>
  <c r="K410" i="43"/>
  <c r="D169" i="43"/>
  <c r="K406"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I130" i="43"/>
  <c r="J411" i="43"/>
  <c r="X130" i="43"/>
  <c r="J426" i="43"/>
  <c r="J130" i="43"/>
  <c r="J412" i="43"/>
  <c r="M130" i="43"/>
  <c r="J415" i="43"/>
  <c r="P130" i="43"/>
  <c r="J418" i="43"/>
  <c r="O130" i="43"/>
  <c r="J417" i="43"/>
  <c r="F130" i="43"/>
  <c r="J408" i="43"/>
  <c r="R130" i="43"/>
  <c r="J420" i="43"/>
  <c r="N130" i="43"/>
  <c r="J416" i="43"/>
  <c r="Z130" i="43"/>
  <c r="J428" i="43"/>
  <c r="E130" i="43"/>
  <c r="J407" i="43"/>
  <c r="AB130" i="43"/>
  <c r="J430" i="43"/>
  <c r="G130" i="43"/>
  <c r="J409" i="43"/>
  <c r="AC130" i="43"/>
  <c r="J431" i="43"/>
  <c r="S130" i="43"/>
  <c r="J421" i="43"/>
  <c r="W130" i="43"/>
  <c r="J425" i="43"/>
  <c r="C130" i="43"/>
  <c r="J405" i="43"/>
  <c r="V130" i="43"/>
  <c r="J424" i="43"/>
  <c r="K130" i="43"/>
  <c r="J413" i="43"/>
  <c r="Q130" i="43"/>
  <c r="J419" i="43"/>
  <c r="L130" i="43"/>
  <c r="J414" i="43"/>
  <c r="Y130" i="43"/>
  <c r="J427" i="43"/>
  <c r="T130" i="43"/>
  <c r="J422" i="43"/>
  <c r="AD130" i="43"/>
  <c r="J432" i="43"/>
  <c r="AE130" i="43"/>
  <c r="J433" i="43"/>
  <c r="D130" i="43"/>
  <c r="J406" i="43"/>
  <c r="AF130" i="43"/>
  <c r="J434"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<sst xmlns="http://schemas.openxmlformats.org/spreadsheetml/2006/main" count="311" uniqueCount="164">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</sst>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30123920"/>
        <c:axId val="4940700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301239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0064"/>
        <c:crossesAt val="-8.0000000000000019E-3"/>
        <c:crossBetween val="midCat"/>
      </c:valAx>
      <c:valAx>
        <c:axId val="494070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301239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4065360"/>
        <c:axId val="4940681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40653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8104"/>
        <c:crosses val="autoZero"/>
        <c:crossBetween val="midCat"/>
      </c:valAx>
      <c:valAx>
        <c:axId val="49406810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536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4070456"/>
        <c:axId val="494066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40704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6928"/>
        <c:crosses val="autoZero"/>
        <c:crossBetween val="midCat"/>
        <c:majorUnit val="10000"/>
      </c:valAx>
      <c:valAx>
        <c:axId val="49406692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045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94064184"/>
        <c:axId val="4940692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4064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4069280"/>
        <c:crosses val="autoZero"/>
        <c:crossBetween val="midCat"/>
        <c:majorUnit val="10000"/>
      </c:valAx>
      <c:valAx>
        <c:axId val="4940692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406418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4071632"/>
        <c:axId val="4940677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40716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67712"/>
        <c:crosses val="autoZero"/>
        <c:crossBetween val="midCat"/>
        <c:majorUnit val="10000"/>
      </c:valAx>
      <c:valAx>
        <c:axId val="4940677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163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1.756682880091285E-2</c:v>
                </c:pt>
                <c:pt idx="1">
                  <c:v>2.4179630941250269E-2</c:v>
                </c:pt>
                <c:pt idx="2">
                  <c:v>6.7233972894010794E-3</c:v>
                </c:pt>
                <c:pt idx="3">
                  <c:v>1.1584915620398218E-3</c:v>
                </c:pt>
                <c:pt idx="4">
                  <c:v>1.7020245430618693E-4</c:v>
                </c:pt>
                <c:pt idx="5">
                  <c:v>2.0694989467948757E-5</c:v>
                </c:pt>
                <c:pt idx="6">
                  <c:v>2.4794882107192292E-6</c:v>
                </c:pt>
                <c:pt idx="7">
                  <c:v>1.1583838525137635E-5</c:v>
                </c:pt>
                <c:pt idx="8">
                  <c:v>4.7102118006406402E-5</c:v>
                </c:pt>
                <c:pt idx="9">
                  <c:v>1.0215035548194682E-4</c:v>
                </c:pt>
                <c:pt idx="10">
                  <c:v>2.3359429330862378E-4</c:v>
                </c:pt>
                <c:pt idx="11">
                  <c:v>4.9222284024186302E-4</c:v>
                </c:pt>
                <c:pt idx="12">
                  <c:v>8.6855273740019882E-4</c:v>
                </c:pt>
                <c:pt idx="13">
                  <c:v>1.3071729923734207E-3</c:v>
                </c:pt>
                <c:pt idx="14">
                  <c:v>1.5874201949982517E-3</c:v>
                </c:pt>
                <c:pt idx="15">
                  <c:v>1.5473977779974519E-3</c:v>
                </c:pt>
                <c:pt idx="16">
                  <c:v>1.048967903478508E-3</c:v>
                </c:pt>
                <c:pt idx="17">
                  <c:v>6.5287240319133566E-4</c:v>
                </c:pt>
                <c:pt idx="18">
                  <c:v>6.8748485316978203E-4</c:v>
                </c:pt>
                <c:pt idx="19">
                  <c:v>1.7622288466281153E-3</c:v>
                </c:pt>
                <c:pt idx="20">
                  <c:v>9.3082190262973677E-4</c:v>
                </c:pt>
                <c:pt idx="21">
                  <c:v>3.8011332436411192E-4</c:v>
                </c:pt>
                <c:pt idx="22">
                  <c:v>5.6764325492306778E-8</c:v>
                </c:pt>
                <c:pt idx="23">
                  <c:v>1.2448713069478475E-4</c:v>
                </c:pt>
                <c:pt idx="24">
                  <c:v>3.2489437513279749E-6</c:v>
                </c:pt>
                <c:pt idx="25">
                  <c:v>1.0234323746364885E-4</c:v>
                </c:pt>
                <c:pt idx="26">
                  <c:v>8.2350895522379284E-5</c:v>
                </c:pt>
                <c:pt idx="27">
                  <c:v>4.0298977510291748E-4</c:v>
                </c:pt>
                <c:pt idx="28">
                  <c:v>7.9016770634450203E-4</c:v>
                </c:pt>
                <c:pt idx="29">
                  <c:v>6.5951987473534309E-4</c:v>
                </c:pt>
                <c:pt idx="30">
                  <c:v>1.6661041642328516E-3</c:v>
                </c:pt>
              </c:numCache>
            </c:numRef>
          </c:yVal>
          <c:smooth val="1"/>
        </c:ser>
        <c:dLbls>
          <c:showLegendKey val="0"/>
          <c:showVal val="0"/>
          <c:showCatName val="0"/>
          <c:showSerName val="0"/>
          <c:showPercent val="0"/>
          <c:showBubbleSize val="0"/>
        </c:dLbls>
        <c:axId val="442121976"/>
        <c:axId val="490616336"/>
      </c:scatterChart>
      <c:valAx>
        <c:axId val="442121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6336"/>
        <c:crossesAt val="-1.5000000000000005E-3"/>
        <c:crossBetween val="midCat"/>
      </c:valAx>
      <c:valAx>
        <c:axId val="49061633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1219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3387.7104697731975</c:v>
                </c:pt>
                <c:pt idx="1">
                  <c:v>3317.9245130313029</c:v>
                </c:pt>
                <c:pt idx="2">
                  <c:v>3061.2476425685777</c:v>
                </c:pt>
                <c:pt idx="3">
                  <c:v>2928.5161380842824</c:v>
                </c:pt>
                <c:pt idx="4">
                  <c:v>2768.2062945503376</c:v>
                </c:pt>
                <c:pt idx="5">
                  <c:v>2587.9251040865133</c:v>
                </c:pt>
                <c:pt idx="6">
                  <c:v>2392.4630131418744</c:v>
                </c:pt>
                <c:pt idx="7">
                  <c:v>2172.8074481553899</c:v>
                </c:pt>
                <c:pt idx="8">
                  <c:v>1927.8735863638851</c:v>
                </c:pt>
                <c:pt idx="9">
                  <c:v>1643.8649380366073</c:v>
                </c:pt>
                <c:pt idx="10">
                  <c:v>1319.3628051829546</c:v>
                </c:pt>
                <c:pt idx="11">
                  <c:v>984.09958125379353</c:v>
                </c:pt>
                <c:pt idx="12">
                  <c:v>693.05856667808882</c:v>
                </c:pt>
                <c:pt idx="13">
                  <c:v>486.57520037642672</c:v>
                </c:pt>
                <c:pt idx="14">
                  <c:v>366.79671943153625</c:v>
                </c:pt>
                <c:pt idx="15">
                  <c:v>307.64710414964782</c:v>
                </c:pt>
                <c:pt idx="16">
                  <c:v>278.77569112593704</c:v>
                </c:pt>
                <c:pt idx="17">
                  <c:v>261.84252826552699</c:v>
                </c:pt>
                <c:pt idx="18">
                  <c:v>251.5195452751037</c:v>
                </c:pt>
                <c:pt idx="19">
                  <c:v>245.69560215935047</c:v>
                </c:pt>
                <c:pt idx="20">
                  <c:v>232.52077430867922</c:v>
                </c:pt>
                <c:pt idx="21">
                  <c:v>227.15445955498279</c:v>
                </c:pt>
                <c:pt idx="22">
                  <c:v>226.4099037919128</c:v>
                </c:pt>
                <c:pt idx="23">
                  <c:v>226.330271631279</c:v>
                </c:pt>
                <c:pt idx="24">
                  <c:v>225.97209238896627</c:v>
                </c:pt>
                <c:pt idx="25">
                  <c:v>225.58316371624895</c:v>
                </c:pt>
                <c:pt idx="26">
                  <c:v>225.47274136471822</c:v>
                </c:pt>
                <c:pt idx="27">
                  <c:v>225.47215935310638</c:v>
                </c:pt>
                <c:pt idx="28">
                  <c:v>225.46647823360752</c:v>
                </c:pt>
                <c:pt idx="29">
                  <c:v>225.40994737028922</c:v>
                </c:pt>
                <c:pt idx="30">
                  <c:v>224.87176044873647</c:v>
                </c:pt>
              </c:numCache>
            </c:numRef>
          </c:yVal>
          <c:smooth val="1"/>
        </c:ser>
        <c:dLbls>
          <c:showLegendKey val="0"/>
          <c:showVal val="0"/>
          <c:showCatName val="0"/>
          <c:showSerName val="0"/>
          <c:showPercent val="0"/>
          <c:showBubbleSize val="0"/>
        </c:dLbls>
        <c:axId val="490616728"/>
        <c:axId val="490617120"/>
      </c:scatterChart>
      <c:valAx>
        <c:axId val="490616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7120"/>
        <c:crosses val="autoZero"/>
        <c:crossBetween val="midCat"/>
      </c:valAx>
      <c:valAx>
        <c:axId val="4906171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672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2.4223677343729599E-3</c:v>
                </c:pt>
                <c:pt idx="11">
                  <c:v>2.3989326546242995E-3</c:v>
                </c:pt>
                <c:pt idx="12">
                  <c:v>2.1663495158178361E-3</c:v>
                </c:pt>
                <c:pt idx="13">
                  <c:v>5.9703792577293422E-5</c:v>
                </c:pt>
                <c:pt idx="14">
                  <c:v>1.753416428297971E-2</c:v>
                </c:pt>
                <c:pt idx="15">
                  <c:v>4.7238027831272976E-2</c:v>
                </c:pt>
                <c:pt idx="16">
                  <c:v>6.9308358236510867E-2</c:v>
                </c:pt>
                <c:pt idx="17">
                  <c:v>9.2471300634333689E-2</c:v>
                </c:pt>
                <c:pt idx="18">
                  <c:v>0.11892043829229061</c:v>
                </c:pt>
                <c:pt idx="19">
                  <c:v>0.14615842338562024</c:v>
                </c:pt>
                <c:pt idx="20">
                  <c:v>0.15122730178789068</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9.9868043722462787E-4</c:v>
                </c:pt>
                <c:pt idx="1">
                  <c:v>1.1774994388675602E-3</c:v>
                </c:pt>
                <c:pt idx="2">
                  <c:v>2.964791188859282E-3</c:v>
                </c:pt>
                <c:pt idx="3">
                  <c:v>1.7818522079374871E-2</c:v>
                </c:pt>
                <c:pt idx="4">
                  <c:v>4.8507635136929128E-2</c:v>
                </c:pt>
                <c:pt idx="5">
                  <c:v>7.0790783559945517E-2</c:v>
                </c:pt>
                <c:pt idx="6">
                  <c:v>9.3581319308691235E-2</c:v>
                </c:pt>
                <c:pt idx="7">
                  <c:v>0.12012568444297568</c:v>
                </c:pt>
                <c:pt idx="8">
                  <c:v>0.14933080069960628</c:v>
                </c:pt>
                <c:pt idx="9">
                  <c:v>0.18017620833712941</c:v>
                </c:pt>
                <c:pt idx="10">
                  <c:v>0.17770008163111448</c:v>
                </c:pt>
                <c:pt idx="11">
                  <c:v>5.4157198935578535E-2</c:v>
                </c:pt>
                <c:pt idx="12">
                  <c:v>0.2046381332231311</c:v>
                </c:pt>
                <c:pt idx="13">
                  <c:v>0.1725881804137801</c:v>
                </c:pt>
                <c:pt idx="14">
                  <c:v>0.13006793927231933</c:v>
                </c:pt>
                <c:pt idx="15">
                  <c:v>7.9632444764784538E-2</c:v>
                </c:pt>
                <c:pt idx="16">
                  <c:v>3.1026262055855472E-2</c:v>
                </c:pt>
                <c:pt idx="17">
                  <c:v>2.2784134535162055E-3</c:v>
                </c:pt>
                <c:pt idx="18">
                  <c:v>1.4718118369929176E-2</c:v>
                </c:pt>
                <c:pt idx="19">
                  <c:v>5.1061069324090293E-3</c:v>
                </c:pt>
                <c:pt idx="20">
                  <c:v>1.3281904919243965E-2</c:v>
                </c:pt>
                <c:pt idx="21">
                  <c:v>1.3377972705886979E-2</c:v>
                </c:pt>
                <c:pt idx="22">
                  <c:v>1.3089439819460919E-2</c:v>
                </c:pt>
                <c:pt idx="23">
                  <c:v>4.9084527961476745E-3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0.1693027669339365</c:v>
                </c:pt>
                <c:pt idx="11">
                  <c:v>0.12611131577061888</c:v>
                </c:pt>
                <c:pt idx="12">
                  <c:v>7.5718093608805132E-2</c:v>
                </c:pt>
                <c:pt idx="13">
                  <c:v>2.8682433278936856E-2</c:v>
                </c:pt>
                <c:pt idx="14">
                  <c:v>3.4230226854294736E-3</c:v>
                </c:pt>
                <c:pt idx="15">
                  <c:v>1.9901850687791371E-2</c:v>
                </c:pt>
                <c:pt idx="16">
                  <c:v>1.3088507329442195E-2</c:v>
                </c:pt>
                <c:pt idx="17">
                  <c:v>1.5836457354970716E-4</c:v>
                </c:pt>
                <c:pt idx="18">
                  <c:v>8.1781406755658814E-3</c:v>
                </c:pt>
                <c:pt idx="19">
                  <c:v>1.616258052591223E-2</c:v>
                </c:pt>
                <c:pt idx="20">
                  <c:v>1.77555645465317E-2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2.0558169496742945E-4</c:v>
                </c:pt>
                <c:pt idx="11">
                  <c:v>5.2809425587023418E-4</c:v>
                </c:pt>
                <c:pt idx="12">
                  <c:v>8.3029762366594009E-4</c:v>
                </c:pt>
                <c:pt idx="13">
                  <c:v>1.3396619571066507E-3</c:v>
                </c:pt>
                <c:pt idx="14">
                  <c:v>1.5670305408826545E-3</c:v>
                </c:pt>
                <c:pt idx="15">
                  <c:v>1.5584153083212848E-3</c:v>
                </c:pt>
                <c:pt idx="16">
                  <c:v>1.0428315648428723E-3</c:v>
                </c:pt>
                <c:pt idx="17">
                  <c:v>6.5765617500513317E-4</c:v>
                </c:pt>
                <c:pt idx="18">
                  <c:v>6.8850881272098621E-4</c:v>
                </c:pt>
                <c:pt idx="19">
                  <c:v>1.7574817847930406E-3</c:v>
                </c:pt>
                <c:pt idx="20">
                  <c:v>9.3366512135838512E-4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90618688"/>
        <c:axId val="490619472"/>
      </c:scatterChart>
      <c:valAx>
        <c:axId val="4906186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9472"/>
        <c:crossesAt val="1.0000000000000005E-9"/>
        <c:crossBetween val="midCat"/>
      </c:valAx>
      <c:valAx>
        <c:axId val="49061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868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-59.999898573957836</c:v>
                </c:pt>
                <c:pt idx="1">
                  <c:v>-48.304090284066596</c:v>
                </c:pt>
                <c:pt idx="2">
                  <c:v>-41.637760530499037</c:v>
                </c:pt>
                <c:pt idx="3">
                  <c:v>-36.805825364540944</c:v>
                </c:pt>
                <c:pt idx="4">
                  <c:v>-30.301029676651819</c:v>
                </c:pt>
                <c:pt idx="5">
                  <c:v>-14.29512662364</c:v>
                </c:pt>
                <c:pt idx="6">
                  <c:v>0</c:v>
                </c:pt>
              </c:numCache>
            </c:numRef>
          </c:yVal>
          <c:smooth val="0"/>
        </c:ser>
        <c:dLbls>
          <c:showLegendKey val="0"/>
          <c:showVal val="0"/>
          <c:showCatName val="0"/>
          <c:showSerName val="0"/>
          <c:showPercent val="0"/>
          <c:showBubbleSize val="0"/>
        </c:dLbls>
        <c:axId val="490617904"/>
        <c:axId val="490617512"/>
      </c:scatterChart>
      <c:valAx>
        <c:axId val="490617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7512"/>
        <c:crossesAt val="-100"/>
        <c:crossBetween val="midCat"/>
      </c:valAx>
      <c:valAx>
        <c:axId val="490617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790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90615944"/>
        <c:axId val="490621432"/>
      </c:scatterChart>
      <c:valAx>
        <c:axId val="49061594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1432"/>
        <c:crosses val="autoZero"/>
        <c:crossBetween val="midCat"/>
      </c:valAx>
      <c:valAx>
        <c:axId val="49062143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594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8.757398945968045E-42</c:v>
                </c:pt>
                <c:pt idx="1">
                  <c:v>8.7573989459680439E-41</c:v>
                </c:pt>
                <c:pt idx="2">
                  <c:v>8.7573989459680439E-40</c:v>
                </c:pt>
                <c:pt idx="3">
                  <c:v>8.7573989459680436E-39</c:v>
                </c:pt>
                <c:pt idx="4">
                  <c:v>8.7573989459680439E-38</c:v>
                </c:pt>
                <c:pt idx="5">
                  <c:v>8.7573989459680437E-37</c:v>
                </c:pt>
                <c:pt idx="6">
                  <c:v>8.7573989459680447E-36</c:v>
                </c:pt>
                <c:pt idx="7">
                  <c:v>8.7573989459680444E-35</c:v>
                </c:pt>
                <c:pt idx="8">
                  <c:v>8.7573989459680442E-34</c:v>
                </c:pt>
                <c:pt idx="9">
                  <c:v>8.7573989459680442E-33</c:v>
                </c:pt>
                <c:pt idx="10">
                  <c:v>8.7573989459680447E-32</c:v>
                </c:pt>
                <c:pt idx="11">
                  <c:v>8.7573989459680452E-31</c:v>
                </c:pt>
                <c:pt idx="12">
                  <c:v>8.7573989459680441E-30</c:v>
                </c:pt>
                <c:pt idx="13">
                  <c:v>8.7573989459680441E-29</c:v>
                </c:pt>
                <c:pt idx="14">
                  <c:v>8.7573989459680441E-28</c:v>
                </c:pt>
                <c:pt idx="15">
                  <c:v>8.7573989459680434E-27</c:v>
                </c:pt>
                <c:pt idx="16">
                  <c:v>8.7573989459680446E-26</c:v>
                </c:pt>
                <c:pt idx="17">
                  <c:v>8.7573989459680434E-25</c:v>
                </c:pt>
                <c:pt idx="18">
                  <c:v>8.7573989459680434E-24</c:v>
                </c:pt>
                <c:pt idx="19">
                  <c:v>8.7573989459680437E-23</c:v>
                </c:pt>
                <c:pt idx="20">
                  <c:v>8.7573989459680437E-22</c:v>
                </c:pt>
                <c:pt idx="21">
                  <c:v>8.7573989459680441E-21</c:v>
                </c:pt>
                <c:pt idx="22">
                  <c:v>8.7573989459680444E-20</c:v>
                </c:pt>
                <c:pt idx="23">
                  <c:v>8.7573989459680449E-19</c:v>
                </c:pt>
                <c:pt idx="24">
                  <c:v>8.7573989459680445E-18</c:v>
                </c:pt>
                <c:pt idx="25">
                  <c:v>8.7573989459680442E-17</c:v>
                </c:pt>
                <c:pt idx="26">
                  <c:v>8.7573989459680444E-16</c:v>
                </c:pt>
                <c:pt idx="27">
                  <c:v>8.7573989459680436E-15</c:v>
                </c:pt>
                <c:pt idx="28">
                  <c:v>8.7573989459680439E-14</c:v>
                </c:pt>
                <c:pt idx="29">
                  <c:v>8.7573989459680444E-13</c:v>
                </c:pt>
                <c:pt idx="30">
                  <c:v>8.7573989459680438E-12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1.0514778689420054E-36</c:v>
                </c:pt>
                <c:pt idx="1">
                  <c:v>1.0514778689420054E-35</c:v>
                </c:pt>
                <c:pt idx="2">
                  <c:v>1.0514778689420054E-34</c:v>
                </c:pt>
                <c:pt idx="3">
                  <c:v>1.0514778689420053E-33</c:v>
                </c:pt>
                <c:pt idx="4">
                  <c:v>1.0514778689420052E-32</c:v>
                </c:pt>
                <c:pt idx="5">
                  <c:v>1.0514778689420054E-31</c:v>
                </c:pt>
                <c:pt idx="6">
                  <c:v>1.0514778689420053E-30</c:v>
                </c:pt>
                <c:pt idx="7">
                  <c:v>1.0514778689420053E-29</c:v>
                </c:pt>
                <c:pt idx="8">
                  <c:v>1.0514778689420052E-28</c:v>
                </c:pt>
                <c:pt idx="9">
                  <c:v>1.0514778689420053E-27</c:v>
                </c:pt>
                <c:pt idx="10">
                  <c:v>1.0514778689420054E-26</c:v>
                </c:pt>
                <c:pt idx="11">
                  <c:v>1.0514778689420054E-25</c:v>
                </c:pt>
                <c:pt idx="12">
                  <c:v>1.0514778689420052E-24</c:v>
                </c:pt>
                <c:pt idx="13">
                  <c:v>1.0514778689420053E-23</c:v>
                </c:pt>
                <c:pt idx="14">
                  <c:v>1.0514778689420054E-22</c:v>
                </c:pt>
                <c:pt idx="15">
                  <c:v>1.0514778689420054E-21</c:v>
                </c:pt>
                <c:pt idx="16">
                  <c:v>1.0514778689420053E-20</c:v>
                </c:pt>
                <c:pt idx="17">
                  <c:v>1.0514778689420053E-19</c:v>
                </c:pt>
                <c:pt idx="18">
                  <c:v>1.0514778689420052E-18</c:v>
                </c:pt>
                <c:pt idx="19">
                  <c:v>1.0514778689420054E-17</c:v>
                </c:pt>
                <c:pt idx="20">
                  <c:v>1.0514778689420053E-16</c:v>
                </c:pt>
                <c:pt idx="21">
                  <c:v>1.0514778689420053E-15</c:v>
                </c:pt>
                <c:pt idx="22">
                  <c:v>1.0514778689420053E-14</c:v>
                </c:pt>
                <c:pt idx="23">
                  <c:v>1.0514778689420054E-13</c:v>
                </c:pt>
                <c:pt idx="24">
                  <c:v>1.0514778689420053E-12</c:v>
                </c:pt>
                <c:pt idx="25">
                  <c:v>1.0514778689420053E-11</c:v>
                </c:pt>
                <c:pt idx="26">
                  <c:v>1.0514778689420053E-10</c:v>
                </c:pt>
                <c:pt idx="27">
                  <c:v>1.0514778689420054E-9</c:v>
                </c:pt>
                <c:pt idx="28">
                  <c:v>1.0514778689420053E-8</c:v>
                </c:pt>
                <c:pt idx="29">
                  <c:v>1.0514778689420053E-7</c:v>
                </c:pt>
                <c:pt idx="30">
                  <c:v>1.0514778689420052E-6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8.2594354388362626E-34</c:v>
                </c:pt>
                <c:pt idx="1">
                  <c:v>8.2594354388362623E-33</c:v>
                </c:pt>
                <c:pt idx="2">
                  <c:v>8.259435438836262E-32</c:v>
                </c:pt>
                <c:pt idx="3">
                  <c:v>8.2594354388362622E-31</c:v>
                </c:pt>
                <c:pt idx="4">
                  <c:v>8.2594354388362619E-30</c:v>
                </c:pt>
                <c:pt idx="5">
                  <c:v>8.2594354388362624E-29</c:v>
                </c:pt>
                <c:pt idx="6">
                  <c:v>8.259435438836262E-28</c:v>
                </c:pt>
                <c:pt idx="7">
                  <c:v>8.259435438836262E-27</c:v>
                </c:pt>
                <c:pt idx="8">
                  <c:v>8.2594354388362617E-26</c:v>
                </c:pt>
                <c:pt idx="9">
                  <c:v>8.2594354388362615E-25</c:v>
                </c:pt>
                <c:pt idx="10">
                  <c:v>8.2594354388362626E-24</c:v>
                </c:pt>
                <c:pt idx="11">
                  <c:v>8.2594354388362629E-23</c:v>
                </c:pt>
                <c:pt idx="12">
                  <c:v>8.2594354388362626E-22</c:v>
                </c:pt>
                <c:pt idx="13">
                  <c:v>8.2594354388362623E-21</c:v>
                </c:pt>
                <c:pt idx="14">
                  <c:v>8.2594354388362623E-20</c:v>
                </c:pt>
                <c:pt idx="15">
                  <c:v>8.2594354388362623E-19</c:v>
                </c:pt>
                <c:pt idx="16">
                  <c:v>8.2594354388362626E-18</c:v>
                </c:pt>
                <c:pt idx="17">
                  <c:v>8.259435438836262E-17</c:v>
                </c:pt>
                <c:pt idx="18">
                  <c:v>8.2594354388362625E-16</c:v>
                </c:pt>
                <c:pt idx="19">
                  <c:v>8.2594354388362629E-15</c:v>
                </c:pt>
                <c:pt idx="20">
                  <c:v>8.2594354388362626E-14</c:v>
                </c:pt>
                <c:pt idx="21">
                  <c:v>8.2594354388362626E-13</c:v>
                </c:pt>
                <c:pt idx="22">
                  <c:v>8.2594354388362618E-12</c:v>
                </c:pt>
                <c:pt idx="23">
                  <c:v>8.2594354388362618E-11</c:v>
                </c:pt>
                <c:pt idx="24">
                  <c:v>8.2594354388362621E-10</c:v>
                </c:pt>
                <c:pt idx="25">
                  <c:v>8.2594354388362616E-9</c:v>
                </c:pt>
                <c:pt idx="26">
                  <c:v>8.2594354388362626E-8</c:v>
                </c:pt>
                <c:pt idx="27">
                  <c:v>8.2594354388362624E-7</c:v>
                </c:pt>
                <c:pt idx="28">
                  <c:v>8.2594354388362622E-6</c:v>
                </c:pt>
                <c:pt idx="29">
                  <c:v>8.2594354388362625E-5</c:v>
                </c:pt>
                <c:pt idx="30">
                  <c:v>8.2594354388362617E-4</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1.0361750775812967E-31</c:v>
                </c:pt>
                <c:pt idx="1">
                  <c:v>1.0361750775812966E-30</c:v>
                </c:pt>
                <c:pt idx="2">
                  <c:v>1.0361750775812966E-29</c:v>
                </c:pt>
                <c:pt idx="3">
                  <c:v>1.0361750775812966E-28</c:v>
                </c:pt>
                <c:pt idx="4">
                  <c:v>1.0361750775812966E-27</c:v>
                </c:pt>
                <c:pt idx="5">
                  <c:v>1.0361750775812967E-26</c:v>
                </c:pt>
                <c:pt idx="6">
                  <c:v>1.0361750775812968E-25</c:v>
                </c:pt>
                <c:pt idx="7">
                  <c:v>1.0361750775812967E-24</c:v>
                </c:pt>
                <c:pt idx="8">
                  <c:v>1.0361750775812966E-23</c:v>
                </c:pt>
                <c:pt idx="9">
                  <c:v>1.0361750775812966E-22</c:v>
                </c:pt>
                <c:pt idx="10">
                  <c:v>1.0361750775812967E-21</c:v>
                </c:pt>
                <c:pt idx="11">
                  <c:v>1.0361750775812966E-20</c:v>
                </c:pt>
                <c:pt idx="12">
                  <c:v>1.0361750775812966E-19</c:v>
                </c:pt>
                <c:pt idx="13">
                  <c:v>1.0361750775812967E-18</c:v>
                </c:pt>
                <c:pt idx="14">
                  <c:v>1.0361750775812967E-17</c:v>
                </c:pt>
                <c:pt idx="15">
                  <c:v>1.0361750775812966E-16</c:v>
                </c:pt>
                <c:pt idx="16">
                  <c:v>1.0361750775812966E-15</c:v>
                </c:pt>
                <c:pt idx="17">
                  <c:v>1.0361750775812966E-14</c:v>
                </c:pt>
                <c:pt idx="18">
                  <c:v>1.0361750775812967E-13</c:v>
                </c:pt>
                <c:pt idx="19">
                  <c:v>1.0361750775812966E-12</c:v>
                </c:pt>
                <c:pt idx="20">
                  <c:v>1.0361750775812965E-11</c:v>
                </c:pt>
                <c:pt idx="21">
                  <c:v>1.0361750775812966E-10</c:v>
                </c:pt>
                <c:pt idx="22">
                  <c:v>1.0361750775812966E-9</c:v>
                </c:pt>
                <c:pt idx="23">
                  <c:v>1.0361750775812966E-8</c:v>
                </c:pt>
                <c:pt idx="24">
                  <c:v>1.0361750775812966E-7</c:v>
                </c:pt>
                <c:pt idx="25">
                  <c:v>1.0361750775812965E-6</c:v>
                </c:pt>
                <c:pt idx="26">
                  <c:v>1.0361750775812966E-5</c:v>
                </c:pt>
                <c:pt idx="27">
                  <c:v>1.0361750775812966E-4</c:v>
                </c:pt>
                <c:pt idx="28">
                  <c:v>1.0361750775812967E-3</c:v>
                </c:pt>
                <c:pt idx="29">
                  <c:v>1.0361750775812965E-2</c:v>
                </c:pt>
                <c:pt idx="30">
                  <c:v>0.10361750775812965</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6.9251632462746839E-29</c:v>
                </c:pt>
                <c:pt idx="1">
                  <c:v>6.9251632462746839E-28</c:v>
                </c:pt>
                <c:pt idx="2">
                  <c:v>6.9251632462746837E-27</c:v>
                </c:pt>
                <c:pt idx="3">
                  <c:v>6.9251632462746831E-26</c:v>
                </c:pt>
                <c:pt idx="4">
                  <c:v>6.9251632462746831E-25</c:v>
                </c:pt>
                <c:pt idx="5">
                  <c:v>6.9251632462746844E-24</c:v>
                </c:pt>
                <c:pt idx="6">
                  <c:v>6.9251632462746835E-23</c:v>
                </c:pt>
                <c:pt idx="7">
                  <c:v>6.925163246274684E-22</c:v>
                </c:pt>
                <c:pt idx="8">
                  <c:v>6.925163246274684E-21</c:v>
                </c:pt>
                <c:pt idx="9">
                  <c:v>6.9251632462746834E-20</c:v>
                </c:pt>
                <c:pt idx="10">
                  <c:v>6.9251632462746839E-19</c:v>
                </c:pt>
                <c:pt idx="11">
                  <c:v>6.9251632462746843E-18</c:v>
                </c:pt>
                <c:pt idx="12">
                  <c:v>6.9251632462746838E-17</c:v>
                </c:pt>
                <c:pt idx="13">
                  <c:v>6.9251632462746836E-16</c:v>
                </c:pt>
                <c:pt idx="14">
                  <c:v>6.9251632462746842E-15</c:v>
                </c:pt>
                <c:pt idx="15">
                  <c:v>6.9251632462746834E-14</c:v>
                </c:pt>
                <c:pt idx="16">
                  <c:v>6.9251632462746839E-13</c:v>
                </c:pt>
                <c:pt idx="17">
                  <c:v>6.9251632462746833E-12</c:v>
                </c:pt>
                <c:pt idx="18">
                  <c:v>6.9251632462746838E-11</c:v>
                </c:pt>
                <c:pt idx="19">
                  <c:v>6.9251632462746832E-10</c:v>
                </c:pt>
                <c:pt idx="20">
                  <c:v>6.9251632462746836E-9</c:v>
                </c:pt>
                <c:pt idx="21">
                  <c:v>6.9251632462746836E-8</c:v>
                </c:pt>
                <c:pt idx="22">
                  <c:v>6.9251632462746831E-7</c:v>
                </c:pt>
                <c:pt idx="23">
                  <c:v>6.9251632462746835E-6</c:v>
                </c:pt>
                <c:pt idx="24">
                  <c:v>6.9251632462746839E-5</c:v>
                </c:pt>
                <c:pt idx="25">
                  <c:v>6.9251632462746836E-4</c:v>
                </c:pt>
                <c:pt idx="26">
                  <c:v>6.9251632462746836E-3</c:v>
                </c:pt>
                <c:pt idx="27">
                  <c:v>6.9251632462746834E-2</c:v>
                </c:pt>
                <c:pt idx="28">
                  <c:v>0.69251632462746837</c:v>
                </c:pt>
                <c:pt idx="29">
                  <c:v>6.9251632462746837</c:v>
                </c:pt>
                <c:pt idx="30">
                  <c:v>69.251632462746841</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6.1902100960144112E-22</c:v>
                </c:pt>
                <c:pt idx="1">
                  <c:v>6.1902100960144109E-21</c:v>
                </c:pt>
                <c:pt idx="2">
                  <c:v>6.190210096014411E-20</c:v>
                </c:pt>
                <c:pt idx="3">
                  <c:v>6.19021009601441E-19</c:v>
                </c:pt>
                <c:pt idx="4">
                  <c:v>6.1902100960144102E-18</c:v>
                </c:pt>
                <c:pt idx="5">
                  <c:v>6.1902100960144113E-17</c:v>
                </c:pt>
                <c:pt idx="6">
                  <c:v>6.1902100960144111E-16</c:v>
                </c:pt>
                <c:pt idx="7">
                  <c:v>6.1902100960144105E-15</c:v>
                </c:pt>
                <c:pt idx="8">
                  <c:v>6.1902100960144097E-14</c:v>
                </c:pt>
                <c:pt idx="9">
                  <c:v>6.1902100960144099E-13</c:v>
                </c:pt>
                <c:pt idx="10">
                  <c:v>6.1902100960144114E-12</c:v>
                </c:pt>
                <c:pt idx="11">
                  <c:v>6.1902100960144104E-11</c:v>
                </c:pt>
                <c:pt idx="12">
                  <c:v>6.1902100960144106E-10</c:v>
                </c:pt>
                <c:pt idx="13">
                  <c:v>6.1902100960144109E-9</c:v>
                </c:pt>
                <c:pt idx="14">
                  <c:v>6.1902100960144112E-8</c:v>
                </c:pt>
                <c:pt idx="15">
                  <c:v>6.1902100960144104E-7</c:v>
                </c:pt>
                <c:pt idx="16">
                  <c:v>6.1902100960144104E-6</c:v>
                </c:pt>
                <c:pt idx="17">
                  <c:v>6.1902100960144099E-5</c:v>
                </c:pt>
                <c:pt idx="18">
                  <c:v>6.1902100960144104E-4</c:v>
                </c:pt>
                <c:pt idx="19">
                  <c:v>6.1902100960144106E-3</c:v>
                </c:pt>
                <c:pt idx="20">
                  <c:v>6.1902100960144105E-2</c:v>
                </c:pt>
                <c:pt idx="21">
                  <c:v>0.61902100960144102</c:v>
                </c:pt>
                <c:pt idx="22">
                  <c:v>6.1902100960144102</c:v>
                </c:pt>
                <c:pt idx="23">
                  <c:v>61.902100960144104</c:v>
                </c:pt>
                <c:pt idx="24">
                  <c:v>619.02100960144105</c:v>
                </c:pt>
                <c:pt idx="25">
                  <c:v>6190.2100960144107</c:v>
                </c:pt>
                <c:pt idx="26">
                  <c:v>61902.100960144104</c:v>
                </c:pt>
                <c:pt idx="27">
                  <c:v>619021.0096014411</c:v>
                </c:pt>
                <c:pt idx="28">
                  <c:v>6190210.0960144103</c:v>
                </c:pt>
                <c:pt idx="29">
                  <c:v>61902100.960144103</c:v>
                </c:pt>
                <c:pt idx="30">
                  <c:v>619021009.60144103</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90618296"/>
        <c:axId val="490620256"/>
      </c:scatterChart>
      <c:valAx>
        <c:axId val="4906182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0256"/>
        <c:crosses val="autoZero"/>
        <c:crossBetween val="midCat"/>
      </c:valAx>
      <c:valAx>
        <c:axId val="49062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82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8.757398945968045E-42</c:v>
                </c:pt>
                <c:pt idx="1">
                  <c:v>8.7573989459680439E-41</c:v>
                </c:pt>
                <c:pt idx="2">
                  <c:v>8.7573989459680439E-40</c:v>
                </c:pt>
                <c:pt idx="3">
                  <c:v>8.7573989459680436E-39</c:v>
                </c:pt>
                <c:pt idx="4">
                  <c:v>8.7573989459680439E-38</c:v>
                </c:pt>
                <c:pt idx="5">
                  <c:v>8.7573989459680437E-37</c:v>
                </c:pt>
                <c:pt idx="6">
                  <c:v>8.7573989459680447E-36</c:v>
                </c:pt>
                <c:pt idx="7">
                  <c:v>8.7573989459680444E-35</c:v>
                </c:pt>
                <c:pt idx="8">
                  <c:v>8.7573989459680442E-34</c:v>
                </c:pt>
                <c:pt idx="9">
                  <c:v>8.7573989459680442E-33</c:v>
                </c:pt>
                <c:pt idx="10">
                  <c:v>8.7573989459680447E-32</c:v>
                </c:pt>
                <c:pt idx="11">
                  <c:v>8.7573989459680452E-31</c:v>
                </c:pt>
                <c:pt idx="12">
                  <c:v>8.7573989459680441E-30</c:v>
                </c:pt>
                <c:pt idx="13">
                  <c:v>8.7573989459680441E-29</c:v>
                </c:pt>
                <c:pt idx="14">
                  <c:v>8.7573989459680441E-28</c:v>
                </c:pt>
                <c:pt idx="15">
                  <c:v>8.7573989459680434E-27</c:v>
                </c:pt>
                <c:pt idx="16">
                  <c:v>8.7573989459680446E-26</c:v>
                </c:pt>
                <c:pt idx="17">
                  <c:v>8.7573989459680434E-25</c:v>
                </c:pt>
                <c:pt idx="18">
                  <c:v>8.7573989459680434E-24</c:v>
                </c:pt>
                <c:pt idx="19">
                  <c:v>8.7573989459680437E-23</c:v>
                </c:pt>
                <c:pt idx="20">
                  <c:v>8.7573989459680437E-22</c:v>
                </c:pt>
                <c:pt idx="21">
                  <c:v>8.7573989459680441E-21</c:v>
                </c:pt>
                <c:pt idx="22">
                  <c:v>8.7573989459680444E-20</c:v>
                </c:pt>
                <c:pt idx="23">
                  <c:v>8.7573989459680449E-19</c:v>
                </c:pt>
                <c:pt idx="24">
                  <c:v>8.7573989459680445E-18</c:v>
                </c:pt>
                <c:pt idx="25">
                  <c:v>8.7573989459680442E-17</c:v>
                </c:pt>
                <c:pt idx="26">
                  <c:v>8.7573989459680444E-16</c:v>
                </c:pt>
                <c:pt idx="27">
                  <c:v>8.7573989459680436E-15</c:v>
                </c:pt>
                <c:pt idx="28">
                  <c:v>8.7573989459680439E-14</c:v>
                </c:pt>
                <c:pt idx="29">
                  <c:v>8.7573989459680444E-13</c:v>
                </c:pt>
                <c:pt idx="30">
                  <c:v>8.7573989459680438E-12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1.0514778689420054E-36</c:v>
                </c:pt>
                <c:pt idx="1">
                  <c:v>1.0514778689420054E-35</c:v>
                </c:pt>
                <c:pt idx="2">
                  <c:v>1.0514778689420054E-34</c:v>
                </c:pt>
                <c:pt idx="3">
                  <c:v>1.0514778689420053E-33</c:v>
                </c:pt>
                <c:pt idx="4">
                  <c:v>1.0514778689420052E-32</c:v>
                </c:pt>
                <c:pt idx="5">
                  <c:v>1.0514778689420054E-31</c:v>
                </c:pt>
                <c:pt idx="6">
                  <c:v>1.0514778689420053E-30</c:v>
                </c:pt>
                <c:pt idx="7">
                  <c:v>1.0514778689420053E-29</c:v>
                </c:pt>
                <c:pt idx="8">
                  <c:v>1.0514778689420052E-28</c:v>
                </c:pt>
                <c:pt idx="9">
                  <c:v>1.0514778689420053E-27</c:v>
                </c:pt>
                <c:pt idx="10">
                  <c:v>1.0514778689420054E-26</c:v>
                </c:pt>
                <c:pt idx="11">
                  <c:v>1.0514778689420054E-25</c:v>
                </c:pt>
                <c:pt idx="12">
                  <c:v>1.0514778689420052E-24</c:v>
                </c:pt>
                <c:pt idx="13">
                  <c:v>1.0514778689420053E-23</c:v>
                </c:pt>
                <c:pt idx="14">
                  <c:v>1.0514778689420054E-22</c:v>
                </c:pt>
                <c:pt idx="15">
                  <c:v>1.0514778689420054E-21</c:v>
                </c:pt>
                <c:pt idx="16">
                  <c:v>1.0514778689420053E-20</c:v>
                </c:pt>
                <c:pt idx="17">
                  <c:v>1.0514778689420053E-19</c:v>
                </c:pt>
                <c:pt idx="18">
                  <c:v>1.0514778689420052E-18</c:v>
                </c:pt>
                <c:pt idx="19">
                  <c:v>1.0514778689420054E-17</c:v>
                </c:pt>
                <c:pt idx="20">
                  <c:v>1.0514778689420053E-16</c:v>
                </c:pt>
                <c:pt idx="21">
                  <c:v>1.0514778689420053E-15</c:v>
                </c:pt>
                <c:pt idx="22">
                  <c:v>1.0514778689420053E-14</c:v>
                </c:pt>
                <c:pt idx="23">
                  <c:v>1.0514778689420054E-13</c:v>
                </c:pt>
                <c:pt idx="24">
                  <c:v>1.0514778689420053E-12</c:v>
                </c:pt>
                <c:pt idx="25">
                  <c:v>1.0514778689420053E-11</c:v>
                </c:pt>
                <c:pt idx="26">
                  <c:v>1.0514778689420053E-10</c:v>
                </c:pt>
                <c:pt idx="27">
                  <c:v>1.0514778689420054E-9</c:v>
                </c:pt>
                <c:pt idx="28">
                  <c:v>1.0514778689420053E-8</c:v>
                </c:pt>
                <c:pt idx="29">
                  <c:v>1.0514778689420053E-7</c:v>
                </c:pt>
                <c:pt idx="30">
                  <c:v>1.0514778689420052E-6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8.2594354388362626E-34</c:v>
                </c:pt>
                <c:pt idx="1">
                  <c:v>8.2594354388362623E-33</c:v>
                </c:pt>
                <c:pt idx="2">
                  <c:v>8.259435438836262E-32</c:v>
                </c:pt>
                <c:pt idx="3">
                  <c:v>8.2594354388362622E-31</c:v>
                </c:pt>
                <c:pt idx="4">
                  <c:v>8.2594354388362619E-30</c:v>
                </c:pt>
                <c:pt idx="5">
                  <c:v>8.2594354388362624E-29</c:v>
                </c:pt>
                <c:pt idx="6">
                  <c:v>8.259435438836262E-28</c:v>
                </c:pt>
                <c:pt idx="7">
                  <c:v>8.259435438836262E-27</c:v>
                </c:pt>
                <c:pt idx="8">
                  <c:v>8.2594354388362617E-26</c:v>
                </c:pt>
                <c:pt idx="9">
                  <c:v>8.2594354388362615E-25</c:v>
                </c:pt>
                <c:pt idx="10">
                  <c:v>8.2594354388362626E-24</c:v>
                </c:pt>
                <c:pt idx="11">
                  <c:v>8.2594354388362629E-23</c:v>
                </c:pt>
                <c:pt idx="12">
                  <c:v>8.2594354388362626E-22</c:v>
                </c:pt>
                <c:pt idx="13">
                  <c:v>8.2594354388362623E-21</c:v>
                </c:pt>
                <c:pt idx="14">
                  <c:v>8.2594354388362623E-20</c:v>
                </c:pt>
                <c:pt idx="15">
                  <c:v>8.2594354388362623E-19</c:v>
                </c:pt>
                <c:pt idx="16">
                  <c:v>8.2594354388362626E-18</c:v>
                </c:pt>
                <c:pt idx="17">
                  <c:v>8.259435438836262E-17</c:v>
                </c:pt>
                <c:pt idx="18">
                  <c:v>8.2594354388362625E-16</c:v>
                </c:pt>
                <c:pt idx="19">
                  <c:v>8.2594354388362629E-15</c:v>
                </c:pt>
                <c:pt idx="20">
                  <c:v>8.2594354388362626E-14</c:v>
                </c:pt>
                <c:pt idx="21">
                  <c:v>8.2594354388362626E-13</c:v>
                </c:pt>
                <c:pt idx="22">
                  <c:v>8.2594354388362618E-12</c:v>
                </c:pt>
                <c:pt idx="23">
                  <c:v>8.2594354388362618E-11</c:v>
                </c:pt>
                <c:pt idx="24">
                  <c:v>8.2594354388362621E-10</c:v>
                </c:pt>
                <c:pt idx="25">
                  <c:v>8.2594354388362616E-9</c:v>
                </c:pt>
                <c:pt idx="26">
                  <c:v>8.2594354388362626E-8</c:v>
                </c:pt>
                <c:pt idx="27">
                  <c:v>8.2594354388362624E-7</c:v>
                </c:pt>
                <c:pt idx="28">
                  <c:v>8.2594354388362622E-6</c:v>
                </c:pt>
                <c:pt idx="29">
                  <c:v>8.2594354388362625E-5</c:v>
                </c:pt>
                <c:pt idx="30">
                  <c:v>8.2594354388362617E-4</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1.0361750775812967E-31</c:v>
                </c:pt>
                <c:pt idx="1">
                  <c:v>1.0361750775812966E-30</c:v>
                </c:pt>
                <c:pt idx="2">
                  <c:v>1.0361750775812966E-29</c:v>
                </c:pt>
                <c:pt idx="3">
                  <c:v>1.0361750775812966E-28</c:v>
                </c:pt>
                <c:pt idx="4">
                  <c:v>1.0361750775812966E-27</c:v>
                </c:pt>
                <c:pt idx="5">
                  <c:v>1.0361750775812967E-26</c:v>
                </c:pt>
                <c:pt idx="6">
                  <c:v>1.0361750775812968E-25</c:v>
                </c:pt>
                <c:pt idx="7">
                  <c:v>1.0361750775812967E-24</c:v>
                </c:pt>
                <c:pt idx="8">
                  <c:v>1.0361750775812966E-23</c:v>
                </c:pt>
                <c:pt idx="9">
                  <c:v>1.0361750775812966E-22</c:v>
                </c:pt>
                <c:pt idx="10">
                  <c:v>1.0361750775812967E-21</c:v>
                </c:pt>
                <c:pt idx="11">
                  <c:v>1.0361750775812966E-20</c:v>
                </c:pt>
                <c:pt idx="12">
                  <c:v>1.0361750775812966E-19</c:v>
                </c:pt>
                <c:pt idx="13">
                  <c:v>1.0361750775812967E-18</c:v>
                </c:pt>
                <c:pt idx="14">
                  <c:v>1.0361750775812967E-17</c:v>
                </c:pt>
                <c:pt idx="15">
                  <c:v>1.0361750775812966E-16</c:v>
                </c:pt>
                <c:pt idx="16">
                  <c:v>1.0361750775812966E-15</c:v>
                </c:pt>
                <c:pt idx="17">
                  <c:v>1.0361750775812966E-14</c:v>
                </c:pt>
                <c:pt idx="18">
                  <c:v>1.0361750775812967E-13</c:v>
                </c:pt>
                <c:pt idx="19">
                  <c:v>1.0361750775812966E-12</c:v>
                </c:pt>
                <c:pt idx="20">
                  <c:v>1.0361750775812965E-11</c:v>
                </c:pt>
                <c:pt idx="21">
                  <c:v>1.0361750775812966E-10</c:v>
                </c:pt>
                <c:pt idx="22">
                  <c:v>1.0361750775812966E-9</c:v>
                </c:pt>
                <c:pt idx="23">
                  <c:v>1.0361750775812966E-8</c:v>
                </c:pt>
                <c:pt idx="24">
                  <c:v>1.0361750775812966E-7</c:v>
                </c:pt>
                <c:pt idx="25">
                  <c:v>1.0361750775812965E-6</c:v>
                </c:pt>
                <c:pt idx="26">
                  <c:v>1.0361750775812966E-5</c:v>
                </c:pt>
                <c:pt idx="27">
                  <c:v>1.0361750775812966E-4</c:v>
                </c:pt>
                <c:pt idx="28">
                  <c:v>1.0361750775812967E-3</c:v>
                </c:pt>
                <c:pt idx="29">
                  <c:v>1.0361750775812965E-2</c:v>
                </c:pt>
                <c:pt idx="30">
                  <c:v>0.10361750775812965</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6.9251632462746839E-29</c:v>
                </c:pt>
                <c:pt idx="1">
                  <c:v>6.9251632462746839E-28</c:v>
                </c:pt>
                <c:pt idx="2">
                  <c:v>6.9251632462746837E-27</c:v>
                </c:pt>
                <c:pt idx="3">
                  <c:v>6.9251632462746831E-26</c:v>
                </c:pt>
                <c:pt idx="4">
                  <c:v>6.9251632462746831E-25</c:v>
                </c:pt>
                <c:pt idx="5">
                  <c:v>6.9251632462746844E-24</c:v>
                </c:pt>
                <c:pt idx="6">
                  <c:v>6.9251632462746835E-23</c:v>
                </c:pt>
                <c:pt idx="7">
                  <c:v>6.925163246274684E-22</c:v>
                </c:pt>
                <c:pt idx="8">
                  <c:v>6.925163246274684E-21</c:v>
                </c:pt>
                <c:pt idx="9">
                  <c:v>6.9251632462746834E-20</c:v>
                </c:pt>
                <c:pt idx="10">
                  <c:v>6.9251632462746839E-19</c:v>
                </c:pt>
                <c:pt idx="11">
                  <c:v>6.9251632462746843E-18</c:v>
                </c:pt>
                <c:pt idx="12">
                  <c:v>6.9251632462746838E-17</c:v>
                </c:pt>
                <c:pt idx="13">
                  <c:v>6.9251632462746836E-16</c:v>
                </c:pt>
                <c:pt idx="14">
                  <c:v>6.9251632462746842E-15</c:v>
                </c:pt>
                <c:pt idx="15">
                  <c:v>6.9251632462746834E-14</c:v>
                </c:pt>
                <c:pt idx="16">
                  <c:v>6.9251632462746839E-13</c:v>
                </c:pt>
                <c:pt idx="17">
                  <c:v>6.9251632462746833E-12</c:v>
                </c:pt>
                <c:pt idx="18">
                  <c:v>6.9251632462746838E-11</c:v>
                </c:pt>
                <c:pt idx="19">
                  <c:v>6.9251632462746832E-10</c:v>
                </c:pt>
                <c:pt idx="20">
                  <c:v>6.9251632462746836E-9</c:v>
                </c:pt>
                <c:pt idx="21">
                  <c:v>6.9251632462746836E-8</c:v>
                </c:pt>
                <c:pt idx="22">
                  <c:v>6.9251632462746831E-7</c:v>
                </c:pt>
                <c:pt idx="23">
                  <c:v>6.9251632462746835E-6</c:v>
                </c:pt>
                <c:pt idx="24">
                  <c:v>6.9251632462746839E-5</c:v>
                </c:pt>
                <c:pt idx="25">
                  <c:v>6.9251632462746836E-4</c:v>
                </c:pt>
                <c:pt idx="26">
                  <c:v>6.9251632462746836E-3</c:v>
                </c:pt>
                <c:pt idx="27">
                  <c:v>6.9251632462746834E-2</c:v>
                </c:pt>
                <c:pt idx="28">
                  <c:v>0.69251632462746837</c:v>
                </c:pt>
                <c:pt idx="29">
                  <c:v>6.9251632462746837</c:v>
                </c:pt>
                <c:pt idx="30">
                  <c:v>69.251632462746841</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6.1902100960144112E-22</c:v>
                </c:pt>
                <c:pt idx="1">
                  <c:v>6.1902100960144109E-21</c:v>
                </c:pt>
                <c:pt idx="2">
                  <c:v>6.190210096014411E-20</c:v>
                </c:pt>
                <c:pt idx="3">
                  <c:v>6.19021009601441E-19</c:v>
                </c:pt>
                <c:pt idx="4">
                  <c:v>6.1902100960144102E-18</c:v>
                </c:pt>
                <c:pt idx="5">
                  <c:v>6.1902100960144113E-17</c:v>
                </c:pt>
                <c:pt idx="6">
                  <c:v>6.1902100960144111E-16</c:v>
                </c:pt>
                <c:pt idx="7">
                  <c:v>6.1902100960144105E-15</c:v>
                </c:pt>
                <c:pt idx="8">
                  <c:v>6.1902100960144097E-14</c:v>
                </c:pt>
                <c:pt idx="9">
                  <c:v>6.1902100960144099E-13</c:v>
                </c:pt>
                <c:pt idx="10">
                  <c:v>6.1902100960144114E-12</c:v>
                </c:pt>
                <c:pt idx="11">
                  <c:v>6.1902100960144104E-11</c:v>
                </c:pt>
                <c:pt idx="12">
                  <c:v>6.1902100960144106E-10</c:v>
                </c:pt>
                <c:pt idx="13">
                  <c:v>6.1902100960144109E-9</c:v>
                </c:pt>
                <c:pt idx="14">
                  <c:v>6.1902100960144112E-8</c:v>
                </c:pt>
                <c:pt idx="15">
                  <c:v>6.1902100960144104E-7</c:v>
                </c:pt>
                <c:pt idx="16">
                  <c:v>6.1902100960144104E-6</c:v>
                </c:pt>
                <c:pt idx="17">
                  <c:v>6.1902100960144099E-5</c:v>
                </c:pt>
                <c:pt idx="18">
                  <c:v>6.1902100960144104E-4</c:v>
                </c:pt>
                <c:pt idx="19">
                  <c:v>6.1902100960144106E-3</c:v>
                </c:pt>
                <c:pt idx="20">
                  <c:v>6.1902100960144105E-2</c:v>
                </c:pt>
                <c:pt idx="21">
                  <c:v>0.61902100960144102</c:v>
                </c:pt>
                <c:pt idx="22">
                  <c:v>6.1902100960144102</c:v>
                </c:pt>
                <c:pt idx="23">
                  <c:v>61.902100960144104</c:v>
                </c:pt>
                <c:pt idx="24">
                  <c:v>619.02100960144105</c:v>
                </c:pt>
                <c:pt idx="25">
                  <c:v>6190.2100960144107</c:v>
                </c:pt>
                <c:pt idx="26">
                  <c:v>61902.100960144104</c:v>
                </c:pt>
                <c:pt idx="27">
                  <c:v>619021.0096014411</c:v>
                </c:pt>
                <c:pt idx="28">
                  <c:v>6190210.0960144103</c:v>
                </c:pt>
                <c:pt idx="29">
                  <c:v>61902100.960144103</c:v>
                </c:pt>
                <c:pt idx="30">
                  <c:v>619021009.60144103</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90621040"/>
        <c:axId val="490615160"/>
      </c:scatterChart>
      <c:valAx>
        <c:axId val="49062104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15160"/>
        <c:crosses val="autoZero"/>
        <c:crossBetween val="midCat"/>
      </c:valAx>
      <c:valAx>
        <c:axId val="490615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104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-59.999898573957836</c:v>
                </c:pt>
                <c:pt idx="1">
                  <c:v>-59.784409105699012</c:v>
                </c:pt>
                <c:pt idx="2">
                  <c:v>-59.568631060558445</c:v>
                </c:pt>
                <c:pt idx="3">
                  <c:v>-59.352275861654348</c:v>
                </c:pt>
                <c:pt idx="4">
                  <c:v>-59.135054932104978</c:v>
                </c:pt>
                <c:pt idx="5">
                  <c:v>-58.916679695028577</c:v>
                </c:pt>
                <c:pt idx="6">
                  <c:v>-58.696861573543401</c:v>
                </c:pt>
                <c:pt idx="7">
                  <c:v>-58.475311990767658</c:v>
                </c:pt>
                <c:pt idx="8">
                  <c:v>-58.251742369819617</c:v>
                </c:pt>
                <c:pt idx="9">
                  <c:v>-58.025864133817521</c:v>
                </c:pt>
                <c:pt idx="10">
                  <c:v>-57.797388705879591</c:v>
                </c:pt>
                <c:pt idx="11">
                  <c:v>-57.566027509124098</c:v>
                </c:pt>
                <c:pt idx="12">
                  <c:v>-57.331491966669255</c:v>
                </c:pt>
                <c:pt idx="13">
                  <c:v>-57.093493501633318</c:v>
                </c:pt>
                <c:pt idx="14">
                  <c:v>-56.851743537134539</c:v>
                </c:pt>
                <c:pt idx="15">
                  <c:v>-56.60595349629115</c:v>
                </c:pt>
                <c:pt idx="16">
                  <c:v>-56.355834802221395</c:v>
                </c:pt>
                <c:pt idx="17">
                  <c:v>-56.101098878043501</c:v>
                </c:pt>
                <c:pt idx="18">
                  <c:v>-55.84145714687574</c:v>
                </c:pt>
                <c:pt idx="19">
                  <c:v>-55.576621031836325</c:v>
                </c:pt>
                <c:pt idx="20">
                  <c:v>-55.306301956043519</c:v>
                </c:pt>
                <c:pt idx="21">
                  <c:v>-55.030211342615559</c:v>
                </c:pt>
                <c:pt idx="22">
                  <c:v>-54.748060614670678</c:v>
                </c:pt>
                <c:pt idx="23">
                  <c:v>-54.459561195327126</c:v>
                </c:pt>
                <c:pt idx="24">
                  <c:v>-54.164424507703146</c:v>
                </c:pt>
                <c:pt idx="25">
                  <c:v>-53.862361974916979</c:v>
                </c:pt>
                <c:pt idx="26">
                  <c:v>-53.553085020086868</c:v>
                </c:pt>
                <c:pt idx="27">
                  <c:v>-53.236305066331049</c:v>
                </c:pt>
                <c:pt idx="28">
                  <c:v>-52.91173353676777</c:v>
                </c:pt>
                <c:pt idx="29">
                  <c:v>-52.579081854515273</c:v>
                </c:pt>
                <c:pt idx="30">
                  <c:v>-52.238061442691794</c:v>
                </c:pt>
                <c:pt idx="31">
                  <c:v>-51.88838372441559</c:v>
                </c:pt>
                <c:pt idx="32">
                  <c:v>-51.529760122804888</c:v>
                </c:pt>
                <c:pt idx="33">
                  <c:v>-51.16190206097793</c:v>
                </c:pt>
                <c:pt idx="34">
                  <c:v>-50.784520962052973</c:v>
                </c:pt>
                <c:pt idx="35">
                  <c:v>-50.397328249148245</c:v>
                </c:pt>
                <c:pt idx="36">
                  <c:v>-50.000035345381995</c:v>
                </c:pt>
                <c:pt idx="37">
                  <c:v>-49.592353673872459</c:v>
                </c:pt>
                <c:pt idx="38">
                  <c:v>-49.173994657737886</c:v>
                </c:pt>
                <c:pt idx="39">
                  <c:v>-48.744669720096518</c:v>
                </c:pt>
                <c:pt idx="40">
                  <c:v>-48.304090284066589</c:v>
                </c:pt>
                <c:pt idx="41">
                  <c:v>-48.095893183428402</c:v>
                </c:pt>
                <c:pt idx="42">
                  <c:v>-47.876922823036601</c:v>
                </c:pt>
                <c:pt idx="43">
                  <c:v>-47.647949018407942</c:v>
                </c:pt>
                <c:pt idx="44">
                  <c:v>-47.409741585059137</c:v>
                </c:pt>
                <c:pt idx="45">
                  <c:v>-47.163070338506913</c:v>
                </c:pt>
                <c:pt idx="46">
                  <c:v>-46.908705094268008</c:v>
                </c:pt>
                <c:pt idx="47">
                  <c:v>-46.647415667859114</c:v>
                </c:pt>
                <c:pt idx="48">
                  <c:v>-46.379971874796986</c:v>
                </c:pt>
                <c:pt idx="49">
                  <c:v>-46.107143530598329</c:v>
                </c:pt>
                <c:pt idx="50">
                  <c:v>-45.829700450779868</c:v>
                </c:pt>
                <c:pt idx="51">
                  <c:v>-45.548412450858336</c:v>
                </c:pt>
                <c:pt idx="52">
                  <c:v>-45.264049346350447</c:v>
                </c:pt>
                <c:pt idx="53">
                  <c:v>-44.977380952772933</c:v>
                </c:pt>
                <c:pt idx="54">
                  <c:v>-44.689177085642505</c:v>
                </c:pt>
                <c:pt idx="55">
                  <c:v>-44.400207560475906</c:v>
                </c:pt>
                <c:pt idx="56">
                  <c:v>-44.111242192789838</c:v>
                </c:pt>
                <c:pt idx="57">
                  <c:v>-43.823050798101043</c:v>
                </c:pt>
                <c:pt idx="58">
                  <c:v>-43.536403191926233</c:v>
                </c:pt>
                <c:pt idx="59">
                  <c:v>-43.252069189782134</c:v>
                </c:pt>
                <c:pt idx="60">
                  <c:v>-42.970818607185478</c:v>
                </c:pt>
                <c:pt idx="61">
                  <c:v>-42.693421259652972</c:v>
                </c:pt>
                <c:pt idx="62">
                  <c:v>-42.420646962701355</c:v>
                </c:pt>
                <c:pt idx="63">
                  <c:v>-42.153265531847346</c:v>
                </c:pt>
                <c:pt idx="64">
                  <c:v>-41.892046782607665</c:v>
                </c:pt>
                <c:pt idx="65">
                  <c:v>-41.637760530499037</c:v>
                </c:pt>
                <c:pt idx="66">
                  <c:v>-41.390985899785889</c:v>
                </c:pt>
                <c:pt idx="67">
                  <c:v>-41.151539249723406</c:v>
                </c:pt>
                <c:pt idx="68">
                  <c:v>-40.919046248314508</c:v>
                </c:pt>
                <c:pt idx="69">
                  <c:v>-40.693132563562081</c:v>
                </c:pt>
                <c:pt idx="70">
                  <c:v>-40.473423863469037</c:v>
                </c:pt>
                <c:pt idx="71">
                  <c:v>-40.259545816038255</c:v>
                </c:pt>
                <c:pt idx="72">
                  <c:v>-40.051124089272648</c:v>
                </c:pt>
                <c:pt idx="73">
                  <c:v>-39.847784351175115</c:v>
                </c:pt>
                <c:pt idx="74">
                  <c:v>-39.649152269748548</c:v>
                </c:pt>
                <c:pt idx="75">
                  <c:v>-39.454853512995847</c:v>
                </c:pt>
                <c:pt idx="76">
                  <c:v>-39.264513748919924</c:v>
                </c:pt>
                <c:pt idx="77">
                  <c:v>-39.077758645523659</c:v>
                </c:pt>
                <c:pt idx="78">
                  <c:v>-38.894213870809963</c:v>
                </c:pt>
                <c:pt idx="79">
                  <c:v>-38.71350509278173</c:v>
                </c:pt>
                <c:pt idx="80">
                  <c:v>-38.535257979441866</c:v>
                </c:pt>
                <c:pt idx="81">
                  <c:v>-38.359098198793255</c:v>
                </c:pt>
                <c:pt idx="82">
                  <c:v>-38.184651418838811</c:v>
                </c:pt>
                <c:pt idx="83">
                  <c:v>-38.01154330758142</c:v>
                </c:pt>
                <c:pt idx="84">
                  <c:v>-37.839399533024</c:v>
                </c:pt>
                <c:pt idx="85">
                  <c:v>-37.667845763169431</c:v>
                </c:pt>
                <c:pt idx="86">
                  <c:v>-37.496507666020626</c:v>
                </c:pt>
                <c:pt idx="87">
                  <c:v>-37.325010909580477</c:v>
                </c:pt>
                <c:pt idx="88">
                  <c:v>-37.152981161851876</c:v>
                </c:pt>
                <c:pt idx="89">
                  <c:v>-36.980044090837737</c:v>
                </c:pt>
                <c:pt idx="90">
                  <c:v>-36.805825364540944</c:v>
                </c:pt>
                <c:pt idx="91">
                  <c:v>-36.629994148094525</c:v>
                </c:pt>
                <c:pt idx="92">
                  <c:v>-36.452393595151939</c:v>
                </c:pt>
                <c:pt idx="93">
                  <c:v>-36.272910356496759</c:v>
                </c:pt>
                <c:pt idx="94">
                  <c:v>-36.091431082912571</c:v>
                </c:pt>
                <c:pt idx="95">
                  <c:v>-35.907842425182963</c:v>
                </c:pt>
                <c:pt idx="96">
                  <c:v>-35.722031034091515</c:v>
                </c:pt>
                <c:pt idx="97">
                  <c:v>-35.533883560421785</c:v>
                </c:pt>
                <c:pt idx="98">
                  <c:v>-35.343286654957382</c:v>
                </c:pt>
                <c:pt idx="99">
                  <c:v>-35.150126968481871</c:v>
                </c:pt>
                <c:pt idx="100">
                  <c:v>-34.95429115177884</c:v>
                </c:pt>
                <c:pt idx="101">
                  <c:v>-34.755665855631861</c:v>
                </c:pt>
                <c:pt idx="102">
                  <c:v>-34.554137730824522</c:v>
                </c:pt>
                <c:pt idx="103">
                  <c:v>-34.349593428140395</c:v>
                </c:pt>
                <c:pt idx="104">
                  <c:v>-34.141919598363067</c:v>
                </c:pt>
                <c:pt idx="105">
                  <c:v>-33.931002892276119</c:v>
                </c:pt>
                <c:pt idx="106">
                  <c:v>-33.71672996066313</c:v>
                </c:pt>
                <c:pt idx="107">
                  <c:v>-33.498987454307674</c:v>
                </c:pt>
                <c:pt idx="108">
                  <c:v>-33.277662023993337</c:v>
                </c:pt>
                <c:pt idx="109">
                  <c:v>-33.052640320503698</c:v>
                </c:pt>
                <c:pt idx="110">
                  <c:v>-32.82380899462234</c:v>
                </c:pt>
                <c:pt idx="111">
                  <c:v>-32.591054697132847</c:v>
                </c:pt>
                <c:pt idx="112">
                  <c:v>-32.354264078818787</c:v>
                </c:pt>
                <c:pt idx="113">
                  <c:v>-32.113323790463753</c:v>
                </c:pt>
                <c:pt idx="114">
                  <c:v>-31.868120482851317</c:v>
                </c:pt>
                <c:pt idx="115">
                  <c:v>-31.618540806765061</c:v>
                </c:pt>
                <c:pt idx="116">
                  <c:v>-31.364471412988568</c:v>
                </c:pt>
                <c:pt idx="117">
                  <c:v>-31.105798952305413</c:v>
                </c:pt>
                <c:pt idx="118">
                  <c:v>-30.842410075499188</c:v>
                </c:pt>
                <c:pt idx="119">
                  <c:v>-30.574191433353459</c:v>
                </c:pt>
                <c:pt idx="120">
                  <c:v>-30.301029676651815</c:v>
                </c:pt>
                <c:pt idx="121">
                  <c:v>-30.022847016749672</c:v>
                </c:pt>
                <c:pt idx="122">
                  <c:v>-29.739707907289755</c:v>
                </c:pt>
                <c:pt idx="123">
                  <c:v>-29.451712362486649</c:v>
                </c:pt>
                <c:pt idx="124">
                  <c:v>-29.158960396554921</c:v>
                </c:pt>
                <c:pt idx="125">
                  <c:v>-28.861552023709145</c:v>
                </c:pt>
                <c:pt idx="126">
                  <c:v>-28.559587258163887</c:v>
                </c:pt>
                <c:pt idx="127">
                  <c:v>-28.253166114133727</c:v>
                </c:pt>
                <c:pt idx="128">
                  <c:v>-27.942388605833226</c:v>
                </c:pt>
                <c:pt idx="129">
                  <c:v>-27.627354747476964</c:v>
                </c:pt>
                <c:pt idx="130">
                  <c:v>-27.308164553279511</c:v>
                </c:pt>
                <c:pt idx="131">
                  <c:v>-26.98491803745544</c:v>
                </c:pt>
                <c:pt idx="132">
                  <c:v>-26.657715214219319</c:v>
                </c:pt>
                <c:pt idx="133">
                  <c:v>-26.326656097785726</c:v>
                </c:pt>
                <c:pt idx="134">
                  <c:v>-25.991840702369224</c:v>
                </c:pt>
                <c:pt idx="135">
                  <c:v>-25.653369042184391</c:v>
                </c:pt>
                <c:pt idx="136">
                  <c:v>-25.311341131445793</c:v>
                </c:pt>
                <c:pt idx="137">
                  <c:v>-24.96585698436801</c:v>
                </c:pt>
                <c:pt idx="138">
                  <c:v>-24.617016615165603</c:v>
                </c:pt>
                <c:pt idx="139">
                  <c:v>-24.264920038053152</c:v>
                </c:pt>
                <c:pt idx="140">
                  <c:v>-23.909667267245226</c:v>
                </c:pt>
                <c:pt idx="141">
                  <c:v>-23.551358316956399</c:v>
                </c:pt>
                <c:pt idx="142">
                  <c:v>-23.190093201401243</c:v>
                </c:pt>
                <c:pt idx="143">
                  <c:v>-22.825971934794321</c:v>
                </c:pt>
                <c:pt idx="144">
                  <c:v>-22.459094531350214</c:v>
                </c:pt>
                <c:pt idx="145">
                  <c:v>-22.089561005283493</c:v>
                </c:pt>
                <c:pt idx="146">
                  <c:v>-21.717471370808724</c:v>
                </c:pt>
                <c:pt idx="147">
                  <c:v>-21.342925642140482</c:v>
                </c:pt>
                <c:pt idx="148">
                  <c:v>-20.966023833493338</c:v>
                </c:pt>
                <c:pt idx="149">
                  <c:v>-20.586865959081869</c:v>
                </c:pt>
                <c:pt idx="150">
                  <c:v>-20.20555203312064</c:v>
                </c:pt>
                <c:pt idx="151">
                  <c:v>-19.822182069824226</c:v>
                </c:pt>
                <c:pt idx="152">
                  <c:v>-19.436856083407193</c:v>
                </c:pt>
                <c:pt idx="153">
                  <c:v>-19.049674088084121</c:v>
                </c:pt>
                <c:pt idx="154">
                  <c:v>-18.660736098069577</c:v>
                </c:pt>
                <c:pt idx="155">
                  <c:v>-18.270142127578133</c:v>
                </c:pt>
                <c:pt idx="156">
                  <c:v>-17.877992190824362</c:v>
                </c:pt>
                <c:pt idx="157">
                  <c:v>-17.484386302022834</c:v>
                </c:pt>
                <c:pt idx="158">
                  <c:v>-17.089424475388125</c:v>
                </c:pt>
                <c:pt idx="159">
                  <c:v>-16.6932067251348</c:v>
                </c:pt>
                <c:pt idx="160">
                  <c:v>-16.295833065477435</c:v>
                </c:pt>
                <c:pt idx="161">
                  <c:v>-15.8974035106306</c:v>
                </c:pt>
                <c:pt idx="162">
                  <c:v>-15.498018074808869</c:v>
                </c:pt>
                <c:pt idx="163">
                  <c:v>-15.09777677222681</c:v>
                </c:pt>
                <c:pt idx="164">
                  <c:v>-14.696779617098997</c:v>
                </c:pt>
                <c:pt idx="165">
                  <c:v>-14.295126623640002</c:v>
                </c:pt>
                <c:pt idx="166">
                  <c:v>-13.892903783810139</c:v>
                </c:pt>
                <c:pt idx="167">
                  <c:v>-13.490141000552713</c:v>
                </c:pt>
                <c:pt idx="168">
                  <c:v>-13.08685415455677</c:v>
                </c:pt>
                <c:pt idx="169">
                  <c:v>-12.683059126511351</c:v>
                </c:pt>
                <c:pt idx="170">
                  <c:v>-12.278771797105508</c:v>
                </c:pt>
                <c:pt idx="171">
                  <c:v>-11.874008047028283</c:v>
                </c:pt>
                <c:pt idx="172">
                  <c:v>-11.468783756968723</c:v>
                </c:pt>
                <c:pt idx="173">
                  <c:v>-11.063114807615875</c:v>
                </c:pt>
                <c:pt idx="174">
                  <c:v>-10.657017079658784</c:v>
                </c:pt>
                <c:pt idx="175">
                  <c:v>-10.250506453786496</c:v>
                </c:pt>
                <c:pt idx="176">
                  <c:v>-9.8435988106880572</c:v>
                </c:pt>
                <c:pt idx="177">
                  <c:v>-9.4363100310525141</c:v>
                </c:pt>
                <c:pt idx="178">
                  <c:v>-9.0286559955689114</c:v>
                </c:pt>
                <c:pt idx="179">
                  <c:v>-8.6206525849262974</c:v>
                </c:pt>
                <c:pt idx="180">
                  <c:v>-8.2123156798137167</c:v>
                </c:pt>
                <c:pt idx="181">
                  <c:v>-7.8036611609202149</c:v>
                </c:pt>
                <c:pt idx="182">
                  <c:v>-7.3947049089348384</c:v>
                </c:pt>
                <c:pt idx="183">
                  <c:v>-6.9854628045466338</c:v>
                </c:pt>
                <c:pt idx="184">
                  <c:v>-6.5759507284446475</c:v>
                </c:pt>
                <c:pt idx="185">
                  <c:v>-6.166184561317924</c:v>
                </c:pt>
                <c:pt idx="186">
                  <c:v>-5.75618018385551</c:v>
                </c:pt>
                <c:pt idx="187">
                  <c:v>-5.3459534767464518</c:v>
                </c:pt>
                <c:pt idx="188">
                  <c:v>-4.935520320679796</c:v>
                </c:pt>
                <c:pt idx="189">
                  <c:v>-4.5248965963445871</c:v>
                </c:pt>
                <c:pt idx="190">
                  <c:v>-4.1140981844298716</c:v>
                </c:pt>
                <c:pt idx="191">
                  <c:v>-3.7031409656246961</c:v>
                </c:pt>
                <c:pt idx="192">
                  <c:v>-3.2920408206181064</c:v>
                </c:pt>
                <c:pt idx="193">
                  <c:v>-2.8808136300991487</c:v>
                </c:pt>
                <c:pt idx="194">
                  <c:v>-2.4694752747568689</c:v>
                </c:pt>
                <c:pt idx="195">
                  <c:v>-2.0580416352803126</c:v>
                </c:pt>
                <c:pt idx="196">
                  <c:v>-1.6465285923585262</c:v>
                </c:pt>
                <c:pt idx="197">
                  <c:v>-1.2349520266805558</c:v>
                </c:pt>
                <c:pt idx="198">
                  <c:v>-0.82332781893544715</c:v>
                </c:pt>
                <c:pt idx="199">
                  <c:v>-0.41167184981224658</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-59.999898573957836</c:v>
                </c:pt>
                <c:pt idx="1">
                  <c:v>-48.304090284066596</c:v>
                </c:pt>
                <c:pt idx="2">
                  <c:v>-41.637760530499037</c:v>
                </c:pt>
                <c:pt idx="3">
                  <c:v>-36.805825364540944</c:v>
                </c:pt>
                <c:pt idx="4">
                  <c:v>-30.301029676651819</c:v>
                </c:pt>
                <c:pt idx="5">
                  <c:v>-14.29512662364</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-59.935349370167387</c:v>
                </c:pt>
                <c:pt idx="1">
                  <c:v>-59.73960753924257</c:v>
                </c:pt>
                <c:pt idx="2">
                  <c:v>-59.543427842960227</c:v>
                </c:pt>
                <c:pt idx="3">
                  <c:v>-59.345780445024047</c:v>
                </c:pt>
                <c:pt idx="4">
                  <c:v>-59.145756240673563</c:v>
                </c:pt>
                <c:pt idx="5">
                  <c:v>-58.942559741023615</c:v>
                </c:pt>
                <c:pt idx="6">
                  <c:v>-58.735502208254275</c:v>
                </c:pt>
                <c:pt idx="7">
                  <c:v>-58.523995036433007</c:v>
                </c:pt>
                <c:pt idx="8">
                  <c:v>-58.307543372922282</c:v>
                </c:pt>
                <c:pt idx="9">
                  <c:v>-58.085739975298566</c:v>
                </c:pt>
                <c:pt idx="10">
                  <c:v>-57.858259298778648</c:v>
                </c:pt>
                <c:pt idx="11">
                  <c:v>-57.624851809204074</c:v>
                </c:pt>
                <c:pt idx="12">
                  <c:v>-57.385338516681486</c:v>
                </c:pt>
                <c:pt idx="13">
                  <c:v>-57.13960572501378</c:v>
                </c:pt>
                <c:pt idx="14">
                  <c:v>-56.887599992115611</c:v>
                </c:pt>
                <c:pt idx="15">
                  <c:v>-56.629323296653411</c:v>
                </c:pt>
                <c:pt idx="16">
                  <c:v>-56.364828406192373</c:v>
                </c:pt>
                <c:pt idx="17">
                  <c:v>-56.094214442197199</c:v>
                </c:pt>
                <c:pt idx="18">
                  <c:v>-55.817622637251588</c:v>
                </c:pt>
                <c:pt idx="19">
                  <c:v>-55.535232279945603</c:v>
                </c:pt>
                <c:pt idx="20">
                  <c:v>-55.247256842908428</c:v>
                </c:pt>
                <c:pt idx="21">
                  <c:v>-54.953940289499315</c:v>
                </c:pt>
                <c:pt idx="22">
                  <c:v>-54.655553554764083</c:v>
                </c:pt>
                <c:pt idx="23">
                  <c:v>-54.352391196240433</c:v>
                </c:pt>
                <c:pt idx="24">
                  <c:v>-54.044768210340635</c:v>
                </c:pt>
                <c:pt idx="25">
                  <c:v>-53.73301700995944</c:v>
                </c:pt>
                <c:pt idx="26">
                  <c:v>-53.417484559176614</c:v>
                </c:pt>
                <c:pt idx="27">
                  <c:v>-53.098529660755275</c:v>
                </c:pt>
                <c:pt idx="28">
                  <c:v>-52.776520392407633</c:v>
                </c:pt>
                <c:pt idx="29">
                  <c:v>-52.451831687680624</c:v>
                </c:pt>
                <c:pt idx="30">
                  <c:v>-52.124843057444423</c:v>
                </c:pt>
                <c:pt idx="31">
                  <c:v>-51.795936448001385</c:v>
                </c:pt>
                <c:pt idx="32">
                  <c:v>-51.465494231849561</c:v>
                </c:pt>
                <c:pt idx="33">
                  <c:v>-51.133897327254203</c:v>
                </c:pt>
                <c:pt idx="34">
                  <c:v>-50.801523442730968</c:v>
                </c:pt>
                <c:pt idx="35">
                  <c:v>-50.468745442689283</c:v>
                </c:pt>
                <c:pt idx="36">
                  <c:v>-50.13592983046351</c:v>
                </c:pt>
                <c:pt idx="37">
                  <c:v>-49.803435345041066</c:v>
                </c:pt>
                <c:pt idx="38">
                  <c:v>-49.471611667836783</c:v>
                </c:pt>
                <c:pt idx="39">
                  <c:v>-49.140798235918282</c:v>
                </c:pt>
                <c:pt idx="40">
                  <c:v>-48.811323158110667</c:v>
                </c:pt>
                <c:pt idx="41">
                  <c:v>-48.483502230495219</c:v>
                </c:pt>
                <c:pt idx="42">
                  <c:v>-48.157638047835803</c:v>
                </c:pt>
                <c:pt idx="43">
                  <c:v>-47.834019207516178</c:v>
                </c:pt>
                <c:pt idx="44">
                  <c:v>-47.512919602649049</c:v>
                </c:pt>
                <c:pt idx="45">
                  <c:v>-47.194597801020507</c:v>
                </c:pt>
                <c:pt idx="46">
                  <c:v>-46.879296506622325</c:v>
                </c:pt>
                <c:pt idx="47">
                  <c:v>-46.56724210054881</c:v>
                </c:pt>
                <c:pt idx="48">
                  <c:v>-46.258644258097206</c:v>
                </c:pt>
                <c:pt idx="49">
                  <c:v>-45.95369563894161</c:v>
                </c:pt>
                <c:pt idx="50">
                  <c:v>-45.652571647323612</c:v>
                </c:pt>
                <c:pt idx="51">
                  <c:v>-45.355430259225841</c:v>
                </c:pt>
                <c:pt idx="52">
                  <c:v>-45.062411913559458</c:v>
                </c:pt>
                <c:pt idx="53">
                  <c:v>-44.773639464438475</c:v>
                </c:pt>
                <c:pt idx="54">
                  <c:v>-44.489218191667931</c:v>
                </c:pt>
                <c:pt idx="55">
                  <c:v>-44.209235866602199</c:v>
                </c:pt>
                <c:pt idx="56">
                  <c:v>-43.933762870614686</c:v>
                </c:pt>
                <c:pt idx="57">
                  <c:v>-43.66285236342614</c:v>
                </c:pt>
                <c:pt idx="58">
                  <c:v>-43.396540498616673</c:v>
                </c:pt>
                <c:pt idx="59">
                  <c:v>-43.134846683685709</c:v>
                </c:pt>
                <c:pt idx="60">
                  <c:v>-42.877773882070073</c:v>
                </c:pt>
                <c:pt idx="61">
                  <c:v>-42.62530895457806</c:v>
                </c:pt>
                <c:pt idx="62">
                  <c:v>-42.377423037754113</c:v>
                </c:pt>
                <c:pt idx="63">
                  <c:v>-42.134071956728121</c:v>
                </c:pt>
                <c:pt idx="64">
                  <c:v>-41.895196670151449</c:v>
                </c:pt>
                <c:pt idx="65">
                  <c:v>-41.660723744881665</c:v>
                </c:pt>
                <c:pt idx="66">
                  <c:v>-41.430565858109048</c:v>
                </c:pt>
                <c:pt idx="67">
                  <c:v>-41.204622324681466</c:v>
                </c:pt>
                <c:pt idx="68">
                  <c:v>-40.982779647422248</c:v>
                </c:pt>
                <c:pt idx="69">
                  <c:v>-40.764912088290302</c:v>
                </c:pt>
                <c:pt idx="70">
                  <c:v>-40.550882258278321</c:v>
                </c:pt>
                <c:pt idx="71">
                  <c:v>-40.340541723988181</c:v>
                </c:pt>
                <c:pt idx="72">
                  <c:v>-40.133731628880369</c:v>
                </c:pt>
                <c:pt idx="73">
                  <c:v>-39.930283327234832</c:v>
                </c:pt>
                <c:pt idx="74">
                  <c:v>-39.730019028912423</c:v>
                </c:pt>
                <c:pt idx="75">
                  <c:v>-39.532752453052282</c:v>
                </c:pt>
                <c:pt idx="76">
                  <c:v>-39.338289488892485</c:v>
                </c:pt>
                <c:pt idx="77">
                  <c:v>-39.146428861945509</c:v>
                </c:pt>
                <c:pt idx="78">
                  <c:v>-38.956962803809255</c:v>
                </c:pt>
                <c:pt idx="79">
                  <c:v>-38.76967772394611</c:v>
                </c:pt>
                <c:pt idx="80">
                  <c:v>-38.584354881806917</c:v>
                </c:pt>
                <c:pt idx="81">
                  <c:v>-38.400771057724128</c:v>
                </c:pt>
                <c:pt idx="82">
                  <c:v>-38.218699221053051</c:v>
                </c:pt>
                <c:pt idx="83">
                  <c:v>-38.037909194080477</c:v>
                </c:pt>
                <c:pt idx="84">
                  <c:v>-37.8581683102745</c:v>
                </c:pt>
                <c:pt idx="85">
                  <c:v>-37.679242065494023</c:v>
                </c:pt>
                <c:pt idx="86">
                  <c:v>-37.500894760825176</c:v>
                </c:pt>
                <c:pt idx="87">
                  <c:v>-37.322890135763402</c:v>
                </c:pt>
                <c:pt idx="88">
                  <c:v>-37.144991990502419</c:v>
                </c:pt>
                <c:pt idx="89">
                  <c:v>-36.966964796145717</c:v>
                </c:pt>
                <c:pt idx="90">
                  <c:v>-36.788574291700058</c:v>
                </c:pt>
                <c:pt idx="91">
                  <c:v>-36.609588066760395</c:v>
                </c:pt>
                <c:pt idx="92">
                  <c:v>-36.429776128845276</c:v>
                </c:pt>
                <c:pt idx="93">
                  <c:v>-36.248911454387397</c:v>
                </c:pt>
                <c:pt idx="94">
                  <c:v>-36.0667705224336</c:v>
                </c:pt>
                <c:pt idx="95">
                  <c:v>-35.883133830158087</c:v>
                </c:pt>
                <c:pt idx="96">
                  <c:v>-35.697786389338418</c:v>
                </c:pt>
                <c:pt idx="97">
                  <c:v>-35.510518202994533</c:v>
                </c:pt>
                <c:pt idx="98">
                  <c:v>-35.321124721437101</c:v>
                </c:pt>
                <c:pt idx="99">
                  <c:v>-35.129407277022679</c:v>
                </c:pt>
                <c:pt idx="100">
                  <c:v>-34.935173496957944</c:v>
                </c:pt>
                <c:pt idx="101">
                  <c:v>-34.738237693546424</c:v>
                </c:pt>
                <c:pt idx="102">
                  <c:v>-34.538421231318395</c:v>
                </c:pt>
                <c:pt idx="103">
                  <c:v>-34.33555287053256</c:v>
                </c:pt>
                <c:pt idx="104">
                  <c:v>-34.129469086586781</c:v>
                </c:pt>
                <c:pt idx="105">
                  <c:v>-33.920014364923716</c:v>
                </c:pt>
                <c:pt idx="106">
                  <c:v>-33.707041471065153</c:v>
                </c:pt>
                <c:pt idx="107">
                  <c:v>-33.490411695456899</c:v>
                </c:pt>
                <c:pt idx="108">
                  <c:v>-33.269995072855011</c:v>
                </c:pt>
                <c:pt idx="109">
                  <c:v>-33.04567057603208</c:v>
                </c:pt>
                <c:pt idx="110">
                  <c:v>-32.817326283630464</c:v>
                </c:pt>
                <c:pt idx="111">
                  <c:v>-32.584859522037846</c:v>
                </c:pt>
                <c:pt idx="112">
                  <c:v>-32.348176981209015</c:v>
                </c:pt>
                <c:pt idx="113">
                  <c:v>-32.107194804405232</c:v>
                </c:pt>
                <c:pt idx="114">
                  <c:v>-31.861838651872446</c:v>
                </c:pt>
                <c:pt idx="115">
                  <c:v>-31.612043738525468</c:v>
                </c:pt>
                <c:pt idx="116">
                  <c:v>-31.357754845756336</c:v>
                </c:pt>
                <c:pt idx="117">
                  <c:v>-31.098926307530995</c:v>
                </c:pt>
                <c:pt idx="118">
                  <c:v>-30.835521970988307</c:v>
                </c:pt>
                <c:pt idx="119">
                  <c:v>-30.567515131802832</c:v>
                </c:pt>
                <c:pt idx="120">
                  <c:v>-30.294888444621485</c:v>
                </c:pt>
                <c:pt idx="121">
                  <c:v>-30.017633808932334</c:v>
                </c:pt>
                <c:pt idx="122">
                  <c:v>-29.735752230772267</c:v>
                </c:pt>
                <c:pt idx="123">
                  <c:v>-29.449253660728303</c:v>
                </c:pt>
                <c:pt idx="124">
                  <c:v>-29.158156808735797</c:v>
                </c:pt>
                <c:pt idx="125">
                  <c:v>-28.862488936225159</c:v>
                </c:pt>
                <c:pt idx="126">
                  <c:v>-28.562285626216685</c:v>
                </c:pt>
                <c:pt idx="127">
                  <c:v>-28.257590532011722</c:v>
                </c:pt>
                <c:pt idx="128">
                  <c:v>-27.948455105176592</c:v>
                </c:pt>
                <c:pt idx="129">
                  <c:v>-27.634938303563942</c:v>
                </c:pt>
                <c:pt idx="130">
                  <c:v>-27.317106280164271</c:v>
                </c:pt>
                <c:pt idx="131">
                  <c:v>-26.995032053629455</c:v>
                </c:pt>
                <c:pt idx="132">
                  <c:v>-26.66879516135727</c:v>
                </c:pt>
                <c:pt idx="133">
                  <c:v>-26.338481296075152</c:v>
                </c:pt>
                <c:pt idx="134">
                  <c:v>-26.004181926909375</c:v>
                </c:pt>
                <c:pt idx="135">
                  <c:v>-25.665993905973718</c:v>
                </c:pt>
                <c:pt idx="136">
                  <c:v>-25.324019061561089</c:v>
                </c:pt>
                <c:pt idx="137">
                  <c:v>-24.978363779068427</c:v>
                </c:pt>
                <c:pt idx="138">
                  <c:v>-24.62913857083479</c:v>
                </c:pt>
                <c:pt idx="139">
                  <c:v>-24.276457636120096</c:v>
                </c:pt>
                <c:pt idx="140">
                  <c:v>-23.920438412500317</c:v>
                </c:pt>
                <c:pt idx="141">
                  <c:v>-23.561201120003762</c:v>
                </c:pt>
                <c:pt idx="142">
                  <c:v>-23.198868299360583</c:v>
                </c:pt>
                <c:pt idx="143">
                  <c:v>-22.833564345786698</c:v>
                </c:pt>
                <c:pt idx="144">
                  <c:v>-22.465415039770981</c:v>
                </c:pt>
                <c:pt idx="145">
                  <c:v>-22.094547076383492</c:v>
                </c:pt>
                <c:pt idx="146">
                  <c:v>-21.721087594670117</c:v>
                </c:pt>
                <c:pt idx="147">
                  <c:v>-21.345163708747997</c:v>
                </c:pt>
                <c:pt idx="148">
                  <c:v>-20.966902042263836</c:v>
                </c:pt>
                <c:pt idx="149">
                  <c:v>-20.586428267925818</c:v>
                </c:pt>
                <c:pt idx="150">
                  <c:v>-20.203866653868108</c:v>
                </c:pt>
                <c:pt idx="151">
                  <c:v>-19.819339618655039</c:v>
                </c:pt>
                <c:pt idx="152">
                  <c:v>-19.432967296780618</c:v>
                </c:pt>
                <c:pt idx="153">
                  <c:v>-19.044867116567112</c:v>
                </c:pt>
                <c:pt idx="154">
                  <c:v>-18.655153392414842</c:v>
                </c:pt>
                <c:pt idx="155">
                  <c:v>-18.263936933403603</c:v>
                </c:pt>
                <c:pt idx="156">
                  <c:v>-17.871324670294413</c:v>
                </c:pt>
                <c:pt idx="157">
                  <c:v>-17.477419303028622</c:v>
                </c:pt>
                <c:pt idx="158">
                  <c:v>-17.082318970869622</c:v>
                </c:pt>
                <c:pt idx="159">
                  <c:v>-16.686116947380864</c:v>
                </c:pt>
                <c:pt idx="160">
                  <c:v>-16.288901362481926</c:v>
                </c:pt>
                <c:pt idx="161">
                  <c:v>-15.89075495387303</c:v>
                </c:pt>
                <c:pt idx="162">
                  <c:v>-15.491754850166263</c:v>
                </c:pt>
                <c:pt idx="163">
                  <c:v>-15.091972388110531</c:v>
                </c:pt>
                <c:pt idx="164">
                  <c:v>-14.691472966345131</c:v>
                </c:pt>
                <c:pt idx="165">
                  <c:v>-14.290315938165453</c:v>
                </c:pt>
                <c:pt idx="166">
                  <c:v>-13.888554545832395</c:v>
                </c:pt>
                <c:pt idx="167">
                  <c:v>-13.486235899005592</c:v>
                </c:pt>
                <c:pt idx="168">
                  <c:v>-13.083400999928589</c:v>
                </c:pt>
                <c:pt idx="169">
                  <c:v>-12.680084818042625</c:v>
                </c:pt>
                <c:pt idx="170">
                  <c:v>-12.276316416753872</c:v>
                </c:pt>
                <c:pt idx="171">
                  <c:v>-11.872119135127274</c:v>
                </c:pt>
                <c:pt idx="172">
                  <c:v>-11.467510827328468</c:v>
                </c:pt>
                <c:pt idx="173">
                  <c:v>-11.062504162683535</c:v>
                </c:pt>
                <c:pt idx="174">
                  <c:v>-10.657106989274645</c:v>
                </c:pt>
                <c:pt idx="175">
                  <c:v>-10.251322764037935</c:v>
                </c:pt>
                <c:pt idx="176">
                  <c:v>-9.8451510523782719</c:v>
                </c:pt>
                <c:pt idx="177">
                  <c:v>-9.4385881003638676</c:v>
                </c:pt>
                <c:pt idx="178">
                  <c:v>-9.03162748261194</c:v>
                </c:pt>
                <c:pt idx="179">
                  <c:v>-8.6242608290250313</c:v>
                </c:pt>
                <c:pt idx="180">
                  <c:v>-8.2164786335857407</c:v>
                </c:pt>
                <c:pt idx="181">
                  <c:v>-7.8082711484660736</c:v>
                </c:pt>
                <c:pt idx="182">
                  <c:v>-7.3996293667557893</c:v>
                </c:pt>
                <c:pt idx="183">
                  <c:v>-6.9905460971625093</c:v>
                </c:pt>
                <c:pt idx="184">
                  <c:v>-6.5810171340845747</c:v>
                </c:pt>
                <c:pt idx="185">
                  <c:v>-6.1710425265060227</c:v>
                </c:pt>
                <c:pt idx="186">
                  <c:v>-5.7606279492112531</c:v>
                </c:pt>
                <c:pt idx="187">
                  <c:v>-5.3497861798653146</c:v>
                </c:pt>
                <c:pt idx="188">
                  <c:v>-4.9385386855540556</c:v>
                </c:pt>
                <c:pt idx="189">
                  <c:v>-4.5269173224265939</c:v>
                </c:pt>
                <c:pt idx="190">
                  <c:v>-4.1149661521309557</c:v>
                </c:pt>
                <c:pt idx="191">
                  <c:v>-3.7027433787819568</c:v>
                </c:pt>
                <c:pt idx="192">
                  <c:v>-3.2903234102487664</c:v>
                </c:pt>
                <c:pt idx="193">
                  <c:v>-2.8777990475977857</c:v>
                </c:pt>
                <c:pt idx="194">
                  <c:v>-2.4652838065749103</c:v>
                </c:pt>
                <c:pt idx="195">
                  <c:v>-2.0529143750594097</c:v>
                </c:pt>
                <c:pt idx="196">
                  <c:v>-1.6408532104700426</c:v>
                </c:pt>
                <c:pt idx="197">
                  <c:v>-1.229291281152278</c:v>
                </c:pt>
                <c:pt idx="198">
                  <c:v>-0.81845095582381255</c:v>
                </c:pt>
                <c:pt idx="199">
                  <c:v>-0.40858904520386308</c:v>
                </c:pt>
                <c:pt idx="200">
                  <c:v>0</c:v>
                </c:pt>
              </c:numCache>
            </c:numRef>
          </c:yVal>
          <c:smooth val="1"/>
        </c:ser>
        <c:dLbls>
          <c:showLegendKey val="0"/>
          <c:showVal val="0"/>
          <c:showCatName val="0"/>
          <c:showSerName val="0"/>
          <c:showPercent val="0"/>
          <c:showBubbleSize val="0"/>
        </c:dLbls>
        <c:axId val="494070848"/>
        <c:axId val="494071240"/>
      </c:scatterChart>
      <c:valAx>
        <c:axId val="49407084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1240"/>
        <c:crossesAt val="-1000"/>
        <c:crossBetween val="midCat"/>
      </c:valAx>
      <c:valAx>
        <c:axId val="494071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7084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0.40784438600362422</v>
      </c>
      <c r="D59" s="55">
        <v>1</v>
      </c>
    </row>
    <row r="60" spans="1:4" s="11" customFormat="1" x14ac:dyDescent="0.25">
      <c r="A60" s="54">
        <v>2</v>
      </c>
      <c r="B60" s="56">
        <f>'Shiftfunktion bestimmen'!N2</f>
        <v>-8.0230319688245487E-4</v>
      </c>
      <c r="D60" s="55">
        <v>2</v>
      </c>
    </row>
    <row r="61" spans="1:4" s="11" customFormat="1" x14ac:dyDescent="0.25">
      <c r="A61" s="54">
        <v>3</v>
      </c>
      <c r="B61" s="56">
        <f>'Shiftfunktion bestimmen'!N3</f>
        <v>-5.9468083525383604E-5</v>
      </c>
      <c r="D61" s="55">
        <v>3</v>
      </c>
    </row>
    <row r="62" spans="1:4" s="11" customFormat="1" x14ac:dyDescent="0.25">
      <c r="A62" s="54">
        <v>4</v>
      </c>
      <c r="B62" s="56">
        <f>'Shiftfunktion bestimmen'!N4</f>
        <v>-1.8539074122763565E-6</v>
      </c>
      <c r="D62" s="55">
        <v>4</v>
      </c>
    </row>
    <row r="63" spans="1:4" s="11" customFormat="1" x14ac:dyDescent="0.25">
      <c r="A63" s="54">
        <v>5</v>
      </c>
      <c r="B63" s="56">
        <f>'Shiftfunktion bestimmen'!N5</f>
        <v>-3.0054609767946518E-8</v>
      </c>
      <c r="D63" s="55">
        <v>5</v>
      </c>
    </row>
    <row r="64" spans="1:4" s="11" customFormat="1" x14ac:dyDescent="0.25">
      <c r="A64" s="54">
        <v>6</v>
      </c>
      <c r="B64" s="56">
        <f>'Shiftfunktion bestimmen'!N6</f>
        <v>-2.3493969848766339E-10</v>
      </c>
      <c r="D64" s="55">
        <v>6</v>
      </c>
    </row>
    <row r="65" spans="1:5" s="11" customFormat="1" x14ac:dyDescent="0.25">
      <c r="A65" s="54">
        <v>7</v>
      </c>
      <c r="B65" s="56">
        <f>'Shiftfunktion bestimmen'!N7</f>
        <v>-8.6166967223073201E-13</v>
      </c>
      <c r="D65" s="55">
        <v>7</v>
      </c>
    </row>
    <row r="66" spans="1:5" x14ac:dyDescent="0.25">
      <c r="A66" s="54">
        <v>8</v>
      </c>
      <c r="B66" s="56">
        <f>'Shiftfunktion bestimmen'!N8</f>
        <v>-1.1978411640393912E-15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0.39501743006781931</v>
      </c>
      <c r="D74" s="51">
        <v>1</v>
      </c>
      <c r="E74" s="56">
        <f>'Mastercurve bestimmen'!A18</f>
        <v>1.0000000000000001E-20</v>
      </c>
    </row>
    <row r="75" spans="1:5" x14ac:dyDescent="0.25">
      <c r="A75" s="50">
        <f>A74+1</f>
        <v>2</v>
      </c>
      <c r="B75" s="56">
        <f>'Mastercurve bestimmen'!C19</f>
        <v>5.9661445570693118E-2</v>
      </c>
      <c r="D75" s="51">
        <v>2</v>
      </c>
      <c r="E75" s="56">
        <f>'Mastercurve bestimmen'!A19</f>
        <v>3.9038946506297401E-14</v>
      </c>
    </row>
    <row r="76" spans="1:5" x14ac:dyDescent="0.25">
      <c r="A76" s="50">
        <f t="shared" ref="A76:A104" si="0">A75+1</f>
        <v>3</v>
      </c>
      <c r="B76" s="56">
        <f>'Mastercurve bestimmen'!C20</f>
        <v>1.9174474308937255E-2</v>
      </c>
      <c r="D76" s="51">
        <v>3</v>
      </c>
      <c r="E76" s="56">
        <f>'Mastercurve bestimmen'!A20</f>
        <v>4.3276437088188502E-13</v>
      </c>
    </row>
    <row r="77" spans="1:5" x14ac:dyDescent="0.25">
      <c r="A77" s="50">
        <f t="shared" si="0"/>
        <v>4</v>
      </c>
      <c r="B77" s="56">
        <f>'Mastercurve bestimmen'!C21</f>
        <v>3.042813256492289E-2</v>
      </c>
      <c r="D77" s="51">
        <v>4</v>
      </c>
      <c r="E77" s="56">
        <f>'Mastercurve bestimmen'!A21</f>
        <v>4.7973886968128502E-12</v>
      </c>
    </row>
    <row r="78" spans="1:5" x14ac:dyDescent="0.25">
      <c r="A78" s="50">
        <f t="shared" si="0"/>
        <v>5</v>
      </c>
      <c r="B78" s="56">
        <f>'Mastercurve bestimmen'!C22</f>
        <v>3.3546614570255213E-2</v>
      </c>
      <c r="D78" s="51">
        <v>5</v>
      </c>
      <c r="E78" s="56">
        <f>'Mastercurve bestimmen'!A22</f>
        <v>5.31812225239524E-11</v>
      </c>
    </row>
    <row r="79" spans="1:5" x14ac:dyDescent="0.25">
      <c r="A79" s="50">
        <f t="shared" si="0"/>
        <v>6</v>
      </c>
      <c r="B79" s="56">
        <f>'Mastercurve bestimmen'!C23</f>
        <v>3.6056553536874446E-2</v>
      </c>
      <c r="D79" s="51">
        <v>6</v>
      </c>
      <c r="E79" s="56">
        <f>'Mastercurve bestimmen'!A23</f>
        <v>5.8953789402578301E-10</v>
      </c>
    </row>
    <row r="80" spans="1:5" x14ac:dyDescent="0.25">
      <c r="A80" s="50">
        <f t="shared" si="0"/>
        <v>7</v>
      </c>
      <c r="B80" s="56">
        <f>'Mastercurve bestimmen'!C24</f>
        <v>4.1431742608178009E-2</v>
      </c>
      <c r="D80" s="51">
        <v>7</v>
      </c>
      <c r="E80" s="56">
        <f>'Mastercurve bestimmen'!A24</f>
        <v>6.5352940755699598E-9</v>
      </c>
    </row>
    <row r="81" spans="1:5" x14ac:dyDescent="0.25">
      <c r="A81" s="50">
        <f t="shared" si="0"/>
        <v>8</v>
      </c>
      <c r="B81" s="56">
        <f>'Mastercurve bestimmen'!C25</f>
        <v>4.558861375636767E-2</v>
      </c>
      <c r="D81" s="51">
        <v>8</v>
      </c>
      <c r="E81" s="56">
        <f>'Mastercurve bestimmen'!A25</f>
        <v>7.2446689325643296E-8</v>
      </c>
    </row>
    <row r="82" spans="1:5" x14ac:dyDescent="0.25">
      <c r="A82" s="50">
        <f t="shared" si="0"/>
        <v>9</v>
      </c>
      <c r="B82" s="56">
        <f>'Mastercurve bestimmen'!C26</f>
        <v>5.454765248808658E-2</v>
      </c>
      <c r="D82" s="51">
        <f>A82</f>
        <v>9</v>
      </c>
      <c r="E82" s="56">
        <f>'Mastercurve bestimmen'!A26</f>
        <v>8.03104303120212E-7</v>
      </c>
    </row>
    <row r="83" spans="1:5" x14ac:dyDescent="0.25">
      <c r="A83" s="50">
        <f t="shared" si="0"/>
        <v>10</v>
      </c>
      <c r="B83" s="56">
        <f>'Mastercurve bestimmen'!C27</f>
        <v>6.3488731508467941E-2</v>
      </c>
      <c r="C83" s="11"/>
      <c r="D83" s="51">
        <f t="shared" ref="D83:D104" si="1">A83</f>
        <v>10</v>
      </c>
      <c r="E83" s="56">
        <f>'Mastercurve bestimmen'!A27</f>
        <v>8.9027742702096099E-6</v>
      </c>
    </row>
    <row r="84" spans="1:5" x14ac:dyDescent="0.25">
      <c r="A84" s="50">
        <f t="shared" si="0"/>
        <v>11</v>
      </c>
      <c r="B84" s="56">
        <f>'Mastercurve bestimmen'!C28</f>
        <v>6.4437498796687767E-2</v>
      </c>
      <c r="C84" s="11"/>
      <c r="D84" s="51">
        <f t="shared" si="1"/>
        <v>11</v>
      </c>
      <c r="E84" s="56">
        <f>'Mastercurve bestimmen'!A28</f>
        <v>9.86912775817142E-5</v>
      </c>
    </row>
    <row r="85" spans="1:5" x14ac:dyDescent="0.25">
      <c r="A85" s="50">
        <f t="shared" si="0"/>
        <v>12</v>
      </c>
      <c r="B85" s="56">
        <f>'Mastercurve bestimmen'!C29</f>
        <v>5.0984711138190433E-2</v>
      </c>
      <c r="C85" s="11"/>
      <c r="D85" s="51">
        <f t="shared" si="1"/>
        <v>12</v>
      </c>
      <c r="E85" s="56">
        <f>'Mastercurve bestimmen'!A29</f>
        <v>1.0940374286813801E-3</v>
      </c>
    </row>
    <row r="86" spans="1:5" x14ac:dyDescent="0.25">
      <c r="A86" s="50">
        <f t="shared" si="0"/>
        <v>13</v>
      </c>
      <c r="B86" s="56">
        <f>'Mastercurve bestimmen'!C30</f>
        <v>3.1725580310806592E-2</v>
      </c>
      <c r="C86" s="11"/>
      <c r="D86" s="51">
        <f t="shared" si="1"/>
        <v>13</v>
      </c>
      <c r="E86" s="56">
        <f>'Mastercurve bestimmen'!A30</f>
        <v>1.2127899493091E-2</v>
      </c>
    </row>
    <row r="87" spans="1:5" x14ac:dyDescent="0.25">
      <c r="A87" s="50">
        <f t="shared" si="0"/>
        <v>14</v>
      </c>
      <c r="B87" s="56">
        <f>'Mastercurve bestimmen'!C31</f>
        <v>1.5443830992985543E-2</v>
      </c>
      <c r="C87" s="11"/>
      <c r="D87" s="51">
        <f t="shared" si="1"/>
        <v>14</v>
      </c>
      <c r="E87" s="56">
        <f>'Mastercurve bestimmen'!A31</f>
        <v>0.13444324870292301</v>
      </c>
    </row>
    <row r="88" spans="1:5" x14ac:dyDescent="0.25">
      <c r="A88" s="50">
        <f t="shared" si="0"/>
        <v>15</v>
      </c>
      <c r="B88" s="56">
        <f>'Mastercurve bestimmen'!C32</f>
        <v>7.0696001208784189E-3</v>
      </c>
      <c r="C88" s="11"/>
      <c r="D88" s="51">
        <f t="shared" si="1"/>
        <v>15</v>
      </c>
      <c r="E88" s="56">
        <f>'Mastercurve bestimmen'!A32</f>
        <v>1.49036419143257</v>
      </c>
    </row>
    <row r="89" spans="1:5" x14ac:dyDescent="0.25">
      <c r="A89" s="50">
        <f t="shared" si="0"/>
        <v>16</v>
      </c>
      <c r="B89" s="56">
        <f>'Mastercurve bestimmen'!C33</f>
        <v>3.5043206729719373E-3</v>
      </c>
      <c r="C89" s="11"/>
      <c r="D89" s="51">
        <f t="shared" si="1"/>
        <v>16</v>
      </c>
      <c r="E89" s="56">
        <f>'Mastercurve bestimmen'!A33</f>
        <v>16.521360830937301</v>
      </c>
    </row>
    <row r="90" spans="1:5" x14ac:dyDescent="0.25">
      <c r="A90" s="50">
        <f t="shared" si="0"/>
        <v>17</v>
      </c>
      <c r="B90" s="56">
        <f>'Mastercurve bestimmen'!C34</f>
        <v>2.9646797109614421E-3</v>
      </c>
      <c r="C90" s="11"/>
      <c r="D90" s="51">
        <f t="shared" si="1"/>
        <v>17</v>
      </c>
      <c r="E90" s="56">
        <f>'Mastercurve bestimmen'!A34</f>
        <v>183.146753843879</v>
      </c>
    </row>
    <row r="91" spans="1:5" x14ac:dyDescent="0.25">
      <c r="A91" s="50">
        <f t="shared" si="0"/>
        <v>18</v>
      </c>
      <c r="B91" s="56">
        <f>'Mastercurve bestimmen'!C35</f>
        <v>0</v>
      </c>
      <c r="C91" s="11"/>
      <c r="D91" s="51">
        <f t="shared" si="1"/>
        <v>18</v>
      </c>
      <c r="E91" s="56">
        <f>'Mastercurve bestimmen'!A35</f>
        <v>2030.26456396616</v>
      </c>
    </row>
    <row r="92" spans="1:5" x14ac:dyDescent="0.25">
      <c r="A92" s="50">
        <f t="shared" si="0"/>
        <v>19</v>
      </c>
      <c r="B92" s="56">
        <f>'Mastercurve bestimmen'!C36</f>
        <v>3.098114236407119E-3</v>
      </c>
      <c r="C92" s="11"/>
      <c r="D92" s="51">
        <f t="shared" si="1"/>
        <v>19</v>
      </c>
      <c r="E92" s="56">
        <f>'Mastercurve bestimmen'!A36</f>
        <v>22506.400540467101</v>
      </c>
    </row>
    <row r="93" spans="1:5" x14ac:dyDescent="0.25">
      <c r="A93" s="50">
        <f t="shared" si="0"/>
        <v>20</v>
      </c>
      <c r="B93" s="56">
        <f>'Mastercurve bestimmen'!C37</f>
        <v>1.3450651080742435E-3</v>
      </c>
      <c r="C93" s="11"/>
      <c r="D93" s="51">
        <f t="shared" si="1"/>
        <v>20</v>
      </c>
      <c r="E93" s="56">
        <f>'Mastercurve bestimmen'!A37</f>
        <v>249493.62476110301</v>
      </c>
    </row>
    <row r="94" spans="1:5" x14ac:dyDescent="0.25">
      <c r="A94" s="50">
        <f t="shared" si="0"/>
        <v>21</v>
      </c>
      <c r="B94" s="56">
        <f>'Mastercurve bestimmen'!C38</f>
        <v>1.5999872696703847E-4</v>
      </c>
      <c r="C94" s="11"/>
      <c r="D94" s="51">
        <f t="shared" si="1"/>
        <v>21</v>
      </c>
      <c r="E94" s="56">
        <f>'Mastercurve bestimmen'!A38</f>
        <v>2765749.6224023802</v>
      </c>
    </row>
    <row r="95" spans="1:5" x14ac:dyDescent="0.25">
      <c r="A95" s="50">
        <f t="shared" si="0"/>
        <v>22</v>
      </c>
      <c r="B95" s="56">
        <f>'Mastercurve bestimmen'!C39</f>
        <v>0</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1.1033683083565872E-4</v>
      </c>
      <c r="C97" s="11"/>
      <c r="D97" s="51">
        <f t="shared" si="1"/>
        <v>24</v>
      </c>
      <c r="E97" s="56">
        <f>'Mastercurve bestimmen'!A41</f>
        <v>1000000000</v>
      </c>
    </row>
    <row r="98" spans="1:5" x14ac:dyDescent="0.25">
      <c r="A98" s="50">
        <f t="shared" si="0"/>
        <v>25</v>
      </c>
      <c r="B98" s="56">
        <f>'Mastercurve bestimmen'!C42</f>
        <v>5.3430093526516889E-5</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1.1249816087007928E-3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12">
        <f>STUTT!D8</f>
        <v>5614.1607000000004</v>
      </c>
      <c r="D113" s="112"/>
    </row>
    <row r="114" spans="1:4" s="11" customFormat="1" x14ac:dyDescent="0.25">
      <c r="A114" s="61" t="str">
        <f>STUTT!B9</f>
        <v>MP,GXY,</v>
      </c>
      <c r="B114" s="52" t="str">
        <f>STUTT!C9</f>
        <v>MatID,</v>
      </c>
      <c r="C114" s="112">
        <f>STUTT!D9</f>
        <v>6353.6364000000003</v>
      </c>
      <c r="D114" s="112"/>
    </row>
    <row r="115" spans="1:4" x14ac:dyDescent="0.25">
      <c r="A115" s="61" t="str">
        <f>STUTT!B10</f>
        <v>MP,GYZ,</v>
      </c>
      <c r="B115" s="52" t="str">
        <f>STUTT!C10</f>
        <v>MatID,</v>
      </c>
      <c r="C115" s="112">
        <f>STUTT!D10</f>
        <v>6353.6364000000003</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5"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89">
        <f>(INDEX(L:L,ROW(L2)*2+1)+INDEX(L:L,ROW(L2)*2+2))/2</f>
        <v>2.4226182285714289E-5</v>
      </c>
      <c r="P5" s="89">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89">
        <f t="shared" ref="O6:O7" si="2">(INDEX(L:L,ROW(L3)*2+1)+INDEX(L:L,ROW(L3)*2+2))/2</f>
        <v>2.6648912571428573E-5</v>
      </c>
      <c r="P6" s="89">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89">
        <f t="shared" si="2"/>
        <v>5.1568891714285722E-5</v>
      </c>
      <c r="P7" s="89">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89">
        <f t="shared" ref="O8:O9" si="4">(INDEX(L:L,ROW(L5)*2+1)+INDEX(L:L,ROW(L5)*2+2))/2</f>
        <v>7.4083502857142863E-5</v>
      </c>
      <c r="P8" s="89">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89">
        <f t="shared" si="4"/>
        <v>7.3900625714285717E-5</v>
      </c>
      <c r="P9" s="89">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16" zoomScale="120" zoomScaleNormal="120" zoomScaleSheetLayoutView="110" workbookViewId="0">
      <selection activeCell="D67" sqref="D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3448.2859181540075</v>
      </c>
      <c r="G16" s="26">
        <f>INDEX(Comparison!$AM$3:$AS$33,G14,$B$3)</f>
        <v>3239.5923652397146</v>
      </c>
      <c r="H16" s="26">
        <f>INDEX(Comparison!$AM$3:$AS$33,H14,$B$3)</f>
        <v>3081.9689442141253</v>
      </c>
      <c r="I16" s="26">
        <f>INDEX(Comparison!$AM$3:$AS$33,I14,$B$3)</f>
        <v>2925.1274026703973</v>
      </c>
      <c r="J16" s="26">
        <f>INDEX(Comparison!$AM$3:$AS$33,J14,$B$3)</f>
        <v>2768.6775302611704</v>
      </c>
      <c r="K16" s="26">
        <f>INDEX(Comparison!$AM$3:$AS$33,K14,$B$3)</f>
        <v>2587.8715481120807</v>
      </c>
      <c r="L16" s="26">
        <f>INDEX(Comparison!$AM$3:$AS$33,L14,$B$3)</f>
        <v>2392.4689452404186</v>
      </c>
      <c r="M16" s="26">
        <f>INDEX(Comparison!$AM$3:$AS$33,M14,$B$3)</f>
        <v>2172.7822789963197</v>
      </c>
      <c r="N16" s="26">
        <f>INDEX(Comparison!$AM$3:$AS$33,N14,$B$3)</f>
        <v>1927.9643975704516</v>
      </c>
      <c r="O16" s="26">
        <f>INDEX(Comparison!$AM$3:$AS$33,O14,$B$3)</f>
        <v>1643.6970338003</v>
      </c>
      <c r="P16" s="26">
        <f>INDEX(Comparison!$AM$3:$AS$33,P14,$B$3)</f>
        <v>1319.6710728146086</v>
      </c>
      <c r="Q16" s="26">
        <f>INDEX(Comparison!$AM$3:$AS$33,Q14,$B$3)</f>
        <v>983.6154232764427</v>
      </c>
      <c r="R16" s="26">
        <f>INDEX(Comparison!$AM$3:$AS$33,R14,$B$3)</f>
        <v>693.66104788005293</v>
      </c>
      <c r="S16" s="26">
        <f>INDEX(Comparison!$AM$3:$AS$33,S14,$B$3)</f>
        <v>485.93999274200024</v>
      </c>
      <c r="T16" s="26">
        <f>INDEX(Comparison!$AM$3:$AS$33,T14,$B$3)</f>
        <v>367.37990571310178</v>
      </c>
      <c r="U16" s="26">
        <f>INDEX(Comparison!$AM$3:$AS$33,U14,$B$3)</f>
        <v>307.17178720865763</v>
      </c>
      <c r="V16" s="26">
        <f>INDEX(Comparison!$AM$3:$AS$33,V14,$B$3)</f>
        <v>279.06842494658031</v>
      </c>
      <c r="W16" s="26">
        <f>INDEX(Comparison!$AM$3:$AS$33,W14,$B$3)</f>
        <v>261.67169004040318</v>
      </c>
      <c r="X16" s="26">
        <f>INDEX(Comparison!$AM$3:$AS$33,X14,$B$3)</f>
        <v>251.34674819282765</v>
      </c>
      <c r="Y16" s="26">
        <f>INDEX(Comparison!$AM$3:$AS$33,Y14,$B$3)</f>
        <v>246.12933837944422</v>
      </c>
      <c r="Z16" s="26">
        <f>INDEX(Comparison!$AM$3:$AS$33,Z14,$B$3)</f>
        <v>232.30454015462297</v>
      </c>
      <c r="AA16" s="26">
        <f>INDEX(Comparison!$AM$3:$AS$33,AA14,$B$3)</f>
        <v>227.24083682489959</v>
      </c>
      <c r="AB16" s="26">
        <f>INDEX(Comparison!$AM$3:$AS$33,AB14,$B$3)</f>
        <v>226.40989093990805</v>
      </c>
      <c r="AC16" s="26">
        <f>INDEX(Comparison!$AM$3:$AS$33,AC14,$B$3)</f>
        <v>226.30209993218824</v>
      </c>
      <c r="AD16" s="26">
        <f>INDEX(Comparison!$AM$3:$AS$33,AD14,$B$3)</f>
        <v>225.971358220734</v>
      </c>
      <c r="AE16" s="26">
        <f>INDEX(Comparison!$AM$3:$AS$33,AE14,$B$3)</f>
        <v>225.60625299057205</v>
      </c>
      <c r="AF16" s="26">
        <f>INDEX(Comparison!$AM$3:$AS$33,AF14,$B$3)</f>
        <v>225.49131077609314</v>
      </c>
      <c r="AG16" s="26">
        <f>INDEX(Comparison!$AM$3:$AS$33,AG14,$B$3)</f>
        <v>225.3813329804162</v>
      </c>
      <c r="AH16" s="26">
        <f>INDEX(Comparison!$AM$3:$AS$33,AH14,$B$3)</f>
        <v>225.28846256587596</v>
      </c>
      <c r="AI16" s="26">
        <f>INDEX(Comparison!$AM$3:$AS$33,AI14,$B$3)</f>
        <v>225.26138301118297</v>
      </c>
      <c r="AJ16" s="26">
        <f>INDEX(Comparison!$AM$3:$AS$33,AJ14,$B$3)</f>
        <v>225.24704548920718</v>
      </c>
    </row>
    <row r="17" spans="1:36" x14ac:dyDescent="0.25">
      <c r="A17" s="14" t="s">
        <v>20</v>
      </c>
      <c r="B17" s="105">
        <v>2.1921481613049174E-2</v>
      </c>
      <c r="C17" s="18">
        <f t="shared" ref="C17:C48" si="3">ABS(B17/$B$49)</f>
        <v>3.9036460671403851E-2</v>
      </c>
      <c r="D17" s="66"/>
      <c r="E17" s="65" t="s">
        <v>22</v>
      </c>
      <c r="F17" s="27">
        <f>($C$17+SUM(F18:F48))*$B$51</f>
        <v>3387.7104697731975</v>
      </c>
      <c r="G17" s="27">
        <f t="shared" ref="G17:M17" si="4">($C$17+SUM(G18:G48))*$B$51</f>
        <v>3317.9245130313029</v>
      </c>
      <c r="H17" s="27">
        <f t="shared" si="4"/>
        <v>3061.2476425685777</v>
      </c>
      <c r="I17" s="27">
        <f t="shared" si="4"/>
        <v>2928.5161380842824</v>
      </c>
      <c r="J17" s="27">
        <f t="shared" si="4"/>
        <v>2768.2062945503376</v>
      </c>
      <c r="K17" s="27">
        <f t="shared" si="4"/>
        <v>2587.9251040865133</v>
      </c>
      <c r="L17" s="27">
        <f t="shared" si="4"/>
        <v>2392.4630131418744</v>
      </c>
      <c r="M17" s="27">
        <f t="shared" si="4"/>
        <v>2172.8074481553899</v>
      </c>
      <c r="N17" s="27">
        <f t="shared" ref="N17" si="5">($C$17+SUM(N18:N48))*$B$51</f>
        <v>1927.8735863638851</v>
      </c>
      <c r="O17" s="27">
        <f t="shared" ref="O17" si="6">($C$17+SUM(O18:O48))*$B$51</f>
        <v>1643.8649380366073</v>
      </c>
      <c r="P17" s="27">
        <f t="shared" ref="P17" si="7">($C$17+SUM(P18:P48))*$B$51</f>
        <v>1319.3628051829546</v>
      </c>
      <c r="Q17" s="27">
        <f t="shared" ref="Q17" si="8">($C$17+SUM(Q18:Q48))*$B$51</f>
        <v>984.09958125379353</v>
      </c>
      <c r="R17" s="27">
        <f t="shared" ref="R17" si="9">($C$17+SUM(R18:R48))*$B$51</f>
        <v>693.05856667808882</v>
      </c>
      <c r="S17" s="27">
        <f t="shared" ref="S17:T17" si="10">($C$17+SUM(S18:S48))*$B$51</f>
        <v>486.57520037642672</v>
      </c>
      <c r="T17" s="27">
        <f t="shared" si="10"/>
        <v>366.79671943153625</v>
      </c>
      <c r="U17" s="27">
        <f t="shared" ref="U17" si="11">($C$17+SUM(U18:U48))*$B$51</f>
        <v>307.64710414964782</v>
      </c>
      <c r="V17" s="27">
        <f t="shared" ref="V17" si="12">($C$17+SUM(V18:V48))*$B$51</f>
        <v>278.77569112593704</v>
      </c>
      <c r="W17" s="27">
        <f t="shared" ref="W17" si="13">($C$17+SUM(W18:W48))*$B$51</f>
        <v>261.84252826552699</v>
      </c>
      <c r="X17" s="27">
        <f t="shared" ref="X17" si="14">($C$17+SUM(X18:X48))*$B$51</f>
        <v>251.5195452751037</v>
      </c>
      <c r="Y17" s="27">
        <f t="shared" ref="Y17" si="15">($C$17+SUM(Y18:Y48))*$B$51</f>
        <v>245.69560215935047</v>
      </c>
      <c r="Z17" s="27">
        <f t="shared" ref="Z17:AA17" si="16">($C$17+SUM(Z18:Z48))*$B$51</f>
        <v>232.52077430867922</v>
      </c>
      <c r="AA17" s="27">
        <f t="shared" si="16"/>
        <v>227.15445955498279</v>
      </c>
      <c r="AB17" s="27">
        <f t="shared" ref="AB17" si="17">($C$17+SUM(AB18:AB48))*$B$51</f>
        <v>226.4099037919128</v>
      </c>
      <c r="AC17" s="27">
        <f t="shared" ref="AC17" si="18">($C$17+SUM(AC18:AC48))*$B$51</f>
        <v>226.330271631279</v>
      </c>
      <c r="AD17" s="27">
        <f t="shared" ref="AD17" si="19">($C$17+SUM(AD18:AD48))*$B$51</f>
        <v>225.97209238896627</v>
      </c>
      <c r="AE17" s="27">
        <f t="shared" ref="AE17" si="20">($C$17+SUM(AE18:AE48))*$B$51</f>
        <v>225.58316371624895</v>
      </c>
      <c r="AF17" s="27">
        <f t="shared" ref="AF17" si="21">($C$17+SUM(AF18:AF48))*$B$51</f>
        <v>225.47274136471822</v>
      </c>
      <c r="AG17" s="27">
        <f t="shared" ref="AG17:AH17" si="22">($C$17+SUM(AG18:AG48))*$B$51</f>
        <v>225.47215935310638</v>
      </c>
      <c r="AH17" s="27">
        <f t="shared" si="22"/>
        <v>225.46647823360752</v>
      </c>
      <c r="AI17" s="27">
        <f t="shared" ref="AI17" si="23">($C$17+SUM(AI18:AI48))*$B$51</f>
        <v>225.40994737028922</v>
      </c>
      <c r="AJ17" s="27">
        <f t="shared" ref="AJ17" si="24">($C$17+SUM(AJ18:AJ48))*$B$51</f>
        <v>224.87176044873647</v>
      </c>
    </row>
    <row r="18" spans="1:36" x14ac:dyDescent="0.25">
      <c r="A18" s="3">
        <f>0.000000000000001/10^5</f>
        <v>1.0000000000000001E-20</v>
      </c>
      <c r="B18" s="106">
        <v>0.22182767548926524</v>
      </c>
      <c r="C18" s="18">
        <f t="shared" si="3"/>
        <v>0.39501743006781931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3.3503736240205841E-2</v>
      </c>
      <c r="C19" s="18">
        <f t="shared" si="3"/>
        <v>5.9661445570693118E-2</v>
      </c>
      <c r="D19" s="17"/>
      <c r="F19" s="3">
        <f t="shared" si="25"/>
        <v>5.8152598470264043E-2</v>
      </c>
      <c r="G19" s="3">
        <f t="shared" si="25"/>
        <v>4.6179295839281854E-2</v>
      </c>
      <c r="H19" s="3">
        <f t="shared" si="25"/>
        <v>4.6049945023945741E-3</v>
      </c>
      <c r="I19" s="3">
        <f t="shared" si="25"/>
        <v>4.477619789209983E-13</v>
      </c>
      <c r="J19" s="3">
        <f t="shared" si="25"/>
        <v>3.3824250793720582E-113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1.0767699703655934E-2</v>
      </c>
      <c r="C20" s="18">
        <f t="shared" si="3"/>
        <v>1.9174474308937255E-2</v>
      </c>
      <c r="D20" s="17"/>
      <c r="F20" s="3">
        <f t="shared" si="25"/>
        <v>1.9130218498684529E-2</v>
      </c>
      <c r="G20" s="3">
        <f t="shared" si="25"/>
        <v>1.8736484554712666E-2</v>
      </c>
      <c r="H20" s="3">
        <f t="shared" si="25"/>
        <v>1.5218431692124147E-2</v>
      </c>
      <c r="I20" s="3">
        <f t="shared" si="25"/>
        <v>1.9019005251644241E-3</v>
      </c>
      <c r="J20" s="3">
        <f t="shared" si="25"/>
        <v>1.7675299797709102E-12</v>
      </c>
      <c r="K20" s="3">
        <f t="shared" si="25"/>
        <v>8.494869136682089E-103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1.7087352107974595E-2</v>
      </c>
      <c r="C21" s="18">
        <f t="shared" si="3"/>
        <v>3.042813256492289E-2</v>
      </c>
      <c r="D21" s="17"/>
      <c r="F21" s="3">
        <f t="shared" si="25"/>
        <v>3.0421790581109266E-2</v>
      </c>
      <c r="G21" s="3">
        <f t="shared" si="25"/>
        <v>3.0364772176000056E-2</v>
      </c>
      <c r="H21" s="3">
        <f t="shared" si="25"/>
        <v>2.9800432907924019E-2</v>
      </c>
      <c r="I21" s="3">
        <f t="shared" si="25"/>
        <v>2.4702905318908418E-2</v>
      </c>
      <c r="J21" s="3">
        <f t="shared" si="25"/>
        <v>3.7844488629082754E-3</v>
      </c>
      <c r="K21" s="3">
        <f t="shared" si="25"/>
        <v>2.6949376106317414E-11</v>
      </c>
      <c r="L21" s="3">
        <f t="shared" si="25"/>
        <v>9.0366915299986959E-93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1.8838580184617201E-2</v>
      </c>
      <c r="C22" s="18">
        <f t="shared" si="3"/>
        <v>3.3546614570255213E-2</v>
      </c>
      <c r="D22" s="17"/>
      <c r="F22" s="3">
        <f t="shared" si="25"/>
        <v>3.354598377807743E-2</v>
      </c>
      <c r="G22" s="3">
        <f t="shared" si="25"/>
        <v>3.3540307182198782E-2</v>
      </c>
      <c r="H22" s="3">
        <f t="shared" si="25"/>
        <v>3.3483594028729913E-2</v>
      </c>
      <c r="I22" s="3">
        <f t="shared" si="25"/>
        <v>3.2921710110319198E-2</v>
      </c>
      <c r="J22" s="3">
        <f t="shared" si="25"/>
        <v>2.7796209353605609E-2</v>
      </c>
      <c r="K22" s="3">
        <f t="shared" si="25"/>
        <v>5.1170239493524491E-3</v>
      </c>
      <c r="L22" s="3">
        <f t="shared" si="25"/>
        <v>2.2873688669867374E-10</v>
      </c>
      <c r="M22" s="3">
        <f t="shared" si="25"/>
        <v>7.2865804881991986E-84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2.024807223282753E-2</v>
      </c>
      <c r="C23" s="18">
        <f t="shared" si="3"/>
        <v>3.6056553536874446E-2</v>
      </c>
      <c r="D23" s="17"/>
      <c r="F23" s="3">
        <f t="shared" si="25"/>
        <v>3.6056492376220786E-2</v>
      </c>
      <c r="G23" s="3">
        <f t="shared" si="25"/>
        <v>3.6055941935006261E-2</v>
      </c>
      <c r="H23" s="3">
        <f t="shared" si="25"/>
        <v>3.605043798500919E-2</v>
      </c>
      <c r="I23" s="3">
        <f t="shared" si="25"/>
        <v>3.5995444673759057E-2</v>
      </c>
      <c r="J23" s="3">
        <f t="shared" si="25"/>
        <v>3.5450104449854608E-2</v>
      </c>
      <c r="K23" s="3">
        <f t="shared" si="25"/>
        <v>3.0431073987947695E-2</v>
      </c>
      <c r="L23" s="3">
        <f t="shared" si="25"/>
        <v>6.6117266218967069E-3</v>
      </c>
      <c r="M23" s="3">
        <f t="shared" si="25"/>
        <v>1.5498546537727995E-9</v>
      </c>
      <c r="N23" s="3">
        <f t="shared" si="25"/>
        <v>7.7633971848354062E-76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2.3266586369780573E-2</v>
      </c>
      <c r="C24" s="18">
        <f t="shared" si="3"/>
        <v>4.1431742608178009E-2</v>
      </c>
      <c r="D24" s="17"/>
      <c r="F24" s="3">
        <f t="shared" si="25"/>
        <v>4.1431736268487868E-2</v>
      </c>
      <c r="G24" s="3">
        <f t="shared" si="25"/>
        <v>4.1431679211320224E-2</v>
      </c>
      <c r="H24" s="3">
        <f t="shared" si="25"/>
        <v>4.1431108643965438E-2</v>
      </c>
      <c r="I24" s="3">
        <f t="shared" si="25"/>
        <v>4.142540340255918E-2</v>
      </c>
      <c r="J24" s="3">
        <f t="shared" si="25"/>
        <v>4.1368394180642913E-2</v>
      </c>
      <c r="K24" s="3">
        <f t="shared" si="25"/>
        <v>4.0802599248779735E-2</v>
      </c>
      <c r="L24" s="3">
        <f t="shared" si="25"/>
        <v>3.555326569996084E-2</v>
      </c>
      <c r="M24" s="3">
        <f t="shared" si="25"/>
        <v>8.9700772812453845E-3</v>
      </c>
      <c r="N24" s="3">
        <f t="shared" si="25"/>
        <v>9.3748223574788907E-9</v>
      </c>
      <c r="O24" s="3">
        <f t="shared" si="25"/>
        <v>1.4575775508982849E-68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2.56009366893424E-2</v>
      </c>
      <c r="C25" s="18">
        <f t="shared" si="3"/>
        <v>4.558861375636767E-2</v>
      </c>
      <c r="D25" s="17"/>
      <c r="F25" s="3">
        <f t="shared" si="25"/>
        <v>4.5588613127096493E-2</v>
      </c>
      <c r="G25" s="3">
        <f t="shared" si="25"/>
        <v>4.5588607463656297E-2</v>
      </c>
      <c r="H25" s="3">
        <f t="shared" si="25"/>
        <v>4.5588550829292994E-2</v>
      </c>
      <c r="I25" s="3">
        <f t="shared" si="25"/>
        <v>4.5587984489529575E-2</v>
      </c>
      <c r="J25" s="3">
        <f t="shared" si="25"/>
        <v>4.5582321478836486E-2</v>
      </c>
      <c r="K25" s="3">
        <f t="shared" si="25"/>
        <v>4.5525730048232724E-2</v>
      </c>
      <c r="L25" s="3">
        <f t="shared" si="25"/>
        <v>4.4963665656318888E-2</v>
      </c>
      <c r="M25" s="3">
        <f t="shared" si="25"/>
        <v>3.9710889885511372E-2</v>
      </c>
      <c r="N25" s="3">
        <f t="shared" si="25"/>
        <v>1.1465386899234998E-2</v>
      </c>
      <c r="O25" s="3">
        <f t="shared" si="25"/>
        <v>4.6150846050602944E-8</v>
      </c>
      <c r="P25" s="3">
        <f t="shared" si="25"/>
        <v>5.1533446883389723E-62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3.063201275131338E-2</v>
      </c>
      <c r="C26" s="18">
        <f t="shared" si="3"/>
        <v>5.454765248808658E-2</v>
      </c>
      <c r="D26" s="17"/>
      <c r="F26" s="3">
        <f t="shared" si="25"/>
        <v>5.4547652420165571E-2</v>
      </c>
      <c r="G26" s="3">
        <f t="shared" si="25"/>
        <v>5.4547651808876517E-2</v>
      </c>
      <c r="H26" s="3">
        <f t="shared" si="25"/>
        <v>5.4547645695986365E-2</v>
      </c>
      <c r="I26" s="3">
        <f t="shared" si="25"/>
        <v>5.4547584567122498E-2</v>
      </c>
      <c r="J26" s="3">
        <f t="shared" si="25"/>
        <v>5.4546973282251512E-2</v>
      </c>
      <c r="K26" s="3">
        <f t="shared" si="25"/>
        <v>5.454086081029743E-2</v>
      </c>
      <c r="L26" s="3">
        <f t="shared" si="25"/>
        <v>5.4479773750711828E-2</v>
      </c>
      <c r="M26" s="3">
        <f t="shared" si="25"/>
        <v>5.387265358171691E-2</v>
      </c>
      <c r="N26" s="3">
        <f t="shared" si="25"/>
        <v>4.8161399005256844E-2</v>
      </c>
      <c r="O26" s="3">
        <f t="shared" si="25"/>
        <v>1.5703857800129711E-2</v>
      </c>
      <c r="P26" s="3">
        <f t="shared" si="25"/>
        <v>2.1334327373066345E-7</v>
      </c>
      <c r="Q26" s="3">
        <f t="shared" si="25"/>
        <v>4.5688296416072259E-56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3.5653003281064216E-2</v>
      </c>
      <c r="C27" s="18">
        <f t="shared" si="3"/>
        <v>6.3488731508467941E-2</v>
      </c>
      <c r="D27" s="17"/>
      <c r="F27" s="3">
        <f t="shared" si="25"/>
        <v>6.3488731501336604E-2</v>
      </c>
      <c r="G27" s="3">
        <f t="shared" si="25"/>
        <v>6.3488731437154514E-2</v>
      </c>
      <c r="H27" s="3">
        <f t="shared" si="25"/>
        <v>6.3488730795333709E-2</v>
      </c>
      <c r="I27" s="3">
        <f t="shared" si="25"/>
        <v>6.3488724377125952E-2</v>
      </c>
      <c r="J27" s="3">
        <f t="shared" si="25"/>
        <v>6.3488660195084132E-2</v>
      </c>
      <c r="K27" s="3">
        <f t="shared" si="25"/>
        <v>6.3488018378234423E-2</v>
      </c>
      <c r="L27" s="3">
        <f t="shared" si="25"/>
        <v>6.3481600566579047E-2</v>
      </c>
      <c r="M27" s="3">
        <f t="shared" si="25"/>
        <v>6.3417458120850409E-2</v>
      </c>
      <c r="N27" s="3">
        <f t="shared" si="25"/>
        <v>6.2779587439735426E-2</v>
      </c>
      <c r="O27" s="3">
        <f t="shared" si="25"/>
        <v>5.6743317513262691E-2</v>
      </c>
      <c r="P27" s="3">
        <f t="shared" si="25"/>
        <v>2.0647971068776874E-2</v>
      </c>
      <c r="Q27" s="3">
        <f t="shared" si="25"/>
        <v>8.4043470855251752E-7</v>
      </c>
      <c r="R27" s="3">
        <f t="shared" si="25"/>
        <v>1.0489866157938307E-50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3.6185797092440901E-2</v>
      </c>
      <c r="C28" s="18">
        <f t="shared" si="3"/>
        <v>6.4437498796687767E-2</v>
      </c>
      <c r="D28" s="17"/>
      <c r="F28" s="3">
        <f t="shared" si="25"/>
        <v>6.4437498796034845E-2</v>
      </c>
      <c r="G28" s="3">
        <f t="shared" si="25"/>
        <v>6.4437498790158573E-2</v>
      </c>
      <c r="H28" s="3">
        <f t="shared" si="25"/>
        <v>6.4437498731395773E-2</v>
      </c>
      <c r="I28" s="3">
        <f t="shared" si="25"/>
        <v>6.4437498143767868E-2</v>
      </c>
      <c r="J28" s="3">
        <f t="shared" si="25"/>
        <v>6.4437492267489127E-2</v>
      </c>
      <c r="K28" s="3">
        <f t="shared" si="25"/>
        <v>6.4437433504731148E-2</v>
      </c>
      <c r="L28" s="3">
        <f t="shared" si="25"/>
        <v>6.4436845880098612E-2</v>
      </c>
      <c r="M28" s="3">
        <f t="shared" si="25"/>
        <v>6.4430969928495327E-2</v>
      </c>
      <c r="N28" s="3">
        <f t="shared" si="25"/>
        <v>6.437223987472071E-2</v>
      </c>
      <c r="O28" s="3">
        <f t="shared" si="25"/>
        <v>6.3787875645971076E-2</v>
      </c>
      <c r="P28" s="3">
        <f t="shared" si="25"/>
        <v>5.8228193743177413E-2</v>
      </c>
      <c r="Q28" s="3">
        <f t="shared" si="25"/>
        <v>2.3392956487363468E-2</v>
      </c>
      <c r="R28" s="3">
        <f t="shared" si="25"/>
        <v>2.5621411956356661E-6</v>
      </c>
      <c r="S28" s="3">
        <f t="shared" si="25"/>
        <v>6.3647671944431082E-46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2.8631192186468042E-2</v>
      </c>
      <c r="C29" s="18">
        <f t="shared" si="3"/>
        <v>5.0984711138190433E-2</v>
      </c>
      <c r="D29" s="17"/>
      <c r="F29" s="3">
        <f t="shared" si="25"/>
        <v>5.0984711138143832E-2</v>
      </c>
      <c r="G29" s="3">
        <f t="shared" si="25"/>
        <v>5.098471113772441E-2</v>
      </c>
      <c r="H29" s="3">
        <f t="shared" si="25"/>
        <v>5.0984711133530196E-2</v>
      </c>
      <c r="I29" s="3">
        <f t="shared" si="25"/>
        <v>5.0984711091588086E-2</v>
      </c>
      <c r="J29" s="3">
        <f t="shared" si="25"/>
        <v>5.098471067216697E-2</v>
      </c>
      <c r="K29" s="3">
        <f t="shared" si="25"/>
        <v>5.098470647795602E-2</v>
      </c>
      <c r="L29" s="3">
        <f t="shared" si="25"/>
        <v>5.0984664535865414E-2</v>
      </c>
      <c r="M29" s="3">
        <f t="shared" si="25"/>
        <v>5.0984245116857063E-2</v>
      </c>
      <c r="N29" s="3">
        <f t="shared" si="25"/>
        <v>5.0980051116535294E-2</v>
      </c>
      <c r="O29" s="3">
        <f t="shared" si="25"/>
        <v>5.0938130083715658E-2</v>
      </c>
      <c r="P29" s="3">
        <f t="shared" si="25"/>
        <v>5.0520811033850824E-2</v>
      </c>
      <c r="Q29" s="3">
        <f t="shared" si="25"/>
        <v>4.6531116234151897E-2</v>
      </c>
      <c r="R29" s="3">
        <f t="shared" si="25"/>
        <v>2.0439724682125637E-2</v>
      </c>
      <c r="S29" s="3">
        <f t="shared" si="25"/>
        <v>5.4675246400956311E-6</v>
      </c>
      <c r="T29" s="3">
        <f t="shared" si="25"/>
        <v>1.0255287060886316E-41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1.7815952406672188E-2</v>
      </c>
      <c r="C30" s="18">
        <f t="shared" si="3"/>
        <v>3.1725580310806592E-2</v>
      </c>
      <c r="D30" s="17"/>
      <c r="F30" s="3">
        <f t="shared" si="25"/>
        <v>3.1725580310803976E-2</v>
      </c>
      <c r="G30" s="3">
        <f t="shared" si="25"/>
        <v>3.1725580310780432E-2</v>
      </c>
      <c r="H30" s="3">
        <f t="shared" si="25"/>
        <v>3.1725580310545003E-2</v>
      </c>
      <c r="I30" s="3">
        <f t="shared" si="25"/>
        <v>3.1725580308190678E-2</v>
      </c>
      <c r="J30" s="3">
        <f t="shared" si="25"/>
        <v>3.172558028464742E-2</v>
      </c>
      <c r="K30" s="3">
        <f t="shared" si="25"/>
        <v>3.1725580049214878E-2</v>
      </c>
      <c r="L30" s="3">
        <f t="shared" si="25"/>
        <v>3.1725577694889547E-2</v>
      </c>
      <c r="M30" s="3">
        <f t="shared" si="25"/>
        <v>3.1725554151645852E-2</v>
      </c>
      <c r="N30" s="3">
        <f t="shared" si="25"/>
        <v>3.172531872016978E-2</v>
      </c>
      <c r="O30" s="3">
        <f t="shared" si="25"/>
        <v>3.1722964501497961E-2</v>
      </c>
      <c r="P30" s="3">
        <f t="shared" si="25"/>
        <v>3.1699431921023785E-2</v>
      </c>
      <c r="Q30" s="3">
        <f t="shared" si="25"/>
        <v>3.1465064108296636E-2</v>
      </c>
      <c r="R30" s="3">
        <f t="shared" si="25"/>
        <v>2.9214606189208781E-2</v>
      </c>
      <c r="S30" s="3">
        <f t="shared" si="25"/>
        <v>1.3909585594980919E-2</v>
      </c>
      <c r="T30" s="3">
        <f t="shared" si="25"/>
        <v>8.326370667368528E-6</v>
      </c>
      <c r="U30" s="3">
        <f t="shared" si="25"/>
        <v>4.9189366904645991E-38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8.6727037063525966E-3</v>
      </c>
      <c r="C31" s="18">
        <f t="shared" si="3"/>
        <v>1.5443830992985543E-2</v>
      </c>
      <c r="D31" s="17"/>
      <c r="F31" s="3">
        <f t="shared" si="25"/>
        <v>1.5443830992985429E-2</v>
      </c>
      <c r="G31" s="3">
        <f t="shared" si="25"/>
        <v>1.5443830992984395E-2</v>
      </c>
      <c r="H31" s="3">
        <f t="shared" si="25"/>
        <v>1.5443830992974056E-2</v>
      </c>
      <c r="I31" s="3">
        <f t="shared" si="25"/>
        <v>1.5443830992870672E-2</v>
      </c>
      <c r="J31" s="3">
        <f t="shared" si="25"/>
        <v>1.5443830991836818E-2</v>
      </c>
      <c r="K31" s="3">
        <f t="shared" si="25"/>
        <v>1.5443830981498295E-2</v>
      </c>
      <c r="L31" s="3">
        <f t="shared" si="25"/>
        <v>1.5443830878113051E-2</v>
      </c>
      <c r="M31" s="3">
        <f t="shared" si="25"/>
        <v>1.5443829844260668E-2</v>
      </c>
      <c r="N31" s="3">
        <f t="shared" si="25"/>
        <v>1.5443819505740629E-2</v>
      </c>
      <c r="O31" s="3">
        <f t="shared" si="25"/>
        <v>1.5443716120920893E-2</v>
      </c>
      <c r="P31" s="3">
        <f t="shared" si="25"/>
        <v>1.5442682310787385E-2</v>
      </c>
      <c r="Q31" s="3">
        <f t="shared" si="25"/>
        <v>1.5432348014895439E-2</v>
      </c>
      <c r="R31" s="3">
        <f t="shared" si="25"/>
        <v>1.5329384659411574E-2</v>
      </c>
      <c r="S31" s="3">
        <f t="shared" si="25"/>
        <v>1.433678781446621E-2</v>
      </c>
      <c r="T31" s="3">
        <f t="shared" si="25"/>
        <v>7.3404589421076083E-3</v>
      </c>
      <c r="U31" s="3">
        <f t="shared" si="25"/>
        <v>9.0873399562131718E-6</v>
      </c>
      <c r="V31" s="3">
        <f t="shared" si="26"/>
        <v>7.6837351968347994E-35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3.9700348442443245E-3</v>
      </c>
      <c r="C32" s="18">
        <f t="shared" si="3"/>
        <v>7.0696001208784189E-3</v>
      </c>
      <c r="D32" s="17"/>
      <c r="F32" s="3">
        <f t="shared" si="25"/>
        <v>7.0696001208784146E-3</v>
      </c>
      <c r="G32" s="3">
        <f t="shared" si="25"/>
        <v>7.0696001208783721E-3</v>
      </c>
      <c r="H32" s="3">
        <f t="shared" si="25"/>
        <v>7.0696001208779445E-3</v>
      </c>
      <c r="I32" s="3">
        <f t="shared" si="25"/>
        <v>7.0696001208736753E-3</v>
      </c>
      <c r="J32" s="3">
        <f t="shared" si="25"/>
        <v>7.0696001208309838E-3</v>
      </c>
      <c r="K32" s="3">
        <f t="shared" si="25"/>
        <v>7.0696001204040649E-3</v>
      </c>
      <c r="L32" s="3">
        <f t="shared" si="25"/>
        <v>7.06960011613488E-3</v>
      </c>
      <c r="M32" s="3">
        <f t="shared" si="25"/>
        <v>7.0696000734430334E-3</v>
      </c>
      <c r="N32" s="3">
        <f t="shared" si="25"/>
        <v>7.0695996465245719E-3</v>
      </c>
      <c r="O32" s="3">
        <f t="shared" si="25"/>
        <v>7.0695953773413766E-3</v>
      </c>
      <c r="P32" s="3">
        <f t="shared" si="25"/>
        <v>7.0695526856512179E-3</v>
      </c>
      <c r="Q32" s="3">
        <f t="shared" si="25"/>
        <v>7.0691257829286818E-3</v>
      </c>
      <c r="R32" s="3">
        <f t="shared" si="25"/>
        <v>7.0648581732909999E-3</v>
      </c>
      <c r="S32" s="3">
        <f t="shared" si="25"/>
        <v>7.0223235194537556E-3</v>
      </c>
      <c r="T32" s="3">
        <f t="shared" si="25"/>
        <v>6.6108102424354987E-3</v>
      </c>
      <c r="U32" s="3">
        <f t="shared" si="25"/>
        <v>3.6140426066802152E-3</v>
      </c>
      <c r="V32" s="3">
        <f t="shared" si="26"/>
        <v>8.6174552676543343E-6</v>
      </c>
      <c r="W32" s="3">
        <f t="shared" si="26"/>
        <v>5.1196082750895001E-32</v>
      </c>
      <c r="X32" s="3">
        <f t="shared" si="26"/>
        <v>2.8042303089056522E-294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1.9679012870922703E-3</v>
      </c>
      <c r="C33" s="18">
        <f t="shared" si="3"/>
        <v>3.5043206729719373E-3</v>
      </c>
      <c r="D33" s="17"/>
      <c r="F33" s="3">
        <f t="shared" si="25"/>
        <v>3.5043206729719369E-3</v>
      </c>
      <c r="G33" s="3">
        <f t="shared" si="25"/>
        <v>3.5043206729719356E-3</v>
      </c>
      <c r="H33" s="3">
        <f t="shared" si="25"/>
        <v>3.504320672971916E-3</v>
      </c>
      <c r="I33" s="3">
        <f t="shared" si="25"/>
        <v>3.5043206729717252E-3</v>
      </c>
      <c r="J33" s="3">
        <f t="shared" si="25"/>
        <v>3.5043206729698162E-3</v>
      </c>
      <c r="K33" s="3">
        <f t="shared" si="25"/>
        <v>3.5043206729507264E-3</v>
      </c>
      <c r="L33" s="3">
        <f t="shared" si="25"/>
        <v>3.5043206727598288E-3</v>
      </c>
      <c r="M33" s="3">
        <f t="shared" si="25"/>
        <v>3.5043206708508523E-3</v>
      </c>
      <c r="N33" s="3">
        <f t="shared" si="25"/>
        <v>3.5043206517610895E-3</v>
      </c>
      <c r="O33" s="3">
        <f t="shared" si="25"/>
        <v>3.5043204608634676E-3</v>
      </c>
      <c r="P33" s="3">
        <f t="shared" si="25"/>
        <v>3.504318551887816E-3</v>
      </c>
      <c r="Q33" s="3">
        <f t="shared" si="25"/>
        <v>3.5042994621884947E-3</v>
      </c>
      <c r="R33" s="3">
        <f t="shared" si="25"/>
        <v>3.5041085709146833E-3</v>
      </c>
      <c r="S33" s="3">
        <f t="shared" si="25"/>
        <v>3.5022002300009372E-3</v>
      </c>
      <c r="T33" s="3">
        <f t="shared" si="25"/>
        <v>3.4831738882127126E-3</v>
      </c>
      <c r="U33" s="3">
        <f t="shared" ref="P33:AE48" si="27">$C33*EXP(-U$15/$A33)</f>
        <v>3.2985038386920502E-3</v>
      </c>
      <c r="V33" s="3">
        <f t="shared" si="27"/>
        <v>1.9130898704890853E-3</v>
      </c>
      <c r="W33" s="3">
        <f t="shared" si="27"/>
        <v>8.2398471537656946E-6</v>
      </c>
      <c r="X33" s="3">
        <f t="shared" si="27"/>
        <v>1.8103268447784618E-29</v>
      </c>
      <c r="Y33" s="3">
        <f t="shared" si="27"/>
        <v>4.7438980667034861E-266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1.6648582031933475E-3</v>
      </c>
      <c r="C34" s="18">
        <f t="shared" si="3"/>
        <v>2.9646797109614421E-3</v>
      </c>
      <c r="D34" s="17"/>
      <c r="F34" s="3">
        <f t="shared" ref="F34:O48" si="28">$C34*EXP(-F$15/$A34)</f>
        <v>2.9646797109614421E-3</v>
      </c>
      <c r="G34" s="3">
        <f t="shared" si="28"/>
        <v>2.9646797109614421E-3</v>
      </c>
      <c r="H34" s="3">
        <f t="shared" si="28"/>
        <v>2.9646797109614403E-3</v>
      </c>
      <c r="I34" s="3">
        <f t="shared" si="28"/>
        <v>2.964679710961426E-3</v>
      </c>
      <c r="J34" s="3">
        <f t="shared" si="28"/>
        <v>2.9646797109612803E-3</v>
      </c>
      <c r="K34" s="3">
        <f t="shared" si="28"/>
        <v>2.9646797109598231E-3</v>
      </c>
      <c r="L34" s="3">
        <f t="shared" si="28"/>
        <v>2.9646797109452545E-3</v>
      </c>
      <c r="M34" s="3">
        <f t="shared" si="28"/>
        <v>2.9646797107995677E-3</v>
      </c>
      <c r="N34" s="3">
        <f t="shared" si="28"/>
        <v>2.9646797093426966E-3</v>
      </c>
      <c r="O34" s="3">
        <f t="shared" si="28"/>
        <v>2.9646796947739875E-3</v>
      </c>
      <c r="P34" s="3">
        <f t="shared" si="27"/>
        <v>2.9646795490869036E-3</v>
      </c>
      <c r="Q34" s="3">
        <f t="shared" si="27"/>
        <v>2.9646780922164525E-3</v>
      </c>
      <c r="R34" s="3">
        <f t="shared" si="27"/>
        <v>2.9646635235513184E-3</v>
      </c>
      <c r="S34" s="3">
        <f t="shared" si="27"/>
        <v>2.9645178408374598E-3</v>
      </c>
      <c r="T34" s="3">
        <f t="shared" si="27"/>
        <v>2.9630614073752042E-3</v>
      </c>
      <c r="U34" s="3">
        <f t="shared" si="27"/>
        <v>2.9485363689009162E-3</v>
      </c>
      <c r="V34" s="3">
        <f t="shared" si="27"/>
        <v>2.8071450796150785E-3</v>
      </c>
      <c r="W34" s="3">
        <f t="shared" si="27"/>
        <v>1.7173094276943866E-3</v>
      </c>
      <c r="X34" s="3">
        <f t="shared" si="27"/>
        <v>1.2609141254364888E-5</v>
      </c>
      <c r="Y34" s="3">
        <f t="shared" si="27"/>
        <v>5.7418926443673423E-27</v>
      </c>
      <c r="Z34" s="3">
        <f t="shared" si="27"/>
        <v>2.2016620242508409E-240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v>
      </c>
      <c r="C35" s="18">
        <f t="shared" si="3"/>
        <v>0</v>
      </c>
      <c r="D35" s="17"/>
      <c r="F35" s="3">
        <f t="shared" si="28"/>
        <v>0</v>
      </c>
      <c r="G35" s="3">
        <f t="shared" si="28"/>
        <v>0</v>
      </c>
      <c r="H35" s="3">
        <f t="shared" si="28"/>
        <v>0</v>
      </c>
      <c r="I35" s="3">
        <f t="shared" si="28"/>
        <v>0</v>
      </c>
      <c r="J35" s="3">
        <f t="shared" si="28"/>
        <v>0</v>
      </c>
      <c r="K35" s="3">
        <f t="shared" si="28"/>
        <v>0</v>
      </c>
      <c r="L35" s="3">
        <f t="shared" si="28"/>
        <v>0</v>
      </c>
      <c r="M35" s="3">
        <f t="shared" si="28"/>
        <v>0</v>
      </c>
      <c r="N35" s="3">
        <f t="shared" si="28"/>
        <v>0</v>
      </c>
      <c r="O35" s="3">
        <f t="shared" si="28"/>
        <v>0</v>
      </c>
      <c r="P35" s="3">
        <f t="shared" si="27"/>
        <v>0</v>
      </c>
      <c r="Q35" s="3">
        <f t="shared" si="27"/>
        <v>0</v>
      </c>
      <c r="R35" s="3">
        <f t="shared" si="27"/>
        <v>0</v>
      </c>
      <c r="S35" s="3">
        <f t="shared" si="27"/>
        <v>0</v>
      </c>
      <c r="T35" s="3">
        <f t="shared" si="27"/>
        <v>0</v>
      </c>
      <c r="U35" s="3">
        <f t="shared" si="27"/>
        <v>0</v>
      </c>
      <c r="V35" s="3">
        <f t="shared" si="27"/>
        <v>0</v>
      </c>
      <c r="W35" s="3">
        <f t="shared" si="27"/>
        <v>0</v>
      </c>
      <c r="X35" s="3">
        <f t="shared" si="27"/>
        <v>0</v>
      </c>
      <c r="Y35" s="3">
        <f t="shared" si="27"/>
        <v>0</v>
      </c>
      <c r="Z35" s="3">
        <f t="shared" si="27"/>
        <v>0</v>
      </c>
      <c r="AA35" s="3">
        <f t="shared" si="27"/>
        <v>0</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1.7397902653166464E-3</v>
      </c>
      <c r="C36" s="18">
        <f t="shared" si="3"/>
        <v>3.098114236407119E-3</v>
      </c>
      <c r="D36" s="17"/>
      <c r="F36" s="3">
        <f t="shared" si="28"/>
        <v>3.098114236407119E-3</v>
      </c>
      <c r="G36" s="3">
        <f t="shared" si="28"/>
        <v>3.098114236407119E-3</v>
      </c>
      <c r="H36" s="3">
        <f t="shared" si="28"/>
        <v>3.098114236407119E-3</v>
      </c>
      <c r="I36" s="3">
        <f t="shared" si="28"/>
        <v>3.098114236407119E-3</v>
      </c>
      <c r="J36" s="3">
        <f t="shared" si="28"/>
        <v>3.0981142364071177E-3</v>
      </c>
      <c r="K36" s="3">
        <f t="shared" si="28"/>
        <v>3.0981142364071052E-3</v>
      </c>
      <c r="L36" s="3">
        <f t="shared" si="28"/>
        <v>3.0981142364069816E-3</v>
      </c>
      <c r="M36" s="3">
        <f t="shared" si="28"/>
        <v>3.0981142364057425E-3</v>
      </c>
      <c r="N36" s="3">
        <f t="shared" si="28"/>
        <v>3.0981142363933536E-3</v>
      </c>
      <c r="O36" s="3">
        <f t="shared" si="28"/>
        <v>3.0981142362694644E-3</v>
      </c>
      <c r="P36" s="3">
        <f t="shared" si="27"/>
        <v>3.0981142350305709E-3</v>
      </c>
      <c r="Q36" s="3">
        <f t="shared" si="27"/>
        <v>3.0981142226416381E-3</v>
      </c>
      <c r="R36" s="3">
        <f t="shared" si="27"/>
        <v>3.0981140987523144E-3</v>
      </c>
      <c r="S36" s="3">
        <f t="shared" si="27"/>
        <v>3.0981128598593487E-3</v>
      </c>
      <c r="T36" s="3">
        <f t="shared" si="27"/>
        <v>3.0981004709569391E-3</v>
      </c>
      <c r="U36" s="3">
        <f t="shared" si="27"/>
        <v>3.097976584657589E-3</v>
      </c>
      <c r="V36" s="3">
        <f t="shared" si="27"/>
        <v>3.0967379940983028E-3</v>
      </c>
      <c r="W36" s="3">
        <f t="shared" si="27"/>
        <v>3.0843792916614766E-3</v>
      </c>
      <c r="X36" s="3">
        <f t="shared" si="27"/>
        <v>2.963472760568932E-3</v>
      </c>
      <c r="Y36" s="3">
        <f t="shared" si="27"/>
        <v>1.9867011816815552E-3</v>
      </c>
      <c r="Z36" s="3">
        <f t="shared" si="27"/>
        <v>3.6429117814995796E-5</v>
      </c>
      <c r="AA36" s="3">
        <f t="shared" si="27"/>
        <v>1.5653436512887745E-22</v>
      </c>
      <c r="AB36" s="3">
        <f t="shared" si="27"/>
        <v>3.3590782053923169E-196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7.5534050802416512E-4</v>
      </c>
      <c r="C37" s="18">
        <f t="shared" si="3"/>
        <v>1.3450651080742435E-3</v>
      </c>
      <c r="D37" s="17"/>
      <c r="F37" s="3">
        <f t="shared" si="28"/>
        <v>1.3450651080742435E-3</v>
      </c>
      <c r="G37" s="3">
        <f t="shared" si="28"/>
        <v>1.3450651080742435E-3</v>
      </c>
      <c r="H37" s="3">
        <f t="shared" si="28"/>
        <v>1.3450651080742435E-3</v>
      </c>
      <c r="I37" s="3">
        <f t="shared" si="28"/>
        <v>1.3450651080742435E-3</v>
      </c>
      <c r="J37" s="3">
        <f t="shared" si="28"/>
        <v>1.3450651080742435E-3</v>
      </c>
      <c r="K37" s="3">
        <f t="shared" si="28"/>
        <v>1.3450651080742428E-3</v>
      </c>
      <c r="L37" s="3">
        <f t="shared" si="28"/>
        <v>1.345065108074238E-3</v>
      </c>
      <c r="M37" s="3">
        <f t="shared" si="28"/>
        <v>1.3450651080741895E-3</v>
      </c>
      <c r="N37" s="3">
        <f t="shared" si="28"/>
        <v>1.3450651080737044E-3</v>
      </c>
      <c r="O37" s="3">
        <f t="shared" si="28"/>
        <v>1.3450651080688524E-3</v>
      </c>
      <c r="P37" s="3">
        <f t="shared" si="27"/>
        <v>1.3450651080203317E-3</v>
      </c>
      <c r="Q37" s="3">
        <f t="shared" si="27"/>
        <v>1.3450651075351254E-3</v>
      </c>
      <c r="R37" s="3">
        <f t="shared" si="27"/>
        <v>1.3450651026830633E-3</v>
      </c>
      <c r="S37" s="3">
        <f t="shared" si="27"/>
        <v>1.3450650541624418E-3</v>
      </c>
      <c r="T37" s="3">
        <f t="shared" si="27"/>
        <v>1.3450645689563241E-3</v>
      </c>
      <c r="U37" s="3">
        <f t="shared" si="27"/>
        <v>1.3450597169047747E-3</v>
      </c>
      <c r="V37" s="3">
        <f t="shared" si="27"/>
        <v>1.3450111973519227E-3</v>
      </c>
      <c r="W37" s="3">
        <f t="shared" si="27"/>
        <v>1.3445260980749464E-3</v>
      </c>
      <c r="X37" s="3">
        <f t="shared" si="27"/>
        <v>1.3396847176252607E-3</v>
      </c>
      <c r="Y37" s="3">
        <f t="shared" si="27"/>
        <v>1.2922194383915694E-3</v>
      </c>
      <c r="Z37" s="3">
        <f t="shared" si="27"/>
        <v>9.0089242339302434E-4</v>
      </c>
      <c r="AA37" s="3">
        <f t="shared" si="27"/>
        <v>2.4436532608484756E-5</v>
      </c>
      <c r="AB37" s="3">
        <f t="shared" si="27"/>
        <v>5.268731417346171E-21</v>
      </c>
      <c r="AC37" s="3">
        <f t="shared" si="27"/>
        <v>1.1438546443317814E-177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8.9849568608266794E-5</v>
      </c>
      <c r="C38" s="18">
        <f t="shared" si="3"/>
        <v>1.5999872696703847E-4</v>
      </c>
      <c r="D38" s="17"/>
      <c r="F38" s="3">
        <f t="shared" si="28"/>
        <v>1.5999872696703847E-4</v>
      </c>
      <c r="G38" s="3">
        <f t="shared" si="28"/>
        <v>1.5999872696703847E-4</v>
      </c>
      <c r="H38" s="3">
        <f t="shared" si="28"/>
        <v>1.5999872696703847E-4</v>
      </c>
      <c r="I38" s="3">
        <f t="shared" si="28"/>
        <v>1.5999872696703847E-4</v>
      </c>
      <c r="J38" s="3">
        <f t="shared" si="28"/>
        <v>1.5999872696703847E-4</v>
      </c>
      <c r="K38" s="3">
        <f t="shared" si="28"/>
        <v>1.5999872696703847E-4</v>
      </c>
      <c r="L38" s="3">
        <f t="shared" si="28"/>
        <v>1.5999872696703841E-4</v>
      </c>
      <c r="M38" s="3">
        <f t="shared" si="28"/>
        <v>1.5999872696703787E-4</v>
      </c>
      <c r="N38" s="3">
        <f t="shared" si="28"/>
        <v>1.5999872696703267E-4</v>
      </c>
      <c r="O38" s="3">
        <f t="shared" si="28"/>
        <v>1.5999872696698063E-4</v>
      </c>
      <c r="P38" s="3">
        <f t="shared" si="27"/>
        <v>1.5999872696645997E-4</v>
      </c>
      <c r="Q38" s="3">
        <f t="shared" si="27"/>
        <v>1.5999872696125346E-4</v>
      </c>
      <c r="R38" s="3">
        <f t="shared" si="27"/>
        <v>1.5999872690918842E-4</v>
      </c>
      <c r="S38" s="3">
        <f t="shared" si="27"/>
        <v>1.5999872638853806E-4</v>
      </c>
      <c r="T38" s="3">
        <f t="shared" si="27"/>
        <v>1.5999872118203454E-4</v>
      </c>
      <c r="U38" s="3">
        <f t="shared" si="27"/>
        <v>1.5999866911700869E-4</v>
      </c>
      <c r="V38" s="3">
        <f t="shared" si="27"/>
        <v>1.5999814846768184E-4</v>
      </c>
      <c r="W38" s="3">
        <f t="shared" si="27"/>
        <v>1.5999294206759551E-4</v>
      </c>
      <c r="X38" s="3">
        <f t="shared" si="27"/>
        <v>1.5994088738382494E-4</v>
      </c>
      <c r="Y38" s="3">
        <f t="shared" si="27"/>
        <v>1.5942127113456885E-4</v>
      </c>
      <c r="Z38" s="3">
        <f t="shared" si="27"/>
        <v>1.5431705673157826E-4</v>
      </c>
      <c r="AA38" s="3">
        <f t="shared" si="27"/>
        <v>1.1145269384527773E-4</v>
      </c>
      <c r="AB38" s="3">
        <f t="shared" si="27"/>
        <v>4.3038482982326646E-6</v>
      </c>
      <c r="AC38" s="3">
        <f t="shared" si="27"/>
        <v>3.1733706789819339E-20</v>
      </c>
      <c r="AD38" s="3">
        <f t="shared" si="27"/>
        <v>1.5071598003195391E-161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v>
      </c>
      <c r="C39" s="18">
        <f t="shared" si="3"/>
        <v>0</v>
      </c>
      <c r="D39" s="17"/>
      <c r="F39" s="3">
        <f t="shared" si="28"/>
        <v>0</v>
      </c>
      <c r="G39" s="3">
        <f t="shared" si="28"/>
        <v>0</v>
      </c>
      <c r="H39" s="3">
        <f t="shared" si="28"/>
        <v>0</v>
      </c>
      <c r="I39" s="3">
        <f t="shared" si="28"/>
        <v>0</v>
      </c>
      <c r="J39" s="3">
        <f t="shared" si="28"/>
        <v>0</v>
      </c>
      <c r="K39" s="3">
        <f t="shared" si="28"/>
        <v>0</v>
      </c>
      <c r="L39" s="3">
        <f t="shared" si="28"/>
        <v>0</v>
      </c>
      <c r="M39" s="3">
        <f t="shared" si="28"/>
        <v>0</v>
      </c>
      <c r="N39" s="3">
        <f t="shared" si="28"/>
        <v>0</v>
      </c>
      <c r="O39" s="3">
        <f t="shared" si="28"/>
        <v>0</v>
      </c>
      <c r="P39" s="3">
        <f t="shared" si="27"/>
        <v>0</v>
      </c>
      <c r="Q39" s="3">
        <f t="shared" si="27"/>
        <v>0</v>
      </c>
      <c r="R39" s="3">
        <f t="shared" si="27"/>
        <v>0</v>
      </c>
      <c r="S39" s="3">
        <f t="shared" si="27"/>
        <v>0</v>
      </c>
      <c r="T39" s="3">
        <f t="shared" si="27"/>
        <v>0</v>
      </c>
      <c r="U39" s="3">
        <f t="shared" si="27"/>
        <v>0</v>
      </c>
      <c r="V39" s="3">
        <f t="shared" si="27"/>
        <v>0</v>
      </c>
      <c r="W39" s="3">
        <f t="shared" si="27"/>
        <v>0</v>
      </c>
      <c r="X39" s="3">
        <f t="shared" si="27"/>
        <v>0</v>
      </c>
      <c r="Y39" s="3">
        <f t="shared" si="27"/>
        <v>0</v>
      </c>
      <c r="Z39" s="3">
        <f t="shared" si="27"/>
        <v>0</v>
      </c>
      <c r="AA39" s="3">
        <f t="shared" si="27"/>
        <v>0</v>
      </c>
      <c r="AB39" s="3">
        <f t="shared" si="27"/>
        <v>0</v>
      </c>
      <c r="AC39" s="3">
        <f t="shared" si="27"/>
        <v>0</v>
      </c>
      <c r="AD39" s="3">
        <f t="shared" si="27"/>
        <v>0</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6.1961222067907965E-5</v>
      </c>
      <c r="C41" s="18">
        <f t="shared" si="3"/>
        <v>1.1033683083565872E-4</v>
      </c>
      <c r="D41" s="17"/>
      <c r="F41" s="3">
        <f t="shared" si="28"/>
        <v>1.1033683083565872E-4</v>
      </c>
      <c r="G41" s="3">
        <f t="shared" si="28"/>
        <v>1.1033683083565872E-4</v>
      </c>
      <c r="H41" s="3">
        <f t="shared" si="28"/>
        <v>1.1033683083565872E-4</v>
      </c>
      <c r="I41" s="3">
        <f t="shared" si="28"/>
        <v>1.1033683083565872E-4</v>
      </c>
      <c r="J41" s="3">
        <f t="shared" si="28"/>
        <v>1.1033683083565872E-4</v>
      </c>
      <c r="K41" s="3">
        <f t="shared" si="28"/>
        <v>1.1033683083565872E-4</v>
      </c>
      <c r="L41" s="3">
        <f t="shared" si="28"/>
        <v>1.1033683083565872E-4</v>
      </c>
      <c r="M41" s="3">
        <f t="shared" si="28"/>
        <v>1.1033683083565872E-4</v>
      </c>
      <c r="N41" s="3">
        <f t="shared" si="28"/>
        <v>1.103368308356587E-4</v>
      </c>
      <c r="O41" s="3">
        <f t="shared" si="28"/>
        <v>1.1033683083565861E-4</v>
      </c>
      <c r="P41" s="3">
        <f t="shared" si="27"/>
        <v>1.1033683083565762E-4</v>
      </c>
      <c r="Q41" s="3">
        <f t="shared" si="27"/>
        <v>1.1033683083564769E-4</v>
      </c>
      <c r="R41" s="3">
        <f t="shared" si="27"/>
        <v>1.1033683083554839E-4</v>
      </c>
      <c r="S41" s="3">
        <f t="shared" si="27"/>
        <v>1.1033683083455535E-4</v>
      </c>
      <c r="T41" s="3">
        <f t="shared" si="27"/>
        <v>1.1033683082462504E-4</v>
      </c>
      <c r="U41" s="3">
        <f t="shared" si="27"/>
        <v>1.1033683072532189E-4</v>
      </c>
      <c r="V41" s="3">
        <f t="shared" si="27"/>
        <v>1.1033682973229041E-4</v>
      </c>
      <c r="W41" s="3">
        <f t="shared" si="27"/>
        <v>1.1033681980197619E-4</v>
      </c>
      <c r="X41" s="3">
        <f t="shared" si="27"/>
        <v>1.1033672049888306E-4</v>
      </c>
      <c r="Y41" s="3">
        <f t="shared" si="27"/>
        <v>1.1033572747286718E-4</v>
      </c>
      <c r="Z41" s="3">
        <f t="shared" si="27"/>
        <v>1.1032579770424092E-4</v>
      </c>
      <c r="AA41" s="3">
        <f t="shared" si="27"/>
        <v>1.102265491548536E-4</v>
      </c>
      <c r="AB41" s="3">
        <f t="shared" si="27"/>
        <v>1.0923896102525399E-4</v>
      </c>
      <c r="AC41" s="3">
        <f t="shared" si="27"/>
        <v>9.9836893127607879E-5</v>
      </c>
      <c r="AD41" s="3">
        <f t="shared" si="27"/>
        <v>4.0590651668450094E-5</v>
      </c>
      <c r="AE41" s="3">
        <f t="shared" si="27"/>
        <v>5.0092843701540786E-9</v>
      </c>
      <c r="AF41" s="3">
        <f t="shared" si="29"/>
        <v>4.10461393662009E-48</v>
      </c>
      <c r="AG41" s="3">
        <f t="shared" si="29"/>
        <v>0</v>
      </c>
      <c r="AH41" s="3">
        <f t="shared" si="29"/>
        <v>0</v>
      </c>
      <c r="AI41" s="3">
        <f t="shared" si="29"/>
        <v>0</v>
      </c>
      <c r="AJ41" s="3">
        <f t="shared" si="29"/>
        <v>0</v>
      </c>
    </row>
    <row r="42" spans="1:36" x14ac:dyDescent="0.25">
      <c r="A42" s="3">
        <f t="shared" si="30"/>
        <v>10000000000</v>
      </c>
      <c r="B42" s="106">
        <v>3.0004431566795422E-5</v>
      </c>
      <c r="C42" s="18">
        <f t="shared" si="3"/>
        <v>5.3430093526516889E-5</v>
      </c>
      <c r="D42" s="17"/>
      <c r="F42" s="3">
        <f t="shared" si="28"/>
        <v>5.3430093526516889E-5</v>
      </c>
      <c r="G42" s="3">
        <f t="shared" si="28"/>
        <v>5.3430093526516889E-5</v>
      </c>
      <c r="H42" s="3">
        <f t="shared" si="28"/>
        <v>5.3430093526516889E-5</v>
      </c>
      <c r="I42" s="3">
        <f t="shared" si="28"/>
        <v>5.3430093526516889E-5</v>
      </c>
      <c r="J42" s="3">
        <f t="shared" si="28"/>
        <v>5.3430093526516889E-5</v>
      </c>
      <c r="K42" s="3">
        <f t="shared" si="28"/>
        <v>5.3430093526516889E-5</v>
      </c>
      <c r="L42" s="3">
        <f t="shared" si="28"/>
        <v>5.3430093526516889E-5</v>
      </c>
      <c r="M42" s="3">
        <f t="shared" si="28"/>
        <v>5.3430093526516889E-5</v>
      </c>
      <c r="N42" s="3">
        <f t="shared" si="28"/>
        <v>5.3430093526516889E-5</v>
      </c>
      <c r="O42" s="3">
        <f t="shared" si="28"/>
        <v>5.3430093526516882E-5</v>
      </c>
      <c r="P42" s="3">
        <f t="shared" si="27"/>
        <v>5.3430093526516835E-5</v>
      </c>
      <c r="Q42" s="3">
        <f t="shared" si="27"/>
        <v>5.3430093526516354E-5</v>
      </c>
      <c r="R42" s="3">
        <f t="shared" si="27"/>
        <v>5.3430093526511543E-5</v>
      </c>
      <c r="S42" s="3">
        <f t="shared" si="27"/>
        <v>5.3430093526463458E-5</v>
      </c>
      <c r="T42" s="3">
        <f t="shared" si="27"/>
        <v>5.3430093525982587E-5</v>
      </c>
      <c r="U42" s="3">
        <f t="shared" si="27"/>
        <v>5.343009352117388E-5</v>
      </c>
      <c r="V42" s="3">
        <f t="shared" si="27"/>
        <v>5.3430093473086796E-5</v>
      </c>
      <c r="W42" s="3">
        <f t="shared" si="27"/>
        <v>5.343009299221596E-5</v>
      </c>
      <c r="X42" s="3">
        <f t="shared" si="27"/>
        <v>5.3430088183507807E-5</v>
      </c>
      <c r="Y42" s="3">
        <f t="shared" si="27"/>
        <v>5.3430040096450081E-5</v>
      </c>
      <c r="Z42" s="3">
        <f t="shared" si="27"/>
        <v>5.3429559228253121E-5</v>
      </c>
      <c r="AA42" s="3">
        <f t="shared" si="27"/>
        <v>5.3424750784305801E-5</v>
      </c>
      <c r="AB42" s="3">
        <f t="shared" si="27"/>
        <v>5.337669013913435E-5</v>
      </c>
      <c r="AC42" s="3">
        <f t="shared" si="27"/>
        <v>5.2898455213130551E-5</v>
      </c>
      <c r="AD42" s="3">
        <f t="shared" si="27"/>
        <v>4.8345547871953377E-5</v>
      </c>
      <c r="AE42" s="3">
        <f t="shared" si="27"/>
        <v>1.9655832948272931E-5</v>
      </c>
      <c r="AF42" s="3">
        <f t="shared" si="29"/>
        <v>2.4257224933068633E-9</v>
      </c>
      <c r="AG42" s="3">
        <f t="shared" si="29"/>
        <v>1.9876400732454189E-48</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6.317494779494319E-4</v>
      </c>
      <c r="C48" s="18">
        <f t="shared" si="3"/>
        <v>1.1249816087007928E-3</v>
      </c>
      <c r="D48" s="17"/>
      <c r="F48" s="3">
        <f t="shared" si="28"/>
        <v>1.1249816087007928E-3</v>
      </c>
      <c r="G48" s="3">
        <f t="shared" si="28"/>
        <v>1.1249816087007928E-3</v>
      </c>
      <c r="H48" s="3">
        <f t="shared" si="28"/>
        <v>1.1249816087007928E-3</v>
      </c>
      <c r="I48" s="3">
        <f t="shared" si="28"/>
        <v>1.1249816087007928E-3</v>
      </c>
      <c r="J48" s="3">
        <f t="shared" si="28"/>
        <v>1.1249816087007928E-3</v>
      </c>
      <c r="K48" s="3">
        <f t="shared" si="28"/>
        <v>1.1249816087007928E-3</v>
      </c>
      <c r="L48" s="3">
        <f t="shared" si="28"/>
        <v>1.1249816087007928E-3</v>
      </c>
      <c r="M48" s="3">
        <f t="shared" si="28"/>
        <v>1.1249816087007928E-3</v>
      </c>
      <c r="N48" s="3">
        <f t="shared" si="28"/>
        <v>1.1249816087007928E-3</v>
      </c>
      <c r="O48" s="3">
        <f t="shared" si="28"/>
        <v>1.1249816087007928E-3</v>
      </c>
      <c r="P48" s="3">
        <f t="shared" si="27"/>
        <v>1.1249816087007928E-3</v>
      </c>
      <c r="Q48" s="3">
        <f t="shared" si="27"/>
        <v>1.1249816087007928E-3</v>
      </c>
      <c r="R48" s="3">
        <f t="shared" si="27"/>
        <v>1.1249816087007928E-3</v>
      </c>
      <c r="S48" s="3">
        <f t="shared" si="27"/>
        <v>1.1249816087007928E-3</v>
      </c>
      <c r="T48" s="3">
        <f t="shared" si="27"/>
        <v>1.1249816087007928E-3</v>
      </c>
      <c r="U48" s="3">
        <f t="shared" si="27"/>
        <v>1.1249816087007926E-3</v>
      </c>
      <c r="V48" s="3">
        <f t="shared" si="27"/>
        <v>1.1249816087007918E-3</v>
      </c>
      <c r="W48" s="3">
        <f t="shared" si="27"/>
        <v>1.1249816087007816E-3</v>
      </c>
      <c r="X48" s="3">
        <f t="shared" si="27"/>
        <v>1.1249816087006803E-3</v>
      </c>
      <c r="Y48" s="3">
        <f t="shared" si="27"/>
        <v>1.1249816086996679E-3</v>
      </c>
      <c r="Z48" s="3">
        <f t="shared" si="27"/>
        <v>1.1249816086895429E-3</v>
      </c>
      <c r="AA48" s="3">
        <f t="shared" si="27"/>
        <v>1.1249816085882947E-3</v>
      </c>
      <c r="AB48" s="3">
        <f t="shared" si="27"/>
        <v>1.1249816075758112E-3</v>
      </c>
      <c r="AC48" s="3">
        <f t="shared" si="27"/>
        <v>1.1249815974509769E-3</v>
      </c>
      <c r="AD48" s="3">
        <f t="shared" si="27"/>
        <v>1.1249814962026377E-3</v>
      </c>
      <c r="AE48" s="3">
        <f t="shared" si="27"/>
        <v>1.1249804837197466E-3</v>
      </c>
      <c r="AF48" s="3">
        <f t="shared" si="29"/>
        <v>1.1249703589409547E-3</v>
      </c>
      <c r="AG48" s="3">
        <f t="shared" si="29"/>
        <v>1.1248691161646434E-3</v>
      </c>
      <c r="AH48" s="3">
        <f t="shared" si="29"/>
        <v>1.1238571893954464E-3</v>
      </c>
      <c r="AI48" s="3">
        <f t="shared" si="29"/>
        <v>1.1137878546650917E-3</v>
      </c>
      <c r="AJ48" s="3">
        <f t="shared" si="29"/>
        <v>1.0179254541547655E-3</v>
      </c>
    </row>
    <row r="49" spans="1:36" x14ac:dyDescent="0.25">
      <c r="B49" s="16">
        <f>SUM(B17:B48)</f>
        <v>0.5615642718630931</v>
      </c>
      <c r="C49" s="18">
        <f>SUM(C17:C48)</f>
        <v>0.99999999999999989</v>
      </c>
      <c r="F49" s="3">
        <f t="shared" ref="F49:AJ49" si="31">F16-F17</f>
        <v>60.57544838081003</v>
      </c>
      <c r="G49" s="3">
        <f t="shared" si="31"/>
        <v>-78.332147791588341</v>
      </c>
      <c r="H49" s="3">
        <f t="shared" si="31"/>
        <v>20.721301645547555</v>
      </c>
      <c r="I49" s="3">
        <f t="shared" si="31"/>
        <v>-3.3887354138851151</v>
      </c>
      <c r="J49" s="3">
        <f t="shared" si="31"/>
        <v>0.47123571083284332</v>
      </c>
      <c r="K49" s="3">
        <f t="shared" si="31"/>
        <v>-5.3555974432583753E-2</v>
      </c>
      <c r="L49" s="3">
        <f t="shared" si="31"/>
        <v>5.9320985442354868E-3</v>
      </c>
      <c r="M49" s="3">
        <f t="shared" si="31"/>
        <v>-2.5169159070173919E-2</v>
      </c>
      <c r="N49" s="3">
        <f t="shared" si="31"/>
        <v>9.0811206566513647E-2</v>
      </c>
      <c r="O49" s="3">
        <f t="shared" si="31"/>
        <v>-0.16790423630732221</v>
      </c>
      <c r="P49" s="3">
        <f t="shared" si="31"/>
        <v>0.30826763165396187</v>
      </c>
      <c r="Q49" s="3">
        <f t="shared" si="31"/>
        <v>-0.48415797735083288</v>
      </c>
      <c r="R49" s="3">
        <f t="shared" si="31"/>
        <v>0.60248120196411037</v>
      </c>
      <c r="S49" s="3">
        <f t="shared" si="31"/>
        <v>-0.63520763442647876</v>
      </c>
      <c r="T49" s="3">
        <f t="shared" si="31"/>
        <v>0.58318628156553132</v>
      </c>
      <c r="U49" s="3">
        <f t="shared" si="31"/>
        <v>-0.47531694099018296</v>
      </c>
      <c r="V49" s="3">
        <f t="shared" si="31"/>
        <v>0.2927338206432637</v>
      </c>
      <c r="W49" s="3">
        <f t="shared" si="31"/>
        <v>-0.1708382251238163</v>
      </c>
      <c r="X49" s="3">
        <f t="shared" si="31"/>
        <v>-0.17279708227604829</v>
      </c>
      <c r="Y49" s="3">
        <f t="shared" si="31"/>
        <v>0.43373622009374913</v>
      </c>
      <c r="Z49" s="3">
        <f t="shared" si="31"/>
        <v>-0.21623415405625224</v>
      </c>
      <c r="AA49" s="3">
        <f t="shared" si="31"/>
        <v>8.6377269916795285E-2</v>
      </c>
      <c r="AB49" s="3">
        <f t="shared" si="31"/>
        <v>-1.2852004743990619E-5</v>
      </c>
      <c r="AC49" s="3">
        <f t="shared" si="31"/>
        <v>-2.8171699090762559E-2</v>
      </c>
      <c r="AD49" s="3">
        <f t="shared" si="31"/>
        <v>-7.3416823227034911E-4</v>
      </c>
      <c r="AE49" s="3">
        <f t="shared" si="31"/>
        <v>2.3089274323098152E-2</v>
      </c>
      <c r="AF49" s="3">
        <f t="shared" si="31"/>
        <v>1.8569411374926403E-2</v>
      </c>
      <c r="AG49" s="3">
        <f t="shared" si="31"/>
        <v>-9.0826372690173685E-2</v>
      </c>
      <c r="AH49" s="3">
        <f t="shared" si="31"/>
        <v>-0.17801566773155741</v>
      </c>
      <c r="AI49" s="3">
        <f t="shared" si="31"/>
        <v>-0.14856435910624555</v>
      </c>
      <c r="AJ49" s="3">
        <f t="shared" si="31"/>
        <v>0.37528504047071465</v>
      </c>
    </row>
    <row r="50" spans="1:36" x14ac:dyDescent="0.25">
      <c r="F50" s="57">
        <f t="shared" ref="F50:AJ50" si="32">F49/F17</f>
        <v>1.7880940216495382E-2</v>
      </c>
      <c r="G50" s="57">
        <f t="shared" si="32"/>
        <v>-2.3608779369131271E-2</v>
      </c>
      <c r="H50" s="57">
        <f t="shared" si="32"/>
        <v>6.7689073426810678E-3</v>
      </c>
      <c r="I50" s="57">
        <f t="shared" si="32"/>
        <v>-1.1571510123560016E-3</v>
      </c>
      <c r="J50" s="57">
        <f t="shared" si="32"/>
        <v>1.7023142811305181E-4</v>
      </c>
      <c r="K50" s="57">
        <f t="shared" si="32"/>
        <v>-2.0694561194222798E-5</v>
      </c>
      <c r="L50" s="57">
        <f t="shared" si="32"/>
        <v>2.4794943585962597E-6</v>
      </c>
      <c r="M50" s="57">
        <f t="shared" si="32"/>
        <v>-1.1583704341377022E-5</v>
      </c>
      <c r="N50" s="57">
        <f t="shared" si="32"/>
        <v>4.7104336720433222E-5</v>
      </c>
      <c r="O50" s="57">
        <f t="shared" si="32"/>
        <v>-1.0213992185262068E-4</v>
      </c>
      <c r="P50" s="57">
        <f t="shared" si="32"/>
        <v>2.3364887235184314E-4</v>
      </c>
      <c r="Q50" s="57">
        <f t="shared" si="32"/>
        <v>-4.9198067611612103E-4</v>
      </c>
      <c r="R50" s="57">
        <f t="shared" si="32"/>
        <v>8.6930777704959854E-4</v>
      </c>
      <c r="S50" s="57">
        <f t="shared" si="32"/>
        <v>-1.3054665217936844E-3</v>
      </c>
      <c r="T50" s="57">
        <f t="shared" si="32"/>
        <v>1.5899441043784603E-3</v>
      </c>
      <c r="U50" s="57">
        <f t="shared" si="32"/>
        <v>-1.5450070375405713E-3</v>
      </c>
      <c r="V50" s="57">
        <f t="shared" si="32"/>
        <v>1.0500693925677366E-3</v>
      </c>
      <c r="W50" s="57">
        <f t="shared" si="32"/>
        <v>-6.5244643891680632E-4</v>
      </c>
      <c r="X50" s="57">
        <f t="shared" si="32"/>
        <v>-6.8701254245290798E-4</v>
      </c>
      <c r="Y50" s="57">
        <f t="shared" si="32"/>
        <v>1.7653397793113178E-3</v>
      </c>
      <c r="Z50" s="57">
        <f t="shared" si="32"/>
        <v>-9.2995627895679572E-4</v>
      </c>
      <c r="AA50" s="57">
        <f t="shared" si="32"/>
        <v>3.8025786544546199E-4</v>
      </c>
      <c r="AB50" s="57">
        <f t="shared" si="32"/>
        <v>-5.6764322270118312E-8</v>
      </c>
      <c r="AC50" s="57">
        <f t="shared" si="32"/>
        <v>-1.2447163557801876E-4</v>
      </c>
      <c r="AD50" s="57">
        <f t="shared" si="32"/>
        <v>-3.2489331957267701E-6</v>
      </c>
      <c r="AE50" s="57">
        <f t="shared" si="32"/>
        <v>1.0235371267397032E-4</v>
      </c>
      <c r="AF50" s="57">
        <f t="shared" si="32"/>
        <v>8.2357677750895212E-5</v>
      </c>
      <c r="AG50" s="57">
        <f t="shared" si="32"/>
        <v>-4.0282743976356185E-4</v>
      </c>
      <c r="AH50" s="57">
        <f t="shared" si="32"/>
        <v>-7.8954383430389168E-4</v>
      </c>
      <c r="AI50" s="57">
        <f t="shared" si="32"/>
        <v>-6.5908519495012972E-4</v>
      </c>
      <c r="AJ50" s="57">
        <f t="shared" si="32"/>
        <v>1.6688846999811148E-3</v>
      </c>
    </row>
    <row r="51" spans="1:36" x14ac:dyDescent="0.25">
      <c r="A51" s="13" t="s">
        <v>21</v>
      </c>
      <c r="B51" s="3">
        <f>STUTT!D8</f>
        <v>5614.1607000000004</v>
      </c>
      <c r="E51" s="11" t="s">
        <v>24</v>
      </c>
      <c r="F51" s="20">
        <f t="shared" ref="F51:AJ51" si="33">(F16-F17)^2</f>
        <v>3669.3849465361805</v>
      </c>
      <c r="G51" s="20">
        <f t="shared" si="33"/>
        <v>6135.9253776432379</v>
      </c>
      <c r="H51" s="20">
        <f t="shared" si="33"/>
        <v>429.37234188577185</v>
      </c>
      <c r="I51" s="20">
        <f t="shared" si="33"/>
        <v>11.483527705319123</v>
      </c>
      <c r="J51" s="20">
        <f t="shared" si="33"/>
        <v>0.22206309516413514</v>
      </c>
      <c r="K51" s="20">
        <f t="shared" si="33"/>
        <v>2.8682423974235646E-3</v>
      </c>
      <c r="L51" s="20">
        <f t="shared" si="33"/>
        <v>3.518979313852078E-5</v>
      </c>
      <c r="M51" s="20">
        <f t="shared" si="33"/>
        <v>6.3348656829971799E-4</v>
      </c>
      <c r="N51" s="20">
        <f t="shared" si="33"/>
        <v>8.2466752380660115E-3</v>
      </c>
      <c r="O51" s="20">
        <f t="shared" si="33"/>
        <v>2.8191832569945098E-2</v>
      </c>
      <c r="P51" s="20">
        <f t="shared" si="33"/>
        <v>9.502893272554272E-2</v>
      </c>
      <c r="Q51" s="20">
        <f t="shared" si="33"/>
        <v>0.2344089470324496</v>
      </c>
      <c r="R51" s="20">
        <f t="shared" si="33"/>
        <v>0.36298359872011915</v>
      </c>
      <c r="S51" s="20">
        <f t="shared" si="33"/>
        <v>0.40348873883368308</v>
      </c>
      <c r="T51" s="20">
        <f t="shared" si="33"/>
        <v>0.34010623900623116</v>
      </c>
      <c r="U51" s="20">
        <f t="shared" si="33"/>
        <v>0.22592619439226508</v>
      </c>
      <c r="V51" s="20">
        <f t="shared" si="33"/>
        <v>8.5693089748402479E-2</v>
      </c>
      <c r="W51" s="20">
        <f t="shared" si="33"/>
        <v>2.9185699163455738E-2</v>
      </c>
      <c r="X51" s="20">
        <f t="shared" si="33"/>
        <v>2.98588316431154E-2</v>
      </c>
      <c r="Y51" s="20">
        <f t="shared" si="33"/>
        <v>0.18812710862121318</v>
      </c>
      <c r="Z51" s="20">
        <f t="shared" si="33"/>
        <v>4.6757209380423027E-2</v>
      </c>
      <c r="AA51" s="20">
        <f t="shared" si="33"/>
        <v>7.4610327582789078E-3</v>
      </c>
      <c r="AB51" s="20">
        <f t="shared" si="33"/>
        <v>1.6517402593955739E-10</v>
      </c>
      <c r="AC51" s="20">
        <f t="shared" si="33"/>
        <v>7.9364462966047202E-4</v>
      </c>
      <c r="AD51" s="20">
        <f t="shared" si="33"/>
        <v>5.3900299327496924E-7</v>
      </c>
      <c r="AE51" s="20">
        <f t="shared" si="33"/>
        <v>5.3311458876727962E-4</v>
      </c>
      <c r="AF51" s="20">
        <f t="shared" si="33"/>
        <v>3.4482303881124612E-4</v>
      </c>
      <c r="AG51" s="20">
        <f t="shared" si="33"/>
        <v>8.2494299760543285E-3</v>
      </c>
      <c r="AH51" s="20">
        <f t="shared" si="33"/>
        <v>3.1689577957912253E-2</v>
      </c>
      <c r="AI51" s="20">
        <f t="shared" si="33"/>
        <v>2.2071368796649483E-2</v>
      </c>
      <c r="AJ51" s="20">
        <f t="shared" si="33"/>
        <v>0.14083886160110592</v>
      </c>
    </row>
    <row r="52" spans="1:36" x14ac:dyDescent="0.25">
      <c r="A52" s="13"/>
    </row>
    <row r="53" spans="1:36" x14ac:dyDescent="0.25">
      <c r="E53" s="118" t="s">
        <v>25</v>
      </c>
      <c r="F53" s="118"/>
      <c r="G53" s="104">
        <f>SUM(F51:AJ51)</f>
        <v>10248.681779274015</v>
      </c>
      <c r="I53" s="3">
        <f>G53+C123</f>
        <v>10248.681779274015</v>
      </c>
      <c r="K53" s="3">
        <f>SUM(Z51:AJ51)</f>
        <v>0.25873960189583023</v>
      </c>
    </row>
    <row r="55" spans="1:36" x14ac:dyDescent="0.25">
      <c r="E55" s="30" t="s">
        <v>30</v>
      </c>
      <c r="F55" s="31">
        <f t="shared" ref="F55:AJ55" si="34">ABS(F17-F16)/F16</f>
        <v>1.756682880091285E-2</v>
      </c>
      <c r="G55" s="31">
        <f t="shared" si="34"/>
        <v>2.4179630941250269E-2</v>
      </c>
      <c r="H55" s="31">
        <f t="shared" si="34"/>
        <v>6.7233972894010794E-3</v>
      </c>
      <c r="I55" s="31">
        <f t="shared" si="34"/>
        <v>1.1584915620398218E-3</v>
      </c>
      <c r="J55" s="31">
        <f t="shared" si="34"/>
        <v>1.7020245430618693E-4</v>
      </c>
      <c r="K55" s="31">
        <f t="shared" si="34"/>
        <v>2.0694989467948757E-5</v>
      </c>
      <c r="L55" s="31">
        <f t="shared" si="34"/>
        <v>2.4794882107192292E-6</v>
      </c>
      <c r="M55" s="31">
        <f t="shared" si="34"/>
        <v>1.1583838525137635E-5</v>
      </c>
      <c r="N55" s="31">
        <f t="shared" si="34"/>
        <v>4.7102118006406402E-5</v>
      </c>
      <c r="O55" s="31">
        <f t="shared" si="34"/>
        <v>1.0215035548194682E-4</v>
      </c>
      <c r="P55" s="31">
        <f t="shared" si="34"/>
        <v>2.3359429330862378E-4</v>
      </c>
      <c r="Q55" s="31">
        <f t="shared" si="34"/>
        <v>4.9222284024186302E-4</v>
      </c>
      <c r="R55" s="31">
        <f t="shared" si="34"/>
        <v>8.6855273740019882E-4</v>
      </c>
      <c r="S55" s="31">
        <f t="shared" si="34"/>
        <v>1.3071729923734207E-3</v>
      </c>
      <c r="T55" s="31">
        <f t="shared" si="34"/>
        <v>1.5874201949982517E-3</v>
      </c>
      <c r="U55" s="31">
        <f t="shared" si="34"/>
        <v>1.5473977779974519E-3</v>
      </c>
      <c r="V55" s="31">
        <f t="shared" si="34"/>
        <v>1.048967903478508E-3</v>
      </c>
      <c r="W55" s="31">
        <f t="shared" si="34"/>
        <v>6.5287240319133566E-4</v>
      </c>
      <c r="X55" s="31">
        <f t="shared" si="34"/>
        <v>6.8748485316978203E-4</v>
      </c>
      <c r="Y55" s="31">
        <f t="shared" si="34"/>
        <v>1.7622288466281153E-3</v>
      </c>
      <c r="Z55" s="31">
        <f t="shared" si="34"/>
        <v>9.3082190262973677E-4</v>
      </c>
      <c r="AA55" s="31">
        <f t="shared" si="34"/>
        <v>3.8011332436411192E-4</v>
      </c>
      <c r="AB55" s="31">
        <f t="shared" si="34"/>
        <v>5.6764325492306778E-8</v>
      </c>
      <c r="AC55" s="31">
        <f t="shared" si="34"/>
        <v>1.2448713069478475E-4</v>
      </c>
      <c r="AD55" s="31">
        <f t="shared" si="34"/>
        <v>3.2489437513279749E-6</v>
      </c>
      <c r="AE55" s="31">
        <f t="shared" si="34"/>
        <v>1.0234323746364885E-4</v>
      </c>
      <c r="AF55" s="31">
        <f t="shared" si="34"/>
        <v>8.2350895522379284E-5</v>
      </c>
      <c r="AG55" s="31">
        <f t="shared" si="34"/>
        <v>4.0298977510291748E-4</v>
      </c>
      <c r="AH55" s="31">
        <f t="shared" si="34"/>
        <v>7.9016770634450203E-4</v>
      </c>
      <c r="AI55" s="31">
        <f t="shared" si="34"/>
        <v>6.5951987473534309E-4</v>
      </c>
      <c r="AJ55" s="31">
        <f t="shared" si="34"/>
        <v>1.6661041642328516E-3</v>
      </c>
    </row>
    <row r="56" spans="1:36" x14ac:dyDescent="0.25">
      <c r="E56" s="13" t="s">
        <v>31</v>
      </c>
      <c r="F56" s="32">
        <f>AVERAGE(F55:AJ55)</f>
        <v>2.1068606580502262E-3</v>
      </c>
    </row>
    <row r="57" spans="1:36" x14ac:dyDescent="0.25">
      <c r="A57" s="42"/>
      <c r="B57" s="15"/>
      <c r="C57" s="15"/>
      <c r="D57" s="15"/>
      <c r="F57" s="60">
        <f>AVERAGE(S55:X55)</f>
        <v>1.1385526875347916E-3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-59.999898573957836</v>
      </c>
    </row>
    <row r="119" spans="1:14" x14ac:dyDescent="0.25">
      <c r="L119" s="11">
        <f>L118+1</f>
        <v>2</v>
      </c>
      <c r="M119" s="11">
        <f t="shared" ref="M119:M124" si="35">INDEX($B$125:$K$126,1,L119)</f>
        <v>0</v>
      </c>
      <c r="N119" s="11">
        <f t="shared" ref="N119:N124" si="36">IF(L119=$B$3,0,INDEX($B$125:$K$126,2,L119))</f>
        <v>-48.304090284066596</v>
      </c>
    </row>
    <row r="120" spans="1:14" x14ac:dyDescent="0.25">
      <c r="L120" s="11">
        <f t="shared" ref="L120:L124" si="37">L119+1</f>
        <v>3</v>
      </c>
      <c r="M120" s="11">
        <f t="shared" si="35"/>
        <v>25</v>
      </c>
      <c r="N120" s="11">
        <f t="shared" si="36"/>
        <v>-41.637760530499037</v>
      </c>
    </row>
    <row r="121" spans="1:14" x14ac:dyDescent="0.25">
      <c r="A121" s="103">
        <f>(A165+A204+A243+A282+A321+A360+A399)*10^9</f>
        <v>1.4852243075689442E+16</v>
      </c>
      <c r="L121" s="11">
        <f t="shared" si="37"/>
        <v>4</v>
      </c>
      <c r="M121" s="11">
        <f t="shared" si="35"/>
        <v>50</v>
      </c>
      <c r="N121" s="11">
        <f t="shared" si="36"/>
        <v>-36.805825364540944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-30.301029676651819</v>
      </c>
    </row>
    <row r="123" spans="1:14" x14ac:dyDescent="0.25">
      <c r="A123" s="118"/>
      <c r="B123" s="118"/>
      <c r="C123" s="3"/>
      <c r="D123" s="3"/>
      <c r="E123" s="3"/>
      <c r="F123" s="3"/>
      <c r="G123" s="3"/>
      <c r="H123" s="3"/>
      <c r="I123" s="3"/>
      <c r="J123" s="3"/>
      <c r="K123" s="3"/>
      <c r="L123" s="11">
        <f t="shared" si="37"/>
        <v>6</v>
      </c>
      <c r="M123" s="11">
        <f t="shared" si="35"/>
        <v>125</v>
      </c>
      <c r="N123" s="11">
        <f t="shared" si="36"/>
        <v>-14.29512662364</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-59.999898573957836</v>
      </c>
      <c r="C126" s="107">
        <v>-48.304090284066596</v>
      </c>
      <c r="D126" s="107">
        <v>-41.637760530499037</v>
      </c>
      <c r="E126" s="107">
        <v>-36.805825364540944</v>
      </c>
      <c r="F126" s="107">
        <v>-30.301029676651819</v>
      </c>
      <c r="G126" s="107">
        <v>-14.29512662364</v>
      </c>
      <c r="H126" s="107">
        <v>-2.2257380463031412E-4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8" t="s">
        <v>22</v>
      </c>
      <c r="B131" s="27">
        <f>($C$17+SUM(B132:B162))*$B$51</f>
        <v>5614.1606999999995</v>
      </c>
      <c r="C131" s="27">
        <f t="shared" ref="C131:AF131" si="40">($C$17+SUM(C132:C162))*$B$51</f>
        <v>5614.1606999999995</v>
      </c>
      <c r="D131" s="27">
        <f t="shared" si="40"/>
        <v>5614.1606999999995</v>
      </c>
      <c r="E131" s="27">
        <f t="shared" si="40"/>
        <v>5614.1606999999995</v>
      </c>
      <c r="F131" s="27">
        <f t="shared" si="40"/>
        <v>5614.1606999999995</v>
      </c>
      <c r="G131" s="27">
        <f t="shared" si="40"/>
        <v>5614.1606999999995</v>
      </c>
      <c r="H131" s="27">
        <f t="shared" si="40"/>
        <v>5614.1606999999976</v>
      </c>
      <c r="I131" s="27">
        <f t="shared" si="40"/>
        <v>5614.1606999999804</v>
      </c>
      <c r="J131" s="27">
        <f t="shared" si="40"/>
        <v>5614.1606999998057</v>
      </c>
      <c r="K131" s="27">
        <f t="shared" si="40"/>
        <v>5614.1606999980577</v>
      </c>
      <c r="L131" s="27">
        <f t="shared" si="40"/>
        <v>5614.1606999805781</v>
      </c>
      <c r="M131" s="27">
        <f t="shared" si="40"/>
        <v>5614.1606998057878</v>
      </c>
      <c r="N131" s="27">
        <f t="shared" si="40"/>
        <v>5614.1606980578781</v>
      </c>
      <c r="O131" s="27">
        <f t="shared" si="40"/>
        <v>5614.1606805787915</v>
      </c>
      <c r="P131" s="27">
        <f t="shared" si="40"/>
        <v>5614.1605057879233</v>
      </c>
      <c r="Q131" s="27">
        <f t="shared" si="40"/>
        <v>5614.1587578799999</v>
      </c>
      <c r="R131" s="27">
        <f t="shared" si="40"/>
        <v>5614.1412788765329</v>
      </c>
      <c r="S131" s="27">
        <f t="shared" si="40"/>
        <v>5613.9664964186413</v>
      </c>
      <c r="T131" s="27">
        <f t="shared" si="40"/>
        <v>5612.2194292973973</v>
      </c>
      <c r="U131" s="27">
        <f t="shared" si="40"/>
        <v>5594.8242834252524</v>
      </c>
      <c r="V131" s="27">
        <f t="shared" si="40"/>
        <v>5428.2096772040713</v>
      </c>
      <c r="W131" s="27">
        <f t="shared" si="40"/>
        <v>4320.2568198682557</v>
      </c>
      <c r="X131" s="27">
        <f t="shared" si="40"/>
        <v>3396.8174194576627</v>
      </c>
      <c r="Y131" s="27">
        <f t="shared" si="40"/>
        <v>3396.4616021937795</v>
      </c>
      <c r="Z131" s="27">
        <f t="shared" si="40"/>
        <v>3396.3917148578403</v>
      </c>
      <c r="AA131" s="27">
        <f t="shared" si="40"/>
        <v>3395.6935937618964</v>
      </c>
      <c r="AB131" s="27">
        <f t="shared" si="40"/>
        <v>3388.7870515729651</v>
      </c>
      <c r="AC131" s="27">
        <f t="shared" si="40"/>
        <v>3326.6608764691482</v>
      </c>
      <c r="AD131" s="27">
        <f t="shared" si="40"/>
        <v>3073.908404927321</v>
      </c>
      <c r="AE131" s="27">
        <f t="shared" si="40"/>
        <v>2936.1864823960618</v>
      </c>
      <c r="AF131" s="27">
        <f t="shared" si="40"/>
        <v>2778.6460972452855</v>
      </c>
    </row>
    <row r="132" spans="1:33" x14ac:dyDescent="0.25">
      <c r="B132" s="3">
        <f t="shared" ref="B132:Z133" si="41">$C18*EXP(-B$129/$A18/EXP(-$B$126))</f>
        <v>0.39501743006781931</v>
      </c>
      <c r="C132" s="3">
        <f t="shared" ref="C132:AF132" si="42">$C18*EXP(-C$129/$A18/EXP(-$B$126))</f>
        <v>0.39501743006781931</v>
      </c>
      <c r="D132" s="3">
        <f t="shared" si="42"/>
        <v>0.39501743006781931</v>
      </c>
      <c r="E132" s="3">
        <f t="shared" si="42"/>
        <v>0.39501743006781931</v>
      </c>
      <c r="F132" s="3">
        <f t="shared" si="42"/>
        <v>0.39501743006781931</v>
      </c>
      <c r="G132" s="3">
        <f t="shared" si="42"/>
        <v>0.39501743006781925</v>
      </c>
      <c r="H132" s="3">
        <f t="shared" si="42"/>
        <v>0.39501743006781898</v>
      </c>
      <c r="I132" s="3">
        <f t="shared" si="42"/>
        <v>0.39501743006781587</v>
      </c>
      <c r="J132" s="3">
        <f t="shared" si="42"/>
        <v>0.39501743006778473</v>
      </c>
      <c r="K132" s="3">
        <f t="shared" si="42"/>
        <v>0.39501743006747336</v>
      </c>
      <c r="L132" s="3">
        <f t="shared" si="42"/>
        <v>0.39501743006435996</v>
      </c>
      <c r="M132" s="3">
        <f t="shared" si="42"/>
        <v>0.39501743003322609</v>
      </c>
      <c r="N132" s="3">
        <f t="shared" si="42"/>
        <v>0.39501742972188675</v>
      </c>
      <c r="O132" s="3">
        <f t="shared" si="42"/>
        <v>0.39501742660849409</v>
      </c>
      <c r="P132" s="3">
        <f t="shared" si="42"/>
        <v>0.39501739547456854</v>
      </c>
      <c r="Q132" s="3">
        <f t="shared" si="42"/>
        <v>0.39501708413544823</v>
      </c>
      <c r="R132" s="3">
        <f t="shared" si="42"/>
        <v>0.39501397075774092</v>
      </c>
      <c r="S132" s="3">
        <f t="shared" si="42"/>
        <v>0.39498283833025249</v>
      </c>
      <c r="T132" s="3">
        <f t="shared" si="42"/>
        <v>0.3946716489744958</v>
      </c>
      <c r="U132" s="3">
        <f t="shared" si="42"/>
        <v>0.39157320806716855</v>
      </c>
      <c r="V132" s="3">
        <f t="shared" si="42"/>
        <v>0.3618956466052014</v>
      </c>
      <c r="W132" s="3">
        <f t="shared" si="42"/>
        <v>0.16454597197972737</v>
      </c>
      <c r="X132" s="3">
        <f t="shared" si="42"/>
        <v>6.2133557642046048E-5</v>
      </c>
      <c r="Y132" s="3">
        <f t="shared" si="42"/>
        <v>3.6619792457998964E-39</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5.9661445570693118E-2</v>
      </c>
      <c r="C133" s="3">
        <f t="shared" si="41"/>
        <v>5.9661445570693118E-2</v>
      </c>
      <c r="D133" s="3">
        <f t="shared" si="41"/>
        <v>5.9661445570693118E-2</v>
      </c>
      <c r="E133" s="3">
        <f t="shared" si="41"/>
        <v>5.9661445570693118E-2</v>
      </c>
      <c r="F133" s="3">
        <f t="shared" si="41"/>
        <v>5.9661445570693118E-2</v>
      </c>
      <c r="G133" s="3">
        <f t="shared" si="41"/>
        <v>5.9661445570693118E-2</v>
      </c>
      <c r="H133" s="3">
        <f t="shared" si="41"/>
        <v>5.9661445570693118E-2</v>
      </c>
      <c r="I133" s="3">
        <f t="shared" si="41"/>
        <v>5.9661445570693118E-2</v>
      </c>
      <c r="J133" s="3">
        <f t="shared" si="41"/>
        <v>5.9661445570693118E-2</v>
      </c>
      <c r="K133" s="3">
        <f t="shared" si="41"/>
        <v>5.9661445570693118E-2</v>
      </c>
      <c r="L133" s="3">
        <f t="shared" si="41"/>
        <v>5.9661445570693118E-2</v>
      </c>
      <c r="M133" s="3">
        <f t="shared" si="41"/>
        <v>5.9661445570693118E-2</v>
      </c>
      <c r="N133" s="3">
        <f t="shared" si="41"/>
        <v>5.9661445570693104E-2</v>
      </c>
      <c r="O133" s="3">
        <f t="shared" si="41"/>
        <v>5.9661445570692986E-2</v>
      </c>
      <c r="P133" s="3">
        <f t="shared" si="41"/>
        <v>5.9661445570691779E-2</v>
      </c>
      <c r="Q133" s="3">
        <f t="shared" si="41"/>
        <v>5.9661445570679733E-2</v>
      </c>
      <c r="R133" s="3">
        <f t="shared" si="41"/>
        <v>5.9661445570559288E-2</v>
      </c>
      <c r="S133" s="3">
        <f t="shared" si="41"/>
        <v>5.9661445569354765E-2</v>
      </c>
      <c r="T133" s="3">
        <f t="shared" si="41"/>
        <v>5.9661445557309581E-2</v>
      </c>
      <c r="U133" s="3">
        <f t="shared" si="41"/>
        <v>5.966144543685778E-2</v>
      </c>
      <c r="V133" s="3">
        <f t="shared" si="41"/>
        <v>5.9661444232339704E-2</v>
      </c>
      <c r="W133" s="3">
        <f t="shared" si="41"/>
        <v>5.9661432187160295E-2</v>
      </c>
      <c r="X133" s="3">
        <f t="shared" si="41"/>
        <v>5.9661311735499989E-2</v>
      </c>
      <c r="Y133" s="3">
        <f t="shared" si="41"/>
        <v>5.9660107232271851E-2</v>
      </c>
      <c r="Z133" s="3">
        <f t="shared" si="41"/>
        <v>5.9648063537384957E-2</v>
      </c>
      <c r="AA133" s="3">
        <f t="shared" ref="AA133:AF133" si="43">$C19*EXP(-AA$129/$A19/EXP(-$B$126))</f>
        <v>5.9527760228113923E-2</v>
      </c>
      <c r="AB133" s="3">
        <f t="shared" si="43"/>
        <v>5.8337991803079414E-2</v>
      </c>
      <c r="AC133" s="3">
        <f t="shared" si="43"/>
        <v>4.7672815749168013E-2</v>
      </c>
      <c r="AD133" s="3">
        <f t="shared" si="43"/>
        <v>6.3308801425463364E-3</v>
      </c>
      <c r="AE133" s="3">
        <f t="shared" si="43"/>
        <v>1.0799333852839284E-11</v>
      </c>
      <c r="AF133" s="3">
        <f t="shared" si="43"/>
        <v>2.2528160171398448E-99</v>
      </c>
    </row>
    <row r="134" spans="1:33" x14ac:dyDescent="0.25">
      <c r="B134" s="3">
        <f t="shared" ref="B134:Z134" si="44">$C20*EXP(-B$129/$A20/EXP(-$B$126))</f>
        <v>1.9174474308937255E-2</v>
      </c>
      <c r="C134" s="3">
        <f t="shared" si="44"/>
        <v>1.9174474308937255E-2</v>
      </c>
      <c r="D134" s="3">
        <f t="shared" si="44"/>
        <v>1.9174474308937255E-2</v>
      </c>
      <c r="E134" s="3">
        <f t="shared" si="44"/>
        <v>1.9174474308937255E-2</v>
      </c>
      <c r="F134" s="3">
        <f t="shared" si="44"/>
        <v>1.9174474308937255E-2</v>
      </c>
      <c r="G134" s="3">
        <f t="shared" si="44"/>
        <v>1.9174474308937255E-2</v>
      </c>
      <c r="H134" s="3">
        <f t="shared" si="44"/>
        <v>1.9174474308937255E-2</v>
      </c>
      <c r="I134" s="3">
        <f t="shared" si="44"/>
        <v>1.9174474308937255E-2</v>
      </c>
      <c r="J134" s="3">
        <f t="shared" si="44"/>
        <v>1.9174474308937255E-2</v>
      </c>
      <c r="K134" s="3">
        <f t="shared" si="44"/>
        <v>1.9174474308937255E-2</v>
      </c>
      <c r="L134" s="3">
        <f t="shared" si="44"/>
        <v>1.9174474308937255E-2</v>
      </c>
      <c r="M134" s="3">
        <f t="shared" si="44"/>
        <v>1.9174474308937255E-2</v>
      </c>
      <c r="N134" s="3">
        <f t="shared" si="44"/>
        <v>1.9174474308937255E-2</v>
      </c>
      <c r="O134" s="3">
        <f t="shared" si="44"/>
        <v>1.9174474308937251E-2</v>
      </c>
      <c r="P134" s="3">
        <f t="shared" si="44"/>
        <v>1.9174474308937216E-2</v>
      </c>
      <c r="Q134" s="3">
        <f t="shared" si="44"/>
        <v>1.9174474308936866E-2</v>
      </c>
      <c r="R134" s="3">
        <f t="shared" si="44"/>
        <v>1.9174474308933372E-2</v>
      </c>
      <c r="S134" s="3">
        <f t="shared" si="44"/>
        <v>1.9174474308898452E-2</v>
      </c>
      <c r="T134" s="3">
        <f t="shared" si="44"/>
        <v>1.9174474308549242E-2</v>
      </c>
      <c r="U134" s="3">
        <f t="shared" si="44"/>
        <v>1.9174474305057119E-2</v>
      </c>
      <c r="V134" s="3">
        <f t="shared" si="44"/>
        <v>1.9174474270135879E-2</v>
      </c>
      <c r="W134" s="3">
        <f t="shared" si="44"/>
        <v>1.9174473920923522E-2</v>
      </c>
      <c r="X134" s="3">
        <f t="shared" si="44"/>
        <v>1.9174470428800272E-2</v>
      </c>
      <c r="Y134" s="3">
        <f t="shared" si="44"/>
        <v>1.9174435507602741E-2</v>
      </c>
      <c r="Z134" s="3">
        <f t="shared" si="44"/>
        <v>1.9174086299125412E-2</v>
      </c>
      <c r="AA134" s="3">
        <f t="shared" ref="AA134" si="45">$C20*EXP(-AA$129/$A20/EXP(-$B$126))</f>
        <v>1.9170594564124829E-2</v>
      </c>
      <c r="AB134" s="3">
        <f t="shared" ref="AB134:AF143" si="46">$C20*EXP(-AB$129/$A20/EXP(-$B$126))</f>
        <v>1.913571216783249E-2</v>
      </c>
      <c r="AC134" s="3">
        <f t="shared" si="46"/>
        <v>1.8790360136748247E-2</v>
      </c>
      <c r="AD134" s="3">
        <f t="shared" si="46"/>
        <v>1.5661734017646794E-2</v>
      </c>
      <c r="AE134" s="3">
        <f t="shared" si="46"/>
        <v>2.5344705326071325E-3</v>
      </c>
      <c r="AF134" s="3">
        <f t="shared" si="46"/>
        <v>3.1214851073881701E-11</v>
      </c>
    </row>
    <row r="135" spans="1:33" x14ac:dyDescent="0.25">
      <c r="B135" s="3">
        <f t="shared" ref="B135:Z135" si="47">$C21*EXP(-B$129/$A21/EXP(-$B$126))</f>
        <v>3.042813256492289E-2</v>
      </c>
      <c r="C135" s="3">
        <f t="shared" si="47"/>
        <v>3.042813256492289E-2</v>
      </c>
      <c r="D135" s="3">
        <f t="shared" si="47"/>
        <v>3.042813256492289E-2</v>
      </c>
      <c r="E135" s="3">
        <f t="shared" si="47"/>
        <v>3.042813256492289E-2</v>
      </c>
      <c r="F135" s="3">
        <f t="shared" si="47"/>
        <v>3.042813256492289E-2</v>
      </c>
      <c r="G135" s="3">
        <f t="shared" si="47"/>
        <v>3.042813256492289E-2</v>
      </c>
      <c r="H135" s="3">
        <f t="shared" si="47"/>
        <v>3.042813256492289E-2</v>
      </c>
      <c r="I135" s="3">
        <f t="shared" si="47"/>
        <v>3.042813256492289E-2</v>
      </c>
      <c r="J135" s="3">
        <f t="shared" si="47"/>
        <v>3.042813256492289E-2</v>
      </c>
      <c r="K135" s="3">
        <f t="shared" si="47"/>
        <v>3.042813256492289E-2</v>
      </c>
      <c r="L135" s="3">
        <f t="shared" si="47"/>
        <v>3.042813256492289E-2</v>
      </c>
      <c r="M135" s="3">
        <f t="shared" si="47"/>
        <v>3.042813256492289E-2</v>
      </c>
      <c r="N135" s="3">
        <f t="shared" si="47"/>
        <v>3.042813256492289E-2</v>
      </c>
      <c r="O135" s="3">
        <f t="shared" si="47"/>
        <v>3.042813256492289E-2</v>
      </c>
      <c r="P135" s="3">
        <f t="shared" si="47"/>
        <v>3.0428132564922883E-2</v>
      </c>
      <c r="Q135" s="3">
        <f t="shared" si="47"/>
        <v>3.0428132564922834E-2</v>
      </c>
      <c r="R135" s="3">
        <f t="shared" si="47"/>
        <v>3.0428132564922335E-2</v>
      </c>
      <c r="S135" s="3">
        <f t="shared" si="47"/>
        <v>3.0428132564917335E-2</v>
      </c>
      <c r="T135" s="3">
        <f t="shared" si="47"/>
        <v>3.0428132564867344E-2</v>
      </c>
      <c r="U135" s="3">
        <f t="shared" si="47"/>
        <v>3.0428132564367438E-2</v>
      </c>
      <c r="V135" s="3">
        <f t="shared" si="47"/>
        <v>3.0428132559368385E-2</v>
      </c>
      <c r="W135" s="3">
        <f t="shared" si="47"/>
        <v>3.0428132509377818E-2</v>
      </c>
      <c r="X135" s="3">
        <f t="shared" si="47"/>
        <v>3.0428132009472184E-2</v>
      </c>
      <c r="Y135" s="3">
        <f t="shared" si="47"/>
        <v>3.0428127010416292E-2</v>
      </c>
      <c r="Z135" s="3">
        <f t="shared" si="47"/>
        <v>3.0428077019902529E-2</v>
      </c>
      <c r="AA135" s="3">
        <f t="shared" ref="AA135" si="48">$C21*EXP(-AA$129/$A21/EXP(-$B$126))</f>
        <v>3.0427577119282029E-2</v>
      </c>
      <c r="AB135" s="3">
        <f t="shared" si="46"/>
        <v>3.0422578564760439E-2</v>
      </c>
      <c r="AC135" s="3">
        <f t="shared" si="46"/>
        <v>3.0372638160439822E-2</v>
      </c>
      <c r="AD135" s="3">
        <f t="shared" si="46"/>
        <v>2.9877720886901375E-2</v>
      </c>
      <c r="AE135" s="3">
        <f t="shared" si="46"/>
        <v>2.5351108932629828E-2</v>
      </c>
      <c r="AF135" s="3">
        <f t="shared" si="46"/>
        <v>4.9033389693173782E-3</v>
      </c>
    </row>
    <row r="136" spans="1:33" x14ac:dyDescent="0.25">
      <c r="B136" s="3">
        <f t="shared" ref="B136:Z136" si="49">$C22*EXP(-B$129/$A22/EXP(-$B$126))</f>
        <v>3.3546614570255213E-2</v>
      </c>
      <c r="C136" s="3">
        <f t="shared" si="49"/>
        <v>3.3546614570255213E-2</v>
      </c>
      <c r="D136" s="3">
        <f t="shared" si="49"/>
        <v>3.3546614570255213E-2</v>
      </c>
      <c r="E136" s="3">
        <f t="shared" si="49"/>
        <v>3.3546614570255213E-2</v>
      </c>
      <c r="F136" s="3">
        <f t="shared" si="49"/>
        <v>3.3546614570255213E-2</v>
      </c>
      <c r="G136" s="3">
        <f t="shared" si="49"/>
        <v>3.3546614570255213E-2</v>
      </c>
      <c r="H136" s="3">
        <f t="shared" si="49"/>
        <v>3.3546614570255213E-2</v>
      </c>
      <c r="I136" s="3">
        <f t="shared" si="49"/>
        <v>3.3546614570255213E-2</v>
      </c>
      <c r="J136" s="3">
        <f t="shared" si="49"/>
        <v>3.3546614570255213E-2</v>
      </c>
      <c r="K136" s="3">
        <f t="shared" si="49"/>
        <v>3.3546614570255213E-2</v>
      </c>
      <c r="L136" s="3">
        <f t="shared" si="49"/>
        <v>3.3546614570255213E-2</v>
      </c>
      <c r="M136" s="3">
        <f t="shared" si="49"/>
        <v>3.3546614570255213E-2</v>
      </c>
      <c r="N136" s="3">
        <f t="shared" si="49"/>
        <v>3.3546614570255213E-2</v>
      </c>
      <c r="O136" s="3">
        <f t="shared" si="49"/>
        <v>3.3546614570255213E-2</v>
      </c>
      <c r="P136" s="3">
        <f t="shared" si="49"/>
        <v>3.3546614570255213E-2</v>
      </c>
      <c r="Q136" s="3">
        <f t="shared" si="49"/>
        <v>3.3546614570255207E-2</v>
      </c>
      <c r="R136" s="3">
        <f t="shared" si="49"/>
        <v>3.3546614570255158E-2</v>
      </c>
      <c r="S136" s="3">
        <f t="shared" si="49"/>
        <v>3.3546614570254665E-2</v>
      </c>
      <c r="T136" s="3">
        <f t="shared" si="49"/>
        <v>3.354661457024969E-2</v>
      </c>
      <c r="U136" s="3">
        <f t="shared" si="49"/>
        <v>3.3546614570199973E-2</v>
      </c>
      <c r="V136" s="3">
        <f t="shared" si="49"/>
        <v>3.3546614569702801E-2</v>
      </c>
      <c r="W136" s="3">
        <f t="shared" si="49"/>
        <v>3.3546614564731063E-2</v>
      </c>
      <c r="X136" s="3">
        <f t="shared" si="49"/>
        <v>3.3546614515013708E-2</v>
      </c>
      <c r="Y136" s="3">
        <f t="shared" si="49"/>
        <v>3.3546614017840148E-2</v>
      </c>
      <c r="Z136" s="3">
        <f t="shared" si="49"/>
        <v>3.3546609046104979E-2</v>
      </c>
      <c r="AA136" s="3">
        <f t="shared" ref="AA136" si="50">$C22*EXP(-AA$129/$A22/EXP(-$B$126))</f>
        <v>3.3546559328793801E-2</v>
      </c>
      <c r="AB136" s="3">
        <f t="shared" si="46"/>
        <v>3.354606215973456E-2</v>
      </c>
      <c r="AC136" s="3">
        <f t="shared" si="46"/>
        <v>3.3541090874374062E-2</v>
      </c>
      <c r="AD136" s="3">
        <f t="shared" si="46"/>
        <v>3.3491418521742734E-2</v>
      </c>
      <c r="AE136" s="3">
        <f t="shared" si="46"/>
        <v>3.2998722971697758E-2</v>
      </c>
      <c r="AF136" s="3">
        <f t="shared" si="46"/>
        <v>2.8453326180560186E-2</v>
      </c>
    </row>
    <row r="137" spans="1:33" x14ac:dyDescent="0.25">
      <c r="B137" s="3">
        <f t="shared" ref="B137:Z137" si="51">$C23*EXP(-B$129/$A23/EXP(-$B$126))</f>
        <v>3.6056553536874446E-2</v>
      </c>
      <c r="C137" s="3">
        <f t="shared" si="51"/>
        <v>3.6056553536874446E-2</v>
      </c>
      <c r="D137" s="3">
        <f t="shared" si="51"/>
        <v>3.6056553536874446E-2</v>
      </c>
      <c r="E137" s="3">
        <f t="shared" si="51"/>
        <v>3.6056553536874446E-2</v>
      </c>
      <c r="F137" s="3">
        <f t="shared" si="51"/>
        <v>3.6056553536874446E-2</v>
      </c>
      <c r="G137" s="3">
        <f t="shared" si="51"/>
        <v>3.6056553536874446E-2</v>
      </c>
      <c r="H137" s="3">
        <f t="shared" si="51"/>
        <v>3.6056553536874446E-2</v>
      </c>
      <c r="I137" s="3">
        <f t="shared" si="51"/>
        <v>3.6056553536874446E-2</v>
      </c>
      <c r="J137" s="3">
        <f t="shared" si="51"/>
        <v>3.6056553536874446E-2</v>
      </c>
      <c r="K137" s="3">
        <f t="shared" si="51"/>
        <v>3.6056553536874446E-2</v>
      </c>
      <c r="L137" s="3">
        <f t="shared" si="51"/>
        <v>3.6056553536874446E-2</v>
      </c>
      <c r="M137" s="3">
        <f t="shared" si="51"/>
        <v>3.6056553536874446E-2</v>
      </c>
      <c r="N137" s="3">
        <f t="shared" si="51"/>
        <v>3.6056553536874446E-2</v>
      </c>
      <c r="O137" s="3">
        <f t="shared" si="51"/>
        <v>3.6056553536874446E-2</v>
      </c>
      <c r="P137" s="3">
        <f t="shared" si="51"/>
        <v>3.6056553536874446E-2</v>
      </c>
      <c r="Q137" s="3">
        <f t="shared" si="51"/>
        <v>3.6056553536874446E-2</v>
      </c>
      <c r="R137" s="3">
        <f t="shared" si="51"/>
        <v>3.6056553536874439E-2</v>
      </c>
      <c r="S137" s="3">
        <f t="shared" si="51"/>
        <v>3.6056553536874397E-2</v>
      </c>
      <c r="T137" s="3">
        <f t="shared" si="51"/>
        <v>3.6056553536873912E-2</v>
      </c>
      <c r="U137" s="3">
        <f t="shared" si="51"/>
        <v>3.6056553536869089E-2</v>
      </c>
      <c r="V137" s="3">
        <f t="shared" si="51"/>
        <v>3.6056553536820884E-2</v>
      </c>
      <c r="W137" s="3">
        <f t="shared" si="51"/>
        <v>3.605655353633884E-2</v>
      </c>
      <c r="X137" s="3">
        <f t="shared" si="51"/>
        <v>3.6056553531518355E-2</v>
      </c>
      <c r="Y137" s="3">
        <f t="shared" si="51"/>
        <v>3.6056553483313575E-2</v>
      </c>
      <c r="Z137" s="3">
        <f t="shared" si="51"/>
        <v>3.605655300126575E-2</v>
      </c>
      <c r="AA137" s="3">
        <f t="shared" ref="AA137" si="52">$C23*EXP(-AA$129/$A23/EXP(-$B$126))</f>
        <v>3.6056548180787865E-2</v>
      </c>
      <c r="AB137" s="3">
        <f t="shared" si="46"/>
        <v>3.6056499976044411E-2</v>
      </c>
      <c r="AC137" s="3">
        <f t="shared" si="46"/>
        <v>3.6056017932154412E-2</v>
      </c>
      <c r="AD137" s="3">
        <f t="shared" si="46"/>
        <v>3.6051197847687975E-2</v>
      </c>
      <c r="AE137" s="3">
        <f t="shared" si="46"/>
        <v>3.6003032428856038E-2</v>
      </c>
      <c r="AF137" s="3">
        <f t="shared" si="46"/>
        <v>3.5524903362494781E-2</v>
      </c>
    </row>
    <row r="138" spans="1:33" x14ac:dyDescent="0.25">
      <c r="B138" s="3">
        <f t="shared" ref="B138:Z138" si="53">$C24*EXP(-B$129/$A24/EXP(-$B$126))</f>
        <v>4.1431742608178009E-2</v>
      </c>
      <c r="C138" s="3">
        <f t="shared" si="53"/>
        <v>4.1431742608178009E-2</v>
      </c>
      <c r="D138" s="3">
        <f t="shared" si="53"/>
        <v>4.1431742608178009E-2</v>
      </c>
      <c r="E138" s="3">
        <f t="shared" si="53"/>
        <v>4.1431742608178009E-2</v>
      </c>
      <c r="F138" s="3">
        <f t="shared" si="53"/>
        <v>4.1431742608178009E-2</v>
      </c>
      <c r="G138" s="3">
        <f t="shared" si="53"/>
        <v>4.1431742608178009E-2</v>
      </c>
      <c r="H138" s="3">
        <f t="shared" si="53"/>
        <v>4.1431742608178009E-2</v>
      </c>
      <c r="I138" s="3">
        <f t="shared" si="53"/>
        <v>4.1431742608178009E-2</v>
      </c>
      <c r="J138" s="3">
        <f t="shared" si="53"/>
        <v>4.1431742608178009E-2</v>
      </c>
      <c r="K138" s="3">
        <f t="shared" si="53"/>
        <v>4.1431742608178009E-2</v>
      </c>
      <c r="L138" s="3">
        <f t="shared" si="53"/>
        <v>4.1431742608178009E-2</v>
      </c>
      <c r="M138" s="3">
        <f t="shared" si="53"/>
        <v>4.1431742608178009E-2</v>
      </c>
      <c r="N138" s="3">
        <f t="shared" si="53"/>
        <v>4.1431742608178009E-2</v>
      </c>
      <c r="O138" s="3">
        <f t="shared" si="53"/>
        <v>4.1431742608178009E-2</v>
      </c>
      <c r="P138" s="3">
        <f t="shared" si="53"/>
        <v>4.1431742608178009E-2</v>
      </c>
      <c r="Q138" s="3">
        <f t="shared" si="53"/>
        <v>4.1431742608178009E-2</v>
      </c>
      <c r="R138" s="3">
        <f t="shared" si="53"/>
        <v>4.1431742608178009E-2</v>
      </c>
      <c r="S138" s="3">
        <f t="shared" si="53"/>
        <v>4.1431742608178002E-2</v>
      </c>
      <c r="T138" s="3">
        <f t="shared" si="53"/>
        <v>4.1431742608177953E-2</v>
      </c>
      <c r="U138" s="3">
        <f t="shared" si="53"/>
        <v>4.1431742608177453E-2</v>
      </c>
      <c r="V138" s="3">
        <f t="shared" si="53"/>
        <v>4.1431742608172457E-2</v>
      </c>
      <c r="W138" s="3">
        <f t="shared" si="53"/>
        <v>4.143174260812249E-2</v>
      </c>
      <c r="X138" s="3">
        <f t="shared" si="53"/>
        <v>4.1431742607622814E-2</v>
      </c>
      <c r="Y138" s="3">
        <f t="shared" si="53"/>
        <v>4.1431742602626088E-2</v>
      </c>
      <c r="Z138" s="3">
        <f t="shared" si="53"/>
        <v>4.1431742552658808E-2</v>
      </c>
      <c r="AA138" s="3">
        <f t="shared" ref="AA138" si="54">$C24*EXP(-AA$129/$A24/EXP(-$B$126))</f>
        <v>4.1431742052986012E-2</v>
      </c>
      <c r="AB138" s="3">
        <f t="shared" si="46"/>
        <v>4.1431737056258376E-2</v>
      </c>
      <c r="AC138" s="3">
        <f t="shared" si="46"/>
        <v>4.1431687089015172E-2</v>
      </c>
      <c r="AD138" s="3">
        <f t="shared" si="46"/>
        <v>4.1431187419897507E-2</v>
      </c>
      <c r="AE138" s="3">
        <f t="shared" si="46"/>
        <v>4.1426191060141337E-2</v>
      </c>
      <c r="AF138" s="3">
        <f t="shared" si="46"/>
        <v>4.1376260589846128E-2</v>
      </c>
    </row>
    <row r="139" spans="1:33" x14ac:dyDescent="0.25">
      <c r="B139" s="3">
        <f t="shared" ref="B139:Z139" si="55">$C25*EXP(-B$129/$A25/EXP(-$B$126))</f>
        <v>4.558861375636767E-2</v>
      </c>
      <c r="C139" s="3">
        <f t="shared" si="55"/>
        <v>4.558861375636767E-2</v>
      </c>
      <c r="D139" s="3">
        <f t="shared" si="55"/>
        <v>4.558861375636767E-2</v>
      </c>
      <c r="E139" s="3">
        <f t="shared" si="55"/>
        <v>4.558861375636767E-2</v>
      </c>
      <c r="F139" s="3">
        <f t="shared" si="55"/>
        <v>4.558861375636767E-2</v>
      </c>
      <c r="G139" s="3">
        <f t="shared" si="55"/>
        <v>4.558861375636767E-2</v>
      </c>
      <c r="H139" s="3">
        <f t="shared" si="55"/>
        <v>4.558861375636767E-2</v>
      </c>
      <c r="I139" s="3">
        <f t="shared" si="55"/>
        <v>4.558861375636767E-2</v>
      </c>
      <c r="J139" s="3">
        <f t="shared" si="55"/>
        <v>4.558861375636767E-2</v>
      </c>
      <c r="K139" s="3">
        <f t="shared" si="55"/>
        <v>4.558861375636767E-2</v>
      </c>
      <c r="L139" s="3">
        <f t="shared" si="55"/>
        <v>4.558861375636767E-2</v>
      </c>
      <c r="M139" s="3">
        <f t="shared" si="55"/>
        <v>4.558861375636767E-2</v>
      </c>
      <c r="N139" s="3">
        <f t="shared" si="55"/>
        <v>4.558861375636767E-2</v>
      </c>
      <c r="O139" s="3">
        <f t="shared" si="55"/>
        <v>4.558861375636767E-2</v>
      </c>
      <c r="P139" s="3">
        <f t="shared" si="55"/>
        <v>4.558861375636767E-2</v>
      </c>
      <c r="Q139" s="3">
        <f t="shared" si="55"/>
        <v>4.558861375636767E-2</v>
      </c>
      <c r="R139" s="3">
        <f t="shared" si="55"/>
        <v>4.558861375636767E-2</v>
      </c>
      <c r="S139" s="3">
        <f t="shared" si="55"/>
        <v>4.558861375636767E-2</v>
      </c>
      <c r="T139" s="3">
        <f t="shared" si="55"/>
        <v>4.5588613756367663E-2</v>
      </c>
      <c r="U139" s="3">
        <f t="shared" si="55"/>
        <v>4.5588613756367614E-2</v>
      </c>
      <c r="V139" s="3">
        <f t="shared" si="55"/>
        <v>4.5588613756367115E-2</v>
      </c>
      <c r="W139" s="3">
        <f t="shared" si="55"/>
        <v>4.558861375636216E-2</v>
      </c>
      <c r="X139" s="3">
        <f t="shared" si="55"/>
        <v>4.5588613756312561E-2</v>
      </c>
      <c r="Y139" s="3">
        <f t="shared" si="55"/>
        <v>4.558861375581659E-2</v>
      </c>
      <c r="Z139" s="3">
        <f t="shared" si="55"/>
        <v>4.5588613750856891E-2</v>
      </c>
      <c r="AA139" s="3">
        <f t="shared" ref="AA139" si="56">$C25*EXP(-AA$129/$A25/EXP(-$B$126))</f>
        <v>4.5588613701259884E-2</v>
      </c>
      <c r="AB139" s="3">
        <f t="shared" si="46"/>
        <v>4.5588613205289799E-2</v>
      </c>
      <c r="AC139" s="3">
        <f t="shared" si="46"/>
        <v>4.5588608245589225E-2</v>
      </c>
      <c r="AD139" s="3">
        <f t="shared" si="46"/>
        <v>4.5588558648613199E-2</v>
      </c>
      <c r="AE139" s="3">
        <f t="shared" si="46"/>
        <v>4.5588062681820606E-2</v>
      </c>
      <c r="AF139" s="3">
        <f t="shared" si="46"/>
        <v>4.5583103310649555E-2</v>
      </c>
    </row>
    <row r="140" spans="1:33" x14ac:dyDescent="0.25">
      <c r="B140" s="3">
        <f t="shared" ref="B140:Z140" si="57">$C26*EXP(-B$129/$A26/EXP(-$B$126))</f>
        <v>5.454765248808658E-2</v>
      </c>
      <c r="C140" s="3">
        <f t="shared" si="57"/>
        <v>5.454765248808658E-2</v>
      </c>
      <c r="D140" s="3">
        <f t="shared" si="57"/>
        <v>5.454765248808658E-2</v>
      </c>
      <c r="E140" s="3">
        <f t="shared" si="57"/>
        <v>5.454765248808658E-2</v>
      </c>
      <c r="F140" s="3">
        <f t="shared" si="57"/>
        <v>5.454765248808658E-2</v>
      </c>
      <c r="G140" s="3">
        <f t="shared" si="57"/>
        <v>5.454765248808658E-2</v>
      </c>
      <c r="H140" s="3">
        <f t="shared" si="57"/>
        <v>5.454765248808658E-2</v>
      </c>
      <c r="I140" s="3">
        <f t="shared" si="57"/>
        <v>5.454765248808658E-2</v>
      </c>
      <c r="J140" s="3">
        <f t="shared" si="57"/>
        <v>5.454765248808658E-2</v>
      </c>
      <c r="K140" s="3">
        <f t="shared" si="57"/>
        <v>5.454765248808658E-2</v>
      </c>
      <c r="L140" s="3">
        <f t="shared" si="57"/>
        <v>5.454765248808658E-2</v>
      </c>
      <c r="M140" s="3">
        <f t="shared" si="57"/>
        <v>5.454765248808658E-2</v>
      </c>
      <c r="N140" s="3">
        <f t="shared" si="57"/>
        <v>5.454765248808658E-2</v>
      </c>
      <c r="O140" s="3">
        <f t="shared" si="57"/>
        <v>5.454765248808658E-2</v>
      </c>
      <c r="P140" s="3">
        <f t="shared" si="57"/>
        <v>5.454765248808658E-2</v>
      </c>
      <c r="Q140" s="3">
        <f t="shared" si="57"/>
        <v>5.454765248808658E-2</v>
      </c>
      <c r="R140" s="3">
        <f t="shared" si="57"/>
        <v>5.454765248808658E-2</v>
      </c>
      <c r="S140" s="3">
        <f t="shared" si="57"/>
        <v>5.454765248808658E-2</v>
      </c>
      <c r="T140" s="3">
        <f t="shared" si="57"/>
        <v>5.454765248808658E-2</v>
      </c>
      <c r="U140" s="3">
        <f t="shared" si="57"/>
        <v>5.4547652488086573E-2</v>
      </c>
      <c r="V140" s="3">
        <f t="shared" si="57"/>
        <v>5.4547652488086518E-2</v>
      </c>
      <c r="W140" s="3">
        <f t="shared" si="57"/>
        <v>5.4547652488085983E-2</v>
      </c>
      <c r="X140" s="3">
        <f t="shared" si="57"/>
        <v>5.4547652488080633E-2</v>
      </c>
      <c r="Y140" s="3">
        <f t="shared" si="57"/>
        <v>5.45476524880271E-2</v>
      </c>
      <c r="Z140" s="3">
        <f t="shared" si="57"/>
        <v>5.4547652487491771E-2</v>
      </c>
      <c r="AA140" s="3">
        <f t="shared" ref="AA140" si="58">$C26*EXP(-AA$129/$A26/EXP(-$B$126))</f>
        <v>5.454765248213847E-2</v>
      </c>
      <c r="AB140" s="3">
        <f t="shared" si="46"/>
        <v>5.4547652428605445E-2</v>
      </c>
      <c r="AC140" s="3">
        <f t="shared" si="46"/>
        <v>5.4547651893275234E-2</v>
      </c>
      <c r="AD140" s="3">
        <f t="shared" si="46"/>
        <v>5.4547646539973411E-2</v>
      </c>
      <c r="AE140" s="3">
        <f t="shared" si="46"/>
        <v>5.4547593006984051E-2</v>
      </c>
      <c r="AF140" s="3">
        <f t="shared" si="46"/>
        <v>5.454705767998002E-2</v>
      </c>
    </row>
    <row r="141" spans="1:33" x14ac:dyDescent="0.25">
      <c r="B141" s="3">
        <f t="shared" ref="B141:Z141" si="59">$C27*EXP(-B$129/$A27/EXP(-$B$126))</f>
        <v>6.3488731508467941E-2</v>
      </c>
      <c r="C141" s="3">
        <f t="shared" si="59"/>
        <v>6.3488731508467941E-2</v>
      </c>
      <c r="D141" s="3">
        <f t="shared" si="59"/>
        <v>6.3488731508467941E-2</v>
      </c>
      <c r="E141" s="3">
        <f t="shared" si="59"/>
        <v>6.3488731508467941E-2</v>
      </c>
      <c r="F141" s="3">
        <f t="shared" si="59"/>
        <v>6.3488731508467941E-2</v>
      </c>
      <c r="G141" s="3">
        <f t="shared" si="59"/>
        <v>6.3488731508467941E-2</v>
      </c>
      <c r="H141" s="3">
        <f t="shared" si="59"/>
        <v>6.3488731508467941E-2</v>
      </c>
      <c r="I141" s="3">
        <f t="shared" si="59"/>
        <v>6.3488731508467941E-2</v>
      </c>
      <c r="J141" s="3">
        <f t="shared" si="59"/>
        <v>6.3488731508467941E-2</v>
      </c>
      <c r="K141" s="3">
        <f t="shared" si="59"/>
        <v>6.3488731508467941E-2</v>
      </c>
      <c r="L141" s="3">
        <f t="shared" si="59"/>
        <v>6.3488731508467941E-2</v>
      </c>
      <c r="M141" s="3">
        <f t="shared" si="59"/>
        <v>6.3488731508467941E-2</v>
      </c>
      <c r="N141" s="3">
        <f t="shared" si="59"/>
        <v>6.3488731508467941E-2</v>
      </c>
      <c r="O141" s="3">
        <f t="shared" si="59"/>
        <v>6.3488731508467941E-2</v>
      </c>
      <c r="P141" s="3">
        <f t="shared" si="59"/>
        <v>6.3488731508467941E-2</v>
      </c>
      <c r="Q141" s="3">
        <f t="shared" si="59"/>
        <v>6.3488731508467941E-2</v>
      </c>
      <c r="R141" s="3">
        <f t="shared" si="59"/>
        <v>6.3488731508467941E-2</v>
      </c>
      <c r="S141" s="3">
        <f t="shared" si="59"/>
        <v>6.3488731508467941E-2</v>
      </c>
      <c r="T141" s="3">
        <f t="shared" si="59"/>
        <v>6.3488731508467941E-2</v>
      </c>
      <c r="U141" s="3">
        <f t="shared" si="59"/>
        <v>6.3488731508467941E-2</v>
      </c>
      <c r="V141" s="3">
        <f t="shared" si="59"/>
        <v>6.3488731508467927E-2</v>
      </c>
      <c r="W141" s="3">
        <f t="shared" si="59"/>
        <v>6.3488731508467872E-2</v>
      </c>
      <c r="X141" s="3">
        <f t="shared" si="59"/>
        <v>6.3488731508467316E-2</v>
      </c>
      <c r="Y141" s="3">
        <f t="shared" si="59"/>
        <v>6.3488731508461696E-2</v>
      </c>
      <c r="Z141" s="3">
        <f t="shared" si="59"/>
        <v>6.3488731508405491E-2</v>
      </c>
      <c r="AA141" s="3">
        <f t="shared" ref="AA141" si="60">$C27*EXP(-AA$129/$A27/EXP(-$B$126))</f>
        <v>6.3488731507843427E-2</v>
      </c>
      <c r="AB141" s="3">
        <f t="shared" si="46"/>
        <v>6.3488731502222742E-2</v>
      </c>
      <c r="AC141" s="3">
        <f t="shared" si="46"/>
        <v>6.3488731446015925E-2</v>
      </c>
      <c r="AD141" s="3">
        <f t="shared" si="46"/>
        <v>6.3488730883947839E-2</v>
      </c>
      <c r="AE141" s="3">
        <f t="shared" si="46"/>
        <v>6.3488725263267209E-2</v>
      </c>
      <c r="AF141" s="3">
        <f t="shared" si="46"/>
        <v>6.3488669056488353E-2</v>
      </c>
    </row>
    <row r="142" spans="1:33" x14ac:dyDescent="0.25">
      <c r="B142" s="3">
        <f t="shared" ref="B142:Z142" si="61">$C28*EXP(-B$129/$A28/EXP(-$B$126))</f>
        <v>6.4437498796687767E-2</v>
      </c>
      <c r="C142" s="3">
        <f t="shared" si="61"/>
        <v>6.4437498796687767E-2</v>
      </c>
      <c r="D142" s="3">
        <f t="shared" si="61"/>
        <v>6.4437498796687767E-2</v>
      </c>
      <c r="E142" s="3">
        <f t="shared" si="61"/>
        <v>6.4437498796687767E-2</v>
      </c>
      <c r="F142" s="3">
        <f t="shared" si="61"/>
        <v>6.4437498796687767E-2</v>
      </c>
      <c r="G142" s="3">
        <f t="shared" si="61"/>
        <v>6.4437498796687767E-2</v>
      </c>
      <c r="H142" s="3">
        <f t="shared" si="61"/>
        <v>6.4437498796687767E-2</v>
      </c>
      <c r="I142" s="3">
        <f t="shared" si="61"/>
        <v>6.4437498796687767E-2</v>
      </c>
      <c r="J142" s="3">
        <f t="shared" si="61"/>
        <v>6.4437498796687767E-2</v>
      </c>
      <c r="K142" s="3">
        <f t="shared" si="61"/>
        <v>6.4437498796687767E-2</v>
      </c>
      <c r="L142" s="3">
        <f t="shared" si="61"/>
        <v>6.4437498796687767E-2</v>
      </c>
      <c r="M142" s="3">
        <f t="shared" si="61"/>
        <v>6.4437498796687767E-2</v>
      </c>
      <c r="N142" s="3">
        <f t="shared" si="61"/>
        <v>6.4437498796687767E-2</v>
      </c>
      <c r="O142" s="3">
        <f t="shared" si="61"/>
        <v>6.4437498796687767E-2</v>
      </c>
      <c r="P142" s="3">
        <f t="shared" si="61"/>
        <v>6.4437498796687767E-2</v>
      </c>
      <c r="Q142" s="3">
        <f t="shared" si="61"/>
        <v>6.4437498796687767E-2</v>
      </c>
      <c r="R142" s="3">
        <f t="shared" si="61"/>
        <v>6.4437498796687767E-2</v>
      </c>
      <c r="S142" s="3">
        <f t="shared" si="61"/>
        <v>6.4437498796687767E-2</v>
      </c>
      <c r="T142" s="3">
        <f t="shared" si="61"/>
        <v>6.4437498796687767E-2</v>
      </c>
      <c r="U142" s="3">
        <f t="shared" si="61"/>
        <v>6.4437498796687767E-2</v>
      </c>
      <c r="V142" s="3">
        <f t="shared" si="61"/>
        <v>6.4437498796687767E-2</v>
      </c>
      <c r="W142" s="3">
        <f t="shared" si="61"/>
        <v>6.4437498796687753E-2</v>
      </c>
      <c r="X142" s="3">
        <f t="shared" si="61"/>
        <v>6.4437498796687712E-2</v>
      </c>
      <c r="Y142" s="3">
        <f t="shared" si="61"/>
        <v>6.4437498796687198E-2</v>
      </c>
      <c r="Z142" s="3">
        <f t="shared" si="61"/>
        <v>6.4437498796682049E-2</v>
      </c>
      <c r="AA142" s="3">
        <f t="shared" ref="AA142" si="62">$C28*EXP(-AA$129/$A28/EXP(-$B$126))</f>
        <v>6.4437498796630591E-2</v>
      </c>
      <c r="AB142" s="3">
        <f t="shared" si="46"/>
        <v>6.4437498796115975E-2</v>
      </c>
      <c r="AC142" s="3">
        <f t="shared" si="46"/>
        <v>6.4437498790969897E-2</v>
      </c>
      <c r="AD142" s="3">
        <f t="shared" si="46"/>
        <v>6.4437498739508964E-2</v>
      </c>
      <c r="AE142" s="3">
        <f t="shared" si="46"/>
        <v>6.4437498224899761E-2</v>
      </c>
      <c r="AF142" s="3">
        <f t="shared" si="46"/>
        <v>6.4437493078808E-2</v>
      </c>
    </row>
    <row r="143" spans="1:33" x14ac:dyDescent="0.25">
      <c r="B143" s="3">
        <f t="shared" ref="B143:Z143" si="63">$C29*EXP(-B$129/$A29/EXP(-$B$126))</f>
        <v>5.0984711138190433E-2</v>
      </c>
      <c r="C143" s="3">
        <f t="shared" si="63"/>
        <v>5.0984711138190433E-2</v>
      </c>
      <c r="D143" s="3">
        <f t="shared" si="63"/>
        <v>5.0984711138190433E-2</v>
      </c>
      <c r="E143" s="3">
        <f t="shared" si="63"/>
        <v>5.0984711138190433E-2</v>
      </c>
      <c r="F143" s="3">
        <f t="shared" si="63"/>
        <v>5.0984711138190433E-2</v>
      </c>
      <c r="G143" s="3">
        <f t="shared" si="63"/>
        <v>5.0984711138190433E-2</v>
      </c>
      <c r="H143" s="3">
        <f t="shared" si="63"/>
        <v>5.0984711138190433E-2</v>
      </c>
      <c r="I143" s="3">
        <f t="shared" si="63"/>
        <v>5.0984711138190433E-2</v>
      </c>
      <c r="J143" s="3">
        <f t="shared" si="63"/>
        <v>5.0984711138190433E-2</v>
      </c>
      <c r="K143" s="3">
        <f t="shared" si="63"/>
        <v>5.0984711138190433E-2</v>
      </c>
      <c r="L143" s="3">
        <f t="shared" si="63"/>
        <v>5.0984711138190433E-2</v>
      </c>
      <c r="M143" s="3">
        <f t="shared" si="63"/>
        <v>5.0984711138190433E-2</v>
      </c>
      <c r="N143" s="3">
        <f t="shared" si="63"/>
        <v>5.0984711138190433E-2</v>
      </c>
      <c r="O143" s="3">
        <f t="shared" si="63"/>
        <v>5.0984711138190433E-2</v>
      </c>
      <c r="P143" s="3">
        <f t="shared" si="63"/>
        <v>5.0984711138190433E-2</v>
      </c>
      <c r="Q143" s="3">
        <f t="shared" si="63"/>
        <v>5.0984711138190433E-2</v>
      </c>
      <c r="R143" s="3">
        <f t="shared" si="63"/>
        <v>5.0984711138190433E-2</v>
      </c>
      <c r="S143" s="3">
        <f t="shared" si="63"/>
        <v>5.0984711138190433E-2</v>
      </c>
      <c r="T143" s="3">
        <f t="shared" si="63"/>
        <v>5.0984711138190433E-2</v>
      </c>
      <c r="U143" s="3">
        <f t="shared" si="63"/>
        <v>5.0984711138190433E-2</v>
      </c>
      <c r="V143" s="3">
        <f t="shared" si="63"/>
        <v>5.0984711138190433E-2</v>
      </c>
      <c r="W143" s="3">
        <f t="shared" si="63"/>
        <v>5.0984711138190433E-2</v>
      </c>
      <c r="X143" s="3">
        <f t="shared" si="63"/>
        <v>5.0984711138190426E-2</v>
      </c>
      <c r="Y143" s="3">
        <f t="shared" si="63"/>
        <v>5.0984711138190392E-2</v>
      </c>
      <c r="Z143" s="3">
        <f t="shared" si="63"/>
        <v>5.0984711138190024E-2</v>
      </c>
      <c r="AA143" s="3">
        <f t="shared" ref="AA143" si="64">$C29*EXP(-AA$129/$A29/EXP(-$B$126))</f>
        <v>5.0984711138186353E-2</v>
      </c>
      <c r="AB143" s="3">
        <f t="shared" si="46"/>
        <v>5.0984711138149619E-2</v>
      </c>
      <c r="AC143" s="3">
        <f t="shared" si="46"/>
        <v>5.0984711137782315E-2</v>
      </c>
      <c r="AD143" s="3">
        <f t="shared" si="46"/>
        <v>5.0984711134109281E-2</v>
      </c>
      <c r="AE143" s="3">
        <f t="shared" si="46"/>
        <v>5.0984711097378899E-2</v>
      </c>
      <c r="AF143" s="3">
        <f t="shared" si="46"/>
        <v>5.0984710730075093E-2</v>
      </c>
    </row>
    <row r="144" spans="1:33" x14ac:dyDescent="0.25">
      <c r="B144" s="3">
        <f t="shared" ref="B144:Z144" si="65">$C30*EXP(-B$129/$A30/EXP(-$B$126))</f>
        <v>3.1725580310806592E-2</v>
      </c>
      <c r="C144" s="3">
        <f t="shared" si="65"/>
        <v>3.1725580310806592E-2</v>
      </c>
      <c r="D144" s="3">
        <f t="shared" si="65"/>
        <v>3.1725580310806592E-2</v>
      </c>
      <c r="E144" s="3">
        <f t="shared" si="65"/>
        <v>3.1725580310806592E-2</v>
      </c>
      <c r="F144" s="3">
        <f t="shared" si="65"/>
        <v>3.1725580310806592E-2</v>
      </c>
      <c r="G144" s="3">
        <f t="shared" si="65"/>
        <v>3.1725580310806592E-2</v>
      </c>
      <c r="H144" s="3">
        <f t="shared" si="65"/>
        <v>3.1725580310806592E-2</v>
      </c>
      <c r="I144" s="3">
        <f t="shared" si="65"/>
        <v>3.1725580310806592E-2</v>
      </c>
      <c r="J144" s="3">
        <f t="shared" si="65"/>
        <v>3.1725580310806592E-2</v>
      </c>
      <c r="K144" s="3">
        <f t="shared" si="65"/>
        <v>3.1725580310806592E-2</v>
      </c>
      <c r="L144" s="3">
        <f t="shared" si="65"/>
        <v>3.1725580310806592E-2</v>
      </c>
      <c r="M144" s="3">
        <f t="shared" si="65"/>
        <v>3.1725580310806592E-2</v>
      </c>
      <c r="N144" s="3">
        <f t="shared" si="65"/>
        <v>3.1725580310806592E-2</v>
      </c>
      <c r="O144" s="3">
        <f t="shared" si="65"/>
        <v>3.1725580310806592E-2</v>
      </c>
      <c r="P144" s="3">
        <f t="shared" si="65"/>
        <v>3.1725580310806592E-2</v>
      </c>
      <c r="Q144" s="3">
        <f t="shared" si="65"/>
        <v>3.1725580310806592E-2</v>
      </c>
      <c r="R144" s="3">
        <f t="shared" si="65"/>
        <v>3.1725580310806592E-2</v>
      </c>
      <c r="S144" s="3">
        <f t="shared" si="65"/>
        <v>3.1725580310806592E-2</v>
      </c>
      <c r="T144" s="3">
        <f t="shared" si="65"/>
        <v>3.1725580310806592E-2</v>
      </c>
      <c r="U144" s="3">
        <f t="shared" si="65"/>
        <v>3.1725580310806592E-2</v>
      </c>
      <c r="V144" s="3">
        <f t="shared" si="65"/>
        <v>3.1725580310806592E-2</v>
      </c>
      <c r="W144" s="3">
        <f t="shared" si="65"/>
        <v>3.1725580310806592E-2</v>
      </c>
      <c r="X144" s="3">
        <f t="shared" si="65"/>
        <v>3.1725580310806592E-2</v>
      </c>
      <c r="Y144" s="3">
        <f t="shared" si="65"/>
        <v>3.1725580310806585E-2</v>
      </c>
      <c r="Z144" s="3">
        <f t="shared" si="65"/>
        <v>3.1725580310806564E-2</v>
      </c>
      <c r="AA144" s="3">
        <f t="shared" ref="AA144" si="66">$C30*EXP(-AA$129/$A30/EXP(-$B$126))</f>
        <v>3.1725580310806363E-2</v>
      </c>
      <c r="AB144" s="3">
        <f t="shared" ref="AB144:AF153" si="67">$C30*EXP(-AB$129/$A30/EXP(-$B$126))</f>
        <v>3.1725580310804302E-2</v>
      </c>
      <c r="AC144" s="3">
        <f t="shared" si="67"/>
        <v>3.1725580310783687E-2</v>
      </c>
      <c r="AD144" s="3">
        <f t="shared" si="67"/>
        <v>3.1725580310577504E-2</v>
      </c>
      <c r="AE144" s="3">
        <f t="shared" si="67"/>
        <v>3.172558030851573E-2</v>
      </c>
      <c r="AF144" s="3">
        <f t="shared" si="67"/>
        <v>3.1725580287897959E-2</v>
      </c>
    </row>
    <row r="145" spans="1:32" x14ac:dyDescent="0.25">
      <c r="B145" s="3">
        <f t="shared" ref="B145:Z145" si="68">$C31*EXP(-B$129/$A31/EXP(-$B$126))</f>
        <v>1.5443830992985543E-2</v>
      </c>
      <c r="C145" s="3">
        <f t="shared" si="68"/>
        <v>1.5443830992985543E-2</v>
      </c>
      <c r="D145" s="3">
        <f t="shared" si="68"/>
        <v>1.5443830992985543E-2</v>
      </c>
      <c r="E145" s="3">
        <f t="shared" si="68"/>
        <v>1.5443830992985543E-2</v>
      </c>
      <c r="F145" s="3">
        <f t="shared" si="68"/>
        <v>1.5443830992985543E-2</v>
      </c>
      <c r="G145" s="3">
        <f t="shared" si="68"/>
        <v>1.5443830992985543E-2</v>
      </c>
      <c r="H145" s="3">
        <f t="shared" si="68"/>
        <v>1.5443830992985543E-2</v>
      </c>
      <c r="I145" s="3">
        <f t="shared" si="68"/>
        <v>1.5443830992985543E-2</v>
      </c>
      <c r="J145" s="3">
        <f t="shared" si="68"/>
        <v>1.5443830992985543E-2</v>
      </c>
      <c r="K145" s="3">
        <f t="shared" si="68"/>
        <v>1.5443830992985543E-2</v>
      </c>
      <c r="L145" s="3">
        <f t="shared" si="68"/>
        <v>1.5443830992985543E-2</v>
      </c>
      <c r="M145" s="3">
        <f t="shared" si="68"/>
        <v>1.5443830992985543E-2</v>
      </c>
      <c r="N145" s="3">
        <f t="shared" si="68"/>
        <v>1.5443830992985543E-2</v>
      </c>
      <c r="O145" s="3">
        <f t="shared" si="68"/>
        <v>1.5443830992985543E-2</v>
      </c>
      <c r="P145" s="3">
        <f t="shared" si="68"/>
        <v>1.5443830992985543E-2</v>
      </c>
      <c r="Q145" s="3">
        <f t="shared" si="68"/>
        <v>1.5443830992985543E-2</v>
      </c>
      <c r="R145" s="3">
        <f t="shared" si="68"/>
        <v>1.5443830992985543E-2</v>
      </c>
      <c r="S145" s="3">
        <f t="shared" si="68"/>
        <v>1.5443830992985543E-2</v>
      </c>
      <c r="T145" s="3">
        <f t="shared" si="68"/>
        <v>1.5443830992985543E-2</v>
      </c>
      <c r="U145" s="3">
        <f t="shared" si="68"/>
        <v>1.5443830992985543E-2</v>
      </c>
      <c r="V145" s="3">
        <f t="shared" si="68"/>
        <v>1.5443830992985543E-2</v>
      </c>
      <c r="W145" s="3">
        <f t="shared" si="68"/>
        <v>1.5443830992985543E-2</v>
      </c>
      <c r="X145" s="3">
        <f t="shared" si="68"/>
        <v>1.5443830992985543E-2</v>
      </c>
      <c r="Y145" s="3">
        <f t="shared" si="68"/>
        <v>1.5443830992985543E-2</v>
      </c>
      <c r="Z145" s="3">
        <f t="shared" si="68"/>
        <v>1.5443830992985541E-2</v>
      </c>
      <c r="AA145" s="3">
        <f t="shared" ref="AA145" si="69">$C31*EXP(-AA$129/$A31/EXP(-$B$126))</f>
        <v>1.5443830992985533E-2</v>
      </c>
      <c r="AB145" s="3">
        <f t="shared" si="67"/>
        <v>1.5443830992985443E-2</v>
      </c>
      <c r="AC145" s="3">
        <f t="shared" si="67"/>
        <v>1.5443830992984537E-2</v>
      </c>
      <c r="AD145" s="3">
        <f t="shared" si="67"/>
        <v>1.5443830992975483E-2</v>
      </c>
      <c r="AE145" s="3">
        <f t="shared" si="67"/>
        <v>1.5443830992884945E-2</v>
      </c>
      <c r="AF145" s="3">
        <f t="shared" si="67"/>
        <v>1.544383099197956E-2</v>
      </c>
    </row>
    <row r="146" spans="1:32" x14ac:dyDescent="0.25">
      <c r="B146" s="3">
        <f t="shared" ref="B146:Z146" si="70">$C32*EXP(-B$129/$A32/EXP(-$B$126))</f>
        <v>7.0696001208784189E-3</v>
      </c>
      <c r="C146" s="3">
        <f t="shared" si="70"/>
        <v>7.0696001208784189E-3</v>
      </c>
      <c r="D146" s="3">
        <f t="shared" si="70"/>
        <v>7.0696001208784189E-3</v>
      </c>
      <c r="E146" s="3">
        <f t="shared" si="70"/>
        <v>7.0696001208784189E-3</v>
      </c>
      <c r="F146" s="3">
        <f t="shared" si="70"/>
        <v>7.0696001208784189E-3</v>
      </c>
      <c r="G146" s="3">
        <f t="shared" si="70"/>
        <v>7.0696001208784189E-3</v>
      </c>
      <c r="H146" s="3">
        <f t="shared" si="70"/>
        <v>7.0696001208784189E-3</v>
      </c>
      <c r="I146" s="3">
        <f t="shared" si="70"/>
        <v>7.0696001208784189E-3</v>
      </c>
      <c r="J146" s="3">
        <f t="shared" si="70"/>
        <v>7.0696001208784189E-3</v>
      </c>
      <c r="K146" s="3">
        <f t="shared" si="70"/>
        <v>7.0696001208784189E-3</v>
      </c>
      <c r="L146" s="3">
        <f t="shared" si="70"/>
        <v>7.0696001208784189E-3</v>
      </c>
      <c r="M146" s="3">
        <f t="shared" si="70"/>
        <v>7.0696001208784189E-3</v>
      </c>
      <c r="N146" s="3">
        <f t="shared" si="70"/>
        <v>7.0696001208784189E-3</v>
      </c>
      <c r="O146" s="3">
        <f t="shared" si="70"/>
        <v>7.0696001208784189E-3</v>
      </c>
      <c r="P146" s="3">
        <f t="shared" si="70"/>
        <v>7.0696001208784189E-3</v>
      </c>
      <c r="Q146" s="3">
        <f t="shared" si="70"/>
        <v>7.0696001208784189E-3</v>
      </c>
      <c r="R146" s="3">
        <f t="shared" si="70"/>
        <v>7.0696001208784189E-3</v>
      </c>
      <c r="S146" s="3">
        <f t="shared" si="70"/>
        <v>7.0696001208784189E-3</v>
      </c>
      <c r="T146" s="3">
        <f t="shared" si="70"/>
        <v>7.0696001208784189E-3</v>
      </c>
      <c r="U146" s="3">
        <f t="shared" si="70"/>
        <v>7.0696001208784189E-3</v>
      </c>
      <c r="V146" s="3">
        <f t="shared" si="70"/>
        <v>7.0696001208784189E-3</v>
      </c>
      <c r="W146" s="3">
        <f t="shared" si="70"/>
        <v>7.0696001208784189E-3</v>
      </c>
      <c r="X146" s="3">
        <f t="shared" si="70"/>
        <v>7.0696001208784189E-3</v>
      </c>
      <c r="Y146" s="3">
        <f t="shared" si="70"/>
        <v>7.0696001208784189E-3</v>
      </c>
      <c r="Z146" s="3">
        <f t="shared" si="70"/>
        <v>7.0696001208784189E-3</v>
      </c>
      <c r="AA146" s="3">
        <f t="shared" ref="AA146" si="71">$C32*EXP(-AA$129/$A32/EXP(-$B$126))</f>
        <v>7.0696001208784181E-3</v>
      </c>
      <c r="AB146" s="3">
        <f t="shared" si="67"/>
        <v>7.0696001208784146E-3</v>
      </c>
      <c r="AC146" s="3">
        <f t="shared" si="67"/>
        <v>7.0696001208783773E-3</v>
      </c>
      <c r="AD146" s="3">
        <f t="shared" si="67"/>
        <v>7.0696001208780035E-3</v>
      </c>
      <c r="AE146" s="3">
        <f t="shared" si="67"/>
        <v>7.0696001208742643E-3</v>
      </c>
      <c r="AF146" s="3">
        <f t="shared" si="67"/>
        <v>7.0696001208368784E-3</v>
      </c>
    </row>
    <row r="147" spans="1:32" x14ac:dyDescent="0.25">
      <c r="B147" s="3">
        <f t="shared" ref="B147:Z147" si="72">$C33*EXP(-B$129/$A33/EXP(-$B$126))</f>
        <v>3.5043206729719373E-3</v>
      </c>
      <c r="C147" s="3">
        <f t="shared" si="72"/>
        <v>3.5043206729719373E-3</v>
      </c>
      <c r="D147" s="3">
        <f t="shared" si="72"/>
        <v>3.5043206729719373E-3</v>
      </c>
      <c r="E147" s="3">
        <f t="shared" si="72"/>
        <v>3.5043206729719373E-3</v>
      </c>
      <c r="F147" s="3">
        <f t="shared" si="72"/>
        <v>3.5043206729719373E-3</v>
      </c>
      <c r="G147" s="3">
        <f t="shared" si="72"/>
        <v>3.5043206729719373E-3</v>
      </c>
      <c r="H147" s="3">
        <f t="shared" si="72"/>
        <v>3.5043206729719373E-3</v>
      </c>
      <c r="I147" s="3">
        <f t="shared" si="72"/>
        <v>3.5043206729719373E-3</v>
      </c>
      <c r="J147" s="3">
        <f t="shared" si="72"/>
        <v>3.5043206729719373E-3</v>
      </c>
      <c r="K147" s="3">
        <f t="shared" si="72"/>
        <v>3.5043206729719373E-3</v>
      </c>
      <c r="L147" s="3">
        <f t="shared" si="72"/>
        <v>3.5043206729719373E-3</v>
      </c>
      <c r="M147" s="3">
        <f t="shared" si="72"/>
        <v>3.5043206729719373E-3</v>
      </c>
      <c r="N147" s="3">
        <f t="shared" si="72"/>
        <v>3.5043206729719373E-3</v>
      </c>
      <c r="O147" s="3">
        <f t="shared" si="72"/>
        <v>3.5043206729719373E-3</v>
      </c>
      <c r="P147" s="3">
        <f t="shared" si="72"/>
        <v>3.5043206729719373E-3</v>
      </c>
      <c r="Q147" s="3">
        <f t="shared" si="72"/>
        <v>3.5043206729719373E-3</v>
      </c>
      <c r="R147" s="3">
        <f t="shared" si="72"/>
        <v>3.5043206729719373E-3</v>
      </c>
      <c r="S147" s="3">
        <f t="shared" si="72"/>
        <v>3.5043206729719373E-3</v>
      </c>
      <c r="T147" s="3">
        <f t="shared" si="72"/>
        <v>3.5043206729719373E-3</v>
      </c>
      <c r="U147" s="3">
        <f t="shared" si="72"/>
        <v>3.5043206729719373E-3</v>
      </c>
      <c r="V147" s="3">
        <f t="shared" si="72"/>
        <v>3.5043206729719373E-3</v>
      </c>
      <c r="W147" s="3">
        <f t="shared" si="72"/>
        <v>3.5043206729719373E-3</v>
      </c>
      <c r="X147" s="3">
        <f t="shared" si="72"/>
        <v>3.5043206729719373E-3</v>
      </c>
      <c r="Y147" s="3">
        <f t="shared" si="72"/>
        <v>3.5043206729719373E-3</v>
      </c>
      <c r="Z147" s="3">
        <f t="shared" si="72"/>
        <v>3.5043206729719373E-3</v>
      </c>
      <c r="AA147" s="3">
        <f t="shared" ref="AA147" si="73">$C33*EXP(-AA$129/$A33/EXP(-$B$126))</f>
        <v>3.5043206729719373E-3</v>
      </c>
      <c r="AB147" s="3">
        <f t="shared" si="67"/>
        <v>3.5043206729719373E-3</v>
      </c>
      <c r="AC147" s="3">
        <f t="shared" si="67"/>
        <v>3.5043206729719356E-3</v>
      </c>
      <c r="AD147" s="3">
        <f t="shared" si="67"/>
        <v>3.5043206729719186E-3</v>
      </c>
      <c r="AE147" s="3">
        <f t="shared" si="67"/>
        <v>3.5043206729717517E-3</v>
      </c>
      <c r="AF147" s="3">
        <f t="shared" si="67"/>
        <v>3.5043206729700798E-3</v>
      </c>
    </row>
    <row r="148" spans="1:32" x14ac:dyDescent="0.25">
      <c r="B148" s="3">
        <f t="shared" ref="B148:Z148" si="74">$C34*EXP(-B$129/$A34/EXP(-$B$126))</f>
        <v>2.9646797109614421E-3</v>
      </c>
      <c r="C148" s="3">
        <f t="shared" si="74"/>
        <v>2.9646797109614421E-3</v>
      </c>
      <c r="D148" s="3">
        <f t="shared" si="74"/>
        <v>2.9646797109614421E-3</v>
      </c>
      <c r="E148" s="3">
        <f t="shared" si="74"/>
        <v>2.9646797109614421E-3</v>
      </c>
      <c r="F148" s="3">
        <f t="shared" si="74"/>
        <v>2.9646797109614421E-3</v>
      </c>
      <c r="G148" s="3">
        <f t="shared" si="74"/>
        <v>2.9646797109614421E-3</v>
      </c>
      <c r="H148" s="3">
        <f t="shared" si="74"/>
        <v>2.9646797109614421E-3</v>
      </c>
      <c r="I148" s="3">
        <f t="shared" si="74"/>
        <v>2.9646797109614421E-3</v>
      </c>
      <c r="J148" s="3">
        <f t="shared" si="74"/>
        <v>2.9646797109614421E-3</v>
      </c>
      <c r="K148" s="3">
        <f t="shared" si="74"/>
        <v>2.9646797109614421E-3</v>
      </c>
      <c r="L148" s="3">
        <f t="shared" si="74"/>
        <v>2.9646797109614421E-3</v>
      </c>
      <c r="M148" s="3">
        <f t="shared" si="74"/>
        <v>2.9646797109614421E-3</v>
      </c>
      <c r="N148" s="3">
        <f t="shared" si="74"/>
        <v>2.9646797109614421E-3</v>
      </c>
      <c r="O148" s="3">
        <f t="shared" si="74"/>
        <v>2.9646797109614421E-3</v>
      </c>
      <c r="P148" s="3">
        <f t="shared" si="74"/>
        <v>2.9646797109614421E-3</v>
      </c>
      <c r="Q148" s="3">
        <f t="shared" si="74"/>
        <v>2.9646797109614421E-3</v>
      </c>
      <c r="R148" s="3">
        <f t="shared" si="74"/>
        <v>2.9646797109614421E-3</v>
      </c>
      <c r="S148" s="3">
        <f t="shared" si="74"/>
        <v>2.9646797109614421E-3</v>
      </c>
      <c r="T148" s="3">
        <f t="shared" si="74"/>
        <v>2.9646797109614421E-3</v>
      </c>
      <c r="U148" s="3">
        <f t="shared" si="74"/>
        <v>2.9646797109614421E-3</v>
      </c>
      <c r="V148" s="3">
        <f t="shared" si="74"/>
        <v>2.9646797109614421E-3</v>
      </c>
      <c r="W148" s="3">
        <f t="shared" si="74"/>
        <v>2.9646797109614421E-3</v>
      </c>
      <c r="X148" s="3">
        <f t="shared" si="74"/>
        <v>2.9646797109614421E-3</v>
      </c>
      <c r="Y148" s="3">
        <f t="shared" si="74"/>
        <v>2.9646797109614421E-3</v>
      </c>
      <c r="Z148" s="3">
        <f t="shared" si="74"/>
        <v>2.9646797109614421E-3</v>
      </c>
      <c r="AA148" s="3">
        <f>$C34*EXP(-AA$129/$A34/EXP(-$B$126))</f>
        <v>2.9646797109614421E-3</v>
      </c>
      <c r="AB148" s="3">
        <f t="shared" si="67"/>
        <v>2.9646797109614421E-3</v>
      </c>
      <c r="AC148" s="3">
        <f t="shared" si="67"/>
        <v>2.9646797109614421E-3</v>
      </c>
      <c r="AD148" s="3">
        <f t="shared" si="67"/>
        <v>2.9646797109614408E-3</v>
      </c>
      <c r="AE148" s="3">
        <f t="shared" si="67"/>
        <v>2.9646797109614278E-3</v>
      </c>
      <c r="AF148" s="3">
        <f t="shared" si="67"/>
        <v>2.9646797109613003E-3</v>
      </c>
    </row>
    <row r="149" spans="1:32" x14ac:dyDescent="0.25">
      <c r="B149" s="3">
        <f t="shared" ref="B149:Z149" si="75">$C35*EXP(-B$129/$A35/EXP(-$B$126))</f>
        <v>0</v>
      </c>
      <c r="C149" s="3">
        <f t="shared" si="75"/>
        <v>0</v>
      </c>
      <c r="D149" s="3">
        <f t="shared" si="75"/>
        <v>0</v>
      </c>
      <c r="E149" s="3">
        <f t="shared" si="75"/>
        <v>0</v>
      </c>
      <c r="F149" s="3">
        <f t="shared" si="75"/>
        <v>0</v>
      </c>
      <c r="G149" s="3">
        <f t="shared" si="75"/>
        <v>0</v>
      </c>
      <c r="H149" s="3">
        <f t="shared" si="75"/>
        <v>0</v>
      </c>
      <c r="I149" s="3">
        <f t="shared" si="75"/>
        <v>0</v>
      </c>
      <c r="J149" s="3">
        <f t="shared" si="75"/>
        <v>0</v>
      </c>
      <c r="K149" s="3">
        <f t="shared" si="75"/>
        <v>0</v>
      </c>
      <c r="L149" s="3">
        <f t="shared" si="75"/>
        <v>0</v>
      </c>
      <c r="M149" s="3">
        <f t="shared" si="75"/>
        <v>0</v>
      </c>
      <c r="N149" s="3">
        <f t="shared" si="75"/>
        <v>0</v>
      </c>
      <c r="O149" s="3">
        <f t="shared" si="75"/>
        <v>0</v>
      </c>
      <c r="P149" s="3">
        <f t="shared" si="75"/>
        <v>0</v>
      </c>
      <c r="Q149" s="3">
        <f t="shared" si="75"/>
        <v>0</v>
      </c>
      <c r="R149" s="3">
        <f t="shared" si="75"/>
        <v>0</v>
      </c>
      <c r="S149" s="3">
        <f t="shared" si="75"/>
        <v>0</v>
      </c>
      <c r="T149" s="3">
        <f t="shared" si="75"/>
        <v>0</v>
      </c>
      <c r="U149" s="3">
        <f t="shared" si="75"/>
        <v>0</v>
      </c>
      <c r="V149" s="3">
        <f t="shared" si="75"/>
        <v>0</v>
      </c>
      <c r="W149" s="3">
        <f t="shared" si="75"/>
        <v>0</v>
      </c>
      <c r="X149" s="3">
        <f t="shared" si="75"/>
        <v>0</v>
      </c>
      <c r="Y149" s="3">
        <f t="shared" si="75"/>
        <v>0</v>
      </c>
      <c r="Z149" s="3">
        <f t="shared" si="75"/>
        <v>0</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3.098114236407119E-3</v>
      </c>
      <c r="C150" s="3">
        <f t="shared" si="77"/>
        <v>3.098114236407119E-3</v>
      </c>
      <c r="D150" s="3">
        <f t="shared" si="77"/>
        <v>3.098114236407119E-3</v>
      </c>
      <c r="E150" s="3">
        <f t="shared" si="77"/>
        <v>3.098114236407119E-3</v>
      </c>
      <c r="F150" s="3">
        <f t="shared" si="77"/>
        <v>3.098114236407119E-3</v>
      </c>
      <c r="G150" s="3">
        <f t="shared" si="77"/>
        <v>3.098114236407119E-3</v>
      </c>
      <c r="H150" s="3">
        <f t="shared" si="77"/>
        <v>3.098114236407119E-3</v>
      </c>
      <c r="I150" s="3">
        <f t="shared" si="77"/>
        <v>3.098114236407119E-3</v>
      </c>
      <c r="J150" s="3">
        <f t="shared" si="77"/>
        <v>3.098114236407119E-3</v>
      </c>
      <c r="K150" s="3">
        <f t="shared" si="77"/>
        <v>3.098114236407119E-3</v>
      </c>
      <c r="L150" s="3">
        <f t="shared" si="77"/>
        <v>3.098114236407119E-3</v>
      </c>
      <c r="M150" s="3">
        <f t="shared" si="77"/>
        <v>3.098114236407119E-3</v>
      </c>
      <c r="N150" s="3">
        <f t="shared" si="77"/>
        <v>3.098114236407119E-3</v>
      </c>
      <c r="O150" s="3">
        <f t="shared" si="77"/>
        <v>3.098114236407119E-3</v>
      </c>
      <c r="P150" s="3">
        <f t="shared" si="77"/>
        <v>3.098114236407119E-3</v>
      </c>
      <c r="Q150" s="3">
        <f t="shared" si="77"/>
        <v>3.098114236407119E-3</v>
      </c>
      <c r="R150" s="3">
        <f t="shared" si="77"/>
        <v>3.098114236407119E-3</v>
      </c>
      <c r="S150" s="3">
        <f t="shared" si="77"/>
        <v>3.098114236407119E-3</v>
      </c>
      <c r="T150" s="3">
        <f t="shared" si="77"/>
        <v>3.098114236407119E-3</v>
      </c>
      <c r="U150" s="3">
        <f t="shared" si="77"/>
        <v>3.098114236407119E-3</v>
      </c>
      <c r="V150" s="3">
        <f t="shared" si="77"/>
        <v>3.098114236407119E-3</v>
      </c>
      <c r="W150" s="3">
        <f t="shared" si="77"/>
        <v>3.098114236407119E-3</v>
      </c>
      <c r="X150" s="3">
        <f t="shared" si="77"/>
        <v>3.098114236407119E-3</v>
      </c>
      <c r="Y150" s="3">
        <f t="shared" si="77"/>
        <v>3.098114236407119E-3</v>
      </c>
      <c r="Z150" s="3">
        <f t="shared" si="77"/>
        <v>3.098114236407119E-3</v>
      </c>
      <c r="AA150" s="3">
        <f t="shared" ref="AA150" si="78">$C36*EXP(-AA$129/$A36/EXP(-$B$126))</f>
        <v>3.098114236407119E-3</v>
      </c>
      <c r="AB150" s="3">
        <f t="shared" si="67"/>
        <v>3.098114236407119E-3</v>
      </c>
      <c r="AC150" s="3">
        <f t="shared" si="67"/>
        <v>3.098114236407119E-3</v>
      </c>
      <c r="AD150" s="3">
        <f t="shared" si="67"/>
        <v>3.098114236407119E-3</v>
      </c>
      <c r="AE150" s="3">
        <f t="shared" si="67"/>
        <v>3.098114236407119E-3</v>
      </c>
      <c r="AF150" s="3">
        <f t="shared" si="67"/>
        <v>3.0981142364071177E-3</v>
      </c>
    </row>
    <row r="151" spans="1:32" x14ac:dyDescent="0.25">
      <c r="B151" s="3">
        <f t="shared" ref="B151:Z151" si="79">$C37*EXP(-B$129/$A37/EXP(-$B$126))</f>
        <v>1.3450651080742435E-3</v>
      </c>
      <c r="C151" s="3">
        <f t="shared" si="79"/>
        <v>1.3450651080742435E-3</v>
      </c>
      <c r="D151" s="3">
        <f t="shared" si="79"/>
        <v>1.3450651080742435E-3</v>
      </c>
      <c r="E151" s="3">
        <f t="shared" si="79"/>
        <v>1.3450651080742435E-3</v>
      </c>
      <c r="F151" s="3">
        <f t="shared" si="79"/>
        <v>1.3450651080742435E-3</v>
      </c>
      <c r="G151" s="3">
        <f t="shared" si="79"/>
        <v>1.3450651080742435E-3</v>
      </c>
      <c r="H151" s="3">
        <f t="shared" si="79"/>
        <v>1.3450651080742435E-3</v>
      </c>
      <c r="I151" s="3">
        <f t="shared" si="79"/>
        <v>1.3450651080742435E-3</v>
      </c>
      <c r="J151" s="3">
        <f t="shared" si="79"/>
        <v>1.3450651080742435E-3</v>
      </c>
      <c r="K151" s="3">
        <f t="shared" si="79"/>
        <v>1.3450651080742435E-3</v>
      </c>
      <c r="L151" s="3">
        <f t="shared" si="79"/>
        <v>1.3450651080742435E-3</v>
      </c>
      <c r="M151" s="3">
        <f t="shared" si="79"/>
        <v>1.3450651080742435E-3</v>
      </c>
      <c r="N151" s="3">
        <f t="shared" si="79"/>
        <v>1.3450651080742435E-3</v>
      </c>
      <c r="O151" s="3">
        <f t="shared" si="79"/>
        <v>1.3450651080742435E-3</v>
      </c>
      <c r="P151" s="3">
        <f t="shared" si="79"/>
        <v>1.3450651080742435E-3</v>
      </c>
      <c r="Q151" s="3">
        <f t="shared" si="79"/>
        <v>1.3450651080742435E-3</v>
      </c>
      <c r="R151" s="3">
        <f t="shared" si="79"/>
        <v>1.3450651080742435E-3</v>
      </c>
      <c r="S151" s="3">
        <f t="shared" si="79"/>
        <v>1.3450651080742435E-3</v>
      </c>
      <c r="T151" s="3">
        <f t="shared" si="79"/>
        <v>1.3450651080742435E-3</v>
      </c>
      <c r="U151" s="3">
        <f t="shared" si="79"/>
        <v>1.3450651080742435E-3</v>
      </c>
      <c r="V151" s="3">
        <f t="shared" si="79"/>
        <v>1.3450651080742435E-3</v>
      </c>
      <c r="W151" s="3">
        <f t="shared" si="79"/>
        <v>1.3450651080742435E-3</v>
      </c>
      <c r="X151" s="3">
        <f t="shared" si="79"/>
        <v>1.3450651080742435E-3</v>
      </c>
      <c r="Y151" s="3">
        <f t="shared" si="79"/>
        <v>1.3450651080742435E-3</v>
      </c>
      <c r="Z151" s="3">
        <f t="shared" si="79"/>
        <v>1.3450651080742435E-3</v>
      </c>
      <c r="AA151" s="3">
        <f t="shared" ref="AA151" si="80">$C37*EXP(-AA$129/$A37/EXP(-$B$126))</f>
        <v>1.3450651080742435E-3</v>
      </c>
      <c r="AB151" s="3">
        <f t="shared" si="67"/>
        <v>1.3450651080742435E-3</v>
      </c>
      <c r="AC151" s="3">
        <f t="shared" si="67"/>
        <v>1.3450651080742435E-3</v>
      </c>
      <c r="AD151" s="3">
        <f t="shared" si="67"/>
        <v>1.3450651080742435E-3</v>
      </c>
      <c r="AE151" s="3">
        <f t="shared" si="67"/>
        <v>1.3450651080742435E-3</v>
      </c>
      <c r="AF151" s="3">
        <f t="shared" si="67"/>
        <v>1.3450651080742435E-3</v>
      </c>
    </row>
    <row r="152" spans="1:32" x14ac:dyDescent="0.25">
      <c r="B152" s="3">
        <f t="shared" ref="B152:Z152" si="81">$C38*EXP(-B$129/$A38/EXP(-$B$126))</f>
        <v>1.5999872696703847E-4</v>
      </c>
      <c r="C152" s="3">
        <f t="shared" si="81"/>
        <v>1.5999872696703847E-4</v>
      </c>
      <c r="D152" s="3">
        <f t="shared" si="81"/>
        <v>1.5999872696703847E-4</v>
      </c>
      <c r="E152" s="3">
        <f t="shared" si="81"/>
        <v>1.5999872696703847E-4</v>
      </c>
      <c r="F152" s="3">
        <f t="shared" si="81"/>
        <v>1.5999872696703847E-4</v>
      </c>
      <c r="G152" s="3">
        <f t="shared" si="81"/>
        <v>1.5999872696703847E-4</v>
      </c>
      <c r="H152" s="3">
        <f t="shared" si="81"/>
        <v>1.5999872696703847E-4</v>
      </c>
      <c r="I152" s="3">
        <f t="shared" si="81"/>
        <v>1.5999872696703847E-4</v>
      </c>
      <c r="J152" s="3">
        <f t="shared" si="81"/>
        <v>1.5999872696703847E-4</v>
      </c>
      <c r="K152" s="3">
        <f t="shared" si="81"/>
        <v>1.5999872696703847E-4</v>
      </c>
      <c r="L152" s="3">
        <f t="shared" si="81"/>
        <v>1.5999872696703847E-4</v>
      </c>
      <c r="M152" s="3">
        <f t="shared" si="81"/>
        <v>1.5999872696703847E-4</v>
      </c>
      <c r="N152" s="3">
        <f t="shared" si="81"/>
        <v>1.5999872696703847E-4</v>
      </c>
      <c r="O152" s="3">
        <f t="shared" si="81"/>
        <v>1.5999872696703847E-4</v>
      </c>
      <c r="P152" s="3">
        <f t="shared" si="81"/>
        <v>1.5999872696703847E-4</v>
      </c>
      <c r="Q152" s="3">
        <f t="shared" si="81"/>
        <v>1.5999872696703847E-4</v>
      </c>
      <c r="R152" s="3">
        <f t="shared" si="81"/>
        <v>1.5999872696703847E-4</v>
      </c>
      <c r="S152" s="3">
        <f t="shared" si="81"/>
        <v>1.5999872696703847E-4</v>
      </c>
      <c r="T152" s="3">
        <f t="shared" si="81"/>
        <v>1.5999872696703847E-4</v>
      </c>
      <c r="U152" s="3">
        <f t="shared" si="81"/>
        <v>1.5999872696703847E-4</v>
      </c>
      <c r="V152" s="3">
        <f t="shared" si="81"/>
        <v>1.5999872696703847E-4</v>
      </c>
      <c r="W152" s="3">
        <f t="shared" si="81"/>
        <v>1.5999872696703847E-4</v>
      </c>
      <c r="X152" s="3">
        <f t="shared" si="81"/>
        <v>1.5999872696703847E-4</v>
      </c>
      <c r="Y152" s="3">
        <f t="shared" si="81"/>
        <v>1.5999872696703847E-4</v>
      </c>
      <c r="Z152" s="3">
        <f t="shared" si="81"/>
        <v>1.5999872696703847E-4</v>
      </c>
      <c r="AA152" s="3">
        <f t="shared" ref="AA152" si="82">$C38*EXP(-AA$129/$A38/EXP(-$B$126))</f>
        <v>1.5999872696703847E-4</v>
      </c>
      <c r="AB152" s="3">
        <f t="shared" si="67"/>
        <v>1.5999872696703847E-4</v>
      </c>
      <c r="AC152" s="3">
        <f t="shared" si="67"/>
        <v>1.5999872696703847E-4</v>
      </c>
      <c r="AD152" s="3">
        <f t="shared" si="67"/>
        <v>1.5999872696703847E-4</v>
      </c>
      <c r="AE152" s="3">
        <f t="shared" si="67"/>
        <v>1.5999872696703847E-4</v>
      </c>
      <c r="AF152" s="3">
        <f t="shared" si="67"/>
        <v>1.5999872696703847E-4</v>
      </c>
    </row>
    <row r="153" spans="1:32" x14ac:dyDescent="0.25">
      <c r="B153" s="3">
        <f t="shared" ref="B153:Z153" si="83">$C39*EXP(-B$129/$A39/EXP(-$B$126))</f>
        <v>0</v>
      </c>
      <c r="C153" s="3">
        <f t="shared" si="83"/>
        <v>0</v>
      </c>
      <c r="D153" s="3">
        <f t="shared" si="83"/>
        <v>0</v>
      </c>
      <c r="E153" s="3">
        <f t="shared" si="83"/>
        <v>0</v>
      </c>
      <c r="F153" s="3">
        <f t="shared" si="83"/>
        <v>0</v>
      </c>
      <c r="G153" s="3">
        <f t="shared" si="83"/>
        <v>0</v>
      </c>
      <c r="H153" s="3">
        <f t="shared" si="83"/>
        <v>0</v>
      </c>
      <c r="I153" s="3">
        <f t="shared" si="83"/>
        <v>0</v>
      </c>
      <c r="J153" s="3">
        <f t="shared" si="83"/>
        <v>0</v>
      </c>
      <c r="K153" s="3">
        <f t="shared" si="83"/>
        <v>0</v>
      </c>
      <c r="L153" s="3">
        <f t="shared" si="83"/>
        <v>0</v>
      </c>
      <c r="M153" s="3">
        <f t="shared" si="83"/>
        <v>0</v>
      </c>
      <c r="N153" s="3">
        <f t="shared" si="83"/>
        <v>0</v>
      </c>
      <c r="O153" s="3">
        <f t="shared" si="83"/>
        <v>0</v>
      </c>
      <c r="P153" s="3">
        <f t="shared" si="83"/>
        <v>0</v>
      </c>
      <c r="Q153" s="3">
        <f t="shared" si="83"/>
        <v>0</v>
      </c>
      <c r="R153" s="3">
        <f t="shared" si="83"/>
        <v>0</v>
      </c>
      <c r="S153" s="3">
        <f t="shared" si="83"/>
        <v>0</v>
      </c>
      <c r="T153" s="3">
        <f t="shared" si="83"/>
        <v>0</v>
      </c>
      <c r="U153" s="3">
        <f t="shared" si="83"/>
        <v>0</v>
      </c>
      <c r="V153" s="3">
        <f t="shared" si="83"/>
        <v>0</v>
      </c>
      <c r="W153" s="3">
        <f t="shared" si="83"/>
        <v>0</v>
      </c>
      <c r="X153" s="3">
        <f t="shared" si="83"/>
        <v>0</v>
      </c>
      <c r="Y153" s="3">
        <f t="shared" si="83"/>
        <v>0</v>
      </c>
      <c r="Z153" s="3">
        <f t="shared" si="83"/>
        <v>0</v>
      </c>
      <c r="AA153" s="3">
        <f t="shared" ref="AA153" si="84">$C39*EXP(-AA$129/$A39/EXP(-$B$126))</f>
        <v>0</v>
      </c>
      <c r="AB153" s="3">
        <f t="shared" si="67"/>
        <v>0</v>
      </c>
      <c r="AC153" s="3">
        <f t="shared" si="67"/>
        <v>0</v>
      </c>
      <c r="AD153" s="3">
        <f t="shared" si="67"/>
        <v>0</v>
      </c>
      <c r="AE153" s="3">
        <f t="shared" si="67"/>
        <v>0</v>
      </c>
      <c r="AF153" s="3">
        <f t="shared" si="67"/>
        <v>0</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1.1033683083565872E-4</v>
      </c>
      <c r="C155" s="3">
        <f t="shared" si="87"/>
        <v>1.1033683083565872E-4</v>
      </c>
      <c r="D155" s="3">
        <f t="shared" si="87"/>
        <v>1.1033683083565872E-4</v>
      </c>
      <c r="E155" s="3">
        <f t="shared" si="87"/>
        <v>1.1033683083565872E-4</v>
      </c>
      <c r="F155" s="3">
        <f t="shared" si="87"/>
        <v>1.1033683083565872E-4</v>
      </c>
      <c r="G155" s="3">
        <f t="shared" si="87"/>
        <v>1.1033683083565872E-4</v>
      </c>
      <c r="H155" s="3">
        <f t="shared" si="87"/>
        <v>1.1033683083565872E-4</v>
      </c>
      <c r="I155" s="3">
        <f t="shared" si="87"/>
        <v>1.1033683083565872E-4</v>
      </c>
      <c r="J155" s="3">
        <f t="shared" si="87"/>
        <v>1.1033683083565872E-4</v>
      </c>
      <c r="K155" s="3">
        <f t="shared" si="87"/>
        <v>1.1033683083565872E-4</v>
      </c>
      <c r="L155" s="3">
        <f t="shared" si="87"/>
        <v>1.1033683083565872E-4</v>
      </c>
      <c r="M155" s="3">
        <f t="shared" si="87"/>
        <v>1.1033683083565872E-4</v>
      </c>
      <c r="N155" s="3">
        <f t="shared" si="87"/>
        <v>1.1033683083565872E-4</v>
      </c>
      <c r="O155" s="3">
        <f t="shared" si="87"/>
        <v>1.1033683083565872E-4</v>
      </c>
      <c r="P155" s="3">
        <f t="shared" si="87"/>
        <v>1.1033683083565872E-4</v>
      </c>
      <c r="Q155" s="3">
        <f t="shared" si="87"/>
        <v>1.1033683083565872E-4</v>
      </c>
      <c r="R155" s="3">
        <f t="shared" si="87"/>
        <v>1.1033683083565872E-4</v>
      </c>
      <c r="S155" s="3">
        <f t="shared" si="87"/>
        <v>1.1033683083565872E-4</v>
      </c>
      <c r="T155" s="3">
        <f t="shared" si="87"/>
        <v>1.1033683083565872E-4</v>
      </c>
      <c r="U155" s="3">
        <f t="shared" si="87"/>
        <v>1.1033683083565872E-4</v>
      </c>
      <c r="V155" s="3">
        <f t="shared" si="87"/>
        <v>1.1033683083565872E-4</v>
      </c>
      <c r="W155" s="3">
        <f t="shared" si="87"/>
        <v>1.1033683083565872E-4</v>
      </c>
      <c r="X155" s="3">
        <f t="shared" si="87"/>
        <v>1.1033683083565872E-4</v>
      </c>
      <c r="Y155" s="3">
        <f t="shared" si="87"/>
        <v>1.1033683083565872E-4</v>
      </c>
      <c r="Z155" s="3">
        <f t="shared" si="87"/>
        <v>1.1033683083565872E-4</v>
      </c>
      <c r="AA155" s="3">
        <f t="shared" ref="AA155:AF155" si="88">$C41*EXP(-AA$129/$A41/EXP(-$B$126))</f>
        <v>1.1033683083565872E-4</v>
      </c>
      <c r="AB155" s="3">
        <f t="shared" si="88"/>
        <v>1.1033683083565872E-4</v>
      </c>
      <c r="AC155" s="3">
        <f t="shared" si="88"/>
        <v>1.1033683083565872E-4</v>
      </c>
      <c r="AD155" s="3">
        <f t="shared" si="88"/>
        <v>1.1033683083565872E-4</v>
      </c>
      <c r="AE155" s="3">
        <f t="shared" si="88"/>
        <v>1.1033683083565872E-4</v>
      </c>
      <c r="AF155" s="3">
        <f t="shared" si="88"/>
        <v>1.1033683083565872E-4</v>
      </c>
    </row>
    <row r="156" spans="1:32" x14ac:dyDescent="0.25">
      <c r="B156" s="3">
        <f t="shared" ref="B156:Z156" si="89">$C42*EXP(-B$129/$A42/EXP(-$B$126))</f>
        <v>5.3430093526516889E-5</v>
      </c>
      <c r="C156" s="3">
        <f t="shared" si="89"/>
        <v>5.3430093526516889E-5</v>
      </c>
      <c r="D156" s="3">
        <f t="shared" si="89"/>
        <v>5.3430093526516889E-5</v>
      </c>
      <c r="E156" s="3">
        <f t="shared" si="89"/>
        <v>5.3430093526516889E-5</v>
      </c>
      <c r="F156" s="3">
        <f t="shared" si="89"/>
        <v>5.3430093526516889E-5</v>
      </c>
      <c r="G156" s="3">
        <f t="shared" si="89"/>
        <v>5.3430093526516889E-5</v>
      </c>
      <c r="H156" s="3">
        <f t="shared" si="89"/>
        <v>5.3430093526516889E-5</v>
      </c>
      <c r="I156" s="3">
        <f t="shared" si="89"/>
        <v>5.3430093526516889E-5</v>
      </c>
      <c r="J156" s="3">
        <f t="shared" si="89"/>
        <v>5.3430093526516889E-5</v>
      </c>
      <c r="K156" s="3">
        <f t="shared" si="89"/>
        <v>5.3430093526516889E-5</v>
      </c>
      <c r="L156" s="3">
        <f t="shared" si="89"/>
        <v>5.3430093526516889E-5</v>
      </c>
      <c r="M156" s="3">
        <f t="shared" si="89"/>
        <v>5.3430093526516889E-5</v>
      </c>
      <c r="N156" s="3">
        <f t="shared" si="89"/>
        <v>5.3430093526516889E-5</v>
      </c>
      <c r="O156" s="3">
        <f t="shared" si="89"/>
        <v>5.3430093526516889E-5</v>
      </c>
      <c r="P156" s="3">
        <f t="shared" si="89"/>
        <v>5.3430093526516889E-5</v>
      </c>
      <c r="Q156" s="3">
        <f t="shared" si="89"/>
        <v>5.3430093526516889E-5</v>
      </c>
      <c r="R156" s="3">
        <f t="shared" si="89"/>
        <v>5.3430093526516889E-5</v>
      </c>
      <c r="S156" s="3">
        <f t="shared" si="89"/>
        <v>5.3430093526516889E-5</v>
      </c>
      <c r="T156" s="3">
        <f t="shared" si="89"/>
        <v>5.3430093526516889E-5</v>
      </c>
      <c r="U156" s="3">
        <f t="shared" si="89"/>
        <v>5.3430093526516889E-5</v>
      </c>
      <c r="V156" s="3">
        <f t="shared" si="89"/>
        <v>5.3430093526516889E-5</v>
      </c>
      <c r="W156" s="3">
        <f t="shared" si="89"/>
        <v>5.3430093526516889E-5</v>
      </c>
      <c r="X156" s="3">
        <f t="shared" si="89"/>
        <v>5.3430093526516889E-5</v>
      </c>
      <c r="Y156" s="3">
        <f t="shared" si="89"/>
        <v>5.3430093526516889E-5</v>
      </c>
      <c r="Z156" s="3">
        <f t="shared" si="89"/>
        <v>5.3430093526516889E-5</v>
      </c>
      <c r="AA156" s="3">
        <f t="shared" ref="AA156:AF156" si="90">$C42*EXP(-AA$129/$A42/EXP(-$B$126))</f>
        <v>5.3430093526516889E-5</v>
      </c>
      <c r="AB156" s="3">
        <f t="shared" si="90"/>
        <v>5.3430093526516889E-5</v>
      </c>
      <c r="AC156" s="3">
        <f t="shared" si="90"/>
        <v>5.3430093526516889E-5</v>
      </c>
      <c r="AD156" s="3">
        <f t="shared" si="90"/>
        <v>5.3430093526516889E-5</v>
      </c>
      <c r="AE156" s="3">
        <f t="shared" si="90"/>
        <v>5.3430093526516889E-5</v>
      </c>
      <c r="AF156" s="3">
        <f t="shared" si="90"/>
        <v>5.3430093526516889E-5</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1.1249816087007928E-3</v>
      </c>
      <c r="C162" s="3">
        <f t="shared" si="101"/>
        <v>1.1249816087007928E-3</v>
      </c>
      <c r="D162" s="3">
        <f t="shared" si="101"/>
        <v>1.1249816087007928E-3</v>
      </c>
      <c r="E162" s="3">
        <f t="shared" si="101"/>
        <v>1.1249816087007928E-3</v>
      </c>
      <c r="F162" s="3">
        <f t="shared" si="101"/>
        <v>1.1249816087007928E-3</v>
      </c>
      <c r="G162" s="3">
        <f t="shared" si="101"/>
        <v>1.1249816087007928E-3</v>
      </c>
      <c r="H162" s="3">
        <f t="shared" si="101"/>
        <v>1.1249816087007928E-3</v>
      </c>
      <c r="I162" s="3">
        <f t="shared" si="101"/>
        <v>1.1249816087007928E-3</v>
      </c>
      <c r="J162" s="3">
        <f t="shared" si="101"/>
        <v>1.1249816087007928E-3</v>
      </c>
      <c r="K162" s="3">
        <f t="shared" si="101"/>
        <v>1.1249816087007928E-3</v>
      </c>
      <c r="L162" s="3">
        <f t="shared" si="101"/>
        <v>1.1249816087007928E-3</v>
      </c>
      <c r="M162" s="3">
        <f t="shared" si="101"/>
        <v>1.1249816087007928E-3</v>
      </c>
      <c r="N162" s="3">
        <f t="shared" si="101"/>
        <v>1.1249816087007928E-3</v>
      </c>
      <c r="O162" s="3">
        <f t="shared" si="101"/>
        <v>1.1249816087007928E-3</v>
      </c>
      <c r="P162" s="3">
        <f t="shared" si="101"/>
        <v>1.1249816087007928E-3</v>
      </c>
      <c r="Q162" s="3">
        <f t="shared" si="101"/>
        <v>1.1249816087007928E-3</v>
      </c>
      <c r="R162" s="3">
        <f t="shared" si="101"/>
        <v>1.1249816087007928E-3</v>
      </c>
      <c r="S162" s="3">
        <f t="shared" si="101"/>
        <v>1.1249816087007928E-3</v>
      </c>
      <c r="T162" s="3">
        <f t="shared" si="101"/>
        <v>1.1249816087007928E-3</v>
      </c>
      <c r="U162" s="3">
        <f t="shared" si="101"/>
        <v>1.1249816087007928E-3</v>
      </c>
      <c r="V162" s="3">
        <f t="shared" si="101"/>
        <v>1.1249816087007928E-3</v>
      </c>
      <c r="W162" s="3">
        <f t="shared" si="101"/>
        <v>1.1249816087007928E-3</v>
      </c>
      <c r="X162" s="3">
        <f t="shared" si="101"/>
        <v>1.1249816087007928E-3</v>
      </c>
      <c r="Y162" s="3">
        <f t="shared" si="101"/>
        <v>1.1249816087007928E-3</v>
      </c>
      <c r="Z162" s="3">
        <f t="shared" si="101"/>
        <v>1.1249816087007928E-3</v>
      </c>
      <c r="AA162" s="3">
        <f t="shared" ref="AA162:AF162" si="102">$C48*EXP(-AA$129/$A48/EXP(-$B$126))</f>
        <v>1.1249816087007928E-3</v>
      </c>
      <c r="AB162" s="3">
        <f t="shared" si="102"/>
        <v>1.1249816087007928E-3</v>
      </c>
      <c r="AC162" s="3">
        <f t="shared" si="102"/>
        <v>1.1249816087007928E-3</v>
      </c>
      <c r="AD162" s="3">
        <f t="shared" si="102"/>
        <v>1.1249816087007928E-3</v>
      </c>
      <c r="AE162" s="3">
        <f t="shared" si="102"/>
        <v>1.1249816087007928E-3</v>
      </c>
      <c r="AF162" s="3">
        <f t="shared" si="102"/>
        <v>1.1249816087007928E-3</v>
      </c>
    </row>
    <row r="163" spans="1:34" x14ac:dyDescent="0.25">
      <c r="A163" s="79">
        <f>AVERAGE(B163:AF163)</f>
        <v>2.0964689295106167E-2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2.4223677343729599E-3</v>
      </c>
      <c r="M163" s="80">
        <f t="shared" si="103"/>
        <v>2.3989326546242995E-3</v>
      </c>
      <c r="N163" s="80">
        <f t="shared" si="103"/>
        <v>2.1663495158178361E-3</v>
      </c>
      <c r="O163" s="80">
        <f t="shared" si="103"/>
        <v>5.9703792577293422E-5</v>
      </c>
      <c r="P163" s="80">
        <f t="shared" si="103"/>
        <v>1.753416428297971E-2</v>
      </c>
      <c r="Q163" s="80">
        <f t="shared" si="103"/>
        <v>4.7238027831272976E-2</v>
      </c>
      <c r="R163" s="80">
        <f t="shared" si="103"/>
        <v>6.9308358236510867E-2</v>
      </c>
      <c r="S163" s="80">
        <f t="shared" si="103"/>
        <v>9.2471300634333689E-2</v>
      </c>
      <c r="T163" s="80">
        <f t="shared" si="103"/>
        <v>0.11892043829229061</v>
      </c>
      <c r="U163" s="80">
        <f t="shared" si="103"/>
        <v>0.14615842338562024</v>
      </c>
      <c r="V163" s="80">
        <f t="shared" si="103"/>
        <v>0.15122730178789068</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186.15837615967365</v>
      </c>
      <c r="C164" s="21">
        <f t="shared" ref="C164:AF164" si="104">(C131-C130)^2</f>
        <v>187.05682177486665</v>
      </c>
      <c r="D164" s="21">
        <f t="shared" si="104"/>
        <v>186.50127938145937</v>
      </c>
      <c r="E164" s="21">
        <f t="shared" si="104"/>
        <v>186.32879994648795</v>
      </c>
      <c r="F164" s="21">
        <f t="shared" si="104"/>
        <v>186.27791159723665</v>
      </c>
      <c r="G164" s="21">
        <f t="shared" si="104"/>
        <v>186.25765701310786</v>
      </c>
      <c r="H164" s="21">
        <f t="shared" si="104"/>
        <v>186.2556810154328</v>
      </c>
      <c r="I164" s="21">
        <f t="shared" si="104"/>
        <v>186.25024707644346</v>
      </c>
      <c r="J164" s="21">
        <f t="shared" si="104"/>
        <v>186.24827112296506</v>
      </c>
      <c r="K164" s="21">
        <f t="shared" si="104"/>
        <v>186.21072996522366</v>
      </c>
      <c r="L164" s="21">
        <f t="shared" si="104"/>
        <v>185.84737020885959</v>
      </c>
      <c r="M164" s="21">
        <f t="shared" si="104"/>
        <v>182.26025834464943</v>
      </c>
      <c r="N164" s="21">
        <f t="shared" si="104"/>
        <v>148.56292463385759</v>
      </c>
      <c r="O164" s="21">
        <f t="shared" si="104"/>
        <v>0.11233669939191999</v>
      </c>
      <c r="P164" s="21">
        <f t="shared" si="104"/>
        <v>9359.2660386095049</v>
      </c>
      <c r="Q164" s="21">
        <f t="shared" si="104"/>
        <v>64130.124953677485</v>
      </c>
      <c r="R164" s="21">
        <f t="shared" si="104"/>
        <v>132413.41145792592</v>
      </c>
      <c r="S164" s="21">
        <f t="shared" si="104"/>
        <v>225804.96741715239</v>
      </c>
      <c r="T164" s="21">
        <f t="shared" si="104"/>
        <v>355781.92015174218</v>
      </c>
      <c r="U164" s="21">
        <f t="shared" si="104"/>
        <v>509015.84395872697</v>
      </c>
      <c r="V164" s="21">
        <f t="shared" si="104"/>
        <v>508453.77475565131</v>
      </c>
      <c r="W164" s="21">
        <f t="shared" si="104"/>
        <v>33270.700979206333</v>
      </c>
      <c r="X164" s="21">
        <f t="shared" si="104"/>
        <v>768424.68366844533</v>
      </c>
      <c r="Y164" s="21">
        <f t="shared" si="104"/>
        <v>438224.68993466772</v>
      </c>
      <c r="Z164" s="21">
        <f t="shared" si="104"/>
        <v>204485.3208479243</v>
      </c>
      <c r="AA164" s="21">
        <f t="shared" si="104"/>
        <v>52103.881047320836</v>
      </c>
      <c r="AB164" s="21">
        <f t="shared" si="104"/>
        <v>248.31715860050417</v>
      </c>
      <c r="AC164" s="21">
        <f t="shared" si="104"/>
        <v>10361.499303309438</v>
      </c>
      <c r="AD164" s="21">
        <f t="shared" si="104"/>
        <v>32.809793433061266</v>
      </c>
      <c r="AE164" s="21">
        <f t="shared" si="104"/>
        <v>410.75998101214827</v>
      </c>
      <c r="AF164" s="21">
        <f t="shared" si="104"/>
        <v>58.283123795191798</v>
      </c>
    </row>
    <row r="165" spans="1:34" x14ac:dyDescent="0.25">
      <c r="A165" s="71">
        <f>SUM(B165:AF165)</f>
        <v>1805476.0916233726</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185.84737020885959</v>
      </c>
      <c r="M165" s="60">
        <f t="shared" si="105"/>
        <v>182.26025834464943</v>
      </c>
      <c r="N165" s="60">
        <f t="shared" si="105"/>
        <v>148.56292463385759</v>
      </c>
      <c r="O165" s="60">
        <f t="shared" si="105"/>
        <v>0.11233669939191999</v>
      </c>
      <c r="P165" s="60">
        <f t="shared" si="105"/>
        <v>9359.2660386095049</v>
      </c>
      <c r="Q165" s="60">
        <f t="shared" si="105"/>
        <v>64130.124953677485</v>
      </c>
      <c r="R165" s="60">
        <f t="shared" si="105"/>
        <v>132413.41145792592</v>
      </c>
      <c r="S165" s="60">
        <f t="shared" si="105"/>
        <v>225804.96741715239</v>
      </c>
      <c r="T165" s="60">
        <f t="shared" si="105"/>
        <v>355781.92015174218</v>
      </c>
      <c r="U165" s="60">
        <f t="shared" si="105"/>
        <v>509015.84395872697</v>
      </c>
      <c r="V165" s="60">
        <f t="shared" si="105"/>
        <v>508453.77475565131</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0" t="s">
        <v>22</v>
      </c>
      <c r="B170" s="27">
        <f>($C$17+SUM(B171:B201))*$B$51</f>
        <v>5614.1606999999995</v>
      </c>
      <c r="C170" s="27">
        <f t="shared" ref="C170:AF170" si="106">($C$17+SUM(C171:C201))*$B$51</f>
        <v>5614.1606999999976</v>
      </c>
      <c r="D170" s="27">
        <f t="shared" si="106"/>
        <v>5614.1606999999767</v>
      </c>
      <c r="E170" s="27">
        <f t="shared" si="106"/>
        <v>5614.1606999997666</v>
      </c>
      <c r="F170" s="27">
        <f t="shared" si="106"/>
        <v>5614.1606999976684</v>
      </c>
      <c r="G170" s="27">
        <f t="shared" si="106"/>
        <v>5614.1606999766818</v>
      </c>
      <c r="H170" s="27">
        <f t="shared" si="106"/>
        <v>5614.1606997668141</v>
      </c>
      <c r="I170" s="27">
        <f t="shared" si="106"/>
        <v>5614.160697668146</v>
      </c>
      <c r="J170" s="27">
        <f t="shared" si="106"/>
        <v>5614.1606766814657</v>
      </c>
      <c r="K170" s="27">
        <f t="shared" si="106"/>
        <v>5614.1604668146674</v>
      </c>
      <c r="L170" s="27">
        <f t="shared" si="106"/>
        <v>5614.1583681477769</v>
      </c>
      <c r="M170" s="27">
        <f t="shared" si="106"/>
        <v>5614.137381588107</v>
      </c>
      <c r="N170" s="27">
        <f t="shared" si="106"/>
        <v>5613.9275269141635</v>
      </c>
      <c r="O170" s="27">
        <f t="shared" si="106"/>
        <v>5611.8300720678499</v>
      </c>
      <c r="P170" s="27">
        <f t="shared" si="106"/>
        <v>5590.9643315651638</v>
      </c>
      <c r="Q170" s="27">
        <f t="shared" si="106"/>
        <v>5392.816192731214</v>
      </c>
      <c r="R170" s="27">
        <f t="shared" si="106"/>
        <v>4171.3771289866181</v>
      </c>
      <c r="S170" s="27">
        <f t="shared" si="106"/>
        <v>3396.5286073193956</v>
      </c>
      <c r="T170" s="27">
        <f t="shared" si="106"/>
        <v>3396.4600437611361</v>
      </c>
      <c r="U170" s="27">
        <f t="shared" si="106"/>
        <v>3396.3761338894128</v>
      </c>
      <c r="V170" s="27">
        <f t="shared" si="106"/>
        <v>3395.538119468114</v>
      </c>
      <c r="W170" s="27">
        <f t="shared" si="106"/>
        <v>3387.2654409375909</v>
      </c>
      <c r="X170" s="27">
        <f t="shared" si="106"/>
        <v>3314.382942893928</v>
      </c>
      <c r="Y170" s="27">
        <f t="shared" si="106"/>
        <v>3056.8438937789206</v>
      </c>
      <c r="Z170" s="27">
        <f t="shared" si="106"/>
        <v>2925.6399569816153</v>
      </c>
      <c r="AA170" s="27">
        <f t="shared" si="106"/>
        <v>2764.3472249074853</v>
      </c>
      <c r="AB170" s="27">
        <f t="shared" si="106"/>
        <v>2583.5886594668559</v>
      </c>
      <c r="AC170" s="27">
        <f t="shared" si="106"/>
        <v>2387.5920302643312</v>
      </c>
      <c r="AD170" s="27">
        <f t="shared" si="106"/>
        <v>2167.1979296218783</v>
      </c>
      <c r="AE170" s="27">
        <f t="shared" si="106"/>
        <v>1921.5068837811625</v>
      </c>
      <c r="AF170" s="27">
        <f t="shared" si="106"/>
        <v>1636.3532268790307</v>
      </c>
      <c r="AG170" s="27"/>
      <c r="AH170" s="27"/>
    </row>
    <row r="171" spans="1:34" x14ac:dyDescent="0.25">
      <c r="B171" s="3">
        <f t="shared" ref="B171:AF171" si="107">$C18*EXP(-B$168/$A18/EXP(-$C$126))</f>
        <v>0.39501743006781925</v>
      </c>
      <c r="C171" s="3">
        <f t="shared" si="107"/>
        <v>0.39501743006781892</v>
      </c>
      <c r="D171" s="3">
        <f t="shared" si="107"/>
        <v>0.39501743006781515</v>
      </c>
      <c r="E171" s="3">
        <f t="shared" si="107"/>
        <v>0.39501743006777779</v>
      </c>
      <c r="F171" s="3">
        <f t="shared" si="107"/>
        <v>0.39501743006740397</v>
      </c>
      <c r="G171" s="3">
        <f t="shared" si="107"/>
        <v>0.3950174300636658</v>
      </c>
      <c r="H171" s="3">
        <f t="shared" si="107"/>
        <v>0.39501743002628409</v>
      </c>
      <c r="I171" s="3">
        <f t="shared" si="107"/>
        <v>0.39501742965246722</v>
      </c>
      <c r="J171" s="3">
        <f t="shared" si="107"/>
        <v>0.3950174259142985</v>
      </c>
      <c r="K171" s="3">
        <f t="shared" si="107"/>
        <v>0.39501738853261292</v>
      </c>
      <c r="L171" s="3">
        <f t="shared" si="107"/>
        <v>0.39501701471595213</v>
      </c>
      <c r="M171" s="3">
        <f t="shared" si="107"/>
        <v>0.39501327656880031</v>
      </c>
      <c r="N171" s="3">
        <f t="shared" si="107"/>
        <v>0.39497589704285413</v>
      </c>
      <c r="O171" s="3">
        <f t="shared" si="107"/>
        <v>0.39460229627250371</v>
      </c>
      <c r="P171" s="3">
        <f t="shared" si="107"/>
        <v>0.39088566955330989</v>
      </c>
      <c r="Q171" s="3">
        <f t="shared" si="107"/>
        <v>0.35559132351833522</v>
      </c>
      <c r="R171" s="3">
        <f t="shared" si="107"/>
        <v>0.13802737316282135</v>
      </c>
      <c r="S171" s="3">
        <f t="shared" si="107"/>
        <v>1.0717806104248261E-5</v>
      </c>
      <c r="T171" s="3">
        <f t="shared" si="107"/>
        <v>8.5410767946543361E-47</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5.9661445570693118E-2</v>
      </c>
      <c r="C172" s="3">
        <f t="shared" si="108"/>
        <v>5.9661445570693118E-2</v>
      </c>
      <c r="D172" s="3">
        <f t="shared" si="108"/>
        <v>5.9661445570693118E-2</v>
      </c>
      <c r="E172" s="3">
        <f t="shared" si="108"/>
        <v>5.9661445570693118E-2</v>
      </c>
      <c r="F172" s="3">
        <f t="shared" si="108"/>
        <v>5.9661445570693118E-2</v>
      </c>
      <c r="G172" s="3">
        <f t="shared" si="108"/>
        <v>5.9661445570693118E-2</v>
      </c>
      <c r="H172" s="3">
        <f t="shared" si="108"/>
        <v>5.9661445570693118E-2</v>
      </c>
      <c r="I172" s="3">
        <f t="shared" si="108"/>
        <v>5.9661445570693104E-2</v>
      </c>
      <c r="J172" s="3">
        <f t="shared" si="108"/>
        <v>5.9661445570692959E-2</v>
      </c>
      <c r="K172" s="3">
        <f t="shared" si="108"/>
        <v>5.9661445570691508E-2</v>
      </c>
      <c r="L172" s="3">
        <f t="shared" si="108"/>
        <v>5.9661445570677048E-2</v>
      </c>
      <c r="M172" s="3">
        <f t="shared" si="108"/>
        <v>5.9661445570532427E-2</v>
      </c>
      <c r="N172" s="3">
        <f t="shared" si="108"/>
        <v>5.9661445569086188E-2</v>
      </c>
      <c r="O172" s="3">
        <f t="shared" si="108"/>
        <v>5.9661445554623861E-2</v>
      </c>
      <c r="P172" s="3">
        <f t="shared" si="108"/>
        <v>5.9661445410000541E-2</v>
      </c>
      <c r="Q172" s="3">
        <f t="shared" si="108"/>
        <v>5.9661443963767359E-2</v>
      </c>
      <c r="R172" s="3">
        <f t="shared" si="108"/>
        <v>5.9661429501437463E-2</v>
      </c>
      <c r="S172" s="3">
        <f t="shared" si="108"/>
        <v>5.9661284878331319E-2</v>
      </c>
      <c r="T172" s="3">
        <f t="shared" si="108"/>
        <v>5.9659838666551362E-2</v>
      </c>
      <c r="U172" s="3">
        <f t="shared" si="108"/>
        <v>5.9645378476730813E-2</v>
      </c>
      <c r="V172" s="3">
        <f t="shared" si="108"/>
        <v>5.9500969203614071E-2</v>
      </c>
      <c r="W172" s="3">
        <f t="shared" si="108"/>
        <v>5.8075967329492405E-2</v>
      </c>
      <c r="X172" s="3">
        <f t="shared" si="108"/>
        <v>4.5574359661811385E-2</v>
      </c>
      <c r="Y172" s="3">
        <f t="shared" si="108"/>
        <v>4.0360989623945808E-3</v>
      </c>
      <c r="Z172" s="3">
        <f t="shared" si="108"/>
        <v>1.1977718876218122E-13</v>
      </c>
      <c r="AA172" s="3">
        <f t="shared" si="108"/>
        <v>6.3459582427651114E-119</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1.9174474308937255E-2</v>
      </c>
      <c r="C173" s="3">
        <f t="shared" si="109"/>
        <v>1.9174474308937255E-2</v>
      </c>
      <c r="D173" s="3">
        <f t="shared" si="109"/>
        <v>1.9174474308937255E-2</v>
      </c>
      <c r="E173" s="3">
        <f t="shared" si="109"/>
        <v>1.9174474308937255E-2</v>
      </c>
      <c r="F173" s="3">
        <f t="shared" si="109"/>
        <v>1.9174474308937255E-2</v>
      </c>
      <c r="G173" s="3">
        <f t="shared" si="109"/>
        <v>1.9174474308937255E-2</v>
      </c>
      <c r="H173" s="3">
        <f t="shared" si="109"/>
        <v>1.9174474308937255E-2</v>
      </c>
      <c r="I173" s="3">
        <f t="shared" si="109"/>
        <v>1.9174474308937255E-2</v>
      </c>
      <c r="J173" s="3">
        <f t="shared" si="109"/>
        <v>1.9174474308937251E-2</v>
      </c>
      <c r="K173" s="3">
        <f t="shared" si="109"/>
        <v>1.917447430893721E-2</v>
      </c>
      <c r="L173" s="3">
        <f t="shared" si="109"/>
        <v>1.917447430893679E-2</v>
      </c>
      <c r="M173" s="3">
        <f t="shared" si="109"/>
        <v>1.9174474308932595E-2</v>
      </c>
      <c r="N173" s="3">
        <f t="shared" si="109"/>
        <v>1.9174474308890667E-2</v>
      </c>
      <c r="O173" s="3">
        <f t="shared" si="109"/>
        <v>1.9174474308471377E-2</v>
      </c>
      <c r="P173" s="3">
        <f t="shared" si="109"/>
        <v>1.9174474304278474E-2</v>
      </c>
      <c r="Q173" s="3">
        <f t="shared" si="109"/>
        <v>1.9174474262349465E-2</v>
      </c>
      <c r="R173" s="3">
        <f t="shared" si="109"/>
        <v>1.9174473843059366E-2</v>
      </c>
      <c r="S173" s="3">
        <f t="shared" si="109"/>
        <v>1.9174469650158878E-2</v>
      </c>
      <c r="T173" s="3">
        <f t="shared" si="109"/>
        <v>1.917442772120442E-2</v>
      </c>
      <c r="U173" s="3">
        <f t="shared" si="109"/>
        <v>1.9174008436702552E-2</v>
      </c>
      <c r="V173" s="3">
        <f t="shared" si="109"/>
        <v>1.9169816095914716E-2</v>
      </c>
      <c r="W173" s="3">
        <f t="shared" si="109"/>
        <v>1.9127943070348229E-2</v>
      </c>
      <c r="X173" s="3">
        <f t="shared" si="109"/>
        <v>1.8714210519750158E-2</v>
      </c>
      <c r="Y173" s="3">
        <f t="shared" si="109"/>
        <v>1.5038478925795863E-2</v>
      </c>
      <c r="Z173" s="3">
        <f t="shared" si="109"/>
        <v>1.6886044162890686E-3</v>
      </c>
      <c r="AA173" s="3">
        <f t="shared" si="109"/>
        <v>5.3798233176842255E-13</v>
      </c>
      <c r="AB173" s="3">
        <f t="shared" si="109"/>
        <v>5.7965413028617463E-108</v>
      </c>
      <c r="AC173" s="3">
        <f t="shared" si="109"/>
        <v>0</v>
      </c>
      <c r="AD173" s="3">
        <f t="shared" si="109"/>
        <v>0</v>
      </c>
      <c r="AE173" s="3">
        <f t="shared" si="109"/>
        <v>0</v>
      </c>
      <c r="AF173" s="3">
        <f t="shared" si="109"/>
        <v>0</v>
      </c>
      <c r="AG173" s="3"/>
      <c r="AH173" s="3"/>
    </row>
    <row r="174" spans="1:34" x14ac:dyDescent="0.25">
      <c r="B174" s="3">
        <f t="shared" ref="B174:AF174" si="110">$C21*EXP(-B$168/$A21/EXP(-$C$126))</f>
        <v>3.042813256492289E-2</v>
      </c>
      <c r="C174" s="3">
        <f t="shared" si="110"/>
        <v>3.042813256492289E-2</v>
      </c>
      <c r="D174" s="3">
        <f t="shared" si="110"/>
        <v>3.042813256492289E-2</v>
      </c>
      <c r="E174" s="3">
        <f t="shared" si="110"/>
        <v>3.042813256492289E-2</v>
      </c>
      <c r="F174" s="3">
        <f t="shared" si="110"/>
        <v>3.042813256492289E-2</v>
      </c>
      <c r="G174" s="3">
        <f t="shared" si="110"/>
        <v>3.042813256492289E-2</v>
      </c>
      <c r="H174" s="3">
        <f t="shared" si="110"/>
        <v>3.042813256492289E-2</v>
      </c>
      <c r="I174" s="3">
        <f t="shared" si="110"/>
        <v>3.042813256492289E-2</v>
      </c>
      <c r="J174" s="3">
        <f t="shared" si="110"/>
        <v>3.042813256492289E-2</v>
      </c>
      <c r="K174" s="3">
        <f t="shared" si="110"/>
        <v>3.0428132564922883E-2</v>
      </c>
      <c r="L174" s="3">
        <f t="shared" si="110"/>
        <v>3.0428132564922824E-2</v>
      </c>
      <c r="M174" s="3">
        <f t="shared" si="110"/>
        <v>3.0428132564922224E-2</v>
      </c>
      <c r="N174" s="3">
        <f t="shared" si="110"/>
        <v>3.0428132564916222E-2</v>
      </c>
      <c r="O174" s="3">
        <f t="shared" si="110"/>
        <v>3.0428132564856197E-2</v>
      </c>
      <c r="P174" s="3">
        <f t="shared" si="110"/>
        <v>3.0428132564255975E-2</v>
      </c>
      <c r="Q174" s="3">
        <f t="shared" si="110"/>
        <v>3.0428132558253738E-2</v>
      </c>
      <c r="R174" s="3">
        <f t="shared" si="110"/>
        <v>3.0428132498231383E-2</v>
      </c>
      <c r="S174" s="3">
        <f t="shared" si="110"/>
        <v>3.0428131898007832E-2</v>
      </c>
      <c r="T174" s="3">
        <f t="shared" si="110"/>
        <v>3.042812589577296E-2</v>
      </c>
      <c r="U174" s="3">
        <f t="shared" si="110"/>
        <v>3.0428065873489393E-2</v>
      </c>
      <c r="V174" s="3">
        <f t="shared" si="110"/>
        <v>3.0427465657165639E-2</v>
      </c>
      <c r="W174" s="3">
        <f t="shared" si="110"/>
        <v>3.0421464145073882E-2</v>
      </c>
      <c r="X174" s="3">
        <f t="shared" si="110"/>
        <v>3.0361514091237322E-2</v>
      </c>
      <c r="Y174" s="3">
        <f t="shared" si="110"/>
        <v>2.9768473020660609E-2</v>
      </c>
      <c r="Z174" s="3">
        <f t="shared" si="110"/>
        <v>2.4439250511632135E-2</v>
      </c>
      <c r="AA174" s="3">
        <f t="shared" si="110"/>
        <v>3.3993911072689254E-3</v>
      </c>
      <c r="AB174" s="3">
        <f t="shared" si="110"/>
        <v>9.2158127664403727E-12</v>
      </c>
      <c r="AC174" s="3">
        <f t="shared" si="110"/>
        <v>1.9763266686867917E-97</v>
      </c>
      <c r="AD174" s="3">
        <f t="shared" si="110"/>
        <v>0</v>
      </c>
      <c r="AE174" s="3">
        <f t="shared" si="110"/>
        <v>0</v>
      </c>
      <c r="AF174" s="3">
        <f t="shared" si="110"/>
        <v>0</v>
      </c>
      <c r="AG174" s="3"/>
      <c r="AH174" s="3"/>
    </row>
    <row r="175" spans="1:34" x14ac:dyDescent="0.25">
      <c r="B175" s="3">
        <f t="shared" ref="B175:AF175" si="111">$C22*EXP(-B$168/$A22/EXP(-$C$126))</f>
        <v>3.3546614570255213E-2</v>
      </c>
      <c r="C175" s="3">
        <f t="shared" si="111"/>
        <v>3.3546614570255213E-2</v>
      </c>
      <c r="D175" s="3">
        <f t="shared" si="111"/>
        <v>3.3546614570255213E-2</v>
      </c>
      <c r="E175" s="3">
        <f t="shared" si="111"/>
        <v>3.3546614570255213E-2</v>
      </c>
      <c r="F175" s="3">
        <f t="shared" si="111"/>
        <v>3.3546614570255213E-2</v>
      </c>
      <c r="G175" s="3">
        <f t="shared" si="111"/>
        <v>3.3546614570255213E-2</v>
      </c>
      <c r="H175" s="3">
        <f t="shared" si="111"/>
        <v>3.3546614570255213E-2</v>
      </c>
      <c r="I175" s="3">
        <f t="shared" si="111"/>
        <v>3.3546614570255213E-2</v>
      </c>
      <c r="J175" s="3">
        <f t="shared" si="111"/>
        <v>3.3546614570255213E-2</v>
      </c>
      <c r="K175" s="3">
        <f t="shared" si="111"/>
        <v>3.3546614570255213E-2</v>
      </c>
      <c r="L175" s="3">
        <f t="shared" si="111"/>
        <v>3.3546614570255207E-2</v>
      </c>
      <c r="M175" s="3">
        <f t="shared" si="111"/>
        <v>3.3546614570255144E-2</v>
      </c>
      <c r="N175" s="3">
        <f t="shared" si="111"/>
        <v>3.3546614570254547E-2</v>
      </c>
      <c r="O175" s="3">
        <f t="shared" si="111"/>
        <v>3.354661457024858E-2</v>
      </c>
      <c r="P175" s="3">
        <f t="shared" si="111"/>
        <v>3.3546614570188885E-2</v>
      </c>
      <c r="Q175" s="3">
        <f t="shared" si="111"/>
        <v>3.3546614569591945E-2</v>
      </c>
      <c r="R175" s="3">
        <f t="shared" si="111"/>
        <v>3.3546614563622512E-2</v>
      </c>
      <c r="S175" s="3">
        <f t="shared" si="111"/>
        <v>3.3546614503928186E-2</v>
      </c>
      <c r="T175" s="3">
        <f t="shared" si="111"/>
        <v>3.3546613906984969E-2</v>
      </c>
      <c r="U175" s="3">
        <f t="shared" si="111"/>
        <v>3.354660793755336E-2</v>
      </c>
      <c r="V175" s="3">
        <f t="shared" si="111"/>
        <v>3.3546548243295712E-2</v>
      </c>
      <c r="W175" s="3">
        <f t="shared" si="111"/>
        <v>3.3545951306561378E-2</v>
      </c>
      <c r="X175" s="3">
        <f t="shared" si="111"/>
        <v>3.3539982523400229E-2</v>
      </c>
      <c r="Y175" s="3">
        <f t="shared" si="111"/>
        <v>3.3480353071558965E-2</v>
      </c>
      <c r="Z175" s="3">
        <f t="shared" si="111"/>
        <v>3.2889858275527477E-2</v>
      </c>
      <c r="AA175" s="3">
        <f t="shared" si="111"/>
        <v>2.7528448187363479E-2</v>
      </c>
      <c r="AB175" s="3">
        <f t="shared" si="111"/>
        <v>4.6449282856911292E-3</v>
      </c>
      <c r="AC175" s="3">
        <f t="shared" si="111"/>
        <v>8.6886407630314157E-11</v>
      </c>
      <c r="AD175" s="3">
        <f t="shared" si="111"/>
        <v>4.5570114925563426E-88</v>
      </c>
      <c r="AE175" s="3">
        <f t="shared" si="111"/>
        <v>0</v>
      </c>
      <c r="AF175" s="3">
        <f t="shared" si="111"/>
        <v>0</v>
      </c>
      <c r="AG175" s="3"/>
      <c r="AH175" s="3"/>
    </row>
    <row r="176" spans="1:34" x14ac:dyDescent="0.25">
      <c r="B176" s="3">
        <f t="shared" ref="B176:AF176" si="112">$C23*EXP(-B$168/$A23/EXP(-$C$126))</f>
        <v>3.6056553536874446E-2</v>
      </c>
      <c r="C176" s="3">
        <f t="shared" si="112"/>
        <v>3.6056553536874446E-2</v>
      </c>
      <c r="D176" s="3">
        <f t="shared" si="112"/>
        <v>3.6056553536874446E-2</v>
      </c>
      <c r="E176" s="3">
        <f t="shared" si="112"/>
        <v>3.6056553536874446E-2</v>
      </c>
      <c r="F176" s="3">
        <f t="shared" si="112"/>
        <v>3.6056553536874446E-2</v>
      </c>
      <c r="G176" s="3">
        <f t="shared" si="112"/>
        <v>3.6056553536874446E-2</v>
      </c>
      <c r="H176" s="3">
        <f t="shared" si="112"/>
        <v>3.6056553536874446E-2</v>
      </c>
      <c r="I176" s="3">
        <f t="shared" si="112"/>
        <v>3.6056553536874446E-2</v>
      </c>
      <c r="J176" s="3">
        <f t="shared" si="112"/>
        <v>3.6056553536874446E-2</v>
      </c>
      <c r="K176" s="3">
        <f t="shared" si="112"/>
        <v>3.6056553536874446E-2</v>
      </c>
      <c r="L176" s="3">
        <f t="shared" si="112"/>
        <v>3.6056553536874446E-2</v>
      </c>
      <c r="M176" s="3">
        <f t="shared" si="112"/>
        <v>3.6056553536874439E-2</v>
      </c>
      <c r="N176" s="3">
        <f t="shared" si="112"/>
        <v>3.6056553536874383E-2</v>
      </c>
      <c r="O176" s="3">
        <f t="shared" si="112"/>
        <v>3.60565535368738E-2</v>
      </c>
      <c r="P176" s="3">
        <f t="shared" si="112"/>
        <v>3.6056553536868013E-2</v>
      </c>
      <c r="Q176" s="3">
        <f t="shared" si="112"/>
        <v>3.6056553536810136E-2</v>
      </c>
      <c r="R176" s="3">
        <f t="shared" si="112"/>
        <v>3.6056553536231356E-2</v>
      </c>
      <c r="S176" s="3">
        <f t="shared" si="112"/>
        <v>3.6056553530443534E-2</v>
      </c>
      <c r="T176" s="3">
        <f t="shared" si="112"/>
        <v>3.6056553472565318E-2</v>
      </c>
      <c r="U176" s="3">
        <f t="shared" si="112"/>
        <v>3.6056552893783164E-2</v>
      </c>
      <c r="V176" s="3">
        <f t="shared" si="112"/>
        <v>3.6056547105962192E-2</v>
      </c>
      <c r="W176" s="3">
        <f t="shared" si="112"/>
        <v>3.6056489227803482E-2</v>
      </c>
      <c r="X176" s="3">
        <f t="shared" si="112"/>
        <v>3.6055910451326216E-2</v>
      </c>
      <c r="Y176" s="3">
        <f t="shared" si="112"/>
        <v>3.605012319750555E-2</v>
      </c>
      <c r="Z176" s="3">
        <f t="shared" si="112"/>
        <v>3.5992301724162686E-2</v>
      </c>
      <c r="AA176" s="3">
        <f t="shared" si="112"/>
        <v>3.5419163278122598E-2</v>
      </c>
      <c r="AB176" s="3">
        <f t="shared" si="112"/>
        <v>3.0166509599678999E-2</v>
      </c>
      <c r="AC176" s="3">
        <f t="shared" si="112"/>
        <v>6.0588851657786286E-3</v>
      </c>
      <c r="AD176" s="3">
        <f t="shared" si="112"/>
        <v>6.4724589174528803E-10</v>
      </c>
      <c r="AE176" s="3">
        <f t="shared" si="112"/>
        <v>1.2526654925379314E-79</v>
      </c>
      <c r="AF176" s="3">
        <f t="shared" si="112"/>
        <v>0</v>
      </c>
      <c r="AG176" s="3"/>
      <c r="AH176" s="3"/>
    </row>
    <row r="177" spans="2:34" x14ac:dyDescent="0.25">
      <c r="B177" s="3">
        <f t="shared" ref="B177:AF177" si="113">$C24*EXP(-B$168/$A24/EXP(-$C$126))</f>
        <v>4.1431742608178009E-2</v>
      </c>
      <c r="C177" s="3">
        <f t="shared" si="113"/>
        <v>4.1431742608178009E-2</v>
      </c>
      <c r="D177" s="3">
        <f t="shared" si="113"/>
        <v>4.1431742608178009E-2</v>
      </c>
      <c r="E177" s="3">
        <f t="shared" si="113"/>
        <v>4.1431742608178009E-2</v>
      </c>
      <c r="F177" s="3">
        <f t="shared" si="113"/>
        <v>4.1431742608178009E-2</v>
      </c>
      <c r="G177" s="3">
        <f t="shared" si="113"/>
        <v>4.1431742608178009E-2</v>
      </c>
      <c r="H177" s="3">
        <f t="shared" si="113"/>
        <v>4.1431742608178009E-2</v>
      </c>
      <c r="I177" s="3">
        <f t="shared" si="113"/>
        <v>4.1431742608178009E-2</v>
      </c>
      <c r="J177" s="3">
        <f t="shared" si="113"/>
        <v>4.1431742608178009E-2</v>
      </c>
      <c r="K177" s="3">
        <f t="shared" si="113"/>
        <v>4.1431742608178009E-2</v>
      </c>
      <c r="L177" s="3">
        <f t="shared" si="113"/>
        <v>4.1431742608178009E-2</v>
      </c>
      <c r="M177" s="3">
        <f t="shared" si="113"/>
        <v>4.1431742608178009E-2</v>
      </c>
      <c r="N177" s="3">
        <f t="shared" si="113"/>
        <v>4.1431742608178002E-2</v>
      </c>
      <c r="O177" s="3">
        <f t="shared" si="113"/>
        <v>4.1431742608177946E-2</v>
      </c>
      <c r="P177" s="3">
        <f t="shared" si="113"/>
        <v>4.1431742608177342E-2</v>
      </c>
      <c r="Q177" s="3">
        <f t="shared" si="113"/>
        <v>4.143174260817134E-2</v>
      </c>
      <c r="R177" s="3">
        <f t="shared" si="113"/>
        <v>4.1431742608111347E-2</v>
      </c>
      <c r="S177" s="3">
        <f t="shared" si="113"/>
        <v>4.1431742607511403E-2</v>
      </c>
      <c r="T177" s="3">
        <f t="shared" si="113"/>
        <v>4.1431742601511966E-2</v>
      </c>
      <c r="U177" s="3">
        <f t="shared" si="113"/>
        <v>4.1431742541517567E-2</v>
      </c>
      <c r="V177" s="3">
        <f t="shared" si="113"/>
        <v>4.1431741941573577E-2</v>
      </c>
      <c r="W177" s="3">
        <f t="shared" si="113"/>
        <v>4.1431735942134153E-2</v>
      </c>
      <c r="X177" s="3">
        <f t="shared" si="113"/>
        <v>4.1431675947787711E-2</v>
      </c>
      <c r="Y177" s="3">
        <f t="shared" si="113"/>
        <v>4.1431076009101328E-2</v>
      </c>
      <c r="Z177" s="3">
        <f t="shared" si="113"/>
        <v>4.1425077100014279E-2</v>
      </c>
      <c r="AA177" s="3">
        <f t="shared" si="113"/>
        <v>4.1365135761235912E-2</v>
      </c>
      <c r="AB177" s="3">
        <f t="shared" si="113"/>
        <v>4.0770472097267703E-2</v>
      </c>
      <c r="AC177" s="3">
        <f t="shared" si="113"/>
        <v>3.5274316192539408E-2</v>
      </c>
      <c r="AD177" s="3">
        <f t="shared" si="113"/>
        <v>8.2906243062655857E-3</v>
      </c>
      <c r="AE177" s="3">
        <f t="shared" si="113"/>
        <v>4.2645533640001646E-9</v>
      </c>
      <c r="AF177" s="3">
        <f t="shared" si="113"/>
        <v>5.5301477272235785E-72</v>
      </c>
      <c r="AG177" s="3"/>
      <c r="AH177" s="3"/>
    </row>
    <row r="178" spans="2:34" x14ac:dyDescent="0.25">
      <c r="B178" s="3">
        <f t="shared" ref="B178:AF178" si="114">$C25*EXP(-B$168/$A25/EXP(-$C$126))</f>
        <v>4.558861375636767E-2</v>
      </c>
      <c r="C178" s="3">
        <f t="shared" si="114"/>
        <v>4.558861375636767E-2</v>
      </c>
      <c r="D178" s="3">
        <f t="shared" si="114"/>
        <v>4.558861375636767E-2</v>
      </c>
      <c r="E178" s="3">
        <f t="shared" si="114"/>
        <v>4.558861375636767E-2</v>
      </c>
      <c r="F178" s="3">
        <f t="shared" si="114"/>
        <v>4.558861375636767E-2</v>
      </c>
      <c r="G178" s="3">
        <f t="shared" si="114"/>
        <v>4.558861375636767E-2</v>
      </c>
      <c r="H178" s="3">
        <f t="shared" si="114"/>
        <v>4.558861375636767E-2</v>
      </c>
      <c r="I178" s="3">
        <f t="shared" si="114"/>
        <v>4.558861375636767E-2</v>
      </c>
      <c r="J178" s="3">
        <f t="shared" si="114"/>
        <v>4.558861375636767E-2</v>
      </c>
      <c r="K178" s="3">
        <f t="shared" si="114"/>
        <v>4.558861375636767E-2</v>
      </c>
      <c r="L178" s="3">
        <f t="shared" si="114"/>
        <v>4.558861375636767E-2</v>
      </c>
      <c r="M178" s="3">
        <f t="shared" si="114"/>
        <v>4.558861375636767E-2</v>
      </c>
      <c r="N178" s="3">
        <f t="shared" si="114"/>
        <v>4.558861375636767E-2</v>
      </c>
      <c r="O178" s="3">
        <f t="shared" si="114"/>
        <v>4.5588613756367663E-2</v>
      </c>
      <c r="P178" s="3">
        <f t="shared" si="114"/>
        <v>4.5588613756367607E-2</v>
      </c>
      <c r="Q178" s="3">
        <f t="shared" si="114"/>
        <v>4.5588613756367004E-2</v>
      </c>
      <c r="R178" s="3">
        <f t="shared" si="114"/>
        <v>4.5588613756361057E-2</v>
      </c>
      <c r="S178" s="3">
        <f t="shared" si="114"/>
        <v>4.5588613756301501E-2</v>
      </c>
      <c r="T178" s="3">
        <f t="shared" si="114"/>
        <v>4.5588613755706005E-2</v>
      </c>
      <c r="U178" s="3">
        <f t="shared" si="114"/>
        <v>4.5588613749751025E-2</v>
      </c>
      <c r="V178" s="3">
        <f t="shared" si="114"/>
        <v>4.5588613690201195E-2</v>
      </c>
      <c r="W178" s="3">
        <f t="shared" si="114"/>
        <v>4.5588613094702954E-2</v>
      </c>
      <c r="X178" s="3">
        <f t="shared" si="114"/>
        <v>4.5588607139720946E-2</v>
      </c>
      <c r="Y178" s="3">
        <f t="shared" si="114"/>
        <v>4.5588547589943636E-2</v>
      </c>
      <c r="Z178" s="3">
        <f t="shared" si="114"/>
        <v>4.5587952096448829E-2</v>
      </c>
      <c r="AA178" s="3">
        <f t="shared" si="114"/>
        <v>4.5581997589303869E-2</v>
      </c>
      <c r="AB178" s="3">
        <f t="shared" si="114"/>
        <v>4.5522495277498291E-2</v>
      </c>
      <c r="AC178" s="3">
        <f t="shared" si="114"/>
        <v>4.4931727529695792E-2</v>
      </c>
      <c r="AD178" s="3">
        <f t="shared" si="114"/>
        <v>3.9429719495638359E-2</v>
      </c>
      <c r="AE178" s="3">
        <f t="shared" si="114"/>
        <v>1.0678970734054776E-2</v>
      </c>
      <c r="AF178" s="3">
        <f t="shared" si="114"/>
        <v>2.2677046183320459E-8</v>
      </c>
      <c r="AG178" s="3"/>
      <c r="AH178" s="3"/>
    </row>
    <row r="179" spans="2:34" x14ac:dyDescent="0.25">
      <c r="B179" s="3">
        <f t="shared" ref="B179:AF179" si="115">$C26*EXP(-B$168/$A26/EXP(-$C$126))</f>
        <v>5.454765248808658E-2</v>
      </c>
      <c r="C179" s="3">
        <f t="shared" si="115"/>
        <v>5.454765248808658E-2</v>
      </c>
      <c r="D179" s="3">
        <f t="shared" si="115"/>
        <v>5.454765248808658E-2</v>
      </c>
      <c r="E179" s="3">
        <f t="shared" si="115"/>
        <v>5.454765248808658E-2</v>
      </c>
      <c r="F179" s="3">
        <f t="shared" si="115"/>
        <v>5.454765248808658E-2</v>
      </c>
      <c r="G179" s="3">
        <f t="shared" si="115"/>
        <v>5.454765248808658E-2</v>
      </c>
      <c r="H179" s="3">
        <f t="shared" si="115"/>
        <v>5.454765248808658E-2</v>
      </c>
      <c r="I179" s="3">
        <f t="shared" si="115"/>
        <v>5.454765248808658E-2</v>
      </c>
      <c r="J179" s="3">
        <f t="shared" si="115"/>
        <v>5.454765248808658E-2</v>
      </c>
      <c r="K179" s="3">
        <f t="shared" si="115"/>
        <v>5.454765248808658E-2</v>
      </c>
      <c r="L179" s="3">
        <f t="shared" si="115"/>
        <v>5.454765248808658E-2</v>
      </c>
      <c r="M179" s="3">
        <f t="shared" si="115"/>
        <v>5.454765248808658E-2</v>
      </c>
      <c r="N179" s="3">
        <f t="shared" si="115"/>
        <v>5.454765248808658E-2</v>
      </c>
      <c r="O179" s="3">
        <f t="shared" si="115"/>
        <v>5.454765248808658E-2</v>
      </c>
      <c r="P179" s="3">
        <f t="shared" si="115"/>
        <v>5.4547652488086573E-2</v>
      </c>
      <c r="Q179" s="3">
        <f t="shared" si="115"/>
        <v>5.4547652488086511E-2</v>
      </c>
      <c r="R179" s="3">
        <f t="shared" si="115"/>
        <v>5.4547652488085865E-2</v>
      </c>
      <c r="S179" s="3">
        <f t="shared" si="115"/>
        <v>5.454765248807944E-2</v>
      </c>
      <c r="T179" s="3">
        <f t="shared" si="115"/>
        <v>5.4547652488015165E-2</v>
      </c>
      <c r="U179" s="3">
        <f t="shared" si="115"/>
        <v>5.4547652487372408E-2</v>
      </c>
      <c r="V179" s="3">
        <f t="shared" si="115"/>
        <v>5.4547652480944835E-2</v>
      </c>
      <c r="W179" s="3">
        <f t="shared" si="115"/>
        <v>5.4547652416669146E-2</v>
      </c>
      <c r="X179" s="3">
        <f t="shared" si="115"/>
        <v>5.4547651773912235E-2</v>
      </c>
      <c r="Y179" s="3">
        <f t="shared" si="115"/>
        <v>5.4547645346343543E-2</v>
      </c>
      <c r="Z179" s="3">
        <f t="shared" si="115"/>
        <v>5.4547581070698299E-2</v>
      </c>
      <c r="AA179" s="3">
        <f t="shared" si="115"/>
        <v>5.4546938318411439E-2</v>
      </c>
      <c r="AB179" s="3">
        <f t="shared" si="115"/>
        <v>5.4540511212085148E-2</v>
      </c>
      <c r="AC179" s="3">
        <f t="shared" si="115"/>
        <v>5.4476281784896441E-2</v>
      </c>
      <c r="AD179" s="3">
        <f t="shared" si="115"/>
        <v>5.38381330247657E-2</v>
      </c>
      <c r="AE179" s="3">
        <f t="shared" si="115"/>
        <v>4.7853678412198571E-2</v>
      </c>
      <c r="AF179" s="3">
        <f t="shared" si="115"/>
        <v>1.472884465596643E-2</v>
      </c>
      <c r="AG179" s="3"/>
      <c r="AH179" s="3"/>
    </row>
    <row r="180" spans="2:34" x14ac:dyDescent="0.25">
      <c r="B180" s="3">
        <f t="shared" ref="B180:AF180" si="116">$C27*EXP(-B$168/$A27/EXP(-$C$126))</f>
        <v>6.3488731508467941E-2</v>
      </c>
      <c r="C180" s="3">
        <f t="shared" si="116"/>
        <v>6.3488731508467941E-2</v>
      </c>
      <c r="D180" s="3">
        <f t="shared" si="116"/>
        <v>6.3488731508467941E-2</v>
      </c>
      <c r="E180" s="3">
        <f t="shared" si="116"/>
        <v>6.3488731508467941E-2</v>
      </c>
      <c r="F180" s="3">
        <f t="shared" si="116"/>
        <v>6.3488731508467941E-2</v>
      </c>
      <c r="G180" s="3">
        <f t="shared" si="116"/>
        <v>6.3488731508467941E-2</v>
      </c>
      <c r="H180" s="3">
        <f t="shared" si="116"/>
        <v>6.3488731508467941E-2</v>
      </c>
      <c r="I180" s="3">
        <f t="shared" si="116"/>
        <v>6.3488731508467941E-2</v>
      </c>
      <c r="J180" s="3">
        <f t="shared" si="116"/>
        <v>6.3488731508467941E-2</v>
      </c>
      <c r="K180" s="3">
        <f t="shared" si="116"/>
        <v>6.3488731508467941E-2</v>
      </c>
      <c r="L180" s="3">
        <f t="shared" si="116"/>
        <v>6.3488731508467941E-2</v>
      </c>
      <c r="M180" s="3">
        <f t="shared" si="116"/>
        <v>6.3488731508467941E-2</v>
      </c>
      <c r="N180" s="3">
        <f t="shared" si="116"/>
        <v>6.3488731508467941E-2</v>
      </c>
      <c r="O180" s="3">
        <f t="shared" si="116"/>
        <v>6.3488731508467941E-2</v>
      </c>
      <c r="P180" s="3">
        <f t="shared" si="116"/>
        <v>6.3488731508467941E-2</v>
      </c>
      <c r="Q180" s="3">
        <f t="shared" si="116"/>
        <v>6.3488731508467927E-2</v>
      </c>
      <c r="R180" s="3">
        <f t="shared" si="116"/>
        <v>6.3488731508467858E-2</v>
      </c>
      <c r="S180" s="3">
        <f t="shared" si="116"/>
        <v>6.3488731508467192E-2</v>
      </c>
      <c r="T180" s="3">
        <f t="shared" si="116"/>
        <v>6.3488731508460447E-2</v>
      </c>
      <c r="U180" s="3">
        <f t="shared" si="116"/>
        <v>6.3488731508392959E-2</v>
      </c>
      <c r="V180" s="3">
        <f t="shared" si="116"/>
        <v>6.3488731507718096E-2</v>
      </c>
      <c r="W180" s="3">
        <f t="shared" si="116"/>
        <v>6.3488731500969495E-2</v>
      </c>
      <c r="X180" s="3">
        <f t="shared" si="116"/>
        <v>6.348873143348345E-2</v>
      </c>
      <c r="Y180" s="3">
        <f t="shared" si="116"/>
        <v>6.3488730758623074E-2</v>
      </c>
      <c r="Z180" s="3">
        <f t="shared" si="116"/>
        <v>6.348872401001969E-2</v>
      </c>
      <c r="AA180" s="3">
        <f t="shared" si="116"/>
        <v>6.3488656524025272E-2</v>
      </c>
      <c r="AB180" s="3">
        <f t="shared" si="116"/>
        <v>6.3487981668026508E-2</v>
      </c>
      <c r="AC180" s="3">
        <f t="shared" si="116"/>
        <v>6.3481233502564266E-2</v>
      </c>
      <c r="AD180" s="3">
        <f t="shared" si="116"/>
        <v>6.3413791284966062E-2</v>
      </c>
      <c r="AE180" s="3">
        <f t="shared" si="116"/>
        <v>6.2743297345007526E-2</v>
      </c>
      <c r="AF180" s="3">
        <f t="shared" si="116"/>
        <v>5.6416161481759215E-2</v>
      </c>
      <c r="AG180" s="3"/>
      <c r="AH180" s="3"/>
    </row>
    <row r="181" spans="2:34" x14ac:dyDescent="0.25">
      <c r="B181" s="3">
        <f t="shared" ref="B181:AF181" si="117">$C28*EXP(-B$168/$A28/EXP(-$C$126))</f>
        <v>6.4437498796687767E-2</v>
      </c>
      <c r="C181" s="3">
        <f t="shared" si="117"/>
        <v>6.4437498796687767E-2</v>
      </c>
      <c r="D181" s="3">
        <f t="shared" si="117"/>
        <v>6.4437498796687767E-2</v>
      </c>
      <c r="E181" s="3">
        <f t="shared" si="117"/>
        <v>6.4437498796687767E-2</v>
      </c>
      <c r="F181" s="3">
        <f t="shared" si="117"/>
        <v>6.4437498796687767E-2</v>
      </c>
      <c r="G181" s="3">
        <f t="shared" si="117"/>
        <v>6.4437498796687767E-2</v>
      </c>
      <c r="H181" s="3">
        <f t="shared" si="117"/>
        <v>6.4437498796687767E-2</v>
      </c>
      <c r="I181" s="3">
        <f t="shared" si="117"/>
        <v>6.4437498796687767E-2</v>
      </c>
      <c r="J181" s="3">
        <f t="shared" si="117"/>
        <v>6.4437498796687767E-2</v>
      </c>
      <c r="K181" s="3">
        <f t="shared" si="117"/>
        <v>6.4437498796687767E-2</v>
      </c>
      <c r="L181" s="3">
        <f t="shared" si="117"/>
        <v>6.4437498796687767E-2</v>
      </c>
      <c r="M181" s="3">
        <f t="shared" si="117"/>
        <v>6.4437498796687767E-2</v>
      </c>
      <c r="N181" s="3">
        <f t="shared" si="117"/>
        <v>6.4437498796687767E-2</v>
      </c>
      <c r="O181" s="3">
        <f t="shared" si="117"/>
        <v>6.4437498796687767E-2</v>
      </c>
      <c r="P181" s="3">
        <f t="shared" si="117"/>
        <v>6.4437498796687767E-2</v>
      </c>
      <c r="Q181" s="3">
        <f t="shared" si="117"/>
        <v>6.4437498796687767E-2</v>
      </c>
      <c r="R181" s="3">
        <f t="shared" si="117"/>
        <v>6.4437498796687753E-2</v>
      </c>
      <c r="S181" s="3">
        <f t="shared" si="117"/>
        <v>6.4437498796687698E-2</v>
      </c>
      <c r="T181" s="3">
        <f t="shared" si="117"/>
        <v>6.4437498796687087E-2</v>
      </c>
      <c r="U181" s="3">
        <f t="shared" si="117"/>
        <v>6.4437498796680898E-2</v>
      </c>
      <c r="V181" s="3">
        <f t="shared" si="117"/>
        <v>6.4437498796619114E-2</v>
      </c>
      <c r="W181" s="3">
        <f t="shared" si="117"/>
        <v>6.4437498796001233E-2</v>
      </c>
      <c r="X181" s="3">
        <f t="shared" si="117"/>
        <v>6.4437498789822453E-2</v>
      </c>
      <c r="Y181" s="3">
        <f t="shared" si="117"/>
        <v>6.4437498728034684E-2</v>
      </c>
      <c r="Z181" s="3">
        <f t="shared" si="117"/>
        <v>6.4437498110156949E-2</v>
      </c>
      <c r="AA181" s="3">
        <f t="shared" si="117"/>
        <v>6.4437491931379917E-2</v>
      </c>
      <c r="AB181" s="3">
        <f t="shared" si="117"/>
        <v>6.4437430143642144E-2</v>
      </c>
      <c r="AC181" s="3">
        <f t="shared" si="117"/>
        <v>6.4436812269523053E-2</v>
      </c>
      <c r="AD181" s="3">
        <f t="shared" si="117"/>
        <v>6.4430633854177827E-2</v>
      </c>
      <c r="AE181" s="3">
        <f t="shared" si="117"/>
        <v>6.4368882273737979E-2</v>
      </c>
      <c r="AF181" s="3">
        <f t="shared" si="117"/>
        <v>6.3754612243732564E-2</v>
      </c>
      <c r="AG181" s="3"/>
      <c r="AH181" s="3"/>
    </row>
    <row r="182" spans="2:34" x14ac:dyDescent="0.25">
      <c r="B182" s="3">
        <f t="shared" ref="B182:AF182" si="118">$C29*EXP(-B$168/$A29/EXP(-$C$126))</f>
        <v>5.0984711138190433E-2</v>
      </c>
      <c r="C182" s="3">
        <f t="shared" si="118"/>
        <v>5.0984711138190433E-2</v>
      </c>
      <c r="D182" s="3">
        <f t="shared" si="118"/>
        <v>5.0984711138190433E-2</v>
      </c>
      <c r="E182" s="3">
        <f t="shared" si="118"/>
        <v>5.0984711138190433E-2</v>
      </c>
      <c r="F182" s="3">
        <f t="shared" si="118"/>
        <v>5.0984711138190433E-2</v>
      </c>
      <c r="G182" s="3">
        <f t="shared" si="118"/>
        <v>5.0984711138190433E-2</v>
      </c>
      <c r="H182" s="3">
        <f t="shared" si="118"/>
        <v>5.0984711138190433E-2</v>
      </c>
      <c r="I182" s="3">
        <f t="shared" si="118"/>
        <v>5.0984711138190433E-2</v>
      </c>
      <c r="J182" s="3">
        <f t="shared" si="118"/>
        <v>5.0984711138190433E-2</v>
      </c>
      <c r="K182" s="3">
        <f t="shared" si="118"/>
        <v>5.0984711138190433E-2</v>
      </c>
      <c r="L182" s="3">
        <f t="shared" si="118"/>
        <v>5.0984711138190433E-2</v>
      </c>
      <c r="M182" s="3">
        <f t="shared" si="118"/>
        <v>5.0984711138190433E-2</v>
      </c>
      <c r="N182" s="3">
        <f t="shared" si="118"/>
        <v>5.0984711138190433E-2</v>
      </c>
      <c r="O182" s="3">
        <f t="shared" si="118"/>
        <v>5.0984711138190433E-2</v>
      </c>
      <c r="P182" s="3">
        <f t="shared" si="118"/>
        <v>5.0984711138190433E-2</v>
      </c>
      <c r="Q182" s="3">
        <f t="shared" si="118"/>
        <v>5.0984711138190433E-2</v>
      </c>
      <c r="R182" s="3">
        <f t="shared" si="118"/>
        <v>5.0984711138190433E-2</v>
      </c>
      <c r="S182" s="3">
        <f t="shared" si="118"/>
        <v>5.0984711138190426E-2</v>
      </c>
      <c r="T182" s="3">
        <f t="shared" si="118"/>
        <v>5.0984711138190385E-2</v>
      </c>
      <c r="U182" s="3">
        <f t="shared" si="118"/>
        <v>5.0984711138189941E-2</v>
      </c>
      <c r="V182" s="3">
        <f t="shared" si="118"/>
        <v>5.0984711138185534E-2</v>
      </c>
      <c r="W182" s="3">
        <f t="shared" si="118"/>
        <v>5.0984711138141431E-2</v>
      </c>
      <c r="X182" s="3">
        <f t="shared" si="118"/>
        <v>5.0984711137700423E-2</v>
      </c>
      <c r="Y182" s="3">
        <f t="shared" si="118"/>
        <v>5.0984711133290297E-2</v>
      </c>
      <c r="Z182" s="3">
        <f t="shared" si="118"/>
        <v>5.0984711089189096E-2</v>
      </c>
      <c r="AA182" s="3">
        <f t="shared" si="118"/>
        <v>5.0984710648177077E-2</v>
      </c>
      <c r="AB182" s="3">
        <f t="shared" si="118"/>
        <v>5.0984706238057086E-2</v>
      </c>
      <c r="AC182" s="3">
        <f t="shared" si="118"/>
        <v>5.0984662136878189E-2</v>
      </c>
      <c r="AD182" s="3">
        <f t="shared" si="118"/>
        <v>5.0984221127187222E-2</v>
      </c>
      <c r="AE182" s="3">
        <f t="shared" si="118"/>
        <v>5.0979811240078873E-2</v>
      </c>
      <c r="AF182" s="3">
        <f t="shared" si="118"/>
        <v>5.0935733342410645E-2</v>
      </c>
      <c r="AG182" s="3"/>
      <c r="AH182" s="3"/>
    </row>
    <row r="183" spans="2:34" x14ac:dyDescent="0.25">
      <c r="B183" s="3">
        <f t="shared" ref="B183:AF183" si="119">$C30*EXP(-B$168/$A30/EXP(-$C$126))</f>
        <v>3.1725580310806592E-2</v>
      </c>
      <c r="C183" s="3">
        <f t="shared" si="119"/>
        <v>3.1725580310806592E-2</v>
      </c>
      <c r="D183" s="3">
        <f t="shared" si="119"/>
        <v>3.1725580310806592E-2</v>
      </c>
      <c r="E183" s="3">
        <f t="shared" si="119"/>
        <v>3.1725580310806592E-2</v>
      </c>
      <c r="F183" s="3">
        <f t="shared" si="119"/>
        <v>3.1725580310806592E-2</v>
      </c>
      <c r="G183" s="3">
        <f t="shared" si="119"/>
        <v>3.1725580310806592E-2</v>
      </c>
      <c r="H183" s="3">
        <f t="shared" si="119"/>
        <v>3.1725580310806592E-2</v>
      </c>
      <c r="I183" s="3">
        <f t="shared" si="119"/>
        <v>3.1725580310806592E-2</v>
      </c>
      <c r="J183" s="3">
        <f t="shared" si="119"/>
        <v>3.1725580310806592E-2</v>
      </c>
      <c r="K183" s="3">
        <f t="shared" si="119"/>
        <v>3.1725580310806592E-2</v>
      </c>
      <c r="L183" s="3">
        <f t="shared" si="119"/>
        <v>3.1725580310806592E-2</v>
      </c>
      <c r="M183" s="3">
        <f t="shared" si="119"/>
        <v>3.1725580310806592E-2</v>
      </c>
      <c r="N183" s="3">
        <f t="shared" si="119"/>
        <v>3.1725580310806592E-2</v>
      </c>
      <c r="O183" s="3">
        <f t="shared" si="119"/>
        <v>3.1725580310806592E-2</v>
      </c>
      <c r="P183" s="3">
        <f t="shared" si="119"/>
        <v>3.1725580310806592E-2</v>
      </c>
      <c r="Q183" s="3">
        <f t="shared" si="119"/>
        <v>3.1725580310806592E-2</v>
      </c>
      <c r="R183" s="3">
        <f t="shared" si="119"/>
        <v>3.1725580310806592E-2</v>
      </c>
      <c r="S183" s="3">
        <f t="shared" si="119"/>
        <v>3.1725580310806592E-2</v>
      </c>
      <c r="T183" s="3">
        <f t="shared" si="119"/>
        <v>3.1725580310806585E-2</v>
      </c>
      <c r="U183" s="3">
        <f t="shared" si="119"/>
        <v>3.1725580310806564E-2</v>
      </c>
      <c r="V183" s="3">
        <f t="shared" si="119"/>
        <v>3.1725580310806314E-2</v>
      </c>
      <c r="W183" s="3">
        <f t="shared" si="119"/>
        <v>3.1725580310803844E-2</v>
      </c>
      <c r="X183" s="3">
        <f t="shared" si="119"/>
        <v>3.1725580310779086E-2</v>
      </c>
      <c r="Y183" s="3">
        <f t="shared" si="119"/>
        <v>3.1725580310531534E-2</v>
      </c>
      <c r="Z183" s="3">
        <f t="shared" si="119"/>
        <v>3.1725580308056014E-2</v>
      </c>
      <c r="AA183" s="3">
        <f t="shared" si="119"/>
        <v>3.1725580283300803E-2</v>
      </c>
      <c r="AB183" s="3">
        <f t="shared" si="119"/>
        <v>3.1725580035748692E-2</v>
      </c>
      <c r="AC183" s="3">
        <f t="shared" si="119"/>
        <v>3.1725577560227716E-2</v>
      </c>
      <c r="AD183" s="3">
        <f t="shared" si="119"/>
        <v>3.1725552805028583E-2</v>
      </c>
      <c r="AE183" s="3">
        <f t="shared" si="119"/>
        <v>3.1725305254099639E-2</v>
      </c>
      <c r="AF183" s="3">
        <f t="shared" si="119"/>
        <v>3.1722829851046394E-2</v>
      </c>
      <c r="AG183" s="3"/>
      <c r="AH183" s="3"/>
    </row>
    <row r="184" spans="2:34" x14ac:dyDescent="0.25">
      <c r="B184" s="3">
        <f t="shared" ref="B184:AF184" si="120">$C31*EXP(-B$168/$A31/EXP(-$C$126))</f>
        <v>1.5443830992985543E-2</v>
      </c>
      <c r="C184" s="3">
        <f t="shared" si="120"/>
        <v>1.5443830992985543E-2</v>
      </c>
      <c r="D184" s="3">
        <f t="shared" si="120"/>
        <v>1.5443830992985543E-2</v>
      </c>
      <c r="E184" s="3">
        <f t="shared" si="120"/>
        <v>1.5443830992985543E-2</v>
      </c>
      <c r="F184" s="3">
        <f t="shared" si="120"/>
        <v>1.5443830992985543E-2</v>
      </c>
      <c r="G184" s="3">
        <f t="shared" si="120"/>
        <v>1.5443830992985543E-2</v>
      </c>
      <c r="H184" s="3">
        <f t="shared" si="120"/>
        <v>1.5443830992985543E-2</v>
      </c>
      <c r="I184" s="3">
        <f t="shared" si="120"/>
        <v>1.5443830992985543E-2</v>
      </c>
      <c r="J184" s="3">
        <f t="shared" si="120"/>
        <v>1.5443830992985543E-2</v>
      </c>
      <c r="K184" s="3">
        <f t="shared" si="120"/>
        <v>1.5443830992985543E-2</v>
      </c>
      <c r="L184" s="3">
        <f t="shared" si="120"/>
        <v>1.5443830992985543E-2</v>
      </c>
      <c r="M184" s="3">
        <f t="shared" si="120"/>
        <v>1.5443830992985543E-2</v>
      </c>
      <c r="N184" s="3">
        <f t="shared" si="120"/>
        <v>1.5443830992985543E-2</v>
      </c>
      <c r="O184" s="3">
        <f t="shared" si="120"/>
        <v>1.5443830992985543E-2</v>
      </c>
      <c r="P184" s="3">
        <f t="shared" si="120"/>
        <v>1.5443830992985543E-2</v>
      </c>
      <c r="Q184" s="3">
        <f t="shared" si="120"/>
        <v>1.5443830992985543E-2</v>
      </c>
      <c r="R184" s="3">
        <f t="shared" si="120"/>
        <v>1.5443830992985543E-2</v>
      </c>
      <c r="S184" s="3">
        <f t="shared" si="120"/>
        <v>1.5443830992985543E-2</v>
      </c>
      <c r="T184" s="3">
        <f t="shared" si="120"/>
        <v>1.5443830992985543E-2</v>
      </c>
      <c r="U184" s="3">
        <f t="shared" si="120"/>
        <v>1.5443830992985541E-2</v>
      </c>
      <c r="V184" s="3">
        <f t="shared" si="120"/>
        <v>1.5443830992985531E-2</v>
      </c>
      <c r="W184" s="3">
        <f t="shared" si="120"/>
        <v>1.5443830992985423E-2</v>
      </c>
      <c r="X184" s="3">
        <f t="shared" si="120"/>
        <v>1.5443830992984336E-2</v>
      </c>
      <c r="Y184" s="3">
        <f t="shared" si="120"/>
        <v>1.5443830992973464E-2</v>
      </c>
      <c r="Z184" s="3">
        <f t="shared" si="120"/>
        <v>1.5443830992864758E-2</v>
      </c>
      <c r="AA184" s="3">
        <f t="shared" si="120"/>
        <v>1.5443830991777685E-2</v>
      </c>
      <c r="AB184" s="3">
        <f t="shared" si="120"/>
        <v>1.5443830980906955E-2</v>
      </c>
      <c r="AC184" s="3">
        <f t="shared" si="120"/>
        <v>1.544383087219966E-2</v>
      </c>
      <c r="AD184" s="3">
        <f t="shared" si="120"/>
        <v>1.5443829785126761E-2</v>
      </c>
      <c r="AE184" s="3">
        <f t="shared" si="120"/>
        <v>1.5443818914401972E-2</v>
      </c>
      <c r="AF184" s="3">
        <f t="shared" si="120"/>
        <v>1.5443710207574929E-2</v>
      </c>
      <c r="AG184" s="3"/>
      <c r="AH184" s="3"/>
    </row>
    <row r="185" spans="2:34" x14ac:dyDescent="0.25">
      <c r="B185" s="3">
        <f t="shared" ref="B185:AF185" si="121">$C32*EXP(-B$168/$A32/EXP(-$C$126))</f>
        <v>7.0696001208784189E-3</v>
      </c>
      <c r="C185" s="3">
        <f t="shared" si="121"/>
        <v>7.0696001208784189E-3</v>
      </c>
      <c r="D185" s="3">
        <f t="shared" si="121"/>
        <v>7.0696001208784189E-3</v>
      </c>
      <c r="E185" s="3">
        <f t="shared" si="121"/>
        <v>7.0696001208784189E-3</v>
      </c>
      <c r="F185" s="3">
        <f t="shared" si="121"/>
        <v>7.0696001208784189E-3</v>
      </c>
      <c r="G185" s="3">
        <f t="shared" si="121"/>
        <v>7.0696001208784189E-3</v>
      </c>
      <c r="H185" s="3">
        <f t="shared" si="121"/>
        <v>7.0696001208784189E-3</v>
      </c>
      <c r="I185" s="3">
        <f t="shared" si="121"/>
        <v>7.0696001208784189E-3</v>
      </c>
      <c r="J185" s="3">
        <f t="shared" si="121"/>
        <v>7.0696001208784189E-3</v>
      </c>
      <c r="K185" s="3">
        <f t="shared" si="121"/>
        <v>7.0696001208784189E-3</v>
      </c>
      <c r="L185" s="3">
        <f t="shared" si="121"/>
        <v>7.0696001208784189E-3</v>
      </c>
      <c r="M185" s="3">
        <f t="shared" si="121"/>
        <v>7.0696001208784189E-3</v>
      </c>
      <c r="N185" s="3">
        <f t="shared" si="121"/>
        <v>7.0696001208784189E-3</v>
      </c>
      <c r="O185" s="3">
        <f t="shared" si="121"/>
        <v>7.0696001208784189E-3</v>
      </c>
      <c r="P185" s="3">
        <f t="shared" si="121"/>
        <v>7.0696001208784189E-3</v>
      </c>
      <c r="Q185" s="3">
        <f t="shared" si="121"/>
        <v>7.0696001208784189E-3</v>
      </c>
      <c r="R185" s="3">
        <f t="shared" si="121"/>
        <v>7.0696001208784189E-3</v>
      </c>
      <c r="S185" s="3">
        <f t="shared" si="121"/>
        <v>7.0696001208784189E-3</v>
      </c>
      <c r="T185" s="3">
        <f t="shared" si="121"/>
        <v>7.0696001208784189E-3</v>
      </c>
      <c r="U185" s="3">
        <f t="shared" si="121"/>
        <v>7.0696001208784189E-3</v>
      </c>
      <c r="V185" s="3">
        <f t="shared" si="121"/>
        <v>7.0696001208784181E-3</v>
      </c>
      <c r="W185" s="3">
        <f t="shared" si="121"/>
        <v>7.0696001208784146E-3</v>
      </c>
      <c r="X185" s="3">
        <f t="shared" si="121"/>
        <v>7.0696001208783686E-3</v>
      </c>
      <c r="Y185" s="3">
        <f t="shared" si="121"/>
        <v>7.0696001208779202E-3</v>
      </c>
      <c r="Z185" s="3">
        <f t="shared" si="121"/>
        <v>7.0696001208734307E-3</v>
      </c>
      <c r="AA185" s="3">
        <f t="shared" si="121"/>
        <v>7.0696001208285422E-3</v>
      </c>
      <c r="AB185" s="3">
        <f t="shared" si="121"/>
        <v>7.069600120379646E-3</v>
      </c>
      <c r="AC185" s="3">
        <f t="shared" si="121"/>
        <v>7.0696001158906925E-3</v>
      </c>
      <c r="AD185" s="3">
        <f t="shared" si="121"/>
        <v>7.0696000710011603E-3</v>
      </c>
      <c r="AE185" s="3">
        <f t="shared" si="121"/>
        <v>7.0695996221058471E-3</v>
      </c>
      <c r="AF185" s="3">
        <f t="shared" si="121"/>
        <v>7.0695951331542842E-3</v>
      </c>
      <c r="AG185" s="3"/>
      <c r="AH185" s="3"/>
    </row>
    <row r="186" spans="2:34" x14ac:dyDescent="0.25">
      <c r="B186" s="3">
        <f t="shared" ref="B186:AF186" si="122">$C33*EXP(-B$168/$A33/EXP(-$C$126))</f>
        <v>3.5043206729719373E-3</v>
      </c>
      <c r="C186" s="3">
        <f t="shared" si="122"/>
        <v>3.5043206729719373E-3</v>
      </c>
      <c r="D186" s="3">
        <f t="shared" si="122"/>
        <v>3.5043206729719373E-3</v>
      </c>
      <c r="E186" s="3">
        <f t="shared" si="122"/>
        <v>3.5043206729719373E-3</v>
      </c>
      <c r="F186" s="3">
        <f t="shared" si="122"/>
        <v>3.5043206729719373E-3</v>
      </c>
      <c r="G186" s="3">
        <f t="shared" si="122"/>
        <v>3.5043206729719373E-3</v>
      </c>
      <c r="H186" s="3">
        <f t="shared" si="122"/>
        <v>3.5043206729719373E-3</v>
      </c>
      <c r="I186" s="3">
        <f t="shared" si="122"/>
        <v>3.5043206729719373E-3</v>
      </c>
      <c r="J186" s="3">
        <f t="shared" si="122"/>
        <v>3.5043206729719373E-3</v>
      </c>
      <c r="K186" s="3">
        <f t="shared" si="122"/>
        <v>3.5043206729719373E-3</v>
      </c>
      <c r="L186" s="3">
        <f t="shared" si="122"/>
        <v>3.5043206729719373E-3</v>
      </c>
      <c r="M186" s="3">
        <f t="shared" si="122"/>
        <v>3.5043206729719373E-3</v>
      </c>
      <c r="N186" s="3">
        <f t="shared" si="122"/>
        <v>3.5043206729719373E-3</v>
      </c>
      <c r="O186" s="3">
        <f t="shared" si="122"/>
        <v>3.5043206729719373E-3</v>
      </c>
      <c r="P186" s="3">
        <f t="shared" si="122"/>
        <v>3.5043206729719373E-3</v>
      </c>
      <c r="Q186" s="3">
        <f t="shared" si="122"/>
        <v>3.5043206729719373E-3</v>
      </c>
      <c r="R186" s="3">
        <f t="shared" si="122"/>
        <v>3.5043206729719373E-3</v>
      </c>
      <c r="S186" s="3">
        <f t="shared" si="122"/>
        <v>3.5043206729719373E-3</v>
      </c>
      <c r="T186" s="3">
        <f t="shared" si="122"/>
        <v>3.5043206729719373E-3</v>
      </c>
      <c r="U186" s="3">
        <f t="shared" si="122"/>
        <v>3.5043206729719373E-3</v>
      </c>
      <c r="V186" s="3">
        <f t="shared" si="122"/>
        <v>3.5043206729719373E-3</v>
      </c>
      <c r="W186" s="3">
        <f t="shared" si="122"/>
        <v>3.5043206729719369E-3</v>
      </c>
      <c r="X186" s="3">
        <f t="shared" si="122"/>
        <v>3.5043206729719351E-3</v>
      </c>
      <c r="Y186" s="3">
        <f t="shared" si="122"/>
        <v>3.5043206729719152E-3</v>
      </c>
      <c r="Z186" s="3">
        <f t="shared" si="122"/>
        <v>3.5043206729717144E-3</v>
      </c>
      <c r="AA186" s="3">
        <f t="shared" si="122"/>
        <v>3.5043206729697073E-3</v>
      </c>
      <c r="AB186" s="3">
        <f t="shared" si="122"/>
        <v>3.5043206729496344E-3</v>
      </c>
      <c r="AC186" s="3">
        <f t="shared" si="122"/>
        <v>3.50432067274891E-3</v>
      </c>
      <c r="AD186" s="3">
        <f t="shared" si="122"/>
        <v>3.5043206707416636E-3</v>
      </c>
      <c r="AE186" s="3">
        <f t="shared" si="122"/>
        <v>3.5043206506692008E-3</v>
      </c>
      <c r="AF186" s="3">
        <f t="shared" si="122"/>
        <v>3.5043204499445755E-3</v>
      </c>
      <c r="AG186" s="3"/>
      <c r="AH186" s="3"/>
    </row>
    <row r="187" spans="2:34" x14ac:dyDescent="0.25">
      <c r="B187" s="3">
        <f t="shared" ref="B187:AF187" si="123">$C34*EXP(-B$168/$A34/EXP(-$C$126))</f>
        <v>2.9646797109614421E-3</v>
      </c>
      <c r="C187" s="3">
        <f t="shared" si="123"/>
        <v>2.9646797109614421E-3</v>
      </c>
      <c r="D187" s="3">
        <f t="shared" si="123"/>
        <v>2.9646797109614421E-3</v>
      </c>
      <c r="E187" s="3">
        <f t="shared" si="123"/>
        <v>2.9646797109614421E-3</v>
      </c>
      <c r="F187" s="3">
        <f t="shared" si="123"/>
        <v>2.9646797109614421E-3</v>
      </c>
      <c r="G187" s="3">
        <f t="shared" si="123"/>
        <v>2.9646797109614421E-3</v>
      </c>
      <c r="H187" s="3">
        <f t="shared" si="123"/>
        <v>2.9646797109614421E-3</v>
      </c>
      <c r="I187" s="3">
        <f t="shared" si="123"/>
        <v>2.9646797109614421E-3</v>
      </c>
      <c r="J187" s="3">
        <f t="shared" si="123"/>
        <v>2.9646797109614421E-3</v>
      </c>
      <c r="K187" s="3">
        <f t="shared" si="123"/>
        <v>2.9646797109614421E-3</v>
      </c>
      <c r="L187" s="3">
        <f t="shared" si="123"/>
        <v>2.9646797109614421E-3</v>
      </c>
      <c r="M187" s="3">
        <f t="shared" si="123"/>
        <v>2.9646797109614421E-3</v>
      </c>
      <c r="N187" s="3">
        <f t="shared" si="123"/>
        <v>2.9646797109614421E-3</v>
      </c>
      <c r="O187" s="3">
        <f t="shared" si="123"/>
        <v>2.9646797109614421E-3</v>
      </c>
      <c r="P187" s="3">
        <f t="shared" si="123"/>
        <v>2.9646797109614421E-3</v>
      </c>
      <c r="Q187" s="3">
        <f t="shared" si="123"/>
        <v>2.9646797109614421E-3</v>
      </c>
      <c r="R187" s="3">
        <f t="shared" si="123"/>
        <v>2.9646797109614421E-3</v>
      </c>
      <c r="S187" s="3">
        <f t="shared" si="123"/>
        <v>2.9646797109614421E-3</v>
      </c>
      <c r="T187" s="3">
        <f t="shared" si="123"/>
        <v>2.9646797109614421E-3</v>
      </c>
      <c r="U187" s="3">
        <f t="shared" si="123"/>
        <v>2.9646797109614421E-3</v>
      </c>
      <c r="V187" s="3">
        <f t="shared" si="123"/>
        <v>2.9646797109614421E-3</v>
      </c>
      <c r="W187" s="3">
        <f t="shared" si="123"/>
        <v>2.9646797109614421E-3</v>
      </c>
      <c r="X187" s="3">
        <f t="shared" si="123"/>
        <v>2.9646797109614416E-3</v>
      </c>
      <c r="Y187" s="3">
        <f t="shared" si="123"/>
        <v>2.9646797109614403E-3</v>
      </c>
      <c r="Z187" s="3">
        <f t="shared" si="123"/>
        <v>2.9646797109614252E-3</v>
      </c>
      <c r="AA187" s="3">
        <f t="shared" si="123"/>
        <v>2.9646797109612721E-3</v>
      </c>
      <c r="AB187" s="3">
        <f t="shared" si="123"/>
        <v>2.9646797109597399E-3</v>
      </c>
      <c r="AC187" s="3">
        <f t="shared" si="123"/>
        <v>2.9646797109444214E-3</v>
      </c>
      <c r="AD187" s="3">
        <f t="shared" si="123"/>
        <v>2.9646797107912345E-3</v>
      </c>
      <c r="AE187" s="3">
        <f t="shared" si="123"/>
        <v>2.964679709259367E-3</v>
      </c>
      <c r="AF187" s="3">
        <f t="shared" si="123"/>
        <v>2.9646796939406922E-3</v>
      </c>
      <c r="AG187" s="3"/>
      <c r="AH187" s="3"/>
    </row>
    <row r="188" spans="2:34" x14ac:dyDescent="0.25">
      <c r="B188" s="3">
        <f t="shared" ref="B188:AF188" si="124">$C35*EXP(-B$168/$A35/EXP(-$C$126))</f>
        <v>0</v>
      </c>
      <c r="C188" s="3">
        <f t="shared" si="124"/>
        <v>0</v>
      </c>
      <c r="D188" s="3">
        <f t="shared" si="124"/>
        <v>0</v>
      </c>
      <c r="E188" s="3">
        <f t="shared" si="124"/>
        <v>0</v>
      </c>
      <c r="F188" s="3">
        <f t="shared" si="124"/>
        <v>0</v>
      </c>
      <c r="G188" s="3">
        <f t="shared" si="124"/>
        <v>0</v>
      </c>
      <c r="H188" s="3">
        <f t="shared" si="124"/>
        <v>0</v>
      </c>
      <c r="I188" s="3">
        <f t="shared" si="124"/>
        <v>0</v>
      </c>
      <c r="J188" s="3">
        <f t="shared" si="124"/>
        <v>0</v>
      </c>
      <c r="K188" s="3">
        <f t="shared" si="124"/>
        <v>0</v>
      </c>
      <c r="L188" s="3">
        <f t="shared" si="124"/>
        <v>0</v>
      </c>
      <c r="M188" s="3">
        <f t="shared" si="124"/>
        <v>0</v>
      </c>
      <c r="N188" s="3">
        <f t="shared" si="124"/>
        <v>0</v>
      </c>
      <c r="O188" s="3">
        <f t="shared" si="124"/>
        <v>0</v>
      </c>
      <c r="P188" s="3">
        <f t="shared" si="124"/>
        <v>0</v>
      </c>
      <c r="Q188" s="3">
        <f t="shared" si="124"/>
        <v>0</v>
      </c>
      <c r="R188" s="3">
        <f t="shared" si="124"/>
        <v>0</v>
      </c>
      <c r="S188" s="3">
        <f t="shared" si="124"/>
        <v>0</v>
      </c>
      <c r="T188" s="3">
        <f t="shared" si="124"/>
        <v>0</v>
      </c>
      <c r="U188" s="3">
        <f t="shared" si="124"/>
        <v>0</v>
      </c>
      <c r="V188" s="3">
        <f t="shared" si="124"/>
        <v>0</v>
      </c>
      <c r="W188" s="3">
        <f t="shared" si="124"/>
        <v>0</v>
      </c>
      <c r="X188" s="3">
        <f t="shared" si="124"/>
        <v>0</v>
      </c>
      <c r="Y188" s="3">
        <f t="shared" si="124"/>
        <v>0</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3.098114236407119E-3</v>
      </c>
      <c r="C189" s="3">
        <f t="shared" si="125"/>
        <v>3.098114236407119E-3</v>
      </c>
      <c r="D189" s="3">
        <f t="shared" si="125"/>
        <v>3.098114236407119E-3</v>
      </c>
      <c r="E189" s="3">
        <f t="shared" si="125"/>
        <v>3.098114236407119E-3</v>
      </c>
      <c r="F189" s="3">
        <f t="shared" si="125"/>
        <v>3.098114236407119E-3</v>
      </c>
      <c r="G189" s="3">
        <f t="shared" si="125"/>
        <v>3.098114236407119E-3</v>
      </c>
      <c r="H189" s="3">
        <f t="shared" si="125"/>
        <v>3.098114236407119E-3</v>
      </c>
      <c r="I189" s="3">
        <f t="shared" si="125"/>
        <v>3.098114236407119E-3</v>
      </c>
      <c r="J189" s="3">
        <f t="shared" si="125"/>
        <v>3.098114236407119E-3</v>
      </c>
      <c r="K189" s="3">
        <f t="shared" si="125"/>
        <v>3.098114236407119E-3</v>
      </c>
      <c r="L189" s="3">
        <f t="shared" si="125"/>
        <v>3.098114236407119E-3</v>
      </c>
      <c r="M189" s="3">
        <f t="shared" si="125"/>
        <v>3.098114236407119E-3</v>
      </c>
      <c r="N189" s="3">
        <f t="shared" si="125"/>
        <v>3.098114236407119E-3</v>
      </c>
      <c r="O189" s="3">
        <f t="shared" si="125"/>
        <v>3.098114236407119E-3</v>
      </c>
      <c r="P189" s="3">
        <f t="shared" si="125"/>
        <v>3.098114236407119E-3</v>
      </c>
      <c r="Q189" s="3">
        <f t="shared" si="125"/>
        <v>3.098114236407119E-3</v>
      </c>
      <c r="R189" s="3">
        <f t="shared" si="125"/>
        <v>3.098114236407119E-3</v>
      </c>
      <c r="S189" s="3">
        <f t="shared" si="125"/>
        <v>3.098114236407119E-3</v>
      </c>
      <c r="T189" s="3">
        <f t="shared" si="125"/>
        <v>3.098114236407119E-3</v>
      </c>
      <c r="U189" s="3">
        <f t="shared" si="125"/>
        <v>3.098114236407119E-3</v>
      </c>
      <c r="V189" s="3">
        <f t="shared" si="125"/>
        <v>3.098114236407119E-3</v>
      </c>
      <c r="W189" s="3">
        <f t="shared" si="125"/>
        <v>3.098114236407119E-3</v>
      </c>
      <c r="X189" s="3">
        <f t="shared" si="125"/>
        <v>3.098114236407119E-3</v>
      </c>
      <c r="Y189" s="3">
        <f t="shared" si="125"/>
        <v>3.098114236407119E-3</v>
      </c>
      <c r="Z189" s="3">
        <f t="shared" si="125"/>
        <v>3.098114236407119E-3</v>
      </c>
      <c r="AA189" s="3">
        <f t="shared" si="125"/>
        <v>3.0981142364071177E-3</v>
      </c>
      <c r="AB189" s="3">
        <f t="shared" si="125"/>
        <v>3.0981142364071047E-3</v>
      </c>
      <c r="AC189" s="3">
        <f t="shared" si="125"/>
        <v>3.0981142364069742E-3</v>
      </c>
      <c r="AD189" s="3">
        <f t="shared" si="125"/>
        <v>3.0981142364056719E-3</v>
      </c>
      <c r="AE189" s="3">
        <f t="shared" si="125"/>
        <v>3.0981142363926449E-3</v>
      </c>
      <c r="AF189" s="3">
        <f t="shared" si="125"/>
        <v>3.0981142362623781E-3</v>
      </c>
      <c r="AG189" s="3"/>
      <c r="AH189" s="3"/>
    </row>
    <row r="190" spans="2:34" x14ac:dyDescent="0.25">
      <c r="B190" s="3">
        <f t="shared" ref="B190:AF190" si="126">$C37*EXP(-B$168/$A37/EXP(-$C$126))</f>
        <v>1.3450651080742435E-3</v>
      </c>
      <c r="C190" s="3">
        <f t="shared" si="126"/>
        <v>1.3450651080742435E-3</v>
      </c>
      <c r="D190" s="3">
        <f t="shared" si="126"/>
        <v>1.3450651080742435E-3</v>
      </c>
      <c r="E190" s="3">
        <f t="shared" si="126"/>
        <v>1.3450651080742435E-3</v>
      </c>
      <c r="F190" s="3">
        <f t="shared" si="126"/>
        <v>1.3450651080742435E-3</v>
      </c>
      <c r="G190" s="3">
        <f t="shared" si="126"/>
        <v>1.3450651080742435E-3</v>
      </c>
      <c r="H190" s="3">
        <f t="shared" si="126"/>
        <v>1.3450651080742435E-3</v>
      </c>
      <c r="I190" s="3">
        <f t="shared" si="126"/>
        <v>1.3450651080742435E-3</v>
      </c>
      <c r="J190" s="3">
        <f t="shared" si="126"/>
        <v>1.3450651080742435E-3</v>
      </c>
      <c r="K190" s="3">
        <f t="shared" si="126"/>
        <v>1.3450651080742435E-3</v>
      </c>
      <c r="L190" s="3">
        <f t="shared" si="126"/>
        <v>1.3450651080742435E-3</v>
      </c>
      <c r="M190" s="3">
        <f t="shared" si="126"/>
        <v>1.3450651080742435E-3</v>
      </c>
      <c r="N190" s="3">
        <f t="shared" si="126"/>
        <v>1.3450651080742435E-3</v>
      </c>
      <c r="O190" s="3">
        <f t="shared" si="126"/>
        <v>1.3450651080742435E-3</v>
      </c>
      <c r="P190" s="3">
        <f t="shared" si="126"/>
        <v>1.3450651080742435E-3</v>
      </c>
      <c r="Q190" s="3">
        <f t="shared" si="126"/>
        <v>1.3450651080742435E-3</v>
      </c>
      <c r="R190" s="3">
        <f t="shared" si="126"/>
        <v>1.3450651080742435E-3</v>
      </c>
      <c r="S190" s="3">
        <f t="shared" si="126"/>
        <v>1.3450651080742435E-3</v>
      </c>
      <c r="T190" s="3">
        <f t="shared" si="126"/>
        <v>1.3450651080742435E-3</v>
      </c>
      <c r="U190" s="3">
        <f t="shared" si="126"/>
        <v>1.3450651080742435E-3</v>
      </c>
      <c r="V190" s="3">
        <f t="shared" si="126"/>
        <v>1.3450651080742435E-3</v>
      </c>
      <c r="W190" s="3">
        <f t="shared" si="126"/>
        <v>1.3450651080742435E-3</v>
      </c>
      <c r="X190" s="3">
        <f t="shared" si="126"/>
        <v>1.3450651080742435E-3</v>
      </c>
      <c r="Y190" s="3">
        <f t="shared" si="126"/>
        <v>1.3450651080742435E-3</v>
      </c>
      <c r="Z190" s="3">
        <f t="shared" si="126"/>
        <v>1.3450651080742435E-3</v>
      </c>
      <c r="AA190" s="3">
        <f t="shared" si="126"/>
        <v>1.3450651080742435E-3</v>
      </c>
      <c r="AB190" s="3">
        <f t="shared" si="126"/>
        <v>1.3450651080742428E-3</v>
      </c>
      <c r="AC190" s="3">
        <f t="shared" si="126"/>
        <v>1.3450651080742378E-3</v>
      </c>
      <c r="AD190" s="3">
        <f t="shared" si="126"/>
        <v>1.3450651080741866E-3</v>
      </c>
      <c r="AE190" s="3">
        <f t="shared" si="126"/>
        <v>1.3450651080736766E-3</v>
      </c>
      <c r="AF190" s="3">
        <f t="shared" si="126"/>
        <v>1.3450651080685748E-3</v>
      </c>
      <c r="AG190" s="3"/>
      <c r="AH190" s="3"/>
    </row>
    <row r="191" spans="2:34" x14ac:dyDescent="0.25">
      <c r="B191" s="3">
        <f t="shared" ref="B191:AF191" si="127">$C38*EXP(-B$168/$A38/EXP(-$C$126))</f>
        <v>1.5999872696703847E-4</v>
      </c>
      <c r="C191" s="3">
        <f t="shared" si="127"/>
        <v>1.5999872696703847E-4</v>
      </c>
      <c r="D191" s="3">
        <f t="shared" si="127"/>
        <v>1.5999872696703847E-4</v>
      </c>
      <c r="E191" s="3">
        <f t="shared" si="127"/>
        <v>1.5999872696703847E-4</v>
      </c>
      <c r="F191" s="3">
        <f t="shared" si="127"/>
        <v>1.5999872696703847E-4</v>
      </c>
      <c r="G191" s="3">
        <f t="shared" si="127"/>
        <v>1.5999872696703847E-4</v>
      </c>
      <c r="H191" s="3">
        <f t="shared" si="127"/>
        <v>1.5999872696703847E-4</v>
      </c>
      <c r="I191" s="3">
        <f t="shared" si="127"/>
        <v>1.5999872696703847E-4</v>
      </c>
      <c r="J191" s="3">
        <f t="shared" si="127"/>
        <v>1.5999872696703847E-4</v>
      </c>
      <c r="K191" s="3">
        <f t="shared" si="127"/>
        <v>1.5999872696703847E-4</v>
      </c>
      <c r="L191" s="3">
        <f t="shared" si="127"/>
        <v>1.5999872696703847E-4</v>
      </c>
      <c r="M191" s="3">
        <f t="shared" si="127"/>
        <v>1.5999872696703847E-4</v>
      </c>
      <c r="N191" s="3">
        <f t="shared" si="127"/>
        <v>1.5999872696703847E-4</v>
      </c>
      <c r="O191" s="3">
        <f t="shared" si="127"/>
        <v>1.5999872696703847E-4</v>
      </c>
      <c r="P191" s="3">
        <f t="shared" si="127"/>
        <v>1.5999872696703847E-4</v>
      </c>
      <c r="Q191" s="3">
        <f t="shared" si="127"/>
        <v>1.5999872696703847E-4</v>
      </c>
      <c r="R191" s="3">
        <f t="shared" si="127"/>
        <v>1.5999872696703847E-4</v>
      </c>
      <c r="S191" s="3">
        <f t="shared" si="127"/>
        <v>1.5999872696703847E-4</v>
      </c>
      <c r="T191" s="3">
        <f t="shared" si="127"/>
        <v>1.5999872696703847E-4</v>
      </c>
      <c r="U191" s="3">
        <f t="shared" si="127"/>
        <v>1.5999872696703847E-4</v>
      </c>
      <c r="V191" s="3">
        <f t="shared" si="127"/>
        <v>1.5999872696703847E-4</v>
      </c>
      <c r="W191" s="3">
        <f t="shared" si="127"/>
        <v>1.5999872696703847E-4</v>
      </c>
      <c r="X191" s="3">
        <f t="shared" si="127"/>
        <v>1.5999872696703847E-4</v>
      </c>
      <c r="Y191" s="3">
        <f t="shared" si="127"/>
        <v>1.5999872696703847E-4</v>
      </c>
      <c r="Z191" s="3">
        <f t="shared" si="127"/>
        <v>1.5999872696703847E-4</v>
      </c>
      <c r="AA191" s="3">
        <f t="shared" si="127"/>
        <v>1.5999872696703847E-4</v>
      </c>
      <c r="AB191" s="3">
        <f t="shared" si="127"/>
        <v>1.5999872696703847E-4</v>
      </c>
      <c r="AC191" s="3">
        <f t="shared" si="127"/>
        <v>1.5999872696703841E-4</v>
      </c>
      <c r="AD191" s="3">
        <f t="shared" si="127"/>
        <v>1.5999872696703787E-4</v>
      </c>
      <c r="AE191" s="3">
        <f t="shared" si="127"/>
        <v>1.599987269670324E-4</v>
      </c>
      <c r="AF191" s="3">
        <f t="shared" si="127"/>
        <v>1.5999872696697765E-4</v>
      </c>
      <c r="AG191" s="3"/>
      <c r="AH191" s="3"/>
    </row>
    <row r="192" spans="2:34" x14ac:dyDescent="0.25">
      <c r="B192" s="3">
        <f t="shared" ref="B192:AF192" si="128">$C39*EXP(-B$168/$A39/EXP(-$C$126))</f>
        <v>0</v>
      </c>
      <c r="C192" s="3">
        <f t="shared" si="128"/>
        <v>0</v>
      </c>
      <c r="D192" s="3">
        <f t="shared" si="128"/>
        <v>0</v>
      </c>
      <c r="E192" s="3">
        <f t="shared" si="128"/>
        <v>0</v>
      </c>
      <c r="F192" s="3">
        <f t="shared" si="128"/>
        <v>0</v>
      </c>
      <c r="G192" s="3">
        <f t="shared" si="128"/>
        <v>0</v>
      </c>
      <c r="H192" s="3">
        <f t="shared" si="128"/>
        <v>0</v>
      </c>
      <c r="I192" s="3">
        <f t="shared" si="128"/>
        <v>0</v>
      </c>
      <c r="J192" s="3">
        <f t="shared" si="128"/>
        <v>0</v>
      </c>
      <c r="K192" s="3">
        <f t="shared" si="128"/>
        <v>0</v>
      </c>
      <c r="L192" s="3">
        <f t="shared" si="128"/>
        <v>0</v>
      </c>
      <c r="M192" s="3">
        <f t="shared" si="128"/>
        <v>0</v>
      </c>
      <c r="N192" s="3">
        <f t="shared" si="128"/>
        <v>0</v>
      </c>
      <c r="O192" s="3">
        <f t="shared" si="128"/>
        <v>0</v>
      </c>
      <c r="P192" s="3">
        <f t="shared" si="128"/>
        <v>0</v>
      </c>
      <c r="Q192" s="3">
        <f t="shared" si="128"/>
        <v>0</v>
      </c>
      <c r="R192" s="3">
        <f t="shared" si="128"/>
        <v>0</v>
      </c>
      <c r="S192" s="3">
        <f t="shared" si="128"/>
        <v>0</v>
      </c>
      <c r="T192" s="3">
        <f t="shared" si="128"/>
        <v>0</v>
      </c>
      <c r="U192" s="3">
        <f t="shared" si="128"/>
        <v>0</v>
      </c>
      <c r="V192" s="3">
        <f t="shared" si="128"/>
        <v>0</v>
      </c>
      <c r="W192" s="3">
        <f t="shared" si="128"/>
        <v>0</v>
      </c>
      <c r="X192" s="3">
        <f t="shared" si="128"/>
        <v>0</v>
      </c>
      <c r="Y192" s="3">
        <f t="shared" si="128"/>
        <v>0</v>
      </c>
      <c r="Z192" s="3">
        <f t="shared" si="128"/>
        <v>0</v>
      </c>
      <c r="AA192" s="3">
        <f t="shared" si="128"/>
        <v>0</v>
      </c>
      <c r="AB192" s="3">
        <f t="shared" si="128"/>
        <v>0</v>
      </c>
      <c r="AC192" s="3">
        <f t="shared" si="128"/>
        <v>0</v>
      </c>
      <c r="AD192" s="3">
        <f t="shared" si="128"/>
        <v>0</v>
      </c>
      <c r="AE192" s="3">
        <f t="shared" si="128"/>
        <v>0</v>
      </c>
      <c r="AF192" s="3">
        <f t="shared" si="128"/>
        <v>0</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1.1033683083565872E-4</v>
      </c>
      <c r="C194" s="3">
        <f t="shared" si="130"/>
        <v>1.1033683083565872E-4</v>
      </c>
      <c r="D194" s="3">
        <f t="shared" si="130"/>
        <v>1.1033683083565872E-4</v>
      </c>
      <c r="E194" s="3">
        <f t="shared" si="130"/>
        <v>1.1033683083565872E-4</v>
      </c>
      <c r="F194" s="3">
        <f t="shared" si="130"/>
        <v>1.1033683083565872E-4</v>
      </c>
      <c r="G194" s="3">
        <f t="shared" si="130"/>
        <v>1.1033683083565872E-4</v>
      </c>
      <c r="H194" s="3">
        <f t="shared" si="130"/>
        <v>1.1033683083565872E-4</v>
      </c>
      <c r="I194" s="3">
        <f t="shared" si="130"/>
        <v>1.1033683083565872E-4</v>
      </c>
      <c r="J194" s="3">
        <f t="shared" si="130"/>
        <v>1.1033683083565872E-4</v>
      </c>
      <c r="K194" s="3">
        <f t="shared" si="130"/>
        <v>1.1033683083565872E-4</v>
      </c>
      <c r="L194" s="3">
        <f t="shared" si="130"/>
        <v>1.1033683083565872E-4</v>
      </c>
      <c r="M194" s="3">
        <f t="shared" si="130"/>
        <v>1.1033683083565872E-4</v>
      </c>
      <c r="N194" s="3">
        <f t="shared" si="130"/>
        <v>1.1033683083565872E-4</v>
      </c>
      <c r="O194" s="3">
        <f t="shared" si="130"/>
        <v>1.1033683083565872E-4</v>
      </c>
      <c r="P194" s="3">
        <f t="shared" si="130"/>
        <v>1.1033683083565872E-4</v>
      </c>
      <c r="Q194" s="3">
        <f t="shared" si="130"/>
        <v>1.1033683083565872E-4</v>
      </c>
      <c r="R194" s="3">
        <f t="shared" si="130"/>
        <v>1.1033683083565872E-4</v>
      </c>
      <c r="S194" s="3">
        <f t="shared" si="130"/>
        <v>1.1033683083565872E-4</v>
      </c>
      <c r="T194" s="3">
        <f t="shared" si="130"/>
        <v>1.1033683083565872E-4</v>
      </c>
      <c r="U194" s="3">
        <f t="shared" si="130"/>
        <v>1.1033683083565872E-4</v>
      </c>
      <c r="V194" s="3">
        <f t="shared" si="130"/>
        <v>1.1033683083565872E-4</v>
      </c>
      <c r="W194" s="3">
        <f t="shared" si="130"/>
        <v>1.1033683083565872E-4</v>
      </c>
      <c r="X194" s="3">
        <f t="shared" si="130"/>
        <v>1.1033683083565872E-4</v>
      </c>
      <c r="Y194" s="3">
        <f t="shared" si="130"/>
        <v>1.1033683083565872E-4</v>
      </c>
      <c r="Z194" s="3">
        <f t="shared" si="130"/>
        <v>1.1033683083565872E-4</v>
      </c>
      <c r="AA194" s="3">
        <f t="shared" si="130"/>
        <v>1.1033683083565872E-4</v>
      </c>
      <c r="AB194" s="3">
        <f t="shared" si="130"/>
        <v>1.1033683083565872E-4</v>
      </c>
      <c r="AC194" s="3">
        <f t="shared" si="130"/>
        <v>1.1033683083565872E-4</v>
      </c>
      <c r="AD194" s="3">
        <f t="shared" si="130"/>
        <v>1.1033683083565872E-4</v>
      </c>
      <c r="AE194" s="3">
        <f t="shared" si="130"/>
        <v>1.103368308356587E-4</v>
      </c>
      <c r="AF194" s="3">
        <f t="shared" si="130"/>
        <v>1.1033683083565861E-4</v>
      </c>
      <c r="AG194" s="3"/>
      <c r="AH194" s="3"/>
    </row>
    <row r="195" spans="1:34" x14ac:dyDescent="0.25">
      <c r="B195" s="3">
        <f t="shared" ref="B195:AF195" si="131">$C42*EXP(-B$168/$A42/EXP(-$C$126))</f>
        <v>5.3430093526516889E-5</v>
      </c>
      <c r="C195" s="3">
        <f t="shared" si="131"/>
        <v>5.3430093526516889E-5</v>
      </c>
      <c r="D195" s="3">
        <f t="shared" si="131"/>
        <v>5.3430093526516889E-5</v>
      </c>
      <c r="E195" s="3">
        <f t="shared" si="131"/>
        <v>5.3430093526516889E-5</v>
      </c>
      <c r="F195" s="3">
        <f t="shared" si="131"/>
        <v>5.3430093526516889E-5</v>
      </c>
      <c r="G195" s="3">
        <f t="shared" si="131"/>
        <v>5.3430093526516889E-5</v>
      </c>
      <c r="H195" s="3">
        <f t="shared" si="131"/>
        <v>5.3430093526516889E-5</v>
      </c>
      <c r="I195" s="3">
        <f t="shared" si="131"/>
        <v>5.3430093526516889E-5</v>
      </c>
      <c r="J195" s="3">
        <f t="shared" si="131"/>
        <v>5.3430093526516889E-5</v>
      </c>
      <c r="K195" s="3">
        <f t="shared" si="131"/>
        <v>5.3430093526516889E-5</v>
      </c>
      <c r="L195" s="3">
        <f t="shared" si="131"/>
        <v>5.3430093526516889E-5</v>
      </c>
      <c r="M195" s="3">
        <f t="shared" si="131"/>
        <v>5.3430093526516889E-5</v>
      </c>
      <c r="N195" s="3">
        <f t="shared" si="131"/>
        <v>5.3430093526516889E-5</v>
      </c>
      <c r="O195" s="3">
        <f t="shared" si="131"/>
        <v>5.3430093526516889E-5</v>
      </c>
      <c r="P195" s="3">
        <f t="shared" si="131"/>
        <v>5.3430093526516889E-5</v>
      </c>
      <c r="Q195" s="3">
        <f t="shared" si="131"/>
        <v>5.3430093526516889E-5</v>
      </c>
      <c r="R195" s="3">
        <f t="shared" si="131"/>
        <v>5.3430093526516889E-5</v>
      </c>
      <c r="S195" s="3">
        <f t="shared" si="131"/>
        <v>5.3430093526516889E-5</v>
      </c>
      <c r="T195" s="3">
        <f t="shared" si="131"/>
        <v>5.3430093526516889E-5</v>
      </c>
      <c r="U195" s="3">
        <f t="shared" si="131"/>
        <v>5.3430093526516889E-5</v>
      </c>
      <c r="V195" s="3">
        <f t="shared" si="131"/>
        <v>5.3430093526516889E-5</v>
      </c>
      <c r="W195" s="3">
        <f t="shared" si="131"/>
        <v>5.3430093526516889E-5</v>
      </c>
      <c r="X195" s="3">
        <f t="shared" si="131"/>
        <v>5.3430093526516889E-5</v>
      </c>
      <c r="Y195" s="3">
        <f t="shared" si="131"/>
        <v>5.3430093526516889E-5</v>
      </c>
      <c r="Z195" s="3">
        <f t="shared" si="131"/>
        <v>5.3430093526516889E-5</v>
      </c>
      <c r="AA195" s="3">
        <f t="shared" si="131"/>
        <v>5.3430093526516889E-5</v>
      </c>
      <c r="AB195" s="3">
        <f t="shared" si="131"/>
        <v>5.3430093526516889E-5</v>
      </c>
      <c r="AC195" s="3">
        <f t="shared" si="131"/>
        <v>5.3430093526516889E-5</v>
      </c>
      <c r="AD195" s="3">
        <f t="shared" si="131"/>
        <v>5.3430093526516889E-5</v>
      </c>
      <c r="AE195" s="3">
        <f t="shared" si="131"/>
        <v>5.3430093526516889E-5</v>
      </c>
      <c r="AF195" s="3">
        <f t="shared" si="131"/>
        <v>5.3430093526516882E-5</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1.1249816087007928E-3</v>
      </c>
      <c r="C201" s="3">
        <f t="shared" si="137"/>
        <v>1.1249816087007928E-3</v>
      </c>
      <c r="D201" s="3">
        <f t="shared" si="137"/>
        <v>1.1249816087007928E-3</v>
      </c>
      <c r="E201" s="3">
        <f t="shared" si="137"/>
        <v>1.1249816087007928E-3</v>
      </c>
      <c r="F201" s="3">
        <f t="shared" si="137"/>
        <v>1.1249816087007928E-3</v>
      </c>
      <c r="G201" s="3">
        <f t="shared" si="137"/>
        <v>1.1249816087007928E-3</v>
      </c>
      <c r="H201" s="3">
        <f t="shared" si="137"/>
        <v>1.1249816087007928E-3</v>
      </c>
      <c r="I201" s="3">
        <f t="shared" si="137"/>
        <v>1.1249816087007928E-3</v>
      </c>
      <c r="J201" s="3">
        <f t="shared" si="137"/>
        <v>1.1249816087007928E-3</v>
      </c>
      <c r="K201" s="3">
        <f t="shared" si="137"/>
        <v>1.1249816087007928E-3</v>
      </c>
      <c r="L201" s="3">
        <f t="shared" si="137"/>
        <v>1.1249816087007928E-3</v>
      </c>
      <c r="M201" s="3">
        <f t="shared" si="137"/>
        <v>1.1249816087007928E-3</v>
      </c>
      <c r="N201" s="3">
        <f t="shared" si="137"/>
        <v>1.1249816087007928E-3</v>
      </c>
      <c r="O201" s="3">
        <f t="shared" si="137"/>
        <v>1.1249816087007928E-3</v>
      </c>
      <c r="P201" s="3">
        <f t="shared" si="137"/>
        <v>1.1249816087007928E-3</v>
      </c>
      <c r="Q201" s="3">
        <f t="shared" si="137"/>
        <v>1.1249816087007928E-3</v>
      </c>
      <c r="R201" s="3">
        <f t="shared" si="137"/>
        <v>1.1249816087007928E-3</v>
      </c>
      <c r="S201" s="3">
        <f t="shared" si="137"/>
        <v>1.1249816087007928E-3</v>
      </c>
      <c r="T201" s="3">
        <f t="shared" si="137"/>
        <v>1.1249816087007928E-3</v>
      </c>
      <c r="U201" s="3">
        <f t="shared" si="137"/>
        <v>1.1249816087007928E-3</v>
      </c>
      <c r="V201" s="3">
        <f t="shared" si="137"/>
        <v>1.1249816087007928E-3</v>
      </c>
      <c r="W201" s="3">
        <f t="shared" si="137"/>
        <v>1.1249816087007928E-3</v>
      </c>
      <c r="X201" s="3">
        <f t="shared" si="137"/>
        <v>1.1249816087007928E-3</v>
      </c>
      <c r="Y201" s="3">
        <f t="shared" si="137"/>
        <v>1.1249816087007928E-3</v>
      </c>
      <c r="Z201" s="3">
        <f t="shared" si="137"/>
        <v>1.1249816087007928E-3</v>
      </c>
      <c r="AA201" s="3">
        <f t="shared" si="137"/>
        <v>1.1249816087007928E-3</v>
      </c>
      <c r="AB201" s="3">
        <f t="shared" si="137"/>
        <v>1.1249816087007928E-3</v>
      </c>
      <c r="AC201" s="3">
        <f t="shared" si="137"/>
        <v>1.1249816087007928E-3</v>
      </c>
      <c r="AD201" s="3">
        <f t="shared" si="137"/>
        <v>1.1249816087007928E-3</v>
      </c>
      <c r="AE201" s="3">
        <f t="shared" si="137"/>
        <v>1.1249816087007928E-3</v>
      </c>
      <c r="AF201" s="3">
        <f t="shared" si="137"/>
        <v>1.1249816087007928E-3</v>
      </c>
      <c r="AG201" s="3"/>
      <c r="AH201" s="3"/>
    </row>
    <row r="202" spans="1:34" x14ac:dyDescent="0.25">
      <c r="A202" s="79">
        <f>AVERAGE(B202:AF202)</f>
        <v>4.4683465963065841E-2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6.7773924073636846E-2</v>
      </c>
      <c r="M202" s="80">
        <f t="shared" si="138"/>
        <v>9.0345537103471957E-2</v>
      </c>
      <c r="N202" s="80">
        <f t="shared" si="138"/>
        <v>0.11677257196689143</v>
      </c>
      <c r="O202" s="80">
        <f t="shared" si="138"/>
        <v>0.14569406814039201</v>
      </c>
      <c r="P202" s="80">
        <f t="shared" si="138"/>
        <v>0.17622129342014212</v>
      </c>
      <c r="Q202" s="80">
        <f t="shared" si="138"/>
        <v>0.17302981611616594</v>
      </c>
      <c r="R202" s="80">
        <f t="shared" si="138"/>
        <v>5.9967244631986015E-2</v>
      </c>
      <c r="S202" s="80">
        <f t="shared" si="138"/>
        <v>0.20691843072855517</v>
      </c>
      <c r="T202" s="80">
        <f t="shared" si="138"/>
        <v>0.17253779059721214</v>
      </c>
      <c r="U202" s="80">
        <f t="shared" si="138"/>
        <v>0.12093539253688915</v>
      </c>
      <c r="V202" s="80">
        <f t="shared" si="138"/>
        <v>5.499137553969824E-2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28.86153394866141</v>
      </c>
      <c r="C203" s="21">
        <f t="shared" ref="C203:AF203" si="139">(C170-C169)^2</f>
        <v>29.215881906931713</v>
      </c>
      <c r="D203" s="21">
        <f t="shared" si="139"/>
        <v>28.994695009738102</v>
      </c>
      <c r="E203" s="21">
        <f t="shared" si="139"/>
        <v>28.917400906582273</v>
      </c>
      <c r="F203" s="21">
        <f t="shared" si="139"/>
        <v>28.797392617071875</v>
      </c>
      <c r="G203" s="21">
        <f t="shared" si="139"/>
        <v>27.801781115158708</v>
      </c>
      <c r="H203" s="21">
        <f t="shared" si="139"/>
        <v>18.913090545408497</v>
      </c>
      <c r="I203" s="21">
        <f t="shared" si="139"/>
        <v>20.756438010940418</v>
      </c>
      <c r="J203" s="21">
        <f t="shared" si="139"/>
        <v>6316.8484184730842</v>
      </c>
      <c r="K203" s="21">
        <f t="shared" si="139"/>
        <v>59419.445465764467</v>
      </c>
      <c r="L203" s="21">
        <f t="shared" si="139"/>
        <v>126980.18651233145</v>
      </c>
      <c r="M203" s="21">
        <f t="shared" si="139"/>
        <v>216396.97196304731</v>
      </c>
      <c r="N203" s="21">
        <f t="shared" si="139"/>
        <v>344576.62829554506</v>
      </c>
      <c r="O203" s="21">
        <f t="shared" si="139"/>
        <v>509278.60892312659</v>
      </c>
      <c r="P203" s="21">
        <f t="shared" si="139"/>
        <v>701636.4422636407</v>
      </c>
      <c r="Q203" s="21">
        <f t="shared" si="139"/>
        <v>632783.32543353422</v>
      </c>
      <c r="R203" s="21">
        <f t="shared" si="139"/>
        <v>70811.065028433863</v>
      </c>
      <c r="S203" s="21">
        <f t="shared" si="139"/>
        <v>785295.64895179984</v>
      </c>
      <c r="T203" s="21">
        <f t="shared" si="139"/>
        <v>501562.60315904272</v>
      </c>
      <c r="U203" s="21">
        <f t="shared" si="139"/>
        <v>218321.65158211326</v>
      </c>
      <c r="V203" s="21">
        <f t="shared" si="139"/>
        <v>39042.250439511285</v>
      </c>
      <c r="W203" s="21">
        <f t="shared" si="139"/>
        <v>718.0928826735942</v>
      </c>
      <c r="X203" s="21">
        <f t="shared" si="139"/>
        <v>21066.294401458545</v>
      </c>
      <c r="Y203" s="21">
        <f t="shared" si="139"/>
        <v>4625.9766316053319</v>
      </c>
      <c r="Z203" s="21">
        <f t="shared" si="139"/>
        <v>9639.1654163037183</v>
      </c>
      <c r="AA203" s="21">
        <f t="shared" si="139"/>
        <v>8869.2171452511411</v>
      </c>
      <c r="AB203" s="21">
        <f t="shared" si="139"/>
        <v>4627.7268106680485</v>
      </c>
      <c r="AC203" s="21">
        <f t="shared" si="139"/>
        <v>2589.0028317488491</v>
      </c>
      <c r="AD203" s="21">
        <f t="shared" si="139"/>
        <v>283.22574928322763</v>
      </c>
      <c r="AE203" s="21">
        <f t="shared" si="139"/>
        <v>361.39718983938997</v>
      </c>
      <c r="AF203" s="21">
        <f t="shared" si="139"/>
        <v>4468.8432464722982</v>
      </c>
      <c r="AG203" s="3"/>
      <c r="AH203" s="3"/>
    </row>
    <row r="204" spans="1:34" x14ac:dyDescent="0.25">
      <c r="A204" s="71">
        <f>SUM(B204:AF204)</f>
        <v>4146685.3825521264</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126980.18651233145</v>
      </c>
      <c r="M204" s="60">
        <f t="shared" ref="M204" si="150">IF($A$64&lt;=M168,IF($B$64&gt;=M168,ABS(M203),0),0)</f>
        <v>216396.97196304731</v>
      </c>
      <c r="N204" s="60">
        <f t="shared" ref="N204" si="151">IF($A$64&lt;=N168,IF($B$64&gt;=N168,ABS(N203),0),0)</f>
        <v>344576.62829554506</v>
      </c>
      <c r="O204" s="60">
        <f t="shared" ref="O204" si="152">IF($A$64&lt;=O168,IF($B$64&gt;=O168,ABS(O203),0),0)</f>
        <v>509278.60892312659</v>
      </c>
      <c r="P204" s="60">
        <f t="shared" ref="P204" si="153">IF($A$64&lt;=P168,IF($B$64&gt;=P168,ABS(P203),0),0)</f>
        <v>701636.4422636407</v>
      </c>
      <c r="Q204" s="60">
        <f t="shared" ref="Q204" si="154">IF($A$64&lt;=Q168,IF($B$64&gt;=Q168,ABS(Q203),0),0)</f>
        <v>632783.32543353422</v>
      </c>
      <c r="R204" s="60">
        <f t="shared" ref="R204" si="155">IF($A$64&lt;=R168,IF($B$64&gt;=R168,ABS(R203),0),0)</f>
        <v>70811.065028433863</v>
      </c>
      <c r="S204" s="60">
        <f t="shared" ref="S204" si="156">IF($A$64&lt;=S168,IF($B$64&gt;=S168,ABS(S203),0),0)</f>
        <v>785295.64895179984</v>
      </c>
      <c r="T204" s="60">
        <f t="shared" ref="T204" si="157">IF($A$64&lt;=T168,IF($B$64&gt;=T168,ABS(T203),0),0)</f>
        <v>501562.60315904272</v>
      </c>
      <c r="U204" s="60">
        <f t="shared" ref="U204" si="158">IF($A$64&lt;=U168,IF($B$64&gt;=U168,ABS(U203),0),0)</f>
        <v>218321.65158211326</v>
      </c>
      <c r="V204" s="60">
        <f t="shared" ref="V204" si="159">IF($A$64&lt;=V168,IF($B$64&gt;=V168,ABS(V203),0),0)</f>
        <v>39042.250439511285</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0" t="s">
        <v>22</v>
      </c>
      <c r="B209" s="27">
        <f>($C$17+SUM(B210:B240))*$B$51</f>
        <v>5614.1606999998166</v>
      </c>
      <c r="C209" s="27">
        <f t="shared" ref="C209:AF209" si="170">($C$17+SUM(C210:C240))*$B$51</f>
        <v>5614.1606999981686</v>
      </c>
      <c r="D209" s="27">
        <f t="shared" si="170"/>
        <v>5614.1606999816831</v>
      </c>
      <c r="E209" s="27">
        <f t="shared" si="170"/>
        <v>5614.1606998168309</v>
      </c>
      <c r="F209" s="27">
        <f t="shared" si="170"/>
        <v>5614.1606981683117</v>
      </c>
      <c r="G209" s="27">
        <f t="shared" si="170"/>
        <v>5614.1606816831209</v>
      </c>
      <c r="H209" s="27">
        <f t="shared" si="170"/>
        <v>5614.1605168312162</v>
      </c>
      <c r="I209" s="27">
        <f t="shared" si="170"/>
        <v>5614.1588683128448</v>
      </c>
      <c r="J209" s="27">
        <f t="shared" si="170"/>
        <v>5614.142383196533</v>
      </c>
      <c r="K209" s="27">
        <f t="shared" si="170"/>
        <v>5613.9775387730451</v>
      </c>
      <c r="L209" s="27">
        <f t="shared" si="170"/>
        <v>5612.3297683161654</v>
      </c>
      <c r="M209" s="27">
        <f t="shared" si="170"/>
        <v>5595.9192565989597</v>
      </c>
      <c r="N209" s="27">
        <f t="shared" si="170"/>
        <v>5438.3522351413485</v>
      </c>
      <c r="O209" s="27">
        <f t="shared" si="170"/>
        <v>4367.4226696286578</v>
      </c>
      <c r="P209" s="27">
        <f t="shared" si="170"/>
        <v>3397.0425855812164</v>
      </c>
      <c r="Q209" s="27">
        <f t="shared" si="170"/>
        <v>3396.4620437857361</v>
      </c>
      <c r="R209" s="27">
        <f t="shared" si="170"/>
        <v>3396.3961299372331</v>
      </c>
      <c r="S209" s="27">
        <f t="shared" si="170"/>
        <v>3395.7376606289749</v>
      </c>
      <c r="T209" s="27">
        <f t="shared" si="170"/>
        <v>3389.2194172926424</v>
      </c>
      <c r="U209" s="27">
        <f t="shared" si="170"/>
        <v>3330.2377856490889</v>
      </c>
      <c r="V209" s="27">
        <f t="shared" si="170"/>
        <v>3079.9552030273012</v>
      </c>
      <c r="W209" s="27">
        <f t="shared" si="170"/>
        <v>2939.5992660452744</v>
      </c>
      <c r="X209" s="27">
        <f t="shared" si="170"/>
        <v>2783.3480234870449</v>
      </c>
      <c r="Y209" s="27">
        <f t="shared" si="170"/>
        <v>2604.8475773860227</v>
      </c>
      <c r="Z209" s="27">
        <f t="shared" si="170"/>
        <v>2411.2803698155794</v>
      </c>
      <c r="AA209" s="27">
        <f t="shared" si="170"/>
        <v>2194.3296441248267</v>
      </c>
      <c r="AB209" s="27">
        <f t="shared" si="170"/>
        <v>1952.0373669733999</v>
      </c>
      <c r="AC209" s="27">
        <f t="shared" si="170"/>
        <v>1672.17377562811</v>
      </c>
      <c r="AD209" s="27">
        <f t="shared" si="170"/>
        <v>1350.6976015379607</v>
      </c>
      <c r="AE209" s="27">
        <f t="shared" si="170"/>
        <v>1013.9132890389033</v>
      </c>
      <c r="AF209" s="27">
        <f t="shared" si="170"/>
        <v>715.40428045226884</v>
      </c>
      <c r="AG209" s="27"/>
      <c r="AH209" s="27"/>
    </row>
    <row r="210" spans="1:34" x14ac:dyDescent="0.25">
      <c r="B210" s="3">
        <f t="shared" ref="B210:AF210" si="171">$C18*EXP(-B$207/$A18/EXP(-$D$126))</f>
        <v>0.39501743006778667</v>
      </c>
      <c r="C210" s="3">
        <f t="shared" si="171"/>
        <v>0.39501743006749307</v>
      </c>
      <c r="D210" s="3">
        <f t="shared" si="171"/>
        <v>0.3950174300645567</v>
      </c>
      <c r="E210" s="3">
        <f t="shared" si="171"/>
        <v>0.39501743003519307</v>
      </c>
      <c r="F210" s="3">
        <f t="shared" si="171"/>
        <v>0.39501742974155724</v>
      </c>
      <c r="G210" s="3">
        <f t="shared" si="171"/>
        <v>0.39501742680519836</v>
      </c>
      <c r="H210" s="3">
        <f t="shared" si="171"/>
        <v>0.39501739744161102</v>
      </c>
      <c r="I210" s="3">
        <f t="shared" si="171"/>
        <v>0.39501710380585792</v>
      </c>
      <c r="J210" s="3">
        <f t="shared" si="171"/>
        <v>0.39501416746033213</v>
      </c>
      <c r="K210" s="3">
        <f t="shared" si="171"/>
        <v>0.39498480520554397</v>
      </c>
      <c r="L210" s="3">
        <f t="shared" si="171"/>
        <v>0.39469130267168179</v>
      </c>
      <c r="M210" s="3">
        <f t="shared" si="171"/>
        <v>0.39176824579196101</v>
      </c>
      <c r="N210" s="3">
        <f t="shared" si="171"/>
        <v>0.36370224923694944</v>
      </c>
      <c r="O210" s="3">
        <f t="shared" si="171"/>
        <v>0.17294720020684071</v>
      </c>
      <c r="P210" s="3">
        <f t="shared" si="171"/>
        <v>1.0223251019221713E-4</v>
      </c>
      <c r="Q210" s="3">
        <f t="shared" si="171"/>
        <v>5.3252979555099239E-37</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5.9661445570693118E-2</v>
      </c>
      <c r="C211" s="3">
        <f t="shared" si="172"/>
        <v>5.9661445570693118E-2</v>
      </c>
      <c r="D211" s="3">
        <f t="shared" si="172"/>
        <v>5.9661445570693118E-2</v>
      </c>
      <c r="E211" s="3">
        <f t="shared" si="172"/>
        <v>5.9661445570693118E-2</v>
      </c>
      <c r="F211" s="3">
        <f t="shared" si="172"/>
        <v>5.9661445570693104E-2</v>
      </c>
      <c r="G211" s="3">
        <f t="shared" si="172"/>
        <v>5.9661445570692993E-2</v>
      </c>
      <c r="H211" s="3">
        <f t="shared" si="172"/>
        <v>5.9661445570691855E-2</v>
      </c>
      <c r="I211" s="3">
        <f t="shared" si="172"/>
        <v>5.9661445570680496E-2</v>
      </c>
      <c r="J211" s="3">
        <f t="shared" si="172"/>
        <v>5.9661445570566893E-2</v>
      </c>
      <c r="K211" s="3">
        <f t="shared" si="172"/>
        <v>5.9661445569430864E-2</v>
      </c>
      <c r="L211" s="3">
        <f t="shared" si="172"/>
        <v>5.9661445558070597E-2</v>
      </c>
      <c r="M211" s="3">
        <f t="shared" si="172"/>
        <v>5.9661445444467921E-2</v>
      </c>
      <c r="N211" s="3">
        <f t="shared" si="172"/>
        <v>5.9661444308441197E-2</v>
      </c>
      <c r="O211" s="3">
        <f t="shared" si="172"/>
        <v>5.9661432948175094E-2</v>
      </c>
      <c r="P211" s="3">
        <f t="shared" si="172"/>
        <v>5.9661319345633096E-2</v>
      </c>
      <c r="Q211" s="3">
        <f t="shared" si="172"/>
        <v>5.9660183332110192E-2</v>
      </c>
      <c r="R211" s="3">
        <f t="shared" si="172"/>
        <v>5.9648824386511486E-2</v>
      </c>
      <c r="S211" s="3">
        <f t="shared" si="172"/>
        <v>5.9535353809788367E-2</v>
      </c>
      <c r="T211" s="3">
        <f t="shared" si="172"/>
        <v>5.8412452640389939E-2</v>
      </c>
      <c r="U211" s="3">
        <f t="shared" si="172"/>
        <v>4.8284803894604204E-2</v>
      </c>
      <c r="V211" s="3">
        <f t="shared" si="172"/>
        <v>7.1921837026656691E-3</v>
      </c>
      <c r="W211" s="3">
        <f t="shared" si="172"/>
        <v>3.8669073697445478E-11</v>
      </c>
      <c r="X211" s="3">
        <f t="shared" si="172"/>
        <v>7.8053744266563971E-94</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1.9174474308937255E-2</v>
      </c>
      <c r="C212" s="3">
        <f t="shared" si="173"/>
        <v>1.9174474308937255E-2</v>
      </c>
      <c r="D212" s="3">
        <f t="shared" si="173"/>
        <v>1.9174474308937255E-2</v>
      </c>
      <c r="E212" s="3">
        <f t="shared" si="173"/>
        <v>1.9174474308937255E-2</v>
      </c>
      <c r="F212" s="3">
        <f t="shared" si="173"/>
        <v>1.9174474308937255E-2</v>
      </c>
      <c r="G212" s="3">
        <f t="shared" si="173"/>
        <v>1.9174474308937251E-2</v>
      </c>
      <c r="H212" s="3">
        <f t="shared" si="173"/>
        <v>1.917447430893722E-2</v>
      </c>
      <c r="I212" s="3">
        <f t="shared" si="173"/>
        <v>1.9174474308936887E-2</v>
      </c>
      <c r="J212" s="3">
        <f t="shared" si="173"/>
        <v>1.9174474308933594E-2</v>
      </c>
      <c r="K212" s="3">
        <f t="shared" si="173"/>
        <v>1.9174474308900659E-2</v>
      </c>
      <c r="L212" s="3">
        <f t="shared" si="173"/>
        <v>1.9174474308571304E-2</v>
      </c>
      <c r="M212" s="3">
        <f t="shared" si="173"/>
        <v>1.9174474305277751E-2</v>
      </c>
      <c r="N212" s="3">
        <f t="shared" si="173"/>
        <v>1.9174474272342205E-2</v>
      </c>
      <c r="O212" s="3">
        <f t="shared" si="173"/>
        <v>1.9174473942986769E-2</v>
      </c>
      <c r="P212" s="3">
        <f t="shared" si="173"/>
        <v>1.9174470649432725E-2</v>
      </c>
      <c r="Q212" s="3">
        <f t="shared" si="173"/>
        <v>1.9174437713923395E-2</v>
      </c>
      <c r="R212" s="3">
        <f t="shared" si="173"/>
        <v>1.9174108361941566E-2</v>
      </c>
      <c r="S212" s="3">
        <f t="shared" si="173"/>
        <v>1.9170815153250642E-2</v>
      </c>
      <c r="T212" s="3">
        <f t="shared" si="173"/>
        <v>1.9137914159315369E-2</v>
      </c>
      <c r="U212" s="3">
        <f t="shared" si="173"/>
        <v>1.8811993846984173E-2</v>
      </c>
      <c r="V212" s="3">
        <f t="shared" si="173"/>
        <v>1.5842987716995265E-2</v>
      </c>
      <c r="W212" s="3">
        <f t="shared" si="173"/>
        <v>2.8435420848799708E-3</v>
      </c>
      <c r="X212" s="3">
        <f t="shared" si="173"/>
        <v>9.8647346537185704E-11</v>
      </c>
      <c r="Y212" s="3">
        <f t="shared" si="173"/>
        <v>2.4908230965122946E-85</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3.042813256492289E-2</v>
      </c>
      <c r="C213" s="3">
        <f t="shared" si="174"/>
        <v>3.042813256492289E-2</v>
      </c>
      <c r="D213" s="3">
        <f t="shared" si="174"/>
        <v>3.042813256492289E-2</v>
      </c>
      <c r="E213" s="3">
        <f t="shared" si="174"/>
        <v>3.042813256492289E-2</v>
      </c>
      <c r="F213" s="3">
        <f t="shared" si="174"/>
        <v>3.042813256492289E-2</v>
      </c>
      <c r="G213" s="3">
        <f t="shared" si="174"/>
        <v>3.042813256492289E-2</v>
      </c>
      <c r="H213" s="3">
        <f t="shared" si="174"/>
        <v>3.0428132564922883E-2</v>
      </c>
      <c r="I213" s="3">
        <f t="shared" si="174"/>
        <v>3.0428132564922834E-2</v>
      </c>
      <c r="J213" s="3">
        <f t="shared" si="174"/>
        <v>3.0428132564922366E-2</v>
      </c>
      <c r="K213" s="3">
        <f t="shared" si="174"/>
        <v>3.0428132564917651E-2</v>
      </c>
      <c r="L213" s="3">
        <f t="shared" si="174"/>
        <v>3.0428132564870505E-2</v>
      </c>
      <c r="M213" s="3">
        <f t="shared" si="174"/>
        <v>3.0428132564399021E-2</v>
      </c>
      <c r="N213" s="3">
        <f t="shared" si="174"/>
        <v>3.0428132559684223E-2</v>
      </c>
      <c r="O213" s="3">
        <f t="shared" si="174"/>
        <v>3.0428132512536222E-2</v>
      </c>
      <c r="P213" s="3">
        <f t="shared" si="174"/>
        <v>3.0428132041056238E-2</v>
      </c>
      <c r="Q213" s="3">
        <f t="shared" si="174"/>
        <v>3.0428127326256802E-2</v>
      </c>
      <c r="R213" s="3">
        <f t="shared" si="174"/>
        <v>3.0428080178302588E-2</v>
      </c>
      <c r="S213" s="3">
        <f t="shared" si="174"/>
        <v>3.0427608702778466E-2</v>
      </c>
      <c r="T213" s="3">
        <f t="shared" si="174"/>
        <v>3.0422894349315329E-2</v>
      </c>
      <c r="U213" s="3">
        <f t="shared" si="174"/>
        <v>3.0375790969468536E-2</v>
      </c>
      <c r="V213" s="3">
        <f t="shared" si="174"/>
        <v>2.9908749723412884E-2</v>
      </c>
      <c r="W213" s="3">
        <f t="shared" si="174"/>
        <v>2.5615620996571178E-2</v>
      </c>
      <c r="X213" s="3">
        <f t="shared" si="174"/>
        <v>5.439652942494687E-3</v>
      </c>
      <c r="Y213" s="3">
        <f t="shared" si="174"/>
        <v>1.0144583540497645E-9</v>
      </c>
      <c r="Z213" s="3">
        <f t="shared" si="174"/>
        <v>5.1625531052702671E-77</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3.3546614570255213E-2</v>
      </c>
      <c r="C214" s="3">
        <f t="shared" si="175"/>
        <v>3.3546614570255213E-2</v>
      </c>
      <c r="D214" s="3">
        <f t="shared" si="175"/>
        <v>3.3546614570255213E-2</v>
      </c>
      <c r="E214" s="3">
        <f t="shared" si="175"/>
        <v>3.3546614570255213E-2</v>
      </c>
      <c r="F214" s="3">
        <f t="shared" si="175"/>
        <v>3.3546614570255213E-2</v>
      </c>
      <c r="G214" s="3">
        <f t="shared" si="175"/>
        <v>3.3546614570255213E-2</v>
      </c>
      <c r="H214" s="3">
        <f t="shared" si="175"/>
        <v>3.3546614570255213E-2</v>
      </c>
      <c r="I214" s="3">
        <f t="shared" si="175"/>
        <v>3.3546614570255207E-2</v>
      </c>
      <c r="J214" s="3">
        <f t="shared" si="175"/>
        <v>3.3546614570255158E-2</v>
      </c>
      <c r="K214" s="3">
        <f t="shared" si="175"/>
        <v>3.3546614570254693E-2</v>
      </c>
      <c r="L214" s="3">
        <f t="shared" si="175"/>
        <v>3.3546614570250002E-2</v>
      </c>
      <c r="M214" s="3">
        <f t="shared" si="175"/>
        <v>3.3546614570203109E-2</v>
      </c>
      <c r="N214" s="3">
        <f t="shared" si="175"/>
        <v>3.3546614569734214E-2</v>
      </c>
      <c r="O214" s="3">
        <f t="shared" si="175"/>
        <v>3.354661456504518E-2</v>
      </c>
      <c r="P214" s="3">
        <f t="shared" si="175"/>
        <v>3.3546614518154848E-2</v>
      </c>
      <c r="Q214" s="3">
        <f t="shared" si="175"/>
        <v>3.3546614049251591E-2</v>
      </c>
      <c r="R214" s="3">
        <f t="shared" si="175"/>
        <v>3.3546609360219366E-2</v>
      </c>
      <c r="S214" s="3">
        <f t="shared" si="175"/>
        <v>3.3546562469933157E-2</v>
      </c>
      <c r="T214" s="3">
        <f t="shared" si="175"/>
        <v>3.3546093570675853E-2</v>
      </c>
      <c r="U214" s="3">
        <f t="shared" si="175"/>
        <v>3.3541404938561538E-2</v>
      </c>
      <c r="V214" s="3">
        <f t="shared" si="175"/>
        <v>3.349455464465597E-2</v>
      </c>
      <c r="W214" s="3">
        <f t="shared" si="175"/>
        <v>3.3029635866488889E-2</v>
      </c>
      <c r="X214" s="3">
        <f t="shared" si="175"/>
        <v>2.8721000737340269E-2</v>
      </c>
      <c r="Y214" s="3">
        <f t="shared" si="175"/>
        <v>7.0983496964822325E-3</v>
      </c>
      <c r="Z214" s="3">
        <f t="shared" si="175"/>
        <v>6.0358107999476696E-9</v>
      </c>
      <c r="AA214" s="3">
        <f t="shared" si="175"/>
        <v>1.1926633880548995E-69</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3.6056553536874446E-2</v>
      </c>
      <c r="C215" s="3">
        <f t="shared" si="176"/>
        <v>3.6056553536874446E-2</v>
      </c>
      <c r="D215" s="3">
        <f t="shared" si="176"/>
        <v>3.6056553536874446E-2</v>
      </c>
      <c r="E215" s="3">
        <f t="shared" si="176"/>
        <v>3.6056553536874446E-2</v>
      </c>
      <c r="F215" s="3">
        <f t="shared" si="176"/>
        <v>3.6056553536874446E-2</v>
      </c>
      <c r="G215" s="3">
        <f t="shared" si="176"/>
        <v>3.6056553536874446E-2</v>
      </c>
      <c r="H215" s="3">
        <f t="shared" si="176"/>
        <v>3.6056553536874446E-2</v>
      </c>
      <c r="I215" s="3">
        <f t="shared" si="176"/>
        <v>3.6056553536874446E-2</v>
      </c>
      <c r="J215" s="3">
        <f t="shared" si="176"/>
        <v>3.6056553536874439E-2</v>
      </c>
      <c r="K215" s="3">
        <f t="shared" si="176"/>
        <v>3.6056553536874397E-2</v>
      </c>
      <c r="L215" s="3">
        <f t="shared" si="176"/>
        <v>3.6056553536873939E-2</v>
      </c>
      <c r="M215" s="3">
        <f t="shared" si="176"/>
        <v>3.6056553536869394E-2</v>
      </c>
      <c r="N215" s="3">
        <f t="shared" si="176"/>
        <v>3.6056553536823931E-2</v>
      </c>
      <c r="O215" s="3">
        <f t="shared" si="176"/>
        <v>3.6056553536369294E-2</v>
      </c>
      <c r="P215" s="3">
        <f t="shared" si="176"/>
        <v>3.6056553531822917E-2</v>
      </c>
      <c r="Q215" s="3">
        <f t="shared" si="176"/>
        <v>3.6056553486359152E-2</v>
      </c>
      <c r="R215" s="3">
        <f t="shared" si="176"/>
        <v>3.6056553031721554E-2</v>
      </c>
      <c r="S215" s="3">
        <f t="shared" si="176"/>
        <v>3.6056548485345813E-2</v>
      </c>
      <c r="T215" s="3">
        <f t="shared" si="176"/>
        <v>3.6056503021619959E-2</v>
      </c>
      <c r="U215" s="3">
        <f t="shared" si="176"/>
        <v>3.6056048387514292E-2</v>
      </c>
      <c r="V215" s="3">
        <f t="shared" si="176"/>
        <v>3.6051502361730527E-2</v>
      </c>
      <c r="W215" s="3">
        <f t="shared" si="176"/>
        <v>3.6006073616482302E-2</v>
      </c>
      <c r="X215" s="3">
        <f t="shared" si="176"/>
        <v>3.5554922770714224E-2</v>
      </c>
      <c r="Y215" s="3">
        <f t="shared" si="176"/>
        <v>3.1342922234085593E-2</v>
      </c>
      <c r="Z215" s="3">
        <f t="shared" si="176"/>
        <v>8.8825352607918417E-3</v>
      </c>
      <c r="AA215" s="3">
        <f t="shared" si="176"/>
        <v>2.9683252777275429E-8</v>
      </c>
      <c r="AB215" s="3">
        <f t="shared" si="176"/>
        <v>5.1553362095763671E-63</v>
      </c>
      <c r="AC215" s="3">
        <f t="shared" si="176"/>
        <v>0</v>
      </c>
      <c r="AD215" s="3">
        <f t="shared" si="176"/>
        <v>0</v>
      </c>
      <c r="AE215" s="3">
        <f t="shared" si="176"/>
        <v>0</v>
      </c>
      <c r="AF215" s="3">
        <f t="shared" si="176"/>
        <v>0</v>
      </c>
      <c r="AG215" s="3"/>
      <c r="AH215" s="3"/>
    </row>
    <row r="216" spans="1:34" x14ac:dyDescent="0.25">
      <c r="B216" s="3">
        <f t="shared" ref="B216:AF216" si="177">$C24*EXP(-B$207/$A24/EXP(-$D$126))</f>
        <v>4.1431742608178009E-2</v>
      </c>
      <c r="C216" s="3">
        <f t="shared" si="177"/>
        <v>4.1431742608178009E-2</v>
      </c>
      <c r="D216" s="3">
        <f t="shared" si="177"/>
        <v>4.1431742608178009E-2</v>
      </c>
      <c r="E216" s="3">
        <f t="shared" si="177"/>
        <v>4.1431742608178009E-2</v>
      </c>
      <c r="F216" s="3">
        <f t="shared" si="177"/>
        <v>4.1431742608178009E-2</v>
      </c>
      <c r="G216" s="3">
        <f t="shared" si="177"/>
        <v>4.1431742608178009E-2</v>
      </c>
      <c r="H216" s="3">
        <f t="shared" si="177"/>
        <v>4.1431742608178009E-2</v>
      </c>
      <c r="I216" s="3">
        <f t="shared" si="177"/>
        <v>4.1431742608178009E-2</v>
      </c>
      <c r="J216" s="3">
        <f t="shared" si="177"/>
        <v>4.1431742608178009E-2</v>
      </c>
      <c r="K216" s="3">
        <f t="shared" si="177"/>
        <v>4.1431742608178002E-2</v>
      </c>
      <c r="L216" s="3">
        <f t="shared" si="177"/>
        <v>4.143174260817796E-2</v>
      </c>
      <c r="M216" s="3">
        <f t="shared" si="177"/>
        <v>4.1431742608177481E-2</v>
      </c>
      <c r="N216" s="3">
        <f t="shared" si="177"/>
        <v>4.1431742608172777E-2</v>
      </c>
      <c r="O216" s="3">
        <f t="shared" si="177"/>
        <v>4.1431742608125648E-2</v>
      </c>
      <c r="P216" s="3">
        <f t="shared" si="177"/>
        <v>4.1431742607654386E-2</v>
      </c>
      <c r="Q216" s="3">
        <f t="shared" si="177"/>
        <v>4.143174260294178E-2</v>
      </c>
      <c r="R216" s="3">
        <f t="shared" si="177"/>
        <v>4.1431742555815741E-2</v>
      </c>
      <c r="S216" s="3">
        <f t="shared" si="177"/>
        <v>4.1431742084555356E-2</v>
      </c>
      <c r="T216" s="3">
        <f t="shared" si="177"/>
        <v>4.1431737371951799E-2</v>
      </c>
      <c r="U216" s="3">
        <f t="shared" si="177"/>
        <v>4.1431690245945646E-2</v>
      </c>
      <c r="V216" s="3">
        <f t="shared" si="177"/>
        <v>4.14312189888323E-2</v>
      </c>
      <c r="W216" s="3">
        <f t="shared" si="177"/>
        <v>4.1426506712501282E-2</v>
      </c>
      <c r="X216" s="3">
        <f t="shared" si="177"/>
        <v>4.1379413417030879E-2</v>
      </c>
      <c r="Y216" s="3">
        <f t="shared" si="177"/>
        <v>4.0911414882345495E-2</v>
      </c>
      <c r="Z216" s="3">
        <f t="shared" si="177"/>
        <v>3.6512888778719929E-2</v>
      </c>
      <c r="AA216" s="3">
        <f t="shared" si="177"/>
        <v>1.170747239790865E-2</v>
      </c>
      <c r="AB216" s="3">
        <f t="shared" si="177"/>
        <v>1.3447223572285042E-7</v>
      </c>
      <c r="AC216" s="3">
        <f t="shared" si="177"/>
        <v>5.3743686704231135E-57</v>
      </c>
      <c r="AD216" s="3">
        <f t="shared" si="177"/>
        <v>0</v>
      </c>
      <c r="AE216" s="3">
        <f t="shared" si="177"/>
        <v>0</v>
      </c>
      <c r="AF216" s="3">
        <f t="shared" si="177"/>
        <v>0</v>
      </c>
      <c r="AG216" s="3"/>
      <c r="AH216" s="3"/>
    </row>
    <row r="217" spans="1:34" x14ac:dyDescent="0.25">
      <c r="B217" s="3">
        <f t="shared" ref="B217:AF217" si="178">$C25*EXP(-B$207/$A25/EXP(-$D$126))</f>
        <v>4.558861375636767E-2</v>
      </c>
      <c r="C217" s="3">
        <f t="shared" si="178"/>
        <v>4.558861375636767E-2</v>
      </c>
      <c r="D217" s="3">
        <f t="shared" si="178"/>
        <v>4.558861375636767E-2</v>
      </c>
      <c r="E217" s="3">
        <f t="shared" si="178"/>
        <v>4.558861375636767E-2</v>
      </c>
      <c r="F217" s="3">
        <f t="shared" si="178"/>
        <v>4.558861375636767E-2</v>
      </c>
      <c r="G217" s="3">
        <f t="shared" si="178"/>
        <v>4.558861375636767E-2</v>
      </c>
      <c r="H217" s="3">
        <f t="shared" si="178"/>
        <v>4.558861375636767E-2</v>
      </c>
      <c r="I217" s="3">
        <f t="shared" si="178"/>
        <v>4.558861375636767E-2</v>
      </c>
      <c r="J217" s="3">
        <f t="shared" si="178"/>
        <v>4.558861375636767E-2</v>
      </c>
      <c r="K217" s="3">
        <f t="shared" si="178"/>
        <v>4.558861375636767E-2</v>
      </c>
      <c r="L217" s="3">
        <f t="shared" si="178"/>
        <v>4.5588613756367663E-2</v>
      </c>
      <c r="M217" s="3">
        <f t="shared" si="178"/>
        <v>4.5588613756367621E-2</v>
      </c>
      <c r="N217" s="3">
        <f t="shared" si="178"/>
        <v>4.558861375636715E-2</v>
      </c>
      <c r="O217" s="3">
        <f t="shared" si="178"/>
        <v>4.5588613756362473E-2</v>
      </c>
      <c r="P217" s="3">
        <f t="shared" si="178"/>
        <v>4.5588613756315698E-2</v>
      </c>
      <c r="Q217" s="3">
        <f t="shared" si="178"/>
        <v>4.5588613755847933E-2</v>
      </c>
      <c r="R217" s="3">
        <f t="shared" si="178"/>
        <v>4.5588613751170251E-2</v>
      </c>
      <c r="S217" s="3">
        <f t="shared" si="178"/>
        <v>4.5588613704393419E-2</v>
      </c>
      <c r="T217" s="3">
        <f t="shared" si="178"/>
        <v>4.5588613236625206E-2</v>
      </c>
      <c r="U217" s="3">
        <f t="shared" si="178"/>
        <v>4.5588608558943276E-2</v>
      </c>
      <c r="V217" s="3">
        <f t="shared" si="178"/>
        <v>4.5588561782150365E-2</v>
      </c>
      <c r="W217" s="3">
        <f t="shared" si="178"/>
        <v>4.5588094016861022E-2</v>
      </c>
      <c r="X217" s="3">
        <f t="shared" si="178"/>
        <v>4.558341662793447E-2</v>
      </c>
      <c r="Y217" s="3">
        <f t="shared" si="178"/>
        <v>4.5536669125336798E-2</v>
      </c>
      <c r="Z217" s="3">
        <f t="shared" si="178"/>
        <v>4.507182277605034E-2</v>
      </c>
      <c r="AA217" s="3">
        <f t="shared" si="178"/>
        <v>4.0676515368553975E-2</v>
      </c>
      <c r="AB217" s="3">
        <f t="shared" si="178"/>
        <v>1.4579073757092642E-2</v>
      </c>
      <c r="AC217" s="3">
        <f t="shared" si="178"/>
        <v>5.1002545551680625E-7</v>
      </c>
      <c r="AD217" s="3">
        <f t="shared" si="178"/>
        <v>1.4002676171245908E-51</v>
      </c>
      <c r="AE217" s="3">
        <f t="shared" si="178"/>
        <v>0</v>
      </c>
      <c r="AF217" s="3">
        <f t="shared" si="178"/>
        <v>0</v>
      </c>
      <c r="AG217" s="3"/>
      <c r="AH217" s="3"/>
    </row>
    <row r="218" spans="1:34" x14ac:dyDescent="0.25">
      <c r="B218" s="3">
        <f t="shared" ref="B218:AF218" si="179">$C26*EXP(-B$207/$A26/EXP(-$D$126))</f>
        <v>5.454765248808658E-2</v>
      </c>
      <c r="C218" s="3">
        <f t="shared" si="179"/>
        <v>5.454765248808658E-2</v>
      </c>
      <c r="D218" s="3">
        <f t="shared" si="179"/>
        <v>5.454765248808658E-2</v>
      </c>
      <c r="E218" s="3">
        <f t="shared" si="179"/>
        <v>5.454765248808658E-2</v>
      </c>
      <c r="F218" s="3">
        <f t="shared" si="179"/>
        <v>5.454765248808658E-2</v>
      </c>
      <c r="G218" s="3">
        <f t="shared" si="179"/>
        <v>5.454765248808658E-2</v>
      </c>
      <c r="H218" s="3">
        <f t="shared" si="179"/>
        <v>5.454765248808658E-2</v>
      </c>
      <c r="I218" s="3">
        <f t="shared" si="179"/>
        <v>5.454765248808658E-2</v>
      </c>
      <c r="J218" s="3">
        <f t="shared" si="179"/>
        <v>5.454765248808658E-2</v>
      </c>
      <c r="K218" s="3">
        <f t="shared" si="179"/>
        <v>5.454765248808658E-2</v>
      </c>
      <c r="L218" s="3">
        <f t="shared" si="179"/>
        <v>5.454765248808658E-2</v>
      </c>
      <c r="M218" s="3">
        <f t="shared" si="179"/>
        <v>5.4547652488086573E-2</v>
      </c>
      <c r="N218" s="3">
        <f t="shared" si="179"/>
        <v>5.4547652488086525E-2</v>
      </c>
      <c r="O218" s="3">
        <f t="shared" si="179"/>
        <v>5.4547652488086018E-2</v>
      </c>
      <c r="P218" s="3">
        <f t="shared" si="179"/>
        <v>5.4547652488080973E-2</v>
      </c>
      <c r="Q218" s="3">
        <f t="shared" si="179"/>
        <v>5.4547652488030486E-2</v>
      </c>
      <c r="R218" s="3">
        <f t="shared" si="179"/>
        <v>5.4547652487525591E-2</v>
      </c>
      <c r="S218" s="3">
        <f t="shared" si="179"/>
        <v>5.4547652482476693E-2</v>
      </c>
      <c r="T218" s="3">
        <f t="shared" si="179"/>
        <v>5.4547652431987663E-2</v>
      </c>
      <c r="U218" s="3">
        <f t="shared" si="179"/>
        <v>5.4547651927097415E-2</v>
      </c>
      <c r="V218" s="3">
        <f t="shared" si="179"/>
        <v>5.4547646878195195E-2</v>
      </c>
      <c r="W218" s="3">
        <f t="shared" si="179"/>
        <v>5.4547596389198719E-2</v>
      </c>
      <c r="X218" s="3">
        <f t="shared" si="179"/>
        <v>5.4547091501804229E-2</v>
      </c>
      <c r="Y218" s="3">
        <f t="shared" si="179"/>
        <v>5.4542042884877628E-2</v>
      </c>
      <c r="Z218" s="3">
        <f t="shared" si="179"/>
        <v>5.4491582408642908E-2</v>
      </c>
      <c r="AA218" s="3">
        <f t="shared" si="179"/>
        <v>5.3989538172074011E-2</v>
      </c>
      <c r="AB218" s="3">
        <f t="shared" si="179"/>
        <v>4.9216592246003416E-2</v>
      </c>
      <c r="AC218" s="3">
        <f t="shared" si="179"/>
        <v>1.9504319994054151E-2</v>
      </c>
      <c r="AD218" s="3">
        <f t="shared" si="179"/>
        <v>1.8634749099322669E-6</v>
      </c>
      <c r="AE218" s="3">
        <f t="shared" si="179"/>
        <v>1.1810027584668723E-46</v>
      </c>
      <c r="AF218" s="3">
        <f t="shared" si="179"/>
        <v>0</v>
      </c>
      <c r="AG218" s="3"/>
      <c r="AH218" s="3"/>
    </row>
    <row r="219" spans="1:34" x14ac:dyDescent="0.25">
      <c r="B219" s="3">
        <f t="shared" ref="B219:AF219" si="180">$C27*EXP(-B$207/$A27/EXP(-$D$126))</f>
        <v>6.3488731508467941E-2</v>
      </c>
      <c r="C219" s="3">
        <f t="shared" si="180"/>
        <v>6.3488731508467941E-2</v>
      </c>
      <c r="D219" s="3">
        <f t="shared" si="180"/>
        <v>6.3488731508467941E-2</v>
      </c>
      <c r="E219" s="3">
        <f t="shared" si="180"/>
        <v>6.3488731508467941E-2</v>
      </c>
      <c r="F219" s="3">
        <f t="shared" si="180"/>
        <v>6.3488731508467941E-2</v>
      </c>
      <c r="G219" s="3">
        <f t="shared" si="180"/>
        <v>6.3488731508467941E-2</v>
      </c>
      <c r="H219" s="3">
        <f t="shared" si="180"/>
        <v>6.3488731508467941E-2</v>
      </c>
      <c r="I219" s="3">
        <f t="shared" si="180"/>
        <v>6.3488731508467941E-2</v>
      </c>
      <c r="J219" s="3">
        <f t="shared" si="180"/>
        <v>6.3488731508467941E-2</v>
      </c>
      <c r="K219" s="3">
        <f t="shared" si="180"/>
        <v>6.3488731508467941E-2</v>
      </c>
      <c r="L219" s="3">
        <f t="shared" si="180"/>
        <v>6.3488731508467941E-2</v>
      </c>
      <c r="M219" s="3">
        <f t="shared" si="180"/>
        <v>6.3488731508467941E-2</v>
      </c>
      <c r="N219" s="3">
        <f t="shared" si="180"/>
        <v>6.3488731508467927E-2</v>
      </c>
      <c r="O219" s="3">
        <f t="shared" si="180"/>
        <v>6.3488731508467885E-2</v>
      </c>
      <c r="P219" s="3">
        <f t="shared" si="180"/>
        <v>6.3488731508467344E-2</v>
      </c>
      <c r="Q219" s="3">
        <f t="shared" si="180"/>
        <v>6.3488731508462043E-2</v>
      </c>
      <c r="R219" s="3">
        <f t="shared" si="180"/>
        <v>6.3488731508409044E-2</v>
      </c>
      <c r="S219" s="3">
        <f t="shared" si="180"/>
        <v>6.348873150787894E-2</v>
      </c>
      <c r="T219" s="3">
        <f t="shared" si="180"/>
        <v>6.3488731502577861E-2</v>
      </c>
      <c r="U219" s="3">
        <f t="shared" si="180"/>
        <v>6.3488731449567085E-2</v>
      </c>
      <c r="V219" s="3">
        <f t="shared" si="180"/>
        <v>6.3488730919459321E-2</v>
      </c>
      <c r="W219" s="3">
        <f t="shared" si="180"/>
        <v>6.3488725618382008E-2</v>
      </c>
      <c r="X219" s="3">
        <f t="shared" si="180"/>
        <v>6.3488672607633231E-2</v>
      </c>
      <c r="Y219" s="3">
        <f t="shared" si="180"/>
        <v>6.348814250257985E-2</v>
      </c>
      <c r="Z219" s="3">
        <f t="shared" si="180"/>
        <v>6.3482841695478964E-2</v>
      </c>
      <c r="AA219" s="3">
        <f t="shared" si="180"/>
        <v>6.3429857960251315E-2</v>
      </c>
      <c r="AB219" s="3">
        <f t="shared" si="180"/>
        <v>6.2902446684647048E-2</v>
      </c>
      <c r="AC219" s="3">
        <f t="shared" si="180"/>
        <v>5.786361102194898E-2</v>
      </c>
      <c r="AD219" s="3">
        <f t="shared" si="180"/>
        <v>2.5106459662793151E-2</v>
      </c>
      <c r="AE219" s="3">
        <f t="shared" si="180"/>
        <v>5.9372441491368471E-6</v>
      </c>
      <c r="AF219" s="3">
        <f t="shared" si="180"/>
        <v>3.2477248733364471E-42</v>
      </c>
      <c r="AG219" s="3"/>
      <c r="AH219" s="3"/>
    </row>
    <row r="220" spans="1:34" x14ac:dyDescent="0.25">
      <c r="B220" s="3">
        <f t="shared" ref="B220:AF220" si="181">$C28*EXP(-B$207/$A28/EXP(-$D$126))</f>
        <v>6.4437498796687767E-2</v>
      </c>
      <c r="C220" s="3">
        <f t="shared" si="181"/>
        <v>6.4437498796687767E-2</v>
      </c>
      <c r="D220" s="3">
        <f t="shared" si="181"/>
        <v>6.4437498796687767E-2</v>
      </c>
      <c r="E220" s="3">
        <f t="shared" si="181"/>
        <v>6.4437498796687767E-2</v>
      </c>
      <c r="F220" s="3">
        <f t="shared" si="181"/>
        <v>6.4437498796687767E-2</v>
      </c>
      <c r="G220" s="3">
        <f t="shared" si="181"/>
        <v>6.4437498796687767E-2</v>
      </c>
      <c r="H220" s="3">
        <f t="shared" si="181"/>
        <v>6.4437498796687767E-2</v>
      </c>
      <c r="I220" s="3">
        <f t="shared" si="181"/>
        <v>6.4437498796687767E-2</v>
      </c>
      <c r="J220" s="3">
        <f t="shared" si="181"/>
        <v>6.4437498796687767E-2</v>
      </c>
      <c r="K220" s="3">
        <f t="shared" si="181"/>
        <v>6.4437498796687767E-2</v>
      </c>
      <c r="L220" s="3">
        <f t="shared" si="181"/>
        <v>6.4437498796687767E-2</v>
      </c>
      <c r="M220" s="3">
        <f t="shared" si="181"/>
        <v>6.4437498796687767E-2</v>
      </c>
      <c r="N220" s="3">
        <f t="shared" si="181"/>
        <v>6.4437498796687767E-2</v>
      </c>
      <c r="O220" s="3">
        <f t="shared" si="181"/>
        <v>6.4437498796687753E-2</v>
      </c>
      <c r="P220" s="3">
        <f t="shared" si="181"/>
        <v>6.4437498796687712E-2</v>
      </c>
      <c r="Q220" s="3">
        <f t="shared" si="181"/>
        <v>6.4437498796687226E-2</v>
      </c>
      <c r="R220" s="3">
        <f t="shared" si="181"/>
        <v>6.4437498796682369E-2</v>
      </c>
      <c r="S220" s="3">
        <f t="shared" si="181"/>
        <v>6.4437498796633838E-2</v>
      </c>
      <c r="T220" s="3">
        <f t="shared" si="181"/>
        <v>6.443749879614849E-2</v>
      </c>
      <c r="U220" s="3">
        <f t="shared" si="181"/>
        <v>6.4437498791295011E-2</v>
      </c>
      <c r="V220" s="3">
        <f t="shared" si="181"/>
        <v>6.4437498742760266E-2</v>
      </c>
      <c r="W220" s="3">
        <f t="shared" si="181"/>
        <v>6.4437498257412795E-2</v>
      </c>
      <c r="X220" s="3">
        <f t="shared" si="181"/>
        <v>6.4437493403938256E-2</v>
      </c>
      <c r="Y220" s="3">
        <f t="shared" si="181"/>
        <v>6.4437444869212976E-2</v>
      </c>
      <c r="Z220" s="3">
        <f t="shared" si="181"/>
        <v>6.4436959523970716E-2</v>
      </c>
      <c r="AA220" s="3">
        <f t="shared" si="181"/>
        <v>6.4432106272603776E-2</v>
      </c>
      <c r="AB220" s="3">
        <f t="shared" si="181"/>
        <v>6.4383593858889837E-2</v>
      </c>
      <c r="AC220" s="3">
        <f t="shared" si="181"/>
        <v>6.3900474126974749E-2</v>
      </c>
      <c r="AD220" s="3">
        <f t="shared" si="181"/>
        <v>5.9264242086988682E-2</v>
      </c>
      <c r="AE220" s="3">
        <f t="shared" si="181"/>
        <v>2.7904823275321004E-2</v>
      </c>
      <c r="AF220" s="3">
        <f t="shared" si="181"/>
        <v>1.4946678517775098E-5</v>
      </c>
      <c r="AG220" s="3"/>
      <c r="AH220" s="3"/>
    </row>
    <row r="221" spans="1:34" x14ac:dyDescent="0.25">
      <c r="B221" s="3">
        <f t="shared" ref="B221:AF221" si="182">$C29*EXP(-B$207/$A29/EXP(-$D$126))</f>
        <v>5.0984711138190433E-2</v>
      </c>
      <c r="C221" s="3">
        <f t="shared" si="182"/>
        <v>5.0984711138190433E-2</v>
      </c>
      <c r="D221" s="3">
        <f t="shared" si="182"/>
        <v>5.0984711138190433E-2</v>
      </c>
      <c r="E221" s="3">
        <f t="shared" si="182"/>
        <v>5.0984711138190433E-2</v>
      </c>
      <c r="F221" s="3">
        <f t="shared" si="182"/>
        <v>5.0984711138190433E-2</v>
      </c>
      <c r="G221" s="3">
        <f t="shared" si="182"/>
        <v>5.0984711138190433E-2</v>
      </c>
      <c r="H221" s="3">
        <f t="shared" si="182"/>
        <v>5.0984711138190433E-2</v>
      </c>
      <c r="I221" s="3">
        <f t="shared" si="182"/>
        <v>5.0984711138190433E-2</v>
      </c>
      <c r="J221" s="3">
        <f t="shared" si="182"/>
        <v>5.0984711138190433E-2</v>
      </c>
      <c r="K221" s="3">
        <f t="shared" si="182"/>
        <v>5.0984711138190433E-2</v>
      </c>
      <c r="L221" s="3">
        <f t="shared" si="182"/>
        <v>5.0984711138190433E-2</v>
      </c>
      <c r="M221" s="3">
        <f t="shared" si="182"/>
        <v>5.0984711138190433E-2</v>
      </c>
      <c r="N221" s="3">
        <f t="shared" si="182"/>
        <v>5.0984711138190433E-2</v>
      </c>
      <c r="O221" s="3">
        <f t="shared" si="182"/>
        <v>5.0984711138190433E-2</v>
      </c>
      <c r="P221" s="3">
        <f t="shared" si="182"/>
        <v>5.0984711138190426E-2</v>
      </c>
      <c r="Q221" s="3">
        <f t="shared" si="182"/>
        <v>5.0984711138190392E-2</v>
      </c>
      <c r="R221" s="3">
        <f t="shared" si="182"/>
        <v>5.0984711138190052E-2</v>
      </c>
      <c r="S221" s="3">
        <f t="shared" si="182"/>
        <v>5.0984711138186582E-2</v>
      </c>
      <c r="T221" s="3">
        <f t="shared" si="182"/>
        <v>5.0984711138151943E-2</v>
      </c>
      <c r="U221" s="3">
        <f t="shared" si="182"/>
        <v>5.0984711137805526E-2</v>
      </c>
      <c r="V221" s="3">
        <f t="shared" si="182"/>
        <v>5.0984711134341346E-2</v>
      </c>
      <c r="W221" s="3">
        <f t="shared" si="182"/>
        <v>5.0984711099699528E-2</v>
      </c>
      <c r="X221" s="3">
        <f t="shared" si="182"/>
        <v>5.0984710753281363E-2</v>
      </c>
      <c r="Y221" s="3">
        <f t="shared" si="182"/>
        <v>5.0984707289099873E-2</v>
      </c>
      <c r="Z221" s="3">
        <f t="shared" si="182"/>
        <v>5.0984672647297891E-2</v>
      </c>
      <c r="AA221" s="3">
        <f t="shared" si="182"/>
        <v>5.0984326230572641E-2</v>
      </c>
      <c r="AB221" s="3">
        <f t="shared" si="182"/>
        <v>5.0980862192773063E-2</v>
      </c>
      <c r="AC221" s="3">
        <f t="shared" si="182"/>
        <v>5.0946234756817095E-2</v>
      </c>
      <c r="AD221" s="3">
        <f t="shared" si="182"/>
        <v>5.0601251353534424E-2</v>
      </c>
      <c r="AE221" s="3">
        <f t="shared" si="182"/>
        <v>4.7277325647354894E-2</v>
      </c>
      <c r="AF221" s="3">
        <f t="shared" si="182"/>
        <v>2.3964553904202674E-2</v>
      </c>
      <c r="AG221" s="3"/>
      <c r="AH221" s="3"/>
    </row>
    <row r="222" spans="1:34" x14ac:dyDescent="0.25">
      <c r="B222" s="3">
        <f t="shared" ref="B222:AF222" si="183">$C30*EXP(-B$207/$A30/EXP(-$D$126))</f>
        <v>3.1725580310806592E-2</v>
      </c>
      <c r="C222" s="3">
        <f t="shared" si="183"/>
        <v>3.1725580310806592E-2</v>
      </c>
      <c r="D222" s="3">
        <f t="shared" si="183"/>
        <v>3.1725580310806592E-2</v>
      </c>
      <c r="E222" s="3">
        <f t="shared" si="183"/>
        <v>3.1725580310806592E-2</v>
      </c>
      <c r="F222" s="3">
        <f t="shared" si="183"/>
        <v>3.1725580310806592E-2</v>
      </c>
      <c r="G222" s="3">
        <f t="shared" si="183"/>
        <v>3.1725580310806592E-2</v>
      </c>
      <c r="H222" s="3">
        <f t="shared" si="183"/>
        <v>3.1725580310806592E-2</v>
      </c>
      <c r="I222" s="3">
        <f t="shared" si="183"/>
        <v>3.1725580310806592E-2</v>
      </c>
      <c r="J222" s="3">
        <f t="shared" si="183"/>
        <v>3.1725580310806592E-2</v>
      </c>
      <c r="K222" s="3">
        <f t="shared" si="183"/>
        <v>3.1725580310806592E-2</v>
      </c>
      <c r="L222" s="3">
        <f t="shared" si="183"/>
        <v>3.1725580310806592E-2</v>
      </c>
      <c r="M222" s="3">
        <f t="shared" si="183"/>
        <v>3.1725580310806592E-2</v>
      </c>
      <c r="N222" s="3">
        <f t="shared" si="183"/>
        <v>3.1725580310806592E-2</v>
      </c>
      <c r="O222" s="3">
        <f t="shared" si="183"/>
        <v>3.1725580310806592E-2</v>
      </c>
      <c r="P222" s="3">
        <f t="shared" si="183"/>
        <v>3.1725580310806592E-2</v>
      </c>
      <c r="Q222" s="3">
        <f t="shared" si="183"/>
        <v>3.1725580310806585E-2</v>
      </c>
      <c r="R222" s="3">
        <f t="shared" si="183"/>
        <v>3.1725580310806571E-2</v>
      </c>
      <c r="S222" s="3">
        <f t="shared" si="183"/>
        <v>3.1725580310806377E-2</v>
      </c>
      <c r="T222" s="3">
        <f t="shared" si="183"/>
        <v>3.1725580310804434E-2</v>
      </c>
      <c r="U222" s="3">
        <f t="shared" si="183"/>
        <v>3.1725580310784984E-2</v>
      </c>
      <c r="V222" s="3">
        <f t="shared" si="183"/>
        <v>3.1725580310590529E-2</v>
      </c>
      <c r="W222" s="3">
        <f t="shared" si="183"/>
        <v>3.1725580308645994E-2</v>
      </c>
      <c r="X222" s="3">
        <f t="shared" si="183"/>
        <v>3.172558028920059E-2</v>
      </c>
      <c r="Y222" s="3">
        <f t="shared" si="183"/>
        <v>3.1725580094746603E-2</v>
      </c>
      <c r="Z222" s="3">
        <f t="shared" si="183"/>
        <v>3.1725578150206782E-2</v>
      </c>
      <c r="AA222" s="3">
        <f t="shared" si="183"/>
        <v>3.1725558704815117E-2</v>
      </c>
      <c r="AB222" s="3">
        <f t="shared" si="183"/>
        <v>3.1725364251553936E-2</v>
      </c>
      <c r="AC222" s="3">
        <f t="shared" si="183"/>
        <v>3.1723419784492696E-2</v>
      </c>
      <c r="AD222" s="3">
        <f t="shared" si="183"/>
        <v>3.1703981667442045E-2</v>
      </c>
      <c r="AE222" s="3">
        <f t="shared" si="183"/>
        <v>3.1510254369321755E-2</v>
      </c>
      <c r="AF222" s="3">
        <f t="shared" si="183"/>
        <v>2.9636909758321416E-2</v>
      </c>
      <c r="AG222" s="3"/>
      <c r="AH222" s="3"/>
    </row>
    <row r="223" spans="1:34" x14ac:dyDescent="0.25">
      <c r="B223" s="3">
        <f t="shared" ref="B223:AF223" si="184">$C31*EXP(-B$207/$A31/EXP(-$D$126))</f>
        <v>1.5443830992985543E-2</v>
      </c>
      <c r="C223" s="3">
        <f t="shared" si="184"/>
        <v>1.5443830992985543E-2</v>
      </c>
      <c r="D223" s="3">
        <f t="shared" si="184"/>
        <v>1.5443830992985543E-2</v>
      </c>
      <c r="E223" s="3">
        <f t="shared" si="184"/>
        <v>1.5443830992985543E-2</v>
      </c>
      <c r="F223" s="3">
        <f t="shared" si="184"/>
        <v>1.5443830992985543E-2</v>
      </c>
      <c r="G223" s="3">
        <f t="shared" si="184"/>
        <v>1.5443830992985543E-2</v>
      </c>
      <c r="H223" s="3">
        <f t="shared" si="184"/>
        <v>1.5443830992985543E-2</v>
      </c>
      <c r="I223" s="3">
        <f t="shared" si="184"/>
        <v>1.5443830992985543E-2</v>
      </c>
      <c r="J223" s="3">
        <f t="shared" si="184"/>
        <v>1.5443830992985543E-2</v>
      </c>
      <c r="K223" s="3">
        <f t="shared" si="184"/>
        <v>1.5443830992985543E-2</v>
      </c>
      <c r="L223" s="3">
        <f t="shared" si="184"/>
        <v>1.5443830992985543E-2</v>
      </c>
      <c r="M223" s="3">
        <f t="shared" si="184"/>
        <v>1.5443830992985543E-2</v>
      </c>
      <c r="N223" s="3">
        <f t="shared" si="184"/>
        <v>1.5443830992985543E-2</v>
      </c>
      <c r="O223" s="3">
        <f t="shared" si="184"/>
        <v>1.5443830992985543E-2</v>
      </c>
      <c r="P223" s="3">
        <f t="shared" si="184"/>
        <v>1.5443830992985543E-2</v>
      </c>
      <c r="Q223" s="3">
        <f t="shared" si="184"/>
        <v>1.5443830992985543E-2</v>
      </c>
      <c r="R223" s="3">
        <f t="shared" si="184"/>
        <v>1.5443830992985541E-2</v>
      </c>
      <c r="S223" s="3">
        <f t="shared" si="184"/>
        <v>1.5443830992985533E-2</v>
      </c>
      <c r="T223" s="3">
        <f t="shared" si="184"/>
        <v>1.5443830992985449E-2</v>
      </c>
      <c r="U223" s="3">
        <f t="shared" si="184"/>
        <v>1.5443830992984594E-2</v>
      </c>
      <c r="V223" s="3">
        <f t="shared" si="184"/>
        <v>1.5443830992976054E-2</v>
      </c>
      <c r="W223" s="3">
        <f t="shared" si="184"/>
        <v>1.5443830992890666E-2</v>
      </c>
      <c r="X223" s="3">
        <f t="shared" si="184"/>
        <v>1.544383099203676E-2</v>
      </c>
      <c r="Y223" s="3">
        <f t="shared" si="184"/>
        <v>1.5443830983497723E-2</v>
      </c>
      <c r="Z223" s="3">
        <f t="shared" si="184"/>
        <v>1.5443830898107351E-2</v>
      </c>
      <c r="AA223" s="3">
        <f t="shared" si="184"/>
        <v>1.5443830044203643E-2</v>
      </c>
      <c r="AB223" s="3">
        <f t="shared" si="184"/>
        <v>1.5443821505169155E-2</v>
      </c>
      <c r="AC223" s="3">
        <f t="shared" si="184"/>
        <v>1.5443736115083954E-2</v>
      </c>
      <c r="AD223" s="3">
        <f t="shared" si="184"/>
        <v>1.5442882240198592E-2</v>
      </c>
      <c r="AE223" s="3">
        <f t="shared" si="184"/>
        <v>1.5434346087476925E-2</v>
      </c>
      <c r="AF223" s="3">
        <f t="shared" si="184"/>
        <v>1.534924364313343E-2</v>
      </c>
      <c r="AG223" s="3"/>
      <c r="AH223" s="3"/>
    </row>
    <row r="224" spans="1:34" x14ac:dyDescent="0.25">
      <c r="B224" s="3">
        <f t="shared" ref="B224:AF224" si="185">$C32*EXP(-B$207/$A32/EXP(-$D$126))</f>
        <v>7.0696001208784189E-3</v>
      </c>
      <c r="C224" s="3">
        <f t="shared" si="185"/>
        <v>7.0696001208784189E-3</v>
      </c>
      <c r="D224" s="3">
        <f t="shared" si="185"/>
        <v>7.0696001208784189E-3</v>
      </c>
      <c r="E224" s="3">
        <f t="shared" si="185"/>
        <v>7.0696001208784189E-3</v>
      </c>
      <c r="F224" s="3">
        <f t="shared" si="185"/>
        <v>7.0696001208784189E-3</v>
      </c>
      <c r="G224" s="3">
        <f t="shared" si="185"/>
        <v>7.0696001208784189E-3</v>
      </c>
      <c r="H224" s="3">
        <f t="shared" si="185"/>
        <v>7.0696001208784189E-3</v>
      </c>
      <c r="I224" s="3">
        <f t="shared" si="185"/>
        <v>7.0696001208784189E-3</v>
      </c>
      <c r="J224" s="3">
        <f t="shared" si="185"/>
        <v>7.0696001208784189E-3</v>
      </c>
      <c r="K224" s="3">
        <f t="shared" si="185"/>
        <v>7.0696001208784189E-3</v>
      </c>
      <c r="L224" s="3">
        <f t="shared" si="185"/>
        <v>7.0696001208784189E-3</v>
      </c>
      <c r="M224" s="3">
        <f t="shared" si="185"/>
        <v>7.0696001208784189E-3</v>
      </c>
      <c r="N224" s="3">
        <f t="shared" si="185"/>
        <v>7.0696001208784189E-3</v>
      </c>
      <c r="O224" s="3">
        <f t="shared" si="185"/>
        <v>7.0696001208784189E-3</v>
      </c>
      <c r="P224" s="3">
        <f t="shared" si="185"/>
        <v>7.0696001208784189E-3</v>
      </c>
      <c r="Q224" s="3">
        <f t="shared" si="185"/>
        <v>7.0696001208784189E-3</v>
      </c>
      <c r="R224" s="3">
        <f t="shared" si="185"/>
        <v>7.0696001208784189E-3</v>
      </c>
      <c r="S224" s="3">
        <f t="shared" si="185"/>
        <v>7.0696001208784189E-3</v>
      </c>
      <c r="T224" s="3">
        <f t="shared" si="185"/>
        <v>7.0696001208784146E-3</v>
      </c>
      <c r="U224" s="3">
        <f t="shared" si="185"/>
        <v>7.0696001208783799E-3</v>
      </c>
      <c r="V224" s="3">
        <f t="shared" si="185"/>
        <v>7.0696001208780269E-3</v>
      </c>
      <c r="W224" s="3">
        <f t="shared" si="185"/>
        <v>7.069600120874501E-3</v>
      </c>
      <c r="X224" s="3">
        <f t="shared" si="185"/>
        <v>7.0696001208392402E-3</v>
      </c>
      <c r="Y224" s="3">
        <f t="shared" si="185"/>
        <v>7.0696001204866299E-3</v>
      </c>
      <c r="Z224" s="3">
        <f t="shared" si="185"/>
        <v>7.0696001169605243E-3</v>
      </c>
      <c r="AA224" s="3">
        <f t="shared" si="185"/>
        <v>7.0696000816994672E-3</v>
      </c>
      <c r="AB224" s="3">
        <f t="shared" si="185"/>
        <v>7.0695997290889188E-3</v>
      </c>
      <c r="AC224" s="3">
        <f t="shared" si="185"/>
        <v>7.069596202984395E-3</v>
      </c>
      <c r="AD224" s="3">
        <f t="shared" si="185"/>
        <v>7.0695609420358815E-3</v>
      </c>
      <c r="AE224" s="3">
        <f t="shared" si="185"/>
        <v>7.0692083422234956E-3</v>
      </c>
      <c r="AF224" s="3">
        <f t="shared" si="185"/>
        <v>7.0656833111952576E-3</v>
      </c>
      <c r="AG224" s="3"/>
      <c r="AH224" s="3"/>
    </row>
    <row r="225" spans="2:34" x14ac:dyDescent="0.25">
      <c r="B225" s="3">
        <f t="shared" ref="B225:AF225" si="186">$C33*EXP(-B$207/$A33/EXP(-$D$126))</f>
        <v>3.5043206729719373E-3</v>
      </c>
      <c r="C225" s="3">
        <f t="shared" si="186"/>
        <v>3.5043206729719373E-3</v>
      </c>
      <c r="D225" s="3">
        <f t="shared" si="186"/>
        <v>3.5043206729719373E-3</v>
      </c>
      <c r="E225" s="3">
        <f t="shared" si="186"/>
        <v>3.5043206729719373E-3</v>
      </c>
      <c r="F225" s="3">
        <f t="shared" si="186"/>
        <v>3.5043206729719373E-3</v>
      </c>
      <c r="G225" s="3">
        <f t="shared" si="186"/>
        <v>3.5043206729719373E-3</v>
      </c>
      <c r="H225" s="3">
        <f t="shared" si="186"/>
        <v>3.5043206729719373E-3</v>
      </c>
      <c r="I225" s="3">
        <f t="shared" si="186"/>
        <v>3.5043206729719373E-3</v>
      </c>
      <c r="J225" s="3">
        <f t="shared" si="186"/>
        <v>3.5043206729719373E-3</v>
      </c>
      <c r="K225" s="3">
        <f t="shared" si="186"/>
        <v>3.5043206729719373E-3</v>
      </c>
      <c r="L225" s="3">
        <f t="shared" si="186"/>
        <v>3.5043206729719373E-3</v>
      </c>
      <c r="M225" s="3">
        <f t="shared" si="186"/>
        <v>3.5043206729719373E-3</v>
      </c>
      <c r="N225" s="3">
        <f t="shared" si="186"/>
        <v>3.5043206729719373E-3</v>
      </c>
      <c r="O225" s="3">
        <f t="shared" si="186"/>
        <v>3.5043206729719373E-3</v>
      </c>
      <c r="P225" s="3">
        <f t="shared" si="186"/>
        <v>3.5043206729719373E-3</v>
      </c>
      <c r="Q225" s="3">
        <f t="shared" si="186"/>
        <v>3.5043206729719373E-3</v>
      </c>
      <c r="R225" s="3">
        <f t="shared" si="186"/>
        <v>3.5043206729719373E-3</v>
      </c>
      <c r="S225" s="3">
        <f t="shared" si="186"/>
        <v>3.5043206729719373E-3</v>
      </c>
      <c r="T225" s="3">
        <f t="shared" si="186"/>
        <v>3.5043206729719373E-3</v>
      </c>
      <c r="U225" s="3">
        <f t="shared" si="186"/>
        <v>3.5043206729719356E-3</v>
      </c>
      <c r="V225" s="3">
        <f t="shared" si="186"/>
        <v>3.5043206729719199E-3</v>
      </c>
      <c r="W225" s="3">
        <f t="shared" si="186"/>
        <v>3.5043206729717621E-3</v>
      </c>
      <c r="X225" s="3">
        <f t="shared" si="186"/>
        <v>3.5043206729701852E-3</v>
      </c>
      <c r="Y225" s="3">
        <f t="shared" si="186"/>
        <v>3.5043206729544183E-3</v>
      </c>
      <c r="Z225" s="3">
        <f t="shared" si="186"/>
        <v>3.5043206727967476E-3</v>
      </c>
      <c r="AA225" s="3">
        <f t="shared" si="186"/>
        <v>3.5043206712200409E-3</v>
      </c>
      <c r="AB225" s="3">
        <f t="shared" si="186"/>
        <v>3.5043206554529745E-3</v>
      </c>
      <c r="AC225" s="3">
        <f t="shared" si="186"/>
        <v>3.5043204977823149E-3</v>
      </c>
      <c r="AD225" s="3">
        <f t="shared" si="186"/>
        <v>3.5043189210761088E-3</v>
      </c>
      <c r="AE225" s="3">
        <f t="shared" si="186"/>
        <v>3.504303154053064E-3</v>
      </c>
      <c r="AF225" s="3">
        <f t="shared" si="186"/>
        <v>3.504145487724306E-3</v>
      </c>
      <c r="AG225" s="3"/>
      <c r="AH225" s="3"/>
    </row>
    <row r="226" spans="2:34" x14ac:dyDescent="0.25">
      <c r="B226" s="3">
        <f t="shared" ref="B226:AF226" si="187">$C34*EXP(-B$207/$A34/EXP(-$D$126))</f>
        <v>2.9646797109614421E-3</v>
      </c>
      <c r="C226" s="3">
        <f t="shared" si="187"/>
        <v>2.9646797109614421E-3</v>
      </c>
      <c r="D226" s="3">
        <f t="shared" si="187"/>
        <v>2.9646797109614421E-3</v>
      </c>
      <c r="E226" s="3">
        <f t="shared" si="187"/>
        <v>2.9646797109614421E-3</v>
      </c>
      <c r="F226" s="3">
        <f t="shared" si="187"/>
        <v>2.9646797109614421E-3</v>
      </c>
      <c r="G226" s="3">
        <f t="shared" si="187"/>
        <v>2.9646797109614421E-3</v>
      </c>
      <c r="H226" s="3">
        <f t="shared" si="187"/>
        <v>2.9646797109614421E-3</v>
      </c>
      <c r="I226" s="3">
        <f t="shared" si="187"/>
        <v>2.9646797109614421E-3</v>
      </c>
      <c r="J226" s="3">
        <f t="shared" si="187"/>
        <v>2.9646797109614421E-3</v>
      </c>
      <c r="K226" s="3">
        <f t="shared" si="187"/>
        <v>2.9646797109614421E-3</v>
      </c>
      <c r="L226" s="3">
        <f t="shared" si="187"/>
        <v>2.9646797109614421E-3</v>
      </c>
      <c r="M226" s="3">
        <f t="shared" si="187"/>
        <v>2.9646797109614421E-3</v>
      </c>
      <c r="N226" s="3">
        <f t="shared" si="187"/>
        <v>2.9646797109614421E-3</v>
      </c>
      <c r="O226" s="3">
        <f t="shared" si="187"/>
        <v>2.9646797109614421E-3</v>
      </c>
      <c r="P226" s="3">
        <f t="shared" si="187"/>
        <v>2.9646797109614421E-3</v>
      </c>
      <c r="Q226" s="3">
        <f t="shared" si="187"/>
        <v>2.9646797109614421E-3</v>
      </c>
      <c r="R226" s="3">
        <f t="shared" si="187"/>
        <v>2.9646797109614421E-3</v>
      </c>
      <c r="S226" s="3">
        <f t="shared" si="187"/>
        <v>2.9646797109614421E-3</v>
      </c>
      <c r="T226" s="3">
        <f t="shared" si="187"/>
        <v>2.9646797109614421E-3</v>
      </c>
      <c r="U226" s="3">
        <f t="shared" si="187"/>
        <v>2.9646797109614421E-3</v>
      </c>
      <c r="V226" s="3">
        <f t="shared" si="187"/>
        <v>2.9646797109614408E-3</v>
      </c>
      <c r="W226" s="3">
        <f t="shared" si="187"/>
        <v>2.9646797109614286E-3</v>
      </c>
      <c r="X226" s="3">
        <f t="shared" si="187"/>
        <v>2.9646797109613085E-3</v>
      </c>
      <c r="Y226" s="3">
        <f t="shared" si="187"/>
        <v>2.964679710960105E-3</v>
      </c>
      <c r="Z226" s="3">
        <f t="shared" si="187"/>
        <v>2.9646797109480721E-3</v>
      </c>
      <c r="AA226" s="3">
        <f t="shared" si="187"/>
        <v>2.9646797108277426E-3</v>
      </c>
      <c r="AB226" s="3">
        <f t="shared" si="187"/>
        <v>2.9646797096244499E-3</v>
      </c>
      <c r="AC226" s="3">
        <f t="shared" si="187"/>
        <v>2.9646796975915189E-3</v>
      </c>
      <c r="AD226" s="3">
        <f t="shared" si="187"/>
        <v>2.9646795772622116E-3</v>
      </c>
      <c r="AE226" s="3">
        <f t="shared" si="187"/>
        <v>2.964678373969405E-3</v>
      </c>
      <c r="AF226" s="3">
        <f t="shared" si="187"/>
        <v>2.9646663410682053E-3</v>
      </c>
      <c r="AG226" s="3"/>
      <c r="AH226" s="3"/>
    </row>
    <row r="227" spans="2:34" x14ac:dyDescent="0.25">
      <c r="B227" s="3">
        <f t="shared" ref="B227:AF227" si="188">$C35*EXP(-B$207/$A35/EXP(-$D$126))</f>
        <v>0</v>
      </c>
      <c r="C227" s="3">
        <f t="shared" si="188"/>
        <v>0</v>
      </c>
      <c r="D227" s="3">
        <f t="shared" si="188"/>
        <v>0</v>
      </c>
      <c r="E227" s="3">
        <f t="shared" si="188"/>
        <v>0</v>
      </c>
      <c r="F227" s="3">
        <f t="shared" si="188"/>
        <v>0</v>
      </c>
      <c r="G227" s="3">
        <f t="shared" si="188"/>
        <v>0</v>
      </c>
      <c r="H227" s="3">
        <f t="shared" si="188"/>
        <v>0</v>
      </c>
      <c r="I227" s="3">
        <f t="shared" si="188"/>
        <v>0</v>
      </c>
      <c r="J227" s="3">
        <f t="shared" si="188"/>
        <v>0</v>
      </c>
      <c r="K227" s="3">
        <f t="shared" si="188"/>
        <v>0</v>
      </c>
      <c r="L227" s="3">
        <f t="shared" si="188"/>
        <v>0</v>
      </c>
      <c r="M227" s="3">
        <f t="shared" si="188"/>
        <v>0</v>
      </c>
      <c r="N227" s="3">
        <f t="shared" si="188"/>
        <v>0</v>
      </c>
      <c r="O227" s="3">
        <f t="shared" si="188"/>
        <v>0</v>
      </c>
      <c r="P227" s="3">
        <f t="shared" si="188"/>
        <v>0</v>
      </c>
      <c r="Q227" s="3">
        <f t="shared" si="188"/>
        <v>0</v>
      </c>
      <c r="R227" s="3">
        <f t="shared" si="188"/>
        <v>0</v>
      </c>
      <c r="S227" s="3">
        <f t="shared" si="188"/>
        <v>0</v>
      </c>
      <c r="T227" s="3">
        <f t="shared" si="188"/>
        <v>0</v>
      </c>
      <c r="U227" s="3">
        <f t="shared" si="188"/>
        <v>0</v>
      </c>
      <c r="V227" s="3">
        <f t="shared" si="188"/>
        <v>0</v>
      </c>
      <c r="W227" s="3">
        <f t="shared" si="188"/>
        <v>0</v>
      </c>
      <c r="X227" s="3">
        <f t="shared" si="188"/>
        <v>0</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3.098114236407119E-3</v>
      </c>
      <c r="C228" s="3">
        <f t="shared" si="189"/>
        <v>3.098114236407119E-3</v>
      </c>
      <c r="D228" s="3">
        <f t="shared" si="189"/>
        <v>3.098114236407119E-3</v>
      </c>
      <c r="E228" s="3">
        <f t="shared" si="189"/>
        <v>3.098114236407119E-3</v>
      </c>
      <c r="F228" s="3">
        <f t="shared" si="189"/>
        <v>3.098114236407119E-3</v>
      </c>
      <c r="G228" s="3">
        <f t="shared" si="189"/>
        <v>3.098114236407119E-3</v>
      </c>
      <c r="H228" s="3">
        <f t="shared" si="189"/>
        <v>3.098114236407119E-3</v>
      </c>
      <c r="I228" s="3">
        <f t="shared" si="189"/>
        <v>3.098114236407119E-3</v>
      </c>
      <c r="J228" s="3">
        <f t="shared" si="189"/>
        <v>3.098114236407119E-3</v>
      </c>
      <c r="K228" s="3">
        <f t="shared" si="189"/>
        <v>3.098114236407119E-3</v>
      </c>
      <c r="L228" s="3">
        <f t="shared" si="189"/>
        <v>3.098114236407119E-3</v>
      </c>
      <c r="M228" s="3">
        <f t="shared" si="189"/>
        <v>3.098114236407119E-3</v>
      </c>
      <c r="N228" s="3">
        <f t="shared" si="189"/>
        <v>3.098114236407119E-3</v>
      </c>
      <c r="O228" s="3">
        <f t="shared" si="189"/>
        <v>3.098114236407119E-3</v>
      </c>
      <c r="P228" s="3">
        <f t="shared" si="189"/>
        <v>3.098114236407119E-3</v>
      </c>
      <c r="Q228" s="3">
        <f t="shared" si="189"/>
        <v>3.098114236407119E-3</v>
      </c>
      <c r="R228" s="3">
        <f t="shared" si="189"/>
        <v>3.098114236407119E-3</v>
      </c>
      <c r="S228" s="3">
        <f t="shared" si="189"/>
        <v>3.098114236407119E-3</v>
      </c>
      <c r="T228" s="3">
        <f t="shared" si="189"/>
        <v>3.098114236407119E-3</v>
      </c>
      <c r="U228" s="3">
        <f t="shared" si="189"/>
        <v>3.098114236407119E-3</v>
      </c>
      <c r="V228" s="3">
        <f t="shared" si="189"/>
        <v>3.098114236407119E-3</v>
      </c>
      <c r="W228" s="3">
        <f t="shared" si="189"/>
        <v>3.098114236407119E-3</v>
      </c>
      <c r="X228" s="3">
        <f t="shared" si="189"/>
        <v>3.0981142364071182E-3</v>
      </c>
      <c r="Y228" s="3">
        <f t="shared" si="189"/>
        <v>3.0981142364071078E-3</v>
      </c>
      <c r="Z228" s="3">
        <f t="shared" si="189"/>
        <v>3.098114236407005E-3</v>
      </c>
      <c r="AA228" s="3">
        <f t="shared" si="189"/>
        <v>3.0981142364059824E-3</v>
      </c>
      <c r="AB228" s="3">
        <f t="shared" si="189"/>
        <v>3.0981142363957497E-3</v>
      </c>
      <c r="AC228" s="3">
        <f t="shared" si="189"/>
        <v>3.098114236293424E-3</v>
      </c>
      <c r="AD228" s="3">
        <f t="shared" si="189"/>
        <v>3.0981142352701678E-3</v>
      </c>
      <c r="AE228" s="3">
        <f t="shared" si="189"/>
        <v>3.0981142250376091E-3</v>
      </c>
      <c r="AF228" s="3">
        <f t="shared" si="189"/>
        <v>3.0981141227120214E-3</v>
      </c>
      <c r="AG228" s="3"/>
      <c r="AH228" s="3"/>
    </row>
    <row r="229" spans="2:34" x14ac:dyDescent="0.25">
      <c r="B229" s="3">
        <f t="shared" ref="B229:AF229" si="190">$C37*EXP(-B$207/$A37/EXP(-$D$126))</f>
        <v>1.3450651080742435E-3</v>
      </c>
      <c r="C229" s="3">
        <f t="shared" si="190"/>
        <v>1.3450651080742435E-3</v>
      </c>
      <c r="D229" s="3">
        <f t="shared" si="190"/>
        <v>1.3450651080742435E-3</v>
      </c>
      <c r="E229" s="3">
        <f t="shared" si="190"/>
        <v>1.3450651080742435E-3</v>
      </c>
      <c r="F229" s="3">
        <f t="shared" si="190"/>
        <v>1.3450651080742435E-3</v>
      </c>
      <c r="G229" s="3">
        <f t="shared" si="190"/>
        <v>1.3450651080742435E-3</v>
      </c>
      <c r="H229" s="3">
        <f t="shared" si="190"/>
        <v>1.3450651080742435E-3</v>
      </c>
      <c r="I229" s="3">
        <f t="shared" si="190"/>
        <v>1.3450651080742435E-3</v>
      </c>
      <c r="J229" s="3">
        <f t="shared" si="190"/>
        <v>1.3450651080742435E-3</v>
      </c>
      <c r="K229" s="3">
        <f t="shared" si="190"/>
        <v>1.3450651080742435E-3</v>
      </c>
      <c r="L229" s="3">
        <f t="shared" si="190"/>
        <v>1.3450651080742435E-3</v>
      </c>
      <c r="M229" s="3">
        <f t="shared" si="190"/>
        <v>1.3450651080742435E-3</v>
      </c>
      <c r="N229" s="3">
        <f t="shared" si="190"/>
        <v>1.3450651080742435E-3</v>
      </c>
      <c r="O229" s="3">
        <f t="shared" si="190"/>
        <v>1.3450651080742435E-3</v>
      </c>
      <c r="P229" s="3">
        <f t="shared" si="190"/>
        <v>1.3450651080742435E-3</v>
      </c>
      <c r="Q229" s="3">
        <f t="shared" si="190"/>
        <v>1.3450651080742435E-3</v>
      </c>
      <c r="R229" s="3">
        <f t="shared" si="190"/>
        <v>1.3450651080742435E-3</v>
      </c>
      <c r="S229" s="3">
        <f t="shared" si="190"/>
        <v>1.3450651080742435E-3</v>
      </c>
      <c r="T229" s="3">
        <f t="shared" si="190"/>
        <v>1.3450651080742435E-3</v>
      </c>
      <c r="U229" s="3">
        <f t="shared" si="190"/>
        <v>1.3450651080742435E-3</v>
      </c>
      <c r="V229" s="3">
        <f t="shared" si="190"/>
        <v>1.3450651080742435E-3</v>
      </c>
      <c r="W229" s="3">
        <f t="shared" si="190"/>
        <v>1.3450651080742435E-3</v>
      </c>
      <c r="X229" s="3">
        <f t="shared" si="190"/>
        <v>1.3450651080742435E-3</v>
      </c>
      <c r="Y229" s="3">
        <f t="shared" si="190"/>
        <v>1.345065108074243E-3</v>
      </c>
      <c r="Z229" s="3">
        <f t="shared" si="190"/>
        <v>1.3450651080742389E-3</v>
      </c>
      <c r="AA229" s="3">
        <f t="shared" si="190"/>
        <v>1.345065108074199E-3</v>
      </c>
      <c r="AB229" s="3">
        <f t="shared" si="190"/>
        <v>1.3450651080737981E-3</v>
      </c>
      <c r="AC229" s="3">
        <f t="shared" si="190"/>
        <v>1.3450651080697906E-3</v>
      </c>
      <c r="AD229" s="3">
        <f t="shared" si="190"/>
        <v>1.3450651080297155E-3</v>
      </c>
      <c r="AE229" s="3">
        <f t="shared" si="190"/>
        <v>1.3450651076289625E-3</v>
      </c>
      <c r="AF229" s="3">
        <f t="shared" si="190"/>
        <v>1.3450651036214329E-3</v>
      </c>
      <c r="AG229" s="3"/>
      <c r="AH229" s="3"/>
    </row>
    <row r="230" spans="2:34" x14ac:dyDescent="0.25">
      <c r="B230" s="3">
        <f t="shared" ref="B230:AF230" si="191">$C38*EXP(-B$207/$A38/EXP(-$D$126))</f>
        <v>1.5999872696703847E-4</v>
      </c>
      <c r="C230" s="3">
        <f t="shared" si="191"/>
        <v>1.5999872696703847E-4</v>
      </c>
      <c r="D230" s="3">
        <f t="shared" si="191"/>
        <v>1.5999872696703847E-4</v>
      </c>
      <c r="E230" s="3">
        <f t="shared" si="191"/>
        <v>1.5999872696703847E-4</v>
      </c>
      <c r="F230" s="3">
        <f t="shared" si="191"/>
        <v>1.5999872696703847E-4</v>
      </c>
      <c r="G230" s="3">
        <f t="shared" si="191"/>
        <v>1.5999872696703847E-4</v>
      </c>
      <c r="H230" s="3">
        <f t="shared" si="191"/>
        <v>1.5999872696703847E-4</v>
      </c>
      <c r="I230" s="3">
        <f t="shared" si="191"/>
        <v>1.5999872696703847E-4</v>
      </c>
      <c r="J230" s="3">
        <f t="shared" si="191"/>
        <v>1.5999872696703847E-4</v>
      </c>
      <c r="K230" s="3">
        <f t="shared" si="191"/>
        <v>1.5999872696703847E-4</v>
      </c>
      <c r="L230" s="3">
        <f t="shared" si="191"/>
        <v>1.5999872696703847E-4</v>
      </c>
      <c r="M230" s="3">
        <f t="shared" si="191"/>
        <v>1.5999872696703847E-4</v>
      </c>
      <c r="N230" s="3">
        <f t="shared" si="191"/>
        <v>1.5999872696703847E-4</v>
      </c>
      <c r="O230" s="3">
        <f t="shared" si="191"/>
        <v>1.5999872696703847E-4</v>
      </c>
      <c r="P230" s="3">
        <f t="shared" si="191"/>
        <v>1.5999872696703847E-4</v>
      </c>
      <c r="Q230" s="3">
        <f t="shared" si="191"/>
        <v>1.5999872696703847E-4</v>
      </c>
      <c r="R230" s="3">
        <f t="shared" si="191"/>
        <v>1.5999872696703847E-4</v>
      </c>
      <c r="S230" s="3">
        <f t="shared" si="191"/>
        <v>1.5999872696703847E-4</v>
      </c>
      <c r="T230" s="3">
        <f t="shared" si="191"/>
        <v>1.5999872696703847E-4</v>
      </c>
      <c r="U230" s="3">
        <f t="shared" si="191"/>
        <v>1.5999872696703847E-4</v>
      </c>
      <c r="V230" s="3">
        <f t="shared" si="191"/>
        <v>1.5999872696703847E-4</v>
      </c>
      <c r="W230" s="3">
        <f t="shared" si="191"/>
        <v>1.5999872696703847E-4</v>
      </c>
      <c r="X230" s="3">
        <f t="shared" si="191"/>
        <v>1.5999872696703847E-4</v>
      </c>
      <c r="Y230" s="3">
        <f t="shared" si="191"/>
        <v>1.5999872696703847E-4</v>
      </c>
      <c r="Z230" s="3">
        <f t="shared" si="191"/>
        <v>1.5999872696703841E-4</v>
      </c>
      <c r="AA230" s="3">
        <f t="shared" si="191"/>
        <v>1.5999872696703798E-4</v>
      </c>
      <c r="AB230" s="3">
        <f t="shared" si="191"/>
        <v>1.599987269670337E-4</v>
      </c>
      <c r="AC230" s="3">
        <f t="shared" si="191"/>
        <v>1.5999872696699068E-4</v>
      </c>
      <c r="AD230" s="3">
        <f t="shared" si="191"/>
        <v>1.5999872696656066E-4</v>
      </c>
      <c r="AE230" s="3">
        <f t="shared" si="191"/>
        <v>1.5999872696226036E-4</v>
      </c>
      <c r="AF230" s="3">
        <f t="shared" si="191"/>
        <v>1.599987269192576E-4</v>
      </c>
      <c r="AG230" s="3"/>
      <c r="AH230" s="3"/>
    </row>
    <row r="231" spans="2:34" x14ac:dyDescent="0.25">
      <c r="B231" s="3">
        <f t="shared" ref="B231:AF231" si="192">$C39*EXP(-B$207/$A39/EXP(-$D$126))</f>
        <v>0</v>
      </c>
      <c r="C231" s="3">
        <f t="shared" si="192"/>
        <v>0</v>
      </c>
      <c r="D231" s="3">
        <f t="shared" si="192"/>
        <v>0</v>
      </c>
      <c r="E231" s="3">
        <f t="shared" si="192"/>
        <v>0</v>
      </c>
      <c r="F231" s="3">
        <f t="shared" si="192"/>
        <v>0</v>
      </c>
      <c r="G231" s="3">
        <f t="shared" si="192"/>
        <v>0</v>
      </c>
      <c r="H231" s="3">
        <f t="shared" si="192"/>
        <v>0</v>
      </c>
      <c r="I231" s="3">
        <f t="shared" si="192"/>
        <v>0</v>
      </c>
      <c r="J231" s="3">
        <f t="shared" si="192"/>
        <v>0</v>
      </c>
      <c r="K231" s="3">
        <f t="shared" si="192"/>
        <v>0</v>
      </c>
      <c r="L231" s="3">
        <f t="shared" si="192"/>
        <v>0</v>
      </c>
      <c r="M231" s="3">
        <f t="shared" si="192"/>
        <v>0</v>
      </c>
      <c r="N231" s="3">
        <f t="shared" si="192"/>
        <v>0</v>
      </c>
      <c r="O231" s="3">
        <f t="shared" si="192"/>
        <v>0</v>
      </c>
      <c r="P231" s="3">
        <f t="shared" si="192"/>
        <v>0</v>
      </c>
      <c r="Q231" s="3">
        <f t="shared" si="192"/>
        <v>0</v>
      </c>
      <c r="R231" s="3">
        <f t="shared" si="192"/>
        <v>0</v>
      </c>
      <c r="S231" s="3">
        <f t="shared" si="192"/>
        <v>0</v>
      </c>
      <c r="T231" s="3">
        <f t="shared" si="192"/>
        <v>0</v>
      </c>
      <c r="U231" s="3">
        <f t="shared" si="192"/>
        <v>0</v>
      </c>
      <c r="V231" s="3">
        <f t="shared" si="192"/>
        <v>0</v>
      </c>
      <c r="W231" s="3">
        <f t="shared" si="192"/>
        <v>0</v>
      </c>
      <c r="X231" s="3">
        <f t="shared" si="192"/>
        <v>0</v>
      </c>
      <c r="Y231" s="3">
        <f t="shared" si="192"/>
        <v>0</v>
      </c>
      <c r="Z231" s="3">
        <f t="shared" si="192"/>
        <v>0</v>
      </c>
      <c r="AA231" s="3">
        <f t="shared" si="192"/>
        <v>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1.1033683083565872E-4</v>
      </c>
      <c r="C233" s="3">
        <f t="shared" si="194"/>
        <v>1.1033683083565872E-4</v>
      </c>
      <c r="D233" s="3">
        <f t="shared" si="194"/>
        <v>1.1033683083565872E-4</v>
      </c>
      <c r="E233" s="3">
        <f t="shared" si="194"/>
        <v>1.1033683083565872E-4</v>
      </c>
      <c r="F233" s="3">
        <f t="shared" si="194"/>
        <v>1.1033683083565872E-4</v>
      </c>
      <c r="G233" s="3">
        <f t="shared" si="194"/>
        <v>1.1033683083565872E-4</v>
      </c>
      <c r="H233" s="3">
        <f t="shared" si="194"/>
        <v>1.1033683083565872E-4</v>
      </c>
      <c r="I233" s="3">
        <f t="shared" si="194"/>
        <v>1.1033683083565872E-4</v>
      </c>
      <c r="J233" s="3">
        <f t="shared" si="194"/>
        <v>1.1033683083565872E-4</v>
      </c>
      <c r="K233" s="3">
        <f t="shared" si="194"/>
        <v>1.1033683083565872E-4</v>
      </c>
      <c r="L233" s="3">
        <f t="shared" si="194"/>
        <v>1.1033683083565872E-4</v>
      </c>
      <c r="M233" s="3">
        <f t="shared" si="194"/>
        <v>1.1033683083565872E-4</v>
      </c>
      <c r="N233" s="3">
        <f t="shared" si="194"/>
        <v>1.1033683083565872E-4</v>
      </c>
      <c r="O233" s="3">
        <f t="shared" si="194"/>
        <v>1.1033683083565872E-4</v>
      </c>
      <c r="P233" s="3">
        <f t="shared" si="194"/>
        <v>1.1033683083565872E-4</v>
      </c>
      <c r="Q233" s="3">
        <f t="shared" si="194"/>
        <v>1.1033683083565872E-4</v>
      </c>
      <c r="R233" s="3">
        <f t="shared" si="194"/>
        <v>1.1033683083565872E-4</v>
      </c>
      <c r="S233" s="3">
        <f t="shared" si="194"/>
        <v>1.1033683083565872E-4</v>
      </c>
      <c r="T233" s="3">
        <f t="shared" si="194"/>
        <v>1.1033683083565872E-4</v>
      </c>
      <c r="U233" s="3">
        <f t="shared" si="194"/>
        <v>1.1033683083565872E-4</v>
      </c>
      <c r="V233" s="3">
        <f t="shared" si="194"/>
        <v>1.1033683083565872E-4</v>
      </c>
      <c r="W233" s="3">
        <f t="shared" si="194"/>
        <v>1.1033683083565872E-4</v>
      </c>
      <c r="X233" s="3">
        <f t="shared" si="194"/>
        <v>1.1033683083565872E-4</v>
      </c>
      <c r="Y233" s="3">
        <f t="shared" si="194"/>
        <v>1.1033683083565872E-4</v>
      </c>
      <c r="Z233" s="3">
        <f t="shared" si="194"/>
        <v>1.1033683083565872E-4</v>
      </c>
      <c r="AA233" s="3">
        <f t="shared" si="194"/>
        <v>1.1033683083565872E-4</v>
      </c>
      <c r="AB233" s="3">
        <f t="shared" si="194"/>
        <v>1.103368308356587E-4</v>
      </c>
      <c r="AC233" s="3">
        <f t="shared" si="194"/>
        <v>1.1033683083565864E-4</v>
      </c>
      <c r="AD233" s="3">
        <f t="shared" si="194"/>
        <v>1.1033683083565781E-4</v>
      </c>
      <c r="AE233" s="3">
        <f t="shared" si="194"/>
        <v>1.1033683083564961E-4</v>
      </c>
      <c r="AF233" s="3">
        <f t="shared" si="194"/>
        <v>1.1033683083556759E-4</v>
      </c>
      <c r="AG233" s="3"/>
      <c r="AH233" s="3"/>
    </row>
    <row r="234" spans="2:34" x14ac:dyDescent="0.25">
      <c r="B234" s="3">
        <f t="shared" ref="B234:AF234" si="195">$C42*EXP(-B$207/$A42/EXP(-$D$126))</f>
        <v>5.3430093526516889E-5</v>
      </c>
      <c r="C234" s="3">
        <f t="shared" si="195"/>
        <v>5.3430093526516889E-5</v>
      </c>
      <c r="D234" s="3">
        <f t="shared" si="195"/>
        <v>5.3430093526516889E-5</v>
      </c>
      <c r="E234" s="3">
        <f t="shared" si="195"/>
        <v>5.3430093526516889E-5</v>
      </c>
      <c r="F234" s="3">
        <f t="shared" si="195"/>
        <v>5.3430093526516889E-5</v>
      </c>
      <c r="G234" s="3">
        <f t="shared" si="195"/>
        <v>5.3430093526516889E-5</v>
      </c>
      <c r="H234" s="3">
        <f t="shared" si="195"/>
        <v>5.3430093526516889E-5</v>
      </c>
      <c r="I234" s="3">
        <f t="shared" si="195"/>
        <v>5.3430093526516889E-5</v>
      </c>
      <c r="J234" s="3">
        <f t="shared" si="195"/>
        <v>5.3430093526516889E-5</v>
      </c>
      <c r="K234" s="3">
        <f t="shared" si="195"/>
        <v>5.3430093526516889E-5</v>
      </c>
      <c r="L234" s="3">
        <f t="shared" si="195"/>
        <v>5.3430093526516889E-5</v>
      </c>
      <c r="M234" s="3">
        <f t="shared" si="195"/>
        <v>5.3430093526516889E-5</v>
      </c>
      <c r="N234" s="3">
        <f t="shared" si="195"/>
        <v>5.3430093526516889E-5</v>
      </c>
      <c r="O234" s="3">
        <f t="shared" si="195"/>
        <v>5.3430093526516889E-5</v>
      </c>
      <c r="P234" s="3">
        <f t="shared" si="195"/>
        <v>5.3430093526516889E-5</v>
      </c>
      <c r="Q234" s="3">
        <f t="shared" si="195"/>
        <v>5.3430093526516889E-5</v>
      </c>
      <c r="R234" s="3">
        <f t="shared" si="195"/>
        <v>5.3430093526516889E-5</v>
      </c>
      <c r="S234" s="3">
        <f t="shared" si="195"/>
        <v>5.3430093526516889E-5</v>
      </c>
      <c r="T234" s="3">
        <f t="shared" si="195"/>
        <v>5.3430093526516889E-5</v>
      </c>
      <c r="U234" s="3">
        <f t="shared" si="195"/>
        <v>5.3430093526516889E-5</v>
      </c>
      <c r="V234" s="3">
        <f t="shared" si="195"/>
        <v>5.3430093526516889E-5</v>
      </c>
      <c r="W234" s="3">
        <f t="shared" si="195"/>
        <v>5.3430093526516889E-5</v>
      </c>
      <c r="X234" s="3">
        <f t="shared" si="195"/>
        <v>5.3430093526516889E-5</v>
      </c>
      <c r="Y234" s="3">
        <f t="shared" si="195"/>
        <v>5.3430093526516889E-5</v>
      </c>
      <c r="Z234" s="3">
        <f t="shared" si="195"/>
        <v>5.3430093526516889E-5</v>
      </c>
      <c r="AA234" s="3">
        <f t="shared" si="195"/>
        <v>5.3430093526516889E-5</v>
      </c>
      <c r="AB234" s="3">
        <f t="shared" si="195"/>
        <v>5.3430093526516889E-5</v>
      </c>
      <c r="AC234" s="3">
        <f t="shared" si="195"/>
        <v>5.3430093526516882E-5</v>
      </c>
      <c r="AD234" s="3">
        <f t="shared" si="195"/>
        <v>5.3430093526516848E-5</v>
      </c>
      <c r="AE234" s="3">
        <f t="shared" si="195"/>
        <v>5.3430093526516449E-5</v>
      </c>
      <c r="AF234" s="3">
        <f t="shared" si="195"/>
        <v>5.3430093526512478E-5</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1.1249816087007928E-3</v>
      </c>
      <c r="C240" s="3">
        <f t="shared" si="201"/>
        <v>1.1249816087007928E-3</v>
      </c>
      <c r="D240" s="3">
        <f t="shared" si="201"/>
        <v>1.1249816087007928E-3</v>
      </c>
      <c r="E240" s="3">
        <f t="shared" si="201"/>
        <v>1.1249816087007928E-3</v>
      </c>
      <c r="F240" s="3">
        <f t="shared" si="201"/>
        <v>1.1249816087007928E-3</v>
      </c>
      <c r="G240" s="3">
        <f t="shared" si="201"/>
        <v>1.1249816087007928E-3</v>
      </c>
      <c r="H240" s="3">
        <f t="shared" si="201"/>
        <v>1.1249816087007928E-3</v>
      </c>
      <c r="I240" s="3">
        <f t="shared" si="201"/>
        <v>1.1249816087007928E-3</v>
      </c>
      <c r="J240" s="3">
        <f t="shared" si="201"/>
        <v>1.1249816087007928E-3</v>
      </c>
      <c r="K240" s="3">
        <f t="shared" si="201"/>
        <v>1.1249816087007928E-3</v>
      </c>
      <c r="L240" s="3">
        <f t="shared" si="201"/>
        <v>1.1249816087007928E-3</v>
      </c>
      <c r="M240" s="3">
        <f t="shared" si="201"/>
        <v>1.1249816087007928E-3</v>
      </c>
      <c r="N240" s="3">
        <f t="shared" si="201"/>
        <v>1.1249816087007928E-3</v>
      </c>
      <c r="O240" s="3">
        <f t="shared" si="201"/>
        <v>1.1249816087007928E-3</v>
      </c>
      <c r="P240" s="3">
        <f t="shared" si="201"/>
        <v>1.1249816087007928E-3</v>
      </c>
      <c r="Q240" s="3">
        <f t="shared" si="201"/>
        <v>1.1249816087007928E-3</v>
      </c>
      <c r="R240" s="3">
        <f t="shared" si="201"/>
        <v>1.1249816087007928E-3</v>
      </c>
      <c r="S240" s="3">
        <f t="shared" si="201"/>
        <v>1.1249816087007928E-3</v>
      </c>
      <c r="T240" s="3">
        <f t="shared" si="201"/>
        <v>1.1249816087007928E-3</v>
      </c>
      <c r="U240" s="3">
        <f t="shared" si="201"/>
        <v>1.1249816087007928E-3</v>
      </c>
      <c r="V240" s="3">
        <f t="shared" si="201"/>
        <v>1.1249816087007928E-3</v>
      </c>
      <c r="W240" s="3">
        <f t="shared" si="201"/>
        <v>1.1249816087007928E-3</v>
      </c>
      <c r="X240" s="3">
        <f t="shared" si="201"/>
        <v>1.1249816087007928E-3</v>
      </c>
      <c r="Y240" s="3">
        <f t="shared" si="201"/>
        <v>1.1249816087007928E-3</v>
      </c>
      <c r="Z240" s="3">
        <f t="shared" si="201"/>
        <v>1.1249816087007928E-3</v>
      </c>
      <c r="AA240" s="3">
        <f t="shared" si="201"/>
        <v>1.1249816087007928E-3</v>
      </c>
      <c r="AB240" s="3">
        <f t="shared" si="201"/>
        <v>1.1249816087007928E-3</v>
      </c>
      <c r="AC240" s="3">
        <f t="shared" si="201"/>
        <v>1.1249816087007928E-3</v>
      </c>
      <c r="AD240" s="3">
        <f t="shared" si="201"/>
        <v>1.1249816087007928E-3</v>
      </c>
      <c r="AE240" s="3">
        <f t="shared" si="201"/>
        <v>1.1249816087007928E-3</v>
      </c>
      <c r="AF240" s="3">
        <f t="shared" si="201"/>
        <v>1.1249816087007928E-3</v>
      </c>
      <c r="AG240" s="3"/>
      <c r="AH240" s="3"/>
    </row>
    <row r="241" spans="1:34" x14ac:dyDescent="0.25">
      <c r="A241" s="79">
        <f>AVERAGE(B241:AF241)</f>
        <v>3.8092635734040016E-2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0.14056745859180381</v>
      </c>
      <c r="M241" s="80">
        <f t="shared" si="202"/>
        <v>0.17103218566983983</v>
      </c>
      <c r="N241" s="80">
        <f t="shared" si="202"/>
        <v>0.17590376535353039</v>
      </c>
      <c r="O241" s="80">
        <f t="shared" si="202"/>
        <v>2.1731812163920051E-2</v>
      </c>
      <c r="P241" s="80">
        <f t="shared" si="202"/>
        <v>0.21207297689903662</v>
      </c>
      <c r="Q241" s="80">
        <f t="shared" si="202"/>
        <v>0.18210538922738967</v>
      </c>
      <c r="R241" s="80">
        <f t="shared" si="202"/>
        <v>0.14188293414339379</v>
      </c>
      <c r="S241" s="80">
        <f t="shared" si="202"/>
        <v>8.9758510225026303E-2</v>
      </c>
      <c r="T241" s="80">
        <f t="shared" si="202"/>
        <v>3.1671039495216179E-2</v>
      </c>
      <c r="U241" s="80">
        <f t="shared" si="202"/>
        <v>1.2425151526785088E-2</v>
      </c>
      <c r="V241" s="80">
        <f t="shared" si="202"/>
        <v>1.7204844592988069E-3</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1.0707718766320026E-6</v>
      </c>
      <c r="C242" s="21">
        <f t="shared" ref="C242:AF242" si="203">(C209-C208)^2</f>
        <v>6.8537015928887184E-4</v>
      </c>
      <c r="D242" s="21">
        <f t="shared" si="203"/>
        <v>2.5603470458662346E-3</v>
      </c>
      <c r="E242" s="21">
        <f t="shared" si="203"/>
        <v>0.38023020635342158</v>
      </c>
      <c r="F242" s="21">
        <f t="shared" si="203"/>
        <v>36.883635922836326</v>
      </c>
      <c r="G242" s="21">
        <f t="shared" si="203"/>
        <v>2819.4911110967723</v>
      </c>
      <c r="H242" s="21">
        <f t="shared" si="203"/>
        <v>49488.158817242103</v>
      </c>
      <c r="I242" s="21">
        <f t="shared" si="203"/>
        <v>115857.31862834956</v>
      </c>
      <c r="J242" s="21">
        <f t="shared" si="203"/>
        <v>199811.07486608581</v>
      </c>
      <c r="K242" s="21">
        <f t="shared" si="203"/>
        <v>322071.7263564826</v>
      </c>
      <c r="L242" s="21">
        <f t="shared" si="203"/>
        <v>478425.14307389408</v>
      </c>
      <c r="M242" s="21">
        <f t="shared" si="203"/>
        <v>667976.07385289774</v>
      </c>
      <c r="N242" s="21">
        <f t="shared" si="203"/>
        <v>661822.26807010092</v>
      </c>
      <c r="O242" s="21">
        <f t="shared" si="203"/>
        <v>9412.965594310037</v>
      </c>
      <c r="P242" s="21">
        <f t="shared" si="203"/>
        <v>835989.1806978957</v>
      </c>
      <c r="Q242" s="21">
        <f t="shared" si="203"/>
        <v>571879.37660449545</v>
      </c>
      <c r="R242" s="21">
        <f t="shared" si="203"/>
        <v>315358.04795765306</v>
      </c>
      <c r="S242" s="21">
        <f t="shared" si="203"/>
        <v>112125.98712675265</v>
      </c>
      <c r="T242" s="21">
        <f t="shared" si="203"/>
        <v>12287.91407584212</v>
      </c>
      <c r="U242" s="21">
        <f t="shared" si="203"/>
        <v>1670.4290120119008</v>
      </c>
      <c r="V242" s="21">
        <f t="shared" si="203"/>
        <v>28.176431449575716</v>
      </c>
      <c r="W242" s="21">
        <f t="shared" si="203"/>
        <v>1171.3912267130208</v>
      </c>
      <c r="X242" s="21">
        <f t="shared" si="203"/>
        <v>2542.3724398478539</v>
      </c>
      <c r="Y242" s="21">
        <f t="shared" si="203"/>
        <v>1343.7065999617096</v>
      </c>
      <c r="Z242" s="21">
        <f t="shared" si="203"/>
        <v>633.42722939124076</v>
      </c>
      <c r="AA242" s="21">
        <f t="shared" si="203"/>
        <v>5.9457110846841443</v>
      </c>
      <c r="AB242" s="21">
        <f t="shared" si="203"/>
        <v>1250.8429015627089</v>
      </c>
      <c r="AC242" s="21">
        <f t="shared" si="203"/>
        <v>7099.6921969221912</v>
      </c>
      <c r="AD242" s="21">
        <f t="shared" si="203"/>
        <v>18974.857752765503</v>
      </c>
      <c r="AE242" s="21">
        <f t="shared" si="203"/>
        <v>29501.935366797785</v>
      </c>
      <c r="AF242" s="21">
        <f t="shared" si="203"/>
        <v>26262.965562551435</v>
      </c>
      <c r="AG242" s="3"/>
      <c r="AH242" s="3"/>
    </row>
    <row r="243" spans="1:34" x14ac:dyDescent="0.25">
      <c r="A243" s="71">
        <f>SUM(B243:AF243)</f>
        <v>3666975.5624973034</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478425.14307389408</v>
      </c>
      <c r="M243" s="60">
        <f t="shared" ref="M243" si="214">IF($A$64&lt;=M207,IF($B$64&gt;=M207,ABS(M242),0),0)</f>
        <v>667976.07385289774</v>
      </c>
      <c r="N243" s="60">
        <f t="shared" ref="N243" si="215">IF($A$64&lt;=N207,IF($B$64&gt;=N207,ABS(N242),0),0)</f>
        <v>661822.26807010092</v>
      </c>
      <c r="O243" s="60">
        <f t="shared" ref="O243" si="216">IF($A$64&lt;=O207,IF($B$64&gt;=O207,ABS(O242),0),0)</f>
        <v>9412.965594310037</v>
      </c>
      <c r="P243" s="60">
        <f t="shared" ref="P243" si="217">IF($A$64&lt;=P207,IF($B$64&gt;=P207,ABS(P242),0),0)</f>
        <v>835989.1806978957</v>
      </c>
      <c r="Q243" s="60">
        <f t="shared" ref="Q243" si="218">IF($A$64&lt;=Q207,IF($B$64&gt;=Q207,ABS(Q242),0),0)</f>
        <v>571879.37660449545</v>
      </c>
      <c r="R243" s="60">
        <f t="shared" ref="R243" si="219">IF($A$64&lt;=R207,IF($B$64&gt;=R207,ABS(R242),0),0)</f>
        <v>315358.04795765306</v>
      </c>
      <c r="S243" s="60">
        <f t="shared" ref="S243" si="220">IF($A$64&lt;=S207,IF($B$64&gt;=S207,ABS(S242),0),0)</f>
        <v>112125.98712675265</v>
      </c>
      <c r="T243" s="60">
        <f t="shared" ref="T243" si="221">IF($A$64&lt;=T207,IF($B$64&gt;=T207,ABS(T242),0),0)</f>
        <v>12287.91407584212</v>
      </c>
      <c r="U243" s="60">
        <f t="shared" ref="U243" si="222">IF($A$64&lt;=U207,IF($B$64&gt;=U207,ABS(U242),0),0)</f>
        <v>1670.4290120119008</v>
      </c>
      <c r="V243" s="60">
        <f t="shared" ref="V243" si="223">IF($A$64&lt;=V207,IF($B$64&gt;=V207,ABS(V242),0),0)</f>
        <v>28.176431449575716</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0" t="s">
        <v>22</v>
      </c>
      <c r="B248" s="27">
        <f>($C$17+SUM(B249:B279))*$B$51</f>
        <v>5614.1606999770211</v>
      </c>
      <c r="C248" s="27">
        <f t="shared" ref="C248:AF248" si="234">($C$17+SUM(C249:C279))*$B$51</f>
        <v>5614.1606997702083</v>
      </c>
      <c r="D248" s="27">
        <f t="shared" si="234"/>
        <v>5614.1606977020829</v>
      </c>
      <c r="E248" s="27">
        <f t="shared" si="234"/>
        <v>5614.1606770208346</v>
      </c>
      <c r="F248" s="27">
        <f t="shared" si="234"/>
        <v>5614.1604702083532</v>
      </c>
      <c r="G248" s="27">
        <f t="shared" si="234"/>
        <v>5614.1584020846103</v>
      </c>
      <c r="H248" s="27">
        <f t="shared" si="234"/>
        <v>5614.1377209532557</v>
      </c>
      <c r="I248" s="27">
        <f t="shared" si="234"/>
        <v>5613.9309202468503</v>
      </c>
      <c r="J248" s="27">
        <f t="shared" si="234"/>
        <v>5611.8639735312408</v>
      </c>
      <c r="K248" s="27">
        <f t="shared" si="234"/>
        <v>5591.3001762606764</v>
      </c>
      <c r="L248" s="27">
        <f t="shared" si="234"/>
        <v>5395.873499444594</v>
      </c>
      <c r="M248" s="27">
        <f t="shared" si="234"/>
        <v>4183.3265803382556</v>
      </c>
      <c r="N248" s="27">
        <f t="shared" si="234"/>
        <v>3396.5385706970355</v>
      </c>
      <c r="O248" s="27">
        <f t="shared" si="234"/>
        <v>3396.4601794649998</v>
      </c>
      <c r="P248" s="27">
        <f t="shared" si="234"/>
        <v>3396.3774906113026</v>
      </c>
      <c r="Q248" s="27">
        <f t="shared" si="234"/>
        <v>3395.5516550543225</v>
      </c>
      <c r="R248" s="27">
        <f t="shared" si="234"/>
        <v>3387.3976749491803</v>
      </c>
      <c r="S248" s="27">
        <f t="shared" si="234"/>
        <v>3315.4310538683844</v>
      </c>
      <c r="T248" s="27">
        <f t="shared" si="234"/>
        <v>3058.1081343308006</v>
      </c>
      <c r="U248" s="27">
        <f t="shared" si="234"/>
        <v>2926.4785265350888</v>
      </c>
      <c r="V248" s="27">
        <f t="shared" si="234"/>
        <v>2765.4688245748366</v>
      </c>
      <c r="W248" s="27">
        <f t="shared" si="234"/>
        <v>2584.8497651922453</v>
      </c>
      <c r="X248" s="27">
        <f t="shared" si="234"/>
        <v>2389.0105859016562</v>
      </c>
      <c r="Y248" s="27">
        <f t="shared" si="234"/>
        <v>2168.8330692716158</v>
      </c>
      <c r="Z248" s="27">
        <f t="shared" si="234"/>
        <v>1923.3657307264891</v>
      </c>
      <c r="AA248" s="27">
        <f t="shared" si="234"/>
        <v>1638.5486129840024</v>
      </c>
      <c r="AB248" s="27">
        <f t="shared" si="234"/>
        <v>1313.451127964159</v>
      </c>
      <c r="AC248" s="27">
        <f t="shared" si="234"/>
        <v>978.45375094599081</v>
      </c>
      <c r="AD248" s="27">
        <f t="shared" si="234"/>
        <v>688.80919084917082</v>
      </c>
      <c r="AE248" s="27">
        <f t="shared" si="234"/>
        <v>484.04535251347278</v>
      </c>
      <c r="AF248" s="27">
        <f t="shared" si="234"/>
        <v>365.59599481641578</v>
      </c>
      <c r="AG248" s="27"/>
      <c r="AH248" s="27"/>
    </row>
    <row r="249" spans="1:34" x14ac:dyDescent="0.25">
      <c r="B249" s="3">
        <f t="shared" ref="B249:AF249" si="235">$C18*EXP(-B$246/$A18/EXP(-$E$126))</f>
        <v>0.39501743006372625</v>
      </c>
      <c r="C249" s="3">
        <f t="shared" si="235"/>
        <v>0.39501743002688855</v>
      </c>
      <c r="D249" s="3">
        <f t="shared" si="235"/>
        <v>0.39501742965851211</v>
      </c>
      <c r="E249" s="3">
        <f t="shared" si="235"/>
        <v>0.3950174259747472</v>
      </c>
      <c r="F249" s="3">
        <f t="shared" si="235"/>
        <v>0.39501738913709983</v>
      </c>
      <c r="G249" s="3">
        <f t="shared" si="235"/>
        <v>0.39501702076081513</v>
      </c>
      <c r="H249" s="3">
        <f t="shared" si="235"/>
        <v>0.39501333701686248</v>
      </c>
      <c r="I249" s="3">
        <f t="shared" si="235"/>
        <v>0.39497650146669111</v>
      </c>
      <c r="J249" s="3">
        <f t="shared" si="235"/>
        <v>0.39460833483531732</v>
      </c>
      <c r="K249" s="3">
        <f t="shared" si="235"/>
        <v>0.3909454905488049</v>
      </c>
      <c r="L249" s="3">
        <f t="shared" si="235"/>
        <v>0.35613589406788737</v>
      </c>
      <c r="M249" s="3">
        <f t="shared" si="235"/>
        <v>0.14015582131974047</v>
      </c>
      <c r="N249" s="3">
        <f t="shared" si="235"/>
        <v>1.2490075810948221E-5</v>
      </c>
      <c r="O249" s="3">
        <f t="shared" si="235"/>
        <v>3.9455214727197688E-46</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5.9661445570693118E-2</v>
      </c>
      <c r="C250" s="3">
        <f t="shared" si="236"/>
        <v>5.9661445570693118E-2</v>
      </c>
      <c r="D250" s="3">
        <f t="shared" si="236"/>
        <v>5.9661445570693104E-2</v>
      </c>
      <c r="E250" s="3">
        <f t="shared" si="236"/>
        <v>5.9661445570692959E-2</v>
      </c>
      <c r="F250" s="3">
        <f t="shared" si="236"/>
        <v>5.9661445570691536E-2</v>
      </c>
      <c r="G250" s="3">
        <f t="shared" si="236"/>
        <v>5.9661445570677284E-2</v>
      </c>
      <c r="H250" s="3">
        <f t="shared" si="236"/>
        <v>5.9661445570534766E-2</v>
      </c>
      <c r="I250" s="3">
        <f t="shared" si="236"/>
        <v>5.9661445569109579E-2</v>
      </c>
      <c r="J250" s="3">
        <f t="shared" si="236"/>
        <v>5.9661445554857723E-2</v>
      </c>
      <c r="K250" s="3">
        <f t="shared" si="236"/>
        <v>5.9661445412339191E-2</v>
      </c>
      <c r="L250" s="3">
        <f t="shared" si="236"/>
        <v>5.9661443987153916E-2</v>
      </c>
      <c r="M250" s="3">
        <f t="shared" si="236"/>
        <v>5.9661429735302994E-2</v>
      </c>
      <c r="N250" s="3">
        <f t="shared" si="236"/>
        <v>5.9661287216981038E-2</v>
      </c>
      <c r="O250" s="3">
        <f t="shared" si="236"/>
        <v>5.9659862052485774E-2</v>
      </c>
      <c r="P250" s="3">
        <f t="shared" si="236"/>
        <v>5.9645612279805194E-2</v>
      </c>
      <c r="Q250" s="3">
        <f t="shared" si="236"/>
        <v>5.950330161482148E-2</v>
      </c>
      <c r="R250" s="3">
        <f t="shared" si="236"/>
        <v>5.8098736863457755E-2</v>
      </c>
      <c r="S250" s="3">
        <f t="shared" si="236"/>
        <v>4.5753356191778255E-2</v>
      </c>
      <c r="T250" s="3">
        <f t="shared" si="236"/>
        <v>4.1974508630568119E-3</v>
      </c>
      <c r="U250" s="3">
        <f t="shared" si="236"/>
        <v>1.7726061877102351E-13</v>
      </c>
      <c r="V250" s="3">
        <f t="shared" si="236"/>
        <v>3.198001495784122E-117</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1.9174474308937255E-2</v>
      </c>
      <c r="C251" s="3">
        <f t="shared" si="237"/>
        <v>1.9174474308937255E-2</v>
      </c>
      <c r="D251" s="3">
        <f t="shared" si="237"/>
        <v>1.9174474308937255E-2</v>
      </c>
      <c r="E251" s="3">
        <f t="shared" si="237"/>
        <v>1.9174474308937251E-2</v>
      </c>
      <c r="F251" s="3">
        <f t="shared" si="237"/>
        <v>1.917447430893721E-2</v>
      </c>
      <c r="G251" s="3">
        <f t="shared" si="237"/>
        <v>1.9174474308936793E-2</v>
      </c>
      <c r="H251" s="3">
        <f t="shared" si="237"/>
        <v>1.9174474308932665E-2</v>
      </c>
      <c r="I251" s="3">
        <f t="shared" si="237"/>
        <v>1.9174474308891343E-2</v>
      </c>
      <c r="J251" s="3">
        <f t="shared" si="237"/>
        <v>1.9174474308478157E-2</v>
      </c>
      <c r="K251" s="3">
        <f t="shared" si="237"/>
        <v>1.9174474304346278E-2</v>
      </c>
      <c r="L251" s="3">
        <f t="shared" si="237"/>
        <v>1.9174474263027486E-2</v>
      </c>
      <c r="M251" s="3">
        <f t="shared" si="237"/>
        <v>1.9174473849839568E-2</v>
      </c>
      <c r="N251" s="3">
        <f t="shared" si="237"/>
        <v>1.9174469717960881E-2</v>
      </c>
      <c r="O251" s="3">
        <f t="shared" si="237"/>
        <v>1.9174428399222971E-2</v>
      </c>
      <c r="P251" s="3">
        <f t="shared" si="237"/>
        <v>1.9174015216740888E-2</v>
      </c>
      <c r="Q251" s="3">
        <f t="shared" si="237"/>
        <v>1.9169883881581591E-2</v>
      </c>
      <c r="R251" s="3">
        <f t="shared" si="237"/>
        <v>1.9128619457123418E-2</v>
      </c>
      <c r="S251" s="3">
        <f t="shared" si="237"/>
        <v>1.872082913988234E-2</v>
      </c>
      <c r="T251" s="3">
        <f t="shared" si="237"/>
        <v>1.5091749961595916E-2</v>
      </c>
      <c r="U251" s="3">
        <f t="shared" si="237"/>
        <v>1.749382661056235E-3</v>
      </c>
      <c r="V251" s="3">
        <f t="shared" si="237"/>
        <v>7.6619088733821682E-13</v>
      </c>
      <c r="W251" s="3">
        <f t="shared" si="237"/>
        <v>1.9900254446724797E-106</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3.042813256492289E-2</v>
      </c>
      <c r="C252" s="3">
        <f t="shared" si="238"/>
        <v>3.042813256492289E-2</v>
      </c>
      <c r="D252" s="3">
        <f t="shared" si="238"/>
        <v>3.042813256492289E-2</v>
      </c>
      <c r="E252" s="3">
        <f t="shared" si="238"/>
        <v>3.042813256492289E-2</v>
      </c>
      <c r="F252" s="3">
        <f t="shared" si="238"/>
        <v>3.0428132564922883E-2</v>
      </c>
      <c r="G252" s="3">
        <f t="shared" si="238"/>
        <v>3.0428132564922824E-2</v>
      </c>
      <c r="H252" s="3">
        <f t="shared" si="238"/>
        <v>3.0428132564922231E-2</v>
      </c>
      <c r="I252" s="3">
        <f t="shared" si="238"/>
        <v>3.0428132564916319E-2</v>
      </c>
      <c r="J252" s="3">
        <f t="shared" si="238"/>
        <v>3.0428132564857172E-2</v>
      </c>
      <c r="K252" s="3">
        <f t="shared" si="238"/>
        <v>3.0428132564265679E-2</v>
      </c>
      <c r="L252" s="3">
        <f t="shared" si="238"/>
        <v>3.04281325583508E-2</v>
      </c>
      <c r="M252" s="3">
        <f t="shared" si="238"/>
        <v>3.0428132499201985E-2</v>
      </c>
      <c r="N252" s="3">
        <f t="shared" si="238"/>
        <v>3.0428131907713849E-2</v>
      </c>
      <c r="O252" s="3">
        <f t="shared" si="238"/>
        <v>3.0428125992833111E-2</v>
      </c>
      <c r="P252" s="3">
        <f t="shared" si="238"/>
        <v>3.0428066844088986E-2</v>
      </c>
      <c r="Q252" s="3">
        <f t="shared" si="238"/>
        <v>3.0427475362971489E-2</v>
      </c>
      <c r="R252" s="3">
        <f t="shared" si="238"/>
        <v>3.0421561184127959E-2</v>
      </c>
      <c r="S252" s="3">
        <f t="shared" si="238"/>
        <v>3.0362482583379972E-2</v>
      </c>
      <c r="T252" s="3">
        <f t="shared" si="238"/>
        <v>2.9777970133003536E-2</v>
      </c>
      <c r="U252" s="3">
        <f t="shared" si="238"/>
        <v>2.4517331711176787E-2</v>
      </c>
      <c r="V252" s="3">
        <f t="shared" si="238"/>
        <v>3.5095734227467341E-3</v>
      </c>
      <c r="W252" s="3">
        <f t="shared" si="238"/>
        <v>1.2678434431618668E-11</v>
      </c>
      <c r="X252" s="3">
        <f t="shared" si="238"/>
        <v>4.7993076755759484E-96</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3.3546614570255213E-2</v>
      </c>
      <c r="C253" s="3">
        <f t="shared" si="239"/>
        <v>3.3546614570255213E-2</v>
      </c>
      <c r="D253" s="3">
        <f t="shared" si="239"/>
        <v>3.3546614570255213E-2</v>
      </c>
      <c r="E253" s="3">
        <f t="shared" si="239"/>
        <v>3.3546614570255213E-2</v>
      </c>
      <c r="F253" s="3">
        <f t="shared" si="239"/>
        <v>3.3546614570255213E-2</v>
      </c>
      <c r="G253" s="3">
        <f t="shared" si="239"/>
        <v>3.3546614570255207E-2</v>
      </c>
      <c r="H253" s="3">
        <f t="shared" si="239"/>
        <v>3.3546614570255144E-2</v>
      </c>
      <c r="I253" s="3">
        <f t="shared" si="239"/>
        <v>3.3546614570254561E-2</v>
      </c>
      <c r="J253" s="3">
        <f t="shared" si="239"/>
        <v>3.3546614570248677E-2</v>
      </c>
      <c r="K253" s="3">
        <f t="shared" si="239"/>
        <v>3.3546614570189856E-2</v>
      </c>
      <c r="L253" s="3">
        <f t="shared" si="239"/>
        <v>3.3546614569601597E-2</v>
      </c>
      <c r="M253" s="3">
        <f t="shared" si="239"/>
        <v>3.3546614563719039E-2</v>
      </c>
      <c r="N253" s="3">
        <f t="shared" si="239"/>
        <v>3.3546614504893484E-2</v>
      </c>
      <c r="O253" s="3">
        <f t="shared" si="239"/>
        <v>3.3546613916637942E-2</v>
      </c>
      <c r="P253" s="3">
        <f t="shared" si="239"/>
        <v>3.3546608034083061E-2</v>
      </c>
      <c r="Q253" s="3">
        <f t="shared" si="239"/>
        <v>3.3546549208591001E-2</v>
      </c>
      <c r="R253" s="3">
        <f t="shared" si="239"/>
        <v>3.3545960959343764E-2</v>
      </c>
      <c r="S253" s="3">
        <f t="shared" si="239"/>
        <v>3.3540079034173935E-2</v>
      </c>
      <c r="T253" s="3">
        <f t="shared" si="239"/>
        <v>3.3481316475942643E-2</v>
      </c>
      <c r="U253" s="3">
        <f t="shared" si="239"/>
        <v>3.289932362880206E-2</v>
      </c>
      <c r="V253" s="3">
        <f t="shared" si="239"/>
        <v>2.7607774827011076E-2</v>
      </c>
      <c r="W253" s="3">
        <f t="shared" si="239"/>
        <v>4.7805267294814165E-3</v>
      </c>
      <c r="X253" s="3">
        <f t="shared" si="239"/>
        <v>1.1585618342120933E-10</v>
      </c>
      <c r="Y253" s="3">
        <f t="shared" si="239"/>
        <v>8.0975546282404054E-87</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3.6056553536874446E-2</v>
      </c>
      <c r="C254" s="3">
        <f t="shared" si="240"/>
        <v>3.6056553536874446E-2</v>
      </c>
      <c r="D254" s="3">
        <f t="shared" si="240"/>
        <v>3.6056553536874446E-2</v>
      </c>
      <c r="E254" s="3">
        <f t="shared" si="240"/>
        <v>3.6056553536874446E-2</v>
      </c>
      <c r="F254" s="3">
        <f t="shared" si="240"/>
        <v>3.6056553536874446E-2</v>
      </c>
      <c r="G254" s="3">
        <f t="shared" si="240"/>
        <v>3.6056553536874446E-2</v>
      </c>
      <c r="H254" s="3">
        <f t="shared" si="240"/>
        <v>3.6056553536874439E-2</v>
      </c>
      <c r="I254" s="3">
        <f t="shared" si="240"/>
        <v>3.6056553536874383E-2</v>
      </c>
      <c r="J254" s="3">
        <f t="shared" si="240"/>
        <v>3.6056553536873814E-2</v>
      </c>
      <c r="K254" s="3">
        <f t="shared" si="240"/>
        <v>3.6056553536868111E-2</v>
      </c>
      <c r="L254" s="3">
        <f t="shared" si="240"/>
        <v>3.6056553536811073E-2</v>
      </c>
      <c r="M254" s="3">
        <f t="shared" si="240"/>
        <v>3.6056553536240717E-2</v>
      </c>
      <c r="N254" s="3">
        <f t="shared" si="240"/>
        <v>3.6056553530537126E-2</v>
      </c>
      <c r="O254" s="3">
        <f t="shared" si="240"/>
        <v>3.605655347350125E-2</v>
      </c>
      <c r="P254" s="3">
        <f t="shared" si="240"/>
        <v>3.6056552903142462E-2</v>
      </c>
      <c r="Q254" s="3">
        <f t="shared" si="240"/>
        <v>3.6056547199555124E-2</v>
      </c>
      <c r="R254" s="3">
        <f t="shared" si="240"/>
        <v>3.6056490163731338E-2</v>
      </c>
      <c r="S254" s="3">
        <f t="shared" si="240"/>
        <v>3.6055919810455667E-2</v>
      </c>
      <c r="T254" s="3">
        <f t="shared" si="240"/>
        <v>3.6050216773887228E-2</v>
      </c>
      <c r="U254" s="3">
        <f t="shared" si="240"/>
        <v>3.5993235998003137E-2</v>
      </c>
      <c r="V254" s="3">
        <f t="shared" si="240"/>
        <v>3.5428358317545004E-2</v>
      </c>
      <c r="W254" s="3">
        <f t="shared" si="240"/>
        <v>3.0244915324036063E-2</v>
      </c>
      <c r="X254" s="3">
        <f t="shared" si="240"/>
        <v>6.2182162067783526E-3</v>
      </c>
      <c r="Y254" s="3">
        <f t="shared" si="240"/>
        <v>8.3907401581992994E-10</v>
      </c>
      <c r="Z254" s="3">
        <f t="shared" si="240"/>
        <v>1.6793638904347406E-78</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4.1431742608178009E-2</v>
      </c>
      <c r="C255" s="3">
        <f t="shared" si="241"/>
        <v>4.1431742608178009E-2</v>
      </c>
      <c r="D255" s="3">
        <f t="shared" si="241"/>
        <v>4.1431742608178009E-2</v>
      </c>
      <c r="E255" s="3">
        <f t="shared" si="241"/>
        <v>4.1431742608178009E-2</v>
      </c>
      <c r="F255" s="3">
        <f t="shared" si="241"/>
        <v>4.1431742608178009E-2</v>
      </c>
      <c r="G255" s="3">
        <f t="shared" si="241"/>
        <v>4.1431742608178009E-2</v>
      </c>
      <c r="H255" s="3">
        <f t="shared" si="241"/>
        <v>4.1431742608178009E-2</v>
      </c>
      <c r="I255" s="3">
        <f t="shared" si="241"/>
        <v>4.1431742608178002E-2</v>
      </c>
      <c r="J255" s="3">
        <f t="shared" si="241"/>
        <v>4.1431742608177946E-2</v>
      </c>
      <c r="K255" s="3">
        <f t="shared" si="241"/>
        <v>4.1431742608177349E-2</v>
      </c>
      <c r="L255" s="3">
        <f t="shared" si="241"/>
        <v>4.1431742608171437E-2</v>
      </c>
      <c r="M255" s="3">
        <f t="shared" si="241"/>
        <v>4.1431742608112318E-2</v>
      </c>
      <c r="N255" s="3">
        <f t="shared" si="241"/>
        <v>4.1431742607521103E-2</v>
      </c>
      <c r="O255" s="3">
        <f t="shared" si="241"/>
        <v>4.1431742601608978E-2</v>
      </c>
      <c r="P255" s="3">
        <f t="shared" si="241"/>
        <v>4.1431742542487715E-2</v>
      </c>
      <c r="Q255" s="3">
        <f t="shared" si="241"/>
        <v>4.1431741951275074E-2</v>
      </c>
      <c r="R255" s="3">
        <f t="shared" si="241"/>
        <v>4.1431736039149097E-2</v>
      </c>
      <c r="S255" s="3">
        <f t="shared" si="241"/>
        <v>4.143167691793579E-2</v>
      </c>
      <c r="T255" s="3">
        <f t="shared" si="241"/>
        <v>4.1431085710442669E-2</v>
      </c>
      <c r="U255" s="3">
        <f t="shared" si="241"/>
        <v>4.1425174099483139E-2</v>
      </c>
      <c r="V255" s="3">
        <f t="shared" si="241"/>
        <v>4.1366104362565805E-2</v>
      </c>
      <c r="W255" s="3">
        <f t="shared" si="241"/>
        <v>4.0780019870817134E-2</v>
      </c>
      <c r="X255" s="3">
        <f t="shared" si="241"/>
        <v>3.5357009942891683E-2</v>
      </c>
      <c r="Y255" s="3">
        <f t="shared" si="241"/>
        <v>8.4870450336125159E-3</v>
      </c>
      <c r="Z255" s="3">
        <f t="shared" si="241"/>
        <v>5.389720774287109E-9</v>
      </c>
      <c r="AA255" s="3">
        <f t="shared" si="241"/>
        <v>5.7499472758790293E-71</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4.558861375636767E-2</v>
      </c>
      <c r="C256" s="3">
        <f t="shared" si="242"/>
        <v>4.558861375636767E-2</v>
      </c>
      <c r="D256" s="3">
        <f t="shared" si="242"/>
        <v>4.558861375636767E-2</v>
      </c>
      <c r="E256" s="3">
        <f t="shared" si="242"/>
        <v>4.558861375636767E-2</v>
      </c>
      <c r="F256" s="3">
        <f t="shared" si="242"/>
        <v>4.558861375636767E-2</v>
      </c>
      <c r="G256" s="3">
        <f t="shared" si="242"/>
        <v>4.558861375636767E-2</v>
      </c>
      <c r="H256" s="3">
        <f t="shared" si="242"/>
        <v>4.558861375636767E-2</v>
      </c>
      <c r="I256" s="3">
        <f t="shared" si="242"/>
        <v>4.558861375636767E-2</v>
      </c>
      <c r="J256" s="3">
        <f t="shared" si="242"/>
        <v>4.5588613756367663E-2</v>
      </c>
      <c r="K256" s="3">
        <f t="shared" si="242"/>
        <v>4.5588613756367607E-2</v>
      </c>
      <c r="L256" s="3">
        <f t="shared" si="242"/>
        <v>4.5588613756367018E-2</v>
      </c>
      <c r="M256" s="3">
        <f t="shared" si="242"/>
        <v>4.5588613756361154E-2</v>
      </c>
      <c r="N256" s="3">
        <f t="shared" si="242"/>
        <v>4.5588613756302465E-2</v>
      </c>
      <c r="O256" s="3">
        <f t="shared" si="242"/>
        <v>4.5588613755715636E-2</v>
      </c>
      <c r="P256" s="3">
        <f t="shared" si="242"/>
        <v>4.5588613749847316E-2</v>
      </c>
      <c r="Q256" s="3">
        <f t="shared" si="242"/>
        <v>4.5588613691164161E-2</v>
      </c>
      <c r="R256" s="3">
        <f t="shared" si="242"/>
        <v>4.5588613104332563E-2</v>
      </c>
      <c r="S256" s="3">
        <f t="shared" si="242"/>
        <v>4.5588607236016987E-2</v>
      </c>
      <c r="T256" s="3">
        <f t="shared" si="242"/>
        <v>4.5588548552902813E-2</v>
      </c>
      <c r="U256" s="3">
        <f t="shared" si="242"/>
        <v>4.5587961725915678E-2</v>
      </c>
      <c r="V256" s="3">
        <f t="shared" si="242"/>
        <v>4.5582093871486269E-2</v>
      </c>
      <c r="W256" s="3">
        <f t="shared" si="242"/>
        <v>4.5523456851603736E-2</v>
      </c>
      <c r="X256" s="3">
        <f t="shared" si="242"/>
        <v>4.4941219384763934E-2</v>
      </c>
      <c r="Y256" s="3">
        <f t="shared" si="242"/>
        <v>3.9513094248179059E-2</v>
      </c>
      <c r="Z256" s="3">
        <f t="shared" si="242"/>
        <v>1.0906940024602652E-2</v>
      </c>
      <c r="AA256" s="3">
        <f t="shared" si="242"/>
        <v>2.8010558717763004E-8</v>
      </c>
      <c r="AB256" s="3">
        <f t="shared" si="242"/>
        <v>3.4955074958850675E-64</v>
      </c>
      <c r="AC256" s="3">
        <f t="shared" si="242"/>
        <v>0</v>
      </c>
      <c r="AD256" s="3">
        <f t="shared" si="242"/>
        <v>0</v>
      </c>
      <c r="AE256" s="3">
        <f t="shared" si="242"/>
        <v>0</v>
      </c>
      <c r="AF256" s="3">
        <f t="shared" si="242"/>
        <v>0</v>
      </c>
      <c r="AG256" s="3"/>
      <c r="AH256" s="3"/>
    </row>
    <row r="257" spans="2:34" x14ac:dyDescent="0.25">
      <c r="B257" s="3">
        <f t="shared" ref="B257:AF257" si="243">$C26*EXP(-B$246/$A26/EXP(-$E$126))</f>
        <v>5.454765248808658E-2</v>
      </c>
      <c r="C257" s="3">
        <f t="shared" si="243"/>
        <v>5.454765248808658E-2</v>
      </c>
      <c r="D257" s="3">
        <f t="shared" si="243"/>
        <v>5.454765248808658E-2</v>
      </c>
      <c r="E257" s="3">
        <f t="shared" si="243"/>
        <v>5.454765248808658E-2</v>
      </c>
      <c r="F257" s="3">
        <f t="shared" si="243"/>
        <v>5.454765248808658E-2</v>
      </c>
      <c r="G257" s="3">
        <f t="shared" si="243"/>
        <v>5.454765248808658E-2</v>
      </c>
      <c r="H257" s="3">
        <f t="shared" si="243"/>
        <v>5.454765248808658E-2</v>
      </c>
      <c r="I257" s="3">
        <f t="shared" si="243"/>
        <v>5.454765248808658E-2</v>
      </c>
      <c r="J257" s="3">
        <f t="shared" si="243"/>
        <v>5.454765248808658E-2</v>
      </c>
      <c r="K257" s="3">
        <f t="shared" si="243"/>
        <v>5.4547652488086573E-2</v>
      </c>
      <c r="L257" s="3">
        <f t="shared" si="243"/>
        <v>5.4547652488086511E-2</v>
      </c>
      <c r="M257" s="3">
        <f t="shared" si="243"/>
        <v>5.4547652488085879E-2</v>
      </c>
      <c r="N257" s="3">
        <f t="shared" si="243"/>
        <v>5.4547652488079544E-2</v>
      </c>
      <c r="O257" s="3">
        <f t="shared" si="243"/>
        <v>5.4547652488016206E-2</v>
      </c>
      <c r="P257" s="3">
        <f t="shared" si="243"/>
        <v>5.4547652487382803E-2</v>
      </c>
      <c r="Q257" s="3">
        <f t="shared" si="243"/>
        <v>5.4547652481048772E-2</v>
      </c>
      <c r="R257" s="3">
        <f t="shared" si="243"/>
        <v>5.4547652417708523E-2</v>
      </c>
      <c r="S257" s="3">
        <f t="shared" si="243"/>
        <v>5.4547651784306046E-2</v>
      </c>
      <c r="T257" s="3">
        <f t="shared" si="243"/>
        <v>5.454764545028163E-2</v>
      </c>
      <c r="U257" s="3">
        <f t="shared" si="243"/>
        <v>5.4547582110077937E-2</v>
      </c>
      <c r="V257" s="3">
        <f t="shared" si="243"/>
        <v>5.4546948712086242E-2</v>
      </c>
      <c r="W257" s="3">
        <f t="shared" si="243"/>
        <v>5.4540615136675734E-2</v>
      </c>
      <c r="X257" s="3">
        <f t="shared" si="243"/>
        <v>5.4477319815838851E-2</v>
      </c>
      <c r="Y257" s="3">
        <f t="shared" si="243"/>
        <v>5.3848392616345879E-2</v>
      </c>
      <c r="Z257" s="3">
        <f t="shared" si="243"/>
        <v>4.7944948372344295E-2</v>
      </c>
      <c r="AA257" s="3">
        <f t="shared" si="243"/>
        <v>1.5012187076058482E-2</v>
      </c>
      <c r="AB257" s="3">
        <f t="shared" si="243"/>
        <v>1.359737554669121E-7</v>
      </c>
      <c r="AC257" s="3">
        <f t="shared" si="243"/>
        <v>5.0531982825648264E-58</v>
      </c>
      <c r="AD257" s="3">
        <f t="shared" si="243"/>
        <v>0</v>
      </c>
      <c r="AE257" s="3">
        <f t="shared" si="243"/>
        <v>0</v>
      </c>
      <c r="AF257" s="3">
        <f t="shared" si="243"/>
        <v>0</v>
      </c>
      <c r="AG257" s="3"/>
      <c r="AH257" s="3"/>
    </row>
    <row r="258" spans="2:34" x14ac:dyDescent="0.25">
      <c r="B258" s="3">
        <f t="shared" ref="B258:AF258" si="244">$C27*EXP(-B$246/$A27/EXP(-$E$126))</f>
        <v>6.3488731508467941E-2</v>
      </c>
      <c r="C258" s="3">
        <f t="shared" si="244"/>
        <v>6.3488731508467941E-2</v>
      </c>
      <c r="D258" s="3">
        <f t="shared" si="244"/>
        <v>6.3488731508467941E-2</v>
      </c>
      <c r="E258" s="3">
        <f t="shared" si="244"/>
        <v>6.3488731508467941E-2</v>
      </c>
      <c r="F258" s="3">
        <f t="shared" si="244"/>
        <v>6.3488731508467941E-2</v>
      </c>
      <c r="G258" s="3">
        <f t="shared" si="244"/>
        <v>6.3488731508467941E-2</v>
      </c>
      <c r="H258" s="3">
        <f t="shared" si="244"/>
        <v>6.3488731508467941E-2</v>
      </c>
      <c r="I258" s="3">
        <f t="shared" si="244"/>
        <v>6.3488731508467941E-2</v>
      </c>
      <c r="J258" s="3">
        <f t="shared" si="244"/>
        <v>6.3488731508467941E-2</v>
      </c>
      <c r="K258" s="3">
        <f t="shared" si="244"/>
        <v>6.3488731508467941E-2</v>
      </c>
      <c r="L258" s="3">
        <f t="shared" si="244"/>
        <v>6.3488731508467927E-2</v>
      </c>
      <c r="M258" s="3">
        <f t="shared" si="244"/>
        <v>6.3488731508467872E-2</v>
      </c>
      <c r="N258" s="3">
        <f t="shared" si="244"/>
        <v>6.3488731508467205E-2</v>
      </c>
      <c r="O258" s="3">
        <f t="shared" si="244"/>
        <v>6.3488731508460558E-2</v>
      </c>
      <c r="P258" s="3">
        <f t="shared" si="244"/>
        <v>6.3488731508394056E-2</v>
      </c>
      <c r="Q258" s="3">
        <f t="shared" si="244"/>
        <v>6.3488731507729004E-2</v>
      </c>
      <c r="R258" s="3">
        <f t="shared" si="244"/>
        <v>6.3488731501078616E-2</v>
      </c>
      <c r="S258" s="3">
        <f t="shared" si="244"/>
        <v>6.3488731434574744E-2</v>
      </c>
      <c r="T258" s="3">
        <f t="shared" si="244"/>
        <v>6.3488730769536025E-2</v>
      </c>
      <c r="U258" s="3">
        <f t="shared" si="244"/>
        <v>6.3488724119149118E-2</v>
      </c>
      <c r="V258" s="3">
        <f t="shared" si="244"/>
        <v>6.3488657615318439E-2</v>
      </c>
      <c r="W258" s="3">
        <f t="shared" si="244"/>
        <v>6.348799258084302E-2</v>
      </c>
      <c r="X258" s="3">
        <f t="shared" si="244"/>
        <v>6.3481342619214537E-2</v>
      </c>
      <c r="Y258" s="3">
        <f t="shared" si="244"/>
        <v>6.3414881300648915E-2</v>
      </c>
      <c r="Z258" s="3">
        <f t="shared" si="244"/>
        <v>6.2754083085306139E-2</v>
      </c>
      <c r="AA258" s="3">
        <f t="shared" si="244"/>
        <v>5.6513217424432674E-2</v>
      </c>
      <c r="AB258" s="3">
        <f t="shared" si="244"/>
        <v>1.9825789154663084E-2</v>
      </c>
      <c r="AC258" s="3">
        <f t="shared" si="244"/>
        <v>5.5980269051894314E-7</v>
      </c>
      <c r="AD258" s="3">
        <f t="shared" si="244"/>
        <v>1.8033497498603896E-52</v>
      </c>
      <c r="AE258" s="3">
        <f t="shared" si="244"/>
        <v>0</v>
      </c>
      <c r="AF258" s="3">
        <f t="shared" si="244"/>
        <v>0</v>
      </c>
      <c r="AG258" s="3"/>
      <c r="AH258" s="3"/>
    </row>
    <row r="259" spans="2:34" x14ac:dyDescent="0.25">
      <c r="B259" s="3">
        <f t="shared" ref="B259:AF259" si="245">$C28*EXP(-B$246/$A28/EXP(-$E$126))</f>
        <v>6.4437498796687767E-2</v>
      </c>
      <c r="C259" s="3">
        <f t="shared" si="245"/>
        <v>6.4437498796687767E-2</v>
      </c>
      <c r="D259" s="3">
        <f t="shared" si="245"/>
        <v>6.4437498796687767E-2</v>
      </c>
      <c r="E259" s="3">
        <f t="shared" si="245"/>
        <v>6.4437498796687767E-2</v>
      </c>
      <c r="F259" s="3">
        <f t="shared" si="245"/>
        <v>6.4437498796687767E-2</v>
      </c>
      <c r="G259" s="3">
        <f t="shared" si="245"/>
        <v>6.4437498796687767E-2</v>
      </c>
      <c r="H259" s="3">
        <f t="shared" si="245"/>
        <v>6.4437498796687767E-2</v>
      </c>
      <c r="I259" s="3">
        <f t="shared" si="245"/>
        <v>6.4437498796687767E-2</v>
      </c>
      <c r="J259" s="3">
        <f t="shared" si="245"/>
        <v>6.4437498796687767E-2</v>
      </c>
      <c r="K259" s="3">
        <f t="shared" si="245"/>
        <v>6.4437498796687767E-2</v>
      </c>
      <c r="L259" s="3">
        <f t="shared" si="245"/>
        <v>6.4437498796687767E-2</v>
      </c>
      <c r="M259" s="3">
        <f t="shared" si="245"/>
        <v>6.4437498796687753E-2</v>
      </c>
      <c r="N259" s="3">
        <f t="shared" si="245"/>
        <v>6.4437498796687698E-2</v>
      </c>
      <c r="O259" s="3">
        <f t="shared" si="245"/>
        <v>6.4437498796687087E-2</v>
      </c>
      <c r="P259" s="3">
        <f t="shared" si="245"/>
        <v>6.4437498796680995E-2</v>
      </c>
      <c r="Q259" s="3">
        <f t="shared" si="245"/>
        <v>6.4437498796620113E-2</v>
      </c>
      <c r="R259" s="3">
        <f t="shared" si="245"/>
        <v>6.4437498796011225E-2</v>
      </c>
      <c r="S259" s="3">
        <f t="shared" si="245"/>
        <v>6.4437498789922373E-2</v>
      </c>
      <c r="T259" s="3">
        <f t="shared" si="245"/>
        <v>6.4437498729033829E-2</v>
      </c>
      <c r="U259" s="3">
        <f t="shared" si="245"/>
        <v>6.4437498120148443E-2</v>
      </c>
      <c r="V259" s="3">
        <f t="shared" si="245"/>
        <v>6.4437492031294882E-2</v>
      </c>
      <c r="W259" s="3">
        <f t="shared" si="245"/>
        <v>6.4437431142790783E-2</v>
      </c>
      <c r="X259" s="3">
        <f t="shared" si="245"/>
        <v>6.4436822260914337E-2</v>
      </c>
      <c r="Y259" s="3">
        <f t="shared" si="245"/>
        <v>6.44307337585803E-2</v>
      </c>
      <c r="Z259" s="3">
        <f t="shared" si="245"/>
        <v>6.436988036722352E-2</v>
      </c>
      <c r="AA259" s="3">
        <f t="shared" si="245"/>
        <v>6.3764498620684867E-2</v>
      </c>
      <c r="AB259" s="3">
        <f t="shared" si="245"/>
        <v>5.8015150231055926E-2</v>
      </c>
      <c r="AC259" s="3">
        <f t="shared" si="245"/>
        <v>2.2551017463040141E-2</v>
      </c>
      <c r="AD259" s="3">
        <f t="shared" si="245"/>
        <v>1.7758788790023452E-6</v>
      </c>
      <c r="AE259" s="3">
        <f t="shared" si="245"/>
        <v>1.6288659701120786E-47</v>
      </c>
      <c r="AF259" s="3">
        <f t="shared" si="245"/>
        <v>0</v>
      </c>
      <c r="AG259" s="3"/>
      <c r="AH259" s="3"/>
    </row>
    <row r="260" spans="2:34" x14ac:dyDescent="0.25">
      <c r="B260" s="3">
        <f t="shared" ref="B260:AF260" si="246">$C29*EXP(-B$246/$A29/EXP(-$E$126))</f>
        <v>5.0984711138190433E-2</v>
      </c>
      <c r="C260" s="3">
        <f t="shared" si="246"/>
        <v>5.0984711138190433E-2</v>
      </c>
      <c r="D260" s="3">
        <f t="shared" si="246"/>
        <v>5.0984711138190433E-2</v>
      </c>
      <c r="E260" s="3">
        <f t="shared" si="246"/>
        <v>5.0984711138190433E-2</v>
      </c>
      <c r="F260" s="3">
        <f t="shared" si="246"/>
        <v>5.0984711138190433E-2</v>
      </c>
      <c r="G260" s="3">
        <f t="shared" si="246"/>
        <v>5.0984711138190433E-2</v>
      </c>
      <c r="H260" s="3">
        <f t="shared" si="246"/>
        <v>5.0984711138190433E-2</v>
      </c>
      <c r="I260" s="3">
        <f t="shared" si="246"/>
        <v>5.0984711138190433E-2</v>
      </c>
      <c r="J260" s="3">
        <f t="shared" si="246"/>
        <v>5.0984711138190433E-2</v>
      </c>
      <c r="K260" s="3">
        <f t="shared" si="246"/>
        <v>5.0984711138190433E-2</v>
      </c>
      <c r="L260" s="3">
        <f t="shared" si="246"/>
        <v>5.0984711138190433E-2</v>
      </c>
      <c r="M260" s="3">
        <f t="shared" si="246"/>
        <v>5.0984711138190433E-2</v>
      </c>
      <c r="N260" s="3">
        <f t="shared" si="246"/>
        <v>5.0984711138190426E-2</v>
      </c>
      <c r="O260" s="3">
        <f t="shared" si="246"/>
        <v>5.0984711138190385E-2</v>
      </c>
      <c r="P260" s="3">
        <f t="shared" si="246"/>
        <v>5.0984711138189955E-2</v>
      </c>
      <c r="Q260" s="3">
        <f t="shared" si="246"/>
        <v>5.0984711138185604E-2</v>
      </c>
      <c r="R260" s="3">
        <f t="shared" si="246"/>
        <v>5.0984711138142146E-2</v>
      </c>
      <c r="S260" s="3">
        <f t="shared" si="246"/>
        <v>5.0984711137707556E-2</v>
      </c>
      <c r="T260" s="3">
        <f t="shared" si="246"/>
        <v>5.0984711133361615E-2</v>
      </c>
      <c r="U260" s="3">
        <f t="shared" si="246"/>
        <v>5.0984711089902247E-2</v>
      </c>
      <c r="V260" s="3">
        <f t="shared" si="246"/>
        <v>5.0984710655308532E-2</v>
      </c>
      <c r="W260" s="3">
        <f t="shared" si="246"/>
        <v>5.0984706309371679E-2</v>
      </c>
      <c r="X260" s="3">
        <f t="shared" si="246"/>
        <v>5.0984662850023482E-2</v>
      </c>
      <c r="Y260" s="3">
        <f t="shared" si="246"/>
        <v>5.0984228258579012E-2</v>
      </c>
      <c r="Z260" s="3">
        <f t="shared" si="246"/>
        <v>5.0979882547873299E-2</v>
      </c>
      <c r="AA260" s="3">
        <f t="shared" si="246"/>
        <v>5.0936445808301714E-2</v>
      </c>
      <c r="AB260" s="3">
        <f t="shared" si="246"/>
        <v>5.0504108752092471E-2</v>
      </c>
      <c r="AC260" s="3">
        <f t="shared" si="246"/>
        <v>4.6377512084647562E-2</v>
      </c>
      <c r="AD260" s="3">
        <f t="shared" si="246"/>
        <v>1.9774923169780259E-2</v>
      </c>
      <c r="AE260" s="3">
        <f t="shared" si="246"/>
        <v>3.9281528695946764E-6</v>
      </c>
      <c r="AF260" s="3">
        <f t="shared" si="246"/>
        <v>3.7577175966126536E-43</v>
      </c>
      <c r="AG260" s="3"/>
      <c r="AH260" s="3"/>
    </row>
    <row r="261" spans="2:34" x14ac:dyDescent="0.25">
      <c r="B261" s="3">
        <f t="shared" ref="B261:AF261" si="247">$C30*EXP(-B$246/$A30/EXP(-$E$126))</f>
        <v>3.1725580310806592E-2</v>
      </c>
      <c r="C261" s="3">
        <f t="shared" si="247"/>
        <v>3.1725580310806592E-2</v>
      </c>
      <c r="D261" s="3">
        <f t="shared" si="247"/>
        <v>3.1725580310806592E-2</v>
      </c>
      <c r="E261" s="3">
        <f t="shared" si="247"/>
        <v>3.1725580310806592E-2</v>
      </c>
      <c r="F261" s="3">
        <f t="shared" si="247"/>
        <v>3.1725580310806592E-2</v>
      </c>
      <c r="G261" s="3">
        <f t="shared" si="247"/>
        <v>3.1725580310806592E-2</v>
      </c>
      <c r="H261" s="3">
        <f t="shared" si="247"/>
        <v>3.1725580310806592E-2</v>
      </c>
      <c r="I261" s="3">
        <f t="shared" si="247"/>
        <v>3.1725580310806592E-2</v>
      </c>
      <c r="J261" s="3">
        <f t="shared" si="247"/>
        <v>3.1725580310806592E-2</v>
      </c>
      <c r="K261" s="3">
        <f t="shared" si="247"/>
        <v>3.1725580310806592E-2</v>
      </c>
      <c r="L261" s="3">
        <f t="shared" si="247"/>
        <v>3.1725580310806592E-2</v>
      </c>
      <c r="M261" s="3">
        <f t="shared" si="247"/>
        <v>3.1725580310806592E-2</v>
      </c>
      <c r="N261" s="3">
        <f t="shared" si="247"/>
        <v>3.1725580310806592E-2</v>
      </c>
      <c r="O261" s="3">
        <f t="shared" si="247"/>
        <v>3.1725580310806585E-2</v>
      </c>
      <c r="P261" s="3">
        <f t="shared" si="247"/>
        <v>3.1725580310806564E-2</v>
      </c>
      <c r="Q261" s="3">
        <f t="shared" si="247"/>
        <v>3.1725580310806321E-2</v>
      </c>
      <c r="R261" s="3">
        <f t="shared" si="247"/>
        <v>3.1725580310803879E-2</v>
      </c>
      <c r="S261" s="3">
        <f t="shared" si="247"/>
        <v>3.1725580310779482E-2</v>
      </c>
      <c r="T261" s="3">
        <f t="shared" si="247"/>
        <v>3.1725580310535538E-2</v>
      </c>
      <c r="U261" s="3">
        <f t="shared" si="247"/>
        <v>3.1725580308096045E-2</v>
      </c>
      <c r="V261" s="3">
        <f t="shared" si="247"/>
        <v>3.1725580283701107E-2</v>
      </c>
      <c r="W261" s="3">
        <f t="shared" si="247"/>
        <v>3.1725580039751775E-2</v>
      </c>
      <c r="X261" s="3">
        <f t="shared" si="247"/>
        <v>3.1725577600258549E-2</v>
      </c>
      <c r="Y261" s="3">
        <f t="shared" si="247"/>
        <v>3.1725553205336585E-2</v>
      </c>
      <c r="Z261" s="3">
        <f t="shared" si="247"/>
        <v>3.1725309257148629E-2</v>
      </c>
      <c r="AA261" s="3">
        <f t="shared" si="247"/>
        <v>3.1722869878435568E-2</v>
      </c>
      <c r="AB261" s="3">
        <f t="shared" si="247"/>
        <v>3.1698486405019523E-2</v>
      </c>
      <c r="AC261" s="3">
        <f t="shared" si="247"/>
        <v>3.1455680114027322E-2</v>
      </c>
      <c r="AD261" s="3">
        <f t="shared" si="247"/>
        <v>2.912759474582189E-2</v>
      </c>
      <c r="AE261" s="3">
        <f t="shared" si="247"/>
        <v>1.3500817389087783E-2</v>
      </c>
      <c r="AF261" s="3">
        <f t="shared" si="247"/>
        <v>6.1789468258479081E-6</v>
      </c>
      <c r="AG261" s="3"/>
      <c r="AH261" s="3"/>
    </row>
    <row r="262" spans="2:34" x14ac:dyDescent="0.25">
      <c r="B262" s="3">
        <f t="shared" ref="B262:AF262" si="248">$C31*EXP(-B$246/$A31/EXP(-$E$126))</f>
        <v>1.5443830992985543E-2</v>
      </c>
      <c r="C262" s="3">
        <f t="shared" si="248"/>
        <v>1.5443830992985543E-2</v>
      </c>
      <c r="D262" s="3">
        <f t="shared" si="248"/>
        <v>1.5443830992985543E-2</v>
      </c>
      <c r="E262" s="3">
        <f t="shared" si="248"/>
        <v>1.5443830992985543E-2</v>
      </c>
      <c r="F262" s="3">
        <f t="shared" si="248"/>
        <v>1.5443830992985543E-2</v>
      </c>
      <c r="G262" s="3">
        <f t="shared" si="248"/>
        <v>1.5443830992985543E-2</v>
      </c>
      <c r="H262" s="3">
        <f t="shared" si="248"/>
        <v>1.5443830992985543E-2</v>
      </c>
      <c r="I262" s="3">
        <f t="shared" si="248"/>
        <v>1.5443830992985543E-2</v>
      </c>
      <c r="J262" s="3">
        <f t="shared" si="248"/>
        <v>1.5443830992985543E-2</v>
      </c>
      <c r="K262" s="3">
        <f t="shared" si="248"/>
        <v>1.5443830992985543E-2</v>
      </c>
      <c r="L262" s="3">
        <f t="shared" si="248"/>
        <v>1.5443830992985543E-2</v>
      </c>
      <c r="M262" s="3">
        <f t="shared" si="248"/>
        <v>1.5443830992985543E-2</v>
      </c>
      <c r="N262" s="3">
        <f t="shared" si="248"/>
        <v>1.5443830992985543E-2</v>
      </c>
      <c r="O262" s="3">
        <f t="shared" si="248"/>
        <v>1.5443830992985543E-2</v>
      </c>
      <c r="P262" s="3">
        <f t="shared" si="248"/>
        <v>1.5443830992985541E-2</v>
      </c>
      <c r="Q262" s="3">
        <f t="shared" si="248"/>
        <v>1.5443830992985531E-2</v>
      </c>
      <c r="R262" s="3">
        <f t="shared" si="248"/>
        <v>1.5443830992985425E-2</v>
      </c>
      <c r="S262" s="3">
        <f t="shared" si="248"/>
        <v>1.5443830992984353E-2</v>
      </c>
      <c r="T262" s="3">
        <f t="shared" si="248"/>
        <v>1.5443830992973639E-2</v>
      </c>
      <c r="U262" s="3">
        <f t="shared" si="248"/>
        <v>1.5443830992866515E-2</v>
      </c>
      <c r="V262" s="3">
        <f t="shared" si="248"/>
        <v>1.5443830991795263E-2</v>
      </c>
      <c r="W262" s="3">
        <f t="shared" si="248"/>
        <v>1.5443830981082741E-2</v>
      </c>
      <c r="X262" s="3">
        <f t="shared" si="248"/>
        <v>1.544383087395753E-2</v>
      </c>
      <c r="Y262" s="3">
        <f t="shared" si="248"/>
        <v>1.5443829802705457E-2</v>
      </c>
      <c r="Z262" s="3">
        <f t="shared" si="248"/>
        <v>1.5443819090188812E-2</v>
      </c>
      <c r="AA262" s="3">
        <f t="shared" si="248"/>
        <v>1.5443711965431055E-2</v>
      </c>
      <c r="AB262" s="3">
        <f t="shared" si="248"/>
        <v>1.5442640758721033E-2</v>
      </c>
      <c r="AC262" s="3">
        <f t="shared" si="248"/>
        <v>1.5431932777327599E-2</v>
      </c>
      <c r="AD262" s="3">
        <f t="shared" si="248"/>
        <v>1.5325260487426657E-2</v>
      </c>
      <c r="AE262" s="3">
        <f t="shared" si="248"/>
        <v>1.4298263211058987E-2</v>
      </c>
      <c r="AF262" s="3">
        <f t="shared" si="248"/>
        <v>7.1455804380179261E-3</v>
      </c>
      <c r="AG262" s="3"/>
      <c r="AH262" s="3"/>
    </row>
    <row r="263" spans="2:34" x14ac:dyDescent="0.25">
      <c r="B263" s="3">
        <f t="shared" ref="B263:AF263" si="249">$C32*EXP(-B$246/$A32/EXP(-$E$126))</f>
        <v>7.0696001208784189E-3</v>
      </c>
      <c r="C263" s="3">
        <f t="shared" si="249"/>
        <v>7.0696001208784189E-3</v>
      </c>
      <c r="D263" s="3">
        <f t="shared" si="249"/>
        <v>7.0696001208784189E-3</v>
      </c>
      <c r="E263" s="3">
        <f t="shared" si="249"/>
        <v>7.0696001208784189E-3</v>
      </c>
      <c r="F263" s="3">
        <f t="shared" si="249"/>
        <v>7.0696001208784189E-3</v>
      </c>
      <c r="G263" s="3">
        <f t="shared" si="249"/>
        <v>7.0696001208784189E-3</v>
      </c>
      <c r="H263" s="3">
        <f t="shared" si="249"/>
        <v>7.0696001208784189E-3</v>
      </c>
      <c r="I263" s="3">
        <f t="shared" si="249"/>
        <v>7.0696001208784189E-3</v>
      </c>
      <c r="J263" s="3">
        <f t="shared" si="249"/>
        <v>7.0696001208784189E-3</v>
      </c>
      <c r="K263" s="3">
        <f t="shared" si="249"/>
        <v>7.0696001208784189E-3</v>
      </c>
      <c r="L263" s="3">
        <f t="shared" si="249"/>
        <v>7.0696001208784189E-3</v>
      </c>
      <c r="M263" s="3">
        <f t="shared" si="249"/>
        <v>7.0696001208784189E-3</v>
      </c>
      <c r="N263" s="3">
        <f t="shared" si="249"/>
        <v>7.0696001208784189E-3</v>
      </c>
      <c r="O263" s="3">
        <f t="shared" si="249"/>
        <v>7.0696001208784189E-3</v>
      </c>
      <c r="P263" s="3">
        <f t="shared" si="249"/>
        <v>7.0696001208784189E-3</v>
      </c>
      <c r="Q263" s="3">
        <f t="shared" si="249"/>
        <v>7.0696001208784181E-3</v>
      </c>
      <c r="R263" s="3">
        <f t="shared" si="249"/>
        <v>7.0696001208784146E-3</v>
      </c>
      <c r="S263" s="3">
        <f t="shared" si="249"/>
        <v>7.0696001208783695E-3</v>
      </c>
      <c r="T263" s="3">
        <f t="shared" si="249"/>
        <v>7.069600120877928E-3</v>
      </c>
      <c r="U263" s="3">
        <f t="shared" si="249"/>
        <v>7.0696001208735036E-3</v>
      </c>
      <c r="V263" s="3">
        <f t="shared" si="249"/>
        <v>7.0696001208292673E-3</v>
      </c>
      <c r="W263" s="3">
        <f t="shared" si="249"/>
        <v>7.069600120386905E-3</v>
      </c>
      <c r="X263" s="3">
        <f t="shared" si="249"/>
        <v>7.0696001159632829E-3</v>
      </c>
      <c r="Y263" s="3">
        <f t="shared" si="249"/>
        <v>7.0696000717270537E-3</v>
      </c>
      <c r="Z263" s="3">
        <f t="shared" si="249"/>
        <v>7.0695996293647844E-3</v>
      </c>
      <c r="AA263" s="3">
        <f t="shared" si="249"/>
        <v>7.0695952057436154E-3</v>
      </c>
      <c r="AB263" s="3">
        <f t="shared" si="249"/>
        <v>7.0695509696841593E-3</v>
      </c>
      <c r="AC263" s="3">
        <f t="shared" si="249"/>
        <v>7.0691086243130407E-3</v>
      </c>
      <c r="AD263" s="3">
        <f t="shared" si="249"/>
        <v>7.0646866925936557E-3</v>
      </c>
      <c r="AE263" s="3">
        <f t="shared" si="249"/>
        <v>7.0206192228006387E-3</v>
      </c>
      <c r="AF263" s="3">
        <f t="shared" si="249"/>
        <v>6.5947835173245867E-3</v>
      </c>
      <c r="AG263" s="3"/>
      <c r="AH263" s="3"/>
    </row>
    <row r="264" spans="2:34" x14ac:dyDescent="0.25">
      <c r="B264" s="3">
        <f t="shared" ref="B264:AF264" si="250">$C33*EXP(-B$246/$A33/EXP(-$E$126))</f>
        <v>3.5043206729719373E-3</v>
      </c>
      <c r="C264" s="3">
        <f t="shared" si="250"/>
        <v>3.5043206729719373E-3</v>
      </c>
      <c r="D264" s="3">
        <f t="shared" si="250"/>
        <v>3.5043206729719373E-3</v>
      </c>
      <c r="E264" s="3">
        <f t="shared" si="250"/>
        <v>3.5043206729719373E-3</v>
      </c>
      <c r="F264" s="3">
        <f t="shared" si="250"/>
        <v>3.5043206729719373E-3</v>
      </c>
      <c r="G264" s="3">
        <f t="shared" si="250"/>
        <v>3.5043206729719373E-3</v>
      </c>
      <c r="H264" s="3">
        <f t="shared" si="250"/>
        <v>3.5043206729719373E-3</v>
      </c>
      <c r="I264" s="3">
        <f t="shared" si="250"/>
        <v>3.5043206729719373E-3</v>
      </c>
      <c r="J264" s="3">
        <f t="shared" si="250"/>
        <v>3.5043206729719373E-3</v>
      </c>
      <c r="K264" s="3">
        <f t="shared" si="250"/>
        <v>3.5043206729719373E-3</v>
      </c>
      <c r="L264" s="3">
        <f t="shared" si="250"/>
        <v>3.5043206729719373E-3</v>
      </c>
      <c r="M264" s="3">
        <f t="shared" si="250"/>
        <v>3.5043206729719373E-3</v>
      </c>
      <c r="N264" s="3">
        <f t="shared" si="250"/>
        <v>3.5043206729719373E-3</v>
      </c>
      <c r="O264" s="3">
        <f t="shared" si="250"/>
        <v>3.5043206729719373E-3</v>
      </c>
      <c r="P264" s="3">
        <f t="shared" si="250"/>
        <v>3.5043206729719373E-3</v>
      </c>
      <c r="Q264" s="3">
        <f t="shared" si="250"/>
        <v>3.5043206729719373E-3</v>
      </c>
      <c r="R264" s="3">
        <f t="shared" si="250"/>
        <v>3.5043206729719369E-3</v>
      </c>
      <c r="S264" s="3">
        <f t="shared" si="250"/>
        <v>3.5043206729719351E-3</v>
      </c>
      <c r="T264" s="3">
        <f t="shared" si="250"/>
        <v>3.5043206729719156E-3</v>
      </c>
      <c r="U264" s="3">
        <f t="shared" si="250"/>
        <v>3.5043206729717174E-3</v>
      </c>
      <c r="V264" s="3">
        <f t="shared" si="250"/>
        <v>3.5043206729697394E-3</v>
      </c>
      <c r="W264" s="3">
        <f t="shared" si="250"/>
        <v>3.5043206729499592E-3</v>
      </c>
      <c r="X264" s="3">
        <f t="shared" si="250"/>
        <v>3.5043206727521556E-3</v>
      </c>
      <c r="Y264" s="3">
        <f t="shared" si="250"/>
        <v>3.504320670774122E-3</v>
      </c>
      <c r="Z264" s="3">
        <f t="shared" si="250"/>
        <v>3.5043206509937858E-3</v>
      </c>
      <c r="AA264" s="3">
        <f t="shared" si="250"/>
        <v>3.5043204531904275E-3</v>
      </c>
      <c r="AB264" s="3">
        <f t="shared" si="250"/>
        <v>3.504318475157457E-3</v>
      </c>
      <c r="AC264" s="3">
        <f t="shared" si="250"/>
        <v>3.5042986948891643E-3</v>
      </c>
      <c r="AD264" s="3">
        <f t="shared" si="250"/>
        <v>3.5041008983469134E-3</v>
      </c>
      <c r="AE264" s="3">
        <f t="shared" si="250"/>
        <v>3.5021235468636895E-3</v>
      </c>
      <c r="AF264" s="3">
        <f t="shared" si="250"/>
        <v>3.4824112979331356E-3</v>
      </c>
      <c r="AG264" s="3"/>
      <c r="AH264" s="3"/>
    </row>
    <row r="265" spans="2:34" x14ac:dyDescent="0.25">
      <c r="B265" s="3">
        <f t="shared" ref="B265:AF265" si="251">$C34*EXP(-B$246/$A34/EXP(-$E$126))</f>
        <v>2.9646797109614421E-3</v>
      </c>
      <c r="C265" s="3">
        <f t="shared" si="251"/>
        <v>2.9646797109614421E-3</v>
      </c>
      <c r="D265" s="3">
        <f t="shared" si="251"/>
        <v>2.9646797109614421E-3</v>
      </c>
      <c r="E265" s="3">
        <f t="shared" si="251"/>
        <v>2.9646797109614421E-3</v>
      </c>
      <c r="F265" s="3">
        <f t="shared" si="251"/>
        <v>2.9646797109614421E-3</v>
      </c>
      <c r="G265" s="3">
        <f t="shared" si="251"/>
        <v>2.9646797109614421E-3</v>
      </c>
      <c r="H265" s="3">
        <f t="shared" si="251"/>
        <v>2.9646797109614421E-3</v>
      </c>
      <c r="I265" s="3">
        <f t="shared" si="251"/>
        <v>2.9646797109614421E-3</v>
      </c>
      <c r="J265" s="3">
        <f t="shared" si="251"/>
        <v>2.9646797109614421E-3</v>
      </c>
      <c r="K265" s="3">
        <f t="shared" si="251"/>
        <v>2.9646797109614421E-3</v>
      </c>
      <c r="L265" s="3">
        <f t="shared" si="251"/>
        <v>2.9646797109614421E-3</v>
      </c>
      <c r="M265" s="3">
        <f t="shared" si="251"/>
        <v>2.9646797109614421E-3</v>
      </c>
      <c r="N265" s="3">
        <f t="shared" si="251"/>
        <v>2.9646797109614421E-3</v>
      </c>
      <c r="O265" s="3">
        <f t="shared" si="251"/>
        <v>2.9646797109614421E-3</v>
      </c>
      <c r="P265" s="3">
        <f t="shared" si="251"/>
        <v>2.9646797109614421E-3</v>
      </c>
      <c r="Q265" s="3">
        <f t="shared" si="251"/>
        <v>2.9646797109614421E-3</v>
      </c>
      <c r="R265" s="3">
        <f t="shared" si="251"/>
        <v>2.9646797109614421E-3</v>
      </c>
      <c r="S265" s="3">
        <f t="shared" si="251"/>
        <v>2.9646797109614416E-3</v>
      </c>
      <c r="T265" s="3">
        <f t="shared" si="251"/>
        <v>2.9646797109614403E-3</v>
      </c>
      <c r="U265" s="3">
        <f t="shared" si="251"/>
        <v>2.9646797109614252E-3</v>
      </c>
      <c r="V265" s="3">
        <f t="shared" si="251"/>
        <v>2.9646797109612742E-3</v>
      </c>
      <c r="W265" s="3">
        <f t="shared" si="251"/>
        <v>2.9646797109597646E-3</v>
      </c>
      <c r="X265" s="3">
        <f t="shared" si="251"/>
        <v>2.964679710944669E-3</v>
      </c>
      <c r="Y265" s="3">
        <f t="shared" si="251"/>
        <v>2.9646797107937117E-3</v>
      </c>
      <c r="Z265" s="3">
        <f t="shared" si="251"/>
        <v>2.9646797092841384E-3</v>
      </c>
      <c r="AA265" s="3">
        <f t="shared" si="251"/>
        <v>2.9646796941884056E-3</v>
      </c>
      <c r="AB265" s="3">
        <f t="shared" si="251"/>
        <v>2.9646795432310795E-3</v>
      </c>
      <c r="AC265" s="3">
        <f t="shared" si="251"/>
        <v>2.9646780336582434E-3</v>
      </c>
      <c r="AD265" s="3">
        <f t="shared" si="251"/>
        <v>2.9646629379721581E-3</v>
      </c>
      <c r="AE265" s="3">
        <f t="shared" si="251"/>
        <v>2.9645119853388109E-3</v>
      </c>
      <c r="AF265" s="3">
        <f t="shared" si="251"/>
        <v>2.9630028816763038E-3</v>
      </c>
      <c r="AG265" s="3"/>
      <c r="AH265" s="3"/>
    </row>
    <row r="266" spans="2:34" x14ac:dyDescent="0.25">
      <c r="B266" s="3">
        <f t="shared" ref="B266:AF266" si="252">$C35*EXP(-B$246/$A35/EXP(-$E$126))</f>
        <v>0</v>
      </c>
      <c r="C266" s="3">
        <f t="shared" si="252"/>
        <v>0</v>
      </c>
      <c r="D266" s="3">
        <f t="shared" si="252"/>
        <v>0</v>
      </c>
      <c r="E266" s="3">
        <f t="shared" si="252"/>
        <v>0</v>
      </c>
      <c r="F266" s="3">
        <f t="shared" si="252"/>
        <v>0</v>
      </c>
      <c r="G266" s="3">
        <f t="shared" si="252"/>
        <v>0</v>
      </c>
      <c r="H266" s="3">
        <f t="shared" si="252"/>
        <v>0</v>
      </c>
      <c r="I266" s="3">
        <f t="shared" si="252"/>
        <v>0</v>
      </c>
      <c r="J266" s="3">
        <f t="shared" si="252"/>
        <v>0</v>
      </c>
      <c r="K266" s="3">
        <f t="shared" si="252"/>
        <v>0</v>
      </c>
      <c r="L266" s="3">
        <f t="shared" si="252"/>
        <v>0</v>
      </c>
      <c r="M266" s="3">
        <f t="shared" si="252"/>
        <v>0</v>
      </c>
      <c r="N266" s="3">
        <f t="shared" si="252"/>
        <v>0</v>
      </c>
      <c r="O266" s="3">
        <f t="shared" si="252"/>
        <v>0</v>
      </c>
      <c r="P266" s="3">
        <f t="shared" si="252"/>
        <v>0</v>
      </c>
      <c r="Q266" s="3">
        <f t="shared" si="252"/>
        <v>0</v>
      </c>
      <c r="R266" s="3">
        <f t="shared" si="252"/>
        <v>0</v>
      </c>
      <c r="S266" s="3">
        <f t="shared" si="252"/>
        <v>0</v>
      </c>
      <c r="T266" s="3">
        <f t="shared" si="252"/>
        <v>0</v>
      </c>
      <c r="U266" s="3">
        <f t="shared" si="252"/>
        <v>0</v>
      </c>
      <c r="V266" s="3">
        <f t="shared" si="252"/>
        <v>0</v>
      </c>
      <c r="W266" s="3">
        <f t="shared" si="252"/>
        <v>0</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3.098114236407119E-3</v>
      </c>
      <c r="C267" s="3">
        <f t="shared" si="253"/>
        <v>3.098114236407119E-3</v>
      </c>
      <c r="D267" s="3">
        <f t="shared" si="253"/>
        <v>3.098114236407119E-3</v>
      </c>
      <c r="E267" s="3">
        <f t="shared" si="253"/>
        <v>3.098114236407119E-3</v>
      </c>
      <c r="F267" s="3">
        <f t="shared" si="253"/>
        <v>3.098114236407119E-3</v>
      </c>
      <c r="G267" s="3">
        <f t="shared" si="253"/>
        <v>3.098114236407119E-3</v>
      </c>
      <c r="H267" s="3">
        <f t="shared" si="253"/>
        <v>3.098114236407119E-3</v>
      </c>
      <c r="I267" s="3">
        <f t="shared" si="253"/>
        <v>3.098114236407119E-3</v>
      </c>
      <c r="J267" s="3">
        <f t="shared" si="253"/>
        <v>3.098114236407119E-3</v>
      </c>
      <c r="K267" s="3">
        <f t="shared" si="253"/>
        <v>3.098114236407119E-3</v>
      </c>
      <c r="L267" s="3">
        <f t="shared" si="253"/>
        <v>3.098114236407119E-3</v>
      </c>
      <c r="M267" s="3">
        <f t="shared" si="253"/>
        <v>3.098114236407119E-3</v>
      </c>
      <c r="N267" s="3">
        <f t="shared" si="253"/>
        <v>3.098114236407119E-3</v>
      </c>
      <c r="O267" s="3">
        <f t="shared" si="253"/>
        <v>3.098114236407119E-3</v>
      </c>
      <c r="P267" s="3">
        <f t="shared" si="253"/>
        <v>3.098114236407119E-3</v>
      </c>
      <c r="Q267" s="3">
        <f t="shared" si="253"/>
        <v>3.098114236407119E-3</v>
      </c>
      <c r="R267" s="3">
        <f t="shared" si="253"/>
        <v>3.098114236407119E-3</v>
      </c>
      <c r="S267" s="3">
        <f t="shared" si="253"/>
        <v>3.098114236407119E-3</v>
      </c>
      <c r="T267" s="3">
        <f t="shared" si="253"/>
        <v>3.098114236407119E-3</v>
      </c>
      <c r="U267" s="3">
        <f t="shared" si="253"/>
        <v>3.098114236407119E-3</v>
      </c>
      <c r="V267" s="3">
        <f t="shared" si="253"/>
        <v>3.0981142364071177E-3</v>
      </c>
      <c r="W267" s="3">
        <f t="shared" si="253"/>
        <v>3.0981142364071047E-3</v>
      </c>
      <c r="X267" s="3">
        <f t="shared" si="253"/>
        <v>3.0981142364069764E-3</v>
      </c>
      <c r="Y267" s="3">
        <f t="shared" si="253"/>
        <v>3.0981142364056927E-3</v>
      </c>
      <c r="Z267" s="3">
        <f t="shared" si="253"/>
        <v>3.0981142363928557E-3</v>
      </c>
      <c r="AA267" s="3">
        <f t="shared" si="253"/>
        <v>3.0981142362644844E-3</v>
      </c>
      <c r="AB267" s="3">
        <f t="shared" si="253"/>
        <v>3.0981142349807743E-3</v>
      </c>
      <c r="AC267" s="3">
        <f t="shared" si="253"/>
        <v>3.098114222143671E-3</v>
      </c>
      <c r="AD267" s="3">
        <f t="shared" si="253"/>
        <v>3.0981140937726415E-3</v>
      </c>
      <c r="AE267" s="3">
        <f t="shared" si="253"/>
        <v>3.0981128100626377E-3</v>
      </c>
      <c r="AF267" s="3">
        <f t="shared" si="253"/>
        <v>3.0980999729918576E-3</v>
      </c>
      <c r="AG267" s="3"/>
      <c r="AH267" s="3"/>
    </row>
    <row r="268" spans="2:34" x14ac:dyDescent="0.25">
      <c r="B268" s="3">
        <f t="shared" ref="B268:AF268" si="254">$C37*EXP(-B$246/$A37/EXP(-$E$126))</f>
        <v>1.3450651080742435E-3</v>
      </c>
      <c r="C268" s="3">
        <f t="shared" si="254"/>
        <v>1.3450651080742435E-3</v>
      </c>
      <c r="D268" s="3">
        <f t="shared" si="254"/>
        <v>1.3450651080742435E-3</v>
      </c>
      <c r="E268" s="3">
        <f t="shared" si="254"/>
        <v>1.3450651080742435E-3</v>
      </c>
      <c r="F268" s="3">
        <f t="shared" si="254"/>
        <v>1.3450651080742435E-3</v>
      </c>
      <c r="G268" s="3">
        <f t="shared" si="254"/>
        <v>1.3450651080742435E-3</v>
      </c>
      <c r="H268" s="3">
        <f t="shared" si="254"/>
        <v>1.3450651080742435E-3</v>
      </c>
      <c r="I268" s="3">
        <f t="shared" si="254"/>
        <v>1.3450651080742435E-3</v>
      </c>
      <c r="J268" s="3">
        <f t="shared" si="254"/>
        <v>1.3450651080742435E-3</v>
      </c>
      <c r="K268" s="3">
        <f t="shared" si="254"/>
        <v>1.3450651080742435E-3</v>
      </c>
      <c r="L268" s="3">
        <f t="shared" si="254"/>
        <v>1.3450651080742435E-3</v>
      </c>
      <c r="M268" s="3">
        <f t="shared" si="254"/>
        <v>1.3450651080742435E-3</v>
      </c>
      <c r="N268" s="3">
        <f t="shared" si="254"/>
        <v>1.3450651080742435E-3</v>
      </c>
      <c r="O268" s="3">
        <f t="shared" si="254"/>
        <v>1.3450651080742435E-3</v>
      </c>
      <c r="P268" s="3">
        <f t="shared" si="254"/>
        <v>1.3450651080742435E-3</v>
      </c>
      <c r="Q268" s="3">
        <f t="shared" si="254"/>
        <v>1.3450651080742435E-3</v>
      </c>
      <c r="R268" s="3">
        <f t="shared" si="254"/>
        <v>1.3450651080742435E-3</v>
      </c>
      <c r="S268" s="3">
        <f t="shared" si="254"/>
        <v>1.3450651080742435E-3</v>
      </c>
      <c r="T268" s="3">
        <f t="shared" si="254"/>
        <v>1.3450651080742435E-3</v>
      </c>
      <c r="U268" s="3">
        <f t="shared" si="254"/>
        <v>1.3450651080742435E-3</v>
      </c>
      <c r="V268" s="3">
        <f t="shared" si="254"/>
        <v>1.3450651080742435E-3</v>
      </c>
      <c r="W268" s="3">
        <f t="shared" si="254"/>
        <v>1.3450651080742428E-3</v>
      </c>
      <c r="X268" s="3">
        <f t="shared" si="254"/>
        <v>1.345065108074238E-3</v>
      </c>
      <c r="Y268" s="3">
        <f t="shared" si="254"/>
        <v>1.3450651080741875E-3</v>
      </c>
      <c r="Z268" s="3">
        <f t="shared" si="254"/>
        <v>1.3450651080736849E-3</v>
      </c>
      <c r="AA268" s="3">
        <f t="shared" si="254"/>
        <v>1.3450651080686572E-3</v>
      </c>
      <c r="AB268" s="3">
        <f t="shared" si="254"/>
        <v>1.3450651080183815E-3</v>
      </c>
      <c r="AC268" s="3">
        <f t="shared" si="254"/>
        <v>1.3450651075156228E-3</v>
      </c>
      <c r="AD268" s="3">
        <f t="shared" si="254"/>
        <v>1.3450651024880368E-3</v>
      </c>
      <c r="AE268" s="3">
        <f t="shared" si="254"/>
        <v>1.3450650522121783E-3</v>
      </c>
      <c r="AF268" s="3">
        <f t="shared" si="254"/>
        <v>1.3450645494536956E-3</v>
      </c>
      <c r="AG268" s="3"/>
      <c r="AH268" s="3"/>
    </row>
    <row r="269" spans="2:34" x14ac:dyDescent="0.25">
      <c r="B269" s="3">
        <f t="shared" ref="B269:AF269" si="255">$C38*EXP(-B$246/$A38/EXP(-$E$126))</f>
        <v>1.5999872696703847E-4</v>
      </c>
      <c r="C269" s="3">
        <f t="shared" si="255"/>
        <v>1.5999872696703847E-4</v>
      </c>
      <c r="D269" s="3">
        <f t="shared" si="255"/>
        <v>1.5999872696703847E-4</v>
      </c>
      <c r="E269" s="3">
        <f t="shared" si="255"/>
        <v>1.5999872696703847E-4</v>
      </c>
      <c r="F269" s="3">
        <f t="shared" si="255"/>
        <v>1.5999872696703847E-4</v>
      </c>
      <c r="G269" s="3">
        <f t="shared" si="255"/>
        <v>1.5999872696703847E-4</v>
      </c>
      <c r="H269" s="3">
        <f t="shared" si="255"/>
        <v>1.5999872696703847E-4</v>
      </c>
      <c r="I269" s="3">
        <f t="shared" si="255"/>
        <v>1.5999872696703847E-4</v>
      </c>
      <c r="J269" s="3">
        <f t="shared" si="255"/>
        <v>1.5999872696703847E-4</v>
      </c>
      <c r="K269" s="3">
        <f t="shared" si="255"/>
        <v>1.5999872696703847E-4</v>
      </c>
      <c r="L269" s="3">
        <f t="shared" si="255"/>
        <v>1.5999872696703847E-4</v>
      </c>
      <c r="M269" s="3">
        <f t="shared" si="255"/>
        <v>1.5999872696703847E-4</v>
      </c>
      <c r="N269" s="3">
        <f t="shared" si="255"/>
        <v>1.5999872696703847E-4</v>
      </c>
      <c r="O269" s="3">
        <f t="shared" si="255"/>
        <v>1.5999872696703847E-4</v>
      </c>
      <c r="P269" s="3">
        <f t="shared" si="255"/>
        <v>1.5999872696703847E-4</v>
      </c>
      <c r="Q269" s="3">
        <f t="shared" si="255"/>
        <v>1.5999872696703847E-4</v>
      </c>
      <c r="R269" s="3">
        <f t="shared" si="255"/>
        <v>1.5999872696703847E-4</v>
      </c>
      <c r="S269" s="3">
        <f t="shared" si="255"/>
        <v>1.5999872696703847E-4</v>
      </c>
      <c r="T269" s="3">
        <f t="shared" si="255"/>
        <v>1.5999872696703847E-4</v>
      </c>
      <c r="U269" s="3">
        <f t="shared" si="255"/>
        <v>1.5999872696703847E-4</v>
      </c>
      <c r="V269" s="3">
        <f t="shared" si="255"/>
        <v>1.5999872696703847E-4</v>
      </c>
      <c r="W269" s="3">
        <f t="shared" si="255"/>
        <v>1.5999872696703847E-4</v>
      </c>
      <c r="X269" s="3">
        <f t="shared" si="255"/>
        <v>1.5999872696703841E-4</v>
      </c>
      <c r="Y269" s="3">
        <f t="shared" si="255"/>
        <v>1.5999872696703787E-4</v>
      </c>
      <c r="Z269" s="3">
        <f t="shared" si="255"/>
        <v>1.5999872696703248E-4</v>
      </c>
      <c r="AA269" s="3">
        <f t="shared" si="255"/>
        <v>1.5999872696697851E-4</v>
      </c>
      <c r="AB269" s="3">
        <f t="shared" si="255"/>
        <v>1.5999872696643904E-4</v>
      </c>
      <c r="AC269" s="3">
        <f t="shared" si="255"/>
        <v>1.5999872696104421E-4</v>
      </c>
      <c r="AD269" s="3">
        <f t="shared" si="255"/>
        <v>1.599987269070957E-4</v>
      </c>
      <c r="AE269" s="3">
        <f t="shared" si="255"/>
        <v>1.5999872636761076E-4</v>
      </c>
      <c r="AF269" s="3">
        <f t="shared" si="255"/>
        <v>1.5999872097276159E-4</v>
      </c>
      <c r="AG269" s="3"/>
      <c r="AH269" s="3"/>
    </row>
    <row r="270" spans="2:34" x14ac:dyDescent="0.25">
      <c r="B270" s="3">
        <f t="shared" ref="B270:AF270" si="256">$C39*EXP(-B$246/$A39/EXP(-$E$126))</f>
        <v>0</v>
      </c>
      <c r="C270" s="3">
        <f t="shared" si="256"/>
        <v>0</v>
      </c>
      <c r="D270" s="3">
        <f t="shared" si="256"/>
        <v>0</v>
      </c>
      <c r="E270" s="3">
        <f t="shared" si="256"/>
        <v>0</v>
      </c>
      <c r="F270" s="3">
        <f t="shared" si="256"/>
        <v>0</v>
      </c>
      <c r="G270" s="3">
        <f t="shared" si="256"/>
        <v>0</v>
      </c>
      <c r="H270" s="3">
        <f t="shared" si="256"/>
        <v>0</v>
      </c>
      <c r="I270" s="3">
        <f t="shared" si="256"/>
        <v>0</v>
      </c>
      <c r="J270" s="3">
        <f t="shared" si="256"/>
        <v>0</v>
      </c>
      <c r="K270" s="3">
        <f t="shared" si="256"/>
        <v>0</v>
      </c>
      <c r="L270" s="3">
        <f t="shared" si="256"/>
        <v>0</v>
      </c>
      <c r="M270" s="3">
        <f t="shared" si="256"/>
        <v>0</v>
      </c>
      <c r="N270" s="3">
        <f t="shared" si="256"/>
        <v>0</v>
      </c>
      <c r="O270" s="3">
        <f t="shared" si="256"/>
        <v>0</v>
      </c>
      <c r="P270" s="3">
        <f t="shared" si="256"/>
        <v>0</v>
      </c>
      <c r="Q270" s="3">
        <f t="shared" si="256"/>
        <v>0</v>
      </c>
      <c r="R270" s="3">
        <f t="shared" si="256"/>
        <v>0</v>
      </c>
      <c r="S270" s="3">
        <f t="shared" si="256"/>
        <v>0</v>
      </c>
      <c r="T270" s="3">
        <f t="shared" si="256"/>
        <v>0</v>
      </c>
      <c r="U270" s="3">
        <f t="shared" si="256"/>
        <v>0</v>
      </c>
      <c r="V270" s="3">
        <f t="shared" si="256"/>
        <v>0</v>
      </c>
      <c r="W270" s="3">
        <f t="shared" si="256"/>
        <v>0</v>
      </c>
      <c r="X270" s="3">
        <f t="shared" si="256"/>
        <v>0</v>
      </c>
      <c r="Y270" s="3">
        <f t="shared" si="256"/>
        <v>0</v>
      </c>
      <c r="Z270" s="3">
        <f t="shared" si="256"/>
        <v>0</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1.1033683083565872E-4</v>
      </c>
      <c r="C272" s="3">
        <f t="shared" si="258"/>
        <v>1.1033683083565872E-4</v>
      </c>
      <c r="D272" s="3">
        <f t="shared" si="258"/>
        <v>1.1033683083565872E-4</v>
      </c>
      <c r="E272" s="3">
        <f t="shared" si="258"/>
        <v>1.1033683083565872E-4</v>
      </c>
      <c r="F272" s="3">
        <f t="shared" si="258"/>
        <v>1.1033683083565872E-4</v>
      </c>
      <c r="G272" s="3">
        <f t="shared" si="258"/>
        <v>1.1033683083565872E-4</v>
      </c>
      <c r="H272" s="3">
        <f t="shared" si="258"/>
        <v>1.1033683083565872E-4</v>
      </c>
      <c r="I272" s="3">
        <f t="shared" si="258"/>
        <v>1.1033683083565872E-4</v>
      </c>
      <c r="J272" s="3">
        <f t="shared" si="258"/>
        <v>1.1033683083565872E-4</v>
      </c>
      <c r="K272" s="3">
        <f t="shared" si="258"/>
        <v>1.1033683083565872E-4</v>
      </c>
      <c r="L272" s="3">
        <f t="shared" si="258"/>
        <v>1.1033683083565872E-4</v>
      </c>
      <c r="M272" s="3">
        <f t="shared" si="258"/>
        <v>1.1033683083565872E-4</v>
      </c>
      <c r="N272" s="3">
        <f t="shared" si="258"/>
        <v>1.1033683083565872E-4</v>
      </c>
      <c r="O272" s="3">
        <f t="shared" si="258"/>
        <v>1.1033683083565872E-4</v>
      </c>
      <c r="P272" s="3">
        <f t="shared" si="258"/>
        <v>1.1033683083565872E-4</v>
      </c>
      <c r="Q272" s="3">
        <f t="shared" si="258"/>
        <v>1.1033683083565872E-4</v>
      </c>
      <c r="R272" s="3">
        <f t="shared" si="258"/>
        <v>1.1033683083565872E-4</v>
      </c>
      <c r="S272" s="3">
        <f t="shared" si="258"/>
        <v>1.1033683083565872E-4</v>
      </c>
      <c r="T272" s="3">
        <f t="shared" si="258"/>
        <v>1.1033683083565872E-4</v>
      </c>
      <c r="U272" s="3">
        <f t="shared" si="258"/>
        <v>1.1033683083565872E-4</v>
      </c>
      <c r="V272" s="3">
        <f t="shared" si="258"/>
        <v>1.1033683083565872E-4</v>
      </c>
      <c r="W272" s="3">
        <f t="shared" si="258"/>
        <v>1.1033683083565872E-4</v>
      </c>
      <c r="X272" s="3">
        <f t="shared" si="258"/>
        <v>1.1033683083565872E-4</v>
      </c>
      <c r="Y272" s="3">
        <f t="shared" si="258"/>
        <v>1.1033683083565872E-4</v>
      </c>
      <c r="Z272" s="3">
        <f t="shared" si="258"/>
        <v>1.103368308356587E-4</v>
      </c>
      <c r="AA272" s="3">
        <f t="shared" si="258"/>
        <v>1.1033683083565861E-4</v>
      </c>
      <c r="AB272" s="3">
        <f t="shared" si="258"/>
        <v>1.1033683083565758E-4</v>
      </c>
      <c r="AC272" s="3">
        <f t="shared" si="258"/>
        <v>1.1033683083564729E-4</v>
      </c>
      <c r="AD272" s="3">
        <f t="shared" si="258"/>
        <v>1.1033683083554439E-4</v>
      </c>
      <c r="AE272" s="3">
        <f t="shared" si="258"/>
        <v>1.1033683083451544E-4</v>
      </c>
      <c r="AF272" s="3">
        <f t="shared" si="258"/>
        <v>1.1033683082422589E-4</v>
      </c>
      <c r="AG272" s="3"/>
      <c r="AH272" s="3"/>
    </row>
    <row r="273" spans="1:34" x14ac:dyDescent="0.25">
      <c r="B273" s="3">
        <f t="shared" ref="B273:AF273" si="259">$C42*EXP(-B$246/$A42/EXP(-$E$126))</f>
        <v>5.3430093526516889E-5</v>
      </c>
      <c r="C273" s="3">
        <f t="shared" si="259"/>
        <v>5.3430093526516889E-5</v>
      </c>
      <c r="D273" s="3">
        <f t="shared" si="259"/>
        <v>5.3430093526516889E-5</v>
      </c>
      <c r="E273" s="3">
        <f t="shared" si="259"/>
        <v>5.3430093526516889E-5</v>
      </c>
      <c r="F273" s="3">
        <f t="shared" si="259"/>
        <v>5.3430093526516889E-5</v>
      </c>
      <c r="G273" s="3">
        <f t="shared" si="259"/>
        <v>5.3430093526516889E-5</v>
      </c>
      <c r="H273" s="3">
        <f t="shared" si="259"/>
        <v>5.3430093526516889E-5</v>
      </c>
      <c r="I273" s="3">
        <f t="shared" si="259"/>
        <v>5.3430093526516889E-5</v>
      </c>
      <c r="J273" s="3">
        <f t="shared" si="259"/>
        <v>5.3430093526516889E-5</v>
      </c>
      <c r="K273" s="3">
        <f t="shared" si="259"/>
        <v>5.3430093526516889E-5</v>
      </c>
      <c r="L273" s="3">
        <f t="shared" si="259"/>
        <v>5.3430093526516889E-5</v>
      </c>
      <c r="M273" s="3">
        <f t="shared" si="259"/>
        <v>5.3430093526516889E-5</v>
      </c>
      <c r="N273" s="3">
        <f t="shared" si="259"/>
        <v>5.3430093526516889E-5</v>
      </c>
      <c r="O273" s="3">
        <f t="shared" si="259"/>
        <v>5.3430093526516889E-5</v>
      </c>
      <c r="P273" s="3">
        <f t="shared" si="259"/>
        <v>5.3430093526516889E-5</v>
      </c>
      <c r="Q273" s="3">
        <f t="shared" si="259"/>
        <v>5.3430093526516889E-5</v>
      </c>
      <c r="R273" s="3">
        <f t="shared" si="259"/>
        <v>5.3430093526516889E-5</v>
      </c>
      <c r="S273" s="3">
        <f t="shared" si="259"/>
        <v>5.3430093526516889E-5</v>
      </c>
      <c r="T273" s="3">
        <f t="shared" si="259"/>
        <v>5.3430093526516889E-5</v>
      </c>
      <c r="U273" s="3">
        <f t="shared" si="259"/>
        <v>5.3430093526516889E-5</v>
      </c>
      <c r="V273" s="3">
        <f t="shared" si="259"/>
        <v>5.3430093526516889E-5</v>
      </c>
      <c r="W273" s="3">
        <f t="shared" si="259"/>
        <v>5.3430093526516889E-5</v>
      </c>
      <c r="X273" s="3">
        <f t="shared" si="259"/>
        <v>5.3430093526516889E-5</v>
      </c>
      <c r="Y273" s="3">
        <f t="shared" si="259"/>
        <v>5.3430093526516889E-5</v>
      </c>
      <c r="Z273" s="3">
        <f t="shared" si="259"/>
        <v>5.3430093526516889E-5</v>
      </c>
      <c r="AA273" s="3">
        <f t="shared" si="259"/>
        <v>5.3430093526516882E-5</v>
      </c>
      <c r="AB273" s="3">
        <f t="shared" si="259"/>
        <v>5.3430093526516835E-5</v>
      </c>
      <c r="AC273" s="3">
        <f t="shared" si="259"/>
        <v>5.343009352651634E-5</v>
      </c>
      <c r="AD273" s="3">
        <f t="shared" si="259"/>
        <v>5.3430093526511353E-5</v>
      </c>
      <c r="AE273" s="3">
        <f t="shared" si="259"/>
        <v>5.3430093526461527E-5</v>
      </c>
      <c r="AF273" s="3">
        <f t="shared" si="259"/>
        <v>5.3430093525963262E-5</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1.1249816087007928E-3</v>
      </c>
      <c r="C279" s="3">
        <f t="shared" si="265"/>
        <v>1.1249816087007928E-3</v>
      </c>
      <c r="D279" s="3">
        <f t="shared" si="265"/>
        <v>1.1249816087007928E-3</v>
      </c>
      <c r="E279" s="3">
        <f t="shared" si="265"/>
        <v>1.1249816087007928E-3</v>
      </c>
      <c r="F279" s="3">
        <f t="shared" si="265"/>
        <v>1.1249816087007928E-3</v>
      </c>
      <c r="G279" s="3">
        <f t="shared" si="265"/>
        <v>1.1249816087007928E-3</v>
      </c>
      <c r="H279" s="3">
        <f t="shared" si="265"/>
        <v>1.1249816087007928E-3</v>
      </c>
      <c r="I279" s="3">
        <f t="shared" si="265"/>
        <v>1.1249816087007928E-3</v>
      </c>
      <c r="J279" s="3">
        <f t="shared" si="265"/>
        <v>1.1249816087007928E-3</v>
      </c>
      <c r="K279" s="3">
        <f t="shared" si="265"/>
        <v>1.1249816087007928E-3</v>
      </c>
      <c r="L279" s="3">
        <f t="shared" si="265"/>
        <v>1.1249816087007928E-3</v>
      </c>
      <c r="M279" s="3">
        <f t="shared" si="265"/>
        <v>1.1249816087007928E-3</v>
      </c>
      <c r="N279" s="3">
        <f t="shared" si="265"/>
        <v>1.1249816087007928E-3</v>
      </c>
      <c r="O279" s="3">
        <f t="shared" si="265"/>
        <v>1.1249816087007928E-3</v>
      </c>
      <c r="P279" s="3">
        <f t="shared" si="265"/>
        <v>1.1249816087007928E-3</v>
      </c>
      <c r="Q279" s="3">
        <f t="shared" si="265"/>
        <v>1.1249816087007928E-3</v>
      </c>
      <c r="R279" s="3">
        <f t="shared" si="265"/>
        <v>1.1249816087007928E-3</v>
      </c>
      <c r="S279" s="3">
        <f t="shared" si="265"/>
        <v>1.1249816087007928E-3</v>
      </c>
      <c r="T279" s="3">
        <f t="shared" si="265"/>
        <v>1.1249816087007928E-3</v>
      </c>
      <c r="U279" s="3">
        <f t="shared" si="265"/>
        <v>1.1249816087007928E-3</v>
      </c>
      <c r="V279" s="3">
        <f t="shared" si="265"/>
        <v>1.1249816087007928E-3</v>
      </c>
      <c r="W279" s="3">
        <f t="shared" si="265"/>
        <v>1.1249816087007928E-3</v>
      </c>
      <c r="X279" s="3">
        <f t="shared" si="265"/>
        <v>1.1249816087007928E-3</v>
      </c>
      <c r="Y279" s="3">
        <f t="shared" si="265"/>
        <v>1.1249816087007928E-3</v>
      </c>
      <c r="Z279" s="3">
        <f t="shared" si="265"/>
        <v>1.1249816087007928E-3</v>
      </c>
      <c r="AA279" s="3">
        <f t="shared" si="265"/>
        <v>1.1249816087007928E-3</v>
      </c>
      <c r="AB279" s="3">
        <f t="shared" si="265"/>
        <v>1.1249816087007928E-3</v>
      </c>
      <c r="AC279" s="3">
        <f t="shared" si="265"/>
        <v>1.1249816087007928E-3</v>
      </c>
      <c r="AD279" s="3">
        <f t="shared" si="265"/>
        <v>1.1249816087007928E-3</v>
      </c>
      <c r="AE279" s="3">
        <f t="shared" si="265"/>
        <v>1.1249816087007928E-3</v>
      </c>
      <c r="AF279" s="3">
        <f t="shared" si="265"/>
        <v>1.1249816087007928E-3</v>
      </c>
      <c r="AG279" s="3"/>
      <c r="AH279" s="3"/>
    </row>
    <row r="280" spans="1:34" x14ac:dyDescent="0.25">
      <c r="A280" s="79">
        <f>AVERAGE(B280:AF280)</f>
        <v>5.1678792707185839E-2</v>
      </c>
      <c r="B280" s="80">
        <f>IF($D$61&lt;=B246,IF($E$61&gt;=B246,ABS((B248-B247)/B247),0),0)</f>
        <v>9.9868043722462787E-4</v>
      </c>
      <c r="C280" s="80">
        <f t="shared" ref="C280:AF280" si="266">IF($D$61&lt;=C246,IF($E$61&gt;=C246,ABS((C248-C247)/C247),0),0)</f>
        <v>1.1774994388675602E-3</v>
      </c>
      <c r="D280" s="80">
        <f t="shared" si="266"/>
        <v>2.964791188859282E-3</v>
      </c>
      <c r="E280" s="80">
        <f t="shared" si="266"/>
        <v>1.7818522079374871E-2</v>
      </c>
      <c r="F280" s="80">
        <f t="shared" si="266"/>
        <v>4.8507635136929128E-2</v>
      </c>
      <c r="G280" s="80">
        <f t="shared" si="266"/>
        <v>7.0790783559945517E-2</v>
      </c>
      <c r="H280" s="80">
        <f t="shared" si="266"/>
        <v>9.3581319308691235E-2</v>
      </c>
      <c r="I280" s="80">
        <f t="shared" si="266"/>
        <v>0.12012568444297568</v>
      </c>
      <c r="J280" s="80">
        <f t="shared" si="266"/>
        <v>0.14933080069960628</v>
      </c>
      <c r="K280" s="80">
        <f t="shared" si="266"/>
        <v>0.18017620833712941</v>
      </c>
      <c r="L280" s="80">
        <f t="shared" si="266"/>
        <v>0.17770008163111448</v>
      </c>
      <c r="M280" s="80">
        <f t="shared" si="266"/>
        <v>5.4157198935578535E-2</v>
      </c>
      <c r="N280" s="80">
        <f t="shared" si="266"/>
        <v>0.2046381332231311</v>
      </c>
      <c r="O280" s="80">
        <f t="shared" si="266"/>
        <v>0.1725881804137801</v>
      </c>
      <c r="P280" s="80">
        <f t="shared" si="266"/>
        <v>0.13006793927231933</v>
      </c>
      <c r="Q280" s="80">
        <f t="shared" si="266"/>
        <v>7.9632444764784538E-2</v>
      </c>
      <c r="R280" s="80">
        <f t="shared" si="266"/>
        <v>3.1026262055855472E-2</v>
      </c>
      <c r="S280" s="80">
        <f t="shared" si="266"/>
        <v>2.2784134535162055E-3</v>
      </c>
      <c r="T280" s="80">
        <f t="shared" si="266"/>
        <v>1.4718118369929176E-2</v>
      </c>
      <c r="U280" s="80">
        <f t="shared" si="266"/>
        <v>5.1061069324090293E-3</v>
      </c>
      <c r="V280" s="80">
        <f t="shared" si="266"/>
        <v>1.3281904919243965E-2</v>
      </c>
      <c r="W280" s="80">
        <f t="shared" si="266"/>
        <v>1.3377972705886979E-2</v>
      </c>
      <c r="X280" s="80">
        <f t="shared" si="266"/>
        <v>1.3089439819460919E-2</v>
      </c>
      <c r="Y280" s="80">
        <f t="shared" si="266"/>
        <v>4.9084527961476745E-3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31.372978725319438</v>
      </c>
      <c r="C281" s="21">
        <f t="shared" ref="C281:AF281" si="267">(C248-C247)^2</f>
        <v>43.598237794296182</v>
      </c>
      <c r="D281" s="21">
        <f t="shared" si="267"/>
        <v>275.41432591164892</v>
      </c>
      <c r="E281" s="21">
        <f t="shared" si="267"/>
        <v>9659.8934330529191</v>
      </c>
      <c r="F281" s="21">
        <f t="shared" si="267"/>
        <v>67460.049234997321</v>
      </c>
      <c r="G281" s="21">
        <f t="shared" si="267"/>
        <v>137756.94843235819</v>
      </c>
      <c r="H281" s="21">
        <f t="shared" si="267"/>
        <v>230803.44430416817</v>
      </c>
      <c r="I281" s="21">
        <f t="shared" si="267"/>
        <v>362470.25018207479</v>
      </c>
      <c r="J281" s="21">
        <f t="shared" si="267"/>
        <v>531646.51062722644</v>
      </c>
      <c r="K281" s="21">
        <f t="shared" si="267"/>
        <v>728663.12694589992</v>
      </c>
      <c r="L281" s="21">
        <f t="shared" si="267"/>
        <v>662871.5249715778</v>
      </c>
      <c r="M281" s="21">
        <f t="shared" si="267"/>
        <v>57374.379651384283</v>
      </c>
      <c r="N281" s="21">
        <f t="shared" si="267"/>
        <v>763689.29338941677</v>
      </c>
      <c r="O281" s="21">
        <f t="shared" si="267"/>
        <v>501916.77806787496</v>
      </c>
      <c r="P281" s="21">
        <f t="shared" si="267"/>
        <v>257870.55413857155</v>
      </c>
      <c r="Q281" s="21">
        <f t="shared" si="267"/>
        <v>86313.391214805568</v>
      </c>
      <c r="R281" s="21">
        <f t="shared" si="267"/>
        <v>11764.331934793829</v>
      </c>
      <c r="S281" s="21">
        <f t="shared" si="267"/>
        <v>56.802613868363416</v>
      </c>
      <c r="T281" s="21">
        <f t="shared" si="267"/>
        <v>2086.8405425045735</v>
      </c>
      <c r="U281" s="21">
        <f t="shared" si="267"/>
        <v>221.02768308704515</v>
      </c>
      <c r="V281" s="21">
        <f t="shared" si="267"/>
        <v>1314.0070447013575</v>
      </c>
      <c r="W281" s="21">
        <f t="shared" si="267"/>
        <v>1164.4163741407665</v>
      </c>
      <c r="X281" s="21">
        <f t="shared" si="267"/>
        <v>952.75819488864852</v>
      </c>
      <c r="Y281" s="21">
        <f t="shared" si="267"/>
        <v>112.22471005809648</v>
      </c>
      <c r="Z281" s="21">
        <f t="shared" si="267"/>
        <v>258.1548349323013</v>
      </c>
      <c r="AA281" s="21">
        <f t="shared" si="267"/>
        <v>3439.3584225796458</v>
      </c>
      <c r="AB281" s="21">
        <f t="shared" si="267"/>
        <v>10812.783029772623</v>
      </c>
      <c r="AC281" s="21">
        <f t="shared" si="267"/>
        <v>16770.361211492618</v>
      </c>
      <c r="AD281" s="21">
        <f t="shared" si="267"/>
        <v>13722.746604744125</v>
      </c>
      <c r="AE281" s="21">
        <f t="shared" si="267"/>
        <v>6683.1049144217322</v>
      </c>
      <c r="AF281" s="21">
        <f t="shared" si="267"/>
        <v>1853.9862962045015</v>
      </c>
      <c r="AG281" s="3"/>
      <c r="AH281" s="3"/>
    </row>
    <row r="282" spans="1:34" s="3" customFormat="1" x14ac:dyDescent="0.25">
      <c r="A282" s="71">
        <f>SUM(B282:AF282)</f>
        <v>4416518.9392338824</v>
      </c>
      <c r="B282" s="21">
        <f>IF($D$61&lt;=B246,IF($E$61&gt;=B246,ABS(B281),0),0)</f>
        <v>31.372978725319438</v>
      </c>
      <c r="C282" s="21">
        <f t="shared" ref="C282:AF282" si="268">IF($D$61&lt;=C246,IF($E$61&gt;=C246,ABS(C281),0),0)</f>
        <v>43.598237794296182</v>
      </c>
      <c r="D282" s="21">
        <f t="shared" si="268"/>
        <v>275.41432591164892</v>
      </c>
      <c r="E282" s="21">
        <f t="shared" si="268"/>
        <v>9659.8934330529191</v>
      </c>
      <c r="F282" s="21">
        <f t="shared" si="268"/>
        <v>67460.049234997321</v>
      </c>
      <c r="G282" s="21">
        <f t="shared" si="268"/>
        <v>137756.94843235819</v>
      </c>
      <c r="H282" s="21">
        <f t="shared" si="268"/>
        <v>230803.44430416817</v>
      </c>
      <c r="I282" s="21">
        <f t="shared" si="268"/>
        <v>362470.25018207479</v>
      </c>
      <c r="J282" s="21">
        <f t="shared" si="268"/>
        <v>531646.51062722644</v>
      </c>
      <c r="K282" s="21">
        <f t="shared" si="268"/>
        <v>728663.12694589992</v>
      </c>
      <c r="L282" s="21">
        <f t="shared" si="268"/>
        <v>662871.5249715778</v>
      </c>
      <c r="M282" s="21">
        <f t="shared" si="268"/>
        <v>57374.379651384283</v>
      </c>
      <c r="N282" s="21">
        <f t="shared" si="268"/>
        <v>763689.29338941677</v>
      </c>
      <c r="O282" s="21">
        <f t="shared" si="268"/>
        <v>501916.77806787496</v>
      </c>
      <c r="P282" s="21">
        <f t="shared" si="268"/>
        <v>257870.55413857155</v>
      </c>
      <c r="Q282" s="21">
        <f t="shared" si="268"/>
        <v>86313.391214805568</v>
      </c>
      <c r="R282" s="21">
        <f t="shared" si="268"/>
        <v>11764.331934793829</v>
      </c>
      <c r="S282" s="21">
        <f t="shared" si="268"/>
        <v>56.802613868363416</v>
      </c>
      <c r="T282" s="21">
        <f t="shared" si="268"/>
        <v>2086.8405425045735</v>
      </c>
      <c r="U282" s="21">
        <f t="shared" si="268"/>
        <v>221.02768308704515</v>
      </c>
      <c r="V282" s="21">
        <f t="shared" si="268"/>
        <v>1314.0070447013575</v>
      </c>
      <c r="W282" s="21">
        <f t="shared" si="268"/>
        <v>1164.4163741407665</v>
      </c>
      <c r="X282" s="21">
        <f t="shared" si="268"/>
        <v>952.75819488864852</v>
      </c>
      <c r="Y282" s="21">
        <f t="shared" si="268"/>
        <v>112.22471005809648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0" t="s">
        <v>22</v>
      </c>
      <c r="B287" s="27">
        <f>($C$17+SUM(B288:B318))*$B$51</f>
        <v>5614.1606846421255</v>
      </c>
      <c r="C287" s="27">
        <f t="shared" ref="C287:AF287" si="269">($C$17+SUM(C288:C318))*$B$51</f>
        <v>5614.1605464212535</v>
      </c>
      <c r="D287" s="27">
        <f t="shared" si="269"/>
        <v>5614.1591642130197</v>
      </c>
      <c r="E287" s="27">
        <f t="shared" si="269"/>
        <v>5614.1453421780616</v>
      </c>
      <c r="F287" s="27">
        <f t="shared" si="269"/>
        <v>5614.0071265665056</v>
      </c>
      <c r="G287" s="27">
        <f t="shared" si="269"/>
        <v>5612.6254441446035</v>
      </c>
      <c r="H287" s="27">
        <f t="shared" si="269"/>
        <v>5598.8558802350362</v>
      </c>
      <c r="I287" s="27">
        <f t="shared" si="269"/>
        <v>5465.7790791933321</v>
      </c>
      <c r="J287" s="27">
        <f t="shared" si="269"/>
        <v>4506.0147152974423</v>
      </c>
      <c r="K287" s="27">
        <f t="shared" si="269"/>
        <v>3398.6481740790096</v>
      </c>
      <c r="L287" s="27">
        <f t="shared" si="269"/>
        <v>3396.4632270154329</v>
      </c>
      <c r="M287" s="27">
        <f t="shared" si="269"/>
        <v>3396.4079602253551</v>
      </c>
      <c r="N287" s="27">
        <f t="shared" si="269"/>
        <v>3395.8557628195044</v>
      </c>
      <c r="O287" s="27">
        <f t="shared" si="269"/>
        <v>3390.3805621746992</v>
      </c>
      <c r="P287" s="27">
        <f t="shared" si="269"/>
        <v>3340.0416482281803</v>
      </c>
      <c r="Q287" s="27">
        <f t="shared" si="269"/>
        <v>3099.7122224329623</v>
      </c>
      <c r="R287" s="27">
        <f t="shared" si="269"/>
        <v>2949.9370677858137</v>
      </c>
      <c r="S287" s="27">
        <f t="shared" si="269"/>
        <v>2797.7420755935136</v>
      </c>
      <c r="T287" s="27">
        <f t="shared" si="269"/>
        <v>2620.7621748688098</v>
      </c>
      <c r="U287" s="27">
        <f t="shared" si="269"/>
        <v>2428.6977024881635</v>
      </c>
      <c r="V287" s="27">
        <f t="shared" si="269"/>
        <v>2214.0258029038191</v>
      </c>
      <c r="W287" s="27">
        <f t="shared" si="269"/>
        <v>1973.8054592013439</v>
      </c>
      <c r="X287" s="27">
        <f t="shared" si="269"/>
        <v>1697.4074143870178</v>
      </c>
      <c r="Y287" s="27">
        <f t="shared" si="269"/>
        <v>1378.4279565308482</v>
      </c>
      <c r="Z287" s="27">
        <f t="shared" si="269"/>
        <v>1040.1684226926839</v>
      </c>
      <c r="AA287" s="27">
        <f t="shared" si="269"/>
        <v>735.02554295294237</v>
      </c>
      <c r="AB287" s="27">
        <f t="shared" si="269"/>
        <v>511.53679050712316</v>
      </c>
      <c r="AC287" s="27">
        <f t="shared" si="269"/>
        <v>378.74297297376017</v>
      </c>
      <c r="AD287" s="27">
        <f t="shared" si="269"/>
        <v>313.12355980047107</v>
      </c>
      <c r="AE287" s="27">
        <f t="shared" si="269"/>
        <v>281.57442051041573</v>
      </c>
      <c r="AF287" s="27">
        <f t="shared" si="269"/>
        <v>263.88085332478335</v>
      </c>
      <c r="AG287" s="27"/>
      <c r="AH287" s="27"/>
    </row>
    <row r="288" spans="1:34" x14ac:dyDescent="0.25">
      <c r="B288" s="3">
        <f t="shared" ref="B288:AF288" si="270">$C18*EXP(-B$285/$A18/EXP(-$F$126))</f>
        <v>0.39501742733225914</v>
      </c>
      <c r="C288" s="3">
        <f t="shared" si="270"/>
        <v>0.39501740271221836</v>
      </c>
      <c r="D288" s="3">
        <f t="shared" si="270"/>
        <v>0.39501715651189523</v>
      </c>
      <c r="E288" s="3">
        <f t="shared" si="270"/>
        <v>0.39501469451710303</v>
      </c>
      <c r="F288" s="3">
        <f t="shared" si="270"/>
        <v>0.39499007541312403</v>
      </c>
      <c r="G288" s="3">
        <f t="shared" si="270"/>
        <v>0.39474396874812784</v>
      </c>
      <c r="H288" s="3">
        <f t="shared" si="270"/>
        <v>0.39229132015243512</v>
      </c>
      <c r="I288" s="3">
        <f t="shared" si="270"/>
        <v>0.36858754631594665</v>
      </c>
      <c r="J288" s="3">
        <f t="shared" si="270"/>
        <v>0.19763335388895165</v>
      </c>
      <c r="K288" s="3">
        <f t="shared" si="270"/>
        <v>3.8820048628061945E-4</v>
      </c>
      <c r="L288" s="3">
        <f t="shared" si="270"/>
        <v>3.3190547607327799E-31</v>
      </c>
      <c r="M288" s="3">
        <f t="shared" si="270"/>
        <v>6.9278399454610279E-302</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5.9661445570693014E-2</v>
      </c>
      <c r="C289" s="3">
        <f t="shared" si="271"/>
        <v>5.9661445570692057E-2</v>
      </c>
      <c r="D289" s="3">
        <f t="shared" si="271"/>
        <v>5.9661445570682536E-2</v>
      </c>
      <c r="E289" s="3">
        <f t="shared" si="271"/>
        <v>5.9661445570587286E-2</v>
      </c>
      <c r="F289" s="3">
        <f t="shared" si="271"/>
        <v>5.9661445569634777E-2</v>
      </c>
      <c r="G289" s="3">
        <f t="shared" si="271"/>
        <v>5.9661445560109709E-2</v>
      </c>
      <c r="H289" s="3">
        <f t="shared" si="271"/>
        <v>5.9661445464859006E-2</v>
      </c>
      <c r="I289" s="3">
        <f t="shared" si="271"/>
        <v>5.9661444512351947E-2</v>
      </c>
      <c r="J289" s="3">
        <f t="shared" si="271"/>
        <v>5.9661434987282179E-2</v>
      </c>
      <c r="K289" s="3">
        <f t="shared" si="271"/>
        <v>5.9661339736668227E-2</v>
      </c>
      <c r="L289" s="3">
        <f t="shared" si="271"/>
        <v>5.9660387238892471E-2</v>
      </c>
      <c r="M289" s="3">
        <f t="shared" si="271"/>
        <v>5.9650863097463251E-2</v>
      </c>
      <c r="N289" s="3">
        <f t="shared" si="271"/>
        <v>5.9555705266625951E-2</v>
      </c>
      <c r="O289" s="3">
        <f t="shared" si="271"/>
        <v>5.8612436140092872E-2</v>
      </c>
      <c r="P289" s="3">
        <f t="shared" si="271"/>
        <v>4.9963606400016021E-2</v>
      </c>
      <c r="Q289" s="3">
        <f t="shared" si="271"/>
        <v>1.0122641054042574E-2</v>
      </c>
      <c r="R289" s="3">
        <f t="shared" si="271"/>
        <v>1.1794904377518603E-9</v>
      </c>
      <c r="S289" s="3">
        <f t="shared" si="271"/>
        <v>5.4412702497343369E-79</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1.9174474308937251E-2</v>
      </c>
      <c r="C290" s="3">
        <f t="shared" si="272"/>
        <v>1.9174474308937223E-2</v>
      </c>
      <c r="D290" s="3">
        <f t="shared" si="272"/>
        <v>1.9174474308936949E-2</v>
      </c>
      <c r="E290" s="3">
        <f t="shared" si="272"/>
        <v>1.9174474308934188E-2</v>
      </c>
      <c r="F290" s="3">
        <f t="shared" si="272"/>
        <v>1.9174474308906571E-2</v>
      </c>
      <c r="G290" s="3">
        <f t="shared" si="272"/>
        <v>1.917447430863042E-2</v>
      </c>
      <c r="H290" s="3">
        <f t="shared" si="272"/>
        <v>1.9174474305868924E-2</v>
      </c>
      <c r="I290" s="3">
        <f t="shared" si="272"/>
        <v>1.9174474278253962E-2</v>
      </c>
      <c r="J290" s="3">
        <f t="shared" si="272"/>
        <v>1.9174474002104317E-2</v>
      </c>
      <c r="K290" s="3">
        <f t="shared" si="272"/>
        <v>1.9174471240608087E-2</v>
      </c>
      <c r="L290" s="3">
        <f t="shared" si="272"/>
        <v>1.9174443625667687E-2</v>
      </c>
      <c r="M290" s="3">
        <f t="shared" si="272"/>
        <v>1.9174167478451066E-2</v>
      </c>
      <c r="N290" s="3">
        <f t="shared" si="272"/>
        <v>1.917140622501191E-2</v>
      </c>
      <c r="O290" s="3">
        <f t="shared" si="272"/>
        <v>1.914381555167443E-2</v>
      </c>
      <c r="P290" s="3">
        <f t="shared" si="272"/>
        <v>1.887008331931175E-2</v>
      </c>
      <c r="Q290" s="3">
        <f t="shared" si="272"/>
        <v>1.6339056812426339E-2</v>
      </c>
      <c r="R290" s="3">
        <f t="shared" si="272"/>
        <v>3.8704248003265441E-3</v>
      </c>
      <c r="S290" s="3">
        <f t="shared" si="272"/>
        <v>2.1531542509321294E-9</v>
      </c>
      <c r="T290" s="3">
        <f t="shared" si="272"/>
        <v>6.1128007660550882E-72</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3.042813256492289E-2</v>
      </c>
      <c r="C291" s="3">
        <f t="shared" si="273"/>
        <v>3.0428132564922886E-2</v>
      </c>
      <c r="D291" s="3">
        <f t="shared" si="273"/>
        <v>3.0428132564922845E-2</v>
      </c>
      <c r="E291" s="3">
        <f t="shared" si="273"/>
        <v>3.0428132564922449E-2</v>
      </c>
      <c r="F291" s="3">
        <f t="shared" si="273"/>
        <v>3.0428132564918497E-2</v>
      </c>
      <c r="G291" s="3">
        <f t="shared" si="273"/>
        <v>3.0428132564878967E-2</v>
      </c>
      <c r="H291" s="3">
        <f t="shared" si="273"/>
        <v>3.0428132564483654E-2</v>
      </c>
      <c r="I291" s="3">
        <f t="shared" si="273"/>
        <v>3.0428132560530504E-2</v>
      </c>
      <c r="J291" s="3">
        <f t="shared" si="273"/>
        <v>3.0428132520999039E-2</v>
      </c>
      <c r="K291" s="3">
        <f t="shared" si="273"/>
        <v>3.0428132125684387E-2</v>
      </c>
      <c r="L291" s="3">
        <f t="shared" si="273"/>
        <v>3.0428128172538128E-2</v>
      </c>
      <c r="M291" s="3">
        <f t="shared" si="273"/>
        <v>3.0428088641103804E-2</v>
      </c>
      <c r="N291" s="3">
        <f t="shared" si="273"/>
        <v>3.0427693329585261E-2</v>
      </c>
      <c r="O291" s="3">
        <f t="shared" si="273"/>
        <v>3.0423740496855291E-2</v>
      </c>
      <c r="P291" s="3">
        <f t="shared" si="273"/>
        <v>3.0384240401532356E-2</v>
      </c>
      <c r="Q291" s="3">
        <f t="shared" si="273"/>
        <v>2.9992049122047164E-2</v>
      </c>
      <c r="R291" s="3">
        <f t="shared" si="273"/>
        <v>2.6338054393508382E-2</v>
      </c>
      <c r="S291" s="3">
        <f t="shared" si="273"/>
        <v>7.1838822534237507E-3</v>
      </c>
      <c r="T291" s="3">
        <f t="shared" si="273"/>
        <v>1.6372475820520136E-8</v>
      </c>
      <c r="U291" s="3">
        <f t="shared" si="273"/>
        <v>6.1896469808869281E-65</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3.3546614570255213E-2</v>
      </c>
      <c r="C292" s="3">
        <f t="shared" si="274"/>
        <v>3.3546614570255213E-2</v>
      </c>
      <c r="D292" s="3">
        <f t="shared" si="274"/>
        <v>3.3546614570255207E-2</v>
      </c>
      <c r="E292" s="3">
        <f t="shared" si="274"/>
        <v>3.3546614570255172E-2</v>
      </c>
      <c r="F292" s="3">
        <f t="shared" si="274"/>
        <v>3.3546614570254776E-2</v>
      </c>
      <c r="G292" s="3">
        <f t="shared" si="274"/>
        <v>3.3546614570250842E-2</v>
      </c>
      <c r="H292" s="3">
        <f t="shared" si="274"/>
        <v>3.3546614570211533E-2</v>
      </c>
      <c r="I292" s="3">
        <f t="shared" si="274"/>
        <v>3.3546614569818375E-2</v>
      </c>
      <c r="J292" s="3">
        <f t="shared" si="274"/>
        <v>3.3546614565886833E-2</v>
      </c>
      <c r="K292" s="3">
        <f t="shared" si="274"/>
        <v>3.3546614526571414E-2</v>
      </c>
      <c r="L292" s="3">
        <f t="shared" si="274"/>
        <v>3.3546614133417224E-2</v>
      </c>
      <c r="M292" s="3">
        <f t="shared" si="274"/>
        <v>3.3546610201875625E-2</v>
      </c>
      <c r="N292" s="3">
        <f t="shared" si="274"/>
        <v>3.3546570886484897E-2</v>
      </c>
      <c r="O292" s="3">
        <f t="shared" si="274"/>
        <v>3.3546177735111808E-2</v>
      </c>
      <c r="P292" s="3">
        <f t="shared" si="274"/>
        <v>3.3542246474788082E-2</v>
      </c>
      <c r="Q292" s="3">
        <f t="shared" si="274"/>
        <v>3.3502959201281782E-2</v>
      </c>
      <c r="R292" s="3">
        <f t="shared" si="274"/>
        <v>3.3112608490017695E-2</v>
      </c>
      <c r="S292" s="3">
        <f t="shared" si="274"/>
        <v>2.945070203550924E-2</v>
      </c>
      <c r="T292" s="3">
        <f t="shared" si="274"/>
        <v>9.1225914901771812E-3</v>
      </c>
      <c r="U292" s="3">
        <f t="shared" si="274"/>
        <v>7.4189763279747883E-8</v>
      </c>
      <c r="V292" s="3">
        <f t="shared" si="274"/>
        <v>9.3886157109059277E-59</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3.6056553536874446E-2</v>
      </c>
      <c r="C293" s="3">
        <f t="shared" si="275"/>
        <v>3.6056553536874446E-2</v>
      </c>
      <c r="D293" s="3">
        <f t="shared" si="275"/>
        <v>3.6056553536874446E-2</v>
      </c>
      <c r="E293" s="3">
        <f t="shared" si="275"/>
        <v>3.6056553536874439E-2</v>
      </c>
      <c r="F293" s="3">
        <f t="shared" si="275"/>
        <v>3.6056553536874404E-2</v>
      </c>
      <c r="G293" s="3">
        <f t="shared" si="275"/>
        <v>3.6056553536874023E-2</v>
      </c>
      <c r="H293" s="3">
        <f t="shared" si="275"/>
        <v>3.6056553536870213E-2</v>
      </c>
      <c r="I293" s="3">
        <f t="shared" si="275"/>
        <v>3.6056553536832091E-2</v>
      </c>
      <c r="J293" s="3">
        <f t="shared" si="275"/>
        <v>3.6056553536450903E-2</v>
      </c>
      <c r="K293" s="3">
        <f t="shared" si="275"/>
        <v>3.6056553532638966E-2</v>
      </c>
      <c r="L293" s="3">
        <f t="shared" si="275"/>
        <v>3.6056553494519659E-2</v>
      </c>
      <c r="M293" s="3">
        <f t="shared" si="275"/>
        <v>3.6056553113326575E-2</v>
      </c>
      <c r="N293" s="3">
        <f t="shared" si="275"/>
        <v>3.6056549301395992E-2</v>
      </c>
      <c r="O293" s="3">
        <f t="shared" si="275"/>
        <v>3.6056511182112318E-2</v>
      </c>
      <c r="P293" s="3">
        <f t="shared" si="275"/>
        <v>3.6056129991492027E-2</v>
      </c>
      <c r="Q293" s="3">
        <f t="shared" si="275"/>
        <v>3.6052318306929863E-2</v>
      </c>
      <c r="R293" s="3">
        <f t="shared" si="275"/>
        <v>3.6014223616716544E-2</v>
      </c>
      <c r="S293" s="3">
        <f t="shared" si="275"/>
        <v>3.5635483613394463E-2</v>
      </c>
      <c r="T293" s="3">
        <f t="shared" si="275"/>
        <v>3.2060379520392049E-2</v>
      </c>
      <c r="U293" s="3">
        <f t="shared" si="275"/>
        <v>1.1138550535833626E-2</v>
      </c>
      <c r="V293" s="3">
        <f t="shared" si="275"/>
        <v>2.8538351626737614E-7</v>
      </c>
      <c r="W293" s="3">
        <f t="shared" si="275"/>
        <v>3.4788118084104968E-53</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4.1431742608178009E-2</v>
      </c>
      <c r="C294" s="3">
        <f t="shared" si="276"/>
        <v>4.1431742608178009E-2</v>
      </c>
      <c r="D294" s="3">
        <f t="shared" si="276"/>
        <v>4.1431742608178009E-2</v>
      </c>
      <c r="E294" s="3">
        <f t="shared" si="276"/>
        <v>4.1431742608178009E-2</v>
      </c>
      <c r="F294" s="3">
        <f t="shared" si="276"/>
        <v>4.1431742608178002E-2</v>
      </c>
      <c r="G294" s="3">
        <f t="shared" si="276"/>
        <v>4.143174260817796E-2</v>
      </c>
      <c r="H294" s="3">
        <f t="shared" si="276"/>
        <v>4.1431742608177571E-2</v>
      </c>
      <c r="I294" s="3">
        <f t="shared" si="276"/>
        <v>4.1431742608173623E-2</v>
      </c>
      <c r="J294" s="3">
        <f t="shared" si="276"/>
        <v>4.1431742608134106E-2</v>
      </c>
      <c r="K294" s="3">
        <f t="shared" si="276"/>
        <v>4.1431742607738978E-2</v>
      </c>
      <c r="L294" s="3">
        <f t="shared" si="276"/>
        <v>4.1431742603787673E-2</v>
      </c>
      <c r="M294" s="3">
        <f t="shared" si="276"/>
        <v>4.1431742564274621E-2</v>
      </c>
      <c r="N294" s="3">
        <f t="shared" si="276"/>
        <v>4.1431742169144088E-2</v>
      </c>
      <c r="O294" s="3">
        <f t="shared" si="276"/>
        <v>4.1431738217838986E-2</v>
      </c>
      <c r="P294" s="3">
        <f t="shared" si="276"/>
        <v>4.1431698704808735E-2</v>
      </c>
      <c r="Q294" s="3">
        <f t="shared" si="276"/>
        <v>4.143130357657876E-2</v>
      </c>
      <c r="R294" s="3">
        <f t="shared" si="276"/>
        <v>4.1427352501528625E-2</v>
      </c>
      <c r="S294" s="3">
        <f t="shared" si="276"/>
        <v>4.1387862468673216E-2</v>
      </c>
      <c r="T294" s="3">
        <f t="shared" si="276"/>
        <v>4.099502661278466E-2</v>
      </c>
      <c r="U294" s="3">
        <f t="shared" si="276"/>
        <v>3.7266012633007502E-2</v>
      </c>
      <c r="V294" s="3">
        <f t="shared" si="276"/>
        <v>1.4359207407220997E-2</v>
      </c>
      <c r="W294" s="3">
        <f t="shared" si="276"/>
        <v>1.0358715034487769E-6</v>
      </c>
      <c r="X294" s="3">
        <f t="shared" si="276"/>
        <v>3.9542129959159231E-48</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4.558861375636767E-2</v>
      </c>
      <c r="C295" s="3">
        <f t="shared" si="277"/>
        <v>4.558861375636767E-2</v>
      </c>
      <c r="D295" s="3">
        <f t="shared" si="277"/>
        <v>4.558861375636767E-2</v>
      </c>
      <c r="E295" s="3">
        <f t="shared" si="277"/>
        <v>4.558861375636767E-2</v>
      </c>
      <c r="F295" s="3">
        <f t="shared" si="277"/>
        <v>4.558861375636767E-2</v>
      </c>
      <c r="G295" s="3">
        <f t="shared" si="277"/>
        <v>4.5588613756367663E-2</v>
      </c>
      <c r="H295" s="3">
        <f t="shared" si="277"/>
        <v>4.5588613756367621E-2</v>
      </c>
      <c r="I295" s="3">
        <f t="shared" si="277"/>
        <v>4.5588613756367233E-2</v>
      </c>
      <c r="J295" s="3">
        <f t="shared" si="277"/>
        <v>4.5588613756363312E-2</v>
      </c>
      <c r="K295" s="3">
        <f t="shared" si="277"/>
        <v>4.5588613756324094E-2</v>
      </c>
      <c r="L295" s="3">
        <f t="shared" si="277"/>
        <v>4.5588613755931887E-2</v>
      </c>
      <c r="M295" s="3">
        <f t="shared" si="277"/>
        <v>4.5588613752009864E-2</v>
      </c>
      <c r="N295" s="3">
        <f t="shared" si="277"/>
        <v>4.5588613712789612E-2</v>
      </c>
      <c r="O295" s="3">
        <f t="shared" si="277"/>
        <v>4.5588613320587106E-2</v>
      </c>
      <c r="P295" s="3">
        <f t="shared" si="277"/>
        <v>4.558860939856222E-2</v>
      </c>
      <c r="Q295" s="3">
        <f t="shared" si="277"/>
        <v>4.5588570178331948E-2</v>
      </c>
      <c r="R295" s="3">
        <f t="shared" si="277"/>
        <v>4.5588177977884968E-2</v>
      </c>
      <c r="S295" s="3">
        <f t="shared" si="277"/>
        <v>4.5584256158986813E-2</v>
      </c>
      <c r="T295" s="3">
        <f t="shared" si="277"/>
        <v>4.5545056521266725E-2</v>
      </c>
      <c r="U295" s="3">
        <f t="shared" si="277"/>
        <v>4.5154909378648231E-2</v>
      </c>
      <c r="V295" s="3">
        <f t="shared" si="277"/>
        <v>4.1432608052076346E-2</v>
      </c>
      <c r="W295" s="3">
        <f t="shared" si="277"/>
        <v>1.7527308775106856E-2</v>
      </c>
      <c r="X295" s="3">
        <f t="shared" si="277"/>
        <v>3.2169543448462747E-6</v>
      </c>
      <c r="Y295" s="3">
        <f t="shared" si="277"/>
        <v>1.3955374500804522E-43</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5.454765248808658E-2</v>
      </c>
      <c r="C296" s="3">
        <f t="shared" si="278"/>
        <v>5.454765248808658E-2</v>
      </c>
      <c r="D296" s="3">
        <f t="shared" si="278"/>
        <v>5.454765248808658E-2</v>
      </c>
      <c r="E296" s="3">
        <f t="shared" si="278"/>
        <v>5.454765248808658E-2</v>
      </c>
      <c r="F296" s="3">
        <f t="shared" si="278"/>
        <v>5.454765248808658E-2</v>
      </c>
      <c r="G296" s="3">
        <f t="shared" si="278"/>
        <v>5.454765248808658E-2</v>
      </c>
      <c r="H296" s="3">
        <f t="shared" si="278"/>
        <v>5.4547652488086573E-2</v>
      </c>
      <c r="I296" s="3">
        <f t="shared" si="278"/>
        <v>5.4547652488086532E-2</v>
      </c>
      <c r="J296" s="3">
        <f t="shared" si="278"/>
        <v>5.4547652488086108E-2</v>
      </c>
      <c r="K296" s="3">
        <f t="shared" si="278"/>
        <v>5.4547652488081876E-2</v>
      </c>
      <c r="L296" s="3">
        <f t="shared" si="278"/>
        <v>5.4547652488039541E-2</v>
      </c>
      <c r="M296" s="3">
        <f t="shared" si="278"/>
        <v>5.4547652487616213E-2</v>
      </c>
      <c r="N296" s="3">
        <f t="shared" si="278"/>
        <v>5.454765248338294E-2</v>
      </c>
      <c r="O296" s="3">
        <f t="shared" si="278"/>
        <v>5.4547652441050178E-2</v>
      </c>
      <c r="P296" s="3">
        <f t="shared" si="278"/>
        <v>5.4547652017722527E-2</v>
      </c>
      <c r="Q296" s="3">
        <f t="shared" si="278"/>
        <v>5.4547647784446214E-2</v>
      </c>
      <c r="R296" s="3">
        <f t="shared" si="278"/>
        <v>5.4547605451701162E-2</v>
      </c>
      <c r="S296" s="3">
        <f t="shared" si="278"/>
        <v>5.4547182126057588E-2</v>
      </c>
      <c r="T296" s="3">
        <f t="shared" si="278"/>
        <v>5.4542949050308424E-2</v>
      </c>
      <c r="U296" s="3">
        <f t="shared" si="278"/>
        <v>5.4500636356293548E-2</v>
      </c>
      <c r="V296" s="3">
        <f t="shared" si="278"/>
        <v>5.4079310587720981E-2</v>
      </c>
      <c r="W296" s="3">
        <f t="shared" si="278"/>
        <v>5.0041103687755113E-2</v>
      </c>
      <c r="X296" s="3">
        <f t="shared" si="278"/>
        <v>2.3029484268193359E-2</v>
      </c>
      <c r="Y296" s="3">
        <f t="shared" si="278"/>
        <v>9.8142595152242681E-6</v>
      </c>
      <c r="Z296" s="3">
        <f t="shared" si="278"/>
        <v>1.9390579645334252E-39</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6.3488731508467941E-2</v>
      </c>
      <c r="C297" s="3">
        <f t="shared" si="279"/>
        <v>6.3488731508467941E-2</v>
      </c>
      <c r="D297" s="3">
        <f t="shared" si="279"/>
        <v>6.3488731508467941E-2</v>
      </c>
      <c r="E297" s="3">
        <f t="shared" si="279"/>
        <v>6.3488731508467941E-2</v>
      </c>
      <c r="F297" s="3">
        <f t="shared" si="279"/>
        <v>6.3488731508467941E-2</v>
      </c>
      <c r="G297" s="3">
        <f t="shared" si="279"/>
        <v>6.3488731508467941E-2</v>
      </c>
      <c r="H297" s="3">
        <f t="shared" si="279"/>
        <v>6.3488731508467941E-2</v>
      </c>
      <c r="I297" s="3">
        <f t="shared" si="279"/>
        <v>6.3488731508467927E-2</v>
      </c>
      <c r="J297" s="3">
        <f t="shared" si="279"/>
        <v>6.3488731508467885E-2</v>
      </c>
      <c r="K297" s="3">
        <f t="shared" si="279"/>
        <v>6.3488731508467441E-2</v>
      </c>
      <c r="L297" s="3">
        <f t="shared" si="279"/>
        <v>6.3488731508463001E-2</v>
      </c>
      <c r="M297" s="3">
        <f t="shared" si="279"/>
        <v>6.3488731508418564E-2</v>
      </c>
      <c r="N297" s="3">
        <f t="shared" si="279"/>
        <v>6.3488731507974086E-2</v>
      </c>
      <c r="O297" s="3">
        <f t="shared" si="279"/>
        <v>6.3488731503529378E-2</v>
      </c>
      <c r="P297" s="3">
        <f t="shared" si="279"/>
        <v>6.3488731459082223E-2</v>
      </c>
      <c r="Q297" s="3">
        <f t="shared" si="279"/>
        <v>6.3488731014610847E-2</v>
      </c>
      <c r="R297" s="3">
        <f t="shared" si="279"/>
        <v>6.3488726569897111E-2</v>
      </c>
      <c r="S297" s="3">
        <f t="shared" si="279"/>
        <v>6.348868212277696E-2</v>
      </c>
      <c r="T297" s="3">
        <f t="shared" si="279"/>
        <v>6.3488237653286816E-2</v>
      </c>
      <c r="U297" s="3">
        <f t="shared" si="279"/>
        <v>6.3483793129521224E-2</v>
      </c>
      <c r="V297" s="3">
        <f t="shared" si="279"/>
        <v>6.3439365001025039E-2</v>
      </c>
      <c r="W297" s="3">
        <f t="shared" si="279"/>
        <v>6.2996790208536227E-2</v>
      </c>
      <c r="X297" s="3">
        <f t="shared" si="279"/>
        <v>5.8737352773002405E-2</v>
      </c>
      <c r="Y297" s="3">
        <f t="shared" si="279"/>
        <v>2.9165796695978085E-2</v>
      </c>
      <c r="Z297" s="3">
        <f t="shared" si="279"/>
        <v>2.6574713503625506E-5</v>
      </c>
      <c r="AA297" s="3">
        <f t="shared" si="279"/>
        <v>1.0481321954441574E-35</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6.4437498796687767E-2</v>
      </c>
      <c r="C298" s="3">
        <f t="shared" si="280"/>
        <v>6.4437498796687767E-2</v>
      </c>
      <c r="D298" s="3">
        <f t="shared" si="280"/>
        <v>6.4437498796687767E-2</v>
      </c>
      <c r="E298" s="3">
        <f t="shared" si="280"/>
        <v>6.4437498796687767E-2</v>
      </c>
      <c r="F298" s="3">
        <f t="shared" si="280"/>
        <v>6.4437498796687767E-2</v>
      </c>
      <c r="G298" s="3">
        <f t="shared" si="280"/>
        <v>6.4437498796687767E-2</v>
      </c>
      <c r="H298" s="3">
        <f t="shared" si="280"/>
        <v>6.4437498796687767E-2</v>
      </c>
      <c r="I298" s="3">
        <f t="shared" si="280"/>
        <v>6.4437498796687767E-2</v>
      </c>
      <c r="J298" s="3">
        <f t="shared" si="280"/>
        <v>6.4437498796687753E-2</v>
      </c>
      <c r="K298" s="3">
        <f t="shared" si="280"/>
        <v>6.4437498796687726E-2</v>
      </c>
      <c r="L298" s="3">
        <f t="shared" si="280"/>
        <v>6.4437498796687323E-2</v>
      </c>
      <c r="M298" s="3">
        <f t="shared" si="280"/>
        <v>6.4437498796683243E-2</v>
      </c>
      <c r="N298" s="3">
        <f t="shared" si="280"/>
        <v>6.4437498796642553E-2</v>
      </c>
      <c r="O298" s="3">
        <f t="shared" si="280"/>
        <v>6.4437498796235615E-2</v>
      </c>
      <c r="P298" s="3">
        <f t="shared" si="280"/>
        <v>6.443749879216619E-2</v>
      </c>
      <c r="Q298" s="3">
        <f t="shared" si="280"/>
        <v>6.4437498751472005E-2</v>
      </c>
      <c r="R298" s="3">
        <f t="shared" si="280"/>
        <v>6.4437498344530081E-2</v>
      </c>
      <c r="S298" s="3">
        <f t="shared" si="280"/>
        <v>6.4437494275111043E-2</v>
      </c>
      <c r="T298" s="3">
        <f t="shared" si="280"/>
        <v>6.4437453580934889E-2</v>
      </c>
      <c r="U298" s="3">
        <f t="shared" si="280"/>
        <v>6.443704664058679E-2</v>
      </c>
      <c r="V298" s="3">
        <f t="shared" si="280"/>
        <v>6.4432977378449802E-2</v>
      </c>
      <c r="W298" s="3">
        <f t="shared" si="280"/>
        <v>6.4392298888184901E-2</v>
      </c>
      <c r="X298" s="3">
        <f t="shared" si="280"/>
        <v>6.3986923799642284E-2</v>
      </c>
      <c r="Y298" s="3">
        <f t="shared" si="280"/>
        <v>6.0070914978083742E-2</v>
      </c>
      <c r="Z298" s="3">
        <f t="shared" si="280"/>
        <v>3.194437529354878E-2</v>
      </c>
      <c r="AA298" s="3">
        <f t="shared" si="280"/>
        <v>5.776914287360613E-5</v>
      </c>
      <c r="AB298" s="3">
        <f t="shared" si="280"/>
        <v>2.1612806664581198E-32</v>
      </c>
      <c r="AC298" s="3">
        <f t="shared" si="280"/>
        <v>1.1610839313238582E-306</v>
      </c>
      <c r="AD298" s="3">
        <f t="shared" si="280"/>
        <v>0</v>
      </c>
      <c r="AE298" s="3">
        <f t="shared" si="280"/>
        <v>0</v>
      </c>
      <c r="AF298" s="3">
        <f t="shared" si="280"/>
        <v>0</v>
      </c>
      <c r="AG298" s="3"/>
      <c r="AH298" s="3"/>
    </row>
    <row r="299" spans="2:34" x14ac:dyDescent="0.25">
      <c r="B299" s="3">
        <f t="shared" ref="B299:AF299" si="281">$C29*EXP(-B$285/$A29/EXP(-$F$126))</f>
        <v>5.0984711138190433E-2</v>
      </c>
      <c r="C299" s="3">
        <f t="shared" si="281"/>
        <v>5.0984711138190433E-2</v>
      </c>
      <c r="D299" s="3">
        <f t="shared" si="281"/>
        <v>5.0984711138190433E-2</v>
      </c>
      <c r="E299" s="3">
        <f t="shared" si="281"/>
        <v>5.0984711138190433E-2</v>
      </c>
      <c r="F299" s="3">
        <f t="shared" si="281"/>
        <v>5.0984711138190433E-2</v>
      </c>
      <c r="G299" s="3">
        <f t="shared" si="281"/>
        <v>5.0984711138190433E-2</v>
      </c>
      <c r="H299" s="3">
        <f t="shared" si="281"/>
        <v>5.0984711138190433E-2</v>
      </c>
      <c r="I299" s="3">
        <f t="shared" si="281"/>
        <v>5.0984711138190433E-2</v>
      </c>
      <c r="J299" s="3">
        <f t="shared" si="281"/>
        <v>5.0984711138190433E-2</v>
      </c>
      <c r="K299" s="3">
        <f t="shared" si="281"/>
        <v>5.0984711138190426E-2</v>
      </c>
      <c r="L299" s="3">
        <f t="shared" si="281"/>
        <v>5.0984711138190399E-2</v>
      </c>
      <c r="M299" s="3">
        <f t="shared" si="281"/>
        <v>5.0984711138190114E-2</v>
      </c>
      <c r="N299" s="3">
        <f t="shared" si="281"/>
        <v>5.0984711138187207E-2</v>
      </c>
      <c r="O299" s="3">
        <f t="shared" si="281"/>
        <v>5.0984711138158161E-2</v>
      </c>
      <c r="P299" s="3">
        <f t="shared" si="281"/>
        <v>5.0984711137867705E-2</v>
      </c>
      <c r="Q299" s="3">
        <f t="shared" si="281"/>
        <v>5.0984711134963147E-2</v>
      </c>
      <c r="R299" s="3">
        <f t="shared" si="281"/>
        <v>5.0984711105917548E-2</v>
      </c>
      <c r="S299" s="3">
        <f t="shared" si="281"/>
        <v>5.0984710815461576E-2</v>
      </c>
      <c r="T299" s="3">
        <f t="shared" si="281"/>
        <v>5.0984707910901976E-2</v>
      </c>
      <c r="U299" s="3">
        <f t="shared" si="281"/>
        <v>5.0984678865315054E-2</v>
      </c>
      <c r="V299" s="3">
        <f t="shared" si="281"/>
        <v>5.0984388410355935E-2</v>
      </c>
      <c r="W299" s="3">
        <f t="shared" si="281"/>
        <v>5.0981483951771343E-2</v>
      </c>
      <c r="X299" s="3">
        <f t="shared" si="281"/>
        <v>5.0952448464673346E-2</v>
      </c>
      <c r="Y299" s="3">
        <f t="shared" si="281"/>
        <v>5.0663001553511583E-2</v>
      </c>
      <c r="Z299" s="3">
        <f t="shared" si="281"/>
        <v>4.7857443384669018E-2</v>
      </c>
      <c r="AA299" s="3">
        <f t="shared" si="281"/>
        <v>2.7072930894372196E-2</v>
      </c>
      <c r="AB299" s="3">
        <f t="shared" si="281"/>
        <v>9.0864256901930789E-5</v>
      </c>
      <c r="AC299" s="3">
        <f t="shared" si="281"/>
        <v>1.6480528118181295E-29</v>
      </c>
      <c r="AD299" s="3">
        <f t="shared" si="281"/>
        <v>6.3496761787109193E-277</v>
      </c>
      <c r="AE299" s="3">
        <f t="shared" si="281"/>
        <v>0</v>
      </c>
      <c r="AF299" s="3">
        <f t="shared" si="281"/>
        <v>0</v>
      </c>
      <c r="AG299" s="3"/>
      <c r="AH299" s="3"/>
    </row>
    <row r="300" spans="2:34" x14ac:dyDescent="0.25">
      <c r="B300" s="3">
        <f t="shared" ref="B300:AF300" si="282">$C30*EXP(-B$285/$A30/EXP(-$F$126))</f>
        <v>3.1725580310806592E-2</v>
      </c>
      <c r="C300" s="3">
        <f t="shared" si="282"/>
        <v>3.1725580310806592E-2</v>
      </c>
      <c r="D300" s="3">
        <f t="shared" si="282"/>
        <v>3.1725580310806592E-2</v>
      </c>
      <c r="E300" s="3">
        <f t="shared" si="282"/>
        <v>3.1725580310806592E-2</v>
      </c>
      <c r="F300" s="3">
        <f t="shared" si="282"/>
        <v>3.1725580310806592E-2</v>
      </c>
      <c r="G300" s="3">
        <f t="shared" si="282"/>
        <v>3.1725580310806592E-2</v>
      </c>
      <c r="H300" s="3">
        <f t="shared" si="282"/>
        <v>3.1725580310806592E-2</v>
      </c>
      <c r="I300" s="3">
        <f t="shared" si="282"/>
        <v>3.1725580310806592E-2</v>
      </c>
      <c r="J300" s="3">
        <f t="shared" si="282"/>
        <v>3.1725580310806592E-2</v>
      </c>
      <c r="K300" s="3">
        <f t="shared" si="282"/>
        <v>3.1725580310806592E-2</v>
      </c>
      <c r="L300" s="3">
        <f t="shared" si="282"/>
        <v>3.1725580310806585E-2</v>
      </c>
      <c r="M300" s="3">
        <f t="shared" si="282"/>
        <v>3.1725580310806571E-2</v>
      </c>
      <c r="N300" s="3">
        <f t="shared" si="282"/>
        <v>3.1725580310806412E-2</v>
      </c>
      <c r="O300" s="3">
        <f t="shared" si="282"/>
        <v>3.1725580310804781E-2</v>
      </c>
      <c r="P300" s="3">
        <f t="shared" si="282"/>
        <v>3.1725580310788475E-2</v>
      </c>
      <c r="Q300" s="3">
        <f t="shared" si="282"/>
        <v>3.1725580310625438E-2</v>
      </c>
      <c r="R300" s="3">
        <f t="shared" si="282"/>
        <v>3.1725580308995027E-2</v>
      </c>
      <c r="S300" s="3">
        <f t="shared" si="282"/>
        <v>3.1725580292690937E-2</v>
      </c>
      <c r="T300" s="3">
        <f t="shared" si="282"/>
        <v>3.1725580129650058E-2</v>
      </c>
      <c r="U300" s="3">
        <f t="shared" si="282"/>
        <v>3.1725578499241312E-2</v>
      </c>
      <c r="V300" s="3">
        <f t="shared" si="282"/>
        <v>3.1725562195158444E-2</v>
      </c>
      <c r="W300" s="3">
        <f t="shared" si="282"/>
        <v>3.1725399154790584E-2</v>
      </c>
      <c r="X300" s="3">
        <f t="shared" si="282"/>
        <v>3.1723768797194636E-2</v>
      </c>
      <c r="Y300" s="3">
        <f t="shared" si="282"/>
        <v>3.1707469828618849E-2</v>
      </c>
      <c r="Z300" s="3">
        <f t="shared" si="282"/>
        <v>3.1544940006358074E-2</v>
      </c>
      <c r="AA300" s="3">
        <f t="shared" si="282"/>
        <v>2.9964765608408713E-2</v>
      </c>
      <c r="AB300" s="3">
        <f t="shared" si="282"/>
        <v>1.7923494048556653E-2</v>
      </c>
      <c r="AC300" s="3">
        <f t="shared" si="282"/>
        <v>1.0508496571213938E-4</v>
      </c>
      <c r="AD300" s="3">
        <f t="shared" si="282"/>
        <v>5.0433568189307044E-27</v>
      </c>
      <c r="AE300" s="3">
        <f t="shared" si="282"/>
        <v>3.2697216589615879E-250</v>
      </c>
      <c r="AF300" s="3">
        <f t="shared" si="282"/>
        <v>0</v>
      </c>
      <c r="AG300" s="3"/>
      <c r="AH300" s="3"/>
    </row>
    <row r="301" spans="2:34" x14ac:dyDescent="0.25">
      <c r="B301" s="3">
        <f t="shared" ref="B301:AF301" si="283">$C31*EXP(-B$285/$A31/EXP(-$F$126))</f>
        <v>1.5443830992985543E-2</v>
      </c>
      <c r="C301" s="3">
        <f t="shared" si="283"/>
        <v>1.5443830992985543E-2</v>
      </c>
      <c r="D301" s="3">
        <f t="shared" si="283"/>
        <v>1.5443830992985543E-2</v>
      </c>
      <c r="E301" s="3">
        <f t="shared" si="283"/>
        <v>1.5443830992985543E-2</v>
      </c>
      <c r="F301" s="3">
        <f t="shared" si="283"/>
        <v>1.5443830992985543E-2</v>
      </c>
      <c r="G301" s="3">
        <f t="shared" si="283"/>
        <v>1.5443830992985543E-2</v>
      </c>
      <c r="H301" s="3">
        <f t="shared" si="283"/>
        <v>1.5443830992985543E-2</v>
      </c>
      <c r="I301" s="3">
        <f t="shared" si="283"/>
        <v>1.5443830992985543E-2</v>
      </c>
      <c r="J301" s="3">
        <f t="shared" si="283"/>
        <v>1.5443830992985543E-2</v>
      </c>
      <c r="K301" s="3">
        <f t="shared" si="283"/>
        <v>1.5443830992985543E-2</v>
      </c>
      <c r="L301" s="3">
        <f t="shared" si="283"/>
        <v>1.5443830992985543E-2</v>
      </c>
      <c r="M301" s="3">
        <f t="shared" si="283"/>
        <v>1.5443830992985543E-2</v>
      </c>
      <c r="N301" s="3">
        <f t="shared" si="283"/>
        <v>1.5443830992985534E-2</v>
      </c>
      <c r="O301" s="3">
        <f t="shared" si="283"/>
        <v>1.5443830992985465E-2</v>
      </c>
      <c r="P301" s="3">
        <f t="shared" si="283"/>
        <v>1.5443830992984747E-2</v>
      </c>
      <c r="Q301" s="3">
        <f t="shared" si="283"/>
        <v>1.5443830992977588E-2</v>
      </c>
      <c r="R301" s="3">
        <f t="shared" si="283"/>
        <v>1.5443830992905992E-2</v>
      </c>
      <c r="S301" s="3">
        <f t="shared" si="283"/>
        <v>1.5443830992190034E-2</v>
      </c>
      <c r="T301" s="3">
        <f t="shared" si="283"/>
        <v>1.5443830985030434E-2</v>
      </c>
      <c r="U301" s="3">
        <f t="shared" si="283"/>
        <v>1.5443830913434467E-2</v>
      </c>
      <c r="V301" s="3">
        <f t="shared" si="283"/>
        <v>1.5443830197474804E-2</v>
      </c>
      <c r="W301" s="3">
        <f t="shared" si="283"/>
        <v>1.5443823037880005E-2</v>
      </c>
      <c r="X301" s="3">
        <f t="shared" si="283"/>
        <v>1.5443751442114559E-2</v>
      </c>
      <c r="Y301" s="3">
        <f t="shared" si="283"/>
        <v>1.5443035502714871E-2</v>
      </c>
      <c r="Z301" s="3">
        <f t="shared" si="283"/>
        <v>1.5435877933882507E-2</v>
      </c>
      <c r="AA301" s="3">
        <f t="shared" si="283"/>
        <v>1.5364484449330628E-2</v>
      </c>
      <c r="AB301" s="3">
        <f t="shared" si="283"/>
        <v>1.4668461287984796E-2</v>
      </c>
      <c r="AC301" s="3">
        <f t="shared" si="283"/>
        <v>9.2267813074857659E-3</v>
      </c>
      <c r="AD301" s="3">
        <f t="shared" si="283"/>
        <v>8.9476071529629464E-5</v>
      </c>
      <c r="AE301" s="3">
        <f t="shared" si="283"/>
        <v>6.580724615046828E-25</v>
      </c>
      <c r="AF301" s="3">
        <f t="shared" si="283"/>
        <v>3.0474866272318891E-226</v>
      </c>
      <c r="AG301" s="3"/>
      <c r="AH301" s="3"/>
    </row>
    <row r="302" spans="2:34" x14ac:dyDescent="0.25">
      <c r="B302" s="3">
        <f t="shared" ref="B302:AF302" si="284">$C32*EXP(-B$285/$A32/EXP(-$F$126))</f>
        <v>7.0696001208784189E-3</v>
      </c>
      <c r="C302" s="3">
        <f t="shared" si="284"/>
        <v>7.0696001208784189E-3</v>
      </c>
      <c r="D302" s="3">
        <f t="shared" si="284"/>
        <v>7.0696001208784189E-3</v>
      </c>
      <c r="E302" s="3">
        <f t="shared" si="284"/>
        <v>7.0696001208784189E-3</v>
      </c>
      <c r="F302" s="3">
        <f t="shared" si="284"/>
        <v>7.0696001208784189E-3</v>
      </c>
      <c r="G302" s="3">
        <f t="shared" si="284"/>
        <v>7.0696001208784189E-3</v>
      </c>
      <c r="H302" s="3">
        <f t="shared" si="284"/>
        <v>7.0696001208784189E-3</v>
      </c>
      <c r="I302" s="3">
        <f t="shared" si="284"/>
        <v>7.0696001208784189E-3</v>
      </c>
      <c r="J302" s="3">
        <f t="shared" si="284"/>
        <v>7.0696001208784189E-3</v>
      </c>
      <c r="K302" s="3">
        <f t="shared" si="284"/>
        <v>7.0696001208784189E-3</v>
      </c>
      <c r="L302" s="3">
        <f t="shared" si="284"/>
        <v>7.0696001208784189E-3</v>
      </c>
      <c r="M302" s="3">
        <f t="shared" si="284"/>
        <v>7.0696001208784189E-3</v>
      </c>
      <c r="N302" s="3">
        <f t="shared" si="284"/>
        <v>7.0696001208784189E-3</v>
      </c>
      <c r="O302" s="3">
        <f t="shared" si="284"/>
        <v>7.0696001208784155E-3</v>
      </c>
      <c r="P302" s="3">
        <f t="shared" si="284"/>
        <v>7.069600120878386E-3</v>
      </c>
      <c r="Q302" s="3">
        <f t="shared" si="284"/>
        <v>7.0696001208780902E-3</v>
      </c>
      <c r="R302" s="3">
        <f t="shared" si="284"/>
        <v>7.0696001208751342E-3</v>
      </c>
      <c r="S302" s="3">
        <f t="shared" si="284"/>
        <v>7.0696001208455693E-3</v>
      </c>
      <c r="T302" s="3">
        <f t="shared" si="284"/>
        <v>7.0696001205499213E-3</v>
      </c>
      <c r="U302" s="3">
        <f t="shared" si="284"/>
        <v>7.0696001175934407E-3</v>
      </c>
      <c r="V302" s="3">
        <f t="shared" si="284"/>
        <v>7.0696000880286396E-3</v>
      </c>
      <c r="W302" s="3">
        <f t="shared" si="284"/>
        <v>7.0695997923806318E-3</v>
      </c>
      <c r="X302" s="3">
        <f t="shared" si="284"/>
        <v>7.0695968359012415E-3</v>
      </c>
      <c r="Y302" s="3">
        <f t="shared" si="284"/>
        <v>7.0695672711753336E-3</v>
      </c>
      <c r="Z302" s="3">
        <f t="shared" si="284"/>
        <v>7.069271630716272E-3</v>
      </c>
      <c r="AA302" s="3">
        <f t="shared" si="284"/>
        <v>7.0663159060226372E-3</v>
      </c>
      <c r="AB302" s="3">
        <f t="shared" si="284"/>
        <v>7.0368265436993403E-3</v>
      </c>
      <c r="AC302" s="3">
        <f t="shared" si="284"/>
        <v>6.7486175067765601E-3</v>
      </c>
      <c r="AD302" s="3">
        <f t="shared" si="284"/>
        <v>4.4421630715283829E-3</v>
      </c>
      <c r="AE302" s="3">
        <f t="shared" si="284"/>
        <v>6.7825238499708747E-5</v>
      </c>
      <c r="AF302" s="3">
        <f t="shared" si="284"/>
        <v>4.6704599376459696E-23</v>
      </c>
      <c r="AG302" s="3"/>
      <c r="AH302" s="3"/>
    </row>
    <row r="303" spans="2:34" x14ac:dyDescent="0.25">
      <c r="B303" s="3">
        <f t="shared" ref="B303:AF303" si="285">$C33*EXP(-B$285/$A33/EXP(-$F$126))</f>
        <v>3.5043206729719373E-3</v>
      </c>
      <c r="C303" s="3">
        <f t="shared" si="285"/>
        <v>3.5043206729719373E-3</v>
      </c>
      <c r="D303" s="3">
        <f t="shared" si="285"/>
        <v>3.5043206729719373E-3</v>
      </c>
      <c r="E303" s="3">
        <f t="shared" si="285"/>
        <v>3.5043206729719373E-3</v>
      </c>
      <c r="F303" s="3">
        <f t="shared" si="285"/>
        <v>3.5043206729719373E-3</v>
      </c>
      <c r="G303" s="3">
        <f t="shared" si="285"/>
        <v>3.5043206729719373E-3</v>
      </c>
      <c r="H303" s="3">
        <f t="shared" si="285"/>
        <v>3.5043206729719373E-3</v>
      </c>
      <c r="I303" s="3">
        <f t="shared" si="285"/>
        <v>3.5043206729719373E-3</v>
      </c>
      <c r="J303" s="3">
        <f t="shared" si="285"/>
        <v>3.5043206729719373E-3</v>
      </c>
      <c r="K303" s="3">
        <f t="shared" si="285"/>
        <v>3.5043206729719373E-3</v>
      </c>
      <c r="L303" s="3">
        <f t="shared" si="285"/>
        <v>3.5043206729719373E-3</v>
      </c>
      <c r="M303" s="3">
        <f t="shared" si="285"/>
        <v>3.5043206729719373E-3</v>
      </c>
      <c r="N303" s="3">
        <f t="shared" si="285"/>
        <v>3.5043206729719373E-3</v>
      </c>
      <c r="O303" s="3">
        <f t="shared" si="285"/>
        <v>3.5043206729719373E-3</v>
      </c>
      <c r="P303" s="3">
        <f t="shared" si="285"/>
        <v>3.5043206729719356E-3</v>
      </c>
      <c r="Q303" s="3">
        <f t="shared" si="285"/>
        <v>3.5043206729719226E-3</v>
      </c>
      <c r="R303" s="3">
        <f t="shared" si="285"/>
        <v>3.5043206729717903E-3</v>
      </c>
      <c r="S303" s="3">
        <f t="shared" si="285"/>
        <v>3.5043206729704684E-3</v>
      </c>
      <c r="T303" s="3">
        <f t="shared" si="285"/>
        <v>3.5043206729572485E-3</v>
      </c>
      <c r="U303" s="3">
        <f t="shared" si="285"/>
        <v>3.5043206728250487E-3</v>
      </c>
      <c r="V303" s="3">
        <f t="shared" si="285"/>
        <v>3.5043206715030515E-3</v>
      </c>
      <c r="W303" s="3">
        <f t="shared" si="285"/>
        <v>3.5043206582830791E-3</v>
      </c>
      <c r="X303" s="3">
        <f t="shared" si="285"/>
        <v>3.5043205260833579E-3</v>
      </c>
      <c r="Y303" s="3">
        <f t="shared" si="285"/>
        <v>3.5043192040864206E-3</v>
      </c>
      <c r="Z303" s="3">
        <f t="shared" si="285"/>
        <v>3.5043059841444765E-3</v>
      </c>
      <c r="AA303" s="3">
        <f t="shared" si="285"/>
        <v>3.504173787467956E-3</v>
      </c>
      <c r="AB303" s="3">
        <f t="shared" si="285"/>
        <v>3.5028520949565178E-3</v>
      </c>
      <c r="AC303" s="3">
        <f t="shared" si="285"/>
        <v>3.4896625569761498E-3</v>
      </c>
      <c r="AD303" s="3">
        <f t="shared" si="285"/>
        <v>3.3604680458322448E-3</v>
      </c>
      <c r="AE303" s="3">
        <f t="shared" si="285"/>
        <v>2.3044279550711593E-3</v>
      </c>
      <c r="AF303" s="3">
        <f t="shared" si="285"/>
        <v>5.2990349518026398E-5</v>
      </c>
      <c r="AG303" s="3"/>
      <c r="AH303" s="3"/>
    </row>
    <row r="304" spans="2:34" x14ac:dyDescent="0.25">
      <c r="B304" s="3">
        <f t="shared" ref="B304:AF304" si="286">$C34*EXP(-B$285/$A34/EXP(-$F$126))</f>
        <v>2.9646797109614421E-3</v>
      </c>
      <c r="C304" s="3">
        <f t="shared" si="286"/>
        <v>2.9646797109614421E-3</v>
      </c>
      <c r="D304" s="3">
        <f t="shared" si="286"/>
        <v>2.9646797109614421E-3</v>
      </c>
      <c r="E304" s="3">
        <f t="shared" si="286"/>
        <v>2.9646797109614421E-3</v>
      </c>
      <c r="F304" s="3">
        <f t="shared" si="286"/>
        <v>2.9646797109614421E-3</v>
      </c>
      <c r="G304" s="3">
        <f t="shared" si="286"/>
        <v>2.9646797109614421E-3</v>
      </c>
      <c r="H304" s="3">
        <f t="shared" si="286"/>
        <v>2.9646797109614421E-3</v>
      </c>
      <c r="I304" s="3">
        <f t="shared" si="286"/>
        <v>2.9646797109614421E-3</v>
      </c>
      <c r="J304" s="3">
        <f t="shared" si="286"/>
        <v>2.9646797109614421E-3</v>
      </c>
      <c r="K304" s="3">
        <f t="shared" si="286"/>
        <v>2.9646797109614421E-3</v>
      </c>
      <c r="L304" s="3">
        <f t="shared" si="286"/>
        <v>2.9646797109614421E-3</v>
      </c>
      <c r="M304" s="3">
        <f t="shared" si="286"/>
        <v>2.9646797109614421E-3</v>
      </c>
      <c r="N304" s="3">
        <f t="shared" si="286"/>
        <v>2.9646797109614421E-3</v>
      </c>
      <c r="O304" s="3">
        <f t="shared" si="286"/>
        <v>2.9646797109614421E-3</v>
      </c>
      <c r="P304" s="3">
        <f t="shared" si="286"/>
        <v>2.9646797109614421E-3</v>
      </c>
      <c r="Q304" s="3">
        <f t="shared" si="286"/>
        <v>2.9646797109614412E-3</v>
      </c>
      <c r="R304" s="3">
        <f t="shared" si="286"/>
        <v>2.9646797109614308E-3</v>
      </c>
      <c r="S304" s="3">
        <f t="shared" si="286"/>
        <v>2.9646797109613298E-3</v>
      </c>
      <c r="T304" s="3">
        <f t="shared" si="286"/>
        <v>2.964679710960321E-3</v>
      </c>
      <c r="U304" s="3">
        <f t="shared" si="286"/>
        <v>2.9646797109502319E-3</v>
      </c>
      <c r="V304" s="3">
        <f t="shared" si="286"/>
        <v>2.9646797108493412E-3</v>
      </c>
      <c r="W304" s="3">
        <f t="shared" si="286"/>
        <v>2.9646797098404343E-3</v>
      </c>
      <c r="X304" s="3">
        <f t="shared" si="286"/>
        <v>2.9646796997513658E-3</v>
      </c>
      <c r="Y304" s="3">
        <f t="shared" si="286"/>
        <v>2.9646795988606807E-3</v>
      </c>
      <c r="Z304" s="3">
        <f t="shared" si="286"/>
        <v>2.9646785899540172E-3</v>
      </c>
      <c r="AA304" s="3">
        <f t="shared" si="286"/>
        <v>2.964668500906268E-3</v>
      </c>
      <c r="AB304" s="3">
        <f t="shared" si="286"/>
        <v>2.9645676123171184E-3</v>
      </c>
      <c r="AC304" s="3">
        <f t="shared" si="286"/>
        <v>2.963558915236197E-3</v>
      </c>
      <c r="AD304" s="3">
        <f t="shared" si="286"/>
        <v>2.9534908017320029E-3</v>
      </c>
      <c r="AE304" s="3">
        <f t="shared" si="286"/>
        <v>2.8546718677371747E-3</v>
      </c>
      <c r="AF304" s="3">
        <f t="shared" si="286"/>
        <v>2.0312431811977533E-3</v>
      </c>
      <c r="AG304" s="3"/>
      <c r="AH304" s="3"/>
    </row>
    <row r="305" spans="1:34" x14ac:dyDescent="0.25">
      <c r="B305" s="3">
        <f t="shared" ref="B305:AF305" si="287">$C35*EXP(-B$285/$A35/EXP(-$F$126))</f>
        <v>0</v>
      </c>
      <c r="C305" s="3">
        <f t="shared" si="287"/>
        <v>0</v>
      </c>
      <c r="D305" s="3">
        <f t="shared" si="287"/>
        <v>0</v>
      </c>
      <c r="E305" s="3">
        <f t="shared" si="287"/>
        <v>0</v>
      </c>
      <c r="F305" s="3">
        <f t="shared" si="287"/>
        <v>0</v>
      </c>
      <c r="G305" s="3">
        <f t="shared" si="287"/>
        <v>0</v>
      </c>
      <c r="H305" s="3">
        <f t="shared" si="287"/>
        <v>0</v>
      </c>
      <c r="I305" s="3">
        <f t="shared" si="287"/>
        <v>0</v>
      </c>
      <c r="J305" s="3">
        <f t="shared" si="287"/>
        <v>0</v>
      </c>
      <c r="K305" s="3">
        <f t="shared" si="287"/>
        <v>0</v>
      </c>
      <c r="L305" s="3">
        <f t="shared" si="287"/>
        <v>0</v>
      </c>
      <c r="M305" s="3">
        <f t="shared" si="287"/>
        <v>0</v>
      </c>
      <c r="N305" s="3">
        <f t="shared" si="287"/>
        <v>0</v>
      </c>
      <c r="O305" s="3">
        <f t="shared" si="287"/>
        <v>0</v>
      </c>
      <c r="P305" s="3">
        <f t="shared" si="287"/>
        <v>0</v>
      </c>
      <c r="Q305" s="3">
        <f t="shared" si="287"/>
        <v>0</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3.098114236407119E-3</v>
      </c>
      <c r="C306" s="3">
        <f t="shared" si="288"/>
        <v>3.098114236407119E-3</v>
      </c>
      <c r="D306" s="3">
        <f t="shared" si="288"/>
        <v>3.098114236407119E-3</v>
      </c>
      <c r="E306" s="3">
        <f t="shared" si="288"/>
        <v>3.098114236407119E-3</v>
      </c>
      <c r="F306" s="3">
        <f t="shared" si="288"/>
        <v>3.098114236407119E-3</v>
      </c>
      <c r="G306" s="3">
        <f t="shared" si="288"/>
        <v>3.098114236407119E-3</v>
      </c>
      <c r="H306" s="3">
        <f t="shared" si="288"/>
        <v>3.098114236407119E-3</v>
      </c>
      <c r="I306" s="3">
        <f t="shared" si="288"/>
        <v>3.098114236407119E-3</v>
      </c>
      <c r="J306" s="3">
        <f t="shared" si="288"/>
        <v>3.098114236407119E-3</v>
      </c>
      <c r="K306" s="3">
        <f t="shared" si="288"/>
        <v>3.098114236407119E-3</v>
      </c>
      <c r="L306" s="3">
        <f t="shared" si="288"/>
        <v>3.098114236407119E-3</v>
      </c>
      <c r="M306" s="3">
        <f t="shared" si="288"/>
        <v>3.098114236407119E-3</v>
      </c>
      <c r="N306" s="3">
        <f t="shared" si="288"/>
        <v>3.098114236407119E-3</v>
      </c>
      <c r="O306" s="3">
        <f t="shared" si="288"/>
        <v>3.098114236407119E-3</v>
      </c>
      <c r="P306" s="3">
        <f t="shared" si="288"/>
        <v>3.098114236407119E-3</v>
      </c>
      <c r="Q306" s="3">
        <f t="shared" si="288"/>
        <v>3.098114236407119E-3</v>
      </c>
      <c r="R306" s="3">
        <f t="shared" si="288"/>
        <v>3.098114236407119E-3</v>
      </c>
      <c r="S306" s="3">
        <f t="shared" si="288"/>
        <v>3.0981142364071182E-3</v>
      </c>
      <c r="T306" s="3">
        <f t="shared" si="288"/>
        <v>3.0981142364071095E-3</v>
      </c>
      <c r="U306" s="3">
        <f t="shared" si="288"/>
        <v>3.0981142364070236E-3</v>
      </c>
      <c r="V306" s="3">
        <f t="shared" si="288"/>
        <v>3.0981142364061658E-3</v>
      </c>
      <c r="W306" s="3">
        <f t="shared" si="288"/>
        <v>3.0981142363975863E-3</v>
      </c>
      <c r="X306" s="3">
        <f t="shared" si="288"/>
        <v>3.0981142363117908E-3</v>
      </c>
      <c r="Y306" s="3">
        <f t="shared" si="288"/>
        <v>3.0981142354538369E-3</v>
      </c>
      <c r="Z306" s="3">
        <f t="shared" si="288"/>
        <v>3.0981142268742988E-3</v>
      </c>
      <c r="AA306" s="3">
        <f t="shared" si="288"/>
        <v>3.0981141410789188E-3</v>
      </c>
      <c r="AB306" s="3">
        <f t="shared" si="288"/>
        <v>3.0981132831252511E-3</v>
      </c>
      <c r="AC306" s="3">
        <f t="shared" si="288"/>
        <v>3.0981047036016418E-3</v>
      </c>
      <c r="AD306" s="3">
        <f t="shared" si="288"/>
        <v>3.0980189096722825E-3</v>
      </c>
      <c r="AE306" s="3">
        <f t="shared" si="288"/>
        <v>3.0971611010389868E-3</v>
      </c>
      <c r="AF306" s="3">
        <f t="shared" si="288"/>
        <v>3.0885960673576345E-3</v>
      </c>
      <c r="AG306" s="3"/>
      <c r="AH306" s="3"/>
    </row>
    <row r="307" spans="1:34" x14ac:dyDescent="0.25">
      <c r="B307" s="3">
        <f t="shared" ref="B307:AF307" si="289">$C37*EXP(-B$285/$A37/EXP(-$F$126))</f>
        <v>1.3450651080742435E-3</v>
      </c>
      <c r="C307" s="3">
        <f t="shared" si="289"/>
        <v>1.3450651080742435E-3</v>
      </c>
      <c r="D307" s="3">
        <f t="shared" si="289"/>
        <v>1.3450651080742435E-3</v>
      </c>
      <c r="E307" s="3">
        <f t="shared" si="289"/>
        <v>1.3450651080742435E-3</v>
      </c>
      <c r="F307" s="3">
        <f t="shared" si="289"/>
        <v>1.3450651080742435E-3</v>
      </c>
      <c r="G307" s="3">
        <f t="shared" si="289"/>
        <v>1.3450651080742435E-3</v>
      </c>
      <c r="H307" s="3">
        <f t="shared" si="289"/>
        <v>1.3450651080742435E-3</v>
      </c>
      <c r="I307" s="3">
        <f t="shared" si="289"/>
        <v>1.3450651080742435E-3</v>
      </c>
      <c r="J307" s="3">
        <f t="shared" si="289"/>
        <v>1.3450651080742435E-3</v>
      </c>
      <c r="K307" s="3">
        <f t="shared" si="289"/>
        <v>1.3450651080742435E-3</v>
      </c>
      <c r="L307" s="3">
        <f t="shared" si="289"/>
        <v>1.3450651080742435E-3</v>
      </c>
      <c r="M307" s="3">
        <f t="shared" si="289"/>
        <v>1.3450651080742435E-3</v>
      </c>
      <c r="N307" s="3">
        <f t="shared" si="289"/>
        <v>1.3450651080742435E-3</v>
      </c>
      <c r="O307" s="3">
        <f t="shared" si="289"/>
        <v>1.3450651080742435E-3</v>
      </c>
      <c r="P307" s="3">
        <f t="shared" si="289"/>
        <v>1.3450651080742435E-3</v>
      </c>
      <c r="Q307" s="3">
        <f t="shared" si="289"/>
        <v>1.3450651080742435E-3</v>
      </c>
      <c r="R307" s="3">
        <f t="shared" si="289"/>
        <v>1.3450651080742435E-3</v>
      </c>
      <c r="S307" s="3">
        <f t="shared" si="289"/>
        <v>1.3450651080742435E-3</v>
      </c>
      <c r="T307" s="3">
        <f t="shared" si="289"/>
        <v>1.3450651080742432E-3</v>
      </c>
      <c r="U307" s="3">
        <f t="shared" si="289"/>
        <v>1.3450651080742398E-3</v>
      </c>
      <c r="V307" s="3">
        <f t="shared" si="289"/>
        <v>1.3450651080742062E-3</v>
      </c>
      <c r="W307" s="3">
        <f t="shared" si="289"/>
        <v>1.3450651080738701E-3</v>
      </c>
      <c r="X307" s="3">
        <f t="shared" si="289"/>
        <v>1.3450651080705099E-3</v>
      </c>
      <c r="Y307" s="3">
        <f t="shared" si="289"/>
        <v>1.3450651080369085E-3</v>
      </c>
      <c r="Z307" s="3">
        <f t="shared" si="289"/>
        <v>1.3450651077008954E-3</v>
      </c>
      <c r="AA307" s="3">
        <f t="shared" si="289"/>
        <v>1.3450651043407631E-3</v>
      </c>
      <c r="AB307" s="3">
        <f t="shared" si="289"/>
        <v>1.3450650707394405E-3</v>
      </c>
      <c r="AC307" s="3">
        <f t="shared" si="289"/>
        <v>1.3450647347262605E-3</v>
      </c>
      <c r="AD307" s="3">
        <f t="shared" si="289"/>
        <v>1.3450613745990768E-3</v>
      </c>
      <c r="AE307" s="3">
        <f t="shared" si="289"/>
        <v>1.3450277737889062E-3</v>
      </c>
      <c r="AF307" s="3">
        <f t="shared" si="289"/>
        <v>1.34469181184951E-3</v>
      </c>
      <c r="AG307" s="3"/>
      <c r="AH307" s="3"/>
    </row>
    <row r="308" spans="1:34" x14ac:dyDescent="0.25">
      <c r="B308" s="3">
        <f t="shared" ref="B308:AF308" si="290">$C38*EXP(-B$285/$A38/EXP(-$F$126))</f>
        <v>1.5999872696703847E-4</v>
      </c>
      <c r="C308" s="3">
        <f t="shared" si="290"/>
        <v>1.5999872696703847E-4</v>
      </c>
      <c r="D308" s="3">
        <f t="shared" si="290"/>
        <v>1.5999872696703847E-4</v>
      </c>
      <c r="E308" s="3">
        <f t="shared" si="290"/>
        <v>1.5999872696703847E-4</v>
      </c>
      <c r="F308" s="3">
        <f t="shared" si="290"/>
        <v>1.5999872696703847E-4</v>
      </c>
      <c r="G308" s="3">
        <f t="shared" si="290"/>
        <v>1.5999872696703847E-4</v>
      </c>
      <c r="H308" s="3">
        <f t="shared" si="290"/>
        <v>1.5999872696703847E-4</v>
      </c>
      <c r="I308" s="3">
        <f t="shared" si="290"/>
        <v>1.5999872696703847E-4</v>
      </c>
      <c r="J308" s="3">
        <f t="shared" si="290"/>
        <v>1.5999872696703847E-4</v>
      </c>
      <c r="K308" s="3">
        <f t="shared" si="290"/>
        <v>1.5999872696703847E-4</v>
      </c>
      <c r="L308" s="3">
        <f t="shared" si="290"/>
        <v>1.5999872696703847E-4</v>
      </c>
      <c r="M308" s="3">
        <f t="shared" si="290"/>
        <v>1.5999872696703847E-4</v>
      </c>
      <c r="N308" s="3">
        <f t="shared" si="290"/>
        <v>1.5999872696703847E-4</v>
      </c>
      <c r="O308" s="3">
        <f t="shared" si="290"/>
        <v>1.5999872696703847E-4</v>
      </c>
      <c r="P308" s="3">
        <f t="shared" si="290"/>
        <v>1.5999872696703847E-4</v>
      </c>
      <c r="Q308" s="3">
        <f t="shared" si="290"/>
        <v>1.5999872696703847E-4</v>
      </c>
      <c r="R308" s="3">
        <f t="shared" si="290"/>
        <v>1.5999872696703847E-4</v>
      </c>
      <c r="S308" s="3">
        <f t="shared" si="290"/>
        <v>1.5999872696703847E-4</v>
      </c>
      <c r="T308" s="3">
        <f t="shared" si="290"/>
        <v>1.5999872696703847E-4</v>
      </c>
      <c r="U308" s="3">
        <f t="shared" si="290"/>
        <v>1.5999872696703844E-4</v>
      </c>
      <c r="V308" s="3">
        <f t="shared" si="290"/>
        <v>1.5999872696703806E-4</v>
      </c>
      <c r="W308" s="3">
        <f t="shared" si="290"/>
        <v>1.5999872696703446E-4</v>
      </c>
      <c r="X308" s="3">
        <f t="shared" si="290"/>
        <v>1.5999872696699841E-4</v>
      </c>
      <c r="Y308" s="3">
        <f t="shared" si="290"/>
        <v>1.5999872696663786E-4</v>
      </c>
      <c r="Z308" s="3">
        <f t="shared" si="290"/>
        <v>1.5999872696303226E-4</v>
      </c>
      <c r="AA308" s="3">
        <f t="shared" si="290"/>
        <v>1.5999872692697636E-4</v>
      </c>
      <c r="AB308" s="3">
        <f t="shared" si="290"/>
        <v>1.599987265664175E-4</v>
      </c>
      <c r="AC308" s="3">
        <f t="shared" si="290"/>
        <v>1.599987229608288E-4</v>
      </c>
      <c r="AD308" s="3">
        <f t="shared" si="290"/>
        <v>1.5999868690494623E-4</v>
      </c>
      <c r="AE308" s="3">
        <f t="shared" si="290"/>
        <v>1.5999832634656751E-4</v>
      </c>
      <c r="AF308" s="3">
        <f t="shared" si="290"/>
        <v>1.5999472080746873E-4</v>
      </c>
      <c r="AG308" s="3"/>
      <c r="AH308" s="3"/>
    </row>
    <row r="309" spans="1:34" x14ac:dyDescent="0.25">
      <c r="B309" s="3">
        <f t="shared" ref="B309:AF309" si="291">$C39*EXP(-B$285/$A39/EXP(-$F$126))</f>
        <v>0</v>
      </c>
      <c r="C309" s="3">
        <f t="shared" si="291"/>
        <v>0</v>
      </c>
      <c r="D309" s="3">
        <f t="shared" si="291"/>
        <v>0</v>
      </c>
      <c r="E309" s="3">
        <f t="shared" si="291"/>
        <v>0</v>
      </c>
      <c r="F309" s="3">
        <f t="shared" si="291"/>
        <v>0</v>
      </c>
      <c r="G309" s="3">
        <f t="shared" si="291"/>
        <v>0</v>
      </c>
      <c r="H309" s="3">
        <f t="shared" si="291"/>
        <v>0</v>
      </c>
      <c r="I309" s="3">
        <f t="shared" si="291"/>
        <v>0</v>
      </c>
      <c r="J309" s="3">
        <f t="shared" si="291"/>
        <v>0</v>
      </c>
      <c r="K309" s="3">
        <f t="shared" si="291"/>
        <v>0</v>
      </c>
      <c r="L309" s="3">
        <f t="shared" si="291"/>
        <v>0</v>
      </c>
      <c r="M309" s="3">
        <f t="shared" si="291"/>
        <v>0</v>
      </c>
      <c r="N309" s="3">
        <f t="shared" si="291"/>
        <v>0</v>
      </c>
      <c r="O309" s="3">
        <f t="shared" si="291"/>
        <v>0</v>
      </c>
      <c r="P309" s="3">
        <f t="shared" si="291"/>
        <v>0</v>
      </c>
      <c r="Q309" s="3">
        <f t="shared" si="291"/>
        <v>0</v>
      </c>
      <c r="R309" s="3">
        <f t="shared" si="291"/>
        <v>0</v>
      </c>
      <c r="S309" s="3">
        <f t="shared" si="291"/>
        <v>0</v>
      </c>
      <c r="T309" s="3">
        <f t="shared" si="291"/>
        <v>0</v>
      </c>
      <c r="U309" s="3">
        <f t="shared" si="291"/>
        <v>0</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1.1033683083565872E-4</v>
      </c>
      <c r="C311" s="3">
        <f t="shared" si="293"/>
        <v>1.1033683083565872E-4</v>
      </c>
      <c r="D311" s="3">
        <f t="shared" si="293"/>
        <v>1.1033683083565872E-4</v>
      </c>
      <c r="E311" s="3">
        <f t="shared" si="293"/>
        <v>1.1033683083565872E-4</v>
      </c>
      <c r="F311" s="3">
        <f t="shared" si="293"/>
        <v>1.1033683083565872E-4</v>
      </c>
      <c r="G311" s="3">
        <f t="shared" si="293"/>
        <v>1.1033683083565872E-4</v>
      </c>
      <c r="H311" s="3">
        <f t="shared" si="293"/>
        <v>1.1033683083565872E-4</v>
      </c>
      <c r="I311" s="3">
        <f t="shared" si="293"/>
        <v>1.1033683083565872E-4</v>
      </c>
      <c r="J311" s="3">
        <f t="shared" si="293"/>
        <v>1.1033683083565872E-4</v>
      </c>
      <c r="K311" s="3">
        <f t="shared" si="293"/>
        <v>1.1033683083565872E-4</v>
      </c>
      <c r="L311" s="3">
        <f t="shared" si="293"/>
        <v>1.1033683083565872E-4</v>
      </c>
      <c r="M311" s="3">
        <f t="shared" si="293"/>
        <v>1.1033683083565872E-4</v>
      </c>
      <c r="N311" s="3">
        <f t="shared" si="293"/>
        <v>1.1033683083565872E-4</v>
      </c>
      <c r="O311" s="3">
        <f t="shared" si="293"/>
        <v>1.1033683083565872E-4</v>
      </c>
      <c r="P311" s="3">
        <f t="shared" si="293"/>
        <v>1.1033683083565872E-4</v>
      </c>
      <c r="Q311" s="3">
        <f t="shared" si="293"/>
        <v>1.1033683083565872E-4</v>
      </c>
      <c r="R311" s="3">
        <f t="shared" si="293"/>
        <v>1.1033683083565872E-4</v>
      </c>
      <c r="S311" s="3">
        <f t="shared" si="293"/>
        <v>1.1033683083565872E-4</v>
      </c>
      <c r="T311" s="3">
        <f t="shared" si="293"/>
        <v>1.1033683083565872E-4</v>
      </c>
      <c r="U311" s="3">
        <f t="shared" si="293"/>
        <v>1.1033683083565872E-4</v>
      </c>
      <c r="V311" s="3">
        <f t="shared" si="293"/>
        <v>1.1033683083565872E-4</v>
      </c>
      <c r="W311" s="3">
        <f t="shared" si="293"/>
        <v>1.103368308356587E-4</v>
      </c>
      <c r="X311" s="3">
        <f t="shared" si="293"/>
        <v>1.1033683083565865E-4</v>
      </c>
      <c r="Y311" s="3">
        <f t="shared" si="293"/>
        <v>1.1033683083565796E-4</v>
      </c>
      <c r="Z311" s="3">
        <f t="shared" si="293"/>
        <v>1.1033683083565107E-4</v>
      </c>
      <c r="AA311" s="3">
        <f t="shared" si="293"/>
        <v>1.1033683083558231E-4</v>
      </c>
      <c r="AB311" s="3">
        <f t="shared" si="293"/>
        <v>1.1033683083489463E-4</v>
      </c>
      <c r="AC311" s="3">
        <f t="shared" si="293"/>
        <v>1.1033683082801772E-4</v>
      </c>
      <c r="AD311" s="3">
        <f t="shared" si="293"/>
        <v>1.1033683075924866E-4</v>
      </c>
      <c r="AE311" s="3">
        <f t="shared" si="293"/>
        <v>1.1033683007155816E-4</v>
      </c>
      <c r="AF311" s="3">
        <f t="shared" si="293"/>
        <v>1.1033682319465332E-4</v>
      </c>
      <c r="AG311" s="3"/>
      <c r="AH311" s="3"/>
    </row>
    <row r="312" spans="1:34" x14ac:dyDescent="0.25">
      <c r="B312" s="3">
        <f t="shared" ref="B312:AF312" si="294">$C42*EXP(-B$285/$A42/EXP(-$F$126))</f>
        <v>5.3430093526516889E-5</v>
      </c>
      <c r="C312" s="3">
        <f t="shared" si="294"/>
        <v>5.3430093526516889E-5</v>
      </c>
      <c r="D312" s="3">
        <f t="shared" si="294"/>
        <v>5.3430093526516889E-5</v>
      </c>
      <c r="E312" s="3">
        <f t="shared" si="294"/>
        <v>5.3430093526516889E-5</v>
      </c>
      <c r="F312" s="3">
        <f t="shared" si="294"/>
        <v>5.3430093526516889E-5</v>
      </c>
      <c r="G312" s="3">
        <f t="shared" si="294"/>
        <v>5.3430093526516889E-5</v>
      </c>
      <c r="H312" s="3">
        <f t="shared" si="294"/>
        <v>5.3430093526516889E-5</v>
      </c>
      <c r="I312" s="3">
        <f t="shared" si="294"/>
        <v>5.3430093526516889E-5</v>
      </c>
      <c r="J312" s="3">
        <f t="shared" si="294"/>
        <v>5.3430093526516889E-5</v>
      </c>
      <c r="K312" s="3">
        <f t="shared" si="294"/>
        <v>5.3430093526516889E-5</v>
      </c>
      <c r="L312" s="3">
        <f t="shared" si="294"/>
        <v>5.3430093526516889E-5</v>
      </c>
      <c r="M312" s="3">
        <f t="shared" si="294"/>
        <v>5.3430093526516889E-5</v>
      </c>
      <c r="N312" s="3">
        <f t="shared" si="294"/>
        <v>5.3430093526516889E-5</v>
      </c>
      <c r="O312" s="3">
        <f t="shared" si="294"/>
        <v>5.3430093526516889E-5</v>
      </c>
      <c r="P312" s="3">
        <f t="shared" si="294"/>
        <v>5.3430093526516889E-5</v>
      </c>
      <c r="Q312" s="3">
        <f t="shared" si="294"/>
        <v>5.3430093526516889E-5</v>
      </c>
      <c r="R312" s="3">
        <f t="shared" si="294"/>
        <v>5.3430093526516889E-5</v>
      </c>
      <c r="S312" s="3">
        <f t="shared" si="294"/>
        <v>5.3430093526516889E-5</v>
      </c>
      <c r="T312" s="3">
        <f t="shared" si="294"/>
        <v>5.3430093526516889E-5</v>
      </c>
      <c r="U312" s="3">
        <f t="shared" si="294"/>
        <v>5.3430093526516889E-5</v>
      </c>
      <c r="V312" s="3">
        <f t="shared" si="294"/>
        <v>5.3430093526516889E-5</v>
      </c>
      <c r="W312" s="3">
        <f t="shared" si="294"/>
        <v>5.3430093526516889E-5</v>
      </c>
      <c r="X312" s="3">
        <f t="shared" si="294"/>
        <v>5.3430093526516882E-5</v>
      </c>
      <c r="Y312" s="3">
        <f t="shared" si="294"/>
        <v>5.3430093526516855E-5</v>
      </c>
      <c r="Z312" s="3">
        <f t="shared" si="294"/>
        <v>5.3430093526516523E-5</v>
      </c>
      <c r="AA312" s="3">
        <f t="shared" si="294"/>
        <v>5.3430093526513189E-5</v>
      </c>
      <c r="AB312" s="3">
        <f t="shared" si="294"/>
        <v>5.3430093526479884E-5</v>
      </c>
      <c r="AC312" s="3">
        <f t="shared" si="294"/>
        <v>5.3430093526146878E-5</v>
      </c>
      <c r="AD312" s="3">
        <f t="shared" si="294"/>
        <v>5.3430093522816771E-5</v>
      </c>
      <c r="AE312" s="3">
        <f t="shared" si="294"/>
        <v>5.3430093489515671E-5</v>
      </c>
      <c r="AF312" s="3">
        <f t="shared" si="294"/>
        <v>5.3430093156504769E-5</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1.1249816087007928E-3</v>
      </c>
      <c r="C318" s="3">
        <f t="shared" si="300"/>
        <v>1.1249816087007928E-3</v>
      </c>
      <c r="D318" s="3">
        <f t="shared" si="300"/>
        <v>1.1249816087007928E-3</v>
      </c>
      <c r="E318" s="3">
        <f t="shared" si="300"/>
        <v>1.1249816087007928E-3</v>
      </c>
      <c r="F318" s="3">
        <f t="shared" si="300"/>
        <v>1.1249816087007928E-3</v>
      </c>
      <c r="G318" s="3">
        <f t="shared" si="300"/>
        <v>1.1249816087007928E-3</v>
      </c>
      <c r="H318" s="3">
        <f t="shared" si="300"/>
        <v>1.1249816087007928E-3</v>
      </c>
      <c r="I318" s="3">
        <f t="shared" si="300"/>
        <v>1.1249816087007928E-3</v>
      </c>
      <c r="J318" s="3">
        <f t="shared" si="300"/>
        <v>1.1249816087007928E-3</v>
      </c>
      <c r="K318" s="3">
        <f t="shared" si="300"/>
        <v>1.1249816087007928E-3</v>
      </c>
      <c r="L318" s="3">
        <f t="shared" si="300"/>
        <v>1.1249816087007928E-3</v>
      </c>
      <c r="M318" s="3">
        <f t="shared" si="300"/>
        <v>1.1249816087007928E-3</v>
      </c>
      <c r="N318" s="3">
        <f t="shared" si="300"/>
        <v>1.1249816087007928E-3</v>
      </c>
      <c r="O318" s="3">
        <f t="shared" si="300"/>
        <v>1.1249816087007928E-3</v>
      </c>
      <c r="P318" s="3">
        <f t="shared" si="300"/>
        <v>1.1249816087007928E-3</v>
      </c>
      <c r="Q318" s="3">
        <f t="shared" si="300"/>
        <v>1.1249816087007928E-3</v>
      </c>
      <c r="R318" s="3">
        <f t="shared" si="300"/>
        <v>1.1249816087007928E-3</v>
      </c>
      <c r="S318" s="3">
        <f t="shared" si="300"/>
        <v>1.1249816087007928E-3</v>
      </c>
      <c r="T318" s="3">
        <f t="shared" si="300"/>
        <v>1.1249816087007928E-3</v>
      </c>
      <c r="U318" s="3">
        <f t="shared" si="300"/>
        <v>1.1249816087007928E-3</v>
      </c>
      <c r="V318" s="3">
        <f t="shared" si="300"/>
        <v>1.1249816087007928E-3</v>
      </c>
      <c r="W318" s="3">
        <f t="shared" si="300"/>
        <v>1.1249816087007928E-3</v>
      </c>
      <c r="X318" s="3">
        <f t="shared" si="300"/>
        <v>1.1249816087007928E-3</v>
      </c>
      <c r="Y318" s="3">
        <f t="shared" si="300"/>
        <v>1.1249816087007928E-3</v>
      </c>
      <c r="Z318" s="3">
        <f t="shared" si="300"/>
        <v>1.1249816087007928E-3</v>
      </c>
      <c r="AA318" s="3">
        <f t="shared" si="300"/>
        <v>1.1249816087007928E-3</v>
      </c>
      <c r="AB318" s="3">
        <f t="shared" si="300"/>
        <v>1.1249816087007928E-3</v>
      </c>
      <c r="AC318" s="3">
        <f t="shared" si="300"/>
        <v>1.1249816087007928E-3</v>
      </c>
      <c r="AD318" s="3">
        <f t="shared" si="300"/>
        <v>1.1249816087007926E-3</v>
      </c>
      <c r="AE318" s="3">
        <f t="shared" si="300"/>
        <v>1.1249816087007922E-3</v>
      </c>
      <c r="AF318" s="3">
        <f t="shared" si="300"/>
        <v>1.124981608700785E-3</v>
      </c>
      <c r="AG318" s="3"/>
      <c r="AH318" s="3"/>
    </row>
    <row r="319" spans="1:34" x14ac:dyDescent="0.25">
      <c r="A319" s="79">
        <f>AVERAGE(B319:AF319)</f>
        <v>1.5434923890855483E-2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0.1693027669339365</v>
      </c>
      <c r="M319" s="80">
        <f t="shared" si="301"/>
        <v>0.12611131577061888</v>
      </c>
      <c r="N319" s="80">
        <f t="shared" si="301"/>
        <v>7.5718093608805132E-2</v>
      </c>
      <c r="O319" s="80">
        <f t="shared" si="301"/>
        <v>2.8682433278936856E-2</v>
      </c>
      <c r="P319" s="80">
        <f t="shared" si="301"/>
        <v>3.4230226854294736E-3</v>
      </c>
      <c r="Q319" s="80">
        <f t="shared" si="301"/>
        <v>1.9901850687791371E-2</v>
      </c>
      <c r="R319" s="80">
        <f t="shared" si="301"/>
        <v>1.3088507329442195E-2</v>
      </c>
      <c r="S319" s="80">
        <f t="shared" si="301"/>
        <v>1.5836457354970716E-4</v>
      </c>
      <c r="T319" s="80">
        <f t="shared" si="301"/>
        <v>8.1781406755658814E-3</v>
      </c>
      <c r="U319" s="80">
        <f t="shared" si="301"/>
        <v>1.616258052591223E-2</v>
      </c>
      <c r="V319" s="80">
        <f t="shared" si="301"/>
        <v>1.77555645465317E-2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5303.6705676405936</v>
      </c>
      <c r="C320" s="21">
        <f t="shared" ref="C320:AF320" si="302">(C287-C286)^2</f>
        <v>73424.412396474567</v>
      </c>
      <c r="D320" s="21">
        <f t="shared" si="302"/>
        <v>147205.99800015087</v>
      </c>
      <c r="E320" s="21">
        <f t="shared" si="302"/>
        <v>244036.73059078533</v>
      </c>
      <c r="F320" s="21">
        <f t="shared" si="302"/>
        <v>379082.96926070051</v>
      </c>
      <c r="G320" s="21">
        <f t="shared" si="302"/>
        <v>554035.27397454076</v>
      </c>
      <c r="H320" s="21">
        <f t="shared" si="302"/>
        <v>767574.88531401672</v>
      </c>
      <c r="I320" s="21">
        <f t="shared" si="302"/>
        <v>808766.18957532966</v>
      </c>
      <c r="J320" s="21">
        <f t="shared" si="302"/>
        <v>9521.8434400992373</v>
      </c>
      <c r="K320" s="21">
        <f t="shared" si="302"/>
        <v>735395.46912315174</v>
      </c>
      <c r="L320" s="21">
        <f t="shared" si="302"/>
        <v>479177.50049986149</v>
      </c>
      <c r="M320" s="21">
        <f t="shared" si="302"/>
        <v>240234.6138722396</v>
      </c>
      <c r="N320" s="21">
        <f t="shared" si="302"/>
        <v>77390.724109826333</v>
      </c>
      <c r="O320" s="21">
        <f t="shared" si="302"/>
        <v>10023.20000607789</v>
      </c>
      <c r="P320" s="21">
        <f t="shared" si="302"/>
        <v>129.82406292026704</v>
      </c>
      <c r="Q320" s="21">
        <f t="shared" si="302"/>
        <v>3961.7816906650069</v>
      </c>
      <c r="R320" s="21">
        <f t="shared" si="302"/>
        <v>1530.5563745017969</v>
      </c>
      <c r="S320" s="21">
        <f t="shared" si="302"/>
        <v>0.19636721669767224</v>
      </c>
      <c r="T320" s="21">
        <f t="shared" si="302"/>
        <v>451.94941010705065</v>
      </c>
      <c r="U320" s="21">
        <f t="shared" si="302"/>
        <v>1492.2511790684682</v>
      </c>
      <c r="V320" s="21">
        <f t="shared" si="302"/>
        <v>1491.9262515213443</v>
      </c>
      <c r="W320" s="21">
        <f t="shared" si="302"/>
        <v>844.57470056399882</v>
      </c>
      <c r="X320" s="21">
        <f t="shared" si="302"/>
        <v>26.008849644332976</v>
      </c>
      <c r="Y320" s="21">
        <f t="shared" si="302"/>
        <v>698.54714282817304</v>
      </c>
      <c r="Z320" s="21">
        <f t="shared" si="302"/>
        <v>2629.0337501623949</v>
      </c>
      <c r="AA320" s="21">
        <f t="shared" si="302"/>
        <v>3083.5029490563716</v>
      </c>
      <c r="AB320" s="21">
        <f t="shared" si="302"/>
        <v>1840.8817361167107</v>
      </c>
      <c r="AC320" s="21">
        <f t="shared" si="302"/>
        <v>555.06848189649884</v>
      </c>
      <c r="AD320" s="21">
        <f t="shared" si="302"/>
        <v>108.15856922433106</v>
      </c>
      <c r="AE320" s="21">
        <f t="shared" si="302"/>
        <v>7.711460565032044</v>
      </c>
      <c r="AF320" s="21">
        <f t="shared" si="302"/>
        <v>1.0950471866427898</v>
      </c>
      <c r="AG320" s="3"/>
      <c r="AH320" s="3"/>
    </row>
    <row r="321" spans="1:34" x14ac:dyDescent="0.25">
      <c r="A321" s="71">
        <f>SUM(B321:AF321)</f>
        <v>815884.52382400609</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479177.50049986149</v>
      </c>
      <c r="M321" s="60">
        <f t="shared" ref="M321" si="313">IF($A$64&lt;=M285,IF($B$64&gt;=M285,ABS(M320),0),0)</f>
        <v>240234.6138722396</v>
      </c>
      <c r="N321" s="60">
        <f t="shared" ref="N321" si="314">IF($A$64&lt;=N285,IF($B$64&gt;=N285,ABS(N320),0),0)</f>
        <v>77390.724109826333</v>
      </c>
      <c r="O321" s="60">
        <f t="shared" ref="O321" si="315">IF($A$64&lt;=O285,IF($B$64&gt;=O285,ABS(O320),0),0)</f>
        <v>10023.20000607789</v>
      </c>
      <c r="P321" s="60">
        <f t="shared" ref="P321" si="316">IF($A$64&lt;=P285,IF($B$64&gt;=P285,ABS(P320),0),0)</f>
        <v>129.82406292026704</v>
      </c>
      <c r="Q321" s="60">
        <f t="shared" ref="Q321" si="317">IF($A$64&lt;=Q285,IF($B$64&gt;=Q285,ABS(Q320),0),0)</f>
        <v>3961.7816906650069</v>
      </c>
      <c r="R321" s="60">
        <f t="shared" ref="R321" si="318">IF($A$64&lt;=R285,IF($B$64&gt;=R285,ABS(R320),0),0)</f>
        <v>1530.5563745017969</v>
      </c>
      <c r="S321" s="60">
        <f t="shared" ref="S321" si="319">IF($A$64&lt;=S285,IF($B$64&gt;=S285,ABS(S320),0),0)</f>
        <v>0.19636721669767224</v>
      </c>
      <c r="T321" s="60">
        <f t="shared" ref="T321" si="320">IF($A$64&lt;=T285,IF($B$64&gt;=T285,ABS(T320),0),0)</f>
        <v>451.94941010705065</v>
      </c>
      <c r="U321" s="60">
        <f t="shared" ref="U321" si="321">IF($A$64&lt;=U285,IF($B$64&gt;=U285,ABS(U320),0),0)</f>
        <v>1492.2511790684682</v>
      </c>
      <c r="V321" s="60">
        <f t="shared" ref="V321" si="322">IF($A$64&lt;=V285,IF($B$64&gt;=V285,ABS(V320),0),0)</f>
        <v>1491.9262515213443</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7" t="s">
        <v>22</v>
      </c>
      <c r="B326" s="27">
        <f>($C$17+SUM(B327:B357))*$B$51</f>
        <v>5481.0435614834687</v>
      </c>
      <c r="C326" s="27">
        <f t="shared" ref="C326:AF326" si="333">($C$17+SUM(C327:C357))*$B$51</f>
        <v>4590.6325318490517</v>
      </c>
      <c r="D326" s="27">
        <f t="shared" si="333"/>
        <v>3401.0137473924697</v>
      </c>
      <c r="E326" s="27">
        <f t="shared" si="333"/>
        <v>3396.4638787719728</v>
      </c>
      <c r="F326" s="27">
        <f t="shared" si="333"/>
        <v>3396.4144768350106</v>
      </c>
      <c r="G326" s="27">
        <f t="shared" si="333"/>
        <v>3395.9208334203836</v>
      </c>
      <c r="H326" s="27">
        <f t="shared" si="333"/>
        <v>3391.0217974926441</v>
      </c>
      <c r="I326" s="27">
        <f t="shared" si="333"/>
        <v>3345.5815623377212</v>
      </c>
      <c r="J326" s="27">
        <f t="shared" si="333"/>
        <v>3113.3426337874876</v>
      </c>
      <c r="K326" s="27">
        <f t="shared" si="333"/>
        <v>2956.5271164533092</v>
      </c>
      <c r="L326" s="27">
        <f t="shared" si="333"/>
        <v>2806.9987094736298</v>
      </c>
      <c r="M326" s="27">
        <f t="shared" si="333"/>
        <v>2630.8987877499389</v>
      </c>
      <c r="N326" s="27">
        <f t="shared" si="333"/>
        <v>2439.6561936716071</v>
      </c>
      <c r="O326" s="27">
        <f t="shared" si="333"/>
        <v>2226.3071263726088</v>
      </c>
      <c r="P326" s="27">
        <f t="shared" si="333"/>
        <v>1987.2278427100964</v>
      </c>
      <c r="Q326" s="27">
        <f t="shared" si="333"/>
        <v>1712.8509383218218</v>
      </c>
      <c r="R326" s="27">
        <f t="shared" si="333"/>
        <v>1395.3247462892102</v>
      </c>
      <c r="S326" s="27">
        <f t="shared" si="333"/>
        <v>1056.1485316029402</v>
      </c>
      <c r="T326" s="27">
        <f t="shared" si="333"/>
        <v>747.01724220264896</v>
      </c>
      <c r="U326" s="27">
        <f t="shared" si="333"/>
        <v>518.78366967334671</v>
      </c>
      <c r="V326" s="27">
        <f t="shared" si="333"/>
        <v>382.34174201658305</v>
      </c>
      <c r="W326" s="27">
        <f t="shared" si="333"/>
        <v>314.84048791403239</v>
      </c>
      <c r="X326" s="27">
        <f t="shared" si="333"/>
        <v>282.47069541715132</v>
      </c>
      <c r="Y326" s="27">
        <f t="shared" si="333"/>
        <v>264.52034406678359</v>
      </c>
      <c r="Z326" s="27">
        <f t="shared" si="333"/>
        <v>252.31114028904719</v>
      </c>
      <c r="AA326" s="27">
        <f t="shared" si="333"/>
        <v>247.86572582786812</v>
      </c>
      <c r="AB326" s="27">
        <f t="shared" si="333"/>
        <v>234.27415524676437</v>
      </c>
      <c r="AC326" s="27">
        <f t="shared" si="333"/>
        <v>227.7416044216626</v>
      </c>
      <c r="AD326" s="27">
        <f t="shared" si="333"/>
        <v>226.48399911961079</v>
      </c>
      <c r="AE326" s="27">
        <f t="shared" si="333"/>
        <v>226.35317111710688</v>
      </c>
      <c r="AF326" s="27">
        <f t="shared" si="333"/>
        <v>226.08830557902201</v>
      </c>
      <c r="AG326" s="27"/>
      <c r="AH326" s="27"/>
    </row>
    <row r="327" spans="1:34" x14ac:dyDescent="0.25">
      <c r="B327" s="3">
        <f t="shared" ref="B327:AF327" si="334">$C18*EXP(-B$363/$A18/EXP(-$G$126))</f>
        <v>0.37130647127268518</v>
      </c>
      <c r="C327" s="3">
        <f t="shared" si="334"/>
        <v>0.21270556406525423</v>
      </c>
      <c r="D327" s="3">
        <f t="shared" si="334"/>
        <v>8.0954719565606262E-4</v>
      </c>
      <c r="E327" s="3">
        <f t="shared" si="334"/>
        <v>5.1626822245021259E-28</v>
      </c>
      <c r="F327" s="3">
        <f t="shared" si="334"/>
        <v>5.7439097446907021E-270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5.9661444624671489E-2</v>
      </c>
      <c r="C328" s="3">
        <f t="shared" si="335"/>
        <v>5.9661436110477452E-2</v>
      </c>
      <c r="D328" s="3">
        <f t="shared" si="335"/>
        <v>5.9661350968603935E-2</v>
      </c>
      <c r="E328" s="3">
        <f t="shared" si="335"/>
        <v>5.9660499556551484E-2</v>
      </c>
      <c r="F328" s="3">
        <f t="shared" si="335"/>
        <v>5.965198610426415E-2</v>
      </c>
      <c r="G328" s="3">
        <f t="shared" si="335"/>
        <v>5.9566918369832543E-2</v>
      </c>
      <c r="H328" s="3">
        <f t="shared" si="335"/>
        <v>5.8722884738177224E-2</v>
      </c>
      <c r="I328" s="3">
        <f t="shared" si="335"/>
        <v>5.0913138837135358E-2</v>
      </c>
      <c r="J328" s="3">
        <f t="shared" si="335"/>
        <v>1.2219537753013727E-2</v>
      </c>
      <c r="K328" s="3">
        <f t="shared" si="335"/>
        <v>7.7500379250557313E-9</v>
      </c>
      <c r="L328" s="3">
        <f t="shared" si="335"/>
        <v>8.1619575216201682E-71</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1.9174474281510315E-2</v>
      </c>
      <c r="C329" s="3">
        <f t="shared" si="336"/>
        <v>1.9174474034667856E-2</v>
      </c>
      <c r="D329" s="3">
        <f t="shared" si="336"/>
        <v>1.9174471566243446E-2</v>
      </c>
      <c r="E329" s="3">
        <f t="shared" si="336"/>
        <v>1.9174446882016846E-2</v>
      </c>
      <c r="F329" s="3">
        <f t="shared" si="336"/>
        <v>1.917420004149855E-2</v>
      </c>
      <c r="G329" s="3">
        <f t="shared" si="336"/>
        <v>1.917173181108121E-2</v>
      </c>
      <c r="H329" s="3">
        <f t="shared" si="336"/>
        <v>1.9147066975147016E-2</v>
      </c>
      <c r="I329" s="3">
        <f t="shared" si="336"/>
        <v>1.8902157147842248E-2</v>
      </c>
      <c r="J329" s="3">
        <f t="shared" si="336"/>
        <v>1.6618908620832772E-2</v>
      </c>
      <c r="K329" s="3">
        <f t="shared" si="336"/>
        <v>4.5868422465797599E-3</v>
      </c>
      <c r="L329" s="3">
        <f t="shared" si="336"/>
        <v>1.1765945813834697E-8</v>
      </c>
      <c r="M329" s="3">
        <f t="shared" si="336"/>
        <v>1.451300166470782E-64</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3.0428132560996659E-2</v>
      </c>
      <c r="C330" s="3">
        <f t="shared" si="337"/>
        <v>3.0428132525660585E-2</v>
      </c>
      <c r="D330" s="3">
        <f t="shared" si="337"/>
        <v>3.0428132172299852E-2</v>
      </c>
      <c r="E330" s="3">
        <f t="shared" si="337"/>
        <v>3.0428128638692743E-2</v>
      </c>
      <c r="F330" s="3">
        <f t="shared" si="337"/>
        <v>3.0428093302644225E-2</v>
      </c>
      <c r="G330" s="3">
        <f t="shared" si="337"/>
        <v>3.0427739944415971E-2</v>
      </c>
      <c r="H330" s="3">
        <f t="shared" si="337"/>
        <v>3.0424206587818751E-2</v>
      </c>
      <c r="I330" s="3">
        <f t="shared" si="337"/>
        <v>3.0388895580680506E-2</v>
      </c>
      <c r="J330" s="3">
        <f t="shared" si="337"/>
        <v>3.0038031729661099E-2</v>
      </c>
      <c r="K330" s="3">
        <f t="shared" si="337"/>
        <v>2.674465624361504E-2</v>
      </c>
      <c r="L330" s="3">
        <f t="shared" si="337"/>
        <v>8.373220049431836E-3</v>
      </c>
      <c r="M330" s="3">
        <f t="shared" si="337"/>
        <v>7.5761288082219594E-8</v>
      </c>
      <c r="N330" s="3">
        <f t="shared" si="337"/>
        <v>2.7860942358358735E-58</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3.3546614569864734E-2</v>
      </c>
      <c r="C331" s="3">
        <f t="shared" si="338"/>
        <v>3.3546614566350441E-2</v>
      </c>
      <c r="D331" s="3">
        <f t="shared" si="338"/>
        <v>3.3546614531207483E-2</v>
      </c>
      <c r="E331" s="3">
        <f t="shared" si="338"/>
        <v>3.3546614179777931E-2</v>
      </c>
      <c r="F331" s="3">
        <f t="shared" si="338"/>
        <v>3.3546610665482625E-2</v>
      </c>
      <c r="G331" s="3">
        <f t="shared" si="338"/>
        <v>3.3546575522549749E-2</v>
      </c>
      <c r="H331" s="3">
        <f t="shared" si="338"/>
        <v>3.3546224095245838E-2</v>
      </c>
      <c r="I331" s="3">
        <f t="shared" si="338"/>
        <v>3.3542710024681947E-2</v>
      </c>
      <c r="J331" s="3">
        <f t="shared" si="338"/>
        <v>3.3507589558717743E-2</v>
      </c>
      <c r="K331" s="3">
        <f t="shared" si="338"/>
        <v>3.3158401043445529E-2</v>
      </c>
      <c r="L331" s="3">
        <f t="shared" si="338"/>
        <v>2.9860529798511764E-2</v>
      </c>
      <c r="M331" s="3">
        <f t="shared" si="338"/>
        <v>1.0474584352524399E-2</v>
      </c>
      <c r="N331" s="3">
        <f t="shared" si="338"/>
        <v>2.9548109151970684E-7</v>
      </c>
      <c r="O331" s="3">
        <f t="shared" si="338"/>
        <v>9.4288484650254201E-53</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3.6056553536836587E-2</v>
      </c>
      <c r="C332" s="3">
        <f t="shared" si="339"/>
        <v>3.6056553536495846E-2</v>
      </c>
      <c r="D332" s="3">
        <f t="shared" si="339"/>
        <v>3.6056553533088474E-2</v>
      </c>
      <c r="E332" s="3">
        <f t="shared" si="339"/>
        <v>3.6056553499014682E-2</v>
      </c>
      <c r="F332" s="3">
        <f t="shared" si="339"/>
        <v>3.6056553158276834E-2</v>
      </c>
      <c r="G332" s="3">
        <f t="shared" si="339"/>
        <v>3.6056549750898476E-2</v>
      </c>
      <c r="H332" s="3">
        <f t="shared" si="339"/>
        <v>3.6056515677132639E-2</v>
      </c>
      <c r="I332" s="3">
        <f t="shared" si="339"/>
        <v>3.6056174941245231E-2</v>
      </c>
      <c r="J332" s="3">
        <f t="shared" si="339"/>
        <v>3.605276775946456E-2</v>
      </c>
      <c r="K332" s="3">
        <f t="shared" si="339"/>
        <v>3.601871364480725E-2</v>
      </c>
      <c r="L332" s="3">
        <f t="shared" si="339"/>
        <v>3.5679936638822851E-2</v>
      </c>
      <c r="M332" s="3">
        <f t="shared" si="339"/>
        <v>3.2462565094287583E-2</v>
      </c>
      <c r="N332" s="3">
        <f t="shared" si="339"/>
        <v>1.2617416044214057E-2</v>
      </c>
      <c r="O332" s="3">
        <f t="shared" si="339"/>
        <v>9.9276469694910687E-7</v>
      </c>
      <c r="P332" s="3">
        <f t="shared" si="339"/>
        <v>9.0282866546555008E-48</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4.1431742608174088E-2</v>
      </c>
      <c r="C333" s="3">
        <f t="shared" si="340"/>
        <v>4.1431742608138762E-2</v>
      </c>
      <c r="D333" s="3">
        <f t="shared" si="340"/>
        <v>4.1431742607785566E-2</v>
      </c>
      <c r="E333" s="3">
        <f t="shared" si="340"/>
        <v>4.1431742604253606E-2</v>
      </c>
      <c r="F333" s="3">
        <f t="shared" si="340"/>
        <v>4.1431742568933991E-2</v>
      </c>
      <c r="G333" s="3">
        <f t="shared" si="340"/>
        <v>4.1431742215737838E-2</v>
      </c>
      <c r="H333" s="3">
        <f t="shared" si="340"/>
        <v>4.1431738683776503E-2</v>
      </c>
      <c r="I333" s="3">
        <f t="shared" si="340"/>
        <v>4.1431703364179659E-2</v>
      </c>
      <c r="J333" s="3">
        <f t="shared" si="340"/>
        <v>4.1431350169867223E-2</v>
      </c>
      <c r="K333" s="3">
        <f t="shared" si="340"/>
        <v>4.1427818392337515E-2</v>
      </c>
      <c r="L333" s="3">
        <f t="shared" si="340"/>
        <v>4.1392517171279446E-2</v>
      </c>
      <c r="M333" s="3">
        <f t="shared" si="340"/>
        <v>4.1041155175010557E-2</v>
      </c>
      <c r="N333" s="3">
        <f t="shared" si="340"/>
        <v>3.7687468160688554E-2</v>
      </c>
      <c r="O333" s="3">
        <f t="shared" si="340"/>
        <v>1.6068333088886222E-2</v>
      </c>
      <c r="P333" s="3">
        <f t="shared" si="340"/>
        <v>3.1894034433088742E-6</v>
      </c>
      <c r="Q333" s="3">
        <f t="shared" si="340"/>
        <v>3.0275811154283252E-43</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4.5588613756367281E-2</v>
      </c>
      <c r="C334" s="3">
        <f t="shared" si="341"/>
        <v>4.558861375636377E-2</v>
      </c>
      <c r="D334" s="3">
        <f t="shared" si="341"/>
        <v>4.5588613756328715E-2</v>
      </c>
      <c r="E334" s="3">
        <f t="shared" si="341"/>
        <v>4.5588613755978141E-2</v>
      </c>
      <c r="F334" s="3">
        <f t="shared" si="341"/>
        <v>4.5588613752472348E-2</v>
      </c>
      <c r="G334" s="3">
        <f t="shared" si="341"/>
        <v>4.5588613717414461E-2</v>
      </c>
      <c r="H334" s="3">
        <f t="shared" si="341"/>
        <v>4.558861336683559E-2</v>
      </c>
      <c r="I334" s="3">
        <f t="shared" si="341"/>
        <v>4.5588609861047021E-2</v>
      </c>
      <c r="J334" s="3">
        <f t="shared" si="341"/>
        <v>4.558857480317613E-2</v>
      </c>
      <c r="K334" s="3">
        <f t="shared" si="341"/>
        <v>4.5588224225950026E-2</v>
      </c>
      <c r="L334" s="3">
        <f t="shared" si="341"/>
        <v>4.558471860196267E-2</v>
      </c>
      <c r="M334" s="3">
        <f t="shared" si="341"/>
        <v>4.5549677185238772E-2</v>
      </c>
      <c r="N334" s="3">
        <f t="shared" si="341"/>
        <v>4.5200741123965764E-2</v>
      </c>
      <c r="O334" s="3">
        <f t="shared" si="341"/>
        <v>4.1855070536930328E-2</v>
      </c>
      <c r="P334" s="3">
        <f t="shared" si="341"/>
        <v>1.9398730206575992E-2</v>
      </c>
      <c r="Q334" s="3">
        <f t="shared" si="341"/>
        <v>8.8720820874529365E-6</v>
      </c>
      <c r="R334" s="3">
        <f t="shared" si="341"/>
        <v>3.5526141012795881E-39</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5.4547652488086538E-2</v>
      </c>
      <c r="C335" s="3">
        <f t="shared" si="342"/>
        <v>5.4547652488086164E-2</v>
      </c>
      <c r="D335" s="3">
        <f t="shared" si="342"/>
        <v>5.4547652488082375E-2</v>
      </c>
      <c r="E335" s="3">
        <f t="shared" si="342"/>
        <v>5.454765248804453E-2</v>
      </c>
      <c r="F335" s="3">
        <f t="shared" si="342"/>
        <v>5.4547652487666139E-2</v>
      </c>
      <c r="G335" s="3">
        <f t="shared" si="342"/>
        <v>5.4547652483882124E-2</v>
      </c>
      <c r="H335" s="3">
        <f t="shared" si="342"/>
        <v>5.4547652446042053E-2</v>
      </c>
      <c r="I335" s="3">
        <f t="shared" si="342"/>
        <v>5.4547652067641277E-2</v>
      </c>
      <c r="J335" s="3">
        <f t="shared" si="342"/>
        <v>5.4547648283633746E-2</v>
      </c>
      <c r="K335" s="3">
        <f t="shared" si="342"/>
        <v>5.4547610443572848E-2</v>
      </c>
      <c r="L335" s="3">
        <f t="shared" si="342"/>
        <v>5.4547232044407576E-2</v>
      </c>
      <c r="M335" s="3">
        <f t="shared" si="342"/>
        <v>5.4543448197125317E-2</v>
      </c>
      <c r="N335" s="3">
        <f t="shared" si="342"/>
        <v>5.4505624157641125E-2</v>
      </c>
      <c r="O335" s="3">
        <f t="shared" si="342"/>
        <v>5.4128823398882621E-2</v>
      </c>
      <c r="P335" s="3">
        <f t="shared" si="342"/>
        <v>5.0501151849946704E-2</v>
      </c>
      <c r="Q335" s="3">
        <f t="shared" si="342"/>
        <v>2.5236449401997887E-2</v>
      </c>
      <c r="R335" s="3">
        <f t="shared" si="342"/>
        <v>2.450743956622913E-5</v>
      </c>
      <c r="S335" s="3">
        <f t="shared" si="342"/>
        <v>1.8280784049286595E-35</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6.3488731508467927E-2</v>
      </c>
      <c r="C336" s="3">
        <f t="shared" si="343"/>
        <v>6.3488731508467899E-2</v>
      </c>
      <c r="D336" s="3">
        <f t="shared" si="343"/>
        <v>6.3488731508467497E-2</v>
      </c>
      <c r="E336" s="3">
        <f t="shared" si="343"/>
        <v>6.3488731508463528E-2</v>
      </c>
      <c r="F336" s="3">
        <f t="shared" si="343"/>
        <v>6.3488731508423796E-2</v>
      </c>
      <c r="G336" s="3">
        <f t="shared" si="343"/>
        <v>6.3488731508026502E-2</v>
      </c>
      <c r="H336" s="3">
        <f t="shared" si="343"/>
        <v>6.3488731504053486E-2</v>
      </c>
      <c r="I336" s="3">
        <f t="shared" si="343"/>
        <v>6.3488731464323434E-2</v>
      </c>
      <c r="J336" s="3">
        <f t="shared" si="343"/>
        <v>6.3488731067022866E-2</v>
      </c>
      <c r="K336" s="3">
        <f t="shared" si="343"/>
        <v>6.348872709401733E-2</v>
      </c>
      <c r="L336" s="3">
        <f t="shared" si="343"/>
        <v>6.3488687363975657E-2</v>
      </c>
      <c r="M336" s="3">
        <f t="shared" si="343"/>
        <v>6.3488290064926275E-2</v>
      </c>
      <c r="N336" s="3">
        <f t="shared" si="343"/>
        <v>6.3484317211171759E-2</v>
      </c>
      <c r="O336" s="3">
        <f t="shared" si="343"/>
        <v>6.3444602344387618E-2</v>
      </c>
      <c r="P336" s="3">
        <f t="shared" si="343"/>
        <v>6.3048817592617407E-2</v>
      </c>
      <c r="Q336" s="3">
        <f t="shared" si="343"/>
        <v>5.9224255848789875E-2</v>
      </c>
      <c r="R336" s="3">
        <f t="shared" si="343"/>
        <v>3.167570392035169E-2</v>
      </c>
      <c r="S336" s="3">
        <f t="shared" si="343"/>
        <v>6.0672640807775872E-5</v>
      </c>
      <c r="T336" s="3">
        <f t="shared" si="343"/>
        <v>4.0332870506275523E-32</v>
      </c>
      <c r="U336" s="3">
        <f t="shared" si="343"/>
        <v>6.7970657301693496E-304</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6.4437498796687767E-2</v>
      </c>
      <c r="C337" s="3">
        <f t="shared" si="344"/>
        <v>6.4437498796687753E-2</v>
      </c>
      <c r="D337" s="3">
        <f t="shared" si="344"/>
        <v>6.4437498796687726E-2</v>
      </c>
      <c r="E337" s="3">
        <f t="shared" si="344"/>
        <v>6.4437498796687365E-2</v>
      </c>
      <c r="F337" s="3">
        <f t="shared" si="344"/>
        <v>6.4437498796683729E-2</v>
      </c>
      <c r="G337" s="3">
        <f t="shared" si="344"/>
        <v>6.4437498796647341E-2</v>
      </c>
      <c r="H337" s="3">
        <f t="shared" si="344"/>
        <v>6.443749879628359E-2</v>
      </c>
      <c r="I337" s="3">
        <f t="shared" si="344"/>
        <v>6.4437498792646056E-2</v>
      </c>
      <c r="J337" s="3">
        <f t="shared" si="344"/>
        <v>6.4437498756270653E-2</v>
      </c>
      <c r="K337" s="3">
        <f t="shared" si="344"/>
        <v>6.443749839251664E-2</v>
      </c>
      <c r="L337" s="3">
        <f t="shared" si="344"/>
        <v>6.4437494754976551E-2</v>
      </c>
      <c r="M337" s="3">
        <f t="shared" si="344"/>
        <v>6.4437458379587059E-2</v>
      </c>
      <c r="N337" s="3">
        <f t="shared" si="344"/>
        <v>6.4437094626821456E-2</v>
      </c>
      <c r="O337" s="3">
        <f t="shared" si="344"/>
        <v>6.4433457212100684E-2</v>
      </c>
      <c r="P337" s="3">
        <f t="shared" si="344"/>
        <v>6.43970943560601E-2</v>
      </c>
      <c r="Q337" s="3">
        <f t="shared" si="344"/>
        <v>6.4034592557563455E-2</v>
      </c>
      <c r="R337" s="3">
        <f t="shared" si="344"/>
        <v>6.0519932438290507E-2</v>
      </c>
      <c r="S337" s="3">
        <f t="shared" si="344"/>
        <v>3.4414088767666981E-2</v>
      </c>
      <c r="T337" s="3">
        <f t="shared" si="344"/>
        <v>1.21650717634694E-4</v>
      </c>
      <c r="U337" s="3">
        <f t="shared" si="344"/>
        <v>3.7059425430245696E-29</v>
      </c>
      <c r="V337" s="3">
        <f t="shared" si="344"/>
        <v>2.5511661662421978E-274</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5.0984711138190433E-2</v>
      </c>
      <c r="C338" s="3">
        <f t="shared" si="345"/>
        <v>5.0984711138190433E-2</v>
      </c>
      <c r="D338" s="3">
        <f t="shared" si="345"/>
        <v>5.0984711138190426E-2</v>
      </c>
      <c r="E338" s="3">
        <f t="shared" si="345"/>
        <v>5.0984711138190406E-2</v>
      </c>
      <c r="F338" s="3">
        <f t="shared" si="345"/>
        <v>5.0984711138190142E-2</v>
      </c>
      <c r="G338" s="3">
        <f t="shared" si="345"/>
        <v>5.0984711138187547E-2</v>
      </c>
      <c r="H338" s="3">
        <f t="shared" si="345"/>
        <v>5.0984711138161588E-2</v>
      </c>
      <c r="I338" s="3">
        <f t="shared" si="345"/>
        <v>5.0984711137901956E-2</v>
      </c>
      <c r="J338" s="3">
        <f t="shared" si="345"/>
        <v>5.0984711135305651E-2</v>
      </c>
      <c r="K338" s="3">
        <f t="shared" si="345"/>
        <v>5.0984711109342599E-2</v>
      </c>
      <c r="L338" s="3">
        <f t="shared" si="345"/>
        <v>5.0984710849712116E-2</v>
      </c>
      <c r="M338" s="3">
        <f t="shared" si="345"/>
        <v>5.0984708253407368E-2</v>
      </c>
      <c r="N338" s="3">
        <f t="shared" si="345"/>
        <v>5.098468229036713E-2</v>
      </c>
      <c r="O338" s="3">
        <f t="shared" si="345"/>
        <v>5.0984422660691871E-2</v>
      </c>
      <c r="P338" s="3">
        <f t="shared" si="345"/>
        <v>5.098182643665447E-2</v>
      </c>
      <c r="Q338" s="3">
        <f t="shared" si="345"/>
        <v>5.0955871466427188E-2</v>
      </c>
      <c r="R338" s="3">
        <f t="shared" si="345"/>
        <v>5.0697047410875502E-2</v>
      </c>
      <c r="S338" s="3">
        <f t="shared" si="345"/>
        <v>4.8180022717702095E-2</v>
      </c>
      <c r="T338" s="3">
        <f t="shared" si="345"/>
        <v>2.8954117776901149E-2</v>
      </c>
      <c r="U338" s="3">
        <f t="shared" si="345"/>
        <v>1.7788679020621365E-4</v>
      </c>
      <c r="V338" s="3">
        <f t="shared" si="345"/>
        <v>1.3629418276939982E-26</v>
      </c>
      <c r="W338" s="3">
        <f t="shared" si="345"/>
        <v>9.5019672990101764E-248</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3.1725580310806592E-2</v>
      </c>
      <c r="C339" s="3">
        <f t="shared" si="346"/>
        <v>3.1725580310806592E-2</v>
      </c>
      <c r="D339" s="3">
        <f t="shared" si="346"/>
        <v>3.1725580310806592E-2</v>
      </c>
      <c r="E339" s="3">
        <f t="shared" si="346"/>
        <v>3.1725580310806592E-2</v>
      </c>
      <c r="F339" s="3">
        <f t="shared" si="346"/>
        <v>3.1725580310806571E-2</v>
      </c>
      <c r="G339" s="3">
        <f t="shared" si="346"/>
        <v>3.1725580310806432E-2</v>
      </c>
      <c r="H339" s="3">
        <f t="shared" si="346"/>
        <v>3.1725580310804968E-2</v>
      </c>
      <c r="I339" s="3">
        <f t="shared" si="346"/>
        <v>3.1725580310790404E-2</v>
      </c>
      <c r="J339" s="3">
        <f t="shared" si="346"/>
        <v>3.1725580310644659E-2</v>
      </c>
      <c r="K339" s="3">
        <f t="shared" si="346"/>
        <v>3.1725580309187283E-2</v>
      </c>
      <c r="L339" s="3">
        <f t="shared" si="346"/>
        <v>3.1725580294613517E-2</v>
      </c>
      <c r="M339" s="3">
        <f t="shared" si="346"/>
        <v>3.1725580148875825E-2</v>
      </c>
      <c r="N339" s="3">
        <f t="shared" si="346"/>
        <v>3.1725578691498953E-2</v>
      </c>
      <c r="O339" s="3">
        <f t="shared" si="346"/>
        <v>3.1725564117733952E-2</v>
      </c>
      <c r="P339" s="3">
        <f t="shared" si="346"/>
        <v>3.1725418380452154E-2</v>
      </c>
      <c r="Q339" s="3">
        <f t="shared" si="346"/>
        <v>3.172396104445456E-2</v>
      </c>
      <c r="R339" s="3">
        <f t="shared" si="346"/>
        <v>3.1709391365894402E-2</v>
      </c>
      <c r="S339" s="3">
        <f t="shared" si="346"/>
        <v>3.156406209691983E-2</v>
      </c>
      <c r="T339" s="3">
        <f t="shared" si="346"/>
        <v>3.0146904014898758E-2</v>
      </c>
      <c r="U339" s="3">
        <f t="shared" si="346"/>
        <v>1.9043247374400982E-2</v>
      </c>
      <c r="V339" s="3">
        <f t="shared" si="346"/>
        <v>1.9262999661270907E-4</v>
      </c>
      <c r="W339" s="3">
        <f t="shared" si="346"/>
        <v>2.1604936643050346E-24</v>
      </c>
      <c r="X339" s="3">
        <f t="shared" si="346"/>
        <v>6.8052455116528124E-224</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1.5443830992985543E-2</v>
      </c>
      <c r="C340" s="3">
        <f t="shared" si="347"/>
        <v>1.5443830992985543E-2</v>
      </c>
      <c r="D340" s="3">
        <f t="shared" si="347"/>
        <v>1.5443830992985543E-2</v>
      </c>
      <c r="E340" s="3">
        <f t="shared" si="347"/>
        <v>1.5443830992985543E-2</v>
      </c>
      <c r="F340" s="3">
        <f t="shared" si="347"/>
        <v>1.5443830992985543E-2</v>
      </c>
      <c r="G340" s="3">
        <f t="shared" si="347"/>
        <v>1.5443830992985536E-2</v>
      </c>
      <c r="H340" s="3">
        <f t="shared" si="347"/>
        <v>1.5443830992985472E-2</v>
      </c>
      <c r="I340" s="3">
        <f t="shared" si="347"/>
        <v>1.5443830992984832E-2</v>
      </c>
      <c r="J340" s="3">
        <f t="shared" si="347"/>
        <v>1.5443830992978433E-2</v>
      </c>
      <c r="K340" s="3">
        <f t="shared" si="347"/>
        <v>1.5443830992914435E-2</v>
      </c>
      <c r="L340" s="3">
        <f t="shared" si="347"/>
        <v>1.5443830992274459E-2</v>
      </c>
      <c r="M340" s="3">
        <f t="shared" si="347"/>
        <v>1.5443830985874695E-2</v>
      </c>
      <c r="N340" s="3">
        <f t="shared" si="347"/>
        <v>1.5443830921877058E-2</v>
      </c>
      <c r="O340" s="3">
        <f t="shared" si="347"/>
        <v>1.5443830281900699E-2</v>
      </c>
      <c r="P340" s="3">
        <f t="shared" si="347"/>
        <v>1.5443823882138592E-2</v>
      </c>
      <c r="Q340" s="3">
        <f t="shared" si="347"/>
        <v>1.5443759884663356E-2</v>
      </c>
      <c r="R340" s="3">
        <f t="shared" si="347"/>
        <v>1.5443119924496738E-2</v>
      </c>
      <c r="S340" s="3">
        <f t="shared" si="347"/>
        <v>1.5436721781179807E-2</v>
      </c>
      <c r="T340" s="3">
        <f t="shared" si="347"/>
        <v>1.5372885959584253E-2</v>
      </c>
      <c r="U340" s="3">
        <f t="shared" si="347"/>
        <v>1.4748868096321276E-2</v>
      </c>
      <c r="V340" s="3">
        <f t="shared" si="347"/>
        <v>9.7452178712572283E-3</v>
      </c>
      <c r="W340" s="3">
        <f t="shared" si="347"/>
        <v>1.5456820609005144E-4</v>
      </c>
      <c r="X340" s="3">
        <f t="shared" si="347"/>
        <v>1.5574219900784657E-22</v>
      </c>
      <c r="Y340" s="3">
        <f t="shared" si="347"/>
        <v>1.6798390055352748E-202</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7.0696001208784189E-3</v>
      </c>
      <c r="C341" s="3">
        <f t="shared" si="348"/>
        <v>7.0696001208784189E-3</v>
      </c>
      <c r="D341" s="3">
        <f t="shared" si="348"/>
        <v>7.0696001208784189E-3</v>
      </c>
      <c r="E341" s="3">
        <f t="shared" si="348"/>
        <v>7.0696001208784189E-3</v>
      </c>
      <c r="F341" s="3">
        <f t="shared" si="348"/>
        <v>7.0696001208784189E-3</v>
      </c>
      <c r="G341" s="3">
        <f t="shared" si="348"/>
        <v>7.0696001208784189E-3</v>
      </c>
      <c r="H341" s="3">
        <f t="shared" si="348"/>
        <v>7.0696001208784155E-3</v>
      </c>
      <c r="I341" s="3">
        <f t="shared" si="348"/>
        <v>7.0696001208783903E-3</v>
      </c>
      <c r="J341" s="3">
        <f t="shared" si="348"/>
        <v>7.0696001208781258E-3</v>
      </c>
      <c r="K341" s="3">
        <f t="shared" si="348"/>
        <v>7.0696001208754829E-3</v>
      </c>
      <c r="L341" s="3">
        <f t="shared" si="348"/>
        <v>7.0696001208490553E-3</v>
      </c>
      <c r="M341" s="3">
        <f t="shared" si="348"/>
        <v>7.069600120584784E-3</v>
      </c>
      <c r="N341" s="3">
        <f t="shared" si="348"/>
        <v>7.0696001179420681E-3</v>
      </c>
      <c r="O341" s="3">
        <f t="shared" si="348"/>
        <v>7.0696000915149177E-3</v>
      </c>
      <c r="P341" s="3">
        <f t="shared" si="348"/>
        <v>7.0695998272434181E-3</v>
      </c>
      <c r="Q341" s="3">
        <f t="shared" si="348"/>
        <v>7.0695971845289541E-3</v>
      </c>
      <c r="R341" s="3">
        <f t="shared" si="348"/>
        <v>7.0695707574386559E-3</v>
      </c>
      <c r="S341" s="3">
        <f t="shared" si="348"/>
        <v>7.0693064919689491E-3</v>
      </c>
      <c r="T341" s="3">
        <f t="shared" si="348"/>
        <v>7.0666643805244317E-3</v>
      </c>
      <c r="U341" s="3">
        <f t="shared" si="348"/>
        <v>7.0402975162724502E-3</v>
      </c>
      <c r="V341" s="3">
        <f t="shared" si="348"/>
        <v>6.7819796033555882E-3</v>
      </c>
      <c r="W341" s="3">
        <f t="shared" si="348"/>
        <v>4.6667135971770858E-3</v>
      </c>
      <c r="X341" s="3">
        <f t="shared" si="348"/>
        <v>1.1106004360594042E-4</v>
      </c>
      <c r="Y341" s="3">
        <f t="shared" si="348"/>
        <v>6.4717949955916542E-21</v>
      </c>
      <c r="Z341" s="3">
        <f t="shared" si="348"/>
        <v>2.9220919230434312E-183</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3.5043206729719373E-3</v>
      </c>
      <c r="C342" s="3">
        <f t="shared" si="349"/>
        <v>3.5043206729719373E-3</v>
      </c>
      <c r="D342" s="3">
        <f t="shared" si="349"/>
        <v>3.5043206729719373E-3</v>
      </c>
      <c r="E342" s="3">
        <f t="shared" si="349"/>
        <v>3.5043206729719373E-3</v>
      </c>
      <c r="F342" s="3">
        <f t="shared" si="349"/>
        <v>3.5043206729719373E-3</v>
      </c>
      <c r="G342" s="3">
        <f t="shared" si="349"/>
        <v>3.5043206729719373E-3</v>
      </c>
      <c r="H342" s="3">
        <f t="shared" si="349"/>
        <v>3.5043206729719373E-3</v>
      </c>
      <c r="I342" s="3">
        <f t="shared" si="349"/>
        <v>3.504320672971936E-3</v>
      </c>
      <c r="J342" s="3">
        <f t="shared" si="349"/>
        <v>3.5043206729719239E-3</v>
      </c>
      <c r="K342" s="3">
        <f t="shared" si="349"/>
        <v>3.5043206729718063E-3</v>
      </c>
      <c r="L342" s="3">
        <f t="shared" si="349"/>
        <v>3.5043206729706241E-3</v>
      </c>
      <c r="M342" s="3">
        <f t="shared" si="349"/>
        <v>3.5043206729588072E-3</v>
      </c>
      <c r="N342" s="3">
        <f t="shared" si="349"/>
        <v>3.5043206728406378E-3</v>
      </c>
      <c r="O342" s="3">
        <f t="shared" si="349"/>
        <v>3.5043206716589411E-3</v>
      </c>
      <c r="P342" s="3">
        <f t="shared" si="349"/>
        <v>3.5043206598419771E-3</v>
      </c>
      <c r="Q342" s="3">
        <f t="shared" si="349"/>
        <v>3.5043205416723363E-3</v>
      </c>
      <c r="R342" s="3">
        <f t="shared" si="349"/>
        <v>3.5043193599761514E-3</v>
      </c>
      <c r="S342" s="3">
        <f t="shared" si="349"/>
        <v>3.5043075430362175E-3</v>
      </c>
      <c r="T342" s="3">
        <f t="shared" si="349"/>
        <v>3.5041893758284968E-3</v>
      </c>
      <c r="U342" s="3">
        <f t="shared" si="349"/>
        <v>3.5030079228856523E-3</v>
      </c>
      <c r="V342" s="3">
        <f t="shared" si="349"/>
        <v>3.491215279577348E-3</v>
      </c>
      <c r="W342" s="3">
        <f t="shared" si="349"/>
        <v>3.3754503961528699E-3</v>
      </c>
      <c r="X342" s="3">
        <f t="shared" si="349"/>
        <v>2.4092548167331147E-3</v>
      </c>
      <c r="Y342" s="3">
        <f t="shared" si="349"/>
        <v>8.2678538891479519E-5</v>
      </c>
      <c r="Z342" s="3">
        <f t="shared" si="349"/>
        <v>1.8728084700463069E-19</v>
      </c>
      <c r="AA342" s="3">
        <f t="shared" si="349"/>
        <v>6.6603811401035865E-166</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2.9646797109614421E-3</v>
      </c>
      <c r="C343" s="3">
        <f t="shared" si="350"/>
        <v>2.9646797109614421E-3</v>
      </c>
      <c r="D343" s="3">
        <f t="shared" si="350"/>
        <v>2.9646797109614421E-3</v>
      </c>
      <c r="E343" s="3">
        <f t="shared" si="350"/>
        <v>2.9646797109614421E-3</v>
      </c>
      <c r="F343" s="3">
        <f t="shared" si="350"/>
        <v>2.9646797109614421E-3</v>
      </c>
      <c r="G343" s="3">
        <f t="shared" si="350"/>
        <v>2.9646797109614421E-3</v>
      </c>
      <c r="H343" s="3">
        <f t="shared" si="350"/>
        <v>2.9646797109614421E-3</v>
      </c>
      <c r="I343" s="3">
        <f t="shared" si="350"/>
        <v>2.9646797109614421E-3</v>
      </c>
      <c r="J343" s="3">
        <f t="shared" si="350"/>
        <v>2.9646797109614412E-3</v>
      </c>
      <c r="K343" s="3">
        <f t="shared" si="350"/>
        <v>2.9646797109614321E-3</v>
      </c>
      <c r="L343" s="3">
        <f t="shared" si="350"/>
        <v>2.9646797109613419E-3</v>
      </c>
      <c r="M343" s="3">
        <f t="shared" si="350"/>
        <v>2.9646797109604403E-3</v>
      </c>
      <c r="N343" s="3">
        <f t="shared" si="350"/>
        <v>2.9646797109514214E-3</v>
      </c>
      <c r="O343" s="3">
        <f t="shared" si="350"/>
        <v>2.9646797108612384E-3</v>
      </c>
      <c r="P343" s="3">
        <f t="shared" si="350"/>
        <v>2.9646797099594046E-3</v>
      </c>
      <c r="Q343" s="3">
        <f t="shared" si="350"/>
        <v>2.9646797009410678E-3</v>
      </c>
      <c r="R343" s="3">
        <f t="shared" si="350"/>
        <v>2.9646796107577005E-3</v>
      </c>
      <c r="S343" s="3">
        <f t="shared" si="350"/>
        <v>2.9646787089241799E-3</v>
      </c>
      <c r="T343" s="3">
        <f t="shared" si="350"/>
        <v>2.9646696906040623E-3</v>
      </c>
      <c r="U343" s="3">
        <f t="shared" si="350"/>
        <v>2.9645795089116899E-3</v>
      </c>
      <c r="V343" s="3">
        <f t="shared" si="350"/>
        <v>2.9636778428512294E-3</v>
      </c>
      <c r="W343" s="3">
        <f t="shared" si="350"/>
        <v>2.9546762516072284E-3</v>
      </c>
      <c r="X343" s="3">
        <f t="shared" si="350"/>
        <v>2.8661504515916912E-3</v>
      </c>
      <c r="Y343" s="3">
        <f t="shared" si="350"/>
        <v>2.1144129385125645E-3</v>
      </c>
      <c r="Z343" s="3">
        <f t="shared" si="350"/>
        <v>1.0094807586117494E-4</v>
      </c>
      <c r="AA343" s="3">
        <f t="shared" si="350"/>
        <v>6.2112702102111707E-18</v>
      </c>
      <c r="AB343" s="3">
        <f t="shared" si="350"/>
        <v>4.8306347073027888E-150</v>
      </c>
      <c r="AC343" s="3">
        <f t="shared" si="350"/>
        <v>0</v>
      </c>
      <c r="AD343" s="3">
        <f t="shared" si="350"/>
        <v>0</v>
      </c>
      <c r="AE343" s="3">
        <f t="shared" si="350"/>
        <v>0</v>
      </c>
      <c r="AF343" s="3">
        <f t="shared" si="350"/>
        <v>0</v>
      </c>
      <c r="AG343" s="3"/>
      <c r="AH343" s="3"/>
    </row>
    <row r="344" spans="2:34" x14ac:dyDescent="0.25">
      <c r="B344" s="3">
        <f t="shared" ref="B344:AF344" si="351">$C35*EXP(-B$363/$A35/EXP(-$G$126))</f>
        <v>0</v>
      </c>
      <c r="C344" s="3">
        <f t="shared" si="351"/>
        <v>0</v>
      </c>
      <c r="D344" s="3">
        <f t="shared" si="351"/>
        <v>0</v>
      </c>
      <c r="E344" s="3">
        <f t="shared" si="351"/>
        <v>0</v>
      </c>
      <c r="F344" s="3">
        <f t="shared" si="351"/>
        <v>0</v>
      </c>
      <c r="G344" s="3">
        <f t="shared" si="351"/>
        <v>0</v>
      </c>
      <c r="H344" s="3">
        <f t="shared" si="351"/>
        <v>0</v>
      </c>
      <c r="I344" s="3">
        <f t="shared" si="351"/>
        <v>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3.098114236407119E-3</v>
      </c>
      <c r="C345" s="3">
        <f t="shared" si="352"/>
        <v>3.098114236407119E-3</v>
      </c>
      <c r="D345" s="3">
        <f t="shared" si="352"/>
        <v>3.098114236407119E-3</v>
      </c>
      <c r="E345" s="3">
        <f t="shared" si="352"/>
        <v>3.098114236407119E-3</v>
      </c>
      <c r="F345" s="3">
        <f t="shared" si="352"/>
        <v>3.098114236407119E-3</v>
      </c>
      <c r="G345" s="3">
        <f t="shared" si="352"/>
        <v>3.098114236407119E-3</v>
      </c>
      <c r="H345" s="3">
        <f t="shared" si="352"/>
        <v>3.098114236407119E-3</v>
      </c>
      <c r="I345" s="3">
        <f t="shared" si="352"/>
        <v>3.098114236407119E-3</v>
      </c>
      <c r="J345" s="3">
        <f t="shared" si="352"/>
        <v>3.098114236407119E-3</v>
      </c>
      <c r="K345" s="3">
        <f t="shared" si="352"/>
        <v>3.098114236407119E-3</v>
      </c>
      <c r="L345" s="3">
        <f t="shared" si="352"/>
        <v>3.0981142364071182E-3</v>
      </c>
      <c r="M345" s="3">
        <f t="shared" si="352"/>
        <v>3.0981142364071104E-3</v>
      </c>
      <c r="N345" s="3">
        <f t="shared" si="352"/>
        <v>3.0981142364070336E-3</v>
      </c>
      <c r="O345" s="3">
        <f t="shared" si="352"/>
        <v>3.0981142364062669E-3</v>
      </c>
      <c r="P345" s="3">
        <f t="shared" si="352"/>
        <v>3.0981142363985976E-3</v>
      </c>
      <c r="Q345" s="3">
        <f t="shared" si="352"/>
        <v>3.0981142363219077E-3</v>
      </c>
      <c r="R345" s="3">
        <f t="shared" si="352"/>
        <v>3.0981142355550068E-3</v>
      </c>
      <c r="S345" s="3">
        <f t="shared" si="352"/>
        <v>3.0981142278859973E-3</v>
      </c>
      <c r="T345" s="3">
        <f t="shared" si="352"/>
        <v>3.0981141511959021E-3</v>
      </c>
      <c r="U345" s="3">
        <f t="shared" si="352"/>
        <v>3.0981133842950563E-3</v>
      </c>
      <c r="V345" s="3">
        <f t="shared" si="352"/>
        <v>3.0981057152970389E-3</v>
      </c>
      <c r="W345" s="3">
        <f t="shared" si="352"/>
        <v>3.0980290263609585E-3</v>
      </c>
      <c r="X345" s="3">
        <f t="shared" si="352"/>
        <v>3.0972622413999473E-3</v>
      </c>
      <c r="Y345" s="3">
        <f t="shared" si="352"/>
        <v>3.0896048222134398E-3</v>
      </c>
      <c r="Z345" s="3">
        <f t="shared" si="352"/>
        <v>3.0140641825070328E-3</v>
      </c>
      <c r="AA345" s="3">
        <f t="shared" si="352"/>
        <v>2.3531418853218774E-3</v>
      </c>
      <c r="AB345" s="3">
        <f t="shared" si="352"/>
        <v>1.9797223939133529E-4</v>
      </c>
      <c r="AC345" s="3">
        <f t="shared" si="352"/>
        <v>3.5169493214300047E-15</v>
      </c>
      <c r="AD345" s="3">
        <f t="shared" si="352"/>
        <v>1.1009922347835158E-122</v>
      </c>
      <c r="AE345" s="3">
        <f t="shared" si="352"/>
        <v>0</v>
      </c>
      <c r="AF345" s="3">
        <f t="shared" si="352"/>
        <v>0</v>
      </c>
      <c r="AG345" s="3"/>
      <c r="AH345" s="3"/>
    </row>
    <row r="346" spans="2:34" x14ac:dyDescent="0.25">
      <c r="B346" s="3">
        <f t="shared" ref="B346:AF346" si="353">$C37*EXP(-B$363/$A37/EXP(-$G$126))</f>
        <v>1.3450651080742435E-3</v>
      </c>
      <c r="C346" s="3">
        <f t="shared" si="353"/>
        <v>1.3450651080742435E-3</v>
      </c>
      <c r="D346" s="3">
        <f t="shared" si="353"/>
        <v>1.3450651080742435E-3</v>
      </c>
      <c r="E346" s="3">
        <f t="shared" si="353"/>
        <v>1.3450651080742435E-3</v>
      </c>
      <c r="F346" s="3">
        <f t="shared" si="353"/>
        <v>1.3450651080742435E-3</v>
      </c>
      <c r="G346" s="3">
        <f t="shared" si="353"/>
        <v>1.3450651080742435E-3</v>
      </c>
      <c r="H346" s="3">
        <f t="shared" si="353"/>
        <v>1.3450651080742435E-3</v>
      </c>
      <c r="I346" s="3">
        <f t="shared" si="353"/>
        <v>1.3450651080742435E-3</v>
      </c>
      <c r="J346" s="3">
        <f t="shared" si="353"/>
        <v>1.3450651080742435E-3</v>
      </c>
      <c r="K346" s="3">
        <f t="shared" si="353"/>
        <v>1.3450651080742435E-3</v>
      </c>
      <c r="L346" s="3">
        <f t="shared" si="353"/>
        <v>1.3450651080742435E-3</v>
      </c>
      <c r="M346" s="3">
        <f t="shared" si="353"/>
        <v>1.3450651080742432E-3</v>
      </c>
      <c r="N346" s="3">
        <f t="shared" si="353"/>
        <v>1.3450651080742402E-3</v>
      </c>
      <c r="O346" s="3">
        <f t="shared" si="353"/>
        <v>1.3450651080742101E-3</v>
      </c>
      <c r="P346" s="3">
        <f t="shared" si="353"/>
        <v>1.3450651080739097E-3</v>
      </c>
      <c r="Q346" s="3">
        <f t="shared" si="353"/>
        <v>1.3450651080709063E-3</v>
      </c>
      <c r="R346" s="3">
        <f t="shared" si="353"/>
        <v>1.3450651080408711E-3</v>
      </c>
      <c r="S346" s="3">
        <f t="shared" si="353"/>
        <v>1.345065107740518E-3</v>
      </c>
      <c r="T346" s="3">
        <f t="shared" si="353"/>
        <v>1.3450651047369896E-3</v>
      </c>
      <c r="U346" s="3">
        <f t="shared" si="353"/>
        <v>1.3450650747017054E-3</v>
      </c>
      <c r="V346" s="3">
        <f t="shared" si="353"/>
        <v>1.3450647743488992E-3</v>
      </c>
      <c r="W346" s="3">
        <f t="shared" si="353"/>
        <v>1.3450617708245279E-3</v>
      </c>
      <c r="X346" s="3">
        <f t="shared" si="353"/>
        <v>1.3450317359496886E-3</v>
      </c>
      <c r="Y346" s="3">
        <f t="shared" si="353"/>
        <v>1.3447314240857221E-3</v>
      </c>
      <c r="Z346" s="3">
        <f t="shared" si="353"/>
        <v>1.3417319908429735E-3</v>
      </c>
      <c r="AA346" s="3">
        <f t="shared" si="353"/>
        <v>1.3121031712990815E-3</v>
      </c>
      <c r="AB346" s="3">
        <f t="shared" si="353"/>
        <v>1.0495184779547838E-3</v>
      </c>
      <c r="AC346" s="3">
        <f t="shared" si="353"/>
        <v>1.1251518274013307E-4</v>
      </c>
      <c r="AD346" s="3">
        <f t="shared" si="353"/>
        <v>2.2564282912909389E-14</v>
      </c>
      <c r="AE346" s="3">
        <f t="shared" si="353"/>
        <v>2.3742453749611838E-111</v>
      </c>
      <c r="AF346" s="3">
        <f t="shared" si="353"/>
        <v>0</v>
      </c>
      <c r="AG346" s="3"/>
      <c r="AH346" s="3"/>
    </row>
    <row r="347" spans="2:34" x14ac:dyDescent="0.25">
      <c r="B347" s="3">
        <f t="shared" ref="B347:AF347" si="354">$C38*EXP(-B$363/$A38/EXP(-$G$126))</f>
        <v>1.5999872696703847E-4</v>
      </c>
      <c r="C347" s="3">
        <f t="shared" si="354"/>
        <v>1.5999872696703847E-4</v>
      </c>
      <c r="D347" s="3">
        <f t="shared" si="354"/>
        <v>1.5999872696703847E-4</v>
      </c>
      <c r="E347" s="3">
        <f t="shared" si="354"/>
        <v>1.5999872696703847E-4</v>
      </c>
      <c r="F347" s="3">
        <f t="shared" si="354"/>
        <v>1.5999872696703847E-4</v>
      </c>
      <c r="G347" s="3">
        <f t="shared" si="354"/>
        <v>1.5999872696703847E-4</v>
      </c>
      <c r="H347" s="3">
        <f t="shared" si="354"/>
        <v>1.5999872696703847E-4</v>
      </c>
      <c r="I347" s="3">
        <f t="shared" si="354"/>
        <v>1.5999872696703847E-4</v>
      </c>
      <c r="J347" s="3">
        <f t="shared" si="354"/>
        <v>1.5999872696703847E-4</v>
      </c>
      <c r="K347" s="3">
        <f t="shared" si="354"/>
        <v>1.5999872696703847E-4</v>
      </c>
      <c r="L347" s="3">
        <f t="shared" si="354"/>
        <v>1.5999872696703847E-4</v>
      </c>
      <c r="M347" s="3">
        <f t="shared" si="354"/>
        <v>1.5999872696703847E-4</v>
      </c>
      <c r="N347" s="3">
        <f t="shared" si="354"/>
        <v>1.5999872696703844E-4</v>
      </c>
      <c r="O347" s="3">
        <f t="shared" si="354"/>
        <v>1.5999872696703812E-4</v>
      </c>
      <c r="P347" s="3">
        <f t="shared" si="354"/>
        <v>1.5999872696703489E-4</v>
      </c>
      <c r="Q347" s="3">
        <f t="shared" si="354"/>
        <v>1.5999872696700266E-4</v>
      </c>
      <c r="R347" s="3">
        <f t="shared" si="354"/>
        <v>1.5999872696668036E-4</v>
      </c>
      <c r="S347" s="3">
        <f t="shared" si="354"/>
        <v>1.5999872696345743E-4</v>
      </c>
      <c r="T347" s="3">
        <f t="shared" si="354"/>
        <v>1.5999872693122808E-4</v>
      </c>
      <c r="U347" s="3">
        <f t="shared" si="354"/>
        <v>1.5999872660893457E-4</v>
      </c>
      <c r="V347" s="3">
        <f t="shared" si="354"/>
        <v>1.5999872338599949E-4</v>
      </c>
      <c r="W347" s="3">
        <f t="shared" si="354"/>
        <v>1.5999869115665216E-4</v>
      </c>
      <c r="X347" s="3">
        <f t="shared" si="354"/>
        <v>1.5999836886353602E-4</v>
      </c>
      <c r="Y347" s="3">
        <f t="shared" si="354"/>
        <v>1.5999514596808112E-4</v>
      </c>
      <c r="Z347" s="3">
        <f t="shared" si="354"/>
        <v>1.5996292058390285E-4</v>
      </c>
      <c r="AA347" s="3">
        <f t="shared" si="354"/>
        <v>1.5964102351324365E-4</v>
      </c>
      <c r="AB347" s="3">
        <f t="shared" si="354"/>
        <v>1.5645746544069519E-4</v>
      </c>
      <c r="AC347" s="3">
        <f t="shared" si="354"/>
        <v>1.2791284562687277E-4</v>
      </c>
      <c r="AD347" s="3">
        <f t="shared" si="354"/>
        <v>1.7064472248950365E-5</v>
      </c>
      <c r="AE347" s="3">
        <f t="shared" si="354"/>
        <v>3.0470520270736447E-14</v>
      </c>
      <c r="AF347" s="3">
        <f t="shared" si="354"/>
        <v>1.0040375422923295E-101</v>
      </c>
      <c r="AG347" s="3"/>
      <c r="AH347" s="3"/>
    </row>
    <row r="348" spans="2:34" x14ac:dyDescent="0.25">
      <c r="B348" s="3">
        <f t="shared" ref="B348:AF348" si="355">$C39*EXP(-B$363/$A39/EXP(-$G$126))</f>
        <v>0</v>
      </c>
      <c r="C348" s="3">
        <f t="shared" si="355"/>
        <v>0</v>
      </c>
      <c r="D348" s="3">
        <f t="shared" si="355"/>
        <v>0</v>
      </c>
      <c r="E348" s="3">
        <f t="shared" si="355"/>
        <v>0</v>
      </c>
      <c r="F348" s="3">
        <f t="shared" si="355"/>
        <v>0</v>
      </c>
      <c r="G348" s="3">
        <f t="shared" si="355"/>
        <v>0</v>
      </c>
      <c r="H348" s="3">
        <f t="shared" si="355"/>
        <v>0</v>
      </c>
      <c r="I348" s="3">
        <f t="shared" si="355"/>
        <v>0</v>
      </c>
      <c r="J348" s="3">
        <f t="shared" si="355"/>
        <v>0</v>
      </c>
      <c r="K348" s="3">
        <f t="shared" si="355"/>
        <v>0</v>
      </c>
      <c r="L348" s="3">
        <f t="shared" si="355"/>
        <v>0</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1.1033683083565872E-4</v>
      </c>
      <c r="C350" s="3">
        <f t="shared" si="357"/>
        <v>1.1033683083565872E-4</v>
      </c>
      <c r="D350" s="3">
        <f t="shared" si="357"/>
        <v>1.1033683083565872E-4</v>
      </c>
      <c r="E350" s="3">
        <f t="shared" si="357"/>
        <v>1.1033683083565872E-4</v>
      </c>
      <c r="F350" s="3">
        <f t="shared" si="357"/>
        <v>1.1033683083565872E-4</v>
      </c>
      <c r="G350" s="3">
        <f t="shared" si="357"/>
        <v>1.1033683083565872E-4</v>
      </c>
      <c r="H350" s="3">
        <f t="shared" si="357"/>
        <v>1.1033683083565872E-4</v>
      </c>
      <c r="I350" s="3">
        <f t="shared" si="357"/>
        <v>1.1033683083565872E-4</v>
      </c>
      <c r="J350" s="3">
        <f t="shared" si="357"/>
        <v>1.1033683083565872E-4</v>
      </c>
      <c r="K350" s="3">
        <f t="shared" si="357"/>
        <v>1.1033683083565872E-4</v>
      </c>
      <c r="L350" s="3">
        <f t="shared" si="357"/>
        <v>1.1033683083565872E-4</v>
      </c>
      <c r="M350" s="3">
        <f t="shared" si="357"/>
        <v>1.1033683083565872E-4</v>
      </c>
      <c r="N350" s="3">
        <f t="shared" si="357"/>
        <v>1.1033683083565872E-4</v>
      </c>
      <c r="O350" s="3">
        <f t="shared" si="357"/>
        <v>1.1033683083565872E-4</v>
      </c>
      <c r="P350" s="3">
        <f t="shared" si="357"/>
        <v>1.103368308356587E-4</v>
      </c>
      <c r="Q350" s="3">
        <f t="shared" si="357"/>
        <v>1.1033683083565865E-4</v>
      </c>
      <c r="R350" s="3">
        <f t="shared" si="357"/>
        <v>1.1033683083565803E-4</v>
      </c>
      <c r="S350" s="3">
        <f t="shared" si="357"/>
        <v>1.1033683083565189E-4</v>
      </c>
      <c r="T350" s="3">
        <f t="shared" si="357"/>
        <v>1.1033683083559041E-4</v>
      </c>
      <c r="U350" s="3">
        <f t="shared" si="357"/>
        <v>1.1033683083497571E-4</v>
      </c>
      <c r="V350" s="3">
        <f t="shared" si="357"/>
        <v>1.1033683082882864E-4</v>
      </c>
      <c r="W350" s="3">
        <f t="shared" si="357"/>
        <v>1.103368307673579E-4</v>
      </c>
      <c r="X350" s="3">
        <f t="shared" si="357"/>
        <v>1.1033683015265056E-4</v>
      </c>
      <c r="Y350" s="3">
        <f t="shared" si="357"/>
        <v>1.1033682400557729E-4</v>
      </c>
      <c r="Z350" s="3">
        <f t="shared" si="357"/>
        <v>1.1033676253486343E-4</v>
      </c>
      <c r="AA350" s="3">
        <f t="shared" si="357"/>
        <v>1.1033614782960849E-4</v>
      </c>
      <c r="AB350" s="3">
        <f t="shared" si="357"/>
        <v>1.1033000096541055E-4</v>
      </c>
      <c r="AC350" s="3">
        <f t="shared" si="357"/>
        <v>1.1026855115469745E-4</v>
      </c>
      <c r="AD350" s="3">
        <f t="shared" si="357"/>
        <v>1.096559322982189E-4</v>
      </c>
      <c r="AE350" s="3">
        <f t="shared" si="357"/>
        <v>1.0371385207474475E-4</v>
      </c>
      <c r="AF350" s="3">
        <f t="shared" si="357"/>
        <v>5.9413220920509664E-5</v>
      </c>
      <c r="AG350" s="3"/>
      <c r="AH350" s="3"/>
    </row>
    <row r="351" spans="2:34" x14ac:dyDescent="0.25">
      <c r="B351" s="3">
        <f t="shared" ref="B351:AF351" si="358">$C42*EXP(-B$363/$A42/EXP(-$G$126))</f>
        <v>5.3430093526516889E-5</v>
      </c>
      <c r="C351" s="3">
        <f t="shared" si="358"/>
        <v>5.3430093526516889E-5</v>
      </c>
      <c r="D351" s="3">
        <f t="shared" si="358"/>
        <v>5.3430093526516889E-5</v>
      </c>
      <c r="E351" s="3">
        <f t="shared" si="358"/>
        <v>5.3430093526516889E-5</v>
      </c>
      <c r="F351" s="3">
        <f t="shared" si="358"/>
        <v>5.3430093526516889E-5</v>
      </c>
      <c r="G351" s="3">
        <f t="shared" si="358"/>
        <v>5.3430093526516889E-5</v>
      </c>
      <c r="H351" s="3">
        <f t="shared" si="358"/>
        <v>5.3430093526516889E-5</v>
      </c>
      <c r="I351" s="3">
        <f t="shared" si="358"/>
        <v>5.3430093526516889E-5</v>
      </c>
      <c r="J351" s="3">
        <f t="shared" si="358"/>
        <v>5.3430093526516889E-5</v>
      </c>
      <c r="K351" s="3">
        <f t="shared" si="358"/>
        <v>5.3430093526516889E-5</v>
      </c>
      <c r="L351" s="3">
        <f t="shared" si="358"/>
        <v>5.3430093526516889E-5</v>
      </c>
      <c r="M351" s="3">
        <f t="shared" si="358"/>
        <v>5.3430093526516889E-5</v>
      </c>
      <c r="N351" s="3">
        <f t="shared" si="358"/>
        <v>5.3430093526516889E-5</v>
      </c>
      <c r="O351" s="3">
        <f t="shared" si="358"/>
        <v>5.3430093526516889E-5</v>
      </c>
      <c r="P351" s="3">
        <f t="shared" si="358"/>
        <v>5.3430093526516889E-5</v>
      </c>
      <c r="Q351" s="3">
        <f t="shared" si="358"/>
        <v>5.3430093526516882E-5</v>
      </c>
      <c r="R351" s="3">
        <f t="shared" si="358"/>
        <v>5.3430093526516855E-5</v>
      </c>
      <c r="S351" s="3">
        <f t="shared" si="358"/>
        <v>5.3430093526516557E-5</v>
      </c>
      <c r="T351" s="3">
        <f t="shared" si="358"/>
        <v>5.3430093526513582E-5</v>
      </c>
      <c r="U351" s="3">
        <f t="shared" si="358"/>
        <v>5.3430093526483814E-5</v>
      </c>
      <c r="V351" s="3">
        <f t="shared" si="358"/>
        <v>5.3430093526186146E-5</v>
      </c>
      <c r="W351" s="3">
        <f t="shared" si="358"/>
        <v>5.3430093523209449E-5</v>
      </c>
      <c r="X351" s="3">
        <f t="shared" si="358"/>
        <v>5.3430093493442536E-5</v>
      </c>
      <c r="Y351" s="3">
        <f t="shared" si="358"/>
        <v>5.3430093195773386E-5</v>
      </c>
      <c r="Z351" s="3">
        <f t="shared" si="358"/>
        <v>5.3430090219081949E-5</v>
      </c>
      <c r="AA351" s="3">
        <f t="shared" si="358"/>
        <v>5.3430060452176686E-5</v>
      </c>
      <c r="AB351" s="3">
        <f t="shared" si="358"/>
        <v>5.342976278403619E-5</v>
      </c>
      <c r="AC351" s="3">
        <f t="shared" si="358"/>
        <v>5.3426786193839577E-5</v>
      </c>
      <c r="AD351" s="3">
        <f t="shared" si="358"/>
        <v>5.3397029410825951E-5</v>
      </c>
      <c r="AE351" s="3">
        <f t="shared" si="358"/>
        <v>5.3100371599015952E-5</v>
      </c>
      <c r="AF351" s="3">
        <f t="shared" si="358"/>
        <v>5.0222947082852628E-5</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1.1249816087007928E-3</v>
      </c>
      <c r="C357" s="3">
        <f t="shared" si="364"/>
        <v>1.1249816087007928E-3</v>
      </c>
      <c r="D357" s="3">
        <f t="shared" si="364"/>
        <v>1.1249816087007928E-3</v>
      </c>
      <c r="E357" s="3">
        <f t="shared" si="364"/>
        <v>1.1249816087007928E-3</v>
      </c>
      <c r="F357" s="3">
        <f t="shared" si="364"/>
        <v>1.1249816087007928E-3</v>
      </c>
      <c r="G357" s="3">
        <f t="shared" si="364"/>
        <v>1.1249816087007928E-3</v>
      </c>
      <c r="H357" s="3">
        <f t="shared" si="364"/>
        <v>1.1249816087007928E-3</v>
      </c>
      <c r="I357" s="3">
        <f t="shared" si="364"/>
        <v>1.1249816087007928E-3</v>
      </c>
      <c r="J357" s="3">
        <f t="shared" si="364"/>
        <v>1.1249816087007928E-3</v>
      </c>
      <c r="K357" s="3">
        <f t="shared" si="364"/>
        <v>1.1249816087007928E-3</v>
      </c>
      <c r="L357" s="3">
        <f t="shared" si="364"/>
        <v>1.1249816087007928E-3</v>
      </c>
      <c r="M357" s="3">
        <f t="shared" si="364"/>
        <v>1.1249816087007928E-3</v>
      </c>
      <c r="N357" s="3">
        <f t="shared" si="364"/>
        <v>1.1249816087007928E-3</v>
      </c>
      <c r="O357" s="3">
        <f t="shared" si="364"/>
        <v>1.1249816087007928E-3</v>
      </c>
      <c r="P357" s="3">
        <f t="shared" si="364"/>
        <v>1.1249816087007928E-3</v>
      </c>
      <c r="Q357" s="3">
        <f t="shared" si="364"/>
        <v>1.1249816087007928E-3</v>
      </c>
      <c r="R357" s="3">
        <f t="shared" si="364"/>
        <v>1.1249816087007928E-3</v>
      </c>
      <c r="S357" s="3">
        <f t="shared" si="364"/>
        <v>1.1249816087007928E-3</v>
      </c>
      <c r="T357" s="3">
        <f t="shared" si="364"/>
        <v>1.1249816087007928E-3</v>
      </c>
      <c r="U357" s="3">
        <f t="shared" si="364"/>
        <v>1.1249816087007928E-3</v>
      </c>
      <c r="V357" s="3">
        <f t="shared" si="364"/>
        <v>1.1249816087007928E-3</v>
      </c>
      <c r="W357" s="3">
        <f t="shared" si="364"/>
        <v>1.1249816087007926E-3</v>
      </c>
      <c r="X357" s="3">
        <f t="shared" si="364"/>
        <v>1.1249816087007922E-3</v>
      </c>
      <c r="Y357" s="3">
        <f t="shared" si="364"/>
        <v>1.1249816087007859E-3</v>
      </c>
      <c r="Z357" s="3">
        <f t="shared" si="364"/>
        <v>1.1249816087007232E-3</v>
      </c>
      <c r="AA357" s="3">
        <f t="shared" si="364"/>
        <v>1.1249816087000963E-3</v>
      </c>
      <c r="AB357" s="3">
        <f t="shared" si="364"/>
        <v>1.124981608693829E-3</v>
      </c>
      <c r="AC357" s="3">
        <f t="shared" si="364"/>
        <v>1.1249816086311541E-3</v>
      </c>
      <c r="AD357" s="3">
        <f t="shared" si="364"/>
        <v>1.1249816080044054E-3</v>
      </c>
      <c r="AE357" s="3">
        <f t="shared" si="364"/>
        <v>1.1249816017369202E-3</v>
      </c>
      <c r="AF357" s="3">
        <f t="shared" si="364"/>
        <v>1.1249815390620699E-3</v>
      </c>
      <c r="AG357" s="3"/>
      <c r="AH357" s="3"/>
    </row>
    <row r="358" spans="1:34" x14ac:dyDescent="0.25">
      <c r="A358" s="79">
        <f>AVERAGE(B358:AF358)</f>
        <v>1.5905556001786206E-3</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2.8257705339475186E-3</v>
      </c>
      <c r="M358" s="80">
        <f t="shared" si="365"/>
        <v>4.0058527534646499E-3</v>
      </c>
      <c r="N358" s="80">
        <f t="shared" si="365"/>
        <v>3.8899932674170317E-3</v>
      </c>
      <c r="O358" s="80">
        <f t="shared" si="365"/>
        <v>4.2568750088690004E-3</v>
      </c>
      <c r="P358" s="80">
        <f t="shared" si="365"/>
        <v>3.0641490939637629E-3</v>
      </c>
      <c r="Q358" s="80">
        <f t="shared" si="365"/>
        <v>2.8929385073929166E-3</v>
      </c>
      <c r="R358" s="80">
        <f t="shared" si="365"/>
        <v>8.9187958378115426E-3</v>
      </c>
      <c r="S358" s="80">
        <f t="shared" si="365"/>
        <v>1.0296603530341477E-2</v>
      </c>
      <c r="T358" s="80">
        <f t="shared" si="365"/>
        <v>4.7240529276704754E-3</v>
      </c>
      <c r="U358" s="80">
        <f t="shared" si="365"/>
        <v>1.3711992390560291E-3</v>
      </c>
      <c r="V358" s="80">
        <f t="shared" si="365"/>
        <v>3.0609929056028356E-3</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836200.4182605095</v>
      </c>
      <c r="C359" s="21">
        <f t="shared" ref="C359:AF359" si="366">(C326-C325)^2</f>
        <v>49601.243221085388</v>
      </c>
      <c r="D359" s="21">
        <f t="shared" si="366"/>
        <v>657288.24318224611</v>
      </c>
      <c r="E359" s="21">
        <f t="shared" si="366"/>
        <v>407877.15651389858</v>
      </c>
      <c r="F359" s="21">
        <f t="shared" si="366"/>
        <v>185389.19511563447</v>
      </c>
      <c r="G359" s="21">
        <f t="shared" si="366"/>
        <v>50282.829142605442</v>
      </c>
      <c r="H359" s="21">
        <f t="shared" si="366"/>
        <v>3091.5213727308605</v>
      </c>
      <c r="I359" s="21">
        <f t="shared" si="366"/>
        <v>3849.2800280418001</v>
      </c>
      <c r="J359" s="21">
        <f t="shared" si="366"/>
        <v>164.06808475270466</v>
      </c>
      <c r="K359" s="21">
        <f t="shared" si="366"/>
        <v>207.27194212124613</v>
      </c>
      <c r="L359" s="21">
        <f t="shared" si="366"/>
        <v>63.272663646528741</v>
      </c>
      <c r="M359" s="21">
        <f t="shared" si="366"/>
        <v>111.96561552119043</v>
      </c>
      <c r="N359" s="21">
        <f t="shared" si="366"/>
        <v>90.769584951953007</v>
      </c>
      <c r="O359" s="21">
        <f t="shared" si="366"/>
        <v>90.585214474786582</v>
      </c>
      <c r="P359" s="21">
        <f t="shared" si="366"/>
        <v>37.306171733962451</v>
      </c>
      <c r="Q359" s="21">
        <f t="shared" si="366"/>
        <v>24.412283103009937</v>
      </c>
      <c r="R359" s="21">
        <f t="shared" si="366"/>
        <v>152.14252246086554</v>
      </c>
      <c r="S359" s="21">
        <f t="shared" si="366"/>
        <v>115.8617794845939</v>
      </c>
      <c r="T359" s="21">
        <f t="shared" si="366"/>
        <v>12.336647707943717</v>
      </c>
      <c r="U359" s="21">
        <f t="shared" si="366"/>
        <v>0.50741762318698913</v>
      </c>
      <c r="V359" s="21">
        <f t="shared" si="366"/>
        <v>1.3781322547268422</v>
      </c>
      <c r="W359" s="21">
        <f t="shared" si="366"/>
        <v>0.54282956380208081</v>
      </c>
      <c r="X359" s="21">
        <f t="shared" si="366"/>
        <v>3.167449804274562</v>
      </c>
      <c r="Y359" s="21">
        <f t="shared" si="366"/>
        <v>5.2047216434364456</v>
      </c>
      <c r="Z359" s="21">
        <f t="shared" si="366"/>
        <v>3.1420872410013914</v>
      </c>
      <c r="AA359" s="21">
        <f t="shared" si="366"/>
        <v>6.4488623286642337</v>
      </c>
      <c r="AB359" s="21">
        <f t="shared" si="366"/>
        <v>4.1708133129042431E-2</v>
      </c>
      <c r="AC359" s="21">
        <f t="shared" si="366"/>
        <v>2.4303289298413162</v>
      </c>
      <c r="AD359" s="21">
        <f t="shared" si="366"/>
        <v>1.551711250998808</v>
      </c>
      <c r="AE359" s="21">
        <f t="shared" si="366"/>
        <v>1.4801603325335448</v>
      </c>
      <c r="AF359" s="21">
        <f t="shared" si="366"/>
        <v>1.0998665610940179</v>
      </c>
      <c r="AG359" s="3"/>
      <c r="AH359" s="3"/>
    </row>
    <row r="360" spans="1:34" x14ac:dyDescent="0.25">
      <c r="A360" s="71">
        <f>SUM(B360:AF360)</f>
        <v>700.53803296274805</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63.272663646528741</v>
      </c>
      <c r="M360" s="60">
        <f t="shared" si="367"/>
        <v>111.96561552119043</v>
      </c>
      <c r="N360" s="60">
        <f t="shared" si="367"/>
        <v>90.769584951953007</v>
      </c>
      <c r="O360" s="60">
        <f t="shared" si="367"/>
        <v>90.585214474786582</v>
      </c>
      <c r="P360" s="60">
        <f t="shared" si="367"/>
        <v>37.306171733962451</v>
      </c>
      <c r="Q360" s="60">
        <f t="shared" si="367"/>
        <v>24.412283103009937</v>
      </c>
      <c r="R360" s="60">
        <f t="shared" si="367"/>
        <v>152.14252246086554</v>
      </c>
      <c r="S360" s="60">
        <f t="shared" si="367"/>
        <v>115.8617794845939</v>
      </c>
      <c r="T360" s="60">
        <f t="shared" si="367"/>
        <v>12.336647707943717</v>
      </c>
      <c r="U360" s="60">
        <f t="shared" si="367"/>
        <v>0.50741762318698913</v>
      </c>
      <c r="V360" s="60">
        <f t="shared" si="367"/>
        <v>1.3781322547268422</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0" t="s">
        <v>22</v>
      </c>
      <c r="B365" s="27">
        <f>($C$17+SUM(B366:B396))*$B$51</f>
        <v>3387.712394956307</v>
      </c>
      <c r="C365" s="27">
        <f t="shared" ref="C365:AF365" si="368">($C$17+SUM(C366:C396))*$B$51</f>
        <v>3317.9399217064256</v>
      </c>
      <c r="D365" s="27">
        <f t="shared" si="368"/>
        <v>3061.2676419781988</v>
      </c>
      <c r="E365" s="27">
        <f t="shared" si="368"/>
        <v>2928.5289227249473</v>
      </c>
      <c r="F365" s="27">
        <f t="shared" si="368"/>
        <v>2768.2235227192277</v>
      </c>
      <c r="G365" s="27">
        <f t="shared" si="368"/>
        <v>2587.9444459315359</v>
      </c>
      <c r="H365" s="27">
        <f t="shared" si="368"/>
        <v>2392.4846954607297</v>
      </c>
      <c r="I365" s="27">
        <f t="shared" si="368"/>
        <v>2172.832384818862</v>
      </c>
      <c r="J365" s="27">
        <f t="shared" si="368"/>
        <v>1927.9018244613846</v>
      </c>
      <c r="K365" s="27">
        <f t="shared" si="368"/>
        <v>1643.898206095929</v>
      </c>
      <c r="L365" s="27">
        <f t="shared" si="368"/>
        <v>1319.3997725986599</v>
      </c>
      <c r="M365" s="27">
        <f t="shared" si="368"/>
        <v>984.13486493146036</v>
      </c>
      <c r="N365" s="27">
        <f t="shared" si="368"/>
        <v>693.0851027603685</v>
      </c>
      <c r="O365" s="27">
        <f t="shared" si="368"/>
        <v>486.59098806371338</v>
      </c>
      <c r="P365" s="27">
        <f t="shared" si="368"/>
        <v>366.80421018074276</v>
      </c>
      <c r="Q365" s="27">
        <f t="shared" si="368"/>
        <v>307.65048842412801</v>
      </c>
      <c r="R365" s="27">
        <f t="shared" si="368"/>
        <v>278.77740358429503</v>
      </c>
      <c r="S365" s="27">
        <f t="shared" si="368"/>
        <v>261.84378004318228</v>
      </c>
      <c r="T365" s="27">
        <f t="shared" si="368"/>
        <v>251.51980264400717</v>
      </c>
      <c r="U365" s="27">
        <f t="shared" si="368"/>
        <v>245.69677055053918</v>
      </c>
      <c r="V365" s="27">
        <f t="shared" si="368"/>
        <v>232.52143480129854</v>
      </c>
      <c r="W365" s="27">
        <f t="shared" si="368"/>
        <v>227.15463247913152</v>
      </c>
      <c r="X365" s="27">
        <f t="shared" si="368"/>
        <v>226.40992467390436</v>
      </c>
      <c r="Y365" s="27">
        <f t="shared" si="368"/>
        <v>226.33028476624125</v>
      </c>
      <c r="Z365" s="27">
        <f t="shared" si="368"/>
        <v>225.97214915025435</v>
      </c>
      <c r="AA365" s="27">
        <f t="shared" si="368"/>
        <v>225.58318834155432</v>
      </c>
      <c r="AB365" s="27">
        <f t="shared" si="368"/>
        <v>225.47274140911523</v>
      </c>
      <c r="AC365" s="27">
        <f t="shared" si="368"/>
        <v>225.47215949365048</v>
      </c>
      <c r="AD365" s="27">
        <f t="shared" si="368"/>
        <v>225.46647963778412</v>
      </c>
      <c r="AE365" s="27">
        <f t="shared" si="368"/>
        <v>225.40996128626034</v>
      </c>
      <c r="AF365" s="27">
        <f t="shared" si="368"/>
        <v>224.87188763241033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5.8152929981301879E-2</v>
      </c>
      <c r="C367" s="3">
        <f t="shared" si="370"/>
        <v>4.6181928454061327E-2</v>
      </c>
      <c r="D367" s="3">
        <f t="shared" si="370"/>
        <v>4.6076204166490484E-3</v>
      </c>
      <c r="E367" s="3">
        <f t="shared" si="370"/>
        <v>4.5032182186698844E-13</v>
      </c>
      <c r="F367" s="3">
        <f t="shared" si="370"/>
        <v>3.580848767549585E-113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1.9130228336400115E-2</v>
      </c>
      <c r="C368" s="3">
        <f t="shared" si="371"/>
        <v>1.8736580907314566E-2</v>
      </c>
      <c r="D368" s="3">
        <f t="shared" si="371"/>
        <v>1.5219214319953555E-2</v>
      </c>
      <c r="E368" s="3">
        <f t="shared" si="371"/>
        <v>1.9028788288548814E-3</v>
      </c>
      <c r="F368" s="3">
        <f t="shared" si="371"/>
        <v>1.7766429125665099E-12</v>
      </c>
      <c r="G368" s="3">
        <f t="shared" si="371"/>
        <v>8.9431452128342094E-103</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3.0421791992364593E-2</v>
      </c>
      <c r="C369" s="3">
        <f t="shared" si="372"/>
        <v>3.0364786262105641E-2</v>
      </c>
      <c r="D369" s="3">
        <f t="shared" si="372"/>
        <v>2.9800571151319448E-2</v>
      </c>
      <c r="E369" s="3">
        <f t="shared" si="372"/>
        <v>2.4704051303870905E-2</v>
      </c>
      <c r="F369" s="3">
        <f t="shared" si="372"/>
        <v>3.7862048616103833E-3</v>
      </c>
      <c r="G369" s="3">
        <f t="shared" si="372"/>
        <v>2.707468366080454E-11</v>
      </c>
      <c r="H369" s="3">
        <f t="shared" si="372"/>
        <v>9.4657757945712156E-93</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3.3545983918458297E-2</v>
      </c>
      <c r="C370" s="3">
        <f t="shared" si="373"/>
        <v>3.3540308585769979E-2</v>
      </c>
      <c r="D370" s="3">
        <f t="shared" si="373"/>
        <v>3.3483608040711606E-2</v>
      </c>
      <c r="E370" s="3">
        <f t="shared" si="373"/>
        <v>3.2921847879062778E-2</v>
      </c>
      <c r="F370" s="3">
        <f t="shared" si="373"/>
        <v>2.7797372574149239E-2</v>
      </c>
      <c r="G370" s="3">
        <f t="shared" si="373"/>
        <v>5.1191657336273353E-3</v>
      </c>
      <c r="H370" s="3">
        <f t="shared" si="373"/>
        <v>2.29696094335248E-10</v>
      </c>
      <c r="I370" s="3">
        <f t="shared" si="373"/>
        <v>7.5979742316943366E-84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3.6056492389832016E-2</v>
      </c>
      <c r="C371" s="3">
        <f t="shared" si="374"/>
        <v>3.6055942071116516E-2</v>
      </c>
      <c r="D371" s="3">
        <f t="shared" si="374"/>
        <v>3.6050439345903969E-2</v>
      </c>
      <c r="E371" s="3">
        <f t="shared" si="374"/>
        <v>3.5995458261949297E-2</v>
      </c>
      <c r="F371" s="3">
        <f t="shared" si="374"/>
        <v>3.5450238273338645E-2</v>
      </c>
      <c r="G371" s="3">
        <f t="shared" si="374"/>
        <v>3.043222277483772E-2</v>
      </c>
      <c r="H371" s="3">
        <f t="shared" si="374"/>
        <v>6.6142230028301396E-3</v>
      </c>
      <c r="I371" s="3">
        <f t="shared" si="374"/>
        <v>1.5557163721385614E-9</v>
      </c>
      <c r="J371" s="3">
        <f t="shared" si="374"/>
        <v>8.0620652843248736E-76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4.1431736269898753E-2</v>
      </c>
      <c r="C372" s="3">
        <f t="shared" si="375"/>
        <v>4.1431679225429119E-2</v>
      </c>
      <c r="D372" s="3">
        <f t="shared" si="375"/>
        <v>4.1431108785052483E-2</v>
      </c>
      <c r="E372" s="3">
        <f t="shared" si="375"/>
        <v>4.1425404813235381E-2</v>
      </c>
      <c r="F372" s="3">
        <f t="shared" si="375"/>
        <v>4.1368408267993449E-2</v>
      </c>
      <c r="G372" s="3">
        <f t="shared" si="375"/>
        <v>4.0802738195773139E-2</v>
      </c>
      <c r="H372" s="3">
        <f t="shared" si="375"/>
        <v>3.55544764304455E-2</v>
      </c>
      <c r="I372" s="3">
        <f t="shared" si="375"/>
        <v>8.9731324184382406E-3</v>
      </c>
      <c r="J372" s="3">
        <f t="shared" si="375"/>
        <v>9.4068012413372549E-9</v>
      </c>
      <c r="K372" s="3">
        <f t="shared" si="375"/>
        <v>1.5080678383227202E-68</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4.5588613127236541E-2</v>
      </c>
      <c r="C373" s="3">
        <f t="shared" si="376"/>
        <v>4.5588607465056732E-2</v>
      </c>
      <c r="D373" s="3">
        <f t="shared" si="376"/>
        <v>4.558855084329734E-2</v>
      </c>
      <c r="E373" s="3">
        <f t="shared" si="376"/>
        <v>4.5587984629571338E-2</v>
      </c>
      <c r="F373" s="3">
        <f t="shared" si="376"/>
        <v>4.5582322879080171E-2</v>
      </c>
      <c r="G373" s="3">
        <f t="shared" si="376"/>
        <v>4.5525744033287151E-2</v>
      </c>
      <c r="H373" s="3">
        <f t="shared" si="376"/>
        <v>4.4963803780447835E-2</v>
      </c>
      <c r="I373" s="3">
        <f t="shared" si="376"/>
        <v>3.9712109783359609E-2</v>
      </c>
      <c r="J373" s="3">
        <f t="shared" si="376"/>
        <v>1.1468909493284453E-2</v>
      </c>
      <c r="K373" s="3">
        <f t="shared" si="376"/>
        <v>4.6292834843778689E-8</v>
      </c>
      <c r="L373" s="3">
        <f t="shared" si="376"/>
        <v>5.314106906826612E-62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5.4547652420180691E-2</v>
      </c>
      <c r="C374" s="3">
        <f t="shared" si="377"/>
        <v>5.4547651809027681E-2</v>
      </c>
      <c r="D374" s="3">
        <f t="shared" si="377"/>
        <v>5.454764569749794E-2</v>
      </c>
      <c r="E374" s="3">
        <f t="shared" si="377"/>
        <v>5.4547584582238233E-2</v>
      </c>
      <c r="F374" s="3">
        <f t="shared" si="377"/>
        <v>5.4546973433407177E-2</v>
      </c>
      <c r="G374" s="3">
        <f t="shared" si="377"/>
        <v>5.4540862321684702E-2</v>
      </c>
      <c r="H374" s="3">
        <f t="shared" si="377"/>
        <v>5.4479788847658528E-2</v>
      </c>
      <c r="I374" s="3">
        <f t="shared" si="377"/>
        <v>5.3872802868973078E-2</v>
      </c>
      <c r="J374" s="3">
        <f t="shared" si="377"/>
        <v>4.8162733629094935E-2</v>
      </c>
      <c r="K374" s="3">
        <f t="shared" si="377"/>
        <v>1.5708210114885227E-2</v>
      </c>
      <c r="L374" s="3">
        <f t="shared" si="377"/>
        <v>2.1393529130499921E-7</v>
      </c>
      <c r="M374" s="3">
        <f t="shared" si="377"/>
        <v>4.6972074672277556E-56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6.3488731501338186E-2</v>
      </c>
      <c r="C375" s="3">
        <f t="shared" si="378"/>
        <v>6.348873143717039E-2</v>
      </c>
      <c r="D375" s="3">
        <f t="shared" si="378"/>
        <v>6.3488730795492415E-2</v>
      </c>
      <c r="E375" s="3">
        <f t="shared" si="378"/>
        <v>6.348872437871303E-2</v>
      </c>
      <c r="F375" s="3">
        <f t="shared" si="378"/>
        <v>6.3488660210954839E-2</v>
      </c>
      <c r="G375" s="3">
        <f t="shared" si="378"/>
        <v>6.3488018536939972E-2</v>
      </c>
      <c r="H375" s="3">
        <f t="shared" si="378"/>
        <v>6.348160215347419E-2</v>
      </c>
      <c r="I375" s="3">
        <f t="shared" si="378"/>
        <v>6.341747397376947E-2</v>
      </c>
      <c r="J375" s="3">
        <f t="shared" si="378"/>
        <v>6.2779744374571261E-2</v>
      </c>
      <c r="K375" s="3">
        <f t="shared" si="378"/>
        <v>5.6744735984417857E-2</v>
      </c>
      <c r="L375" s="3">
        <f t="shared" si="378"/>
        <v>2.0653133235456464E-2</v>
      </c>
      <c r="M375" s="3">
        <f t="shared" si="378"/>
        <v>8.4253823157004795E-7</v>
      </c>
      <c r="N375" s="3">
        <f t="shared" si="378"/>
        <v>1.0755393835698054E-50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6.4437498796034998E-2</v>
      </c>
      <c r="C376" s="3">
        <f t="shared" si="379"/>
        <v>6.4437498790160017E-2</v>
      </c>
      <c r="D376" s="3">
        <f t="shared" si="379"/>
        <v>6.4437498731410303E-2</v>
      </c>
      <c r="E376" s="3">
        <f t="shared" si="379"/>
        <v>6.4437498143913183E-2</v>
      </c>
      <c r="F376" s="3">
        <f t="shared" si="379"/>
        <v>6.4437492268942201E-2</v>
      </c>
      <c r="G376" s="3">
        <f t="shared" si="379"/>
        <v>6.4437433519261803E-2</v>
      </c>
      <c r="H376" s="3">
        <f t="shared" si="379"/>
        <v>6.4436846025403838E-2</v>
      </c>
      <c r="I376" s="3">
        <f t="shared" si="379"/>
        <v>6.4430971381415056E-2</v>
      </c>
      <c r="J376" s="3">
        <f t="shared" si="379"/>
        <v>6.437225439067587E-2</v>
      </c>
      <c r="K376" s="3">
        <f t="shared" si="379"/>
        <v>6.3788019487925965E-2</v>
      </c>
      <c r="L376" s="3">
        <f t="shared" si="379"/>
        <v>5.8229506804966295E-2</v>
      </c>
      <c r="M376" s="3">
        <f t="shared" si="379"/>
        <v>2.339823219874821E-2</v>
      </c>
      <c r="N376" s="3">
        <f t="shared" si="379"/>
        <v>2.5679253485665118E-6</v>
      </c>
      <c r="O376" s="3">
        <f t="shared" si="379"/>
        <v>6.5099233132872332E-46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5.0984711138143846E-2</v>
      </c>
      <c r="C377" s="3">
        <f t="shared" si="380"/>
        <v>5.0984711137724514E-2</v>
      </c>
      <c r="D377" s="3">
        <f t="shared" si="380"/>
        <v>5.0984711133531237E-2</v>
      </c>
      <c r="E377" s="3">
        <f t="shared" si="380"/>
        <v>5.098471109159846E-2</v>
      </c>
      <c r="F377" s="3">
        <f t="shared" si="380"/>
        <v>5.0984710672270686E-2</v>
      </c>
      <c r="G377" s="3">
        <f t="shared" si="380"/>
        <v>5.0984706478993148E-2</v>
      </c>
      <c r="H377" s="3">
        <f t="shared" si="380"/>
        <v>5.0984664546236708E-2</v>
      </c>
      <c r="I377" s="3">
        <f t="shared" si="380"/>
        <v>5.0984245220569185E-2</v>
      </c>
      <c r="J377" s="3">
        <f t="shared" si="380"/>
        <v>5.0980052153571244E-2</v>
      </c>
      <c r="K377" s="3">
        <f t="shared" si="380"/>
        <v>5.0938140445548487E-2</v>
      </c>
      <c r="L377" s="3">
        <f t="shared" si="380"/>
        <v>5.0520913803362918E-2</v>
      </c>
      <c r="M377" s="3">
        <f t="shared" si="380"/>
        <v>4.6532062779503933E-2</v>
      </c>
      <c r="N377" s="3">
        <f t="shared" si="380"/>
        <v>2.0443882952782107E-2</v>
      </c>
      <c r="O377" s="3">
        <f t="shared" si="380"/>
        <v>5.4786579957727532E-6</v>
      </c>
      <c r="P377" s="3">
        <f t="shared" si="380"/>
        <v>1.0466036319950348E-41</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3.1725580310803976E-2</v>
      </c>
      <c r="C378" s="3">
        <f t="shared" si="381"/>
        <v>3.1725580310780439E-2</v>
      </c>
      <c r="D378" s="3">
        <f t="shared" si="381"/>
        <v>3.1725580310545058E-2</v>
      </c>
      <c r="E378" s="3">
        <f t="shared" si="381"/>
        <v>3.1725580308191254E-2</v>
      </c>
      <c r="F378" s="3">
        <f t="shared" si="381"/>
        <v>3.1725580284653242E-2</v>
      </c>
      <c r="G378" s="3">
        <f t="shared" si="381"/>
        <v>3.1725580049273096E-2</v>
      </c>
      <c r="H378" s="3">
        <f t="shared" si="381"/>
        <v>3.172557769547172E-2</v>
      </c>
      <c r="I378" s="3">
        <f t="shared" si="381"/>
        <v>3.1725554157467542E-2</v>
      </c>
      <c r="J378" s="3">
        <f t="shared" si="381"/>
        <v>3.1725318778386288E-2</v>
      </c>
      <c r="K378" s="3">
        <f t="shared" si="381"/>
        <v>3.1722965083619804E-2</v>
      </c>
      <c r="L378" s="3">
        <f t="shared" si="381"/>
        <v>3.1699437737924475E-2</v>
      </c>
      <c r="M378" s="3">
        <f t="shared" si="381"/>
        <v>3.1465121847282215E-2</v>
      </c>
      <c r="N378" s="3">
        <f t="shared" si="381"/>
        <v>2.9215142287164483E-2</v>
      </c>
      <c r="O378" s="3">
        <f t="shared" si="381"/>
        <v>1.3912138262009509E-2</v>
      </c>
      <c r="P378" s="3">
        <f t="shared" si="381"/>
        <v>8.3416637276513636E-6</v>
      </c>
      <c r="Q378" s="3">
        <f t="shared" si="381"/>
        <v>5.0100332857085039E-38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1.5443830992985429E-2</v>
      </c>
      <c r="C379" s="3">
        <f t="shared" si="382"/>
        <v>1.5443830992984395E-2</v>
      </c>
      <c r="D379" s="3">
        <f t="shared" si="382"/>
        <v>1.5443830992974059E-2</v>
      </c>
      <c r="E379" s="3">
        <f t="shared" si="382"/>
        <v>1.5443830992870698E-2</v>
      </c>
      <c r="F379" s="3">
        <f t="shared" si="382"/>
        <v>1.5443830991837073E-2</v>
      </c>
      <c r="G379" s="3">
        <f t="shared" si="382"/>
        <v>1.5443830981500851E-2</v>
      </c>
      <c r="H379" s="3">
        <f t="shared" si="382"/>
        <v>1.5443830878138616E-2</v>
      </c>
      <c r="I379" s="3">
        <f t="shared" si="382"/>
        <v>1.5443829844516315E-2</v>
      </c>
      <c r="J379" s="3">
        <f t="shared" si="382"/>
        <v>1.5443819508297103E-2</v>
      </c>
      <c r="K379" s="3">
        <f t="shared" si="382"/>
        <v>1.5443716146485464E-2</v>
      </c>
      <c r="L379" s="3">
        <f t="shared" si="382"/>
        <v>1.5442682566415997E-2</v>
      </c>
      <c r="M379" s="3">
        <f t="shared" si="382"/>
        <v>1.5432350569471074E-2</v>
      </c>
      <c r="N379" s="3">
        <f t="shared" si="382"/>
        <v>1.5329410034747628E-2</v>
      </c>
      <c r="O379" s="3">
        <f t="shared" si="382"/>
        <v>1.4337025138746863E-2</v>
      </c>
      <c r="P379" s="3">
        <f t="shared" si="382"/>
        <v>7.3416741368461666E-3</v>
      </c>
      <c r="Q379" s="3">
        <f t="shared" si="382"/>
        <v>9.1023950337961699E-6</v>
      </c>
      <c r="R379" s="3">
        <f t="shared" si="382"/>
        <v>7.8119855559680541E-35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7.0696001208784146E-3</v>
      </c>
      <c r="C380" s="3">
        <f t="shared" si="383"/>
        <v>7.0696001208783721E-3</v>
      </c>
      <c r="D380" s="3">
        <f t="shared" si="383"/>
        <v>7.0696001208779445E-3</v>
      </c>
      <c r="E380" s="3">
        <f t="shared" si="383"/>
        <v>7.0696001208736771E-3</v>
      </c>
      <c r="F380" s="3">
        <f t="shared" si="383"/>
        <v>7.0696001208309942E-3</v>
      </c>
      <c r="G380" s="3">
        <f t="shared" si="383"/>
        <v>7.0696001204041707E-3</v>
      </c>
      <c r="H380" s="3">
        <f t="shared" si="383"/>
        <v>7.0696001161359356E-3</v>
      </c>
      <c r="I380" s="3">
        <f t="shared" si="383"/>
        <v>7.0696000734535901E-3</v>
      </c>
      <c r="J380" s="3">
        <f t="shared" si="383"/>
        <v>7.0695996466301385E-3</v>
      </c>
      <c r="K380" s="3">
        <f t="shared" si="383"/>
        <v>7.0695953783970452E-3</v>
      </c>
      <c r="L380" s="3">
        <f t="shared" si="383"/>
        <v>7.0695526962078472E-3</v>
      </c>
      <c r="M380" s="3">
        <f t="shared" si="383"/>
        <v>7.069125888488596E-3</v>
      </c>
      <c r="N380" s="3">
        <f t="shared" si="383"/>
        <v>7.0648592282529406E-3</v>
      </c>
      <c r="O380" s="3">
        <f t="shared" si="383"/>
        <v>7.0223340055652166E-3</v>
      </c>
      <c r="P380" s="3">
        <f t="shared" si="383"/>
        <v>6.6109089592757062E-3</v>
      </c>
      <c r="Q380" s="3">
        <f t="shared" si="383"/>
        <v>3.6145823148672459E-3</v>
      </c>
      <c r="R380" s="3">
        <f t="shared" si="383"/>
        <v>8.6303329184950386E-6</v>
      </c>
      <c r="S380" s="3">
        <f t="shared" si="383"/>
        <v>5.196630602242098E-32</v>
      </c>
      <c r="T380" s="3">
        <f t="shared" si="383"/>
        <v>3.255853237803908E-294</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3.5043206729719369E-3</v>
      </c>
      <c r="C381" s="3">
        <f t="shared" si="384"/>
        <v>3.5043206729719356E-3</v>
      </c>
      <c r="D381" s="3">
        <f t="shared" si="384"/>
        <v>3.504320672971916E-3</v>
      </c>
      <c r="E381" s="3">
        <f t="shared" si="384"/>
        <v>3.5043206729717252E-3</v>
      </c>
      <c r="F381" s="3">
        <f t="shared" si="384"/>
        <v>3.5043206729698166E-3</v>
      </c>
      <c r="G381" s="3">
        <f t="shared" si="384"/>
        <v>3.5043206729507312E-3</v>
      </c>
      <c r="H381" s="3">
        <f t="shared" si="384"/>
        <v>3.504320672759876E-3</v>
      </c>
      <c r="I381" s="3">
        <f t="shared" si="384"/>
        <v>3.5043206708513246E-3</v>
      </c>
      <c r="J381" s="3">
        <f t="shared" si="384"/>
        <v>3.5043206517658102E-3</v>
      </c>
      <c r="K381" s="3">
        <f t="shared" si="384"/>
        <v>3.5043204609106716E-3</v>
      </c>
      <c r="L381" s="3">
        <f t="shared" si="384"/>
        <v>3.5043185523598607E-3</v>
      </c>
      <c r="M381" s="3">
        <f t="shared" si="384"/>
        <v>3.5042994669089202E-3</v>
      </c>
      <c r="N381" s="3">
        <f t="shared" si="384"/>
        <v>3.5041086181163642E-3</v>
      </c>
      <c r="O381" s="3">
        <f t="shared" si="384"/>
        <v>3.5022007017607086E-3</v>
      </c>
      <c r="P381" s="3">
        <f t="shared" si="384"/>
        <v>3.4831785801840596E-3</v>
      </c>
      <c r="Q381" s="3">
        <f t="shared" si="384"/>
        <v>3.2985482710971201E-3</v>
      </c>
      <c r="R381" s="3">
        <f t="shared" si="384"/>
        <v>1.9133475883546778E-3</v>
      </c>
      <c r="S381" s="3">
        <f t="shared" si="384"/>
        <v>8.2509540214207554E-6</v>
      </c>
      <c r="T381" s="3">
        <f t="shared" si="384"/>
        <v>1.8348776213511977E-29</v>
      </c>
      <c r="U381" s="3">
        <f t="shared" si="384"/>
        <v>5.4279579326448151E-266</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2.9646797109614421E-3</v>
      </c>
      <c r="C382" s="3">
        <f t="shared" si="385"/>
        <v>2.9646797109614421E-3</v>
      </c>
      <c r="D382" s="3">
        <f t="shared" si="385"/>
        <v>2.9646797109614403E-3</v>
      </c>
      <c r="E382" s="3">
        <f t="shared" si="385"/>
        <v>2.964679710961426E-3</v>
      </c>
      <c r="F382" s="3">
        <f t="shared" si="385"/>
        <v>2.9646797109612803E-3</v>
      </c>
      <c r="G382" s="3">
        <f t="shared" si="385"/>
        <v>2.9646797109598236E-3</v>
      </c>
      <c r="H382" s="3">
        <f t="shared" si="385"/>
        <v>2.9646797109452584E-3</v>
      </c>
      <c r="I382" s="3">
        <f t="shared" si="385"/>
        <v>2.9646797107996036E-3</v>
      </c>
      <c r="J382" s="3">
        <f t="shared" si="385"/>
        <v>2.964679709343057E-3</v>
      </c>
      <c r="K382" s="3">
        <f t="shared" si="385"/>
        <v>2.9646796947775901E-3</v>
      </c>
      <c r="L382" s="3">
        <f t="shared" si="385"/>
        <v>2.9646795491229286E-3</v>
      </c>
      <c r="M382" s="3">
        <f t="shared" si="385"/>
        <v>2.9646780925767025E-3</v>
      </c>
      <c r="N382" s="3">
        <f t="shared" si="385"/>
        <v>2.9646635271538013E-3</v>
      </c>
      <c r="O382" s="3">
        <f t="shared" si="385"/>
        <v>2.9645178768605172E-3</v>
      </c>
      <c r="P382" s="3">
        <f t="shared" si="385"/>
        <v>2.9630617674288161E-3</v>
      </c>
      <c r="Q382" s="3">
        <f t="shared" si="385"/>
        <v>2.9485399517890326E-3</v>
      </c>
      <c r="R382" s="3">
        <f t="shared" si="385"/>
        <v>2.8071791905789106E-3</v>
      </c>
      <c r="S382" s="3">
        <f t="shared" si="385"/>
        <v>1.7175181175961192E-3</v>
      </c>
      <c r="T382" s="3">
        <f t="shared" si="385"/>
        <v>1.2624472445385195E-5</v>
      </c>
      <c r="U382" s="3">
        <f t="shared" si="385"/>
        <v>5.8120903435777588E-27</v>
      </c>
      <c r="V382" s="3">
        <f t="shared" si="385"/>
        <v>2.4861282734809524E-240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v>
      </c>
      <c r="C383" s="3">
        <f t="shared" si="386"/>
        <v>0</v>
      </c>
      <c r="D383" s="3">
        <f t="shared" si="386"/>
        <v>0</v>
      </c>
      <c r="E383" s="3">
        <f t="shared" si="386"/>
        <v>0</v>
      </c>
      <c r="F383" s="3">
        <f t="shared" si="386"/>
        <v>0</v>
      </c>
      <c r="G383" s="3">
        <f t="shared" si="386"/>
        <v>0</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3.098114236407119E-3</v>
      </c>
      <c r="C384" s="3">
        <f t="shared" si="387"/>
        <v>3.098114236407119E-3</v>
      </c>
      <c r="D384" s="3">
        <f t="shared" si="387"/>
        <v>3.098114236407119E-3</v>
      </c>
      <c r="E384" s="3">
        <f t="shared" si="387"/>
        <v>3.098114236407119E-3</v>
      </c>
      <c r="F384" s="3">
        <f t="shared" si="387"/>
        <v>3.0981142364071177E-3</v>
      </c>
      <c r="G384" s="3">
        <f t="shared" si="387"/>
        <v>3.0981142364071052E-3</v>
      </c>
      <c r="H384" s="3">
        <f t="shared" si="387"/>
        <v>3.0981142364069816E-3</v>
      </c>
      <c r="I384" s="3">
        <f t="shared" si="387"/>
        <v>3.098114236405743E-3</v>
      </c>
      <c r="J384" s="3">
        <f t="shared" si="387"/>
        <v>3.0981142363933566E-3</v>
      </c>
      <c r="K384" s="3">
        <f t="shared" si="387"/>
        <v>3.0981142362694948E-3</v>
      </c>
      <c r="L384" s="3">
        <f t="shared" si="387"/>
        <v>3.098114235030877E-3</v>
      </c>
      <c r="M384" s="3">
        <f t="shared" si="387"/>
        <v>3.0981142226447021E-3</v>
      </c>
      <c r="N384" s="3">
        <f t="shared" si="387"/>
        <v>3.0981140987829496E-3</v>
      </c>
      <c r="O384" s="3">
        <f t="shared" si="387"/>
        <v>3.0981128601656979E-3</v>
      </c>
      <c r="P384" s="3">
        <f t="shared" si="387"/>
        <v>3.09810047402042E-3</v>
      </c>
      <c r="Q384" s="3">
        <f t="shared" si="387"/>
        <v>3.0979766152911727E-3</v>
      </c>
      <c r="R384" s="3">
        <f t="shared" si="387"/>
        <v>3.0967383003116804E-3</v>
      </c>
      <c r="S384" s="3">
        <f t="shared" si="387"/>
        <v>3.0843823415760067E-3</v>
      </c>
      <c r="T384" s="3">
        <f t="shared" si="387"/>
        <v>2.9635020642893718E-3</v>
      </c>
      <c r="U384" s="3">
        <f t="shared" si="387"/>
        <v>1.9868976414817098E-3</v>
      </c>
      <c r="V384" s="3">
        <f t="shared" si="387"/>
        <v>3.6465157672759083E-5</v>
      </c>
      <c r="W384" s="3">
        <f t="shared" si="387"/>
        <v>1.5808989497538429E-22</v>
      </c>
      <c r="X384" s="3">
        <f t="shared" si="387"/>
        <v>3.708209504602466E-196</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1.3450651080742435E-3</v>
      </c>
      <c r="C385" s="3">
        <f t="shared" si="388"/>
        <v>1.3450651080742435E-3</v>
      </c>
      <c r="D385" s="3">
        <f t="shared" si="388"/>
        <v>1.3450651080742435E-3</v>
      </c>
      <c r="E385" s="3">
        <f t="shared" si="388"/>
        <v>1.3450651080742435E-3</v>
      </c>
      <c r="F385" s="3">
        <f t="shared" si="388"/>
        <v>1.3450651080742435E-3</v>
      </c>
      <c r="G385" s="3">
        <f t="shared" si="388"/>
        <v>1.3450651080742428E-3</v>
      </c>
      <c r="H385" s="3">
        <f t="shared" si="388"/>
        <v>1.345065108074238E-3</v>
      </c>
      <c r="I385" s="3">
        <f t="shared" si="388"/>
        <v>1.3450651080741895E-3</v>
      </c>
      <c r="J385" s="3">
        <f t="shared" si="388"/>
        <v>1.3450651080737046E-3</v>
      </c>
      <c r="K385" s="3">
        <f t="shared" si="388"/>
        <v>1.3450651080688535E-3</v>
      </c>
      <c r="L385" s="3">
        <f t="shared" si="388"/>
        <v>1.3450651080203436E-3</v>
      </c>
      <c r="M385" s="3">
        <f t="shared" si="388"/>
        <v>1.3450651075352454E-3</v>
      </c>
      <c r="N385" s="3">
        <f t="shared" si="388"/>
        <v>1.3450651026842629E-3</v>
      </c>
      <c r="O385" s="3">
        <f t="shared" si="388"/>
        <v>1.3450650541744398E-3</v>
      </c>
      <c r="P385" s="3">
        <f t="shared" si="388"/>
        <v>1.3450645690763043E-3</v>
      </c>
      <c r="Q385" s="3">
        <f t="shared" si="388"/>
        <v>1.3450597181045719E-3</v>
      </c>
      <c r="R385" s="3">
        <f t="shared" si="388"/>
        <v>1.3450112093494615E-3</v>
      </c>
      <c r="S385" s="3">
        <f t="shared" si="388"/>
        <v>1.3445262180070696E-3</v>
      </c>
      <c r="T385" s="3">
        <f t="shared" si="388"/>
        <v>1.3396859126284474E-3</v>
      </c>
      <c r="U385" s="3">
        <f t="shared" si="388"/>
        <v>1.2922309650778485E-3</v>
      </c>
      <c r="V385" s="3">
        <f t="shared" si="388"/>
        <v>9.0097278684265418E-4</v>
      </c>
      <c r="W385" s="3">
        <f t="shared" si="388"/>
        <v>2.4458339791036395E-5</v>
      </c>
      <c r="X385" s="3">
        <f t="shared" si="388"/>
        <v>5.3159388873919573E-21</v>
      </c>
      <c r="Y385" s="3">
        <f t="shared" si="388"/>
        <v>1.2505758381705619E-177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1.5999872696703847E-4</v>
      </c>
      <c r="C386" s="3">
        <f t="shared" si="389"/>
        <v>1.5999872696703847E-4</v>
      </c>
      <c r="D386" s="3">
        <f t="shared" si="389"/>
        <v>1.5999872696703847E-4</v>
      </c>
      <c r="E386" s="3">
        <f t="shared" si="389"/>
        <v>1.5999872696703847E-4</v>
      </c>
      <c r="F386" s="3">
        <f t="shared" si="389"/>
        <v>1.5999872696703847E-4</v>
      </c>
      <c r="G386" s="3">
        <f t="shared" si="389"/>
        <v>1.5999872696703847E-4</v>
      </c>
      <c r="H386" s="3">
        <f t="shared" si="389"/>
        <v>1.5999872696703841E-4</v>
      </c>
      <c r="I386" s="3">
        <f t="shared" si="389"/>
        <v>1.5999872696703787E-4</v>
      </c>
      <c r="J386" s="3">
        <f t="shared" si="389"/>
        <v>1.5999872696703267E-4</v>
      </c>
      <c r="K386" s="3">
        <f t="shared" si="389"/>
        <v>1.5999872696698063E-4</v>
      </c>
      <c r="L386" s="3">
        <f t="shared" si="389"/>
        <v>1.599987269664601E-4</v>
      </c>
      <c r="M386" s="3">
        <f t="shared" si="389"/>
        <v>1.5999872696125474E-4</v>
      </c>
      <c r="N386" s="3">
        <f t="shared" si="389"/>
        <v>1.599987269092013E-4</v>
      </c>
      <c r="O386" s="3">
        <f t="shared" si="389"/>
        <v>1.5999872638866681E-4</v>
      </c>
      <c r="P386" s="3">
        <f t="shared" si="389"/>
        <v>1.59998721183322E-4</v>
      </c>
      <c r="Q386" s="3">
        <f t="shared" si="389"/>
        <v>1.5999866912988316E-4</v>
      </c>
      <c r="R386" s="3">
        <f t="shared" si="389"/>
        <v>1.5999814859642608E-4</v>
      </c>
      <c r="S386" s="3">
        <f t="shared" si="389"/>
        <v>1.5999294335499606E-4</v>
      </c>
      <c r="T386" s="3">
        <f t="shared" si="389"/>
        <v>1.5994090025364208E-4</v>
      </c>
      <c r="U386" s="3">
        <f t="shared" si="389"/>
        <v>1.5942139941467181E-4</v>
      </c>
      <c r="V386" s="3">
        <f t="shared" si="389"/>
        <v>1.5431829846547388E-4</v>
      </c>
      <c r="W386" s="3">
        <f t="shared" si="389"/>
        <v>1.1146166236774665E-4</v>
      </c>
      <c r="X386" s="3">
        <f t="shared" si="389"/>
        <v>4.307312830048787E-6</v>
      </c>
      <c r="Y386" s="3">
        <f t="shared" si="389"/>
        <v>3.1990085602853956E-20</v>
      </c>
      <c r="Z386" s="3">
        <f t="shared" si="389"/>
        <v>1.6334478644587512E-161</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0</v>
      </c>
      <c r="C387" s="3">
        <f t="shared" si="390"/>
        <v>0</v>
      </c>
      <c r="D387" s="3">
        <f t="shared" si="390"/>
        <v>0</v>
      </c>
      <c r="E387" s="3">
        <f t="shared" si="390"/>
        <v>0</v>
      </c>
      <c r="F387" s="3">
        <f t="shared" si="390"/>
        <v>0</v>
      </c>
      <c r="G387" s="3">
        <f t="shared" si="390"/>
        <v>0</v>
      </c>
      <c r="H387" s="3">
        <f t="shared" si="390"/>
        <v>0</v>
      </c>
      <c r="I387" s="3">
        <f t="shared" si="390"/>
        <v>0</v>
      </c>
      <c r="J387" s="3">
        <f t="shared" si="390"/>
        <v>0</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1.1033683083565872E-4</v>
      </c>
      <c r="C389" s="3">
        <f t="shared" si="392"/>
        <v>1.1033683083565872E-4</v>
      </c>
      <c r="D389" s="3">
        <f t="shared" si="392"/>
        <v>1.1033683083565872E-4</v>
      </c>
      <c r="E389" s="3">
        <f t="shared" si="392"/>
        <v>1.1033683083565872E-4</v>
      </c>
      <c r="F389" s="3">
        <f t="shared" si="392"/>
        <v>1.1033683083565872E-4</v>
      </c>
      <c r="G389" s="3">
        <f t="shared" si="392"/>
        <v>1.1033683083565872E-4</v>
      </c>
      <c r="H389" s="3">
        <f t="shared" si="392"/>
        <v>1.1033683083565872E-4</v>
      </c>
      <c r="I389" s="3">
        <f t="shared" si="392"/>
        <v>1.1033683083565872E-4</v>
      </c>
      <c r="J389" s="3">
        <f t="shared" si="392"/>
        <v>1.103368308356587E-4</v>
      </c>
      <c r="K389" s="3">
        <f t="shared" si="392"/>
        <v>1.1033683083565861E-4</v>
      </c>
      <c r="L389" s="3">
        <f t="shared" si="392"/>
        <v>1.1033683083565762E-4</v>
      </c>
      <c r="M389" s="3">
        <f t="shared" si="392"/>
        <v>1.1033683083564769E-4</v>
      </c>
      <c r="N389" s="3">
        <f t="shared" si="392"/>
        <v>1.1033683083554841E-4</v>
      </c>
      <c r="O389" s="3">
        <f t="shared" si="392"/>
        <v>1.103368308345556E-4</v>
      </c>
      <c r="P389" s="3">
        <f t="shared" si="392"/>
        <v>1.103368308246275E-4</v>
      </c>
      <c r="Q389" s="3">
        <f t="shared" si="392"/>
        <v>1.1033683072534643E-4</v>
      </c>
      <c r="R389" s="3">
        <f t="shared" si="392"/>
        <v>1.1033682973253597E-4</v>
      </c>
      <c r="S389" s="3">
        <f t="shared" si="392"/>
        <v>1.1033681980443172E-4</v>
      </c>
      <c r="T389" s="3">
        <f t="shared" si="392"/>
        <v>1.1033672052343838E-4</v>
      </c>
      <c r="U389" s="3">
        <f t="shared" si="392"/>
        <v>1.1033572771841829E-4</v>
      </c>
      <c r="V389" s="3">
        <f t="shared" si="392"/>
        <v>1.1032580015953094E-4</v>
      </c>
      <c r="W389" s="3">
        <f t="shared" si="392"/>
        <v>1.1022657368566868E-4</v>
      </c>
      <c r="X389" s="3">
        <f t="shared" si="392"/>
        <v>1.0923920413578021E-4</v>
      </c>
      <c r="Y389" s="3">
        <f t="shared" si="392"/>
        <v>9.9839115012773167E-5</v>
      </c>
      <c r="Z389" s="3">
        <f t="shared" si="392"/>
        <v>4.0599686084149774E-5</v>
      </c>
      <c r="AA389" s="3">
        <f t="shared" si="392"/>
        <v>5.0204448984942112E-9</v>
      </c>
      <c r="AB389" s="3">
        <f t="shared" si="392"/>
        <v>4.1969857751895383E-48</v>
      </c>
      <c r="AC389" s="3">
        <f t="shared" si="392"/>
        <v>0</v>
      </c>
      <c r="AD389" s="3">
        <f t="shared" si="392"/>
        <v>0</v>
      </c>
      <c r="AE389" s="3">
        <f t="shared" si="392"/>
        <v>0</v>
      </c>
      <c r="AF389" s="3">
        <f t="shared" si="392"/>
        <v>0</v>
      </c>
      <c r="AG389" s="3"/>
      <c r="AH389" s="3"/>
    </row>
    <row r="390" spans="1:34" x14ac:dyDescent="0.25">
      <c r="B390" s="3">
        <f t="shared" ref="B390:AF390" si="393">$C42*EXP(-B$363/$A42/EXP(-$H$126))</f>
        <v>5.3430093526516889E-5</v>
      </c>
      <c r="C390" s="3">
        <f t="shared" si="393"/>
        <v>5.3430093526516889E-5</v>
      </c>
      <c r="D390" s="3">
        <f t="shared" si="393"/>
        <v>5.3430093526516889E-5</v>
      </c>
      <c r="E390" s="3">
        <f t="shared" si="393"/>
        <v>5.3430093526516889E-5</v>
      </c>
      <c r="F390" s="3">
        <f t="shared" si="393"/>
        <v>5.3430093526516889E-5</v>
      </c>
      <c r="G390" s="3">
        <f t="shared" si="393"/>
        <v>5.3430093526516889E-5</v>
      </c>
      <c r="H390" s="3">
        <f t="shared" si="393"/>
        <v>5.3430093526516889E-5</v>
      </c>
      <c r="I390" s="3">
        <f t="shared" si="393"/>
        <v>5.3430093526516889E-5</v>
      </c>
      <c r="J390" s="3">
        <f t="shared" si="393"/>
        <v>5.3430093526516889E-5</v>
      </c>
      <c r="K390" s="3">
        <f t="shared" si="393"/>
        <v>5.3430093526516882E-5</v>
      </c>
      <c r="L390" s="3">
        <f t="shared" si="393"/>
        <v>5.3430093526516835E-5</v>
      </c>
      <c r="M390" s="3">
        <f t="shared" si="393"/>
        <v>5.3430093526516354E-5</v>
      </c>
      <c r="N390" s="3">
        <f t="shared" si="393"/>
        <v>5.3430093526511543E-5</v>
      </c>
      <c r="O390" s="3">
        <f t="shared" si="393"/>
        <v>5.3430093526463472E-5</v>
      </c>
      <c r="P390" s="3">
        <f t="shared" si="393"/>
        <v>5.3430093525982709E-5</v>
      </c>
      <c r="Q390" s="3">
        <f t="shared" si="393"/>
        <v>5.3430093521175072E-5</v>
      </c>
      <c r="R390" s="3">
        <f t="shared" si="393"/>
        <v>5.3430093473098682E-5</v>
      </c>
      <c r="S390" s="3">
        <f t="shared" si="393"/>
        <v>5.3430092992334863E-5</v>
      </c>
      <c r="T390" s="3">
        <f t="shared" si="393"/>
        <v>5.3430088184696885E-5</v>
      </c>
      <c r="U390" s="3">
        <f t="shared" si="393"/>
        <v>5.3430040108340879E-5</v>
      </c>
      <c r="V390" s="3">
        <f t="shared" si="393"/>
        <v>5.3429559347160088E-5</v>
      </c>
      <c r="W390" s="3">
        <f t="shared" si="393"/>
        <v>5.34247519732685E-5</v>
      </c>
      <c r="X390" s="3">
        <f t="shared" si="393"/>
        <v>5.3376702018066649E-5</v>
      </c>
      <c r="Y390" s="3">
        <f t="shared" si="393"/>
        <v>5.2898572938264168E-5</v>
      </c>
      <c r="Z390" s="3">
        <f t="shared" si="393"/>
        <v>4.8346623809437598E-5</v>
      </c>
      <c r="AA390" s="3">
        <f t="shared" si="393"/>
        <v>1.9660207821759288E-5</v>
      </c>
      <c r="AB390" s="3">
        <f t="shared" si="393"/>
        <v>2.4311269268808779E-9</v>
      </c>
      <c r="AC390" s="3">
        <f t="shared" si="393"/>
        <v>2.0323707034130825E-48</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1.1249816087007928E-3</v>
      </c>
      <c r="C396" s="3">
        <f t="shared" si="399"/>
        <v>1.1249816087007928E-3</v>
      </c>
      <c r="D396" s="3">
        <f t="shared" si="399"/>
        <v>1.1249816087007928E-3</v>
      </c>
      <c r="E396" s="3">
        <f t="shared" si="399"/>
        <v>1.1249816087007928E-3</v>
      </c>
      <c r="F396" s="3">
        <f t="shared" si="399"/>
        <v>1.1249816087007928E-3</v>
      </c>
      <c r="G396" s="3">
        <f t="shared" si="399"/>
        <v>1.1249816087007928E-3</v>
      </c>
      <c r="H396" s="3">
        <f t="shared" si="399"/>
        <v>1.1249816087007928E-3</v>
      </c>
      <c r="I396" s="3">
        <f t="shared" si="399"/>
        <v>1.1249816087007928E-3</v>
      </c>
      <c r="J396" s="3">
        <f t="shared" si="399"/>
        <v>1.1249816087007928E-3</v>
      </c>
      <c r="K396" s="3">
        <f t="shared" si="399"/>
        <v>1.1249816087007928E-3</v>
      </c>
      <c r="L396" s="3">
        <f t="shared" si="399"/>
        <v>1.1249816087007928E-3</v>
      </c>
      <c r="M396" s="3">
        <f t="shared" si="399"/>
        <v>1.1249816087007928E-3</v>
      </c>
      <c r="N396" s="3">
        <f t="shared" si="399"/>
        <v>1.1249816087007928E-3</v>
      </c>
      <c r="O396" s="3">
        <f t="shared" si="399"/>
        <v>1.1249816087007928E-3</v>
      </c>
      <c r="P396" s="3">
        <f t="shared" si="399"/>
        <v>1.1249816087007928E-3</v>
      </c>
      <c r="Q396" s="3">
        <f t="shared" si="399"/>
        <v>1.1249816087007926E-3</v>
      </c>
      <c r="R396" s="3">
        <f t="shared" si="399"/>
        <v>1.1249816087007918E-3</v>
      </c>
      <c r="S396" s="3">
        <f t="shared" si="399"/>
        <v>1.1249816087007816E-3</v>
      </c>
      <c r="T396" s="3">
        <f t="shared" si="399"/>
        <v>1.1249816087006803E-3</v>
      </c>
      <c r="U396" s="3">
        <f t="shared" si="399"/>
        <v>1.1249816086996681E-3</v>
      </c>
      <c r="V396" s="3">
        <f t="shared" si="399"/>
        <v>1.1249816086895455E-3</v>
      </c>
      <c r="W396" s="3">
        <f t="shared" si="399"/>
        <v>1.1249816085883199E-3</v>
      </c>
      <c r="X396" s="3">
        <f t="shared" si="399"/>
        <v>1.1249816075760615E-3</v>
      </c>
      <c r="Y396" s="3">
        <f t="shared" si="399"/>
        <v>1.1249815974534803E-3</v>
      </c>
      <c r="Z396" s="3">
        <f t="shared" si="399"/>
        <v>1.1249814962276739E-3</v>
      </c>
      <c r="AA396" s="3">
        <f t="shared" si="399"/>
        <v>1.1249804839701099E-3</v>
      </c>
      <c r="AB396" s="3">
        <f t="shared" si="399"/>
        <v>1.1249703614445653E-3</v>
      </c>
      <c r="AC396" s="3">
        <f t="shared" si="399"/>
        <v>1.1248691411984975E-3</v>
      </c>
      <c r="AD396" s="3">
        <f t="shared" si="399"/>
        <v>1.1238574395088091E-3</v>
      </c>
      <c r="AE396" s="3">
        <f t="shared" si="399"/>
        <v>1.1137903333919936E-3</v>
      </c>
      <c r="AF396" s="3">
        <f t="shared" si="399"/>
        <v>1.0179481082397946E-3</v>
      </c>
      <c r="AG396" s="3"/>
      <c r="AH396" s="3"/>
    </row>
    <row r="397" spans="1:34" x14ac:dyDescent="0.25">
      <c r="A397" s="79">
        <f>AVERAGE(B397:AF397)</f>
        <v>3.5836209159789071E-4</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2.0558169496742945E-4</v>
      </c>
      <c r="M397" s="80">
        <f t="shared" si="400"/>
        <v>5.2809425587023418E-4</v>
      </c>
      <c r="N397" s="80">
        <f t="shared" si="400"/>
        <v>8.3029762366594009E-4</v>
      </c>
      <c r="O397" s="80">
        <f t="shared" si="400"/>
        <v>1.3396619571066507E-3</v>
      </c>
      <c r="P397" s="80">
        <f t="shared" si="400"/>
        <v>1.5670305408826545E-3</v>
      </c>
      <c r="Q397" s="80">
        <f t="shared" si="400"/>
        <v>1.5584153083212848E-3</v>
      </c>
      <c r="R397" s="80">
        <f t="shared" si="400"/>
        <v>1.0428315648428723E-3</v>
      </c>
      <c r="S397" s="80">
        <f t="shared" si="400"/>
        <v>6.5765617500513317E-4</v>
      </c>
      <c r="T397" s="80">
        <f t="shared" si="400"/>
        <v>6.8850881272098621E-4</v>
      </c>
      <c r="U397" s="80">
        <f t="shared" si="400"/>
        <v>1.7574817847930406E-3</v>
      </c>
      <c r="V397" s="80">
        <f t="shared" si="400"/>
        <v>9.3366512135838512E-4</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3669.1517125823634</v>
      </c>
      <c r="C398" s="21">
        <f t="shared" ref="C398:AF398" si="401">(C365-C364)^2</f>
        <v>6138.3396043044704</v>
      </c>
      <c r="D398" s="21">
        <f t="shared" si="401"/>
        <v>428.54391426317574</v>
      </c>
      <c r="E398" s="21">
        <f t="shared" si="401"/>
        <v>11.570338681505966</v>
      </c>
      <c r="F398" s="21">
        <f t="shared" si="401"/>
        <v>0.2061228481408536</v>
      </c>
      <c r="G398" s="21">
        <f t="shared" si="401"/>
        <v>5.3140920813218862E-3</v>
      </c>
      <c r="H398" s="21">
        <f t="shared" si="401"/>
        <v>2.4806943984566072E-4</v>
      </c>
      <c r="I398" s="21">
        <f t="shared" si="401"/>
        <v>2.5105934526368436E-3</v>
      </c>
      <c r="J398" s="21">
        <f t="shared" si="401"/>
        <v>3.9153939783092718E-3</v>
      </c>
      <c r="K398" s="21">
        <f t="shared" si="401"/>
        <v>4.0470292528650378E-2</v>
      </c>
      <c r="L398" s="21">
        <f t="shared" si="401"/>
        <v>7.3603807173818439E-2</v>
      </c>
      <c r="M398" s="21">
        <f t="shared" si="401"/>
        <v>0.26981963296748401</v>
      </c>
      <c r="N398" s="21">
        <f t="shared" si="401"/>
        <v>0.33171278088831685</v>
      </c>
      <c r="O398" s="21">
        <f t="shared" si="401"/>
        <v>0.42379490889239424</v>
      </c>
      <c r="P398" s="21">
        <f t="shared" si="401"/>
        <v>0.331425345978136</v>
      </c>
      <c r="Q398" s="21">
        <f t="shared" si="401"/>
        <v>0.2291548536928194</v>
      </c>
      <c r="R398" s="21">
        <f t="shared" si="401"/>
        <v>8.4693433306379018E-2</v>
      </c>
      <c r="S398" s="21">
        <f t="shared" si="401"/>
        <v>2.961496905651077E-2</v>
      </c>
      <c r="T398" s="21">
        <f t="shared" si="401"/>
        <v>2.9947843073046411E-2</v>
      </c>
      <c r="U398" s="21">
        <f t="shared" si="401"/>
        <v>0.18711492660361639</v>
      </c>
      <c r="V398" s="21">
        <f t="shared" si="401"/>
        <v>4.7043287756520308E-2</v>
      </c>
      <c r="W398" s="21">
        <f t="shared" si="401"/>
        <v>7.4311892293004531E-3</v>
      </c>
      <c r="X398" s="21">
        <f t="shared" si="401"/>
        <v>1.1379825066321123E-9</v>
      </c>
      <c r="Y398" s="21">
        <f t="shared" si="401"/>
        <v>7.9438487059557315E-4</v>
      </c>
      <c r="Z398" s="21">
        <f t="shared" si="401"/>
        <v>6.2556950615947059E-7</v>
      </c>
      <c r="AA398" s="21">
        <f t="shared" si="401"/>
        <v>5.3197803431090851E-4</v>
      </c>
      <c r="AB398" s="21">
        <f t="shared" si="401"/>
        <v>3.4482138996044716E-4</v>
      </c>
      <c r="AC398" s="21">
        <f t="shared" si="401"/>
        <v>8.2494555062961605E-3</v>
      </c>
      <c r="AD398" s="21">
        <f t="shared" si="401"/>
        <v>3.1690077890754363E-2</v>
      </c>
      <c r="AE398" s="21">
        <f t="shared" si="401"/>
        <v>2.2075503824966456E-2</v>
      </c>
      <c r="AF398" s="21">
        <f t="shared" si="401"/>
        <v>0.14074341751640321</v>
      </c>
      <c r="AG398" s="3"/>
      <c r="AH398" s="3"/>
    </row>
    <row r="399" spans="1:34" x14ac:dyDescent="0.25">
      <c r="A399" s="71">
        <f>SUM(B399:AF399)</f>
        <v>2.0379257893890421</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7.3603807173818439E-2</v>
      </c>
      <c r="M399" s="60">
        <f t="shared" ref="M399" si="412">IF($A$64&lt;=M363,IF($B$64&gt;=M363,ABS(M398),0),0)</f>
        <v>0.26981963296748401</v>
      </c>
      <c r="N399" s="60">
        <f t="shared" ref="N399" si="413">IF($A$64&lt;=N363,IF($B$64&gt;=N363,ABS(N398),0),0)</f>
        <v>0.33171278088831685</v>
      </c>
      <c r="O399" s="60">
        <f t="shared" ref="O399" si="414">IF($A$64&lt;=O363,IF($B$64&gt;=O363,ABS(O398),0),0)</f>
        <v>0.42379490889239424</v>
      </c>
      <c r="P399" s="60">
        <f t="shared" ref="P399" si="415">IF($A$64&lt;=P363,IF($B$64&gt;=P363,ABS(P398),0),0)</f>
        <v>0.331425345978136</v>
      </c>
      <c r="Q399" s="60">
        <f t="shared" ref="Q399" si="416">IF($A$64&lt;=Q363,IF($B$64&gt;=Q363,ABS(Q398),0),0)</f>
        <v>0.2291548536928194</v>
      </c>
      <c r="R399" s="60">
        <f t="shared" ref="R399" si="417">IF($A$64&lt;=R363,IF($B$64&gt;=R363,ABS(R398),0),0)</f>
        <v>8.4693433306379018E-2</v>
      </c>
      <c r="S399" s="60">
        <f t="shared" ref="S399" si="418">IF($A$64&lt;=S363,IF($B$64&gt;=S363,ABS(S398),0),0)</f>
        <v>2.961496905651077E-2</v>
      </c>
      <c r="T399" s="60">
        <f t="shared" ref="T399" si="419">IF($A$64&lt;=T363,IF($B$64&gt;=T363,ABS(T398),0),0)</f>
        <v>2.9947843073046411E-2</v>
      </c>
      <c r="U399" s="60">
        <f t="shared" ref="U399" si="420">IF($A$64&lt;=U363,IF($B$64&gt;=U363,ABS(U398),0),0)</f>
        <v>0.18711492660361639</v>
      </c>
      <c r="V399" s="60">
        <f t="shared" ref="V399" si="421">IF($A$64&lt;=V363,IF($B$64&gt;=V363,ABS(V398),0),0)</f>
        <v>4.7043287756520308E-2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-59.999898573957836</v>
      </c>
      <c r="C403" s="107">
        <f t="shared" ref="C403:H403" si="432">IF(C125=$B$2,0,C126)</f>
        <v>-48.304090284066596</v>
      </c>
      <c r="D403" s="107">
        <f t="shared" si="432"/>
        <v>-41.637760530499037</v>
      </c>
      <c r="E403" s="107">
        <f t="shared" si="432"/>
        <v>-36.805825364540944</v>
      </c>
      <c r="F403" s="107">
        <f t="shared" si="432"/>
        <v>-30.301029676651819</v>
      </c>
      <c r="G403" s="107">
        <f t="shared" si="432"/>
        <v>-14.29512662364</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8.757398945968045E-42</v>
      </c>
      <c r="C404" s="3">
        <f t="shared" ref="C404:H419" si="433">$A404/EXP(-C$403)</f>
        <v>1.0514778689420054E-36</v>
      </c>
      <c r="D404" s="3">
        <f t="shared" si="433"/>
        <v>8.2594354388362626E-34</v>
      </c>
      <c r="E404" s="3">
        <f t="shared" si="433"/>
        <v>1.0361750775812967E-31</v>
      </c>
      <c r="F404" s="3">
        <f t="shared" si="433"/>
        <v>6.9251632462746839E-29</v>
      </c>
      <c r="G404" s="3">
        <f t="shared" si="433"/>
        <v>6.1902100960144112E-22</v>
      </c>
      <c r="H404" s="3">
        <f t="shared" si="433"/>
        <v>1.0000000000000001E-15</v>
      </c>
      <c r="I404" s="109">
        <f>Comparison!AL3</f>
        <v>1.0000000000000001E-15</v>
      </c>
      <c r="J404" s="3">
        <f>Comparison!AM3</f>
        <v>5627.8046868132324</v>
      </c>
      <c r="K404" s="3">
        <f>Comparison!AN3</f>
        <v>5619.5329931741162</v>
      </c>
      <c r="L404" s="3">
        <f>Comparison!AO3</f>
        <v>5614.15966521874</v>
      </c>
      <c r="M404" s="3">
        <f>Comparison!AP3</f>
        <v>5608.5595412821331</v>
      </c>
      <c r="N404" s="3">
        <f>Comparison!AQ3</f>
        <v>5541.3343805505365</v>
      </c>
      <c r="O404" s="3">
        <f>Comparison!AR3</f>
        <v>4566.6036136134571</v>
      </c>
      <c r="P404" s="3">
        <f>Comparison!AS3</f>
        <v>3448.2859181540075</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8.7573989459680439E-41</v>
      </c>
      <c r="C405" s="3">
        <f t="shared" si="433"/>
        <v>1.0514778689420054E-35</v>
      </c>
      <c r="D405" s="3">
        <f t="shared" si="433"/>
        <v>8.2594354388362623E-33</v>
      </c>
      <c r="E405" s="3">
        <f t="shared" si="433"/>
        <v>1.0361750775812966E-30</v>
      </c>
      <c r="F405" s="3">
        <f t="shared" si="433"/>
        <v>6.9251632462746839E-28</v>
      </c>
      <c r="G405" s="3">
        <f t="shared" si="433"/>
        <v>6.1902100960144109E-21</v>
      </c>
      <c r="H405" s="3">
        <f t="shared" si="433"/>
        <v>1E-14</v>
      </c>
      <c r="I405" s="109">
        <f>Comparison!AL4</f>
        <v>1E-14</v>
      </c>
      <c r="J405" s="3">
        <f>Comparison!AM4</f>
        <v>5627.8375717832278</v>
      </c>
      <c r="K405" s="3">
        <f>Comparison!AN4</f>
        <v>5619.5658717740425</v>
      </c>
      <c r="L405" s="3">
        <f>Comparison!AO4</f>
        <v>5614.1868795733999</v>
      </c>
      <c r="M405" s="3">
        <f>Comparison!AP4</f>
        <v>5607.5578036030483</v>
      </c>
      <c r="N405" s="3">
        <f>Comparison!AQ4</f>
        <v>5343.1911525840997</v>
      </c>
      <c r="O405" s="3">
        <f>Comparison!AR4</f>
        <v>4367.9191662396088</v>
      </c>
      <c r="P405" s="3">
        <f>Comparison!AS4</f>
        <v>3239.5923652397146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8.7573989459680439E-40</v>
      </c>
      <c r="C406" s="3">
        <f t="shared" si="433"/>
        <v>1.0514778689420054E-34</v>
      </c>
      <c r="D406" s="3">
        <f t="shared" si="433"/>
        <v>8.259435438836262E-32</v>
      </c>
      <c r="E406" s="3">
        <f t="shared" si="433"/>
        <v>1.0361750775812966E-29</v>
      </c>
      <c r="F406" s="3">
        <f t="shared" si="433"/>
        <v>6.9251632462746837E-27</v>
      </c>
      <c r="G406" s="3">
        <f t="shared" si="433"/>
        <v>6.190210096014411E-20</v>
      </c>
      <c r="H406" s="3">
        <f t="shared" si="433"/>
        <v>1E-13</v>
      </c>
      <c r="I406" s="109">
        <f>Comparison!AL5</f>
        <v>1E-13</v>
      </c>
      <c r="J406" s="3">
        <f>Comparison!AM5</f>
        <v>5627.8172471251501</v>
      </c>
      <c r="K406" s="3">
        <f>Comparison!AN5</f>
        <v>5619.5453722286029</v>
      </c>
      <c r="L406" s="3">
        <f>Comparison!AO5</f>
        <v>5614.1101001096886</v>
      </c>
      <c r="M406" s="3">
        <f>Comparison!AP5</f>
        <v>5597.5650860558781</v>
      </c>
      <c r="N406" s="3">
        <f>Comparison!AQ5</f>
        <v>5230.4848257433341</v>
      </c>
      <c r="O406" s="3">
        <f>Comparison!AR5</f>
        <v>4211.7468990411771</v>
      </c>
      <c r="P406" s="3">
        <f>Comparison!AS5</f>
        <v>3081.9689442141253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8.7573989459680436E-39</v>
      </c>
      <c r="C407" s="3">
        <f t="shared" si="433"/>
        <v>1.0514778689420053E-33</v>
      </c>
      <c r="D407" s="3">
        <f t="shared" si="433"/>
        <v>8.2594354388362622E-31</v>
      </c>
      <c r="E407" s="3">
        <f t="shared" si="433"/>
        <v>1.0361750775812966E-28</v>
      </c>
      <c r="F407" s="3">
        <f t="shared" si="433"/>
        <v>6.9251632462746831E-26</v>
      </c>
      <c r="G407" s="3">
        <f t="shared" si="433"/>
        <v>6.19021009601441E-19</v>
      </c>
      <c r="H407" s="3">
        <f t="shared" si="433"/>
        <v>9.9999999999999998E-13</v>
      </c>
      <c r="I407" s="109">
        <f>Comparison!AL6</f>
        <v>9.9999999999999998E-13</v>
      </c>
      <c r="J407" s="3">
        <f>Comparison!AM6</f>
        <v>5627.8109307653194</v>
      </c>
      <c r="K407" s="3">
        <f>Comparison!AN6</f>
        <v>5619.5381902049257</v>
      </c>
      <c r="L407" s="3">
        <f>Comparison!AO6</f>
        <v>5613.5440717227957</v>
      </c>
      <c r="M407" s="3">
        <f>Comparison!AP6</f>
        <v>5515.87592015054</v>
      </c>
      <c r="N407" s="3">
        <f>Comparison!AQ6</f>
        <v>5120.1446027142574</v>
      </c>
      <c r="O407" s="3">
        <f>Comparison!AR6</f>
        <v>4035.1164889708966</v>
      </c>
      <c r="P407" s="3">
        <f>Comparison!AS6</f>
        <v>2925.1274026703973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8.7573989459680439E-38</v>
      </c>
      <c r="C408" s="3">
        <f t="shared" si="433"/>
        <v>1.0514778689420052E-32</v>
      </c>
      <c r="D408" s="3">
        <f t="shared" si="433"/>
        <v>8.2594354388362619E-30</v>
      </c>
      <c r="E408" s="3">
        <f t="shared" si="433"/>
        <v>1.0361750775812966E-27</v>
      </c>
      <c r="F408" s="3">
        <f t="shared" si="433"/>
        <v>6.9251632462746831E-25</v>
      </c>
      <c r="G408" s="3">
        <f t="shared" si="433"/>
        <v>6.1902100960144102E-18</v>
      </c>
      <c r="H408" s="3">
        <f t="shared" si="433"/>
        <v>9.9999999999999994E-12</v>
      </c>
      <c r="I408" s="109">
        <f>Comparison!AL7</f>
        <v>9.9999999999999994E-12</v>
      </c>
      <c r="J408" s="3">
        <f>Comparison!AM7</f>
        <v>5627.8090666274475</v>
      </c>
      <c r="K408" s="3">
        <f>Comparison!AN7</f>
        <v>5619.5270202096081</v>
      </c>
      <c r="L408" s="3">
        <f>Comparison!AO7</f>
        <v>5608.0875082385601</v>
      </c>
      <c r="M408" s="3">
        <f>Comparison!AP7</f>
        <v>5354.4297457358771</v>
      </c>
      <c r="N408" s="3">
        <f>Comparison!AQ7</f>
        <v>4998.3099857085181</v>
      </c>
      <c r="O408" s="3">
        <f>Comparison!AR7</f>
        <v>3826.9829326183326</v>
      </c>
      <c r="P408" s="3">
        <f>Comparison!AS7</f>
        <v>2768.6775302611704</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8.7573989459680437E-37</v>
      </c>
      <c r="C409" s="3">
        <f t="shared" si="433"/>
        <v>1.0514778689420054E-31</v>
      </c>
      <c r="D409" s="3">
        <f t="shared" si="433"/>
        <v>8.2594354388362624E-29</v>
      </c>
      <c r="E409" s="3">
        <f t="shared" si="433"/>
        <v>1.0361750775812967E-26</v>
      </c>
      <c r="F409" s="3">
        <f t="shared" si="433"/>
        <v>6.9251632462746844E-24</v>
      </c>
      <c r="G409" s="3">
        <f t="shared" si="433"/>
        <v>6.1902100960144113E-17</v>
      </c>
      <c r="H409" s="3">
        <f t="shared" si="433"/>
        <v>1E-10</v>
      </c>
      <c r="I409" s="109">
        <f>Comparison!AL8</f>
        <v>1E-10</v>
      </c>
      <c r="J409" s="3">
        <f>Comparison!AM8</f>
        <v>5627.8083245923272</v>
      </c>
      <c r="K409" s="3">
        <f>Comparison!AN8</f>
        <v>5619.4334394084344</v>
      </c>
      <c r="L409" s="3">
        <f>Comparison!AO8</f>
        <v>5561.0618011761198</v>
      </c>
      <c r="M409" s="3">
        <f>Comparison!AP8</f>
        <v>5243.0021702463746</v>
      </c>
      <c r="N409" s="3">
        <f>Comparison!AQ8</f>
        <v>4868.289986185935</v>
      </c>
      <c r="O409" s="3">
        <f>Comparison!AR8</f>
        <v>3620.1591645384274</v>
      </c>
      <c r="P409" s="3">
        <f>Comparison!AS8</f>
        <v>2587.8715481120807</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8.7573989459680447E-36</v>
      </c>
      <c r="C410" s="3">
        <f t="shared" si="433"/>
        <v>1.0514778689420053E-30</v>
      </c>
      <c r="D410" s="3">
        <f t="shared" si="433"/>
        <v>8.259435438836262E-28</v>
      </c>
      <c r="E410" s="3">
        <f t="shared" si="433"/>
        <v>1.0361750775812968E-25</v>
      </c>
      <c r="F410" s="3">
        <f t="shared" si="433"/>
        <v>6.9251632462746835E-23</v>
      </c>
      <c r="G410" s="3">
        <f t="shared" si="433"/>
        <v>6.1902100960144111E-16</v>
      </c>
      <c r="H410" s="3">
        <f t="shared" si="433"/>
        <v>1.0000000000000001E-9</v>
      </c>
      <c r="I410" s="109">
        <f>Comparison!AL9</f>
        <v>1.0000000000000001E-9</v>
      </c>
      <c r="J410" s="3">
        <f>Comparison!AM9</f>
        <v>5627.808252198668</v>
      </c>
      <c r="K410" s="3">
        <f>Comparison!AN9</f>
        <v>5618.5096180858227</v>
      </c>
      <c r="L410" s="3">
        <f>Comparison!AO9</f>
        <v>5391.7011748892737</v>
      </c>
      <c r="M410" s="3">
        <f>Comparison!AP9</f>
        <v>5133.7176502815901</v>
      </c>
      <c r="N410" s="3">
        <f>Comparison!AQ9</f>
        <v>4722.7423685745798</v>
      </c>
      <c r="O410" s="3">
        <f>Comparison!AR9</f>
        <v>3446.6232486673289</v>
      </c>
      <c r="P410" s="3">
        <f>Comparison!AS9</f>
        <v>2392.4689452404186</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8.7573989459680444E-35</v>
      </c>
      <c r="C411" s="3">
        <f t="shared" si="433"/>
        <v>1.0514778689420053E-29</v>
      </c>
      <c r="D411" s="3">
        <f t="shared" si="433"/>
        <v>8.259435438836262E-27</v>
      </c>
      <c r="E411" s="3">
        <f t="shared" si="433"/>
        <v>1.0361750775812967E-24</v>
      </c>
      <c r="F411" s="3">
        <f t="shared" si="433"/>
        <v>6.925163246274684E-22</v>
      </c>
      <c r="G411" s="3">
        <f t="shared" si="433"/>
        <v>6.1902100960144105E-15</v>
      </c>
      <c r="H411" s="3">
        <f t="shared" si="433"/>
        <v>1E-8</v>
      </c>
      <c r="I411" s="109">
        <f>Comparison!AL10</f>
        <v>1E-8</v>
      </c>
      <c r="J411" s="3">
        <f>Comparison!AM10</f>
        <v>5627.808053116114</v>
      </c>
      <c r="K411" s="3">
        <f>Comparison!AN10</f>
        <v>5609.604774269872</v>
      </c>
      <c r="L411" s="3">
        <f>Comparison!AO10</f>
        <v>5273.7806689105482</v>
      </c>
      <c r="M411" s="3">
        <f>Comparison!AP10</f>
        <v>5011.8758976932013</v>
      </c>
      <c r="N411" s="3">
        <f>Comparison!AQ10</f>
        <v>4566.4647906515956</v>
      </c>
      <c r="O411" s="3">
        <f>Comparison!AR10</f>
        <v>3283.5389960784037</v>
      </c>
      <c r="P411" s="3">
        <f>Comparison!AS10</f>
        <v>2172.7822789963197</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8.7573989459680442E-34</v>
      </c>
      <c r="C412" s="3">
        <f t="shared" si="433"/>
        <v>1.0514778689420052E-28</v>
      </c>
      <c r="D412" s="3">
        <f t="shared" si="433"/>
        <v>8.2594354388362617E-26</v>
      </c>
      <c r="E412" s="3">
        <f t="shared" si="433"/>
        <v>1.0361750775812966E-23</v>
      </c>
      <c r="F412" s="3">
        <f t="shared" si="433"/>
        <v>6.925163246274684E-21</v>
      </c>
      <c r="G412" s="3">
        <f t="shared" si="433"/>
        <v>6.1902100960144097E-14</v>
      </c>
      <c r="H412" s="3">
        <f t="shared" si="433"/>
        <v>9.9999999999999995E-8</v>
      </c>
      <c r="I412" s="109">
        <f>Comparison!AL11</f>
        <v>9.9999999999999995E-8</v>
      </c>
      <c r="J412" s="3">
        <f>Comparison!AM11</f>
        <v>5627.8079807224613</v>
      </c>
      <c r="K412" s="3">
        <f>Comparison!AN11</f>
        <v>5534.6820731552771</v>
      </c>
      <c r="L412" s="3">
        <f>Comparison!AO11</f>
        <v>5167.1400623232676</v>
      </c>
      <c r="M412" s="3">
        <f>Comparison!AP11</f>
        <v>4882.7230333645084</v>
      </c>
      <c r="N412" s="3">
        <f>Comparison!AQ11</f>
        <v>4408.434781704007</v>
      </c>
      <c r="O412" s="3">
        <f>Comparison!AR11</f>
        <v>3126.1515402495047</v>
      </c>
      <c r="P412" s="3">
        <f>Comparison!AS11</f>
        <v>1927.9643975704516</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8.7573989459680442E-33</v>
      </c>
      <c r="C413" s="3">
        <f t="shared" si="433"/>
        <v>1.0514778689420053E-27</v>
      </c>
      <c r="D413" s="3">
        <f t="shared" si="433"/>
        <v>8.2594354388362615E-25</v>
      </c>
      <c r="E413" s="3">
        <f t="shared" si="433"/>
        <v>1.0361750775812966E-22</v>
      </c>
      <c r="F413" s="3">
        <f t="shared" si="433"/>
        <v>6.9251632462746834E-20</v>
      </c>
      <c r="G413" s="3">
        <f t="shared" si="433"/>
        <v>6.1902100960144099E-13</v>
      </c>
      <c r="H413" s="3">
        <f t="shared" si="433"/>
        <v>9.9999999999999995E-7</v>
      </c>
      <c r="I413" s="109">
        <f>Comparison!AL12</f>
        <v>9.9999999999999995E-7</v>
      </c>
      <c r="J413" s="3">
        <f>Comparison!AM12</f>
        <v>5627.8066052434133</v>
      </c>
      <c r="K413" s="3">
        <f>Comparison!AN12</f>
        <v>5370.399425083704</v>
      </c>
      <c r="L413" s="3">
        <f>Comparison!AO12</f>
        <v>5046.4639033804824</v>
      </c>
      <c r="M413" s="3">
        <f>Comparison!AP12</f>
        <v>4737.6825060207148</v>
      </c>
      <c r="N413" s="3">
        <f>Comparison!AQ12</f>
        <v>4256.2001953133786</v>
      </c>
      <c r="O413" s="3">
        <f>Comparison!AR12</f>
        <v>2970.9240585633979</v>
      </c>
      <c r="P413" s="3">
        <f>Comparison!AS12</f>
        <v>1643.6970338003</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8.7573989459680447E-32</v>
      </c>
      <c r="C414" s="3">
        <f t="shared" si="433"/>
        <v>1.0514778689420054E-26</v>
      </c>
      <c r="D414" s="3">
        <f t="shared" si="433"/>
        <v>8.2594354388362626E-24</v>
      </c>
      <c r="E414" s="3">
        <f t="shared" si="433"/>
        <v>1.0361750775812967E-21</v>
      </c>
      <c r="F414" s="3">
        <f t="shared" si="433"/>
        <v>6.9251632462746839E-19</v>
      </c>
      <c r="G414" s="3">
        <f t="shared" si="433"/>
        <v>6.1902100960144114E-12</v>
      </c>
      <c r="H414" s="3">
        <f t="shared" si="433"/>
        <v>1.0000000000000001E-5</v>
      </c>
      <c r="I414" s="109">
        <f>Comparison!AL13</f>
        <v>1.0000000000000001E-5</v>
      </c>
      <c r="J414" s="3">
        <f>Comparison!AM13</f>
        <v>5627.7932848495184</v>
      </c>
      <c r="K414" s="3">
        <f>Comparison!AN13</f>
        <v>5257.8155746015464</v>
      </c>
      <c r="L414" s="3">
        <f>Comparison!AO13</f>
        <v>4920.6469341545144</v>
      </c>
      <c r="M414" s="3">
        <f>Comparison!AP13</f>
        <v>4581.7042756516666</v>
      </c>
      <c r="N414" s="3">
        <f>Comparison!AQ13</f>
        <v>4088.6897076558816</v>
      </c>
      <c r="O414" s="3">
        <f>Comparison!AR13</f>
        <v>2814.9531210575578</v>
      </c>
      <c r="P414" s="3">
        <f>Comparison!AS13</f>
        <v>1319.6710728146086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8.7573989459680452E-31</v>
      </c>
      <c r="C415" s="3">
        <f t="shared" si="433"/>
        <v>1.0514778689420054E-25</v>
      </c>
      <c r="D415" s="3">
        <f t="shared" si="433"/>
        <v>8.2594354388362629E-23</v>
      </c>
      <c r="E415" s="3">
        <f t="shared" si="433"/>
        <v>1.0361750775812966E-20</v>
      </c>
      <c r="F415" s="3">
        <f t="shared" si="433"/>
        <v>6.9251632462746843E-18</v>
      </c>
      <c r="G415" s="3">
        <f t="shared" si="433"/>
        <v>6.1902100960144104E-11</v>
      </c>
      <c r="H415" s="3">
        <f t="shared" si="433"/>
        <v>1E-4</v>
      </c>
      <c r="I415" s="109">
        <f>Comparison!AL14</f>
        <v>1E-4</v>
      </c>
      <c r="J415" s="3">
        <f>Comparison!AM14</f>
        <v>5627.6610797391322</v>
      </c>
      <c r="K415" s="3">
        <f>Comparison!AN14</f>
        <v>5148.9525022518937</v>
      </c>
      <c r="L415" s="3">
        <f>Comparison!AO14</f>
        <v>4778.6212241451321</v>
      </c>
      <c r="M415" s="3">
        <f>Comparison!AP14</f>
        <v>4422.8560767502513</v>
      </c>
      <c r="N415" s="3">
        <f>Comparison!AQ14</f>
        <v>3886.5453020717396</v>
      </c>
      <c r="O415" s="3">
        <f>Comparison!AR14</f>
        <v>2641.4801683555684</v>
      </c>
      <c r="P415" s="3">
        <f>Comparison!AS14</f>
        <v>983.6154232764427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8.7573989459680441E-30</v>
      </c>
      <c r="C416" s="3">
        <f t="shared" si="433"/>
        <v>1.0514778689420052E-24</v>
      </c>
      <c r="D416" s="3">
        <f t="shared" si="433"/>
        <v>8.2594354388362626E-22</v>
      </c>
      <c r="E416" s="3">
        <f t="shared" si="433"/>
        <v>1.0361750775812966E-19</v>
      </c>
      <c r="F416" s="3">
        <f t="shared" si="433"/>
        <v>6.9251632462746838E-17</v>
      </c>
      <c r="G416" s="3">
        <f t="shared" si="433"/>
        <v>6.1902100960144106E-10</v>
      </c>
      <c r="H416" s="3">
        <f t="shared" si="433"/>
        <v>1E-3</v>
      </c>
      <c r="I416" s="109">
        <f>Comparison!AL15</f>
        <v>1E-3</v>
      </c>
      <c r="J416" s="3">
        <f>Comparison!AM15</f>
        <v>5626.3493372203875</v>
      </c>
      <c r="K416" s="3">
        <f>Comparison!AN15</f>
        <v>5026.92102925375</v>
      </c>
      <c r="L416" s="3">
        <f>Comparison!AO15</f>
        <v>4624.8276392807802</v>
      </c>
      <c r="M416" s="3">
        <f>Comparison!AP15</f>
        <v>4270.4317526073974</v>
      </c>
      <c r="N416" s="3">
        <f>Comparison!AQ15</f>
        <v>3674.0476464355193</v>
      </c>
      <c r="O416" s="3">
        <f>Comparison!AR15</f>
        <v>2449.1835010011705</v>
      </c>
      <c r="P416" s="3">
        <f>Comparison!AS15</f>
        <v>693.66104788005293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8.7573989459680441E-29</v>
      </c>
      <c r="C417" s="3">
        <f t="shared" si="433"/>
        <v>1.0514778689420053E-23</v>
      </c>
      <c r="D417" s="3">
        <f t="shared" si="433"/>
        <v>8.2594354388362623E-21</v>
      </c>
      <c r="E417" s="3">
        <f t="shared" si="433"/>
        <v>1.0361750775812967E-18</v>
      </c>
      <c r="F417" s="3">
        <f t="shared" si="433"/>
        <v>6.9251632462746836E-16</v>
      </c>
      <c r="G417" s="3">
        <f t="shared" si="433"/>
        <v>6.1902100960144109E-9</v>
      </c>
      <c r="H417" s="3">
        <f t="shared" si="433"/>
        <v>0.01</v>
      </c>
      <c r="I417" s="109">
        <f>Comparison!AL16</f>
        <v>0.01</v>
      </c>
      <c r="J417" s="3">
        <f>Comparison!AM16</f>
        <v>5613.8255139047442</v>
      </c>
      <c r="K417" s="3">
        <f>Comparison!AN16</f>
        <v>4898.1924827249632</v>
      </c>
      <c r="L417" s="3">
        <f>Comparison!AO16</f>
        <v>4464.4431086830655</v>
      </c>
      <c r="M417" s="3">
        <f>Comparison!AP16</f>
        <v>4104.9210309366072</v>
      </c>
      <c r="N417" s="3">
        <f>Comparison!AQ16</f>
        <v>3490.4964950029853</v>
      </c>
      <c r="O417" s="3">
        <f>Comparison!AR16</f>
        <v>2235.8247528873858</v>
      </c>
      <c r="P417" s="3">
        <f>Comparison!AS16</f>
        <v>485.93999274200024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8.7573989459680441E-28</v>
      </c>
      <c r="C418" s="3">
        <f t="shared" si="433"/>
        <v>1.0514778689420054E-22</v>
      </c>
      <c r="D418" s="3">
        <f t="shared" si="433"/>
        <v>8.2594354388362623E-20</v>
      </c>
      <c r="E418" s="3">
        <f t="shared" si="433"/>
        <v>1.0361750775812967E-17</v>
      </c>
      <c r="F418" s="3">
        <f t="shared" si="433"/>
        <v>6.9251632462746842E-15</v>
      </c>
      <c r="G418" s="3">
        <f t="shared" si="433"/>
        <v>6.1902100960144112E-8</v>
      </c>
      <c r="H418" s="3">
        <f t="shared" si="433"/>
        <v>0.1</v>
      </c>
      <c r="I418" s="109">
        <f>Comparison!AL17</f>
        <v>0.1</v>
      </c>
      <c r="J418" s="3">
        <f>Comparison!AM17</f>
        <v>5517.4172060787987</v>
      </c>
      <c r="K418" s="3">
        <f>Comparison!AN17</f>
        <v>4753.3269146217463</v>
      </c>
      <c r="L418" s="3">
        <f>Comparison!AO17</f>
        <v>4311.3670250981177</v>
      </c>
      <c r="M418" s="3">
        <f>Comparison!AP17</f>
        <v>3904.1870554469519</v>
      </c>
      <c r="N418" s="3">
        <f>Comparison!AQ17</f>
        <v>3328.6476119407066</v>
      </c>
      <c r="O418" s="3">
        <f>Comparison!AR17</f>
        <v>1993.335720552192</v>
      </c>
      <c r="P418" s="3">
        <f>Comparison!AS17</f>
        <v>367.37990571310178</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8.7573989459680434E-27</v>
      </c>
      <c r="C419" s="3">
        <f t="shared" si="433"/>
        <v>1.0514778689420054E-21</v>
      </c>
      <c r="D419" s="3">
        <f t="shared" si="433"/>
        <v>8.2594354388362623E-19</v>
      </c>
      <c r="E419" s="3">
        <f t="shared" si="433"/>
        <v>1.0361750775812966E-16</v>
      </c>
      <c r="F419" s="3">
        <f t="shared" si="433"/>
        <v>6.9251632462746834E-14</v>
      </c>
      <c r="G419" s="3">
        <f t="shared" si="433"/>
        <v>6.1902100960144104E-7</v>
      </c>
      <c r="H419" s="3">
        <f t="shared" si="433"/>
        <v>1</v>
      </c>
      <c r="I419" s="109">
        <f>Comparison!AL18</f>
        <v>1</v>
      </c>
      <c r="J419" s="3">
        <f>Comparison!AM18</f>
        <v>5360.9194936383001</v>
      </c>
      <c r="K419" s="3">
        <f>Comparison!AN18</f>
        <v>4597.3394014710702</v>
      </c>
      <c r="L419" s="3">
        <f>Comparison!AO18</f>
        <v>4152.6891106145395</v>
      </c>
      <c r="M419" s="3">
        <f>Comparison!AP18</f>
        <v>3689.3430627142566</v>
      </c>
      <c r="N419" s="3">
        <f>Comparison!AQ18</f>
        <v>3162.6549081928265</v>
      </c>
      <c r="O419" s="3">
        <f>Comparison!AR18</f>
        <v>1707.9100595434049</v>
      </c>
      <c r="P419" s="3">
        <f>Comparison!AS18</f>
        <v>307.17178720865763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8.7573989459680446E-26</v>
      </c>
      <c r="C420" s="3">
        <f t="shared" si="434"/>
        <v>1.0514778689420053E-20</v>
      </c>
      <c r="D420" s="3">
        <f t="shared" si="434"/>
        <v>8.2594354388362626E-18</v>
      </c>
      <c r="E420" s="3">
        <f t="shared" si="434"/>
        <v>1.0361750775812966E-15</v>
      </c>
      <c r="F420" s="3">
        <f t="shared" si="434"/>
        <v>6.9251632462746839E-13</v>
      </c>
      <c r="G420" s="3">
        <f t="shared" si="434"/>
        <v>6.1902100960144104E-6</v>
      </c>
      <c r="H420" s="3">
        <f t="shared" si="434"/>
        <v>10</v>
      </c>
      <c r="I420" s="109">
        <f>Comparison!AL19</f>
        <v>10</v>
      </c>
      <c r="J420" s="3">
        <f>Comparison!AM19</f>
        <v>5250.254742360099</v>
      </c>
      <c r="K420" s="3">
        <f>Comparison!AN19</f>
        <v>4437.480614548972</v>
      </c>
      <c r="L420" s="3">
        <f>Comparison!AO19</f>
        <v>3957.9636218361616</v>
      </c>
      <c r="M420" s="3">
        <f>Comparison!AP19</f>
        <v>3495.8611800317371</v>
      </c>
      <c r="N420" s="3">
        <f>Comparison!AQ19</f>
        <v>2989.0593935666489</v>
      </c>
      <c r="O420" s="3">
        <f>Comparison!AR19</f>
        <v>1382.9901395885138</v>
      </c>
      <c r="P420" s="3">
        <f>Comparison!AS19</f>
        <v>279.06842494658031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8.7573989459680434E-25</v>
      </c>
      <c r="C421" s="3">
        <f t="shared" si="434"/>
        <v>1.0514778689420053E-19</v>
      </c>
      <c r="D421" s="3">
        <f t="shared" si="434"/>
        <v>8.259435438836262E-17</v>
      </c>
      <c r="E421" s="3">
        <f t="shared" si="434"/>
        <v>1.0361750775812966E-14</v>
      </c>
      <c r="F421" s="3">
        <f t="shared" si="434"/>
        <v>6.9251632462746833E-12</v>
      </c>
      <c r="G421" s="3">
        <f t="shared" si="434"/>
        <v>6.1902100960144099E-5</v>
      </c>
      <c r="H421" s="3">
        <f t="shared" si="434"/>
        <v>100</v>
      </c>
      <c r="I421" s="109">
        <f>Comparison!AL20</f>
        <v>100</v>
      </c>
      <c r="J421" s="3">
        <f>Comparison!AM20</f>
        <v>5138.7770947931922</v>
      </c>
      <c r="K421" s="3">
        <f>Comparison!AN20</f>
        <v>4282.6976933023134</v>
      </c>
      <c r="L421" s="3">
        <f>Comparison!AO20</f>
        <v>3730.5898476111606</v>
      </c>
      <c r="M421" s="3">
        <f>Comparison!AP20</f>
        <v>3307.8943029856523</v>
      </c>
      <c r="N421" s="3">
        <f>Comparison!AQ20</f>
        <v>2798.1852090008501</v>
      </c>
      <c r="O421" s="3">
        <f>Comparison!AR20</f>
        <v>1045.3846206276212</v>
      </c>
      <c r="P421" s="3">
        <f>Comparison!AS20</f>
        <v>261.67169004040318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8.7573989459680434E-24</v>
      </c>
      <c r="C422" s="3">
        <f t="shared" si="434"/>
        <v>1.0514778689420052E-18</v>
      </c>
      <c r="D422" s="3">
        <f t="shared" si="434"/>
        <v>8.2594354388362625E-16</v>
      </c>
      <c r="E422" s="3">
        <f t="shared" si="434"/>
        <v>1.0361750775812967E-13</v>
      </c>
      <c r="F422" s="3">
        <f t="shared" si="434"/>
        <v>6.9251632462746838E-11</v>
      </c>
      <c r="G422" s="3">
        <f t="shared" si="434"/>
        <v>6.1902100960144104E-4</v>
      </c>
      <c r="H422" s="3">
        <f t="shared" si="434"/>
        <v>1000</v>
      </c>
      <c r="I422" s="109">
        <f>Comparison!AL21</f>
        <v>1000</v>
      </c>
      <c r="J422" s="3">
        <f>Comparison!AM21</f>
        <v>5015.7448530146003</v>
      </c>
      <c r="K422" s="3">
        <f>Comparison!AN21</f>
        <v>4104.6708903026465</v>
      </c>
      <c r="L422" s="3">
        <f>Comparison!AO21</f>
        <v>3500.0702814112506</v>
      </c>
      <c r="M422" s="3">
        <f>Comparison!AP21</f>
        <v>3103.7900841852515</v>
      </c>
      <c r="N422" s="3">
        <f>Comparison!AQ21</f>
        <v>2599.5030730508342</v>
      </c>
      <c r="O422" s="3">
        <f>Comparison!AR21</f>
        <v>743.50488577028852</v>
      </c>
      <c r="P422" s="3">
        <f>Comparison!AS21</f>
        <v>251.34674819282765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8.7573989459680437E-23</v>
      </c>
      <c r="C423" s="3">
        <f t="shared" si="434"/>
        <v>1.0514778689420054E-17</v>
      </c>
      <c r="D423" s="3">
        <f t="shared" si="434"/>
        <v>8.2594354388362629E-15</v>
      </c>
      <c r="E423" s="3">
        <f t="shared" si="434"/>
        <v>1.0361750775812966E-12</v>
      </c>
      <c r="F423" s="3">
        <f t="shared" si="434"/>
        <v>6.9251632462746832E-10</v>
      </c>
      <c r="G423" s="3">
        <f t="shared" si="434"/>
        <v>6.1902100960144106E-3</v>
      </c>
      <c r="H423" s="3">
        <f t="shared" si="434"/>
        <v>10000</v>
      </c>
      <c r="I423" s="109">
        <f>Comparison!AL22</f>
        <v>10000</v>
      </c>
      <c r="J423" s="3">
        <f>Comparison!AM22</f>
        <v>4881.370820360753</v>
      </c>
      <c r="K423" s="3">
        <f>Comparison!AN22</f>
        <v>3863.6251591234022</v>
      </c>
      <c r="L423" s="3">
        <f>Comparison!AO22</f>
        <v>3289.3669034465734</v>
      </c>
      <c r="M423" s="3">
        <f>Comparison!AP22</f>
        <v>2911.6115267339505</v>
      </c>
      <c r="N423" s="3">
        <f>Comparison!AQ22</f>
        <v>2390.0680354035449</v>
      </c>
      <c r="O423" s="3">
        <f>Comparison!AR22</f>
        <v>519.49600219625086</v>
      </c>
      <c r="P423" s="3">
        <f>Comparison!AS22</f>
        <v>246.12933837944422</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8.7573989459680437E-22</v>
      </c>
      <c r="C424" s="3">
        <f t="shared" si="434"/>
        <v>1.0514778689420053E-16</v>
      </c>
      <c r="D424" s="3">
        <f t="shared" si="434"/>
        <v>8.2594354388362626E-14</v>
      </c>
      <c r="E424" s="3">
        <f t="shared" si="434"/>
        <v>1.0361750775812965E-11</v>
      </c>
      <c r="F424" s="3">
        <f t="shared" si="434"/>
        <v>6.9251632462746836E-9</v>
      </c>
      <c r="G424" s="3">
        <f t="shared" si="434"/>
        <v>6.1902100960144105E-2</v>
      </c>
      <c r="H424" s="3">
        <f t="shared" si="434"/>
        <v>100000</v>
      </c>
      <c r="I424" s="109">
        <f>Comparison!AL23</f>
        <v>100000</v>
      </c>
      <c r="J424" s="3">
        <f>Comparison!AM23</f>
        <v>4715.1502303445186</v>
      </c>
      <c r="K424" s="3">
        <f>Comparison!AN23</f>
        <v>3593.12923880173</v>
      </c>
      <c r="L424" s="3">
        <f>Comparison!AO23</f>
        <v>3085.2633506749817</v>
      </c>
      <c r="M424" s="3">
        <f>Comparison!AP23</f>
        <v>2729.2195894835777</v>
      </c>
      <c r="N424" s="3">
        <f>Comparison!AQ23</f>
        <v>2175.40034172183</v>
      </c>
      <c r="O424" s="3">
        <f>Comparison!AR23</f>
        <v>383.51568079468302</v>
      </c>
      <c r="P424" s="3">
        <f>Comparison!AS23</f>
        <v>232.30454015462297</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8.7573989459680441E-21</v>
      </c>
      <c r="C425" s="3">
        <f t="shared" si="434"/>
        <v>1.0514778689420053E-15</v>
      </c>
      <c r="D425" s="3">
        <f t="shared" si="434"/>
        <v>8.2594354388362626E-13</v>
      </c>
      <c r="E425" s="3">
        <f t="shared" si="434"/>
        <v>1.0361750775812966E-10</v>
      </c>
      <c r="F425" s="3">
        <f t="shared" si="434"/>
        <v>6.9251632462746836E-8</v>
      </c>
      <c r="G425" s="3">
        <f t="shared" si="434"/>
        <v>0.61902100960144102</v>
      </c>
      <c r="H425" s="3">
        <f t="shared" si="434"/>
        <v>1000000</v>
      </c>
      <c r="I425" s="109">
        <f>Comparison!AL24</f>
        <v>1000000</v>
      </c>
      <c r="J425" s="3">
        <f>Comparison!AM24</f>
        <v>4502.659399288631</v>
      </c>
      <c r="K425" s="3">
        <f>Comparison!AN24</f>
        <v>3360.468185804395</v>
      </c>
      <c r="L425" s="3">
        <f>Comparison!AO24</f>
        <v>2905.3736728917142</v>
      </c>
      <c r="M425" s="3">
        <f>Comparison!AP24</f>
        <v>2550.726219448276</v>
      </c>
      <c r="N425" s="3">
        <f>Comparison!AQ24</f>
        <v>1944.7438917872487</v>
      </c>
      <c r="O425" s="3">
        <f>Comparison!AR24</f>
        <v>314.10371823238006</v>
      </c>
      <c r="P425" s="3">
        <f>Comparison!AS24</f>
        <v>227.24083682489959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8.7573989459680444E-20</v>
      </c>
      <c r="C426" s="3">
        <f t="shared" si="434"/>
        <v>1.0514778689420053E-14</v>
      </c>
      <c r="D426" s="3">
        <f t="shared" si="434"/>
        <v>8.2594354388362618E-12</v>
      </c>
      <c r="E426" s="3">
        <f t="shared" si="434"/>
        <v>1.0361750775812966E-9</v>
      </c>
      <c r="F426" s="3">
        <f t="shared" si="434"/>
        <v>6.9251632462746831E-7</v>
      </c>
      <c r="G426" s="3">
        <f t="shared" si="434"/>
        <v>6.1902100960144102</v>
      </c>
      <c r="H426" s="3">
        <f t="shared" si="434"/>
        <v>10000000</v>
      </c>
      <c r="I426" s="109">
        <f>Comparison!AL25</f>
        <v>10000000</v>
      </c>
      <c r="J426" s="3">
        <f>Comparison!AM25</f>
        <v>4273.4157788380835</v>
      </c>
      <c r="K426" s="3">
        <f>Comparison!AN25</f>
        <v>3169.2406182554596</v>
      </c>
      <c r="L426" s="3">
        <f>Comparison!AO25</f>
        <v>2732.9260794562178</v>
      </c>
      <c r="M426" s="3">
        <f>Comparison!AP25</f>
        <v>2358.1438044871866</v>
      </c>
      <c r="N426" s="3">
        <f>Comparison!AQ25</f>
        <v>1692.3075271682321</v>
      </c>
      <c r="O426" s="3">
        <f>Comparison!AR25</f>
        <v>280.6909623460773</v>
      </c>
      <c r="P426" s="3">
        <f>Comparison!AS25</f>
        <v>226.40989093990805</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8.7573989459680449E-19</v>
      </c>
      <c r="C427" s="3">
        <f t="shared" si="434"/>
        <v>1.0514778689420054E-13</v>
      </c>
      <c r="D427" s="3">
        <f t="shared" si="434"/>
        <v>8.2594354388362618E-11</v>
      </c>
      <c r="E427" s="3">
        <f t="shared" si="434"/>
        <v>1.0361750775812966E-8</v>
      </c>
      <c r="F427" s="3">
        <f t="shared" si="434"/>
        <v>6.9251632462746835E-6</v>
      </c>
      <c r="G427" s="3">
        <f t="shared" si="434"/>
        <v>61.902100960144104</v>
      </c>
      <c r="H427" s="3">
        <f t="shared" si="434"/>
        <v>100000000</v>
      </c>
      <c r="I427" s="109">
        <f>Comparison!AL26</f>
        <v>100000000</v>
      </c>
      <c r="J427" s="3">
        <f>Comparison!AM26</f>
        <v>4058.4470173916279</v>
      </c>
      <c r="K427" s="3">
        <f>Comparison!AN26</f>
        <v>2988.8293612758935</v>
      </c>
      <c r="L427" s="3">
        <f>Comparison!AO26</f>
        <v>2568.1909736158736</v>
      </c>
      <c r="M427" s="3">
        <f>Comparison!AP26</f>
        <v>2158.239452794789</v>
      </c>
      <c r="N427" s="3">
        <f>Comparison!AQ26</f>
        <v>1404.857998960405</v>
      </c>
      <c r="O427" s="3">
        <f>Comparison!AR26</f>
        <v>262.23895816268134</v>
      </c>
      <c r="P427" s="3">
        <f>Comparison!AS26</f>
        <v>226.30209993218824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8.7573989459680445E-18</v>
      </c>
      <c r="C428" s="3">
        <f t="shared" si="434"/>
        <v>1.0514778689420053E-12</v>
      </c>
      <c r="D428" s="3">
        <f t="shared" si="434"/>
        <v>8.2594354388362621E-10</v>
      </c>
      <c r="E428" s="3">
        <f t="shared" si="434"/>
        <v>1.0361750775812966E-7</v>
      </c>
      <c r="F428" s="3">
        <f t="shared" si="434"/>
        <v>6.9251632462746839E-5</v>
      </c>
      <c r="G428" s="3">
        <f t="shared" si="434"/>
        <v>619.02100960144105</v>
      </c>
      <c r="H428" s="3">
        <f t="shared" si="434"/>
        <v>1000000000</v>
      </c>
      <c r="I428" s="109">
        <f>Comparison!AL27</f>
        <v>1000000000</v>
      </c>
      <c r="J428" s="3">
        <f>Comparison!AM27</f>
        <v>3848.5922465336935</v>
      </c>
      <c r="K428" s="3">
        <f>Comparison!AN27</f>
        <v>2827.4607055264137</v>
      </c>
      <c r="L428" s="3">
        <f>Comparison!AO27</f>
        <v>2386.1123895749793</v>
      </c>
      <c r="M428" s="3">
        <f>Comparison!AP27</f>
        <v>1939.4329282086981</v>
      </c>
      <c r="N428" s="3">
        <f>Comparison!AQ27</f>
        <v>1091.4425267820036</v>
      </c>
      <c r="O428" s="3">
        <f>Comparison!AR27</f>
        <v>250.5385469230996</v>
      </c>
      <c r="P428" s="3">
        <f>Comparison!AS27</f>
        <v>225.971358220734</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8.7573989459680442E-17</v>
      </c>
      <c r="C429" s="3">
        <f t="shared" si="434"/>
        <v>1.0514778689420053E-11</v>
      </c>
      <c r="D429" s="3">
        <f t="shared" si="434"/>
        <v>8.2594354388362616E-9</v>
      </c>
      <c r="E429" s="3">
        <f t="shared" si="434"/>
        <v>1.0361750775812965E-6</v>
      </c>
      <c r="F429" s="3">
        <f t="shared" si="434"/>
        <v>6.9251632462746836E-4</v>
      </c>
      <c r="G429" s="3">
        <f t="shared" si="434"/>
        <v>6190.2100960144107</v>
      </c>
      <c r="H429" s="3">
        <f t="shared" si="434"/>
        <v>10000000000</v>
      </c>
      <c r="I429" s="109">
        <f>Comparison!AL28</f>
        <v>10000000000</v>
      </c>
      <c r="J429" s="3">
        <f>Comparison!AM28</f>
        <v>3623.9563394023553</v>
      </c>
      <c r="K429" s="3">
        <f>Comparison!AN28</f>
        <v>2670.1707037079254</v>
      </c>
      <c r="L429" s="3">
        <f>Comparison!AO28</f>
        <v>2196.768027007945</v>
      </c>
      <c r="M429" s="3">
        <f>Comparison!AP28</f>
        <v>1697.1946565213088</v>
      </c>
      <c r="N429" s="3">
        <f>Comparison!AQ28</f>
        <v>790.55484106714846</v>
      </c>
      <c r="O429" s="3">
        <f>Comparison!AR28</f>
        <v>245.32626479673095</v>
      </c>
      <c r="P429" s="3">
        <f>Comparison!AS28</f>
        <v>225.60625299057205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8.7573989459680444E-16</v>
      </c>
      <c r="C430" s="3">
        <f t="shared" si="434"/>
        <v>1.0514778689420053E-10</v>
      </c>
      <c r="D430" s="3">
        <f t="shared" si="434"/>
        <v>8.2594354388362626E-8</v>
      </c>
      <c r="E430" s="3">
        <f t="shared" si="434"/>
        <v>1.0361750775812966E-5</v>
      </c>
      <c r="F430" s="3">
        <f t="shared" si="434"/>
        <v>6.9251632462746836E-3</v>
      </c>
      <c r="G430" s="3">
        <f t="shared" si="434"/>
        <v>61902.100960144104</v>
      </c>
      <c r="H430" s="3">
        <f t="shared" si="434"/>
        <v>100000000000</v>
      </c>
      <c r="I430" s="109">
        <f>Comparison!AL29</f>
        <v>100000000000</v>
      </c>
      <c r="J430" s="3">
        <f>Comparison!AM29</f>
        <v>3404.5451338992034</v>
      </c>
      <c r="K430" s="3">
        <f>Comparison!AN29</f>
        <v>2515.5612619665249</v>
      </c>
      <c r="L430" s="3">
        <f>Comparison!AO29</f>
        <v>1987.4046244520723</v>
      </c>
      <c r="M430" s="3">
        <f>Comparison!AP29</f>
        <v>1417.4356606109552</v>
      </c>
      <c r="N430" s="3">
        <f>Comparison!AQ29</f>
        <v>554.44228824478739</v>
      </c>
      <c r="O430" s="3">
        <f>Comparison!AR29</f>
        <v>234.06992955511652</v>
      </c>
      <c r="P430" s="3">
        <f>Comparison!AS29</f>
        <v>225.49131077609314</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8.7573989459680436E-15</v>
      </c>
      <c r="C431" s="3">
        <f t="shared" si="434"/>
        <v>1.0514778689420054E-9</v>
      </c>
      <c r="D431" s="3">
        <f t="shared" si="434"/>
        <v>8.2594354388362624E-7</v>
      </c>
      <c r="E431" s="3">
        <f t="shared" si="434"/>
        <v>1.0361750775812966E-4</v>
      </c>
      <c r="F431" s="3">
        <f t="shared" si="434"/>
        <v>6.9251632462746834E-2</v>
      </c>
      <c r="G431" s="3">
        <f t="shared" si="434"/>
        <v>619021.0096014411</v>
      </c>
      <c r="H431" s="3">
        <f t="shared" si="434"/>
        <v>1000000000000</v>
      </c>
      <c r="I431" s="109">
        <f>Comparison!AL30</f>
        <v>1000000000000</v>
      </c>
      <c r="J431" s="3">
        <f>Comparison!AM30</f>
        <v>3224.8694264190117</v>
      </c>
      <c r="K431" s="3">
        <f>Comparison!AN30</f>
        <v>2336.7097855049965</v>
      </c>
      <c r="L431" s="3">
        <f>Comparison!AO30</f>
        <v>1756.4334468648422</v>
      </c>
      <c r="M431" s="3">
        <f>Comparison!AP30</f>
        <v>1107.9541803332813</v>
      </c>
      <c r="N431" s="3">
        <f>Comparison!AQ30</f>
        <v>402.30286435501444</v>
      </c>
      <c r="O431" s="3">
        <f>Comparison!AR30</f>
        <v>226.1826531941249</v>
      </c>
      <c r="P431" s="3">
        <f>Comparison!AS30</f>
        <v>225.3813329804162</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8.7573989459680439E-14</v>
      </c>
      <c r="C432" s="3">
        <f t="shared" si="434"/>
        <v>1.0514778689420053E-8</v>
      </c>
      <c r="D432" s="3">
        <f t="shared" si="434"/>
        <v>8.2594354388362622E-6</v>
      </c>
      <c r="E432" s="3">
        <f t="shared" si="434"/>
        <v>1.0361750775812967E-3</v>
      </c>
      <c r="F432" s="3">
        <f t="shared" si="434"/>
        <v>0.69251632462746837</v>
      </c>
      <c r="G432" s="3">
        <f t="shared" si="434"/>
        <v>6190210.0960144103</v>
      </c>
      <c r="H432" s="3">
        <f t="shared" si="434"/>
        <v>10000000000000</v>
      </c>
      <c r="I432" s="109">
        <f>Comparison!AL31</f>
        <v>10000000000000</v>
      </c>
      <c r="J432" s="3">
        <f>Comparison!AM31</f>
        <v>3068.1804215620291</v>
      </c>
      <c r="K432" s="3">
        <f>Comparison!AN31</f>
        <v>2150.3686174171794</v>
      </c>
      <c r="L432" s="3">
        <f>Comparison!AO31</f>
        <v>1488.4468583518017</v>
      </c>
      <c r="M432" s="3">
        <f>Comparison!AP31</f>
        <v>805.95331833639966</v>
      </c>
      <c r="N432" s="3">
        <f>Comparison!AQ31</f>
        <v>323.52349101295181</v>
      </c>
      <c r="O432" s="3">
        <f>Comparison!AR31</f>
        <v>225.23832209445587</v>
      </c>
      <c r="P432" s="3">
        <f>Comparison!AS31</f>
        <v>225.28846256587596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8.7573989459680444E-13</v>
      </c>
      <c r="C433" s="3">
        <f t="shared" si="434"/>
        <v>1.0514778689420053E-7</v>
      </c>
      <c r="D433" s="3">
        <f t="shared" si="434"/>
        <v>8.2594354388362625E-5</v>
      </c>
      <c r="E433" s="3">
        <f t="shared" si="434"/>
        <v>1.0361750775812965E-2</v>
      </c>
      <c r="F433" s="3">
        <f t="shared" si="434"/>
        <v>6.9251632462746837</v>
      </c>
      <c r="G433" s="3">
        <f t="shared" si="434"/>
        <v>61902100.960144103</v>
      </c>
      <c r="H433" s="3">
        <f t="shared" si="434"/>
        <v>100000000000000</v>
      </c>
      <c r="I433" s="109">
        <f>Comparison!AL32</f>
        <v>100000000000000</v>
      </c>
      <c r="J433" s="3">
        <f>Comparison!AM32</f>
        <v>2915.919267959634</v>
      </c>
      <c r="K433" s="3">
        <f>Comparison!AN32</f>
        <v>1940.5173332718871</v>
      </c>
      <c r="L433" s="3">
        <f>Comparison!AO32</f>
        <v>1185.6745633902476</v>
      </c>
      <c r="M433" s="3">
        <f>Comparison!AP32</f>
        <v>565.79561192848462</v>
      </c>
      <c r="N433" s="3">
        <f>Comparison!AQ32</f>
        <v>284.35137217816799</v>
      </c>
      <c r="O433" s="3">
        <f>Comparison!AR32</f>
        <v>225.13655271656646</v>
      </c>
      <c r="P433" s="3">
        <f>Comparison!AS32</f>
        <v>225.26138301118297</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8.7573989459680438E-12</v>
      </c>
      <c r="C434" s="3">
        <f t="shared" si="434"/>
        <v>1.0514778689420052E-6</v>
      </c>
      <c r="D434" s="3">
        <f t="shared" si="434"/>
        <v>8.2594354388362617E-4</v>
      </c>
      <c r="E434" s="3">
        <f t="shared" si="434"/>
        <v>0.10361750775812965</v>
      </c>
      <c r="F434" s="3">
        <f t="shared" si="434"/>
        <v>69.251632462746841</v>
      </c>
      <c r="G434" s="3">
        <f t="shared" si="434"/>
        <v>619021009.60144103</v>
      </c>
      <c r="H434" s="3">
        <f t="shared" si="434"/>
        <v>1000000000000000</v>
      </c>
      <c r="I434" s="109">
        <f>Comparison!AL33</f>
        <v>1000000000000000</v>
      </c>
      <c r="J434" s="3">
        <f>Comparison!AM33</f>
        <v>2771.0117587804812</v>
      </c>
      <c r="K434" s="3">
        <f>Comparison!AN33</f>
        <v>1703.202634105066</v>
      </c>
      <c r="L434" s="3">
        <f>Comparison!AO33</f>
        <v>877.46280556758461</v>
      </c>
      <c r="M434" s="3">
        <f>Comparison!AP33</f>
        <v>408.65393596789795</v>
      </c>
      <c r="N434" s="3">
        <f>Comparison!AQ33</f>
        <v>264.92729834801332</v>
      </c>
      <c r="O434" s="3">
        <f>Comparison!AR33</f>
        <v>225.03956034728361</v>
      </c>
      <c r="P434" s="3">
        <f>Comparison!AS33</f>
        <v>225.24704548920718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-59.999898573957836</v>
      </c>
      <c r="M1" s="54">
        <v>1</v>
      </c>
      <c r="N1" s="56">
        <f>INDEX($H$217:$P$217,1,Q1)</f>
        <v>0.40784438600362422</v>
      </c>
      <c r="O1" s="11"/>
      <c r="P1" s="55">
        <v>1</v>
      </c>
      <c r="Q1" s="11">
        <v>2</v>
      </c>
    </row>
    <row r="2" spans="1:17" x14ac:dyDescent="0.25">
      <c r="A2" s="11">
        <f>'Mastercurve bestimmen'!M119</f>
        <v>0</v>
      </c>
      <c r="B2" s="11">
        <f>'Mastercurve bestimmen'!N119</f>
        <v>-48.304090284066596</v>
      </c>
      <c r="M2" s="54">
        <v>2</v>
      </c>
      <c r="N2" s="56">
        <f t="shared" ref="N2:N9" si="0">INDEX($H$217:$P$217,1,Q2)</f>
        <v>-8.0230319688245487E-4</v>
      </c>
      <c r="O2" s="11"/>
      <c r="P2" s="55">
        <v>2</v>
      </c>
      <c r="Q2" s="11">
        <f>Q1+1</f>
        <v>3</v>
      </c>
    </row>
    <row r="3" spans="1:17" x14ac:dyDescent="0.25">
      <c r="A3" s="11">
        <f>'Mastercurve bestimmen'!M120</f>
        <v>25</v>
      </c>
      <c r="B3" s="11">
        <f>'Mastercurve bestimmen'!N120</f>
        <v>-41.637760530499037</v>
      </c>
      <c r="M3" s="54">
        <v>3</v>
      </c>
      <c r="N3" s="56">
        <f t="shared" si="0"/>
        <v>-5.9468083525383604E-5</v>
      </c>
      <c r="O3" s="11"/>
      <c r="P3" s="55">
        <v>3</v>
      </c>
      <c r="Q3" s="11">
        <f t="shared" ref="Q3:Q8" si="1">Q2+1</f>
        <v>4</v>
      </c>
    </row>
    <row r="4" spans="1:17" x14ac:dyDescent="0.25">
      <c r="A4" s="11">
        <f>'Mastercurve bestimmen'!M121</f>
        <v>50</v>
      </c>
      <c r="B4" s="11">
        <f>'Mastercurve bestimmen'!N121</f>
        <v>-36.805825364540944</v>
      </c>
      <c r="M4" s="54">
        <v>4</v>
      </c>
      <c r="N4" s="56">
        <f t="shared" si="0"/>
        <v>-1.8539074122763565E-6</v>
      </c>
      <c r="O4" s="11"/>
      <c r="P4" s="55">
        <v>4</v>
      </c>
      <c r="Q4" s="11">
        <f t="shared" si="1"/>
        <v>5</v>
      </c>
    </row>
    <row r="5" spans="1:17" x14ac:dyDescent="0.25">
      <c r="A5" s="11">
        <f>'Mastercurve bestimmen'!M122</f>
        <v>80</v>
      </c>
      <c r="B5" s="11">
        <f>'Mastercurve bestimmen'!N122</f>
        <v>-30.301029676651819</v>
      </c>
      <c r="M5" s="54">
        <v>5</v>
      </c>
      <c r="N5" s="56">
        <f t="shared" si="0"/>
        <v>-3.0054609767946518E-8</v>
      </c>
      <c r="O5" s="11"/>
      <c r="P5" s="55">
        <v>5</v>
      </c>
      <c r="Q5" s="11">
        <f t="shared" si="1"/>
        <v>6</v>
      </c>
    </row>
    <row r="6" spans="1:17" x14ac:dyDescent="0.25">
      <c r="A6" s="11">
        <f>'Mastercurve bestimmen'!M123</f>
        <v>125</v>
      </c>
      <c r="B6" s="11">
        <f>'Mastercurve bestimmen'!N123</f>
        <v>-14.29512662364</v>
      </c>
      <c r="M6" s="54">
        <v>6</v>
      </c>
      <c r="N6" s="56">
        <f t="shared" si="0"/>
        <v>-2.3493969848766339E-10</v>
      </c>
      <c r="O6" s="11"/>
      <c r="P6" s="55">
        <v>6</v>
      </c>
      <c r="Q6" s="11">
        <f t="shared" si="1"/>
        <v>7</v>
      </c>
    </row>
    <row r="7" spans="1:17" x14ac:dyDescent="0.25">
      <c r="A7" s="11">
        <f>'Mastercurve bestimmen'!M124</f>
        <v>160</v>
      </c>
      <c r="B7" s="11">
        <f>'Mastercurve bestimmen'!N124</f>
        <v>0</v>
      </c>
      <c r="M7" s="54">
        <v>7</v>
      </c>
      <c r="N7" s="56">
        <f t="shared" si="0"/>
        <v>-8.6166967223073201E-13</v>
      </c>
      <c r="O7" s="11"/>
      <c r="P7" s="55">
        <v>7</v>
      </c>
      <c r="Q7" s="11">
        <f t="shared" si="1"/>
        <v>8</v>
      </c>
    </row>
    <row r="8" spans="1:17" x14ac:dyDescent="0.25">
      <c r="A8" s="11"/>
      <c r="B8" s="11"/>
      <c r="M8" s="54">
        <v>8</v>
      </c>
      <c r="N8" s="56">
        <f t="shared" si="0"/>
        <v>-1.1978411640393912E-15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-59.999898573957836</v>
      </c>
      <c r="E15" s="11">
        <f>A15-'Mastercurve bestimmen'!$B$2</f>
        <v>-200</v>
      </c>
      <c r="F15" s="11">
        <f>B15</f>
        <v>-59.999898573957836</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-59.784409105699012</v>
      </c>
      <c r="E16" s="11">
        <f>A16-'Mastercurve bestimmen'!$B$2</f>
        <v>-199</v>
      </c>
      <c r="F16" s="11">
        <f t="shared" ref="F16:F79" si="4">B16</f>
        <v>-59.784409105699012</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-59.568631060558445</v>
      </c>
      <c r="E17" s="11">
        <f>A17-'Mastercurve bestimmen'!$B$2</f>
        <v>-198</v>
      </c>
      <c r="F17" s="11">
        <f t="shared" si="4"/>
        <v>-59.568631060558445</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-59.352275861654348</v>
      </c>
      <c r="E18" s="11">
        <f>A18-'Mastercurve bestimmen'!$B$2</f>
        <v>-197</v>
      </c>
      <c r="F18" s="11">
        <f t="shared" si="4"/>
        <v>-59.352275861654348</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-59.135054932104978</v>
      </c>
      <c r="E19" s="11">
        <f>A19-'Mastercurve bestimmen'!$B$2</f>
        <v>-196</v>
      </c>
      <c r="F19" s="11">
        <f t="shared" si="4"/>
        <v>-59.135054932104978</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-58.916679695028577</v>
      </c>
      <c r="E20" s="11">
        <f>A20-'Mastercurve bestimmen'!$B$2</f>
        <v>-195</v>
      </c>
      <c r="F20" s="11">
        <f t="shared" si="4"/>
        <v>-58.916679695028577</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-58.696861573543401</v>
      </c>
      <c r="E21" s="11">
        <f>A21-'Mastercurve bestimmen'!$B$2</f>
        <v>-194</v>
      </c>
      <c r="F21" s="11">
        <f t="shared" si="4"/>
        <v>-58.696861573543401</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-58.475311990767658</v>
      </c>
      <c r="E22" s="11">
        <f>A22-'Mastercurve bestimmen'!$B$2</f>
        <v>-193</v>
      </c>
      <c r="F22" s="11">
        <f t="shared" si="4"/>
        <v>-58.475311990767658</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-58.251742369819617</v>
      </c>
      <c r="E23" s="11">
        <f>A23-'Mastercurve bestimmen'!$B$2</f>
        <v>-192</v>
      </c>
      <c r="F23" s="11">
        <f t="shared" si="4"/>
        <v>-58.251742369819617</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-58.025864133817521</v>
      </c>
      <c r="E24" s="11">
        <f>A24-'Mastercurve bestimmen'!$B$2</f>
        <v>-191</v>
      </c>
      <c r="F24" s="11">
        <f t="shared" si="4"/>
        <v>-58.025864133817521</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-57.797388705879591</v>
      </c>
      <c r="E25" s="11">
        <f>A25-'Mastercurve bestimmen'!$B$2</f>
        <v>-190</v>
      </c>
      <c r="F25" s="11">
        <f t="shared" si="4"/>
        <v>-57.797388705879591</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-57.566027509124098</v>
      </c>
      <c r="E26" s="11">
        <f>A26-'Mastercurve bestimmen'!$B$2</f>
        <v>-189</v>
      </c>
      <c r="F26" s="11">
        <f t="shared" si="4"/>
        <v>-57.566027509124098</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-57.331491966669255</v>
      </c>
      <c r="E27" s="11">
        <f>A27-'Mastercurve bestimmen'!$B$2</f>
        <v>-188</v>
      </c>
      <c r="F27" s="11">
        <f t="shared" si="4"/>
        <v>-57.331491966669255</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-57.093493501633318</v>
      </c>
      <c r="E28" s="11">
        <f>A28-'Mastercurve bestimmen'!$B$2</f>
        <v>-187</v>
      </c>
      <c r="F28" s="11">
        <f t="shared" si="4"/>
        <v>-57.093493501633318</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-56.851743537134539</v>
      </c>
      <c r="E29" s="11">
        <f>A29-'Mastercurve bestimmen'!$B$2</f>
        <v>-186</v>
      </c>
      <c r="F29" s="11">
        <f t="shared" si="4"/>
        <v>-56.851743537134539</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-56.60595349629115</v>
      </c>
      <c r="E30" s="11">
        <f>A30-'Mastercurve bestimmen'!$B$2</f>
        <v>-185</v>
      </c>
      <c r="F30" s="11">
        <f t="shared" si="4"/>
        <v>-56.60595349629115</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-56.355834802221395</v>
      </c>
      <c r="E31" s="11">
        <f>A31-'Mastercurve bestimmen'!$B$2</f>
        <v>-184</v>
      </c>
      <c r="F31" s="11">
        <f t="shared" si="4"/>
        <v>-56.355834802221395</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-56.101098878043501</v>
      </c>
      <c r="E32" s="11">
        <f>A32-'Mastercurve bestimmen'!$B$2</f>
        <v>-183</v>
      </c>
      <c r="F32" s="11">
        <f t="shared" si="4"/>
        <v>-56.101098878043501</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-55.84145714687574</v>
      </c>
      <c r="E33" s="11">
        <f>A33-'Mastercurve bestimmen'!$B$2</f>
        <v>-182</v>
      </c>
      <c r="F33" s="11">
        <f t="shared" si="4"/>
        <v>-55.84145714687574</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-55.576621031836325</v>
      </c>
      <c r="E34" s="11">
        <f>A34-'Mastercurve bestimmen'!$B$2</f>
        <v>-181</v>
      </c>
      <c r="F34" s="11">
        <f t="shared" si="4"/>
        <v>-55.576621031836325</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-55.306301956043519</v>
      </c>
      <c r="E35" s="11">
        <f>A35-'Mastercurve bestimmen'!$B$2</f>
        <v>-180</v>
      </c>
      <c r="F35" s="11">
        <f t="shared" si="4"/>
        <v>-55.306301956043519</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-55.030211342615559</v>
      </c>
      <c r="E36" s="11">
        <f>A36-'Mastercurve bestimmen'!$B$2</f>
        <v>-179</v>
      </c>
      <c r="F36" s="11">
        <f t="shared" si="4"/>
        <v>-55.030211342615559</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-54.748060614670678</v>
      </c>
      <c r="E37" s="11">
        <f>A37-'Mastercurve bestimmen'!$B$2</f>
        <v>-178</v>
      </c>
      <c r="F37" s="11">
        <f t="shared" si="4"/>
        <v>-54.748060614670678</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-54.459561195327126</v>
      </c>
      <c r="E38" s="11">
        <f>A38-'Mastercurve bestimmen'!$B$2</f>
        <v>-177</v>
      </c>
      <c r="F38" s="11">
        <f t="shared" si="4"/>
        <v>-54.459561195327126</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-54.164424507703146</v>
      </c>
      <c r="E39" s="11">
        <f>A39-'Mastercurve bestimmen'!$B$2</f>
        <v>-176</v>
      </c>
      <c r="F39" s="11">
        <f t="shared" si="4"/>
        <v>-54.164424507703146</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-53.862361974916979</v>
      </c>
      <c r="E40" s="11">
        <f>A40-'Mastercurve bestimmen'!$B$2</f>
        <v>-175</v>
      </c>
      <c r="F40" s="11">
        <f t="shared" si="4"/>
        <v>-53.862361974916979</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-53.553085020086868</v>
      </c>
      <c r="E41" s="11">
        <f>A41-'Mastercurve bestimmen'!$B$2</f>
        <v>-174</v>
      </c>
      <c r="F41" s="11">
        <f t="shared" si="4"/>
        <v>-53.553085020086868</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-53.236305066331049</v>
      </c>
      <c r="E42" s="11">
        <f>A42-'Mastercurve bestimmen'!$B$2</f>
        <v>-173</v>
      </c>
      <c r="F42" s="11">
        <f t="shared" si="4"/>
        <v>-53.236305066331049</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-52.91173353676777</v>
      </c>
      <c r="E43" s="11">
        <f>A43-'Mastercurve bestimmen'!$B$2</f>
        <v>-172</v>
      </c>
      <c r="F43" s="11">
        <f t="shared" si="4"/>
        <v>-52.91173353676777</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-52.579081854515273</v>
      </c>
      <c r="E44" s="11">
        <f>A44-'Mastercurve bestimmen'!$B$2</f>
        <v>-171</v>
      </c>
      <c r="F44" s="11">
        <f t="shared" si="4"/>
        <v>-52.579081854515273</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-52.238061442691794</v>
      </c>
      <c r="E45" s="11">
        <f>A45-'Mastercurve bestimmen'!$B$2</f>
        <v>-170</v>
      </c>
      <c r="F45" s="11">
        <f t="shared" si="4"/>
        <v>-52.238061442691794</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-51.88838372441559</v>
      </c>
      <c r="E46" s="11">
        <f>A46-'Mastercurve bestimmen'!$B$2</f>
        <v>-169</v>
      </c>
      <c r="F46" s="11">
        <f t="shared" si="4"/>
        <v>-51.88838372441559</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-51.529760122804888</v>
      </c>
      <c r="E47" s="11">
        <f>A47-'Mastercurve bestimmen'!$B$2</f>
        <v>-168</v>
      </c>
      <c r="F47" s="11">
        <f t="shared" si="4"/>
        <v>-51.529760122804888</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-51.16190206097793</v>
      </c>
      <c r="E48" s="11">
        <f>A48-'Mastercurve bestimmen'!$B$2</f>
        <v>-167</v>
      </c>
      <c r="F48" s="11">
        <f t="shared" si="4"/>
        <v>-51.16190206097793</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-50.784520962052973</v>
      </c>
      <c r="E49" s="11">
        <f>A49-'Mastercurve bestimmen'!$B$2</f>
        <v>-166</v>
      </c>
      <c r="F49" s="11">
        <f t="shared" si="4"/>
        <v>-50.784520962052973</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-50.397328249148245</v>
      </c>
      <c r="E50" s="11">
        <f>A50-'Mastercurve bestimmen'!$B$2</f>
        <v>-165</v>
      </c>
      <c r="F50" s="11">
        <f t="shared" si="4"/>
        <v>-50.397328249148245</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-50.000035345381995</v>
      </c>
      <c r="E51" s="11">
        <f>A51-'Mastercurve bestimmen'!$B$2</f>
        <v>-164</v>
      </c>
      <c r="F51" s="11">
        <f t="shared" si="4"/>
        <v>-50.000035345381995</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-49.592353673872459</v>
      </c>
      <c r="E52" s="11">
        <f>A52-'Mastercurve bestimmen'!$B$2</f>
        <v>-163</v>
      </c>
      <c r="F52" s="11">
        <f t="shared" si="4"/>
        <v>-49.592353673872459</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-49.173994657737886</v>
      </c>
      <c r="E53" s="11">
        <f>A53-'Mastercurve bestimmen'!$B$2</f>
        <v>-162</v>
      </c>
      <c r="F53" s="11">
        <f t="shared" si="4"/>
        <v>-49.173994657737886</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-48.744669720096518</v>
      </c>
      <c r="E54" s="11">
        <f>A54-'Mastercurve bestimmen'!$B$2</f>
        <v>-161</v>
      </c>
      <c r="F54" s="11">
        <f t="shared" si="4"/>
        <v>-48.744669720096518</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-48.304090284066589</v>
      </c>
      <c r="E55" s="11">
        <f>A55-'Mastercurve bestimmen'!$B$2</f>
        <v>-160</v>
      </c>
      <c r="F55" s="11">
        <f t="shared" si="4"/>
        <v>-48.304090284066589</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-48.095893183428402</v>
      </c>
      <c r="E56" s="11">
        <f>A56-'Mastercurve bestimmen'!$B$2</f>
        <v>-159</v>
      </c>
      <c r="F56" s="11">
        <f t="shared" si="4"/>
        <v>-48.095893183428402</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-47.876922823036601</v>
      </c>
      <c r="E57" s="11">
        <f>A57-'Mastercurve bestimmen'!$B$2</f>
        <v>-158</v>
      </c>
      <c r="F57" s="11">
        <f t="shared" si="4"/>
        <v>-47.876922823036601</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-47.647949018407942</v>
      </c>
      <c r="E58" s="11">
        <f>A58-'Mastercurve bestimmen'!$B$2</f>
        <v>-157</v>
      </c>
      <c r="F58" s="11">
        <f t="shared" si="4"/>
        <v>-47.647949018407942</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-47.409741585059137</v>
      </c>
      <c r="E59" s="11">
        <f>A59-'Mastercurve bestimmen'!$B$2</f>
        <v>-156</v>
      </c>
      <c r="F59" s="11">
        <f t="shared" si="4"/>
        <v>-47.409741585059137</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-47.163070338506913</v>
      </c>
      <c r="E60" s="11">
        <f>A60-'Mastercurve bestimmen'!$B$2</f>
        <v>-155</v>
      </c>
      <c r="F60" s="11">
        <f t="shared" si="4"/>
        <v>-47.163070338506913</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-46.908705094268008</v>
      </c>
      <c r="E61" s="11">
        <f>A61-'Mastercurve bestimmen'!$B$2</f>
        <v>-154</v>
      </c>
      <c r="F61" s="11">
        <f t="shared" si="4"/>
        <v>-46.908705094268008</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-46.647415667859114</v>
      </c>
      <c r="E62" s="11">
        <f>A62-'Mastercurve bestimmen'!$B$2</f>
        <v>-153</v>
      </c>
      <c r="F62" s="11">
        <f t="shared" si="4"/>
        <v>-46.647415667859114</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-46.379971874796986</v>
      </c>
      <c r="E63" s="11">
        <f>A63-'Mastercurve bestimmen'!$B$2</f>
        <v>-152</v>
      </c>
      <c r="F63" s="11">
        <f t="shared" si="4"/>
        <v>-46.379971874796986</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-46.107143530598329</v>
      </c>
      <c r="E64" s="11">
        <f>A64-'Mastercurve bestimmen'!$B$2</f>
        <v>-151</v>
      </c>
      <c r="F64" s="11">
        <f t="shared" si="4"/>
        <v>-46.107143530598329</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-45.829700450779868</v>
      </c>
      <c r="E65" s="11">
        <f>A65-'Mastercurve bestimmen'!$B$2</f>
        <v>-150</v>
      </c>
      <c r="F65" s="11">
        <f t="shared" si="4"/>
        <v>-45.829700450779868</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-45.548412450858336</v>
      </c>
      <c r="E66" s="11">
        <f>A66-'Mastercurve bestimmen'!$B$2</f>
        <v>-149</v>
      </c>
      <c r="F66" s="11">
        <f t="shared" si="4"/>
        <v>-45.548412450858336</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-45.264049346350447</v>
      </c>
      <c r="E67" s="11">
        <f>A67-'Mastercurve bestimmen'!$B$2</f>
        <v>-148</v>
      </c>
      <c r="F67" s="11">
        <f t="shared" si="4"/>
        <v>-45.264049346350447</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-44.977380952772933</v>
      </c>
      <c r="E68" s="11">
        <f>A68-'Mastercurve bestimmen'!$B$2</f>
        <v>-147</v>
      </c>
      <c r="F68" s="11">
        <f t="shared" si="4"/>
        <v>-44.977380952772933</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-44.689177085642505</v>
      </c>
      <c r="E69" s="11">
        <f>A69-'Mastercurve bestimmen'!$B$2</f>
        <v>-146</v>
      </c>
      <c r="F69" s="11">
        <f t="shared" si="4"/>
        <v>-44.689177085642505</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-44.400207560475906</v>
      </c>
      <c r="E70" s="11">
        <f>A70-'Mastercurve bestimmen'!$B$2</f>
        <v>-145</v>
      </c>
      <c r="F70" s="11">
        <f t="shared" si="4"/>
        <v>-44.400207560475906</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-44.111242192789838</v>
      </c>
      <c r="E71" s="11">
        <f>A71-'Mastercurve bestimmen'!$B$2</f>
        <v>-144</v>
      </c>
      <c r="F71" s="11">
        <f t="shared" si="4"/>
        <v>-44.111242192789838</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-43.823050798101043</v>
      </c>
      <c r="E72" s="11">
        <f>A72-'Mastercurve bestimmen'!$B$2</f>
        <v>-143</v>
      </c>
      <c r="F72" s="11">
        <f t="shared" si="4"/>
        <v>-43.823050798101043</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-43.536403191926233</v>
      </c>
      <c r="E73" s="11">
        <f>A73-'Mastercurve bestimmen'!$B$2</f>
        <v>-142</v>
      </c>
      <c r="F73" s="11">
        <f t="shared" si="4"/>
        <v>-43.536403191926233</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-43.252069189782134</v>
      </c>
      <c r="E74" s="11">
        <f>A74-'Mastercurve bestimmen'!$B$2</f>
        <v>-141</v>
      </c>
      <c r="F74" s="11">
        <f t="shared" si="4"/>
        <v>-43.252069189782134</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-42.970818607185478</v>
      </c>
      <c r="E75" s="11">
        <f>A75-'Mastercurve bestimmen'!$B$2</f>
        <v>-140</v>
      </c>
      <c r="F75" s="11">
        <f t="shared" si="4"/>
        <v>-42.970818607185478</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-42.693421259652972</v>
      </c>
      <c r="E76" s="11">
        <f>A76-'Mastercurve bestimmen'!$B$2</f>
        <v>-139</v>
      </c>
      <c r="F76" s="11">
        <f t="shared" si="4"/>
        <v>-42.693421259652972</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-42.420646962701355</v>
      </c>
      <c r="E77" s="11">
        <f>A77-'Mastercurve bestimmen'!$B$2</f>
        <v>-138</v>
      </c>
      <c r="F77" s="11">
        <f t="shared" si="4"/>
        <v>-42.420646962701355</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-42.153265531847346</v>
      </c>
      <c r="E78" s="11">
        <f>A78-'Mastercurve bestimmen'!$B$2</f>
        <v>-137</v>
      </c>
      <c r="F78" s="11">
        <f t="shared" si="4"/>
        <v>-42.153265531847346</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-41.892046782607665</v>
      </c>
      <c r="E79" s="11">
        <f>A79-'Mastercurve bestimmen'!$B$2</f>
        <v>-136</v>
      </c>
      <c r="F79" s="11">
        <f t="shared" si="4"/>
        <v>-41.892046782607665</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-41.637760530499037</v>
      </c>
      <c r="E80" s="11">
        <f>A80-'Mastercurve bestimmen'!$B$2</f>
        <v>-135</v>
      </c>
      <c r="F80" s="11">
        <f t="shared" ref="F80:F143" si="10">B80</f>
        <v>-41.637760530499037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-41.390985899785889</v>
      </c>
      <c r="E81" s="11">
        <f>A81-'Mastercurve bestimmen'!$B$2</f>
        <v>-134</v>
      </c>
      <c r="F81" s="11">
        <f t="shared" si="10"/>
        <v>-41.390985899785889</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-41.151539249723406</v>
      </c>
      <c r="E82" s="11">
        <f>A82-'Mastercurve bestimmen'!$B$2</f>
        <v>-133</v>
      </c>
      <c r="F82" s="11">
        <f t="shared" si="10"/>
        <v>-41.151539249723406</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-40.919046248314508</v>
      </c>
      <c r="E83" s="11">
        <f>A83-'Mastercurve bestimmen'!$B$2</f>
        <v>-132</v>
      </c>
      <c r="F83" s="11">
        <f t="shared" si="10"/>
        <v>-40.919046248314508</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-40.693132563562081</v>
      </c>
      <c r="E84" s="11">
        <f>A84-'Mastercurve bestimmen'!$B$2</f>
        <v>-131</v>
      </c>
      <c r="F84" s="11">
        <f t="shared" si="10"/>
        <v>-40.693132563562081</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-40.473423863469037</v>
      </c>
      <c r="E85" s="11">
        <f>A85-'Mastercurve bestimmen'!$B$2</f>
        <v>-130</v>
      </c>
      <c r="F85" s="11">
        <f t="shared" si="10"/>
        <v>-40.473423863469037</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-40.259545816038255</v>
      </c>
      <c r="E86" s="11">
        <f>A86-'Mastercurve bestimmen'!$B$2</f>
        <v>-129</v>
      </c>
      <c r="F86" s="11">
        <f t="shared" si="10"/>
        <v>-40.259545816038255</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-40.051124089272648</v>
      </c>
      <c r="E87" s="11">
        <f>A87-'Mastercurve bestimmen'!$B$2</f>
        <v>-128</v>
      </c>
      <c r="F87" s="11">
        <f t="shared" si="10"/>
        <v>-40.051124089272648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-39.847784351175115</v>
      </c>
      <c r="E88" s="11">
        <f>A88-'Mastercurve bestimmen'!$B$2</f>
        <v>-127</v>
      </c>
      <c r="F88" s="11">
        <f t="shared" si="10"/>
        <v>-39.847784351175115</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-39.649152269748548</v>
      </c>
      <c r="E89" s="11">
        <f>A89-'Mastercurve bestimmen'!$B$2</f>
        <v>-126</v>
      </c>
      <c r="F89" s="11">
        <f t="shared" si="10"/>
        <v>-39.649152269748548</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-39.454853512995847</v>
      </c>
      <c r="E90" s="11">
        <f>A90-'Mastercurve bestimmen'!$B$2</f>
        <v>-125</v>
      </c>
      <c r="F90" s="11">
        <f t="shared" si="10"/>
        <v>-39.454853512995847</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-39.264513748919924</v>
      </c>
      <c r="E91" s="11">
        <f>A91-'Mastercurve bestimmen'!$B$2</f>
        <v>-124</v>
      </c>
      <c r="F91" s="11">
        <f t="shared" si="10"/>
        <v>-39.264513748919924</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-39.077758645523659</v>
      </c>
      <c r="E92" s="11">
        <f>A92-'Mastercurve bestimmen'!$B$2</f>
        <v>-123</v>
      </c>
      <c r="F92" s="11">
        <f t="shared" si="10"/>
        <v>-39.077758645523659</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-38.894213870809963</v>
      </c>
      <c r="E93" s="11">
        <f>A93-'Mastercurve bestimmen'!$B$2</f>
        <v>-122</v>
      </c>
      <c r="F93" s="11">
        <f t="shared" si="10"/>
        <v>-38.894213870809963</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-38.71350509278173</v>
      </c>
      <c r="E94" s="11">
        <f>A94-'Mastercurve bestimmen'!$B$2</f>
        <v>-121</v>
      </c>
      <c r="F94" s="11">
        <f t="shared" si="10"/>
        <v>-38.71350509278173</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-38.535257979441866</v>
      </c>
      <c r="E95" s="11">
        <f>A95-'Mastercurve bestimmen'!$B$2</f>
        <v>-120</v>
      </c>
      <c r="F95" s="11">
        <f t="shared" si="10"/>
        <v>-38.535257979441866</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-38.359098198793255</v>
      </c>
      <c r="E96" s="11">
        <f>A96-'Mastercurve bestimmen'!$B$2</f>
        <v>-119</v>
      </c>
      <c r="F96" s="11">
        <f t="shared" si="10"/>
        <v>-38.359098198793255</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-38.184651418838811</v>
      </c>
      <c r="E97" s="11">
        <f>A97-'Mastercurve bestimmen'!$B$2</f>
        <v>-118</v>
      </c>
      <c r="F97" s="11">
        <f t="shared" si="10"/>
        <v>-38.184651418838811</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-38.01154330758142</v>
      </c>
      <c r="E98" s="11">
        <f>A98-'Mastercurve bestimmen'!$B$2</f>
        <v>-117</v>
      </c>
      <c r="F98" s="11">
        <f t="shared" si="10"/>
        <v>-38.01154330758142</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-37.839399533024</v>
      </c>
      <c r="E99" s="11">
        <f>A99-'Mastercurve bestimmen'!$B$2</f>
        <v>-116</v>
      </c>
      <c r="F99" s="11">
        <f t="shared" si="10"/>
        <v>-37.839399533024</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-37.667845763169431</v>
      </c>
      <c r="E100" s="11">
        <f>A100-'Mastercurve bestimmen'!$B$2</f>
        <v>-115</v>
      </c>
      <c r="F100" s="11">
        <f t="shared" si="10"/>
        <v>-37.667845763169431</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-37.496507666020626</v>
      </c>
      <c r="E101" s="11">
        <f>A101-'Mastercurve bestimmen'!$B$2</f>
        <v>-114</v>
      </c>
      <c r="F101" s="11">
        <f t="shared" si="10"/>
        <v>-37.496507666020626</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-37.325010909580477</v>
      </c>
      <c r="E102" s="11">
        <f>A102-'Mastercurve bestimmen'!$B$2</f>
        <v>-113</v>
      </c>
      <c r="F102" s="11">
        <f t="shared" si="10"/>
        <v>-37.325010909580477</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-37.152981161851876</v>
      </c>
      <c r="E103" s="11">
        <f>A103-'Mastercurve bestimmen'!$B$2</f>
        <v>-112</v>
      </c>
      <c r="F103" s="11">
        <f t="shared" si="10"/>
        <v>-37.152981161851876</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-36.980044090837737</v>
      </c>
      <c r="E104" s="11">
        <f>A104-'Mastercurve bestimmen'!$B$2</f>
        <v>-111</v>
      </c>
      <c r="F104" s="11">
        <f t="shared" si="10"/>
        <v>-36.980044090837737</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-36.805825364540944</v>
      </c>
      <c r="E105" s="11">
        <f>A105-'Mastercurve bestimmen'!$B$2</f>
        <v>-110</v>
      </c>
      <c r="F105" s="11">
        <f t="shared" si="10"/>
        <v>-36.805825364540944</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-36.629994148094525</v>
      </c>
      <c r="E106" s="11">
        <f>A106-'Mastercurve bestimmen'!$B$2</f>
        <v>-109</v>
      </c>
      <c r="F106" s="11">
        <f t="shared" si="10"/>
        <v>-36.629994148094525</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-36.452393595151939</v>
      </c>
      <c r="E107" s="11">
        <f>A107-'Mastercurve bestimmen'!$B$2</f>
        <v>-108</v>
      </c>
      <c r="F107" s="11">
        <f t="shared" si="10"/>
        <v>-36.452393595151939</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-36.272910356496759</v>
      </c>
      <c r="E108" s="11">
        <f>A108-'Mastercurve bestimmen'!$B$2</f>
        <v>-107</v>
      </c>
      <c r="F108" s="11">
        <f t="shared" si="10"/>
        <v>-36.272910356496759</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-36.091431082912571</v>
      </c>
      <c r="E109" s="11">
        <f>A109-'Mastercurve bestimmen'!$B$2</f>
        <v>-106</v>
      </c>
      <c r="F109" s="11">
        <f t="shared" si="10"/>
        <v>-36.091431082912571</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-35.907842425182963</v>
      </c>
      <c r="E110" s="11">
        <f>A110-'Mastercurve bestimmen'!$B$2</f>
        <v>-105</v>
      </c>
      <c r="F110" s="11">
        <f t="shared" si="10"/>
        <v>-35.907842425182963</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-35.722031034091515</v>
      </c>
      <c r="E111" s="11">
        <f>A111-'Mastercurve bestimmen'!$B$2</f>
        <v>-104</v>
      </c>
      <c r="F111" s="11">
        <f t="shared" si="10"/>
        <v>-35.722031034091515</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-35.533883560421785</v>
      </c>
      <c r="E112" s="11">
        <f>A112-'Mastercurve bestimmen'!$B$2</f>
        <v>-103</v>
      </c>
      <c r="F112" s="11">
        <f t="shared" si="10"/>
        <v>-35.533883560421785</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-35.343286654957382</v>
      </c>
      <c r="E113" s="11">
        <f>A113-'Mastercurve bestimmen'!$B$2</f>
        <v>-102</v>
      </c>
      <c r="F113" s="11">
        <f t="shared" si="10"/>
        <v>-35.343286654957382</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-35.150126968481871</v>
      </c>
      <c r="E114" s="11">
        <f>A114-'Mastercurve bestimmen'!$B$2</f>
        <v>-101</v>
      </c>
      <c r="F114" s="11">
        <f t="shared" si="10"/>
        <v>-35.150126968481871</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-34.95429115177884</v>
      </c>
      <c r="E115" s="11">
        <f>A115-'Mastercurve bestimmen'!$B$2</f>
        <v>-100</v>
      </c>
      <c r="F115" s="11">
        <f t="shared" si="10"/>
        <v>-34.95429115177884</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-34.755665855631861</v>
      </c>
      <c r="E116" s="11">
        <f>A116-'Mastercurve bestimmen'!$B$2</f>
        <v>-99</v>
      </c>
      <c r="F116" s="11">
        <f t="shared" si="10"/>
        <v>-34.755665855631861</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-34.554137730824522</v>
      </c>
      <c r="E117" s="11">
        <f>A117-'Mastercurve bestimmen'!$B$2</f>
        <v>-98</v>
      </c>
      <c r="F117" s="11">
        <f t="shared" si="10"/>
        <v>-34.554137730824522</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-34.349593428140395</v>
      </c>
      <c r="E118" s="11">
        <f>A118-'Mastercurve bestimmen'!$B$2</f>
        <v>-97</v>
      </c>
      <c r="F118" s="11">
        <f t="shared" si="10"/>
        <v>-34.349593428140395</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-34.141919598363067</v>
      </c>
      <c r="E119" s="11">
        <f>A119-'Mastercurve bestimmen'!$B$2</f>
        <v>-96</v>
      </c>
      <c r="F119" s="11">
        <f t="shared" si="10"/>
        <v>-34.141919598363067</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-33.931002892276119</v>
      </c>
      <c r="E120" s="11">
        <f>A120-'Mastercurve bestimmen'!$B$2</f>
        <v>-95</v>
      </c>
      <c r="F120" s="11">
        <f t="shared" si="10"/>
        <v>-33.931002892276119</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-33.71672996066313</v>
      </c>
      <c r="E121" s="11">
        <f>A121-'Mastercurve bestimmen'!$B$2</f>
        <v>-94</v>
      </c>
      <c r="F121" s="11">
        <f t="shared" si="10"/>
        <v>-33.71672996066313</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-33.498987454307674</v>
      </c>
      <c r="E122" s="11">
        <f>A122-'Mastercurve bestimmen'!$B$2</f>
        <v>-93</v>
      </c>
      <c r="F122" s="11">
        <f t="shared" si="10"/>
        <v>-33.498987454307674</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-33.277662023993337</v>
      </c>
      <c r="E123" s="11">
        <f>A123-'Mastercurve bestimmen'!$B$2</f>
        <v>-92</v>
      </c>
      <c r="F123" s="11">
        <f t="shared" si="10"/>
        <v>-33.277662023993337</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-33.052640320503698</v>
      </c>
      <c r="E124" s="11">
        <f>A124-'Mastercurve bestimmen'!$B$2</f>
        <v>-91</v>
      </c>
      <c r="F124" s="11">
        <f t="shared" si="10"/>
        <v>-33.052640320503698</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-32.82380899462234</v>
      </c>
      <c r="E125" s="11">
        <f>A125-'Mastercurve bestimmen'!$B$2</f>
        <v>-90</v>
      </c>
      <c r="F125" s="11">
        <f t="shared" si="10"/>
        <v>-32.82380899462234</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-32.591054697132847</v>
      </c>
      <c r="E126" s="11">
        <f>A126-'Mastercurve bestimmen'!$B$2</f>
        <v>-89</v>
      </c>
      <c r="F126" s="11">
        <f t="shared" si="10"/>
        <v>-32.591054697132847</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-32.354264078818787</v>
      </c>
      <c r="E127" s="11">
        <f>A127-'Mastercurve bestimmen'!$B$2</f>
        <v>-88</v>
      </c>
      <c r="F127" s="11">
        <f t="shared" si="10"/>
        <v>-32.354264078818787</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-32.113323790463753</v>
      </c>
      <c r="E128" s="11">
        <f>A128-'Mastercurve bestimmen'!$B$2</f>
        <v>-87</v>
      </c>
      <c r="F128" s="11">
        <f t="shared" si="10"/>
        <v>-32.113323790463753</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-31.868120482851317</v>
      </c>
      <c r="E129" s="11">
        <f>A129-'Mastercurve bestimmen'!$B$2</f>
        <v>-86</v>
      </c>
      <c r="F129" s="11">
        <f t="shared" si="10"/>
        <v>-31.868120482851317</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-31.618540806765061</v>
      </c>
      <c r="E130" s="11">
        <f>A130-'Mastercurve bestimmen'!$B$2</f>
        <v>-85</v>
      </c>
      <c r="F130" s="11">
        <f t="shared" si="10"/>
        <v>-31.618540806765061</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-31.364471412988568</v>
      </c>
      <c r="E131" s="11">
        <f>A131-'Mastercurve bestimmen'!$B$2</f>
        <v>-84</v>
      </c>
      <c r="F131" s="11">
        <f t="shared" si="10"/>
        <v>-31.364471412988568</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-31.105798952305413</v>
      </c>
      <c r="E132" s="11">
        <f>A132-'Mastercurve bestimmen'!$B$2</f>
        <v>-83</v>
      </c>
      <c r="F132" s="11">
        <f t="shared" si="10"/>
        <v>-31.105798952305413</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-30.842410075499188</v>
      </c>
      <c r="E133" s="11">
        <f>A133-'Mastercurve bestimmen'!$B$2</f>
        <v>-82</v>
      </c>
      <c r="F133" s="11">
        <f t="shared" si="10"/>
        <v>-30.842410075499188</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-30.574191433353459</v>
      </c>
      <c r="E134" s="11">
        <f>A134-'Mastercurve bestimmen'!$B$2</f>
        <v>-81</v>
      </c>
      <c r="F134" s="11">
        <f t="shared" si="10"/>
        <v>-30.574191433353459</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-30.301029676651815</v>
      </c>
      <c r="E135" s="11">
        <f>A135-'Mastercurve bestimmen'!$B$2</f>
        <v>-80</v>
      </c>
      <c r="F135" s="11">
        <f t="shared" si="10"/>
        <v>-30.301029676651815</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-30.022847016749672</v>
      </c>
      <c r="E136" s="11">
        <f>A136-'Mastercurve bestimmen'!$B$2</f>
        <v>-79</v>
      </c>
      <c r="F136" s="11">
        <f t="shared" si="10"/>
        <v>-30.022847016749672</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-29.739707907289755</v>
      </c>
      <c r="E137" s="11">
        <f>A137-'Mastercurve bestimmen'!$B$2</f>
        <v>-78</v>
      </c>
      <c r="F137" s="11">
        <f t="shared" si="10"/>
        <v>-29.739707907289755</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-29.451712362486649</v>
      </c>
      <c r="E138" s="11">
        <f>A138-'Mastercurve bestimmen'!$B$2</f>
        <v>-77</v>
      </c>
      <c r="F138" s="11">
        <f t="shared" si="10"/>
        <v>-29.451712362486649</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-29.158960396554921</v>
      </c>
      <c r="E139" s="11">
        <f>A139-'Mastercurve bestimmen'!$B$2</f>
        <v>-76</v>
      </c>
      <c r="F139" s="11">
        <f t="shared" si="10"/>
        <v>-29.158960396554921</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-28.861552023709145</v>
      </c>
      <c r="E140" s="11">
        <f>A140-'Mastercurve bestimmen'!$B$2</f>
        <v>-75</v>
      </c>
      <c r="F140" s="11">
        <f t="shared" si="10"/>
        <v>-28.861552023709145</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-28.559587258163887</v>
      </c>
      <c r="E141" s="11">
        <f>A141-'Mastercurve bestimmen'!$B$2</f>
        <v>-74</v>
      </c>
      <c r="F141" s="11">
        <f t="shared" si="10"/>
        <v>-28.559587258163887</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-28.253166114133727</v>
      </c>
      <c r="E142" s="11">
        <f>A142-'Mastercurve bestimmen'!$B$2</f>
        <v>-73</v>
      </c>
      <c r="F142" s="11">
        <f t="shared" si="10"/>
        <v>-28.253166114133727</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-27.942388605833226</v>
      </c>
      <c r="E143" s="11">
        <f>A143-'Mastercurve bestimmen'!$B$2</f>
        <v>-72</v>
      </c>
      <c r="F143" s="11">
        <f t="shared" si="10"/>
        <v>-27.942388605833226</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-27.627354747476964</v>
      </c>
      <c r="E144" s="11">
        <f>A144-'Mastercurve bestimmen'!$B$2</f>
        <v>-71</v>
      </c>
      <c r="F144" s="11">
        <f t="shared" ref="F144:F207" si="15">B144</f>
        <v>-27.627354747476964</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-27.308164553279511</v>
      </c>
      <c r="E145" s="11">
        <f>A145-'Mastercurve bestimmen'!$B$2</f>
        <v>-70</v>
      </c>
      <c r="F145" s="11">
        <f t="shared" si="15"/>
        <v>-27.308164553279511</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-26.98491803745544</v>
      </c>
      <c r="E146" s="11">
        <f>A146-'Mastercurve bestimmen'!$B$2</f>
        <v>-69</v>
      </c>
      <c r="F146" s="11">
        <f t="shared" si="15"/>
        <v>-26.98491803745544</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-26.657715214219319</v>
      </c>
      <c r="E147" s="11">
        <f>A147-'Mastercurve bestimmen'!$B$2</f>
        <v>-68</v>
      </c>
      <c r="F147" s="11">
        <f t="shared" si="15"/>
        <v>-26.657715214219319</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-26.326656097785726</v>
      </c>
      <c r="E148" s="11">
        <f>A148-'Mastercurve bestimmen'!$B$2</f>
        <v>-67</v>
      </c>
      <c r="F148" s="11">
        <f t="shared" si="15"/>
        <v>-26.326656097785726</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-25.991840702369224</v>
      </c>
      <c r="E149" s="11">
        <f>A149-'Mastercurve bestimmen'!$B$2</f>
        <v>-66</v>
      </c>
      <c r="F149" s="11">
        <f t="shared" si="15"/>
        <v>-25.991840702369224</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-25.653369042184391</v>
      </c>
      <c r="E150" s="11">
        <f>A150-'Mastercurve bestimmen'!$B$2</f>
        <v>-65</v>
      </c>
      <c r="F150" s="11">
        <f t="shared" si="15"/>
        <v>-25.653369042184391</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-25.311341131445793</v>
      </c>
      <c r="E151" s="11">
        <f>A151-'Mastercurve bestimmen'!$B$2</f>
        <v>-64</v>
      </c>
      <c r="F151" s="11">
        <f t="shared" si="15"/>
        <v>-25.311341131445793</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-24.96585698436801</v>
      </c>
      <c r="E152" s="11">
        <f>A152-'Mastercurve bestimmen'!$B$2</f>
        <v>-63</v>
      </c>
      <c r="F152" s="11">
        <f t="shared" si="15"/>
        <v>-24.96585698436801</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-24.617016615165603</v>
      </c>
      <c r="E153" s="11">
        <f>A153-'Mastercurve bestimmen'!$B$2</f>
        <v>-62</v>
      </c>
      <c r="F153" s="11">
        <f t="shared" si="15"/>
        <v>-24.617016615165603</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-24.264920038053152</v>
      </c>
      <c r="E154" s="11">
        <f>A154-'Mastercurve bestimmen'!$B$2</f>
        <v>-61</v>
      </c>
      <c r="F154" s="11">
        <f t="shared" si="15"/>
        <v>-24.264920038053152</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-23.909667267245226</v>
      </c>
      <c r="E155" s="11">
        <f>A155-'Mastercurve bestimmen'!$B$2</f>
        <v>-60</v>
      </c>
      <c r="F155" s="11">
        <f t="shared" si="15"/>
        <v>-23.909667267245226</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-23.551358316956399</v>
      </c>
      <c r="E156" s="11">
        <f>A156-'Mastercurve bestimmen'!$B$2</f>
        <v>-59</v>
      </c>
      <c r="F156" s="11">
        <f t="shared" si="15"/>
        <v>-23.551358316956399</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-23.190093201401243</v>
      </c>
      <c r="E157" s="11">
        <f>A157-'Mastercurve bestimmen'!$B$2</f>
        <v>-58</v>
      </c>
      <c r="F157" s="11">
        <f t="shared" si="15"/>
        <v>-23.190093201401243</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-22.825971934794321</v>
      </c>
      <c r="E158" s="11">
        <f>A158-'Mastercurve bestimmen'!$B$2</f>
        <v>-57</v>
      </c>
      <c r="F158" s="11">
        <f t="shared" si="15"/>
        <v>-22.825971934794321</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-22.459094531350214</v>
      </c>
      <c r="E159" s="11">
        <f>A159-'Mastercurve bestimmen'!$B$2</f>
        <v>-56</v>
      </c>
      <c r="F159" s="11">
        <f t="shared" si="15"/>
        <v>-22.459094531350214</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-22.089561005283493</v>
      </c>
      <c r="E160" s="11">
        <f>A160-'Mastercurve bestimmen'!$B$2</f>
        <v>-55</v>
      </c>
      <c r="F160" s="11">
        <f t="shared" si="15"/>
        <v>-22.089561005283493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-21.717471370808724</v>
      </c>
      <c r="E161" s="11">
        <f>A161-'Mastercurve bestimmen'!$B$2</f>
        <v>-54</v>
      </c>
      <c r="F161" s="11">
        <f t="shared" si="15"/>
        <v>-21.717471370808724</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-21.342925642140482</v>
      </c>
      <c r="E162" s="11">
        <f>A162-'Mastercurve bestimmen'!$B$2</f>
        <v>-53</v>
      </c>
      <c r="F162" s="11">
        <f t="shared" si="15"/>
        <v>-21.342925642140482</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-20.966023833493338</v>
      </c>
      <c r="E163" s="11">
        <f>A163-'Mastercurve bestimmen'!$B$2</f>
        <v>-52</v>
      </c>
      <c r="F163" s="11">
        <f t="shared" si="15"/>
        <v>-20.966023833493338</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-20.586865959081869</v>
      </c>
      <c r="E164" s="11">
        <f>A164-'Mastercurve bestimmen'!$B$2</f>
        <v>-51</v>
      </c>
      <c r="F164" s="11">
        <f t="shared" si="15"/>
        <v>-20.586865959081869</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-20.20555203312064</v>
      </c>
      <c r="E165" s="11">
        <f>A165-'Mastercurve bestimmen'!$B$2</f>
        <v>-50</v>
      </c>
      <c r="F165" s="11">
        <f t="shared" si="15"/>
        <v>-20.20555203312064</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-19.822182069824226</v>
      </c>
      <c r="E166" s="11">
        <f>A166-'Mastercurve bestimmen'!$B$2</f>
        <v>-49</v>
      </c>
      <c r="F166" s="11">
        <f t="shared" si="15"/>
        <v>-19.822182069824226</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-19.436856083407193</v>
      </c>
      <c r="E167" s="11">
        <f>A167-'Mastercurve bestimmen'!$B$2</f>
        <v>-48</v>
      </c>
      <c r="F167" s="11">
        <f t="shared" si="15"/>
        <v>-19.436856083407193</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-19.049674088084121</v>
      </c>
      <c r="E168" s="11">
        <f>A168-'Mastercurve bestimmen'!$B$2</f>
        <v>-47</v>
      </c>
      <c r="F168" s="11">
        <f t="shared" si="15"/>
        <v>-19.049674088084121</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-18.660736098069577</v>
      </c>
      <c r="E169" s="11">
        <f>A169-'Mastercurve bestimmen'!$B$2</f>
        <v>-46</v>
      </c>
      <c r="F169" s="11">
        <f t="shared" si="15"/>
        <v>-18.660736098069577</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-18.270142127578133</v>
      </c>
      <c r="E170" s="11">
        <f>A170-'Mastercurve bestimmen'!$B$2</f>
        <v>-45</v>
      </c>
      <c r="F170" s="11">
        <f t="shared" si="15"/>
        <v>-18.270142127578133</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-17.877992190824362</v>
      </c>
      <c r="E171" s="11">
        <f>A171-'Mastercurve bestimmen'!$B$2</f>
        <v>-44</v>
      </c>
      <c r="F171" s="11">
        <f t="shared" si="15"/>
        <v>-17.877992190824362</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-17.484386302022834</v>
      </c>
      <c r="E172" s="11">
        <f>A172-'Mastercurve bestimmen'!$B$2</f>
        <v>-43</v>
      </c>
      <c r="F172" s="11">
        <f t="shared" si="15"/>
        <v>-17.484386302022834</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-17.089424475388125</v>
      </c>
      <c r="E173" s="11">
        <f>A173-'Mastercurve bestimmen'!$B$2</f>
        <v>-42</v>
      </c>
      <c r="F173" s="11">
        <f t="shared" si="15"/>
        <v>-17.089424475388125</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-16.6932067251348</v>
      </c>
      <c r="E174" s="11">
        <f>A174-'Mastercurve bestimmen'!$B$2</f>
        <v>-41</v>
      </c>
      <c r="F174" s="11">
        <f t="shared" si="15"/>
        <v>-16.6932067251348</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-16.295833065477435</v>
      </c>
      <c r="E175" s="11">
        <f>A175-'Mastercurve bestimmen'!$B$2</f>
        <v>-40</v>
      </c>
      <c r="F175" s="11">
        <f t="shared" si="15"/>
        <v>-16.295833065477435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-15.8974035106306</v>
      </c>
      <c r="E176" s="11">
        <f>A176-'Mastercurve bestimmen'!$B$2</f>
        <v>-39</v>
      </c>
      <c r="F176" s="11">
        <f t="shared" si="15"/>
        <v>-15.8974035106306</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-15.498018074808869</v>
      </c>
      <c r="E177" s="11">
        <f>A177-'Mastercurve bestimmen'!$B$2</f>
        <v>-38</v>
      </c>
      <c r="F177" s="11">
        <f t="shared" si="15"/>
        <v>-15.498018074808869</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-15.09777677222681</v>
      </c>
      <c r="E178" s="11">
        <f>A178-'Mastercurve bestimmen'!$B$2</f>
        <v>-37</v>
      </c>
      <c r="F178" s="11">
        <f t="shared" si="15"/>
        <v>-15.09777677222681</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-14.696779617098997</v>
      </c>
      <c r="E179" s="11">
        <f>A179-'Mastercurve bestimmen'!$B$2</f>
        <v>-36</v>
      </c>
      <c r="F179" s="11">
        <f t="shared" si="15"/>
        <v>-14.696779617098997</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-14.295126623640002</v>
      </c>
      <c r="E180" s="11">
        <f>A180-'Mastercurve bestimmen'!$B$2</f>
        <v>-35</v>
      </c>
      <c r="F180" s="11">
        <f t="shared" si="15"/>
        <v>-14.295126623640002</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-13.892903783810139</v>
      </c>
      <c r="E181" s="11">
        <f>A181-'Mastercurve bestimmen'!$B$2</f>
        <v>-34</v>
      </c>
      <c r="F181" s="11">
        <f t="shared" si="15"/>
        <v>-13.892903783810139</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-13.490141000552713</v>
      </c>
      <c r="E182" s="11">
        <f>A182-'Mastercurve bestimmen'!$B$2</f>
        <v>-33</v>
      </c>
      <c r="F182" s="11">
        <f t="shared" si="15"/>
        <v>-13.490141000552713</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-13.08685415455677</v>
      </c>
      <c r="E183" s="11">
        <f>A183-'Mastercurve bestimmen'!$B$2</f>
        <v>-32</v>
      </c>
      <c r="F183" s="11">
        <f t="shared" si="15"/>
        <v>-13.08685415455677</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-12.683059126511351</v>
      </c>
      <c r="E184" s="11">
        <f>A184-'Mastercurve bestimmen'!$B$2</f>
        <v>-31</v>
      </c>
      <c r="F184" s="11">
        <f t="shared" si="15"/>
        <v>-12.683059126511351</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-12.278771797105508</v>
      </c>
      <c r="E185" s="11">
        <f>A185-'Mastercurve bestimmen'!$B$2</f>
        <v>-30</v>
      </c>
      <c r="F185" s="11">
        <f t="shared" si="15"/>
        <v>-12.278771797105508</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-11.874008047028283</v>
      </c>
      <c r="E186" s="11">
        <f>A186-'Mastercurve bestimmen'!$B$2</f>
        <v>-29</v>
      </c>
      <c r="F186" s="11">
        <f t="shared" si="15"/>
        <v>-11.874008047028283</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-11.468783756968723</v>
      </c>
      <c r="E187" s="11">
        <f>A187-'Mastercurve bestimmen'!$B$2</f>
        <v>-28</v>
      </c>
      <c r="F187" s="11">
        <f t="shared" si="15"/>
        <v>-11.468783756968723</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-11.063114807615875</v>
      </c>
      <c r="E188" s="11">
        <f>A188-'Mastercurve bestimmen'!$B$2</f>
        <v>-27</v>
      </c>
      <c r="F188" s="11">
        <f t="shared" si="15"/>
        <v>-11.063114807615875</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-10.657017079658784</v>
      </c>
      <c r="E189" s="11">
        <f>A189-'Mastercurve bestimmen'!$B$2</f>
        <v>-26</v>
      </c>
      <c r="F189" s="11">
        <f t="shared" si="15"/>
        <v>-10.657017079658784</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-10.250506453786496</v>
      </c>
      <c r="E190" s="11">
        <f>A190-'Mastercurve bestimmen'!$B$2</f>
        <v>-25</v>
      </c>
      <c r="F190" s="11">
        <f t="shared" si="15"/>
        <v>-10.250506453786496</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-9.8435988106880572</v>
      </c>
      <c r="E191" s="11">
        <f>A191-'Mastercurve bestimmen'!$B$2</f>
        <v>-24</v>
      </c>
      <c r="F191" s="11">
        <f t="shared" si="15"/>
        <v>-9.8435988106880572</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-9.4363100310525141</v>
      </c>
      <c r="E192" s="11">
        <f>A192-'Mastercurve bestimmen'!$B$2</f>
        <v>-23</v>
      </c>
      <c r="F192" s="11">
        <f t="shared" si="15"/>
        <v>-9.4363100310525141</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-9.0286559955689114</v>
      </c>
      <c r="E193" s="11">
        <f>A193-'Mastercurve bestimmen'!$B$2</f>
        <v>-22</v>
      </c>
      <c r="F193" s="11">
        <f t="shared" si="15"/>
        <v>-9.0286559955689114</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-8.6206525849262974</v>
      </c>
      <c r="E194" s="11">
        <f>A194-'Mastercurve bestimmen'!$B$2</f>
        <v>-21</v>
      </c>
      <c r="F194" s="11">
        <f t="shared" si="15"/>
        <v>-8.6206525849262974</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-8.2123156798137167</v>
      </c>
      <c r="E195" s="11">
        <f>A195-'Mastercurve bestimmen'!$B$2</f>
        <v>-20</v>
      </c>
      <c r="F195" s="11">
        <f t="shared" si="15"/>
        <v>-8.2123156798137167</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-7.8036611609202149</v>
      </c>
      <c r="E196" s="11">
        <f>A196-'Mastercurve bestimmen'!$B$2</f>
        <v>-19</v>
      </c>
      <c r="F196" s="11">
        <f t="shared" si="15"/>
        <v>-7.8036611609202149</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-7.3947049089348384</v>
      </c>
      <c r="E197" s="11">
        <f>A197-'Mastercurve bestimmen'!$B$2</f>
        <v>-18</v>
      </c>
      <c r="F197" s="11">
        <f t="shared" si="15"/>
        <v>-7.3947049089348384</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-6.9854628045466338</v>
      </c>
      <c r="E198" s="11">
        <f>A198-'Mastercurve bestimmen'!$B$2</f>
        <v>-17</v>
      </c>
      <c r="F198" s="11">
        <f t="shared" si="15"/>
        <v>-6.9854628045466338</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-6.5759507284446475</v>
      </c>
      <c r="E199" s="11">
        <f>A199-'Mastercurve bestimmen'!$B$2</f>
        <v>-16</v>
      </c>
      <c r="F199" s="11">
        <f t="shared" si="15"/>
        <v>-6.5759507284446475</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-6.166184561317924</v>
      </c>
      <c r="E200" s="11">
        <f>A200-'Mastercurve bestimmen'!$B$2</f>
        <v>-15</v>
      </c>
      <c r="F200" s="11">
        <f t="shared" si="15"/>
        <v>-6.166184561317924</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-5.75618018385551</v>
      </c>
      <c r="E201" s="11">
        <f>A201-'Mastercurve bestimmen'!$B$2</f>
        <v>-14</v>
      </c>
      <c r="F201" s="11">
        <f t="shared" si="15"/>
        <v>-5.75618018385551</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-5.3459534767464518</v>
      </c>
      <c r="E202" s="11">
        <f>A202-'Mastercurve bestimmen'!$B$2</f>
        <v>-13</v>
      </c>
      <c r="F202" s="11">
        <f t="shared" si="15"/>
        <v>-5.3459534767464518</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-4.935520320679796</v>
      </c>
      <c r="E203" s="11">
        <f>A203-'Mastercurve bestimmen'!$B$2</f>
        <v>-12</v>
      </c>
      <c r="F203" s="11">
        <f t="shared" si="15"/>
        <v>-4.935520320679796</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-4.5248965963445871</v>
      </c>
      <c r="E204" s="11">
        <f>A204-'Mastercurve bestimmen'!$B$2</f>
        <v>-11</v>
      </c>
      <c r="F204" s="11">
        <f t="shared" si="15"/>
        <v>-4.5248965963445871</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-4.1140981844298716</v>
      </c>
      <c r="E205" s="11">
        <f>A205-'Mastercurve bestimmen'!$B$2</f>
        <v>-10</v>
      </c>
      <c r="F205" s="11">
        <f t="shared" si="15"/>
        <v>-4.1140981844298716</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-3.7031409656246961</v>
      </c>
      <c r="E206" s="11">
        <f>A206-'Mastercurve bestimmen'!$B$2</f>
        <v>-9</v>
      </c>
      <c r="F206" s="11">
        <f t="shared" si="15"/>
        <v>-3.7031409656246961</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-3.2920408206181064</v>
      </c>
      <c r="E207" s="11">
        <f>A207-'Mastercurve bestimmen'!$B$2</f>
        <v>-8</v>
      </c>
      <c r="F207" s="11">
        <f t="shared" si="15"/>
        <v>-3.2920408206181064</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-2.8808136300991487</v>
      </c>
      <c r="E208" s="11">
        <f>A208-'Mastercurve bestimmen'!$B$2</f>
        <v>-7</v>
      </c>
      <c r="F208" s="11">
        <f t="shared" ref="F208:F215" si="21">B208</f>
        <v>-2.8808136300991487</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-2.4694752747568689</v>
      </c>
      <c r="E209" s="11">
        <f>A209-'Mastercurve bestimmen'!$B$2</f>
        <v>-6</v>
      </c>
      <c r="F209" s="11">
        <f t="shared" si="21"/>
        <v>-2.4694752747568689</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-2.0580416352803126</v>
      </c>
      <c r="E210" s="11">
        <f>A210-'Mastercurve bestimmen'!$B$2</f>
        <v>-5</v>
      </c>
      <c r="F210" s="11">
        <f t="shared" si="21"/>
        <v>-2.0580416352803126</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-1.6465285923585262</v>
      </c>
      <c r="E211" s="11">
        <f>A211-'Mastercurve bestimmen'!$B$2</f>
        <v>-4</v>
      </c>
      <c r="F211" s="11">
        <f t="shared" si="21"/>
        <v>-1.6465285923585262</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-1.2349520266805558</v>
      </c>
      <c r="E212" s="11">
        <f>A212-'Mastercurve bestimmen'!$B$2</f>
        <v>-3</v>
      </c>
      <c r="F212" s="11">
        <f t="shared" si="21"/>
        <v>-1.2349520266805558</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-0.82332781893544715</v>
      </c>
      <c r="E213" s="11">
        <f>A213-'Mastercurve bestimmen'!$B$2</f>
        <v>-2</v>
      </c>
      <c r="F213" s="11">
        <f t="shared" si="21"/>
        <v>-0.82332781893544715</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-0.41167184981224658</v>
      </c>
      <c r="E214" s="11">
        <f>A214-'Mastercurve bestimmen'!$B$2</f>
        <v>-1</v>
      </c>
      <c r="F214" s="11">
        <f t="shared" si="21"/>
        <v>-0.41167184981224658</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0.40784438600362422</v>
      </c>
      <c r="J217" s="98">
        <v>-8.0230319688245487E-4</v>
      </c>
      <c r="K217" s="98">
        <v>-5.9468083525383604E-5</v>
      </c>
      <c r="L217" s="98">
        <v>-1.8539074122763565E-6</v>
      </c>
      <c r="M217" s="98">
        <v>-3.0054609767946518E-8</v>
      </c>
      <c r="N217" s="98">
        <v>-2.3493969848766339E-10</v>
      </c>
      <c r="O217" s="98">
        <v>-8.6166967223073201E-13</v>
      </c>
      <c r="P217" s="98">
        <v>-1.1978411640393912E-15</v>
      </c>
    </row>
    <row r="218" spans="1:16" x14ac:dyDescent="0.25">
      <c r="G218" s="11"/>
      <c r="H218" s="11">
        <v>0</v>
      </c>
      <c r="I218" s="11">
        <v>6.4778544350079167E-3</v>
      </c>
      <c r="J218" s="11">
        <v>6.424360414809076E-4</v>
      </c>
      <c r="K218" s="3">
        <v>2.4375867472259345E-5</v>
      </c>
      <c r="L218" s="3">
        <v>4.6468624142660786E-7</v>
      </c>
      <c r="M218" s="3">
        <v>4.8922606677675058E-9</v>
      </c>
      <c r="N218" s="3">
        <v>2.886190644560553E-11</v>
      </c>
      <c r="O218" s="11">
        <v>8.9352005424559276E-14</v>
      </c>
      <c r="P218" s="11">
        <v>1.1297349325854111E-16</v>
      </c>
    </row>
    <row r="219" spans="1:16" x14ac:dyDescent="0.25">
      <c r="G219" s="11"/>
      <c r="H219" s="11">
        <v>0.99999449794195694</v>
      </c>
      <c r="I219" s="11">
        <v>8.846136696700567E-2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-59.935349370167387</v>
      </c>
      <c r="G222">
        <f>F15</f>
        <v>-59.999898573957836</v>
      </c>
    </row>
    <row r="223" spans="1:16" x14ac:dyDescent="0.25">
      <c r="E223" s="11">
        <f t="shared" ref="E223:E286" si="25">E16</f>
        <v>-199</v>
      </c>
      <c r="F223" s="11">
        <f t="shared" ref="F223:F286" si="26">$H$217*0+E223*$I$217+E223^2*$J$217+E223^3*$K$217+E223^4*$L$217+E223^5*$M$217+E223^6*$N$217+E223^7*$O$217+E223^8*$P$217</f>
        <v>-59.73960753924257</v>
      </c>
      <c r="G223" s="11">
        <f t="shared" ref="G223:G286" si="27">F16</f>
        <v>-59.784409105699012</v>
      </c>
    </row>
    <row r="224" spans="1:16" x14ac:dyDescent="0.25">
      <c r="E224" s="11">
        <f t="shared" si="25"/>
        <v>-198</v>
      </c>
      <c r="F224" s="11">
        <f t="shared" si="26"/>
        <v>-59.543427842960227</v>
      </c>
      <c r="G224" s="11">
        <f t="shared" si="27"/>
        <v>-59.568631060558445</v>
      </c>
    </row>
    <row r="225" spans="5:7" x14ac:dyDescent="0.25">
      <c r="E225" s="11">
        <f t="shared" si="25"/>
        <v>-197</v>
      </c>
      <c r="F225" s="11">
        <f t="shared" si="26"/>
        <v>-59.345780445024047</v>
      </c>
      <c r="G225" s="11">
        <f t="shared" si="27"/>
        <v>-59.352275861654348</v>
      </c>
    </row>
    <row r="226" spans="5:7" x14ac:dyDescent="0.25">
      <c r="E226" s="11">
        <f t="shared" si="25"/>
        <v>-196</v>
      </c>
      <c r="F226" s="11">
        <f t="shared" si="26"/>
        <v>-59.145756240673563</v>
      </c>
      <c r="G226" s="11">
        <f t="shared" si="27"/>
        <v>-59.135054932104978</v>
      </c>
    </row>
    <row r="227" spans="5:7" x14ac:dyDescent="0.25">
      <c r="E227" s="11">
        <f t="shared" si="25"/>
        <v>-195</v>
      </c>
      <c r="F227" s="11">
        <f t="shared" si="26"/>
        <v>-58.942559741023615</v>
      </c>
      <c r="G227" s="11">
        <f t="shared" si="27"/>
        <v>-58.916679695028577</v>
      </c>
    </row>
    <row r="228" spans="5:7" x14ac:dyDescent="0.25">
      <c r="E228" s="11">
        <f t="shared" si="25"/>
        <v>-194</v>
      </c>
      <c r="F228" s="11">
        <f t="shared" si="26"/>
        <v>-58.735502208254275</v>
      </c>
      <c r="G228" s="11">
        <f t="shared" si="27"/>
        <v>-58.696861573543401</v>
      </c>
    </row>
    <row r="229" spans="5:7" x14ac:dyDescent="0.25">
      <c r="E229" s="11">
        <f t="shared" si="25"/>
        <v>-193</v>
      </c>
      <c r="F229" s="11">
        <f t="shared" si="26"/>
        <v>-58.523995036433007</v>
      </c>
      <c r="G229" s="11">
        <f t="shared" si="27"/>
        <v>-58.475311990767658</v>
      </c>
    </row>
    <row r="230" spans="5:7" x14ac:dyDescent="0.25">
      <c r="E230" s="11">
        <f t="shared" si="25"/>
        <v>-192</v>
      </c>
      <c r="F230" s="11">
        <f t="shared" si="26"/>
        <v>-58.307543372922282</v>
      </c>
      <c r="G230" s="11">
        <f t="shared" si="27"/>
        <v>-58.251742369819617</v>
      </c>
    </row>
    <row r="231" spans="5:7" x14ac:dyDescent="0.25">
      <c r="E231" s="11">
        <f t="shared" si="25"/>
        <v>-191</v>
      </c>
      <c r="F231" s="11">
        <f t="shared" si="26"/>
        <v>-58.085739975298566</v>
      </c>
      <c r="G231" s="11">
        <f t="shared" si="27"/>
        <v>-58.025864133817521</v>
      </c>
    </row>
    <row r="232" spans="5:7" x14ac:dyDescent="0.25">
      <c r="E232" s="11">
        <f t="shared" si="25"/>
        <v>-190</v>
      </c>
      <c r="F232" s="11">
        <f t="shared" si="26"/>
        <v>-57.858259298778648</v>
      </c>
      <c r="G232" s="11">
        <f t="shared" si="27"/>
        <v>-57.797388705879591</v>
      </c>
    </row>
    <row r="233" spans="5:7" x14ac:dyDescent="0.25">
      <c r="E233" s="11">
        <f t="shared" si="25"/>
        <v>-189</v>
      </c>
      <c r="F233" s="11">
        <f t="shared" si="26"/>
        <v>-57.624851809204074</v>
      </c>
      <c r="G233" s="11">
        <f t="shared" si="27"/>
        <v>-57.566027509124098</v>
      </c>
    </row>
    <row r="234" spans="5:7" x14ac:dyDescent="0.25">
      <c r="E234" s="11">
        <f t="shared" si="25"/>
        <v>-188</v>
      </c>
      <c r="F234" s="11">
        <f t="shared" si="26"/>
        <v>-57.385338516681486</v>
      </c>
      <c r="G234" s="11">
        <f t="shared" si="27"/>
        <v>-57.331491966669255</v>
      </c>
    </row>
    <row r="235" spans="5:7" x14ac:dyDescent="0.25">
      <c r="E235" s="11">
        <f t="shared" si="25"/>
        <v>-187</v>
      </c>
      <c r="F235" s="11">
        <f t="shared" si="26"/>
        <v>-57.13960572501378</v>
      </c>
      <c r="G235" s="11">
        <f t="shared" si="27"/>
        <v>-57.093493501633318</v>
      </c>
    </row>
    <row r="236" spans="5:7" x14ac:dyDescent="0.25">
      <c r="E236" s="11">
        <f t="shared" si="25"/>
        <v>-186</v>
      </c>
      <c r="F236" s="11">
        <f t="shared" si="26"/>
        <v>-56.887599992115611</v>
      </c>
      <c r="G236" s="11">
        <f t="shared" si="27"/>
        <v>-56.851743537134539</v>
      </c>
    </row>
    <row r="237" spans="5:7" x14ac:dyDescent="0.25">
      <c r="E237" s="11">
        <f t="shared" si="25"/>
        <v>-185</v>
      </c>
      <c r="F237" s="11">
        <f t="shared" si="26"/>
        <v>-56.629323296653411</v>
      </c>
      <c r="G237" s="11">
        <f t="shared" si="27"/>
        <v>-56.60595349629115</v>
      </c>
    </row>
    <row r="238" spans="5:7" x14ac:dyDescent="0.25">
      <c r="E238" s="11">
        <f t="shared" si="25"/>
        <v>-184</v>
      </c>
      <c r="F238" s="11">
        <f t="shared" si="26"/>
        <v>-56.364828406192373</v>
      </c>
      <c r="G238" s="11">
        <f t="shared" si="27"/>
        <v>-56.355834802221395</v>
      </c>
    </row>
    <row r="239" spans="5:7" x14ac:dyDescent="0.25">
      <c r="E239" s="11">
        <f t="shared" si="25"/>
        <v>-183</v>
      </c>
      <c r="F239" s="11">
        <f t="shared" si="26"/>
        <v>-56.094214442197199</v>
      </c>
      <c r="G239" s="11">
        <f t="shared" si="27"/>
        <v>-56.101098878043501</v>
      </c>
    </row>
    <row r="240" spans="5:7" x14ac:dyDescent="0.25">
      <c r="E240" s="11">
        <f t="shared" si="25"/>
        <v>-182</v>
      </c>
      <c r="F240" s="11">
        <f t="shared" si="26"/>
        <v>-55.817622637251588</v>
      </c>
      <c r="G240" s="11">
        <f t="shared" si="27"/>
        <v>-55.84145714687574</v>
      </c>
    </row>
    <row r="241" spans="5:7" x14ac:dyDescent="0.25">
      <c r="E241" s="11">
        <f t="shared" si="25"/>
        <v>-181</v>
      </c>
      <c r="F241" s="11">
        <f t="shared" si="26"/>
        <v>-55.535232279945603</v>
      </c>
      <c r="G241" s="11">
        <f t="shared" si="27"/>
        <v>-55.576621031836325</v>
      </c>
    </row>
    <row r="242" spans="5:7" x14ac:dyDescent="0.25">
      <c r="E242" s="11">
        <f t="shared" si="25"/>
        <v>-180</v>
      </c>
      <c r="F242" s="11">
        <f t="shared" si="26"/>
        <v>-55.247256842908428</v>
      </c>
      <c r="G242" s="11">
        <f t="shared" si="27"/>
        <v>-55.306301956043519</v>
      </c>
    </row>
    <row r="243" spans="5:7" x14ac:dyDescent="0.25">
      <c r="E243" s="11">
        <f t="shared" si="25"/>
        <v>-179</v>
      </c>
      <c r="F243" s="11">
        <f t="shared" si="26"/>
        <v>-54.953940289499315</v>
      </c>
      <c r="G243" s="11">
        <f t="shared" si="27"/>
        <v>-55.030211342615559</v>
      </c>
    </row>
    <row r="244" spans="5:7" x14ac:dyDescent="0.25">
      <c r="E244" s="11">
        <f t="shared" si="25"/>
        <v>-178</v>
      </c>
      <c r="F244" s="11">
        <f t="shared" si="26"/>
        <v>-54.655553554764083</v>
      </c>
      <c r="G244" s="11">
        <f t="shared" si="27"/>
        <v>-54.748060614670678</v>
      </c>
    </row>
    <row r="245" spans="5:7" x14ac:dyDescent="0.25">
      <c r="E245" s="11">
        <f t="shared" si="25"/>
        <v>-177</v>
      </c>
      <c r="F245" s="11">
        <f t="shared" si="26"/>
        <v>-54.352391196240433</v>
      </c>
      <c r="G245" s="11">
        <f t="shared" si="27"/>
        <v>-54.459561195327126</v>
      </c>
    </row>
    <row r="246" spans="5:7" x14ac:dyDescent="0.25">
      <c r="E246" s="11">
        <f t="shared" si="25"/>
        <v>-176</v>
      </c>
      <c r="F246" s="11">
        <f t="shared" si="26"/>
        <v>-54.044768210340635</v>
      </c>
      <c r="G246" s="11">
        <f t="shared" si="27"/>
        <v>-54.164424507703146</v>
      </c>
    </row>
    <row r="247" spans="5:7" x14ac:dyDescent="0.25">
      <c r="E247" s="11">
        <f t="shared" si="25"/>
        <v>-175</v>
      </c>
      <c r="F247" s="11">
        <f t="shared" si="26"/>
        <v>-53.73301700995944</v>
      </c>
      <c r="G247" s="11">
        <f t="shared" si="27"/>
        <v>-53.862361974916979</v>
      </c>
    </row>
    <row r="248" spans="5:7" x14ac:dyDescent="0.25">
      <c r="E248" s="11">
        <f t="shared" si="25"/>
        <v>-174</v>
      </c>
      <c r="F248" s="11">
        <f t="shared" si="26"/>
        <v>-53.417484559176614</v>
      </c>
      <c r="G248" s="11">
        <f t="shared" si="27"/>
        <v>-53.553085020086868</v>
      </c>
    </row>
    <row r="249" spans="5:7" x14ac:dyDescent="0.25">
      <c r="E249" s="11">
        <f t="shared" si="25"/>
        <v>-173</v>
      </c>
      <c r="F249" s="11">
        <f t="shared" si="26"/>
        <v>-53.098529660755275</v>
      </c>
      <c r="G249" s="11">
        <f t="shared" si="27"/>
        <v>-53.236305066331049</v>
      </c>
    </row>
    <row r="250" spans="5:7" x14ac:dyDescent="0.25">
      <c r="E250" s="11">
        <f t="shared" si="25"/>
        <v>-172</v>
      </c>
      <c r="F250" s="11">
        <f t="shared" si="26"/>
        <v>-52.776520392407633</v>
      </c>
      <c r="G250" s="11">
        <f t="shared" si="27"/>
        <v>-52.91173353676777</v>
      </c>
    </row>
    <row r="251" spans="5:7" x14ac:dyDescent="0.25">
      <c r="E251" s="11">
        <f t="shared" si="25"/>
        <v>-171</v>
      </c>
      <c r="F251" s="11">
        <f t="shared" si="26"/>
        <v>-52.451831687680624</v>
      </c>
      <c r="G251" s="11">
        <f t="shared" si="27"/>
        <v>-52.579081854515273</v>
      </c>
    </row>
    <row r="252" spans="5:7" x14ac:dyDescent="0.25">
      <c r="E252" s="11">
        <f t="shared" si="25"/>
        <v>-170</v>
      </c>
      <c r="F252" s="11">
        <f t="shared" si="26"/>
        <v>-52.124843057444423</v>
      </c>
      <c r="G252" s="11">
        <f t="shared" si="27"/>
        <v>-52.238061442691794</v>
      </c>
    </row>
    <row r="253" spans="5:7" x14ac:dyDescent="0.25">
      <c r="E253" s="11">
        <f t="shared" si="25"/>
        <v>-169</v>
      </c>
      <c r="F253" s="11">
        <f t="shared" si="26"/>
        <v>-51.795936448001385</v>
      </c>
      <c r="G253" s="11">
        <f t="shared" si="27"/>
        <v>-51.88838372441559</v>
      </c>
    </row>
    <row r="254" spans="5:7" x14ac:dyDescent="0.25">
      <c r="E254" s="11">
        <f t="shared" si="25"/>
        <v>-168</v>
      </c>
      <c r="F254" s="11">
        <f t="shared" si="26"/>
        <v>-51.465494231849561</v>
      </c>
      <c r="G254" s="11">
        <f t="shared" si="27"/>
        <v>-51.529760122804888</v>
      </c>
    </row>
    <row r="255" spans="5:7" x14ac:dyDescent="0.25">
      <c r="E255" s="11">
        <f t="shared" si="25"/>
        <v>-167</v>
      </c>
      <c r="F255" s="11">
        <f t="shared" si="26"/>
        <v>-51.133897327254203</v>
      </c>
      <c r="G255" s="11">
        <f t="shared" si="27"/>
        <v>-51.16190206097793</v>
      </c>
    </row>
    <row r="256" spans="5:7" x14ac:dyDescent="0.25">
      <c r="E256" s="11">
        <f t="shared" si="25"/>
        <v>-166</v>
      </c>
      <c r="F256" s="11">
        <f t="shared" si="26"/>
        <v>-50.801523442730968</v>
      </c>
      <c r="G256" s="11">
        <f t="shared" si="27"/>
        <v>-50.784520962052973</v>
      </c>
    </row>
    <row r="257" spans="5:7" x14ac:dyDescent="0.25">
      <c r="E257" s="11">
        <f t="shared" si="25"/>
        <v>-165</v>
      </c>
      <c r="F257" s="11">
        <f t="shared" si="26"/>
        <v>-50.468745442689283</v>
      </c>
      <c r="G257" s="11">
        <f t="shared" si="27"/>
        <v>-50.397328249148245</v>
      </c>
    </row>
    <row r="258" spans="5:7" x14ac:dyDescent="0.25">
      <c r="E258" s="11">
        <f t="shared" si="25"/>
        <v>-164</v>
      </c>
      <c r="F258" s="11">
        <f t="shared" si="26"/>
        <v>-50.13592983046351</v>
      </c>
      <c r="G258" s="11">
        <f t="shared" si="27"/>
        <v>-50.000035345381995</v>
      </c>
    </row>
    <row r="259" spans="5:7" x14ac:dyDescent="0.25">
      <c r="E259" s="11">
        <f t="shared" si="25"/>
        <v>-163</v>
      </c>
      <c r="F259" s="11">
        <f t="shared" si="26"/>
        <v>-49.803435345041066</v>
      </c>
      <c r="G259" s="11">
        <f t="shared" si="27"/>
        <v>-49.592353673872459</v>
      </c>
    </row>
    <row r="260" spans="5:7" x14ac:dyDescent="0.25">
      <c r="E260" s="11">
        <f t="shared" si="25"/>
        <v>-162</v>
      </c>
      <c r="F260" s="11">
        <f t="shared" si="26"/>
        <v>-49.471611667836783</v>
      </c>
      <c r="G260" s="11">
        <f t="shared" si="27"/>
        <v>-49.173994657737886</v>
      </c>
    </row>
    <row r="261" spans="5:7" x14ac:dyDescent="0.25">
      <c r="E261" s="11">
        <f t="shared" si="25"/>
        <v>-161</v>
      </c>
      <c r="F261" s="11">
        <f t="shared" si="26"/>
        <v>-49.140798235918282</v>
      </c>
      <c r="G261" s="11">
        <f t="shared" si="27"/>
        <v>-48.744669720096518</v>
      </c>
    </row>
    <row r="262" spans="5:7" x14ac:dyDescent="0.25">
      <c r="E262" s="11">
        <f t="shared" si="25"/>
        <v>-160</v>
      </c>
      <c r="F262" s="11">
        <f t="shared" si="26"/>
        <v>-48.811323158110667</v>
      </c>
      <c r="G262" s="11">
        <f t="shared" si="27"/>
        <v>-48.304090284066589</v>
      </c>
    </row>
    <row r="263" spans="5:7" x14ac:dyDescent="0.25">
      <c r="E263" s="11">
        <f t="shared" si="25"/>
        <v>-159</v>
      </c>
      <c r="F263" s="11">
        <f t="shared" si="26"/>
        <v>-48.483502230495219</v>
      </c>
      <c r="G263" s="11">
        <f t="shared" si="27"/>
        <v>-48.095893183428402</v>
      </c>
    </row>
    <row r="264" spans="5:7" x14ac:dyDescent="0.25">
      <c r="E264" s="11">
        <f t="shared" si="25"/>
        <v>-158</v>
      </c>
      <c r="F264" s="11">
        <f t="shared" si="26"/>
        <v>-48.157638047835803</v>
      </c>
      <c r="G264" s="11">
        <f t="shared" si="27"/>
        <v>-47.876922823036601</v>
      </c>
    </row>
    <row r="265" spans="5:7" x14ac:dyDescent="0.25">
      <c r="E265" s="11">
        <f t="shared" si="25"/>
        <v>-157</v>
      </c>
      <c r="F265" s="11">
        <f t="shared" si="26"/>
        <v>-47.834019207516178</v>
      </c>
      <c r="G265" s="11">
        <f t="shared" si="27"/>
        <v>-47.647949018407942</v>
      </c>
    </row>
    <row r="266" spans="5:7" x14ac:dyDescent="0.25">
      <c r="E266" s="11">
        <f t="shared" si="25"/>
        <v>-156</v>
      </c>
      <c r="F266" s="11">
        <f t="shared" si="26"/>
        <v>-47.512919602649049</v>
      </c>
      <c r="G266" s="11">
        <f t="shared" si="27"/>
        <v>-47.409741585059137</v>
      </c>
    </row>
    <row r="267" spans="5:7" x14ac:dyDescent="0.25">
      <c r="E267" s="11">
        <f t="shared" si="25"/>
        <v>-155</v>
      </c>
      <c r="F267" s="11">
        <f t="shared" si="26"/>
        <v>-47.194597801020507</v>
      </c>
      <c r="G267" s="11">
        <f t="shared" si="27"/>
        <v>-47.163070338506913</v>
      </c>
    </row>
    <row r="268" spans="5:7" x14ac:dyDescent="0.25">
      <c r="E268" s="11">
        <f t="shared" si="25"/>
        <v>-154</v>
      </c>
      <c r="F268" s="11">
        <f t="shared" si="26"/>
        <v>-46.879296506622325</v>
      </c>
      <c r="G268" s="11">
        <f t="shared" si="27"/>
        <v>-46.908705094268008</v>
      </c>
    </row>
    <row r="269" spans="5:7" x14ac:dyDescent="0.25">
      <c r="E269" s="11">
        <f t="shared" si="25"/>
        <v>-153</v>
      </c>
      <c r="F269" s="11">
        <f t="shared" si="26"/>
        <v>-46.56724210054881</v>
      </c>
      <c r="G269" s="11">
        <f t="shared" si="27"/>
        <v>-46.647415667859114</v>
      </c>
    </row>
    <row r="270" spans="5:7" x14ac:dyDescent="0.25">
      <c r="E270" s="11">
        <f t="shared" si="25"/>
        <v>-152</v>
      </c>
      <c r="F270" s="11">
        <f t="shared" si="26"/>
        <v>-46.258644258097206</v>
      </c>
      <c r="G270" s="11">
        <f t="shared" si="27"/>
        <v>-46.379971874796986</v>
      </c>
    </row>
    <row r="271" spans="5:7" x14ac:dyDescent="0.25">
      <c r="E271" s="11">
        <f t="shared" si="25"/>
        <v>-151</v>
      </c>
      <c r="F271" s="11">
        <f t="shared" si="26"/>
        <v>-45.95369563894161</v>
      </c>
      <c r="G271" s="11">
        <f t="shared" si="27"/>
        <v>-46.107143530598329</v>
      </c>
    </row>
    <row r="272" spans="5:7" x14ac:dyDescent="0.25">
      <c r="E272" s="11">
        <f t="shared" si="25"/>
        <v>-150</v>
      </c>
      <c r="F272" s="11">
        <f t="shared" si="26"/>
        <v>-45.652571647323612</v>
      </c>
      <c r="G272" s="11">
        <f t="shared" si="27"/>
        <v>-45.829700450779868</v>
      </c>
    </row>
    <row r="273" spans="5:7" x14ac:dyDescent="0.25">
      <c r="E273" s="11">
        <f t="shared" si="25"/>
        <v>-149</v>
      </c>
      <c r="F273" s="11">
        <f t="shared" si="26"/>
        <v>-45.355430259225841</v>
      </c>
      <c r="G273" s="11">
        <f t="shared" si="27"/>
        <v>-45.548412450858336</v>
      </c>
    </row>
    <row r="274" spans="5:7" x14ac:dyDescent="0.25">
      <c r="E274" s="11">
        <f t="shared" si="25"/>
        <v>-148</v>
      </c>
      <c r="F274" s="11">
        <f t="shared" si="26"/>
        <v>-45.062411913559458</v>
      </c>
      <c r="G274" s="11">
        <f t="shared" si="27"/>
        <v>-45.264049346350447</v>
      </c>
    </row>
    <row r="275" spans="5:7" x14ac:dyDescent="0.25">
      <c r="E275" s="11">
        <f t="shared" si="25"/>
        <v>-147</v>
      </c>
      <c r="F275" s="11">
        <f t="shared" si="26"/>
        <v>-44.773639464438475</v>
      </c>
      <c r="G275" s="11">
        <f t="shared" si="27"/>
        <v>-44.977380952772933</v>
      </c>
    </row>
    <row r="276" spans="5:7" x14ac:dyDescent="0.25">
      <c r="E276" s="11">
        <f t="shared" si="25"/>
        <v>-146</v>
      </c>
      <c r="F276" s="11">
        <f t="shared" si="26"/>
        <v>-44.489218191667931</v>
      </c>
      <c r="G276" s="11">
        <f t="shared" si="27"/>
        <v>-44.689177085642505</v>
      </c>
    </row>
    <row r="277" spans="5:7" x14ac:dyDescent="0.25">
      <c r="E277" s="11">
        <f t="shared" si="25"/>
        <v>-145</v>
      </c>
      <c r="F277" s="11">
        <f t="shared" si="26"/>
        <v>-44.209235866602199</v>
      </c>
      <c r="G277" s="11">
        <f t="shared" si="27"/>
        <v>-44.400207560475906</v>
      </c>
    </row>
    <row r="278" spans="5:7" x14ac:dyDescent="0.25">
      <c r="E278" s="11">
        <f t="shared" si="25"/>
        <v>-144</v>
      </c>
      <c r="F278" s="11">
        <f t="shared" si="26"/>
        <v>-43.933762870614686</v>
      </c>
      <c r="G278" s="11">
        <f t="shared" si="27"/>
        <v>-44.111242192789838</v>
      </c>
    </row>
    <row r="279" spans="5:7" x14ac:dyDescent="0.25">
      <c r="E279" s="11">
        <f t="shared" si="25"/>
        <v>-143</v>
      </c>
      <c r="F279" s="11">
        <f t="shared" si="26"/>
        <v>-43.66285236342614</v>
      </c>
      <c r="G279" s="11">
        <f t="shared" si="27"/>
        <v>-43.823050798101043</v>
      </c>
    </row>
    <row r="280" spans="5:7" x14ac:dyDescent="0.25">
      <c r="E280" s="11">
        <f t="shared" si="25"/>
        <v>-142</v>
      </c>
      <c r="F280" s="11">
        <f t="shared" si="26"/>
        <v>-43.396540498616673</v>
      </c>
      <c r="G280" s="11">
        <f t="shared" si="27"/>
        <v>-43.536403191926233</v>
      </c>
    </row>
    <row r="281" spans="5:7" x14ac:dyDescent="0.25">
      <c r="E281" s="11">
        <f t="shared" si="25"/>
        <v>-141</v>
      </c>
      <c r="F281" s="11">
        <f t="shared" si="26"/>
        <v>-43.134846683685709</v>
      </c>
      <c r="G281" s="11">
        <f t="shared" si="27"/>
        <v>-43.252069189782134</v>
      </c>
    </row>
    <row r="282" spans="5:7" x14ac:dyDescent="0.25">
      <c r="E282" s="11">
        <f t="shared" si="25"/>
        <v>-140</v>
      </c>
      <c r="F282" s="11">
        <f t="shared" si="26"/>
        <v>-42.877773882070073</v>
      </c>
      <c r="G282" s="11">
        <f t="shared" si="27"/>
        <v>-42.970818607185478</v>
      </c>
    </row>
    <row r="283" spans="5:7" x14ac:dyDescent="0.25">
      <c r="E283" s="11">
        <f t="shared" si="25"/>
        <v>-139</v>
      </c>
      <c r="F283" s="11">
        <f t="shared" si="26"/>
        <v>-42.62530895457806</v>
      </c>
      <c r="G283" s="11">
        <f t="shared" si="27"/>
        <v>-42.693421259652972</v>
      </c>
    </row>
    <row r="284" spans="5:7" x14ac:dyDescent="0.25">
      <c r="E284" s="11">
        <f t="shared" si="25"/>
        <v>-138</v>
      </c>
      <c r="F284" s="11">
        <f t="shared" si="26"/>
        <v>-42.377423037754113</v>
      </c>
      <c r="G284" s="11">
        <f t="shared" si="27"/>
        <v>-42.420646962701355</v>
      </c>
    </row>
    <row r="285" spans="5:7" x14ac:dyDescent="0.25">
      <c r="E285" s="11">
        <f t="shared" si="25"/>
        <v>-137</v>
      </c>
      <c r="F285" s="11">
        <f t="shared" si="26"/>
        <v>-42.134071956728121</v>
      </c>
      <c r="G285" s="11">
        <f t="shared" si="27"/>
        <v>-42.153265531847346</v>
      </c>
    </row>
    <row r="286" spans="5:7" x14ac:dyDescent="0.25">
      <c r="E286" s="11">
        <f t="shared" si="25"/>
        <v>-136</v>
      </c>
      <c r="F286" s="11">
        <f t="shared" si="26"/>
        <v>-41.895196670151449</v>
      </c>
      <c r="G286" s="11">
        <f t="shared" si="27"/>
        <v>-41.892046782607665</v>
      </c>
    </row>
    <row r="287" spans="5:7" x14ac:dyDescent="0.25">
      <c r="E287" s="11">
        <f t="shared" ref="E287:E350" si="28">E80</f>
        <v>-135</v>
      </c>
      <c r="F287" s="11">
        <f t="shared" ref="F287:F350" si="29">$H$217*0+E287*$I$217+E287^2*$J$217+E287^3*$K$217+E287^4*$L$217+E287^5*$M$217+E287^6*$N$217+E287^7*$O$217+E287^8*$P$217</f>
        <v>-41.660723744881665</v>
      </c>
      <c r="G287" s="11">
        <f t="shared" ref="G287:G350" si="30">F80</f>
        <v>-41.637760530499037</v>
      </c>
    </row>
    <row r="288" spans="5:7" x14ac:dyDescent="0.25">
      <c r="E288" s="11">
        <f t="shared" si="28"/>
        <v>-134</v>
      </c>
      <c r="F288" s="11">
        <f t="shared" si="29"/>
        <v>-41.430565858109048</v>
      </c>
      <c r="G288" s="11">
        <f t="shared" si="30"/>
        <v>-41.390985899785889</v>
      </c>
    </row>
    <row r="289" spans="5:7" x14ac:dyDescent="0.25">
      <c r="E289" s="11">
        <f t="shared" si="28"/>
        <v>-133</v>
      </c>
      <c r="F289" s="11">
        <f t="shared" si="29"/>
        <v>-41.204622324681466</v>
      </c>
      <c r="G289" s="11">
        <f t="shared" si="30"/>
        <v>-41.151539249723406</v>
      </c>
    </row>
    <row r="290" spans="5:7" x14ac:dyDescent="0.25">
      <c r="E290" s="11">
        <f t="shared" si="28"/>
        <v>-132</v>
      </c>
      <c r="F290" s="11">
        <f t="shared" si="29"/>
        <v>-40.982779647422248</v>
      </c>
      <c r="G290" s="11">
        <f t="shared" si="30"/>
        <v>-40.919046248314508</v>
      </c>
    </row>
    <row r="291" spans="5:7" x14ac:dyDescent="0.25">
      <c r="E291" s="11">
        <f t="shared" si="28"/>
        <v>-131</v>
      </c>
      <c r="F291" s="11">
        <f t="shared" si="29"/>
        <v>-40.764912088290302</v>
      </c>
      <c r="G291" s="11">
        <f t="shared" si="30"/>
        <v>-40.693132563562081</v>
      </c>
    </row>
    <row r="292" spans="5:7" x14ac:dyDescent="0.25">
      <c r="E292" s="11">
        <f t="shared" si="28"/>
        <v>-130</v>
      </c>
      <c r="F292" s="11">
        <f t="shared" si="29"/>
        <v>-40.550882258278321</v>
      </c>
      <c r="G292" s="11">
        <f t="shared" si="30"/>
        <v>-40.473423863469037</v>
      </c>
    </row>
    <row r="293" spans="5:7" x14ac:dyDescent="0.25">
      <c r="E293" s="11">
        <f t="shared" si="28"/>
        <v>-129</v>
      </c>
      <c r="F293" s="11">
        <f t="shared" si="29"/>
        <v>-40.340541723988181</v>
      </c>
      <c r="G293" s="11">
        <f t="shared" si="30"/>
        <v>-40.259545816038255</v>
      </c>
    </row>
    <row r="294" spans="5:7" x14ac:dyDescent="0.25">
      <c r="E294" s="11">
        <f t="shared" si="28"/>
        <v>-128</v>
      </c>
      <c r="F294" s="11">
        <f t="shared" si="29"/>
        <v>-40.133731628880369</v>
      </c>
      <c r="G294" s="11">
        <f t="shared" si="30"/>
        <v>-40.051124089272648</v>
      </c>
    </row>
    <row r="295" spans="5:7" x14ac:dyDescent="0.25">
      <c r="E295" s="11">
        <f t="shared" si="28"/>
        <v>-127</v>
      </c>
      <c r="F295" s="11">
        <f t="shared" si="29"/>
        <v>-39.930283327234832</v>
      </c>
      <c r="G295" s="11">
        <f t="shared" si="30"/>
        <v>-39.847784351175115</v>
      </c>
    </row>
    <row r="296" spans="5:7" x14ac:dyDescent="0.25">
      <c r="E296" s="11">
        <f t="shared" si="28"/>
        <v>-126</v>
      </c>
      <c r="F296" s="11">
        <f t="shared" si="29"/>
        <v>-39.730019028912423</v>
      </c>
      <c r="G296" s="11">
        <f t="shared" si="30"/>
        <v>-39.649152269748548</v>
      </c>
    </row>
    <row r="297" spans="5:7" x14ac:dyDescent="0.25">
      <c r="E297" s="11">
        <f t="shared" si="28"/>
        <v>-125</v>
      </c>
      <c r="F297" s="11">
        <f t="shared" si="29"/>
        <v>-39.532752453052282</v>
      </c>
      <c r="G297" s="11">
        <f t="shared" si="30"/>
        <v>-39.454853512995847</v>
      </c>
    </row>
    <row r="298" spans="5:7" x14ac:dyDescent="0.25">
      <c r="E298" s="11">
        <f t="shared" si="28"/>
        <v>-124</v>
      </c>
      <c r="F298" s="11">
        <f t="shared" si="29"/>
        <v>-39.338289488892485</v>
      </c>
      <c r="G298" s="11">
        <f t="shared" si="30"/>
        <v>-39.264513748919924</v>
      </c>
    </row>
    <row r="299" spans="5:7" x14ac:dyDescent="0.25">
      <c r="E299" s="11">
        <f t="shared" si="28"/>
        <v>-123</v>
      </c>
      <c r="F299" s="11">
        <f t="shared" si="29"/>
        <v>-39.146428861945509</v>
      </c>
      <c r="G299" s="11">
        <f t="shared" si="30"/>
        <v>-39.077758645523659</v>
      </c>
    </row>
    <row r="300" spans="5:7" x14ac:dyDescent="0.25">
      <c r="E300" s="11">
        <f t="shared" si="28"/>
        <v>-122</v>
      </c>
      <c r="F300" s="11">
        <f t="shared" si="29"/>
        <v>-38.956962803809255</v>
      </c>
      <c r="G300" s="11">
        <f t="shared" si="30"/>
        <v>-38.894213870809963</v>
      </c>
    </row>
    <row r="301" spans="5:7" x14ac:dyDescent="0.25">
      <c r="E301" s="11">
        <f t="shared" si="28"/>
        <v>-121</v>
      </c>
      <c r="F301" s="11">
        <f t="shared" si="29"/>
        <v>-38.76967772394611</v>
      </c>
      <c r="G301" s="11">
        <f t="shared" si="30"/>
        <v>-38.71350509278173</v>
      </c>
    </row>
    <row r="302" spans="5:7" x14ac:dyDescent="0.25">
      <c r="E302" s="11">
        <f t="shared" si="28"/>
        <v>-120</v>
      </c>
      <c r="F302" s="11">
        <f t="shared" si="29"/>
        <v>-38.584354881806917</v>
      </c>
      <c r="G302" s="11">
        <f t="shared" si="30"/>
        <v>-38.535257979441866</v>
      </c>
    </row>
    <row r="303" spans="5:7" x14ac:dyDescent="0.25">
      <c r="E303" s="11">
        <f t="shared" si="28"/>
        <v>-119</v>
      </c>
      <c r="F303" s="11">
        <f t="shared" si="29"/>
        <v>-38.400771057724128</v>
      </c>
      <c r="G303" s="11">
        <f t="shared" si="30"/>
        <v>-38.359098198793255</v>
      </c>
    </row>
    <row r="304" spans="5:7" x14ac:dyDescent="0.25">
      <c r="E304" s="11">
        <f t="shared" si="28"/>
        <v>-118</v>
      </c>
      <c r="F304" s="11">
        <f t="shared" si="29"/>
        <v>-38.218699221053051</v>
      </c>
      <c r="G304" s="11">
        <f t="shared" si="30"/>
        <v>-38.184651418838811</v>
      </c>
    </row>
    <row r="305" spans="5:7" x14ac:dyDescent="0.25">
      <c r="E305" s="11">
        <f t="shared" si="28"/>
        <v>-117</v>
      </c>
      <c r="F305" s="11">
        <f t="shared" si="29"/>
        <v>-38.037909194080477</v>
      </c>
      <c r="G305" s="11">
        <f t="shared" si="30"/>
        <v>-38.01154330758142</v>
      </c>
    </row>
    <row r="306" spans="5:7" x14ac:dyDescent="0.25">
      <c r="E306" s="11">
        <f t="shared" si="28"/>
        <v>-116</v>
      </c>
      <c r="F306" s="11">
        <f t="shared" si="29"/>
        <v>-37.8581683102745</v>
      </c>
      <c r="G306" s="11">
        <f t="shared" si="30"/>
        <v>-37.839399533024</v>
      </c>
    </row>
    <row r="307" spans="5:7" x14ac:dyDescent="0.25">
      <c r="E307" s="11">
        <f t="shared" si="28"/>
        <v>-115</v>
      </c>
      <c r="F307" s="11">
        <f t="shared" si="29"/>
        <v>-37.679242065494023</v>
      </c>
      <c r="G307" s="11">
        <f t="shared" si="30"/>
        <v>-37.667845763169431</v>
      </c>
    </row>
    <row r="308" spans="5:7" x14ac:dyDescent="0.25">
      <c r="E308" s="11">
        <f t="shared" si="28"/>
        <v>-114</v>
      </c>
      <c r="F308" s="11">
        <f t="shared" si="29"/>
        <v>-37.500894760825176</v>
      </c>
      <c r="G308" s="11">
        <f t="shared" si="30"/>
        <v>-37.496507666020626</v>
      </c>
    </row>
    <row r="309" spans="5:7" x14ac:dyDescent="0.25">
      <c r="E309" s="11">
        <f t="shared" si="28"/>
        <v>-113</v>
      </c>
      <c r="F309" s="11">
        <f t="shared" si="29"/>
        <v>-37.322890135763402</v>
      </c>
      <c r="G309" s="11">
        <f t="shared" si="30"/>
        <v>-37.325010909580477</v>
      </c>
    </row>
    <row r="310" spans="5:7" x14ac:dyDescent="0.25">
      <c r="E310" s="11">
        <f t="shared" si="28"/>
        <v>-112</v>
      </c>
      <c r="F310" s="11">
        <f t="shared" si="29"/>
        <v>-37.144991990502419</v>
      </c>
      <c r="G310" s="11">
        <f t="shared" si="30"/>
        <v>-37.152981161851876</v>
      </c>
    </row>
    <row r="311" spans="5:7" x14ac:dyDescent="0.25">
      <c r="E311" s="11">
        <f t="shared" si="28"/>
        <v>-111</v>
      </c>
      <c r="F311" s="11">
        <f t="shared" si="29"/>
        <v>-36.966964796145717</v>
      </c>
      <c r="G311" s="11">
        <f t="shared" si="30"/>
        <v>-36.980044090837737</v>
      </c>
    </row>
    <row r="312" spans="5:7" x14ac:dyDescent="0.25">
      <c r="E312" s="11">
        <f t="shared" si="28"/>
        <v>-110</v>
      </c>
      <c r="F312" s="11">
        <f t="shared" si="29"/>
        <v>-36.788574291700058</v>
      </c>
      <c r="G312" s="11">
        <f t="shared" si="30"/>
        <v>-36.805825364540944</v>
      </c>
    </row>
    <row r="313" spans="5:7" x14ac:dyDescent="0.25">
      <c r="E313" s="11">
        <f t="shared" si="28"/>
        <v>-109</v>
      </c>
      <c r="F313" s="11">
        <f t="shared" si="29"/>
        <v>-36.609588066760395</v>
      </c>
      <c r="G313" s="11">
        <f t="shared" si="30"/>
        <v>-36.629994148094525</v>
      </c>
    </row>
    <row r="314" spans="5:7" x14ac:dyDescent="0.25">
      <c r="E314" s="11">
        <f t="shared" si="28"/>
        <v>-108</v>
      </c>
      <c r="F314" s="11">
        <f t="shared" si="29"/>
        <v>-36.429776128845276</v>
      </c>
      <c r="G314" s="11">
        <f t="shared" si="30"/>
        <v>-36.452393595151939</v>
      </c>
    </row>
    <row r="315" spans="5:7" x14ac:dyDescent="0.25">
      <c r="E315" s="11">
        <f t="shared" si="28"/>
        <v>-107</v>
      </c>
      <c r="F315" s="11">
        <f t="shared" si="29"/>
        <v>-36.248911454387397</v>
      </c>
      <c r="G315" s="11">
        <f t="shared" si="30"/>
        <v>-36.272910356496759</v>
      </c>
    </row>
    <row r="316" spans="5:7" x14ac:dyDescent="0.25">
      <c r="E316" s="11">
        <f t="shared" si="28"/>
        <v>-106</v>
      </c>
      <c r="F316" s="11">
        <f t="shared" si="29"/>
        <v>-36.0667705224336</v>
      </c>
      <c r="G316" s="11">
        <f t="shared" si="30"/>
        <v>-36.091431082912571</v>
      </c>
    </row>
    <row r="317" spans="5:7" x14ac:dyDescent="0.25">
      <c r="E317" s="11">
        <f t="shared" si="28"/>
        <v>-105</v>
      </c>
      <c r="F317" s="11">
        <f t="shared" si="29"/>
        <v>-35.883133830158087</v>
      </c>
      <c r="G317" s="11">
        <f t="shared" si="30"/>
        <v>-35.907842425182963</v>
      </c>
    </row>
    <row r="318" spans="5:7" x14ac:dyDescent="0.25">
      <c r="E318" s="11">
        <f t="shared" si="28"/>
        <v>-104</v>
      </c>
      <c r="F318" s="11">
        <f t="shared" si="29"/>
        <v>-35.697786389338418</v>
      </c>
      <c r="G318" s="11">
        <f t="shared" si="30"/>
        <v>-35.722031034091515</v>
      </c>
    </row>
    <row r="319" spans="5:7" x14ac:dyDescent="0.25">
      <c r="E319" s="11">
        <f t="shared" si="28"/>
        <v>-103</v>
      </c>
      <c r="F319" s="11">
        <f t="shared" si="29"/>
        <v>-35.510518202994533</v>
      </c>
      <c r="G319" s="11">
        <f t="shared" si="30"/>
        <v>-35.533883560421785</v>
      </c>
    </row>
    <row r="320" spans="5:7" x14ac:dyDescent="0.25">
      <c r="E320" s="11">
        <f t="shared" si="28"/>
        <v>-102</v>
      </c>
      <c r="F320" s="11">
        <f t="shared" si="29"/>
        <v>-35.321124721437101</v>
      </c>
      <c r="G320" s="11">
        <f t="shared" si="30"/>
        <v>-35.343286654957382</v>
      </c>
    </row>
    <row r="321" spans="5:7" x14ac:dyDescent="0.25">
      <c r="E321" s="11">
        <f t="shared" si="28"/>
        <v>-101</v>
      </c>
      <c r="F321" s="11">
        <f t="shared" si="29"/>
        <v>-35.129407277022679</v>
      </c>
      <c r="G321" s="11">
        <f t="shared" si="30"/>
        <v>-35.150126968481871</v>
      </c>
    </row>
    <row r="322" spans="5:7" x14ac:dyDescent="0.25">
      <c r="E322" s="11">
        <f t="shared" si="28"/>
        <v>-100</v>
      </c>
      <c r="F322" s="11">
        <f t="shared" si="29"/>
        <v>-34.935173496957944</v>
      </c>
      <c r="G322" s="11">
        <f t="shared" si="30"/>
        <v>-34.95429115177884</v>
      </c>
    </row>
    <row r="323" spans="5:7" x14ac:dyDescent="0.25">
      <c r="E323" s="11">
        <f t="shared" si="28"/>
        <v>-99</v>
      </c>
      <c r="F323" s="11">
        <f t="shared" si="29"/>
        <v>-34.738237693546424</v>
      </c>
      <c r="G323" s="11">
        <f t="shared" si="30"/>
        <v>-34.755665855631861</v>
      </c>
    </row>
    <row r="324" spans="5:7" x14ac:dyDescent="0.25">
      <c r="E324" s="11">
        <f t="shared" si="28"/>
        <v>-98</v>
      </c>
      <c r="F324" s="11">
        <f t="shared" si="29"/>
        <v>-34.538421231318395</v>
      </c>
      <c r="G324" s="11">
        <f t="shared" si="30"/>
        <v>-34.554137730824522</v>
      </c>
    </row>
    <row r="325" spans="5:7" x14ac:dyDescent="0.25">
      <c r="E325" s="11">
        <f t="shared" si="28"/>
        <v>-97</v>
      </c>
      <c r="F325" s="11">
        <f t="shared" si="29"/>
        <v>-34.33555287053256</v>
      </c>
      <c r="G325" s="11">
        <f t="shared" si="30"/>
        <v>-34.349593428140395</v>
      </c>
    </row>
    <row r="326" spans="5:7" x14ac:dyDescent="0.25">
      <c r="E326" s="11">
        <f t="shared" si="28"/>
        <v>-96</v>
      </c>
      <c r="F326" s="11">
        <f t="shared" si="29"/>
        <v>-34.129469086586781</v>
      </c>
      <c r="G326" s="11">
        <f t="shared" si="30"/>
        <v>-34.141919598363067</v>
      </c>
    </row>
    <row r="327" spans="5:7" x14ac:dyDescent="0.25">
      <c r="E327" s="11">
        <f t="shared" si="28"/>
        <v>-95</v>
      </c>
      <c r="F327" s="11">
        <f t="shared" si="29"/>
        <v>-33.920014364923716</v>
      </c>
      <c r="G327" s="11">
        <f t="shared" si="30"/>
        <v>-33.931002892276119</v>
      </c>
    </row>
    <row r="328" spans="5:7" x14ac:dyDescent="0.25">
      <c r="E328" s="11">
        <f t="shared" si="28"/>
        <v>-94</v>
      </c>
      <c r="F328" s="11">
        <f t="shared" si="29"/>
        <v>-33.707041471065153</v>
      </c>
      <c r="G328" s="11">
        <f t="shared" si="30"/>
        <v>-33.71672996066313</v>
      </c>
    </row>
    <row r="329" spans="5:7" x14ac:dyDescent="0.25">
      <c r="E329" s="11">
        <f t="shared" si="28"/>
        <v>-93</v>
      </c>
      <c r="F329" s="11">
        <f t="shared" si="29"/>
        <v>-33.490411695456899</v>
      </c>
      <c r="G329" s="11">
        <f t="shared" si="30"/>
        <v>-33.498987454307674</v>
      </c>
    </row>
    <row r="330" spans="5:7" x14ac:dyDescent="0.25">
      <c r="E330" s="11">
        <f t="shared" si="28"/>
        <v>-92</v>
      </c>
      <c r="F330" s="11">
        <f t="shared" si="29"/>
        <v>-33.269995072855011</v>
      </c>
      <c r="G330" s="11">
        <f t="shared" si="30"/>
        <v>-33.277662023993337</v>
      </c>
    </row>
    <row r="331" spans="5:7" x14ac:dyDescent="0.25">
      <c r="E331" s="11">
        <f t="shared" si="28"/>
        <v>-91</v>
      </c>
      <c r="F331" s="11">
        <f t="shared" si="29"/>
        <v>-33.04567057603208</v>
      </c>
      <c r="G331" s="11">
        <f t="shared" si="30"/>
        <v>-33.052640320503698</v>
      </c>
    </row>
    <row r="332" spans="5:7" x14ac:dyDescent="0.25">
      <c r="E332" s="11">
        <f t="shared" si="28"/>
        <v>-90</v>
      </c>
      <c r="F332" s="11">
        <f t="shared" si="29"/>
        <v>-32.817326283630464</v>
      </c>
      <c r="G332" s="11">
        <f t="shared" si="30"/>
        <v>-32.82380899462234</v>
      </c>
    </row>
    <row r="333" spans="5:7" x14ac:dyDescent="0.25">
      <c r="E333" s="11">
        <f t="shared" si="28"/>
        <v>-89</v>
      </c>
      <c r="F333" s="11">
        <f t="shared" si="29"/>
        <v>-32.584859522037846</v>
      </c>
      <c r="G333" s="11">
        <f t="shared" si="30"/>
        <v>-32.591054697132847</v>
      </c>
    </row>
    <row r="334" spans="5:7" x14ac:dyDescent="0.25">
      <c r="E334" s="11">
        <f t="shared" si="28"/>
        <v>-88</v>
      </c>
      <c r="F334" s="11">
        <f t="shared" si="29"/>
        <v>-32.348176981209015</v>
      </c>
      <c r="G334" s="11">
        <f t="shared" si="30"/>
        <v>-32.354264078818787</v>
      </c>
    </row>
    <row r="335" spans="5:7" x14ac:dyDescent="0.25">
      <c r="E335" s="11">
        <f t="shared" si="28"/>
        <v>-87</v>
      </c>
      <c r="F335" s="11">
        <f t="shared" si="29"/>
        <v>-32.107194804405232</v>
      </c>
      <c r="G335" s="11">
        <f t="shared" si="30"/>
        <v>-32.113323790463753</v>
      </c>
    </row>
    <row r="336" spans="5:7" x14ac:dyDescent="0.25">
      <c r="E336" s="11">
        <f t="shared" si="28"/>
        <v>-86</v>
      </c>
      <c r="F336" s="11">
        <f t="shared" si="29"/>
        <v>-31.861838651872446</v>
      </c>
      <c r="G336" s="11">
        <f t="shared" si="30"/>
        <v>-31.868120482851317</v>
      </c>
    </row>
    <row r="337" spans="5:7" x14ac:dyDescent="0.25">
      <c r="E337" s="11">
        <f t="shared" si="28"/>
        <v>-85</v>
      </c>
      <c r="F337" s="11">
        <f t="shared" si="29"/>
        <v>-31.612043738525468</v>
      </c>
      <c r="G337" s="11">
        <f t="shared" si="30"/>
        <v>-31.618540806765061</v>
      </c>
    </row>
    <row r="338" spans="5:7" x14ac:dyDescent="0.25">
      <c r="E338" s="11">
        <f t="shared" si="28"/>
        <v>-84</v>
      </c>
      <c r="F338" s="11">
        <f t="shared" si="29"/>
        <v>-31.357754845756336</v>
      </c>
      <c r="G338" s="11">
        <f t="shared" si="30"/>
        <v>-31.364471412988568</v>
      </c>
    </row>
    <row r="339" spans="5:7" x14ac:dyDescent="0.25">
      <c r="E339" s="11">
        <f t="shared" si="28"/>
        <v>-83</v>
      </c>
      <c r="F339" s="11">
        <f t="shared" si="29"/>
        <v>-31.098926307530995</v>
      </c>
      <c r="G339" s="11">
        <f t="shared" si="30"/>
        <v>-31.105798952305413</v>
      </c>
    </row>
    <row r="340" spans="5:7" x14ac:dyDescent="0.25">
      <c r="E340" s="11">
        <f t="shared" si="28"/>
        <v>-82</v>
      </c>
      <c r="F340" s="11">
        <f t="shared" si="29"/>
        <v>-30.835521970988307</v>
      </c>
      <c r="G340" s="11">
        <f t="shared" si="30"/>
        <v>-30.842410075499188</v>
      </c>
    </row>
    <row r="341" spans="5:7" x14ac:dyDescent="0.25">
      <c r="E341" s="11">
        <f t="shared" si="28"/>
        <v>-81</v>
      </c>
      <c r="F341" s="11">
        <f t="shared" si="29"/>
        <v>-30.567515131802832</v>
      </c>
      <c r="G341" s="11">
        <f t="shared" si="30"/>
        <v>-30.574191433353459</v>
      </c>
    </row>
    <row r="342" spans="5:7" x14ac:dyDescent="0.25">
      <c r="E342" s="11">
        <f t="shared" si="28"/>
        <v>-80</v>
      </c>
      <c r="F342" s="11">
        <f t="shared" si="29"/>
        <v>-30.294888444621485</v>
      </c>
      <c r="G342" s="11">
        <f t="shared" si="30"/>
        <v>-30.301029676651815</v>
      </c>
    </row>
    <row r="343" spans="5:7" x14ac:dyDescent="0.25">
      <c r="E343" s="11">
        <f t="shared" si="28"/>
        <v>-79</v>
      </c>
      <c r="F343" s="11">
        <f t="shared" si="29"/>
        <v>-30.017633808932334</v>
      </c>
      <c r="G343" s="11">
        <f t="shared" si="30"/>
        <v>-30.022847016749672</v>
      </c>
    </row>
    <row r="344" spans="5:7" x14ac:dyDescent="0.25">
      <c r="E344" s="11">
        <f t="shared" si="28"/>
        <v>-78</v>
      </c>
      <c r="F344" s="11">
        <f t="shared" si="29"/>
        <v>-29.735752230772267</v>
      </c>
      <c r="G344" s="11">
        <f t="shared" si="30"/>
        <v>-29.739707907289755</v>
      </c>
    </row>
    <row r="345" spans="5:7" x14ac:dyDescent="0.25">
      <c r="E345" s="11">
        <f t="shared" si="28"/>
        <v>-77</v>
      </c>
      <c r="F345" s="11">
        <f t="shared" si="29"/>
        <v>-29.449253660728303</v>
      </c>
      <c r="G345" s="11">
        <f t="shared" si="30"/>
        <v>-29.451712362486649</v>
      </c>
    </row>
    <row r="346" spans="5:7" x14ac:dyDescent="0.25">
      <c r="E346" s="11">
        <f t="shared" si="28"/>
        <v>-76</v>
      </c>
      <c r="F346" s="11">
        <f t="shared" si="29"/>
        <v>-29.158156808735797</v>
      </c>
      <c r="G346" s="11">
        <f t="shared" si="30"/>
        <v>-29.158960396554921</v>
      </c>
    </row>
    <row r="347" spans="5:7" x14ac:dyDescent="0.25">
      <c r="E347" s="11">
        <f t="shared" si="28"/>
        <v>-75</v>
      </c>
      <c r="F347" s="11">
        <f t="shared" si="29"/>
        <v>-28.862488936225159</v>
      </c>
      <c r="G347" s="11">
        <f t="shared" si="30"/>
        <v>-28.861552023709145</v>
      </c>
    </row>
    <row r="348" spans="5:7" x14ac:dyDescent="0.25">
      <c r="E348" s="11">
        <f t="shared" si="28"/>
        <v>-74</v>
      </c>
      <c r="F348" s="11">
        <f t="shared" si="29"/>
        <v>-28.562285626216685</v>
      </c>
      <c r="G348" s="11">
        <f t="shared" si="30"/>
        <v>-28.559587258163887</v>
      </c>
    </row>
    <row r="349" spans="5:7" x14ac:dyDescent="0.25">
      <c r="E349" s="11">
        <f t="shared" si="28"/>
        <v>-73</v>
      </c>
      <c r="F349" s="11">
        <f t="shared" si="29"/>
        <v>-28.257590532011722</v>
      </c>
      <c r="G349" s="11">
        <f t="shared" si="30"/>
        <v>-28.253166114133727</v>
      </c>
    </row>
    <row r="350" spans="5:7" x14ac:dyDescent="0.25">
      <c r="E350" s="11">
        <f t="shared" si="28"/>
        <v>-72</v>
      </c>
      <c r="F350" s="11">
        <f t="shared" si="29"/>
        <v>-27.948455105176592</v>
      </c>
      <c r="G350" s="11">
        <f t="shared" si="30"/>
        <v>-27.942388605833226</v>
      </c>
    </row>
    <row r="351" spans="5:7" x14ac:dyDescent="0.25">
      <c r="E351" s="11">
        <f t="shared" ref="E351:E414" si="31">E144</f>
        <v>-71</v>
      </c>
      <c r="F351" s="11">
        <f t="shared" ref="F351:F414" si="32">$H$217*0+E351*$I$217+E351^2*$J$217+E351^3*$K$217+E351^4*$L$217+E351^5*$M$217+E351^6*$N$217+E351^7*$O$217+E351^8*$P$217</f>
        <v>-27.634938303563942</v>
      </c>
      <c r="G351" s="11">
        <f t="shared" ref="G351:G414" si="33">F144</f>
        <v>-27.627354747476964</v>
      </c>
    </row>
    <row r="352" spans="5:7" x14ac:dyDescent="0.25">
      <c r="E352" s="11">
        <f t="shared" si="31"/>
        <v>-70</v>
      </c>
      <c r="F352" s="11">
        <f t="shared" si="32"/>
        <v>-27.317106280164271</v>
      </c>
      <c r="G352" s="11">
        <f t="shared" si="33"/>
        <v>-27.308164553279511</v>
      </c>
    </row>
    <row r="353" spans="5:7" x14ac:dyDescent="0.25">
      <c r="E353" s="11">
        <f t="shared" si="31"/>
        <v>-69</v>
      </c>
      <c r="F353" s="11">
        <f t="shared" si="32"/>
        <v>-26.995032053629455</v>
      </c>
      <c r="G353" s="11">
        <f t="shared" si="33"/>
        <v>-26.98491803745544</v>
      </c>
    </row>
    <row r="354" spans="5:7" x14ac:dyDescent="0.25">
      <c r="E354" s="11">
        <f t="shared" si="31"/>
        <v>-68</v>
      </c>
      <c r="F354" s="11">
        <f t="shared" si="32"/>
        <v>-26.66879516135727</v>
      </c>
      <c r="G354" s="11">
        <f t="shared" si="33"/>
        <v>-26.657715214219319</v>
      </c>
    </row>
    <row r="355" spans="5:7" x14ac:dyDescent="0.25">
      <c r="E355" s="11">
        <f t="shared" si="31"/>
        <v>-67</v>
      </c>
      <c r="F355" s="11">
        <f t="shared" si="32"/>
        <v>-26.338481296075152</v>
      </c>
      <c r="G355" s="11">
        <f t="shared" si="33"/>
        <v>-26.326656097785726</v>
      </c>
    </row>
    <row r="356" spans="5:7" x14ac:dyDescent="0.25">
      <c r="E356" s="11">
        <f t="shared" si="31"/>
        <v>-66</v>
      </c>
      <c r="F356" s="11">
        <f t="shared" si="32"/>
        <v>-26.004181926909375</v>
      </c>
      <c r="G356" s="11">
        <f t="shared" si="33"/>
        <v>-25.991840702369224</v>
      </c>
    </row>
    <row r="357" spans="5:7" x14ac:dyDescent="0.25">
      <c r="E357" s="11">
        <f t="shared" si="31"/>
        <v>-65</v>
      </c>
      <c r="F357" s="11">
        <f t="shared" si="32"/>
        <v>-25.665993905973718</v>
      </c>
      <c r="G357" s="11">
        <f t="shared" si="33"/>
        <v>-25.653369042184391</v>
      </c>
    </row>
    <row r="358" spans="5:7" x14ac:dyDescent="0.25">
      <c r="E358" s="11">
        <f t="shared" si="31"/>
        <v>-64</v>
      </c>
      <c r="F358" s="11">
        <f t="shared" si="32"/>
        <v>-25.324019061561089</v>
      </c>
      <c r="G358" s="11">
        <f t="shared" si="33"/>
        <v>-25.311341131445793</v>
      </c>
    </row>
    <row r="359" spans="5:7" x14ac:dyDescent="0.25">
      <c r="E359" s="11">
        <f t="shared" si="31"/>
        <v>-63</v>
      </c>
      <c r="F359" s="11">
        <f t="shared" si="32"/>
        <v>-24.978363779068427</v>
      </c>
      <c r="G359" s="11">
        <f t="shared" si="33"/>
        <v>-24.96585698436801</v>
      </c>
    </row>
    <row r="360" spans="5:7" x14ac:dyDescent="0.25">
      <c r="E360" s="11">
        <f t="shared" si="31"/>
        <v>-62</v>
      </c>
      <c r="F360" s="11">
        <f t="shared" si="32"/>
        <v>-24.62913857083479</v>
      </c>
      <c r="G360" s="11">
        <f t="shared" si="33"/>
        <v>-24.617016615165603</v>
      </c>
    </row>
    <row r="361" spans="5:7" x14ac:dyDescent="0.25">
      <c r="E361" s="11">
        <f t="shared" si="31"/>
        <v>-61</v>
      </c>
      <c r="F361" s="11">
        <f t="shared" si="32"/>
        <v>-24.276457636120096</v>
      </c>
      <c r="G361" s="11">
        <f t="shared" si="33"/>
        <v>-24.264920038053152</v>
      </c>
    </row>
    <row r="362" spans="5:7" x14ac:dyDescent="0.25">
      <c r="E362" s="11">
        <f t="shared" si="31"/>
        <v>-60</v>
      </c>
      <c r="F362" s="11">
        <f t="shared" si="32"/>
        <v>-23.920438412500317</v>
      </c>
      <c r="G362" s="11">
        <f t="shared" si="33"/>
        <v>-23.909667267245226</v>
      </c>
    </row>
    <row r="363" spans="5:7" x14ac:dyDescent="0.25">
      <c r="E363" s="11">
        <f t="shared" si="31"/>
        <v>-59</v>
      </c>
      <c r="F363" s="11">
        <f t="shared" si="32"/>
        <v>-23.561201120003762</v>
      </c>
      <c r="G363" s="11">
        <f t="shared" si="33"/>
        <v>-23.551358316956399</v>
      </c>
    </row>
    <row r="364" spans="5:7" x14ac:dyDescent="0.25">
      <c r="E364" s="11">
        <f t="shared" si="31"/>
        <v>-58</v>
      </c>
      <c r="F364" s="11">
        <f t="shared" si="32"/>
        <v>-23.198868299360583</v>
      </c>
      <c r="G364" s="11">
        <f t="shared" si="33"/>
        <v>-23.190093201401243</v>
      </c>
    </row>
    <row r="365" spans="5:7" x14ac:dyDescent="0.25">
      <c r="E365" s="11">
        <f t="shared" si="31"/>
        <v>-57</v>
      </c>
      <c r="F365" s="11">
        <f t="shared" si="32"/>
        <v>-22.833564345786698</v>
      </c>
      <c r="G365" s="11">
        <f t="shared" si="33"/>
        <v>-22.825971934794321</v>
      </c>
    </row>
    <row r="366" spans="5:7" x14ac:dyDescent="0.25">
      <c r="E366" s="11">
        <f t="shared" si="31"/>
        <v>-56</v>
      </c>
      <c r="F366" s="11">
        <f t="shared" si="32"/>
        <v>-22.465415039770981</v>
      </c>
      <c r="G366" s="11">
        <f t="shared" si="33"/>
        <v>-22.459094531350214</v>
      </c>
    </row>
    <row r="367" spans="5:7" x14ac:dyDescent="0.25">
      <c r="E367" s="11">
        <f t="shared" si="31"/>
        <v>-55</v>
      </c>
      <c r="F367" s="11">
        <f t="shared" si="32"/>
        <v>-22.094547076383492</v>
      </c>
      <c r="G367" s="11">
        <f t="shared" si="33"/>
        <v>-22.089561005283493</v>
      </c>
    </row>
    <row r="368" spans="5:7" x14ac:dyDescent="0.25">
      <c r="E368" s="11">
        <f t="shared" si="31"/>
        <v>-54</v>
      </c>
      <c r="F368" s="11">
        <f t="shared" si="32"/>
        <v>-21.721087594670117</v>
      </c>
      <c r="G368" s="11">
        <f t="shared" si="33"/>
        <v>-21.717471370808724</v>
      </c>
    </row>
    <row r="369" spans="5:7" x14ac:dyDescent="0.25">
      <c r="E369" s="11">
        <f t="shared" si="31"/>
        <v>-53</v>
      </c>
      <c r="F369" s="11">
        <f t="shared" si="32"/>
        <v>-21.345163708747997</v>
      </c>
      <c r="G369" s="11">
        <f t="shared" si="33"/>
        <v>-21.342925642140482</v>
      </c>
    </row>
    <row r="370" spans="5:7" x14ac:dyDescent="0.25">
      <c r="E370" s="11">
        <f t="shared" si="31"/>
        <v>-52</v>
      </c>
      <c r="F370" s="11">
        <f t="shared" si="32"/>
        <v>-20.966902042263836</v>
      </c>
      <c r="G370" s="11">
        <f t="shared" si="33"/>
        <v>-20.966023833493338</v>
      </c>
    </row>
    <row r="371" spans="5:7" x14ac:dyDescent="0.25">
      <c r="E371" s="11">
        <f t="shared" si="31"/>
        <v>-51</v>
      </c>
      <c r="F371" s="11">
        <f t="shared" si="32"/>
        <v>-20.586428267925818</v>
      </c>
      <c r="G371" s="11">
        <f t="shared" si="33"/>
        <v>-20.586865959081869</v>
      </c>
    </row>
    <row r="372" spans="5:7" x14ac:dyDescent="0.25">
      <c r="E372" s="11">
        <f t="shared" si="31"/>
        <v>-50</v>
      </c>
      <c r="F372" s="11">
        <f t="shared" si="32"/>
        <v>-20.203866653868108</v>
      </c>
      <c r="G372" s="11">
        <f t="shared" si="33"/>
        <v>-20.20555203312064</v>
      </c>
    </row>
    <row r="373" spans="5:7" x14ac:dyDescent="0.25">
      <c r="E373" s="11">
        <f t="shared" si="31"/>
        <v>-49</v>
      </c>
      <c r="F373" s="11">
        <f t="shared" si="32"/>
        <v>-19.819339618655039</v>
      </c>
      <c r="G373" s="11">
        <f t="shared" si="33"/>
        <v>-19.822182069824226</v>
      </c>
    </row>
    <row r="374" spans="5:7" x14ac:dyDescent="0.25">
      <c r="E374" s="11">
        <f t="shared" si="31"/>
        <v>-48</v>
      </c>
      <c r="F374" s="11">
        <f t="shared" si="32"/>
        <v>-19.432967296780618</v>
      </c>
      <c r="G374" s="11">
        <f t="shared" si="33"/>
        <v>-19.436856083407193</v>
      </c>
    </row>
    <row r="375" spans="5:7" x14ac:dyDescent="0.25">
      <c r="E375" s="11">
        <f t="shared" si="31"/>
        <v>-47</v>
      </c>
      <c r="F375" s="11">
        <f t="shared" si="32"/>
        <v>-19.044867116567112</v>
      </c>
      <c r="G375" s="11">
        <f t="shared" si="33"/>
        <v>-19.049674088084121</v>
      </c>
    </row>
    <row r="376" spans="5:7" x14ac:dyDescent="0.25">
      <c r="E376" s="11">
        <f t="shared" si="31"/>
        <v>-46</v>
      </c>
      <c r="F376" s="11">
        <f t="shared" si="32"/>
        <v>-18.655153392414842</v>
      </c>
      <c r="G376" s="11">
        <f t="shared" si="33"/>
        <v>-18.660736098069577</v>
      </c>
    </row>
    <row r="377" spans="5:7" x14ac:dyDescent="0.25">
      <c r="E377" s="11">
        <f t="shared" si="31"/>
        <v>-45</v>
      </c>
      <c r="F377" s="11">
        <f t="shared" si="32"/>
        <v>-18.263936933403603</v>
      </c>
      <c r="G377" s="11">
        <f t="shared" si="33"/>
        <v>-18.270142127578133</v>
      </c>
    </row>
    <row r="378" spans="5:7" x14ac:dyDescent="0.25">
      <c r="E378" s="11">
        <f t="shared" si="31"/>
        <v>-44</v>
      </c>
      <c r="F378" s="11">
        <f t="shared" si="32"/>
        <v>-17.871324670294413</v>
      </c>
      <c r="G378" s="11">
        <f t="shared" si="33"/>
        <v>-17.877992190824362</v>
      </c>
    </row>
    <row r="379" spans="5:7" x14ac:dyDescent="0.25">
      <c r="E379" s="11">
        <f t="shared" si="31"/>
        <v>-43</v>
      </c>
      <c r="F379" s="11">
        <f t="shared" si="32"/>
        <v>-17.477419303028622</v>
      </c>
      <c r="G379" s="11">
        <f t="shared" si="33"/>
        <v>-17.484386302022834</v>
      </c>
    </row>
    <row r="380" spans="5:7" x14ac:dyDescent="0.25">
      <c r="E380" s="11">
        <f t="shared" si="31"/>
        <v>-42</v>
      </c>
      <c r="F380" s="11">
        <f t="shared" si="32"/>
        <v>-17.082318970869622</v>
      </c>
      <c r="G380" s="11">
        <f t="shared" si="33"/>
        <v>-17.089424475388125</v>
      </c>
    </row>
    <row r="381" spans="5:7" x14ac:dyDescent="0.25">
      <c r="E381" s="11">
        <f t="shared" si="31"/>
        <v>-41</v>
      </c>
      <c r="F381" s="11">
        <f t="shared" si="32"/>
        <v>-16.686116947380864</v>
      </c>
      <c r="G381" s="11">
        <f t="shared" si="33"/>
        <v>-16.6932067251348</v>
      </c>
    </row>
    <row r="382" spans="5:7" x14ac:dyDescent="0.25">
      <c r="E382" s="11">
        <f t="shared" si="31"/>
        <v>-40</v>
      </c>
      <c r="F382" s="11">
        <f t="shared" si="32"/>
        <v>-16.288901362481926</v>
      </c>
      <c r="G382" s="11">
        <f t="shared" si="33"/>
        <v>-16.295833065477435</v>
      </c>
    </row>
    <row r="383" spans="5:7" x14ac:dyDescent="0.25">
      <c r="E383" s="11">
        <f t="shared" si="31"/>
        <v>-39</v>
      </c>
      <c r="F383" s="11">
        <f t="shared" si="32"/>
        <v>-15.89075495387303</v>
      </c>
      <c r="G383" s="11">
        <f t="shared" si="33"/>
        <v>-15.8974035106306</v>
      </c>
    </row>
    <row r="384" spans="5:7" x14ac:dyDescent="0.25">
      <c r="E384" s="11">
        <f t="shared" si="31"/>
        <v>-38</v>
      </c>
      <c r="F384" s="11">
        <f t="shared" si="32"/>
        <v>-15.491754850166263</v>
      </c>
      <c r="G384" s="11">
        <f t="shared" si="33"/>
        <v>-15.498018074808869</v>
      </c>
    </row>
    <row r="385" spans="5:7" x14ac:dyDescent="0.25">
      <c r="E385" s="11">
        <f t="shared" si="31"/>
        <v>-37</v>
      </c>
      <c r="F385" s="11">
        <f t="shared" si="32"/>
        <v>-15.091972388110531</v>
      </c>
      <c r="G385" s="11">
        <f t="shared" si="33"/>
        <v>-15.09777677222681</v>
      </c>
    </row>
    <row r="386" spans="5:7" x14ac:dyDescent="0.25">
      <c r="E386" s="11">
        <f t="shared" si="31"/>
        <v>-36</v>
      </c>
      <c r="F386" s="11">
        <f t="shared" si="32"/>
        <v>-14.691472966345131</v>
      </c>
      <c r="G386" s="11">
        <f t="shared" si="33"/>
        <v>-14.696779617098997</v>
      </c>
    </row>
    <row r="387" spans="5:7" x14ac:dyDescent="0.25">
      <c r="E387" s="11">
        <f t="shared" si="31"/>
        <v>-35</v>
      </c>
      <c r="F387" s="11">
        <f t="shared" si="32"/>
        <v>-14.290315938165453</v>
      </c>
      <c r="G387" s="11">
        <f t="shared" si="33"/>
        <v>-14.295126623640002</v>
      </c>
    </row>
    <row r="388" spans="5:7" x14ac:dyDescent="0.25">
      <c r="E388" s="11">
        <f t="shared" si="31"/>
        <v>-34</v>
      </c>
      <c r="F388" s="11">
        <f t="shared" si="32"/>
        <v>-13.888554545832395</v>
      </c>
      <c r="G388" s="11">
        <f t="shared" si="33"/>
        <v>-13.892903783810139</v>
      </c>
    </row>
    <row r="389" spans="5:7" x14ac:dyDescent="0.25">
      <c r="E389" s="11">
        <f t="shared" si="31"/>
        <v>-33</v>
      </c>
      <c r="F389" s="11">
        <f t="shared" si="32"/>
        <v>-13.486235899005592</v>
      </c>
      <c r="G389" s="11">
        <f t="shared" si="33"/>
        <v>-13.490141000552713</v>
      </c>
    </row>
    <row r="390" spans="5:7" x14ac:dyDescent="0.25">
      <c r="E390" s="11">
        <f t="shared" si="31"/>
        <v>-32</v>
      </c>
      <c r="F390" s="11">
        <f t="shared" si="32"/>
        <v>-13.083400999928589</v>
      </c>
      <c r="G390" s="11">
        <f t="shared" si="33"/>
        <v>-13.08685415455677</v>
      </c>
    </row>
    <row r="391" spans="5:7" x14ac:dyDescent="0.25">
      <c r="E391" s="11">
        <f t="shared" si="31"/>
        <v>-31</v>
      </c>
      <c r="F391" s="11">
        <f t="shared" si="32"/>
        <v>-12.680084818042625</v>
      </c>
      <c r="G391" s="11">
        <f t="shared" si="33"/>
        <v>-12.683059126511351</v>
      </c>
    </row>
    <row r="392" spans="5:7" x14ac:dyDescent="0.25">
      <c r="E392" s="11">
        <f t="shared" si="31"/>
        <v>-30</v>
      </c>
      <c r="F392" s="11">
        <f t="shared" si="32"/>
        <v>-12.276316416753872</v>
      </c>
      <c r="G392" s="11">
        <f t="shared" si="33"/>
        <v>-12.278771797105508</v>
      </c>
    </row>
    <row r="393" spans="5:7" x14ac:dyDescent="0.25">
      <c r="E393" s="11">
        <f t="shared" si="31"/>
        <v>-29</v>
      </c>
      <c r="F393" s="11">
        <f t="shared" si="32"/>
        <v>-11.872119135127274</v>
      </c>
      <c r="G393" s="11">
        <f t="shared" si="33"/>
        <v>-11.874008047028283</v>
      </c>
    </row>
    <row r="394" spans="5:7" x14ac:dyDescent="0.25">
      <c r="E394" s="11">
        <f t="shared" si="31"/>
        <v>-28</v>
      </c>
      <c r="F394" s="11">
        <f t="shared" si="32"/>
        <v>-11.467510827328468</v>
      </c>
      <c r="G394" s="11">
        <f t="shared" si="33"/>
        <v>-11.468783756968723</v>
      </c>
    </row>
    <row r="395" spans="5:7" x14ac:dyDescent="0.25">
      <c r="E395" s="11">
        <f t="shared" si="31"/>
        <v>-27</v>
      </c>
      <c r="F395" s="11">
        <f t="shared" si="32"/>
        <v>-11.062504162683535</v>
      </c>
      <c r="G395" s="11">
        <f t="shared" si="33"/>
        <v>-11.063114807615875</v>
      </c>
    </row>
    <row r="396" spans="5:7" x14ac:dyDescent="0.25">
      <c r="E396" s="11">
        <f t="shared" si="31"/>
        <v>-26</v>
      </c>
      <c r="F396" s="11">
        <f t="shared" si="32"/>
        <v>-10.657106989274645</v>
      </c>
      <c r="G396" s="11">
        <f t="shared" si="33"/>
        <v>-10.657017079658784</v>
      </c>
    </row>
    <row r="397" spans="5:7" x14ac:dyDescent="0.25">
      <c r="E397" s="11">
        <f t="shared" si="31"/>
        <v>-25</v>
      </c>
      <c r="F397" s="11">
        <f t="shared" si="32"/>
        <v>-10.251322764037935</v>
      </c>
      <c r="G397" s="11">
        <f t="shared" si="33"/>
        <v>-10.250506453786496</v>
      </c>
    </row>
    <row r="398" spans="5:7" x14ac:dyDescent="0.25">
      <c r="E398" s="11">
        <f t="shared" si="31"/>
        <v>-24</v>
      </c>
      <c r="F398" s="11">
        <f t="shared" si="32"/>
        <v>-9.8451510523782719</v>
      </c>
      <c r="G398" s="11">
        <f t="shared" si="33"/>
        <v>-9.8435988106880572</v>
      </c>
    </row>
    <row r="399" spans="5:7" x14ac:dyDescent="0.25">
      <c r="E399" s="11">
        <f t="shared" si="31"/>
        <v>-23</v>
      </c>
      <c r="F399" s="11">
        <f t="shared" si="32"/>
        <v>-9.4385881003638676</v>
      </c>
      <c r="G399" s="11">
        <f t="shared" si="33"/>
        <v>-9.4363100310525141</v>
      </c>
    </row>
    <row r="400" spans="5:7" x14ac:dyDescent="0.25">
      <c r="E400" s="11">
        <f t="shared" si="31"/>
        <v>-22</v>
      </c>
      <c r="F400" s="11">
        <f t="shared" si="32"/>
        <v>-9.03162748261194</v>
      </c>
      <c r="G400" s="11">
        <f t="shared" si="33"/>
        <v>-9.0286559955689114</v>
      </c>
    </row>
    <row r="401" spans="5:7" x14ac:dyDescent="0.25">
      <c r="E401" s="11">
        <f t="shared" si="31"/>
        <v>-21</v>
      </c>
      <c r="F401" s="11">
        <f t="shared" si="32"/>
        <v>-8.6242608290250313</v>
      </c>
      <c r="G401" s="11">
        <f t="shared" si="33"/>
        <v>-8.6206525849262974</v>
      </c>
    </row>
    <row r="402" spans="5:7" x14ac:dyDescent="0.25">
      <c r="E402" s="11">
        <f t="shared" si="31"/>
        <v>-20</v>
      </c>
      <c r="F402" s="11">
        <f t="shared" si="32"/>
        <v>-8.2164786335857407</v>
      </c>
      <c r="G402" s="11">
        <f t="shared" si="33"/>
        <v>-8.2123156798137167</v>
      </c>
    </row>
    <row r="403" spans="5:7" x14ac:dyDescent="0.25">
      <c r="E403" s="11">
        <f t="shared" si="31"/>
        <v>-19</v>
      </c>
      <c r="F403" s="11">
        <f t="shared" si="32"/>
        <v>-7.8082711484660736</v>
      </c>
      <c r="G403" s="11">
        <f t="shared" si="33"/>
        <v>-7.8036611609202149</v>
      </c>
    </row>
    <row r="404" spans="5:7" x14ac:dyDescent="0.25">
      <c r="E404" s="11">
        <f t="shared" si="31"/>
        <v>-18</v>
      </c>
      <c r="F404" s="11">
        <f t="shared" si="32"/>
        <v>-7.3996293667557893</v>
      </c>
      <c r="G404" s="11">
        <f t="shared" si="33"/>
        <v>-7.3947049089348384</v>
      </c>
    </row>
    <row r="405" spans="5:7" x14ac:dyDescent="0.25">
      <c r="E405" s="11">
        <f t="shared" si="31"/>
        <v>-17</v>
      </c>
      <c r="F405" s="11">
        <f t="shared" si="32"/>
        <v>-6.9905460971625093</v>
      </c>
      <c r="G405" s="11">
        <f t="shared" si="33"/>
        <v>-6.9854628045466338</v>
      </c>
    </row>
    <row r="406" spans="5:7" x14ac:dyDescent="0.25">
      <c r="E406" s="11">
        <f t="shared" si="31"/>
        <v>-16</v>
      </c>
      <c r="F406" s="11">
        <f t="shared" si="32"/>
        <v>-6.5810171340845747</v>
      </c>
      <c r="G406" s="11">
        <f t="shared" si="33"/>
        <v>-6.5759507284446475</v>
      </c>
    </row>
    <row r="407" spans="5:7" x14ac:dyDescent="0.25">
      <c r="E407" s="11">
        <f t="shared" si="31"/>
        <v>-15</v>
      </c>
      <c r="F407" s="11">
        <f t="shared" si="32"/>
        <v>-6.1710425265060227</v>
      </c>
      <c r="G407" s="11">
        <f t="shared" si="33"/>
        <v>-6.166184561317924</v>
      </c>
    </row>
    <row r="408" spans="5:7" x14ac:dyDescent="0.25">
      <c r="E408" s="11">
        <f t="shared" si="31"/>
        <v>-14</v>
      </c>
      <c r="F408" s="11">
        <f t="shared" si="32"/>
        <v>-5.7606279492112531</v>
      </c>
      <c r="G408" s="11">
        <f t="shared" si="33"/>
        <v>-5.75618018385551</v>
      </c>
    </row>
    <row r="409" spans="5:7" x14ac:dyDescent="0.25">
      <c r="E409" s="11">
        <f t="shared" si="31"/>
        <v>-13</v>
      </c>
      <c r="F409" s="11">
        <f t="shared" si="32"/>
        <v>-5.3497861798653146</v>
      </c>
      <c r="G409" s="11">
        <f t="shared" si="33"/>
        <v>-5.3459534767464518</v>
      </c>
    </row>
    <row r="410" spans="5:7" x14ac:dyDescent="0.25">
      <c r="E410" s="11">
        <f t="shared" si="31"/>
        <v>-12</v>
      </c>
      <c r="F410" s="11">
        <f t="shared" si="32"/>
        <v>-4.9385386855540556</v>
      </c>
      <c r="G410" s="11">
        <f t="shared" si="33"/>
        <v>-4.935520320679796</v>
      </c>
    </row>
    <row r="411" spans="5:7" x14ac:dyDescent="0.25">
      <c r="E411" s="11">
        <f t="shared" si="31"/>
        <v>-11</v>
      </c>
      <c r="F411" s="11">
        <f t="shared" si="32"/>
        <v>-4.5269173224265939</v>
      </c>
      <c r="G411" s="11">
        <f t="shared" si="33"/>
        <v>-4.5248965963445871</v>
      </c>
    </row>
    <row r="412" spans="5:7" x14ac:dyDescent="0.25">
      <c r="E412" s="11">
        <f t="shared" si="31"/>
        <v>-10</v>
      </c>
      <c r="F412" s="11">
        <f t="shared" si="32"/>
        <v>-4.1149661521309557</v>
      </c>
      <c r="G412" s="11">
        <f t="shared" si="33"/>
        <v>-4.1140981844298716</v>
      </c>
    </row>
    <row r="413" spans="5:7" x14ac:dyDescent="0.25">
      <c r="E413" s="11">
        <f t="shared" si="31"/>
        <v>-9</v>
      </c>
      <c r="F413" s="11">
        <f t="shared" si="32"/>
        <v>-3.7027433787819568</v>
      </c>
      <c r="G413" s="11">
        <f t="shared" si="33"/>
        <v>-3.7031409656246961</v>
      </c>
    </row>
    <row r="414" spans="5:7" x14ac:dyDescent="0.25">
      <c r="E414" s="11">
        <f t="shared" si="31"/>
        <v>-8</v>
      </c>
      <c r="F414" s="11">
        <f t="shared" si="32"/>
        <v>-3.2903234102487664</v>
      </c>
      <c r="G414" s="11">
        <f t="shared" si="33"/>
        <v>-3.2920408206181064</v>
      </c>
    </row>
    <row r="415" spans="5:7" x14ac:dyDescent="0.25">
      <c r="E415" s="11">
        <f t="shared" ref="E415:E422" si="34">E208</f>
        <v>-7</v>
      </c>
      <c r="F415" s="11">
        <f t="shared" ref="F415:F422" si="35">$H$217*0+E415*$I$217+E415^2*$J$217+E415^3*$K$217+E415^4*$L$217+E415^5*$M$217+E415^6*$N$217+E415^7*$O$217+E415^8*$P$217</f>
        <v>-2.8777990475977857</v>
      </c>
      <c r="G415" s="11">
        <f t="shared" ref="G415:G422" si="36">F208</f>
        <v>-2.8808136300991487</v>
      </c>
    </row>
    <row r="416" spans="5:7" x14ac:dyDescent="0.25">
      <c r="E416" s="11">
        <f t="shared" si="34"/>
        <v>-6</v>
      </c>
      <c r="F416" s="11">
        <f t="shared" si="35"/>
        <v>-2.4652838065749103</v>
      </c>
      <c r="G416" s="11">
        <f t="shared" si="36"/>
        <v>-2.4694752747568689</v>
      </c>
    </row>
    <row r="417" spans="5:7" x14ac:dyDescent="0.25">
      <c r="E417" s="11">
        <f t="shared" si="34"/>
        <v>-5</v>
      </c>
      <c r="F417" s="11">
        <f t="shared" si="35"/>
        <v>-2.0529143750594097</v>
      </c>
      <c r="G417" s="11">
        <f t="shared" si="36"/>
        <v>-2.0580416352803126</v>
      </c>
    </row>
    <row r="418" spans="5:7" x14ac:dyDescent="0.25">
      <c r="E418" s="11">
        <f t="shared" si="34"/>
        <v>-4</v>
      </c>
      <c r="F418" s="11">
        <f t="shared" si="35"/>
        <v>-1.6408532104700426</v>
      </c>
      <c r="G418" s="11">
        <f t="shared" si="36"/>
        <v>-1.6465285923585262</v>
      </c>
    </row>
    <row r="419" spans="5:7" x14ac:dyDescent="0.25">
      <c r="E419" s="11">
        <f t="shared" si="34"/>
        <v>-3</v>
      </c>
      <c r="F419" s="11">
        <f t="shared" si="35"/>
        <v>-1.229291281152278</v>
      </c>
      <c r="G419" s="11">
        <f t="shared" si="36"/>
        <v>-1.2349520266805558</v>
      </c>
    </row>
    <row r="420" spans="5:7" x14ac:dyDescent="0.25">
      <c r="E420" s="11">
        <f t="shared" si="34"/>
        <v>-2</v>
      </c>
      <c r="F420" s="11">
        <f t="shared" si="35"/>
        <v>-0.81845095582381255</v>
      </c>
      <c r="G420" s="11">
        <f t="shared" si="36"/>
        <v>-0.82332781893544715</v>
      </c>
    </row>
    <row r="421" spans="5:7" x14ac:dyDescent="0.25">
      <c r="E421" s="11">
        <f t="shared" si="34"/>
        <v>-1</v>
      </c>
      <c r="F421" s="11">
        <f t="shared" si="35"/>
        <v>-0.40858904520386308</v>
      </c>
      <c r="G421" s="11">
        <f t="shared" si="36"/>
        <v>-0.41167184981224658</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2022-01-07T10:19:07Z</dcterms:modified>
</cp:coreProperties>
</file>