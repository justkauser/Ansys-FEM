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<sst xmlns="http://schemas.openxmlformats.org/spreadsheetml/2006/main" count="309" uniqueCount="163">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</sst>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55916312"/>
        <c:axId val="655918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5916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8664"/>
        <c:crossesAt val="-8.0000000000000019E-3"/>
        <c:crossBetween val="midCat"/>
      </c:valAx>
      <c:valAx>
        <c:axId val="655918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6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55917096"/>
        <c:axId val="4931836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59170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3183656"/>
        <c:crosses val="autoZero"/>
        <c:crossBetween val="midCat"/>
      </c:valAx>
      <c:valAx>
        <c:axId val="4931836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70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3184048"/>
        <c:axId val="6605041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3184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0504184"/>
        <c:crosses val="autoZero"/>
        <c:crossBetween val="midCat"/>
        <c:majorUnit val="10000"/>
      </c:valAx>
      <c:valAx>
        <c:axId val="66050418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31840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9786304"/>
        <c:axId val="5509367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786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0936792"/>
        <c:crosses val="autoZero"/>
        <c:crossBetween val="midCat"/>
        <c:majorUnit val="10000"/>
      </c:valAx>
      <c:valAx>
        <c:axId val="55093679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978630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59106784"/>
        <c:axId val="659107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910678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7960"/>
        <c:crosses val="autoZero"/>
        <c:crossBetween val="midCat"/>
        <c:majorUnit val="10000"/>
      </c:valAx>
      <c:valAx>
        <c:axId val="65910796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678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1.256000503720304E-2</c:v>
                </c:pt>
                <c:pt idx="1">
                  <c:v>1.6987734069625646E-2</c:v>
                </c:pt>
                <c:pt idx="2">
                  <c:v>4.6593571103914428E-3</c:v>
                </c:pt>
                <c:pt idx="3">
                  <c:v>7.9877307421476749E-4</c:v>
                </c:pt>
                <c:pt idx="4">
                  <c:v>1.1262663003267793E-4</c:v>
                </c:pt>
                <c:pt idx="5">
                  <c:v>1.8998311058335153E-5</c:v>
                </c:pt>
                <c:pt idx="6">
                  <c:v>5.3029031413091449E-7</c:v>
                </c:pt>
                <c:pt idx="7">
                  <c:v>9.886531901138731E-6</c:v>
                </c:pt>
                <c:pt idx="8">
                  <c:v>1.1410671039328178E-5</c:v>
                </c:pt>
                <c:pt idx="9">
                  <c:v>3.5318630703800787E-5</c:v>
                </c:pt>
                <c:pt idx="10">
                  <c:v>5.5080390815686502E-5</c:v>
                </c:pt>
                <c:pt idx="11">
                  <c:v>8.9967829421691662E-5</c:v>
                </c:pt>
                <c:pt idx="12">
                  <c:v>1.173840511738732E-4</c:v>
                </c:pt>
                <c:pt idx="13">
                  <c:v>1.354283994326943E-4</c:v>
                </c:pt>
                <c:pt idx="14">
                  <c:v>1.3667562486952432E-4</c:v>
                </c:pt>
                <c:pt idx="15">
                  <c:v>1.1809594441678184E-4</c:v>
                </c:pt>
                <c:pt idx="16">
                  <c:v>1.0333000573024926E-4</c:v>
                </c:pt>
                <c:pt idx="17">
                  <c:v>7.8146154975075911E-5</c:v>
                </c:pt>
                <c:pt idx="18">
                  <c:v>3.8418462895017744E-5</c:v>
                </c:pt>
                <c:pt idx="19">
                  <c:v>5.7467268230397926E-5</c:v>
                </c:pt>
                <c:pt idx="20">
                  <c:v>2.5142640443548833E-6</c:v>
                </c:pt>
                <c:pt idx="21">
                  <c:v>1.7855455271134242E-5</c:v>
                </c:pt>
                <c:pt idx="22">
                  <c:v>5.7266309785606994E-5</c:v>
                </c:pt>
                <c:pt idx="23">
                  <c:v>9.61920771120755E-6</c:v>
                </c:pt>
                <c:pt idx="24">
                  <c:v>1.5857366651687497E-5</c:v>
                </c:pt>
                <c:pt idx="25">
                  <c:v>1.3447031989122107E-4</c:v>
                </c:pt>
                <c:pt idx="26">
                  <c:v>5.905958445486856E-5</c:v>
                </c:pt>
                <c:pt idx="27">
                  <c:v>2.1212723894632477E-4</c:v>
                </c:pt>
                <c:pt idx="28">
                  <c:v>1.6080315431825286E-4</c:v>
                </c:pt>
                <c:pt idx="29">
                  <c:v>1.0350171101813328E-4</c:v>
                </c:pt>
                <c:pt idx="30">
                  <c:v>3.0475264328929291E-4</c:v>
                </c:pt>
              </c:numCache>
            </c:numRef>
          </c:yVal>
          <c:smooth val="1"/>
        </c:ser>
        <c:dLbls>
          <c:showLegendKey val="0"/>
          <c:showVal val="0"/>
          <c:showCatName val="0"/>
          <c:showSerName val="0"/>
          <c:showPercent val="0"/>
          <c:showBubbleSize val="0"/>
        </c:dLbls>
        <c:axId val="659108744"/>
        <c:axId val="545810168"/>
      </c:scatterChart>
      <c:valAx>
        <c:axId val="6591087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10168"/>
        <c:crossesAt val="-1.5000000000000005E-3"/>
        <c:crossBetween val="midCat"/>
      </c:valAx>
      <c:valAx>
        <c:axId val="5458101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874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4509.2470492235625</c:v>
                </c:pt>
                <c:pt idx="1">
                  <c:v>4442.1202154733082</c:v>
                </c:pt>
                <c:pt idx="2">
                  <c:v>4192.1228661799605</c:v>
                </c:pt>
                <c:pt idx="3">
                  <c:v>4038.3396313736066</c:v>
                </c:pt>
                <c:pt idx="4">
                  <c:v>3826.5519124274392</c:v>
                </c:pt>
                <c:pt idx="5">
                  <c:v>3620.227941448316</c:v>
                </c:pt>
                <c:pt idx="6">
                  <c:v>3446.6250763782541</c:v>
                </c:pt>
                <c:pt idx="7">
                  <c:v>3283.571458891437</c:v>
                </c:pt>
                <c:pt idx="8">
                  <c:v>3126.1158687626598</c:v>
                </c:pt>
                <c:pt idx="9">
                  <c:v>2971.0289875330714</c:v>
                </c:pt>
                <c:pt idx="10">
                  <c:v>2814.7980723395222</c:v>
                </c:pt>
                <c:pt idx="11">
                  <c:v>2641.7178165927758</c:v>
                </c:pt>
                <c:pt idx="12">
                  <c:v>2448.8960059197548</c:v>
                </c:pt>
                <c:pt idx="13">
                  <c:v>2236.1275470550813</c:v>
                </c:pt>
                <c:pt idx="14">
                  <c:v>1993.0632801470108</c:v>
                </c:pt>
                <c:pt idx="15">
                  <c:v>1708.1117567948656</c:v>
                </c:pt>
                <c:pt idx="16">
                  <c:v>1382.8472352094652</c:v>
                </c:pt>
                <c:pt idx="17">
                  <c:v>1045.4663134161933</c:v>
                </c:pt>
                <c:pt idx="18">
                  <c:v>743.47632145542229</c:v>
                </c:pt>
                <c:pt idx="19">
                  <c:v>519.52585621235369</c:v>
                </c:pt>
                <c:pt idx="20">
                  <c:v>383.51471653499635</c:v>
                </c:pt>
                <c:pt idx="21">
                  <c:v>314.10932669727146</c:v>
                </c:pt>
                <c:pt idx="22">
                  <c:v>280.70703648168103</c:v>
                </c:pt>
                <c:pt idx="23">
                  <c:v>262.24148069368988</c:v>
                </c:pt>
                <c:pt idx="24">
                  <c:v>250.54251980469854</c:v>
                </c:pt>
                <c:pt idx="25">
                  <c:v>245.35925389803589</c:v>
                </c:pt>
                <c:pt idx="26">
                  <c:v>234.05610548234361</c:v>
                </c:pt>
                <c:pt idx="27">
                  <c:v>226.23063269584452</c:v>
                </c:pt>
                <c:pt idx="28">
                  <c:v>225.20210306178973</c:v>
                </c:pt>
                <c:pt idx="29">
                  <c:v>225.11325069814757</c:v>
                </c:pt>
                <c:pt idx="30">
                  <c:v>225.10814174814411</c:v>
                </c:pt>
              </c:numCache>
            </c:numRef>
          </c:yVal>
          <c:smooth val="1"/>
        </c:ser>
        <c:dLbls>
          <c:showLegendKey val="0"/>
          <c:showVal val="0"/>
          <c:showCatName val="0"/>
          <c:showSerName val="0"/>
          <c:showPercent val="0"/>
          <c:showBubbleSize val="0"/>
        </c:dLbls>
        <c:axId val="545807032"/>
        <c:axId val="545807816"/>
      </c:scatterChart>
      <c:valAx>
        <c:axId val="545807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7816"/>
        <c:crosses val="autoZero"/>
        <c:crossBetween val="midCat"/>
      </c:valAx>
      <c:valAx>
        <c:axId val="5458078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70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2.4243888287744926E-3</c:v>
                </c:pt>
                <c:pt idx="1">
                  <c:v>2.4302179316268726E-3</c:v>
                </c:pt>
                <c:pt idx="2">
                  <c:v>2.4266152445053908E-3</c:v>
                </c:pt>
                <c:pt idx="3">
                  <c:v>2.4254956204769634E-3</c:v>
                </c:pt>
                <c:pt idx="4">
                  <c:v>2.4251651872139986E-3</c:v>
                </c:pt>
                <c:pt idx="5">
                  <c:v>2.4250336574054795E-3</c:v>
                </c:pt>
                <c:pt idx="6">
                  <c:v>2.4250208446042229E-3</c:v>
                </c:pt>
                <c:pt idx="7">
                  <c:v>2.424985751250856E-3</c:v>
                </c:pt>
                <c:pt idx="8">
                  <c:v>2.4249748754514833E-3</c:v>
                </c:pt>
                <c:pt idx="9">
                  <c:v>2.4247506261566702E-3</c:v>
                </c:pt>
                <c:pt idx="10">
                  <c:v>2.4225851278135641E-3</c:v>
                </c:pt>
                <c:pt idx="11">
                  <c:v>2.4011066291826219E-3</c:v>
                </c:pt>
                <c:pt idx="12">
                  <c:v>2.1880932380588442E-3</c:v>
                </c:pt>
                <c:pt idx="13">
                  <c:v>1.5810912460641744E-4</c:v>
                </c:pt>
                <c:pt idx="14">
                  <c:v>1.5329064302873051E-2</c:v>
                </c:pt>
                <c:pt idx="15">
                  <c:v>2.5643624175518537E-2</c:v>
                </c:pt>
                <c:pt idx="16">
                  <c:v>7.1104796252322799E-2</c:v>
                </c:pt>
                <c:pt idx="17">
                  <c:v>0.12086489688423178</c:v>
                </c:pt>
                <c:pt idx="18">
                  <c:v>9.9305234157134034E-2</c:v>
                </c:pt>
                <c:pt idx="19">
                  <c:v>7.4528500843755632E-2</c:v>
                </c:pt>
                <c:pt idx="20">
                  <c:v>4.2084585429193647E-2</c:v>
                </c:pt>
                <c:pt idx="21">
                  <c:v>1.2495445936425251E-3</c:v>
                </c:pt>
                <c:pt idx="22">
                  <c:v>3.7696718099914206E-2</c:v>
                </c:pt>
                <c:pt idx="23">
                  <c:v>3.0592309828702237E-2</c:v>
                </c:pt>
                <c:pt idx="24">
                  <c:v>4.7234583382833442E-2</c:v>
                </c:pt>
                <c:pt idx="25">
                  <c:v>5.296724680610481E-2</c:v>
                </c:pt>
                <c:pt idx="26">
                  <c:v>6.0465988939738223E-2</c:v>
                </c:pt>
                <c:pt idx="27">
                  <c:v>6.6096774511827439E-2</c:v>
                </c:pt>
                <c:pt idx="28">
                  <c:v>6.7416098506972361E-2</c:v>
                </c:pt>
                <c:pt idx="29">
                  <c:v>6.9214867827186888E-2</c:v>
                </c:pt>
                <c:pt idx="30">
                  <c:v>6.9157618189098768E-2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9.9749012661218186E-4</c:v>
                </c:pt>
                <c:pt idx="1">
                  <c:v>1.1655945325423664E-3</c:v>
                </c:pt>
                <c:pt idx="2">
                  <c:v>2.8455622695808145E-3</c:v>
                </c:pt>
                <c:pt idx="3">
                  <c:v>1.6611883939199826E-2</c:v>
                </c:pt>
                <c:pt idx="4">
                  <c:v>3.6411521718859176E-2</c:v>
                </c:pt>
                <c:pt idx="5">
                  <c:v>2.4578947260181731E-2</c:v>
                </c:pt>
                <c:pt idx="6">
                  <c:v>0.11951683409384498</c:v>
                </c:pt>
                <c:pt idx="7">
                  <c:v>9.8609074089061319E-2</c:v>
                </c:pt>
                <c:pt idx="8">
                  <c:v>7.4775953396742131E-2</c:v>
                </c:pt>
                <c:pt idx="9">
                  <c:v>4.6549409183824136E-2</c:v>
                </c:pt>
                <c:pt idx="10">
                  <c:v>1.5101225651429051E-2</c:v>
                </c:pt>
                <c:pt idx="11">
                  <c:v>1.0542278251275182E-2</c:v>
                </c:pt>
                <c:pt idx="12">
                  <c:v>5.7357517843634959E-3</c:v>
                </c:pt>
                <c:pt idx="13">
                  <c:v>7.4514770195045271E-3</c:v>
                </c:pt>
                <c:pt idx="14">
                  <c:v>6.4659531496250233E-3</c:v>
                </c:pt>
                <c:pt idx="15">
                  <c:v>5.7200577698306564E-3</c:v>
                </c:pt>
                <c:pt idx="16">
                  <c:v>2.5518985796347481E-3</c:v>
                </c:pt>
                <c:pt idx="17">
                  <c:v>4.5004932109908857E-3</c:v>
                </c:pt>
                <c:pt idx="18">
                  <c:v>1.9260859549647083E-2</c:v>
                </c:pt>
                <c:pt idx="19">
                  <c:v>3.3001296428562948E-2</c:v>
                </c:pt>
                <c:pt idx="20">
                  <c:v>4.4771242379751157E-2</c:v>
                </c:pt>
                <c:pt idx="21">
                  <c:v>5.1925810226936868E-2</c:v>
                </c:pt>
                <c:pt idx="22">
                  <c:v>5.7008763464953642E-2</c:v>
                </c:pt>
                <c:pt idx="23">
                  <c:v>5.8044149183445561E-2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1.1864681984282095E-2</c:v>
                </c:pt>
                <c:pt idx="1">
                  <c:v>3.7840737374570249E-2</c:v>
                </c:pt>
                <c:pt idx="2">
                  <c:v>2.6601478767285042E-2</c:v>
                </c:pt>
                <c:pt idx="3">
                  <c:v>0.11733952450691226</c:v>
                </c:pt>
                <c:pt idx="4">
                  <c:v>9.6162675598445713E-2</c:v>
                </c:pt>
                <c:pt idx="5">
                  <c:v>7.2033618158672985E-2</c:v>
                </c:pt>
                <c:pt idx="6">
                  <c:v>4.354023852009177E-2</c:v>
                </c:pt>
                <c:pt idx="7">
                  <c:v>1.1885939489024911E-2</c:v>
                </c:pt>
                <c:pt idx="8">
                  <c:v>1.320290853038905E-2</c:v>
                </c:pt>
                <c:pt idx="9">
                  <c:v>4.1835202622727084E-3</c:v>
                </c:pt>
                <c:pt idx="10">
                  <c:v>4.6005459206280609E-3</c:v>
                </c:pt>
                <c:pt idx="11">
                  <c:v>3.6954828300966264E-3</c:v>
                </c:pt>
                <c:pt idx="12">
                  <c:v>3.2511775920307097E-3</c:v>
                </c:pt>
                <c:pt idx="13">
                  <c:v>2.4563123627871259E-3</c:v>
                </c:pt>
                <c:pt idx="14">
                  <c:v>3.2060256911095458E-3</c:v>
                </c:pt>
                <c:pt idx="15">
                  <c:v>1.137722085941149E-3</c:v>
                </c:pt>
                <c:pt idx="16">
                  <c:v>4.7777702636342696E-3</c:v>
                </c:pt>
                <c:pt idx="17">
                  <c:v>1.7491251448321515E-2</c:v>
                </c:pt>
                <c:pt idx="18">
                  <c:v>3.0336439624705426E-2</c:v>
                </c:pt>
                <c:pt idx="19">
                  <c:v>4.0778633299173507E-2</c:v>
                </c:pt>
                <c:pt idx="20">
                  <c:v>4.718483031774761E-2</c:v>
                </c:pt>
                <c:pt idx="21">
                  <c:v>4.914554835405336E-2</c:v>
                </c:pt>
                <c:pt idx="22">
                  <c:v>4.1255334851893651E-2</c:v>
                </c:pt>
                <c:pt idx="23">
                  <c:v>2.5263656180165232E-2</c:v>
                </c:pt>
                <c:pt idx="24">
                  <c:v>7.3783377014061133E-3</c:v>
                </c:pt>
                <c:pt idx="25">
                  <c:v>5.040704310471906E-3</c:v>
                </c:pt>
                <c:pt idx="26">
                  <c:v>1.0546935211656457E-2</c:v>
                </c:pt>
                <c:pt idx="27">
                  <c:v>4.6847002441016668E-3</c:v>
                </c:pt>
                <c:pt idx="28">
                  <c:v>2.0565291879697245E-3</c:v>
                </c:pt>
                <c:pt idx="29">
                  <c:v>4.2906419683220202E-3</c:v>
                </c:pt>
                <c:pt idx="30">
                  <c:v>5.2367677207226949E-3</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1.0865304850801803E-2</c:v>
                </c:pt>
                <c:pt idx="1">
                  <c:v>2.5040223428280813E-3</c:v>
                </c:pt>
                <c:pt idx="2">
                  <c:v>2.7595425996072001E-3</c:v>
                </c:pt>
                <c:pt idx="3">
                  <c:v>3.3247907510784219E-3</c:v>
                </c:pt>
                <c:pt idx="4">
                  <c:v>2.9441648610443131E-3</c:v>
                </c:pt>
                <c:pt idx="5">
                  <c:v>3.8156012209594478E-3</c:v>
                </c:pt>
                <c:pt idx="6">
                  <c:v>3.6394286036220747E-3</c:v>
                </c:pt>
                <c:pt idx="7">
                  <c:v>4.7081371852198076E-3</c:v>
                </c:pt>
                <c:pt idx="8">
                  <c:v>2.1242861011080941E-3</c:v>
                </c:pt>
                <c:pt idx="9">
                  <c:v>3.5039054589241355E-3</c:v>
                </c:pt>
                <c:pt idx="10">
                  <c:v>8.2183503761035243E-3</c:v>
                </c:pt>
                <c:pt idx="11">
                  <c:v>5.5969633264259626E-3</c:v>
                </c:pt>
                <c:pt idx="12">
                  <c:v>6.1139505832112845E-4</c:v>
                </c:pt>
                <c:pt idx="13">
                  <c:v>6.4581143097814618E-3</c:v>
                </c:pt>
                <c:pt idx="14">
                  <c:v>1.5812149111829119E-3</c:v>
                </c:pt>
                <c:pt idx="15">
                  <c:v>9.9901628948949393E-4</c:v>
                </c:pt>
                <c:pt idx="16">
                  <c:v>8.2098078125642671E-3</c:v>
                </c:pt>
                <c:pt idx="17">
                  <c:v>1.5130598422035325E-2</c:v>
                </c:pt>
                <c:pt idx="18">
                  <c:v>6.9563137544584423E-3</c:v>
                </c:pt>
                <c:pt idx="19">
                  <c:v>1.0157303186212586E-2</c:v>
                </c:pt>
                <c:pt idx="20">
                  <c:v>5.9566395374339026E-3</c:v>
                </c:pt>
                <c:pt idx="21">
                  <c:v>6.3512866882912394E-3</c:v>
                </c:pt>
                <c:pt idx="22">
                  <c:v>5.5045176547174968E-3</c:v>
                </c:pt>
                <c:pt idx="23">
                  <c:v>5.2638437222179485E-3</c:v>
                </c:pt>
                <c:pt idx="24">
                  <c:v>3.8200288189575464E-3</c:v>
                </c:pt>
                <c:pt idx="25">
                  <c:v>2.2078814977819928E-3</c:v>
                </c:pt>
                <c:pt idx="26">
                  <c:v>1.6992657320768481E-3</c:v>
                </c:pt>
                <c:pt idx="27">
                  <c:v>1.2121317146957509E-3</c:v>
                </c:pt>
                <c:pt idx="28">
                  <c:v>8.0040249292835013E-4</c:v>
                </c:pt>
                <c:pt idx="29">
                  <c:v>6.8028478882741232E-4</c:v>
                </c:pt>
                <c:pt idx="30">
                  <c:v>6.166756598083731E-4</c:v>
                </c:pt>
              </c:numCache>
            </c:numRef>
          </c:yVal>
          <c:smooth val="1"/>
        </c:ser>
        <c:dLbls>
          <c:showLegendKey val="0"/>
          <c:showVal val="0"/>
          <c:showCatName val="0"/>
          <c:showSerName val="0"/>
          <c:showPercent val="0"/>
          <c:showBubbleSize val="0"/>
        </c:dLbls>
        <c:axId val="545809776"/>
        <c:axId val="545808208"/>
      </c:scatterChart>
      <c:valAx>
        <c:axId val="545809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8208"/>
        <c:crossesAt val="1.0000000000000005E-9"/>
        <c:crossBetween val="midCat"/>
      </c:valAx>
      <c:valAx>
        <c:axId val="545808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977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-48.244719359200019</c:v>
                </c:pt>
                <c:pt idx="1">
                  <c:v>-34.728115646703102</c:v>
                </c:pt>
                <c:pt idx="2">
                  <c:v>-28.445084118791691</c:v>
                </c:pt>
                <c:pt idx="3">
                  <c:v>-23.522041093915846</c:v>
                </c:pt>
                <c:pt idx="4">
                  <c:v>-16.552268271120617</c:v>
                </c:pt>
                <c:pt idx="5">
                  <c:v>0</c:v>
                </c:pt>
                <c:pt idx="6">
                  <c:v>14.298694472234443</c:v>
                </c:pt>
              </c:numCache>
            </c:numRef>
          </c:yVal>
          <c:smooth val="0"/>
        </c:ser>
        <c:dLbls>
          <c:showLegendKey val="0"/>
          <c:showVal val="0"/>
          <c:showCatName val="0"/>
          <c:showSerName val="0"/>
          <c:showPercent val="0"/>
          <c:showBubbleSize val="0"/>
        </c:dLbls>
        <c:axId val="545809384"/>
        <c:axId val="488446032"/>
      </c:scatterChart>
      <c:valAx>
        <c:axId val="545809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8446032"/>
        <c:crossesAt val="-100"/>
        <c:crossBetween val="midCat"/>
      </c:valAx>
      <c:valAx>
        <c:axId val="48844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93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88445248"/>
        <c:axId val="552663760"/>
      </c:scatterChart>
      <c:valAx>
        <c:axId val="48844524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663760"/>
        <c:crosses val="autoZero"/>
        <c:crossBetween val="midCat"/>
      </c:valAx>
      <c:valAx>
        <c:axId val="55266376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844524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-48.244719359200019</c:v>
                </c:pt>
                <c:pt idx="1">
                  <c:v>-47.976357629063344</c:v>
                </c:pt>
                <c:pt idx="2">
                  <c:v>-47.707734910698989</c:v>
                </c:pt>
                <c:pt idx="3">
                  <c:v>-47.438590215879273</c:v>
                </c:pt>
                <c:pt idx="4">
                  <c:v>-47.168662556376546</c:v>
                </c:pt>
                <c:pt idx="5">
                  <c:v>-46.897690943963099</c:v>
                </c:pt>
                <c:pt idx="6">
                  <c:v>-46.625414390411279</c:v>
                </c:pt>
                <c:pt idx="7">
                  <c:v>-46.351571907493394</c:v>
                </c:pt>
                <c:pt idx="8">
                  <c:v>-46.075902506981784</c:v>
                </c:pt>
                <c:pt idx="9">
                  <c:v>-45.798145200648761</c:v>
                </c:pt>
                <c:pt idx="10">
                  <c:v>-45.51803900026664</c:v>
                </c:pt>
                <c:pt idx="11">
                  <c:v>-45.23532291760776</c:v>
                </c:pt>
                <c:pt idx="12">
                  <c:v>-44.94973596444445</c:v>
                </c:pt>
                <c:pt idx="13">
                  <c:v>-44.661017152549022</c:v>
                </c:pt>
                <c:pt idx="14">
                  <c:v>-44.368905493693788</c:v>
                </c:pt>
                <c:pt idx="15">
                  <c:v>-44.073139999651097</c:v>
                </c:pt>
                <c:pt idx="16">
                  <c:v>-43.773459682193256</c:v>
                </c:pt>
                <c:pt idx="17">
                  <c:v>-43.469603553092597</c:v>
                </c:pt>
                <c:pt idx="18">
                  <c:v>-43.161310624121441</c:v>
                </c:pt>
                <c:pt idx="19">
                  <c:v>-42.848319907052101</c:v>
                </c:pt>
                <c:pt idx="20">
                  <c:v>-42.530370413656925</c:v>
                </c:pt>
                <c:pt idx="21">
                  <c:v>-42.207201155708212</c:v>
                </c:pt>
                <c:pt idx="22">
                  <c:v>-41.878551144978303</c:v>
                </c:pt>
                <c:pt idx="23">
                  <c:v>-41.544159393239511</c:v>
                </c:pt>
                <c:pt idx="24">
                  <c:v>-41.203764912264162</c:v>
                </c:pt>
                <c:pt idx="25">
                  <c:v>-40.857106713824578</c:v>
                </c:pt>
                <c:pt idx="26">
                  <c:v>-40.503923809693092</c:v>
                </c:pt>
                <c:pt idx="27">
                  <c:v>-40.143955211642016</c:v>
                </c:pt>
                <c:pt idx="28">
                  <c:v>-39.776939931443678</c:v>
                </c:pt>
                <c:pt idx="29">
                  <c:v>-39.402616980870405</c:v>
                </c:pt>
                <c:pt idx="30">
                  <c:v>-39.020725371694525</c:v>
                </c:pt>
                <c:pt idx="31">
                  <c:v>-38.631004115688349</c:v>
                </c:pt>
                <c:pt idx="32">
                  <c:v>-38.233192224624204</c:v>
                </c:pt>
                <c:pt idx="33">
                  <c:v>-37.827028710274419</c:v>
                </c:pt>
                <c:pt idx="34">
                  <c:v>-37.412252584411313</c:v>
                </c:pt>
                <c:pt idx="35">
                  <c:v>-36.988602858807205</c:v>
                </c:pt>
                <c:pt idx="36">
                  <c:v>-36.555818545234438</c:v>
                </c:pt>
                <c:pt idx="37">
                  <c:v>-36.113638655465323</c:v>
                </c:pt>
                <c:pt idx="38">
                  <c:v>-35.661802201272174</c:v>
                </c:pt>
                <c:pt idx="39">
                  <c:v>-35.200048194427325</c:v>
                </c:pt>
                <c:pt idx="40">
                  <c:v>-34.728115646703102</c:v>
                </c:pt>
                <c:pt idx="41">
                  <c:v>-34.532100514283208</c:v>
                </c:pt>
                <c:pt idx="42">
                  <c:v>-34.326318624108069</c:v>
                </c:pt>
                <c:pt idx="43">
                  <c:v>-34.111442747529495</c:v>
                </c:pt>
                <c:pt idx="44">
                  <c:v>-33.888145655899294</c:v>
                </c:pt>
                <c:pt idx="45">
                  <c:v>-33.657100120569268</c:v>
                </c:pt>
                <c:pt idx="46">
                  <c:v>-33.418978912891234</c:v>
                </c:pt>
                <c:pt idx="47">
                  <c:v>-33.174454804217</c:v>
                </c:pt>
                <c:pt idx="48">
                  <c:v>-32.924200565898367</c:v>
                </c:pt>
                <c:pt idx="49">
                  <c:v>-32.668888969287153</c:v>
                </c:pt>
                <c:pt idx="50">
                  <c:v>-32.409192785735158</c:v>
                </c:pt>
                <c:pt idx="51">
                  <c:v>-32.145784786594191</c:v>
                </c:pt>
                <c:pt idx="52">
                  <c:v>-31.87933774321607</c:v>
                </c:pt>
                <c:pt idx="53">
                  <c:v>-31.610524426952594</c:v>
                </c:pt>
                <c:pt idx="54">
                  <c:v>-31.340017609155574</c:v>
                </c:pt>
                <c:pt idx="55">
                  <c:v>-31.068490061176817</c:v>
                </c:pt>
                <c:pt idx="56">
                  <c:v>-30.796614554368134</c:v>
                </c:pt>
                <c:pt idx="57">
                  <c:v>-30.525063860081332</c:v>
                </c:pt>
                <c:pt idx="58">
                  <c:v>-30.254510749668224</c:v>
                </c:pt>
                <c:pt idx="59">
                  <c:v>-29.985627994480609</c:v>
                </c:pt>
                <c:pt idx="60">
                  <c:v>-29.719088365870306</c:v>
                </c:pt>
                <c:pt idx="61">
                  <c:v>-29.45556463518912</c:v>
                </c:pt>
                <c:pt idx="62">
                  <c:v>-29.195729573788856</c:v>
                </c:pt>
                <c:pt idx="63">
                  <c:v>-28.940255953021325</c:v>
                </c:pt>
                <c:pt idx="64">
                  <c:v>-28.689816544238333</c:v>
                </c:pt>
                <c:pt idx="65">
                  <c:v>-28.445084118791687</c:v>
                </c:pt>
                <c:pt idx="66">
                  <c:v>-28.206563297109874</c:v>
                </c:pt>
                <c:pt idx="67">
                  <c:v>-27.974086095928033</c:v>
                </c:pt>
                <c:pt idx="68">
                  <c:v>-27.747316381057981</c:v>
                </c:pt>
                <c:pt idx="69">
                  <c:v>-27.525918018311536</c:v>
                </c:pt>
                <c:pt idx="70">
                  <c:v>-27.30955487350051</c:v>
                </c:pt>
                <c:pt idx="71">
                  <c:v>-27.097890812436727</c:v>
                </c:pt>
                <c:pt idx="72">
                  <c:v>-26.890589700932001</c:v>
                </c:pt>
                <c:pt idx="73">
                  <c:v>-26.687315404798142</c:v>
                </c:pt>
                <c:pt idx="74">
                  <c:v>-26.487731789846976</c:v>
                </c:pt>
                <c:pt idx="75">
                  <c:v>-26.291502721890311</c:v>
                </c:pt>
                <c:pt idx="76">
                  <c:v>-26.098292066739965</c:v>
                </c:pt>
                <c:pt idx="77">
                  <c:v>-25.907763690207759</c:v>
                </c:pt>
                <c:pt idx="78">
                  <c:v>-25.719581458105502</c:v>
                </c:pt>
                <c:pt idx="79">
                  <c:v>-25.533409236245014</c:v>
                </c:pt>
                <c:pt idx="80">
                  <c:v>-25.348910890438113</c:v>
                </c:pt>
                <c:pt idx="81">
                  <c:v>-25.16575028649661</c:v>
                </c:pt>
                <c:pt idx="82">
                  <c:v>-24.983591290232329</c:v>
                </c:pt>
                <c:pt idx="83">
                  <c:v>-24.802097767457081</c:v>
                </c:pt>
                <c:pt idx="84">
                  <c:v>-24.62093358398268</c:v>
                </c:pt>
                <c:pt idx="85">
                  <c:v>-24.439762605620949</c:v>
                </c:pt>
                <c:pt idx="86">
                  <c:v>-24.258248698183699</c:v>
                </c:pt>
                <c:pt idx="87">
                  <c:v>-24.076055727482746</c:v>
                </c:pt>
                <c:pt idx="88">
                  <c:v>-23.892847559329908</c:v>
                </c:pt>
                <c:pt idx="89">
                  <c:v>-23.708288059537004</c:v>
                </c:pt>
                <c:pt idx="90">
                  <c:v>-23.522041093915846</c:v>
                </c:pt>
                <c:pt idx="91">
                  <c:v>-23.333810140623783</c:v>
                </c:pt>
                <c:pt idx="92">
                  <c:v>-23.143457127200293</c:v>
                </c:pt>
                <c:pt idx="93">
                  <c:v>-22.950883593530385</c:v>
                </c:pt>
                <c:pt idx="94">
                  <c:v>-22.755991079499069</c:v>
                </c:pt>
                <c:pt idx="95">
                  <c:v>-22.558681124991356</c:v>
                </c:pt>
                <c:pt idx="96">
                  <c:v>-22.358855269892249</c:v>
                </c:pt>
                <c:pt idx="97">
                  <c:v>-22.156415054086764</c:v>
                </c:pt>
                <c:pt idx="98">
                  <c:v>-21.951262017459907</c:v>
                </c:pt>
                <c:pt idx="99">
                  <c:v>-21.743297699896686</c:v>
                </c:pt>
                <c:pt idx="100">
                  <c:v>-21.532423641282112</c:v>
                </c:pt>
                <c:pt idx="101">
                  <c:v>-21.318541381501191</c:v>
                </c:pt>
                <c:pt idx="102">
                  <c:v>-21.101552460438938</c:v>
                </c:pt>
                <c:pt idx="103">
                  <c:v>-20.881358417980358</c:v>
                </c:pt>
                <c:pt idx="104">
                  <c:v>-20.657860794010467</c:v>
                </c:pt>
                <c:pt idx="105">
                  <c:v>-20.43096112841426</c:v>
                </c:pt>
                <c:pt idx="106">
                  <c:v>-20.200560961076761</c:v>
                </c:pt>
                <c:pt idx="107">
                  <c:v>-19.966561831882974</c:v>
                </c:pt>
                <c:pt idx="108">
                  <c:v>-19.728865280717901</c:v>
                </c:pt>
                <c:pt idx="109">
                  <c:v>-19.487372847466563</c:v>
                </c:pt>
                <c:pt idx="110">
                  <c:v>-19.241986072013965</c:v>
                </c:pt>
                <c:pt idx="111">
                  <c:v>-18.992606494245109</c:v>
                </c:pt>
                <c:pt idx="112">
                  <c:v>-18.739135654045015</c:v>
                </c:pt>
                <c:pt idx="113">
                  <c:v>-18.481475091298684</c:v>
                </c:pt>
                <c:pt idx="114">
                  <c:v>-18.219526345891133</c:v>
                </c:pt>
                <c:pt idx="115">
                  <c:v>-17.953190957707363</c:v>
                </c:pt>
                <c:pt idx="116">
                  <c:v>-17.682370466632388</c:v>
                </c:pt>
                <c:pt idx="117">
                  <c:v>-17.40696641255122</c:v>
                </c:pt>
                <c:pt idx="118">
                  <c:v>-17.126880335348861</c:v>
                </c:pt>
                <c:pt idx="119">
                  <c:v>-16.842013774910324</c:v>
                </c:pt>
                <c:pt idx="120">
                  <c:v>-16.552268271120617</c:v>
                </c:pt>
                <c:pt idx="121">
                  <c:v>-16.25757973990352</c:v>
                </c:pt>
                <c:pt idx="122">
                  <c:v>-15.958021601337856</c:v>
                </c:pt>
                <c:pt idx="123">
                  <c:v>-15.653701651541231</c:v>
                </c:pt>
                <c:pt idx="124">
                  <c:v>-15.344727686631245</c:v>
                </c:pt>
                <c:pt idx="125">
                  <c:v>-15.03120750272549</c:v>
                </c:pt>
                <c:pt idx="126">
                  <c:v>-14.713248895941572</c:v>
                </c:pt>
                <c:pt idx="127">
                  <c:v>-14.390959662397083</c:v>
                </c:pt>
                <c:pt idx="128">
                  <c:v>-14.064447598209625</c:v>
                </c:pt>
                <c:pt idx="129">
                  <c:v>-13.733820499496797</c:v>
                </c:pt>
                <c:pt idx="130">
                  <c:v>-13.399186162376198</c:v>
                </c:pt>
                <c:pt idx="131">
                  <c:v>-13.060652382965424</c:v>
                </c:pt>
                <c:pt idx="132">
                  <c:v>-12.718326957382075</c:v>
                </c:pt>
                <c:pt idx="133">
                  <c:v>-12.372317681743748</c:v>
                </c:pt>
                <c:pt idx="134">
                  <c:v>-12.022732352168045</c:v>
                </c:pt>
                <c:pt idx="135">
                  <c:v>-11.669678764772565</c:v>
                </c:pt>
                <c:pt idx="136">
                  <c:v>-11.313264715674903</c:v>
                </c:pt>
                <c:pt idx="137">
                  <c:v>-10.953598000992658</c:v>
                </c:pt>
                <c:pt idx="138">
                  <c:v>-10.590786416843432</c:v>
                </c:pt>
                <c:pt idx="139">
                  <c:v>-10.224937759344819</c:v>
                </c:pt>
                <c:pt idx="140">
                  <c:v>-9.8561598246144211</c:v>
                </c:pt>
                <c:pt idx="141">
                  <c:v>-9.4845604087698359</c:v>
                </c:pt>
                <c:pt idx="142">
                  <c:v>-9.1102473079286597</c:v>
                </c:pt>
                <c:pt idx="143">
                  <c:v>-8.733328318208498</c:v>
                </c:pt>
                <c:pt idx="144">
                  <c:v>-8.3539112357269403</c:v>
                </c:pt>
                <c:pt idx="145">
                  <c:v>-7.972103856601592</c:v>
                </c:pt>
                <c:pt idx="146">
                  <c:v>-7.5880139769500508</c:v>
                </c:pt>
                <c:pt idx="147">
                  <c:v>-7.2017493928899121</c:v>
                </c:pt>
                <c:pt idx="148">
                  <c:v>-6.8134179005387772</c:v>
                </c:pt>
                <c:pt idx="149">
                  <c:v>-6.4231272960142425</c:v>
                </c:pt>
                <c:pt idx="150">
                  <c:v>-6.0309853754339091</c:v>
                </c:pt>
                <c:pt idx="151">
                  <c:v>-5.6370999349153754</c:v>
                </c:pt>
                <c:pt idx="152">
                  <c:v>-5.241578770576238</c:v>
                </c:pt>
                <c:pt idx="153">
                  <c:v>-4.844529678534097</c:v>
                </c:pt>
                <c:pt idx="154">
                  <c:v>-4.4460604549065508</c:v>
                </c:pt>
                <c:pt idx="155">
                  <c:v>-4.0462788958111977</c:v>
                </c:pt>
                <c:pt idx="156">
                  <c:v>-3.6452927973656366</c:v>
                </c:pt>
                <c:pt idx="157">
                  <c:v>-3.2432099556874663</c:v>
                </c:pt>
                <c:pt idx="158">
                  <c:v>-2.8401381668942856</c:v>
                </c:pt>
                <c:pt idx="159">
                  <c:v>-2.4361852271036923</c:v>
                </c:pt>
                <c:pt idx="160">
                  <c:v>-2.031458932433285</c:v>
                </c:pt>
                <c:pt idx="161">
                  <c:v>-1.6260670790006635</c:v>
                </c:pt>
                <c:pt idx="162">
                  <c:v>-1.2201174629234257</c:v>
                </c:pt>
                <c:pt idx="163">
                  <c:v>-0.81371788031916992</c:v>
                </c:pt>
                <c:pt idx="164">
                  <c:v>-0.40697612730549521</c:v>
                </c:pt>
                <c:pt idx="165">
                  <c:v>0</c:v>
                </c:pt>
                <c:pt idx="166">
                  <c:v>0.40712006874610612</c:v>
                </c:pt>
                <c:pt idx="167">
                  <c:v>0.81436309914717053</c:v>
                </c:pt>
                <c:pt idx="168">
                  <c:v>1.2217254746839299</c:v>
                </c:pt>
                <c:pt idx="169">
                  <c:v>1.6292035788371206</c:v>
                </c:pt>
                <c:pt idx="170">
                  <c:v>2.0367937950874793</c:v>
                </c:pt>
                <c:pt idx="171">
                  <c:v>2.4444925069157422</c:v>
                </c:pt>
                <c:pt idx="172">
                  <c:v>2.8522960978026459</c:v>
                </c:pt>
                <c:pt idx="173">
                  <c:v>3.2602009512289274</c:v>
                </c:pt>
                <c:pt idx="174">
                  <c:v>3.6682034506753229</c:v>
                </c:pt>
                <c:pt idx="175">
                  <c:v>4.0762999796225685</c:v>
                </c:pt>
                <c:pt idx="176">
                  <c:v>4.4844869215514009</c:v>
                </c:pt>
                <c:pt idx="177">
                  <c:v>4.8927606599425575</c:v>
                </c:pt>
                <c:pt idx="178">
                  <c:v>5.3011175782767745</c:v>
                </c:pt>
                <c:pt idx="179">
                  <c:v>5.7095540600347867</c:v>
                </c:pt>
                <c:pt idx="180">
                  <c:v>6.118066488697333</c:v>
                </c:pt>
                <c:pt idx="181">
                  <c:v>6.526651247745149</c:v>
                </c:pt>
                <c:pt idx="182">
                  <c:v>6.9353047206589711</c:v>
                </c:pt>
                <c:pt idx="183">
                  <c:v>7.3440232909195355</c:v>
                </c:pt>
                <c:pt idx="184">
                  <c:v>7.7528033420075779</c:v>
                </c:pt>
                <c:pt idx="185">
                  <c:v>8.1616412574038382</c:v>
                </c:pt>
                <c:pt idx="186">
                  <c:v>8.5705334205890491</c:v>
                </c:pt>
                <c:pt idx="187">
                  <c:v>8.9794762150439489</c:v>
                </c:pt>
                <c:pt idx="188">
                  <c:v>9.3884660242492739</c:v>
                </c:pt>
                <c:pt idx="189">
                  <c:v>9.7974992316857623</c:v>
                </c:pt>
                <c:pt idx="190">
                  <c:v>10.206572220834147</c:v>
                </c:pt>
                <c:pt idx="191">
                  <c:v>10.615681375175168</c:v>
                </c:pt>
                <c:pt idx="192">
                  <c:v>11.024823078189559</c:v>
                </c:pt>
                <c:pt idx="193">
                  <c:v>11.433993713358058</c:v>
                </c:pt>
                <c:pt idx="194">
                  <c:v>11.843189664161402</c:v>
                </c:pt>
                <c:pt idx="195">
                  <c:v>12.252407314080326</c:v>
                </c:pt>
                <c:pt idx="196">
                  <c:v>12.66164304659557</c:v>
                </c:pt>
                <c:pt idx="197">
                  <c:v>13.070893245187866</c:v>
                </c:pt>
                <c:pt idx="198">
                  <c:v>13.480154293337952</c:v>
                </c:pt>
                <c:pt idx="199">
                  <c:v>13.889422574526566</c:v>
                </c:pt>
                <c:pt idx="200">
                  <c:v>14.298694472234443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-48.244719359200019</c:v>
                </c:pt>
                <c:pt idx="1">
                  <c:v>-34.728115646703102</c:v>
                </c:pt>
                <c:pt idx="2">
                  <c:v>-28.445084118791691</c:v>
                </c:pt>
                <c:pt idx="3">
                  <c:v>-23.522041093915846</c:v>
                </c:pt>
                <c:pt idx="4">
                  <c:v>-16.552268271120617</c:v>
                </c:pt>
                <c:pt idx="5">
                  <c:v>0</c:v>
                </c:pt>
                <c:pt idx="6">
                  <c:v>14.298694472234443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-48.057913275995361</c:v>
                </c:pt>
                <c:pt idx="1">
                  <c:v>-47.864944376797837</c:v>
                </c:pt>
                <c:pt idx="2">
                  <c:v>-47.660153879967709</c:v>
                </c:pt>
                <c:pt idx="3">
                  <c:v>-47.443863423429946</c:v>
                </c:pt>
                <c:pt idx="4">
                  <c:v>-47.216422372483123</c:v>
                </c:pt>
                <c:pt idx="5">
                  <c:v>-46.978204988230857</c:v>
                </c:pt>
                <c:pt idx="6">
                  <c:v>-46.72960771392323</c:v>
                </c:pt>
                <c:pt idx="7">
                  <c:v>-46.471046576622371</c:v>
                </c:pt>
                <c:pt idx="8">
                  <c:v>-46.202954701624549</c:v>
                </c:pt>
                <c:pt idx="9">
                  <c:v>-45.925779937099207</c:v>
                </c:pt>
                <c:pt idx="10">
                  <c:v>-45.639982586429539</c:v>
                </c:pt>
                <c:pt idx="11">
                  <c:v>-45.346033245764403</c:v>
                </c:pt>
                <c:pt idx="12">
                  <c:v>-45.044410744315002</c:v>
                </c:pt>
                <c:pt idx="13">
                  <c:v>-44.735600184958543</c:v>
                </c:pt>
                <c:pt idx="14">
                  <c:v>-44.420091082729073</c:v>
                </c:pt>
                <c:pt idx="15">
                  <c:v>-44.098375598808758</c:v>
                </c:pt>
                <c:pt idx="16">
                  <c:v>-43.770946867652157</c:v>
                </c:pt>
                <c:pt idx="17">
                  <c:v>-43.438297414902252</c:v>
                </c:pt>
                <c:pt idx="18">
                  <c:v>-43.100917663783321</c:v>
                </c:pt>
                <c:pt idx="19">
                  <c:v>-42.759294527679543</c:v>
                </c:pt>
                <c:pt idx="20">
                  <c:v>-42.413910086632981</c:v>
                </c:pt>
                <c:pt idx="21">
                  <c:v>-42.065240345520081</c:v>
                </c:pt>
                <c:pt idx="22">
                  <c:v>-41.713754071691355</c:v>
                </c:pt>
                <c:pt idx="23">
                  <c:v>-41.359911709881032</c:v>
                </c:pt>
                <c:pt idx="24">
                  <c:v>-41.004164372223485</c:v>
                </c:pt>
                <c:pt idx="25">
                  <c:v>-40.646952901231629</c:v>
                </c:pt>
                <c:pt idx="26">
                  <c:v>-40.288707003624722</c:v>
                </c:pt>
                <c:pt idx="27">
                  <c:v>-39.929844452910501</c:v>
                </c:pt>
                <c:pt idx="28">
                  <c:v>-39.570770358657811</c:v>
                </c:pt>
                <c:pt idx="29">
                  <c:v>-39.211876500417105</c:v>
                </c:pt>
                <c:pt idx="30">
                  <c:v>-38.853540724272278</c:v>
                </c:pt>
                <c:pt idx="31">
                  <c:v>-38.496126400031983</c:v>
                </c:pt>
                <c:pt idx="32">
                  <c:v>-38.139981937094625</c:v>
                </c:pt>
                <c:pt idx="33">
                  <c:v>-37.78544035704396</c:v>
                </c:pt>
                <c:pt idx="34">
                  <c:v>-37.432818921059159</c:v>
                </c:pt>
                <c:pt idx="35">
                  <c:v>-37.082418810247773</c:v>
                </c:pt>
                <c:pt idx="36">
                  <c:v>-36.734524857033591</c:v>
                </c:pt>
                <c:pt idx="37">
                  <c:v>-36.38940532575824</c:v>
                </c:pt>
                <c:pt idx="38">
                  <c:v>-36.047311740678921</c:v>
                </c:pt>
                <c:pt idx="39">
                  <c:v>-35.708478759570653</c:v>
                </c:pt>
                <c:pt idx="40">
                  <c:v>-35.373124091164833</c:v>
                </c:pt>
                <c:pt idx="41">
                  <c:v>-35.041448454682914</c:v>
                </c:pt>
                <c:pt idx="42">
                  <c:v>-34.713635579747191</c:v>
                </c:pt>
                <c:pt idx="43">
                  <c:v>-34.389852244976225</c:v>
                </c:pt>
                <c:pt idx="44">
                  <c:v>-34.070248353597812</c:v>
                </c:pt>
                <c:pt idx="45">
                  <c:v>-33.754957044436857</c:v>
                </c:pt>
                <c:pt idx="46">
                  <c:v>-33.44409483666</c:v>
                </c:pt>
                <c:pt idx="47">
                  <c:v>-33.137761806685248</c:v>
                </c:pt>
                <c:pt idx="48">
                  <c:v>-32.836041795687919</c:v>
                </c:pt>
                <c:pt idx="49">
                  <c:v>-32.539002646161023</c:v>
                </c:pt>
                <c:pt idx="50">
                  <c:v>-32.246696466011286</c:v>
                </c:pt>
                <c:pt idx="51">
                  <c:v>-31.959159918698727</c:v>
                </c:pt>
                <c:pt idx="52">
                  <c:v>-31.67641453795116</c:v>
                </c:pt>
                <c:pt idx="53">
                  <c:v>-31.39846706561098</c:v>
                </c:pt>
                <c:pt idx="54">
                  <c:v>-31.125309811195855</c:v>
                </c:pt>
                <c:pt idx="55">
                  <c:v>-30.856921031780473</c:v>
                </c:pt>
                <c:pt idx="56">
                  <c:v>-30.593265330830587</c:v>
                </c:pt>
                <c:pt idx="57">
                  <c:v>-30.334294074646529</c:v>
                </c:pt>
                <c:pt idx="58">
                  <c:v>-30.07994582509771</c:v>
                </c:pt>
                <c:pt idx="59">
                  <c:v>-29.830146787354511</c:v>
                </c:pt>
                <c:pt idx="60">
                  <c:v>-29.584811271349075</c:v>
                </c:pt>
                <c:pt idx="61">
                  <c:v>-29.343842165721853</c:v>
                </c:pt>
                <c:pt idx="62">
                  <c:v>-29.10713142303463</c:v>
                </c:pt>
                <c:pt idx="63">
                  <c:v>-28.874560555056981</c:v>
                </c:pt>
                <c:pt idx="64">
                  <c:v>-28.64600113695688</c:v>
                </c:pt>
                <c:pt idx="65">
                  <c:v>-28.421315319252116</c:v>
                </c:pt>
                <c:pt idx="66">
                  <c:v>-28.20035634640324</c:v>
                </c:pt>
                <c:pt idx="67">
                  <c:v>-27.982969080954465</c:v>
                </c:pt>
                <c:pt idx="68">
                  <c:v>-27.768990532153204</c:v>
                </c:pt>
                <c:pt idx="69">
                  <c:v>-27.558250388004392</c:v>
                </c:pt>
                <c:pt idx="70">
                  <c:v>-27.35057154974049</c:v>
                </c:pt>
                <c:pt idx="71">
                  <c:v>-27.145770667712707</c:v>
                </c:pt>
                <c:pt idx="72">
                  <c:v>-26.943658677734629</c:v>
                </c:pt>
                <c:pt idx="73">
                  <c:v>-26.744041336933488</c:v>
                </c:pt>
                <c:pt idx="74">
                  <c:v>-26.546719758190065</c:v>
                </c:pt>
                <c:pt idx="75">
                  <c:v>-26.351490942272509</c:v>
                </c:pt>
                <c:pt idx="76">
                  <c:v>-26.1581483067948</c:v>
                </c:pt>
                <c:pt idx="77">
                  <c:v>-25.966482211155121</c:v>
                </c:pt>
                <c:pt idx="78">
                  <c:v>-25.776280476634593</c:v>
                </c:pt>
                <c:pt idx="79">
                  <c:v>-25.587328900861642</c:v>
                </c:pt>
                <c:pt idx="80">
                  <c:v>-25.399411765872358</c:v>
                </c:pt>
                <c:pt idx="81">
                  <c:v>-25.212312339021782</c:v>
                </c:pt>
                <c:pt idx="82">
                  <c:v>-25.025813366026604</c:v>
                </c:pt>
                <c:pt idx="83">
                  <c:v>-24.839697555443898</c:v>
                </c:pt>
                <c:pt idx="84">
                  <c:v>-24.653748053916328</c:v>
                </c:pt>
                <c:pt idx="85">
                  <c:v>-24.467748911538379</c:v>
                </c:pt>
                <c:pt idx="86">
                  <c:v>-24.281485536723803</c:v>
                </c:pt>
                <c:pt idx="87">
                  <c:v>-24.094745139978741</c:v>
                </c:pt>
                <c:pt idx="88">
                  <c:v>-23.907317166010664</c:v>
                </c:pt>
                <c:pt idx="89">
                  <c:v>-23.718993713627427</c:v>
                </c:pt>
                <c:pt idx="90">
                  <c:v>-23.529569942906321</c:v>
                </c:pt>
                <c:pt idx="91">
                  <c:v>-23.338844469137587</c:v>
                </c:pt>
                <c:pt idx="92">
                  <c:v>-23.14661974307181</c:v>
                </c:pt>
                <c:pt idx="93">
                  <c:v>-22.952702417025801</c:v>
                </c:pt>
                <c:pt idx="94">
                  <c:v>-22.756903696426093</c:v>
                </c:pt>
                <c:pt idx="95">
                  <c:v>-22.55903967639459</c:v>
                </c:pt>
                <c:pt idx="96">
                  <c:v>-22.358931663005439</c:v>
                </c:pt>
                <c:pt idx="97">
                  <c:v>-22.156406478867375</c:v>
                </c:pt>
                <c:pt idx="98">
                  <c:v>-21.951296752710689</c:v>
                </c:pt>
                <c:pt idx="99">
                  <c:v>-21.743441192682706</c:v>
                </c:pt>
                <c:pt idx="100">
                  <c:v>-21.532684843080997</c:v>
                </c:pt>
                <c:pt idx="101">
                  <c:v>-21.31887932427804</c:v>
                </c:pt>
                <c:pt idx="102">
                  <c:v>-21.101883055616302</c:v>
                </c:pt>
                <c:pt idx="103">
                  <c:v>-20.881561461077546</c:v>
                </c:pt>
                <c:pt idx="104">
                  <c:v>-20.65778715755501</c:v>
                </c:pt>
                <c:pt idx="105">
                  <c:v>-20.43044012558223</c:v>
                </c:pt>
                <c:pt idx="106">
                  <c:v>-20.199407862397035</c:v>
                </c:pt>
                <c:pt idx="107">
                  <c:v>-19.964585517244331</c:v>
                </c:pt>
                <c:pt idx="108">
                  <c:v>-19.725876008846139</c:v>
                </c:pt>
                <c:pt idx="109">
                  <c:v>-19.483190124992198</c:v>
                </c:pt>
                <c:pt idx="110">
                  <c:v>-19.23644660422972</c:v>
                </c:pt>
                <c:pt idx="111">
                  <c:v>-18.985572199655337</c:v>
                </c:pt>
                <c:pt idx="112">
                  <c:v>-18.730501724837659</c:v>
                </c:pt>
                <c:pt idx="113">
                  <c:v>-18.471178081923515</c:v>
                </c:pt>
                <c:pt idx="114">
                  <c:v>-18.207552272006016</c:v>
                </c:pt>
                <c:pt idx="115">
                  <c:v>-17.939583387857482</c:v>
                </c:pt>
                <c:pt idx="116">
                  <c:v>-17.667238589155179</c:v>
                </c:pt>
                <c:pt idx="117">
                  <c:v>-17.390493060352828</c:v>
                </c:pt>
                <c:pt idx="118">
                  <c:v>-17.109329951375752</c:v>
                </c:pt>
                <c:pt idx="119">
                  <c:v>-16.823740301342347</c:v>
                </c:pt>
                <c:pt idx="120">
                  <c:v>-16.533722945539736</c:v>
                </c:pt>
                <c:pt idx="121">
                  <c:v>-16.239284405906172</c:v>
                </c:pt>
                <c:pt idx="122">
                  <c:v>-15.940438765297902</c:v>
                </c:pt>
                <c:pt idx="123">
                  <c:v>-15.637207525842834</c:v>
                </c:pt>
                <c:pt idx="124">
                  <c:v>-15.329619451708743</c:v>
                </c:pt>
                <c:pt idx="125">
                  <c:v>-15.017710396638202</c:v>
                </c:pt>
                <c:pt idx="126">
                  <c:v>-14.701523116627701</c:v>
                </c:pt>
                <c:pt idx="127">
                  <c:v>-14.381107068153254</c:v>
                </c:pt>
                <c:pt idx="128">
                  <c:v>-14.056518192369614</c:v>
                </c:pt>
                <c:pt idx="129">
                  <c:v>-13.727818685735386</c:v>
                </c:pt>
                <c:pt idx="130">
                  <c:v>-13.395076757541053</c:v>
                </c:pt>
                <c:pt idx="131">
                  <c:v>-13.058366374841935</c:v>
                </c:pt>
                <c:pt idx="132">
                  <c:v>-12.717766995323153</c:v>
                </c:pt>
                <c:pt idx="133">
                  <c:v>-12.373363288648381</c:v>
                </c:pt>
                <c:pt idx="134">
                  <c:v>-12.025244846869327</c:v>
                </c:pt>
                <c:pt idx="135">
                  <c:v>-11.673505884497674</c:v>
                </c:pt>
                <c:pt idx="136">
                  <c:v>-11.318244928866241</c:v>
                </c:pt>
                <c:pt idx="137">
                  <c:v>-10.959564501430949</c:v>
                </c:pt>
                <c:pt idx="138">
                  <c:v>-10.597570790690277</c:v>
                </c:pt>
                <c:pt idx="139">
                  <c:v>-10.232373317423686</c:v>
                </c:pt>
                <c:pt idx="140">
                  <c:v>-9.864084592975475</c:v>
                </c:pt>
                <c:pt idx="141">
                  <c:v>-9.4928197713354745</c:v>
                </c:pt>
                <c:pt idx="142">
                  <c:v>-9.11869629579299</c:v>
                </c:pt>
                <c:pt idx="143">
                  <c:v>-8.7418335409651355</c:v>
                </c:pt>
                <c:pt idx="144">
                  <c:v>-8.3623524510259131</c:v>
                </c:pt>
                <c:pt idx="145">
                  <c:v>-7.9803751749870866</c:v>
                </c:pt>
                <c:pt idx="146">
                  <c:v>-7.5960246999070398</c:v>
                </c:pt>
                <c:pt idx="147">
                  <c:v>-7.2094244829285206</c:v>
                </c:pt>
                <c:pt idx="148">
                  <c:v>-6.8206980830713535</c:v>
                </c:pt>
                <c:pt idx="149">
                  <c:v>-6.4299687937309589</c:v>
                </c:pt>
                <c:pt idx="150">
                  <c:v>-6.0373592768585178</c:v>
                </c:pt>
                <c:pt idx="151">
                  <c:v>-5.6429911998235802</c:v>
                </c:pt>
                <c:pt idx="152">
                  <c:v>-5.2469848759848219</c:v>
                </c:pt>
                <c:pt idx="153">
                  <c:v>-4.8494589100195773</c:v>
                </c:pt>
                <c:pt idx="154">
                  <c:v>-4.4505298490877632</c:v>
                </c:pt>
                <c:pt idx="155">
                  <c:v>-4.0503118409307133</c:v>
                </c:pt>
                <c:pt idx="156">
                  <c:v>-3.6489163000303435</c:v>
                </c:pt>
                <c:pt idx="157">
                  <c:v>-3.2464515829791134</c:v>
                </c:pt>
                <c:pt idx="158">
                  <c:v>-2.843022674236054</c:v>
                </c:pt>
                <c:pt idx="159">
                  <c:v>-2.4387308834691703</c:v>
                </c:pt>
                <c:pt idx="160">
                  <c:v>-2.0336735557094108</c:v>
                </c:pt>
                <c:pt idx="161">
                  <c:v>-1.6279437955663631</c:v>
                </c:pt>
                <c:pt idx="162">
                  <c:v>-1.2216302067807345</c:v>
                </c:pt>
                <c:pt idx="163">
                  <c:v>-0.81481664841365997</c:v>
                </c:pt>
                <c:pt idx="164">
                  <c:v>-0.40758200899778269</c:v>
                </c:pt>
                <c:pt idx="165">
                  <c:v>0</c:v>
                </c:pt>
                <c:pt idx="166">
                  <c:v>0.40786103002929314</c:v>
                </c:pt>
                <c:pt idx="167">
                  <c:v>0.81593825922069529</c:v>
                </c:pt>
                <c:pt idx="168">
                  <c:v>1.2241745326393221</c:v>
                </c:pt>
                <c:pt idx="169">
                  <c:v>1.6325184775777197</c:v>
                </c:pt>
                <c:pt idx="170">
                  <c:v>2.0409245924135901</c:v>
                </c:pt>
                <c:pt idx="171">
                  <c:v>2.4493533075328155</c:v>
                </c:pt>
                <c:pt idx="172">
                  <c:v>2.8577710167933219</c:v>
                </c:pt>
                <c:pt idx="173">
                  <c:v>3.2661500779804085</c:v>
                </c:pt>
                <c:pt idx="174">
                  <c:v>3.6744687806791907</c:v>
                </c:pt>
                <c:pt idx="175">
                  <c:v>4.0827112799649248</c:v>
                </c:pt>
                <c:pt idx="176">
                  <c:v>4.4908674942869933</c:v>
                </c:pt>
                <c:pt idx="177">
                  <c:v>4.8989329658974077</c:v>
                </c:pt>
                <c:pt idx="178">
                  <c:v>5.3069086821497837</c:v>
                </c:pt>
                <c:pt idx="179">
                  <c:v>5.7148008559697452</c:v>
                </c:pt>
                <c:pt idx="180">
                  <c:v>6.1226206637728273</c:v>
                </c:pt>
                <c:pt idx="181">
                  <c:v>6.530383939080993</c:v>
                </c:pt>
                <c:pt idx="182">
                  <c:v>6.938110820063927</c:v>
                </c:pt>
                <c:pt idx="183">
                  <c:v>7.3458253492063594</c:v>
                </c:pt>
                <c:pt idx="184">
                  <c:v>7.753555023277733</c:v>
                </c:pt>
                <c:pt idx="185">
                  <c:v>8.1613302917555437</c:v>
                </c:pt>
                <c:pt idx="186">
                  <c:v>8.5691840018288232</c:v>
                </c:pt>
                <c:pt idx="187">
                  <c:v>8.9771507880832644</c:v>
                </c:pt>
                <c:pt idx="188">
                  <c:v>9.3852664049444492</c:v>
                </c:pt>
                <c:pt idx="189">
                  <c:v>9.7935669999309614</c:v>
                </c:pt>
                <c:pt idx="190">
                  <c:v>10.202088325743899</c:v>
                </c:pt>
                <c:pt idx="191">
                  <c:v>10.610864889194669</c:v>
                </c:pt>
                <c:pt idx="192">
                  <c:v>11.019929034947733</c:v>
                </c:pt>
                <c:pt idx="193">
                  <c:v>11.42930996203034</c:v>
                </c:pt>
                <c:pt idx="194">
                  <c:v>11.839032671036014</c:v>
                </c:pt>
                <c:pt idx="195">
                  <c:v>12.249116839923909</c:v>
                </c:pt>
                <c:pt idx="196">
                  <c:v>12.659575626291037</c:v>
                </c:pt>
                <c:pt idx="197">
                  <c:v>13.070414393969507</c:v>
                </c:pt>
                <c:pt idx="198">
                  <c:v>13.481629361775973</c:v>
                </c:pt>
                <c:pt idx="199">
                  <c:v>13.893206172215478</c:v>
                </c:pt>
                <c:pt idx="200">
                  <c:v>14.305118377917116</c:v>
                </c:pt>
              </c:numCache>
            </c:numRef>
          </c:yVal>
          <c:smooth val="1"/>
        </c:ser>
        <c:dLbls>
          <c:showLegendKey val="0"/>
          <c:showVal val="0"/>
          <c:showCatName val="0"/>
          <c:showSerName val="0"/>
          <c:showPercent val="0"/>
          <c:showBubbleSize val="0"/>
        </c:dLbls>
        <c:axId val="659108352"/>
        <c:axId val="552497096"/>
      </c:scatterChart>
      <c:valAx>
        <c:axId val="65910835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497096"/>
        <c:crossesAt val="-1000"/>
        <c:crossBetween val="midCat"/>
      </c:valAx>
      <c:valAx>
        <c:axId val="552497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835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0.40773245545908676</v>
      </c>
      <c r="D59" s="55">
        <v>1</v>
      </c>
    </row>
    <row r="60" spans="1:4" s="11" customFormat="1" x14ac:dyDescent="0.25">
      <c r="A60" s="54">
        <v>2</v>
      </c>
      <c r="B60" s="56">
        <f>'Shiftfunktion bestimmen'!N2</f>
        <v>1.3928010678623489E-4</v>
      </c>
      <c r="D60" s="55">
        <v>2</v>
      </c>
    </row>
    <row r="61" spans="1:4" s="11" customFormat="1" x14ac:dyDescent="0.25">
      <c r="A61" s="54">
        <v>3</v>
      </c>
      <c r="B61" s="56">
        <f>'Shiftfunktion bestimmen'!N3</f>
        <v>-1.0937215997538119E-5</v>
      </c>
      <c r="D61" s="55">
        <v>3</v>
      </c>
    </row>
    <row r="62" spans="1:4" s="11" customFormat="1" x14ac:dyDescent="0.25">
      <c r="A62" s="54">
        <v>4</v>
      </c>
      <c r="B62" s="56">
        <f>'Shiftfunktion bestimmen'!N4</f>
        <v>2.3044161504863091E-7</v>
      </c>
      <c r="D62" s="55">
        <v>4</v>
      </c>
    </row>
    <row r="63" spans="1:4" s="11" customFormat="1" x14ac:dyDescent="0.25">
      <c r="A63" s="54">
        <v>5</v>
      </c>
      <c r="B63" s="56">
        <f>'Shiftfunktion bestimmen'!N5</f>
        <v>1.2707338755034813E-9</v>
      </c>
      <c r="D63" s="55">
        <v>5</v>
      </c>
    </row>
    <row r="64" spans="1:4" s="11" customFormat="1" x14ac:dyDescent="0.25">
      <c r="A64" s="54">
        <v>6</v>
      </c>
      <c r="B64" s="56">
        <f>'Shiftfunktion bestimmen'!N6</f>
        <v>-3.2645464244070649E-11</v>
      </c>
      <c r="D64" s="55">
        <v>6</v>
      </c>
    </row>
    <row r="65" spans="1:5" s="11" customFormat="1" x14ac:dyDescent="0.25">
      <c r="A65" s="54">
        <v>7</v>
      </c>
      <c r="B65" s="56">
        <f>'Shiftfunktion bestimmen'!N7</f>
        <v>-2.8515330603638812E-13</v>
      </c>
      <c r="D65" s="55">
        <v>7</v>
      </c>
    </row>
    <row r="66" spans="1:5" x14ac:dyDescent="0.25">
      <c r="A66" s="54">
        <v>8</v>
      </c>
      <c r="B66" s="56">
        <f>'Shiftfunktion bestimmen'!N8</f>
        <v>-6.1847759481403441E-16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0.19530898992100296</v>
      </c>
      <c r="D74" s="51">
        <v>1</v>
      </c>
      <c r="E74" s="56">
        <f>'Mastercurve bestimmen'!A18</f>
        <v>1.0000000000000001E-20</v>
      </c>
    </row>
    <row r="75" spans="1:5" x14ac:dyDescent="0.25">
      <c r="A75" s="50">
        <f>A74+1</f>
        <v>2</v>
      </c>
      <c r="B75" s="56">
        <f>'Mastercurve bestimmen'!C19</f>
        <v>5.6906652449858444E-2</v>
      </c>
      <c r="D75" s="51">
        <v>2</v>
      </c>
      <c r="E75" s="56">
        <f>'Mastercurve bestimmen'!A19</f>
        <v>3.9038946506297401E-14</v>
      </c>
    </row>
    <row r="76" spans="1:5" x14ac:dyDescent="0.25">
      <c r="A76" s="50">
        <f t="shared" ref="A76:A104" si="0">A75+1</f>
        <v>3</v>
      </c>
      <c r="B76" s="56">
        <f>'Mastercurve bestimmen'!C20</f>
        <v>2.191476034261481E-2</v>
      </c>
      <c r="D76" s="51">
        <v>3</v>
      </c>
      <c r="E76" s="56">
        <f>'Mastercurve bestimmen'!A20</f>
        <v>4.3276437088188502E-13</v>
      </c>
    </row>
    <row r="77" spans="1:5" x14ac:dyDescent="0.25">
      <c r="A77" s="50">
        <f t="shared" si="0"/>
        <v>4</v>
      </c>
      <c r="B77" s="56">
        <f>'Mastercurve bestimmen'!C21</f>
        <v>4.2179983982958157E-2</v>
      </c>
      <c r="D77" s="51">
        <v>4</v>
      </c>
      <c r="E77" s="56">
        <f>'Mastercurve bestimmen'!A21</f>
        <v>4.7973886968128502E-12</v>
      </c>
    </row>
    <row r="78" spans="1:5" x14ac:dyDescent="0.25">
      <c r="A78" s="50">
        <f t="shared" si="0"/>
        <v>5</v>
      </c>
      <c r="B78" s="56">
        <f>'Mastercurve bestimmen'!C22</f>
        <v>3.9494315481295991E-2</v>
      </c>
      <c r="D78" s="51">
        <v>5</v>
      </c>
      <c r="E78" s="56">
        <f>'Mastercurve bestimmen'!A22</f>
        <v>5.31812225239524E-11</v>
      </c>
    </row>
    <row r="79" spans="1:5" x14ac:dyDescent="0.25">
      <c r="A79" s="50">
        <f t="shared" si="0"/>
        <v>6</v>
      </c>
      <c r="B79" s="56">
        <f>'Mastercurve bestimmen'!C23</f>
        <v>3.1232286968780269E-2</v>
      </c>
      <c r="D79" s="51">
        <v>6</v>
      </c>
      <c r="E79" s="56">
        <f>'Mastercurve bestimmen'!A23</f>
        <v>5.8953789402578301E-10</v>
      </c>
    </row>
    <row r="80" spans="1:5" x14ac:dyDescent="0.25">
      <c r="A80" s="50">
        <f t="shared" si="0"/>
        <v>7</v>
      </c>
      <c r="B80" s="56">
        <f>'Mastercurve bestimmen'!C24</f>
        <v>3.0546949875680195E-2</v>
      </c>
      <c r="D80" s="51">
        <v>7</v>
      </c>
      <c r="E80" s="56">
        <f>'Mastercurve bestimmen'!A24</f>
        <v>6.5352940755699598E-9</v>
      </c>
    </row>
    <row r="81" spans="1:5" x14ac:dyDescent="0.25">
      <c r="A81" s="50">
        <f t="shared" si="0"/>
        <v>8</v>
      </c>
      <c r="B81" s="56">
        <f>'Mastercurve bestimmen'!C25</f>
        <v>2.9181012135706209E-2</v>
      </c>
      <c r="D81" s="51">
        <v>8</v>
      </c>
      <c r="E81" s="56">
        <f>'Mastercurve bestimmen'!A25</f>
        <v>7.2446689325643296E-8</v>
      </c>
    </row>
    <row r="82" spans="1:5" x14ac:dyDescent="0.25">
      <c r="A82" s="50">
        <f t="shared" si="0"/>
        <v>9</v>
      </c>
      <c r="B82" s="56">
        <f>'Mastercurve bestimmen'!C26</f>
        <v>2.8956161504827882E-2</v>
      </c>
      <c r="D82" s="51">
        <f>A82</f>
        <v>9</v>
      </c>
      <c r="E82" s="56">
        <f>'Mastercurve bestimmen'!A26</f>
        <v>8.03104303120212E-7</v>
      </c>
    </row>
    <row r="83" spans="1:5" x14ac:dyDescent="0.25">
      <c r="A83" s="50">
        <f t="shared" si="0"/>
        <v>10</v>
      </c>
      <c r="B83" s="56">
        <f>'Mastercurve bestimmen'!C27</f>
        <v>2.8549428510413092E-2</v>
      </c>
      <c r="C83" s="11"/>
      <c r="D83" s="51">
        <f t="shared" ref="D83:D104" si="1">A83</f>
        <v>10</v>
      </c>
      <c r="E83" s="56">
        <f>'Mastercurve bestimmen'!A27</f>
        <v>8.9027742702096099E-6</v>
      </c>
    </row>
    <row r="84" spans="1:5" x14ac:dyDescent="0.25">
      <c r="A84" s="50">
        <f t="shared" si="0"/>
        <v>11</v>
      </c>
      <c r="B84" s="56">
        <f>'Mastercurve bestimmen'!C28</f>
        <v>3.3916990026039671E-2</v>
      </c>
      <c r="C84" s="11"/>
      <c r="D84" s="51">
        <f t="shared" si="1"/>
        <v>11</v>
      </c>
      <c r="E84" s="56">
        <f>'Mastercurve bestimmen'!A28</f>
        <v>9.86912775817142E-5</v>
      </c>
    </row>
    <row r="85" spans="1:5" x14ac:dyDescent="0.25">
      <c r="A85" s="50">
        <f t="shared" si="0"/>
        <v>12</v>
      </c>
      <c r="B85" s="56">
        <f>'Mastercurve bestimmen'!C29</f>
        <v>3.6686036889388041E-2</v>
      </c>
      <c r="C85" s="11"/>
      <c r="D85" s="51">
        <f t="shared" si="1"/>
        <v>12</v>
      </c>
      <c r="E85" s="56">
        <f>'Mastercurve bestimmen'!A29</f>
        <v>1.0940374286813801E-3</v>
      </c>
    </row>
    <row r="86" spans="1:5" x14ac:dyDescent="0.25">
      <c r="A86" s="50">
        <f t="shared" si="0"/>
        <v>13</v>
      </c>
      <c r="B86" s="56">
        <f>'Mastercurve bestimmen'!C30</f>
        <v>4.0919511658412108E-2</v>
      </c>
      <c r="C86" s="11"/>
      <c r="D86" s="51">
        <f t="shared" si="1"/>
        <v>13</v>
      </c>
      <c r="E86" s="56">
        <f>'Mastercurve bestimmen'!A30</f>
        <v>1.2127899493091E-2</v>
      </c>
    </row>
    <row r="87" spans="1:5" x14ac:dyDescent="0.25">
      <c r="A87" s="50">
        <f t="shared" si="0"/>
        <v>14</v>
      </c>
      <c r="B87" s="56">
        <f>'Mastercurve bestimmen'!C31</f>
        <v>4.7755707575506505E-2</v>
      </c>
      <c r="C87" s="11"/>
      <c r="D87" s="51">
        <f t="shared" si="1"/>
        <v>14</v>
      </c>
      <c r="E87" s="56">
        <f>'Mastercurve bestimmen'!A31</f>
        <v>0.13444324870292301</v>
      </c>
    </row>
    <row r="88" spans="1:5" x14ac:dyDescent="0.25">
      <c r="A88" s="50">
        <f t="shared" si="0"/>
        <v>15</v>
      </c>
      <c r="B88" s="56">
        <f>'Mastercurve bestimmen'!C32</f>
        <v>5.7469214785363418E-2</v>
      </c>
      <c r="C88" s="11"/>
      <c r="D88" s="51">
        <f t="shared" si="1"/>
        <v>15</v>
      </c>
      <c r="E88" s="56">
        <f>'Mastercurve bestimmen'!A32</f>
        <v>1.49036419143257</v>
      </c>
    </row>
    <row r="89" spans="1:5" x14ac:dyDescent="0.25">
      <c r="A89" s="50">
        <f t="shared" si="0"/>
        <v>16</v>
      </c>
      <c r="B89" s="56">
        <f>'Mastercurve bestimmen'!C33</f>
        <v>6.4260885650205518E-2</v>
      </c>
      <c r="C89" s="11"/>
      <c r="D89" s="51">
        <f t="shared" si="1"/>
        <v>16</v>
      </c>
      <c r="E89" s="56">
        <f>'Mastercurve bestimmen'!A33</f>
        <v>16.521360830937301</v>
      </c>
    </row>
    <row r="90" spans="1:5" x14ac:dyDescent="0.25">
      <c r="A90" s="50">
        <f t="shared" si="0"/>
        <v>17</v>
      </c>
      <c r="B90" s="56">
        <f>'Mastercurve bestimmen'!C34</f>
        <v>6.2189536822504186E-2</v>
      </c>
      <c r="C90" s="11"/>
      <c r="D90" s="51">
        <f t="shared" si="1"/>
        <v>17</v>
      </c>
      <c r="E90" s="56">
        <f>'Mastercurve bestimmen'!A34</f>
        <v>183.146753843879</v>
      </c>
    </row>
    <row r="91" spans="1:5" x14ac:dyDescent="0.25">
      <c r="A91" s="50">
        <f t="shared" si="0"/>
        <v>18</v>
      </c>
      <c r="B91" s="56">
        <f>'Mastercurve bestimmen'!C35</f>
        <v>4.8803099741359754E-2</v>
      </c>
      <c r="C91" s="11"/>
      <c r="D91" s="51">
        <f t="shared" si="1"/>
        <v>18</v>
      </c>
      <c r="E91" s="56">
        <f>'Mastercurve bestimmen'!A35</f>
        <v>2030.26456396616</v>
      </c>
    </row>
    <row r="92" spans="1:5" x14ac:dyDescent="0.25">
      <c r="A92" s="50">
        <f t="shared" si="0"/>
        <v>19</v>
      </c>
      <c r="B92" s="56">
        <f>'Mastercurve bestimmen'!C36</f>
        <v>3.0415227107223403E-2</v>
      </c>
      <c r="C92" s="11"/>
      <c r="D92" s="51">
        <f t="shared" si="1"/>
        <v>19</v>
      </c>
      <c r="E92" s="56">
        <f>'Mastercurve bestimmen'!A36</f>
        <v>22506.400540467101</v>
      </c>
    </row>
    <row r="93" spans="1:5" x14ac:dyDescent="0.25">
      <c r="A93" s="50">
        <f t="shared" si="0"/>
        <v>20</v>
      </c>
      <c r="B93" s="56">
        <f>'Mastercurve bestimmen'!C37</f>
        <v>1.5463317607252298E-2</v>
      </c>
      <c r="C93" s="11"/>
      <c r="D93" s="51">
        <f t="shared" si="1"/>
        <v>20</v>
      </c>
      <c r="E93" s="56">
        <f>'Mastercurve bestimmen'!A37</f>
        <v>249493.62476110301</v>
      </c>
    </row>
    <row r="94" spans="1:5" x14ac:dyDescent="0.25">
      <c r="A94" s="50">
        <f t="shared" si="0"/>
        <v>21</v>
      </c>
      <c r="B94" s="56">
        <f>'Mastercurve bestimmen'!C38</f>
        <v>6.4979326784240111E-3</v>
      </c>
      <c r="C94" s="11"/>
      <c r="D94" s="51">
        <f t="shared" si="1"/>
        <v>21</v>
      </c>
      <c r="E94" s="56">
        <f>'Mastercurve bestimmen'!A38</f>
        <v>2765749.6224023802</v>
      </c>
    </row>
    <row r="95" spans="1:5" x14ac:dyDescent="0.25">
      <c r="A95" s="50">
        <f t="shared" si="0"/>
        <v>22</v>
      </c>
      <c r="B95" s="56">
        <f>'Mastercurve bestimmen'!C39</f>
        <v>1.7266189453767201E-3</v>
      </c>
      <c r="C95" s="11"/>
      <c r="D95" s="51">
        <f t="shared" si="1"/>
        <v>22</v>
      </c>
      <c r="E95" s="56">
        <f>'Mastercurve bestimmen'!A39</f>
        <v>10000000</v>
      </c>
    </row>
    <row r="96" spans="1:5" x14ac:dyDescent="0.25">
      <c r="A96" s="50">
        <f t="shared" si="0"/>
        <v>23</v>
      </c>
      <c r="B96" s="56">
        <f>'Mastercurve bestimmen'!C40</f>
        <v>4.5003340048363309E-3</v>
      </c>
      <c r="C96" s="11"/>
      <c r="D96" s="51">
        <f t="shared" si="1"/>
        <v>23</v>
      </c>
      <c r="E96" s="56">
        <f>'Mastercurve bestimmen'!A40</f>
        <v>100000000</v>
      </c>
    </row>
    <row r="97" spans="1:5" x14ac:dyDescent="0.25">
      <c r="A97" s="50">
        <f t="shared" si="0"/>
        <v>24</v>
      </c>
      <c r="B97" s="56">
        <f>'Mastercurve bestimmen'!C41</f>
        <v>6.1948117203855881E-4</v>
      </c>
      <c r="C97" s="11"/>
      <c r="D97" s="51">
        <f t="shared" si="1"/>
        <v>24</v>
      </c>
      <c r="E97" s="56">
        <f>'Mastercurve bestimmen'!A41</f>
        <v>1000000000</v>
      </c>
    </row>
    <row r="98" spans="1:5" x14ac:dyDescent="0.25">
      <c r="A98" s="50">
        <f t="shared" si="0"/>
        <v>25</v>
      </c>
      <c r="B98" s="56">
        <f>'Mastercurve bestimmen'!C42</f>
        <v>7.8921984991154562E-4</v>
      </c>
      <c r="C98" s="11"/>
      <c r="D98" s="51">
        <f t="shared" si="1"/>
        <v>25</v>
      </c>
      <c r="E98" s="56">
        <f>'Mastercurve bestimmen'!A42</f>
        <v>10000000000</v>
      </c>
    </row>
    <row r="99" spans="1:5" x14ac:dyDescent="0.25">
      <c r="A99" s="50">
        <f t="shared" si="0"/>
        <v>26</v>
      </c>
      <c r="B99" s="56">
        <f>'Mastercurve bestimmen'!C43</f>
        <v>3.1383864234018747E-3</v>
      </c>
      <c r="C99" s="11"/>
      <c r="D99" s="51">
        <f t="shared" si="1"/>
        <v>26</v>
      </c>
      <c r="E99" s="56">
        <f>'Mastercurve bestimmen'!A43</f>
        <v>100000000000</v>
      </c>
    </row>
    <row r="100" spans="1:5" x14ac:dyDescent="0.25">
      <c r="A100" s="50">
        <f t="shared" si="0"/>
        <v>27</v>
      </c>
      <c r="B100" s="56">
        <f>'Mastercurve bestimmen'!C44</f>
        <v>4.3963079363277776E-4</v>
      </c>
      <c r="C100" s="11"/>
      <c r="D100" s="51">
        <f t="shared" si="1"/>
        <v>27</v>
      </c>
      <c r="E100" s="56">
        <f>'Mastercurve bestimmen'!A44</f>
        <v>1000000000000</v>
      </c>
    </row>
    <row r="101" spans="1:5" x14ac:dyDescent="0.25">
      <c r="A101" s="50">
        <f t="shared" si="0"/>
        <v>28</v>
      </c>
      <c r="B101" s="56">
        <f>'Mastercurve bestimmen'!C45</f>
        <v>3.9367491924485783E-5</v>
      </c>
      <c r="C101" s="11"/>
      <c r="D101" s="51">
        <f t="shared" si="1"/>
        <v>28</v>
      </c>
      <c r="E101" s="56">
        <f>'Mastercurve bestimmen'!A45</f>
        <v>10000000000000</v>
      </c>
    </row>
    <row r="102" spans="1:5" x14ac:dyDescent="0.25">
      <c r="A102" s="50">
        <f t="shared" si="0"/>
        <v>29</v>
      </c>
      <c r="B102" s="56">
        <f>'Mastercurve bestimmen'!C46</f>
        <v>2.469113716916911E-6</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E8" sqref="E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4566.6036136134571</v>
      </c>
      <c r="G16" s="26">
        <f>INDEX(Comparison!$AM$3:$AS$33,G14,$B$3)</f>
        <v>4367.9191662396088</v>
      </c>
      <c r="H16" s="26">
        <f>INDEX(Comparison!$AM$3:$AS$33,H14,$B$3)</f>
        <v>4211.7468990411771</v>
      </c>
      <c r="I16" s="26">
        <f>INDEX(Comparison!$AM$3:$AS$33,I14,$B$3)</f>
        <v>4035.1164889708966</v>
      </c>
      <c r="J16" s="26">
        <f>INDEX(Comparison!$AM$3:$AS$33,J14,$B$3)</f>
        <v>3826.9829326183326</v>
      </c>
      <c r="K16" s="26">
        <f>INDEX(Comparison!$AM$3:$AS$33,K14,$B$3)</f>
        <v>3620.1591645384274</v>
      </c>
      <c r="L16" s="26">
        <f>INDEX(Comparison!$AM$3:$AS$33,L14,$B$3)</f>
        <v>3446.6232486673289</v>
      </c>
      <c r="M16" s="26">
        <f>INDEX(Comparison!$AM$3:$AS$33,M14,$B$3)</f>
        <v>3283.5389960784037</v>
      </c>
      <c r="N16" s="26">
        <f>INDEX(Comparison!$AM$3:$AS$33,N14,$B$3)</f>
        <v>3126.1515402495047</v>
      </c>
      <c r="O16" s="26">
        <f>INDEX(Comparison!$AM$3:$AS$33,O14,$B$3)</f>
        <v>2970.9240585633979</v>
      </c>
      <c r="P16" s="26">
        <f>INDEX(Comparison!$AM$3:$AS$33,P14,$B$3)</f>
        <v>2814.9531210575578</v>
      </c>
      <c r="Q16" s="26">
        <f>INDEX(Comparison!$AM$3:$AS$33,Q14,$B$3)</f>
        <v>2641.4801683555684</v>
      </c>
      <c r="R16" s="26">
        <f>INDEX(Comparison!$AM$3:$AS$33,R14,$B$3)</f>
        <v>2449.1835010011705</v>
      </c>
      <c r="S16" s="26">
        <f>INDEX(Comparison!$AM$3:$AS$33,S14,$B$3)</f>
        <v>2235.8247528873858</v>
      </c>
      <c r="T16" s="26">
        <f>INDEX(Comparison!$AM$3:$AS$33,T14,$B$3)</f>
        <v>1993.335720552192</v>
      </c>
      <c r="U16" s="26">
        <f>INDEX(Comparison!$AM$3:$AS$33,U14,$B$3)</f>
        <v>1707.9100595434049</v>
      </c>
      <c r="V16" s="26">
        <f>INDEX(Comparison!$AM$3:$AS$33,V14,$B$3)</f>
        <v>1382.9901395885138</v>
      </c>
      <c r="W16" s="26">
        <f>INDEX(Comparison!$AM$3:$AS$33,W14,$B$3)</f>
        <v>1045.3846206276212</v>
      </c>
      <c r="X16" s="26">
        <f>INDEX(Comparison!$AM$3:$AS$33,X14,$B$3)</f>
        <v>743.50488577028852</v>
      </c>
      <c r="Y16" s="26">
        <f>INDEX(Comparison!$AM$3:$AS$33,Y14,$B$3)</f>
        <v>519.49600219625086</v>
      </c>
      <c r="Z16" s="26">
        <f>INDEX(Comparison!$AM$3:$AS$33,Z14,$B$3)</f>
        <v>383.51568079468302</v>
      </c>
      <c r="AA16" s="26">
        <f>INDEX(Comparison!$AM$3:$AS$33,AA14,$B$3)</f>
        <v>314.10371823238006</v>
      </c>
      <c r="AB16" s="26">
        <f>INDEX(Comparison!$AM$3:$AS$33,AB14,$B$3)</f>
        <v>280.6909623460773</v>
      </c>
      <c r="AC16" s="26">
        <f>INDEX(Comparison!$AM$3:$AS$33,AC14,$B$3)</f>
        <v>262.23895816268134</v>
      </c>
      <c r="AD16" s="26">
        <f>INDEX(Comparison!$AM$3:$AS$33,AD14,$B$3)</f>
        <v>250.5385469230996</v>
      </c>
      <c r="AE16" s="26">
        <f>INDEX(Comparison!$AM$3:$AS$33,AE14,$B$3)</f>
        <v>245.32626479673095</v>
      </c>
      <c r="AF16" s="26">
        <f>INDEX(Comparison!$AM$3:$AS$33,AF14,$B$3)</f>
        <v>234.06992955511652</v>
      </c>
      <c r="AG16" s="26">
        <f>INDEX(Comparison!$AM$3:$AS$33,AG14,$B$3)</f>
        <v>226.1826531941249</v>
      </c>
      <c r="AH16" s="26">
        <f>INDEX(Comparison!$AM$3:$AS$33,AH14,$B$3)</f>
        <v>225.23832209445587</v>
      </c>
      <c r="AI16" s="26">
        <f>INDEX(Comparison!$AM$3:$AS$33,AI14,$B$3)</f>
        <v>225.13655271656646</v>
      </c>
      <c r="AJ16" s="26">
        <f>INDEX(Comparison!$AM$3:$AS$33,AJ14,$B$3)</f>
        <v>225.03956034728361</v>
      </c>
    </row>
    <row r="17" spans="1:36" x14ac:dyDescent="0.25">
      <c r="A17" s="14" t="s">
        <v>20</v>
      </c>
      <c r="B17" s="14">
        <v>4.81911362714873E-2</v>
      </c>
      <c r="C17" s="18">
        <f t="shared" ref="C17:C48" si="3">ABS(B17/$B$49)</f>
        <v>4.00964904903435E-2</v>
      </c>
      <c r="D17" s="67"/>
      <c r="E17" s="66" t="s">
        <v>22</v>
      </c>
      <c r="F17" s="27">
        <f>($C$17+SUM(F18:F48))*$B$51</f>
        <v>4509.2470492235625</v>
      </c>
      <c r="G17" s="27">
        <f t="shared" ref="G17:M17" si="4">($C$17+SUM(G18:G48))*$B$51</f>
        <v>4442.1202154733082</v>
      </c>
      <c r="H17" s="27">
        <f t="shared" si="4"/>
        <v>4192.1228661799605</v>
      </c>
      <c r="I17" s="27">
        <f t="shared" si="4"/>
        <v>4038.3396313736066</v>
      </c>
      <c r="J17" s="27">
        <f t="shared" si="4"/>
        <v>3826.5519124274392</v>
      </c>
      <c r="K17" s="27">
        <f t="shared" si="4"/>
        <v>3620.227941448316</v>
      </c>
      <c r="L17" s="27">
        <f t="shared" si="4"/>
        <v>3446.6250763782541</v>
      </c>
      <c r="M17" s="27">
        <f t="shared" si="4"/>
        <v>3283.571458891437</v>
      </c>
      <c r="N17" s="27">
        <f t="shared" ref="N17" si="5">($C$17+SUM(N18:N48))*$B$51</f>
        <v>3126.1158687626598</v>
      </c>
      <c r="O17" s="27">
        <f t="shared" ref="O17" si="6">($C$17+SUM(O18:O48))*$B$51</f>
        <v>2971.0289875330714</v>
      </c>
      <c r="P17" s="27">
        <f t="shared" ref="P17" si="7">($C$17+SUM(P18:P48))*$B$51</f>
        <v>2814.7980723395222</v>
      </c>
      <c r="Q17" s="27">
        <f t="shared" ref="Q17" si="8">($C$17+SUM(Q18:Q48))*$B$51</f>
        <v>2641.7178165927758</v>
      </c>
      <c r="R17" s="27">
        <f t="shared" ref="R17" si="9">($C$17+SUM(R18:R48))*$B$51</f>
        <v>2448.8960059197548</v>
      </c>
      <c r="S17" s="27">
        <f t="shared" ref="S17:T17" si="10">($C$17+SUM(S18:S48))*$B$51</f>
        <v>2236.1275470550813</v>
      </c>
      <c r="T17" s="27">
        <f t="shared" si="10"/>
        <v>1993.0632801470108</v>
      </c>
      <c r="U17" s="27">
        <f t="shared" ref="U17" si="11">($C$17+SUM(U18:U48))*$B$51</f>
        <v>1708.1117567948656</v>
      </c>
      <c r="V17" s="27">
        <f t="shared" ref="V17" si="12">($C$17+SUM(V18:V48))*$B$51</f>
        <v>1382.8472352094652</v>
      </c>
      <c r="W17" s="27">
        <f t="shared" ref="W17" si="13">($C$17+SUM(W18:W48))*$B$51</f>
        <v>1045.4663134161933</v>
      </c>
      <c r="X17" s="27">
        <f t="shared" ref="X17" si="14">($C$17+SUM(X18:X48))*$B$51</f>
        <v>743.47632145542229</v>
      </c>
      <c r="Y17" s="27">
        <f t="shared" ref="Y17" si="15">($C$17+SUM(Y18:Y48))*$B$51</f>
        <v>519.52585621235369</v>
      </c>
      <c r="Z17" s="27">
        <f t="shared" ref="Z17:AA17" si="16">($C$17+SUM(Z18:Z48))*$B$51</f>
        <v>383.51471653499635</v>
      </c>
      <c r="AA17" s="27">
        <f t="shared" si="16"/>
        <v>314.10932669727146</v>
      </c>
      <c r="AB17" s="27">
        <f t="shared" ref="AB17" si="17">($C$17+SUM(AB18:AB48))*$B$51</f>
        <v>280.70703648168103</v>
      </c>
      <c r="AC17" s="27">
        <f t="shared" ref="AC17" si="18">($C$17+SUM(AC18:AC48))*$B$51</f>
        <v>262.24148069368988</v>
      </c>
      <c r="AD17" s="27">
        <f t="shared" ref="AD17" si="19">($C$17+SUM(AD18:AD48))*$B$51</f>
        <v>250.54251980469854</v>
      </c>
      <c r="AE17" s="27">
        <f t="shared" ref="AE17" si="20">($C$17+SUM(AE18:AE48))*$B$51</f>
        <v>245.35925389803589</v>
      </c>
      <c r="AF17" s="27">
        <f t="shared" ref="AF17" si="21">($C$17+SUM(AF18:AF48))*$B$51</f>
        <v>234.05610548234361</v>
      </c>
      <c r="AG17" s="27">
        <f t="shared" ref="AG17:AH17" si="22">($C$17+SUM(AG18:AG48))*$B$51</f>
        <v>226.23063269584452</v>
      </c>
      <c r="AH17" s="27">
        <f t="shared" si="22"/>
        <v>225.20210306178973</v>
      </c>
      <c r="AI17" s="27">
        <f t="shared" ref="AI17" si="23">($C$17+SUM(AI18:AI48))*$B$51</f>
        <v>225.11325069814757</v>
      </c>
      <c r="AJ17" s="27">
        <f t="shared" ref="AJ17" si="24">($C$17+SUM(AJ18:AJ48))*$B$51</f>
        <v>225.10814174814411</v>
      </c>
    </row>
    <row r="18" spans="1:36" x14ac:dyDescent="0.25">
      <c r="A18" s="3">
        <f>0.000000000000001/10^5</f>
        <v>1.0000000000000001E-20</v>
      </c>
      <c r="B18" s="17">
        <v>0.2347378045616321</v>
      </c>
      <c r="C18" s="18">
        <f t="shared" si="3"/>
        <v>0.19530898992100296</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6.8394919590924058E-2</v>
      </c>
      <c r="C19" s="18">
        <f t="shared" si="3"/>
        <v>5.6906652449858444E-2</v>
      </c>
      <c r="D19" s="17"/>
      <c r="F19" s="3">
        <f t="shared" si="25"/>
        <v>5.5467474489573287E-2</v>
      </c>
      <c r="G19" s="3">
        <f t="shared" si="25"/>
        <v>4.4047024230939646E-2</v>
      </c>
      <c r="H19" s="3">
        <f t="shared" si="25"/>
        <v>4.3923646028785363E-3</v>
      </c>
      <c r="I19" s="3">
        <f t="shared" si="25"/>
        <v>4.2708712588141987E-13</v>
      </c>
      <c r="J19" s="3">
        <f t="shared" si="25"/>
        <v>3.2262458039411268E-113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2.6338893731417155E-2</v>
      </c>
      <c r="C20" s="18">
        <f t="shared" si="3"/>
        <v>2.191476034261481E-2</v>
      </c>
      <c r="D20" s="17"/>
      <c r="F20" s="3">
        <f t="shared" si="25"/>
        <v>2.1864179791626526E-2</v>
      </c>
      <c r="G20" s="3">
        <f t="shared" si="25"/>
        <v>2.1414176058440784E-2</v>
      </c>
      <c r="H20" s="3">
        <f t="shared" si="25"/>
        <v>1.7393346902235849E-2</v>
      </c>
      <c r="I20" s="3">
        <f t="shared" si="25"/>
        <v>2.173707270036844E-3</v>
      </c>
      <c r="J20" s="3">
        <f t="shared" si="25"/>
        <v>2.0201333961480163E-12</v>
      </c>
      <c r="K20" s="3">
        <f t="shared" si="25"/>
        <v>9.7088983130813791E-103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5.0695243678282181E-2</v>
      </c>
      <c r="C21" s="18">
        <f t="shared" si="3"/>
        <v>4.2179983982958157E-2</v>
      </c>
      <c r="D21" s="17"/>
      <c r="F21" s="3">
        <f t="shared" si="25"/>
        <v>4.2171192619403129E-2</v>
      </c>
      <c r="G21" s="3">
        <f t="shared" si="25"/>
        <v>4.2092152756897309E-2</v>
      </c>
      <c r="H21" s="3">
        <f t="shared" si="25"/>
        <v>4.1309856267370305E-2</v>
      </c>
      <c r="I21" s="3">
        <f t="shared" si="25"/>
        <v>3.4243578650806017E-2</v>
      </c>
      <c r="J21" s="3">
        <f t="shared" si="25"/>
        <v>5.2460660239732259E-3</v>
      </c>
      <c r="K21" s="3">
        <f t="shared" si="25"/>
        <v>3.7357673859538227E-11</v>
      </c>
      <c r="L21" s="3">
        <f t="shared" si="25"/>
        <v>1.252681225773556E-92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4.7467394678010894E-2</v>
      </c>
      <c r="C22" s="18">
        <f t="shared" si="3"/>
        <v>3.9494315481295991E-2</v>
      </c>
      <c r="D22" s="17"/>
      <c r="F22" s="3">
        <f t="shared" si="25"/>
        <v>3.9493572851805901E-2</v>
      </c>
      <c r="G22" s="3">
        <f t="shared" si="25"/>
        <v>3.9486889814743499E-2</v>
      </c>
      <c r="H22" s="3">
        <f t="shared" si="25"/>
        <v>3.9420121611640685E-2</v>
      </c>
      <c r="I22" s="3">
        <f t="shared" si="25"/>
        <v>3.8758617581446955E-2</v>
      </c>
      <c r="J22" s="3">
        <f t="shared" si="25"/>
        <v>3.2724382935762172E-2</v>
      </c>
      <c r="K22" s="3">
        <f t="shared" si="25"/>
        <v>6.0242549291475442E-3</v>
      </c>
      <c r="L22" s="3">
        <f t="shared" si="25"/>
        <v>2.6929116041106829E-10</v>
      </c>
      <c r="M22" s="3">
        <f t="shared" si="25"/>
        <v>8.5784664791766956E-84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3.7537434797321405E-2</v>
      </c>
      <c r="C23" s="18">
        <f t="shared" si="3"/>
        <v>3.1232286968780269E-2</v>
      </c>
      <c r="D23" s="17"/>
      <c r="F23" s="3">
        <f t="shared" si="25"/>
        <v>3.1232233991251943E-2</v>
      </c>
      <c r="G23" s="3">
        <f t="shared" si="25"/>
        <v>3.1231757197540816E-2</v>
      </c>
      <c r="H23" s="3">
        <f t="shared" si="25"/>
        <v>3.1226989660743526E-2</v>
      </c>
      <c r="I23" s="3">
        <f t="shared" si="25"/>
        <v>3.1179354301568915E-2</v>
      </c>
      <c r="J23" s="3">
        <f t="shared" si="25"/>
        <v>3.0706979082701032E-2</v>
      </c>
      <c r="K23" s="3">
        <f t="shared" si="25"/>
        <v>2.6359480935630071E-2</v>
      </c>
      <c r="L23" s="3">
        <f t="shared" si="25"/>
        <v>5.7270959911079307E-3</v>
      </c>
      <c r="M23" s="3">
        <f t="shared" si="25"/>
        <v>1.3424884121836035E-9</v>
      </c>
      <c r="N23" s="3">
        <f t="shared" si="25"/>
        <v>6.7246762362196257E-76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3.6713742428198859E-2</v>
      </c>
      <c r="C24" s="18">
        <f t="shared" si="3"/>
        <v>3.0546949875680195E-2</v>
      </c>
      <c r="D24" s="17"/>
      <c r="F24" s="3">
        <f t="shared" si="25"/>
        <v>3.0546945201529778E-2</v>
      </c>
      <c r="G24" s="3">
        <f t="shared" si="25"/>
        <v>3.0546903134208197E-2</v>
      </c>
      <c r="H24" s="3">
        <f t="shared" si="25"/>
        <v>3.0546482464178643E-2</v>
      </c>
      <c r="I24" s="3">
        <f t="shared" si="25"/>
        <v>3.0542276082494105E-2</v>
      </c>
      <c r="J24" s="3">
        <f t="shared" si="25"/>
        <v>3.0500244110515596E-2</v>
      </c>
      <c r="K24" s="3">
        <f t="shared" si="25"/>
        <v>3.0083092710754607E-2</v>
      </c>
      <c r="L24" s="3">
        <f t="shared" si="25"/>
        <v>2.6212844473480455E-2</v>
      </c>
      <c r="M24" s="3">
        <f t="shared" si="25"/>
        <v>6.6134920677243065E-3</v>
      </c>
      <c r="N24" s="3">
        <f t="shared" si="25"/>
        <v>6.91190402864658E-9</v>
      </c>
      <c r="O24" s="3">
        <f t="shared" si="25"/>
        <v>1.0746482185960029E-68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3.5072050325960967E-2</v>
      </c>
      <c r="C25" s="18">
        <f t="shared" si="3"/>
        <v>2.9181012135706209E-2</v>
      </c>
      <c r="D25" s="17"/>
      <c r="F25" s="3">
        <f t="shared" si="25"/>
        <v>2.918101173291331E-2</v>
      </c>
      <c r="G25" s="3">
        <f t="shared" si="25"/>
        <v>2.9181008107777483E-2</v>
      </c>
      <c r="H25" s="3">
        <f t="shared" si="25"/>
        <v>2.9180971856443944E-2</v>
      </c>
      <c r="I25" s="3">
        <f t="shared" si="25"/>
        <v>2.9180609345585477E-2</v>
      </c>
      <c r="J25" s="3">
        <f t="shared" si="25"/>
        <v>2.9176984484679577E-2</v>
      </c>
      <c r="K25" s="3">
        <f t="shared" si="25"/>
        <v>2.9140760632117381E-2</v>
      </c>
      <c r="L25" s="3">
        <f t="shared" si="25"/>
        <v>2.8780986414609071E-2</v>
      </c>
      <c r="M25" s="3">
        <f t="shared" si="25"/>
        <v>2.5418714547049422E-2</v>
      </c>
      <c r="N25" s="3">
        <f t="shared" si="25"/>
        <v>7.3389288833203793E-3</v>
      </c>
      <c r="O25" s="3">
        <f t="shared" si="25"/>
        <v>2.9540893826534633E-8</v>
      </c>
      <c r="P25" s="3">
        <f t="shared" si="25"/>
        <v>3.2986265977190876E-62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3.4801807038808516E-2</v>
      </c>
      <c r="C26" s="18">
        <f t="shared" si="3"/>
        <v>2.8956161504827882E-2</v>
      </c>
      <c r="D26" s="17"/>
      <c r="F26" s="3">
        <f t="shared" si="25"/>
        <v>2.8956161468772588E-2</v>
      </c>
      <c r="G26" s="3">
        <f t="shared" si="25"/>
        <v>2.8956161144274947E-2</v>
      </c>
      <c r="H26" s="3">
        <f t="shared" si="25"/>
        <v>2.8956157899298739E-2</v>
      </c>
      <c r="I26" s="3">
        <f t="shared" si="25"/>
        <v>2.8956125449556648E-2</v>
      </c>
      <c r="J26" s="3">
        <f t="shared" si="25"/>
        <v>2.8955800954135816E-2</v>
      </c>
      <c r="K26" s="3">
        <f t="shared" si="25"/>
        <v>2.8952556199925084E-2</v>
      </c>
      <c r="L26" s="3">
        <f t="shared" si="25"/>
        <v>2.8920128649287558E-2</v>
      </c>
      <c r="M26" s="3">
        <f t="shared" si="25"/>
        <v>2.8597844025396644E-2</v>
      </c>
      <c r="N26" s="3">
        <f t="shared" si="25"/>
        <v>2.556607267744938E-2</v>
      </c>
      <c r="O26" s="3">
        <f t="shared" si="25"/>
        <v>8.336260534928067E-3</v>
      </c>
      <c r="P26" s="3">
        <f t="shared" si="25"/>
        <v>1.1325147844745486E-7</v>
      </c>
      <c r="Q26" s="3">
        <f t="shared" si="25"/>
        <v>2.4253247015408711E-56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3.4312963129522395E-2</v>
      </c>
      <c r="C27" s="18">
        <f t="shared" si="3"/>
        <v>2.8549428510413092E-2</v>
      </c>
      <c r="D27" s="17"/>
      <c r="F27" s="3">
        <f t="shared" si="25"/>
        <v>2.8549428507206293E-2</v>
      </c>
      <c r="G27" s="3">
        <f t="shared" si="25"/>
        <v>2.8549428478345077E-2</v>
      </c>
      <c r="H27" s="3">
        <f t="shared" si="25"/>
        <v>2.854942818973296E-2</v>
      </c>
      <c r="I27" s="3">
        <f t="shared" si="25"/>
        <v>2.8549425303611927E-2</v>
      </c>
      <c r="J27" s="3">
        <f t="shared" si="25"/>
        <v>2.8549396442417642E-2</v>
      </c>
      <c r="K27" s="3">
        <f t="shared" si="25"/>
        <v>2.8549107832079524E-2</v>
      </c>
      <c r="L27" s="3">
        <f t="shared" si="25"/>
        <v>2.8546221889161862E-2</v>
      </c>
      <c r="M27" s="3">
        <f t="shared" si="25"/>
        <v>2.8517378500338308E-2</v>
      </c>
      <c r="N27" s="3">
        <f t="shared" si="25"/>
        <v>2.8230542663856807E-2</v>
      </c>
      <c r="O27" s="3">
        <f t="shared" si="25"/>
        <v>2.5516170323429677E-2</v>
      </c>
      <c r="P27" s="3">
        <f t="shared" si="25"/>
        <v>9.2849197000336829E-3</v>
      </c>
      <c r="Q27" s="3">
        <f t="shared" si="25"/>
        <v>3.779242404030347E-7</v>
      </c>
      <c r="R27" s="3">
        <f t="shared" si="25"/>
        <v>4.7170525673507531E-51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4.0764123450085787E-2</v>
      </c>
      <c r="C28" s="18">
        <f t="shared" si="3"/>
        <v>3.3916990026039671E-2</v>
      </c>
      <c r="D28" s="17"/>
      <c r="F28" s="3">
        <f t="shared" si="25"/>
        <v>3.3916990025696009E-2</v>
      </c>
      <c r="G28" s="3">
        <f t="shared" si="25"/>
        <v>3.3916990022602997E-2</v>
      </c>
      <c r="H28" s="3">
        <f t="shared" si="25"/>
        <v>3.3916989991672912E-2</v>
      </c>
      <c r="I28" s="3">
        <f t="shared" si="25"/>
        <v>3.3916989682372119E-2</v>
      </c>
      <c r="J28" s="3">
        <f t="shared" si="25"/>
        <v>3.3916986589364297E-2</v>
      </c>
      <c r="K28" s="3">
        <f t="shared" si="25"/>
        <v>3.3916955659301626E-2</v>
      </c>
      <c r="L28" s="3">
        <f t="shared" si="25"/>
        <v>3.3916646360226198E-2</v>
      </c>
      <c r="M28" s="3">
        <f t="shared" si="25"/>
        <v>3.39135535246003E-2</v>
      </c>
      <c r="N28" s="3">
        <f t="shared" si="25"/>
        <v>3.3882640675943848E-2</v>
      </c>
      <c r="O28" s="3">
        <f t="shared" si="25"/>
        <v>3.3575057729861295E-2</v>
      </c>
      <c r="P28" s="3">
        <f t="shared" si="25"/>
        <v>3.0648692194787198E-2</v>
      </c>
      <c r="Q28" s="3">
        <f t="shared" si="25"/>
        <v>1.2312996107512948E-2</v>
      </c>
      <c r="R28" s="3">
        <f t="shared" si="25"/>
        <v>1.3485954452060003E-6</v>
      </c>
      <c r="S28" s="3">
        <f t="shared" si="25"/>
        <v>3.3501260831540501E-46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4.4092183165583658E-2</v>
      </c>
      <c r="C29" s="18">
        <f t="shared" si="3"/>
        <v>3.6686036889388041E-2</v>
      </c>
      <c r="D29" s="17"/>
      <c r="F29" s="3">
        <f t="shared" si="25"/>
        <v>3.6686036889354505E-2</v>
      </c>
      <c r="G29" s="3">
        <f t="shared" si="25"/>
        <v>3.6686036889052712E-2</v>
      </c>
      <c r="H29" s="3">
        <f t="shared" si="25"/>
        <v>3.6686036886034772E-2</v>
      </c>
      <c r="I29" s="3">
        <f t="shared" si="25"/>
        <v>3.6686036855855336E-2</v>
      </c>
      <c r="J29" s="3">
        <f t="shared" si="25"/>
        <v>3.6686036554060969E-2</v>
      </c>
      <c r="K29" s="3">
        <f t="shared" si="25"/>
        <v>3.6686033536117463E-2</v>
      </c>
      <c r="L29" s="3">
        <f t="shared" si="25"/>
        <v>3.6686003356696049E-2</v>
      </c>
      <c r="M29" s="3">
        <f t="shared" si="25"/>
        <v>3.6685701563847394E-2</v>
      </c>
      <c r="N29" s="3">
        <f t="shared" si="25"/>
        <v>3.6682683771903812E-2</v>
      </c>
      <c r="O29" s="3">
        <f t="shared" si="25"/>
        <v>3.6652519502613473E-2</v>
      </c>
      <c r="P29" s="3">
        <f t="shared" si="25"/>
        <v>3.6352237678588042E-2</v>
      </c>
      <c r="Q29" s="3">
        <f t="shared" si="25"/>
        <v>3.3481453725288012E-2</v>
      </c>
      <c r="R29" s="3">
        <f t="shared" si="25"/>
        <v>1.4707399080186499E-2</v>
      </c>
      <c r="S29" s="3">
        <f t="shared" si="25"/>
        <v>3.9341560668358733E-6</v>
      </c>
      <c r="T29" s="3">
        <f t="shared" si="25"/>
        <v>7.3791893888975042E-42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4.9180308260847932E-2</v>
      </c>
      <c r="C30" s="18">
        <f t="shared" si="3"/>
        <v>4.0919511658412108E-2</v>
      </c>
      <c r="D30" s="17"/>
      <c r="F30" s="3">
        <f t="shared" si="25"/>
        <v>4.0919511658408736E-2</v>
      </c>
      <c r="G30" s="3">
        <f t="shared" si="25"/>
        <v>4.0919511658378364E-2</v>
      </c>
      <c r="H30" s="3">
        <f t="shared" si="25"/>
        <v>4.0919511658074711E-2</v>
      </c>
      <c r="I30" s="3">
        <f t="shared" si="25"/>
        <v>4.0919511655038113E-2</v>
      </c>
      <c r="J30" s="3">
        <f t="shared" si="25"/>
        <v>4.0919511624672125E-2</v>
      </c>
      <c r="K30" s="3">
        <f t="shared" si="25"/>
        <v>4.0919511321012285E-2</v>
      </c>
      <c r="L30" s="3">
        <f t="shared" si="25"/>
        <v>4.0919508284414E-2</v>
      </c>
      <c r="M30" s="3">
        <f t="shared" si="25"/>
        <v>4.0919477918443525E-2</v>
      </c>
      <c r="N30" s="3">
        <f t="shared" si="25"/>
        <v>4.0919174259978174E-2</v>
      </c>
      <c r="O30" s="3">
        <f t="shared" si="25"/>
        <v>4.091613779925958E-2</v>
      </c>
      <c r="P30" s="3">
        <f t="shared" si="25"/>
        <v>4.0885785582164366E-2</v>
      </c>
      <c r="Q30" s="3">
        <f t="shared" si="25"/>
        <v>4.0583499025029952E-2</v>
      </c>
      <c r="R30" s="3">
        <f t="shared" si="25"/>
        <v>3.7680868461468155E-2</v>
      </c>
      <c r="S30" s="3">
        <f t="shared" si="25"/>
        <v>1.7940521318805538E-2</v>
      </c>
      <c r="T30" s="3">
        <f t="shared" si="25"/>
        <v>1.0739315664451114E-5</v>
      </c>
      <c r="U30" s="3">
        <f t="shared" si="25"/>
        <v>6.3444225536796767E-38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5.7396589660802917E-2</v>
      </c>
      <c r="C31" s="18">
        <f t="shared" si="3"/>
        <v>4.7755707575506505E-2</v>
      </c>
      <c r="D31" s="17"/>
      <c r="F31" s="3">
        <f t="shared" si="25"/>
        <v>4.7755707575506151E-2</v>
      </c>
      <c r="G31" s="3">
        <f t="shared" si="25"/>
        <v>4.7755707575502952E-2</v>
      </c>
      <c r="H31" s="3">
        <f t="shared" si="25"/>
        <v>4.7755707575470985E-2</v>
      </c>
      <c r="I31" s="3">
        <f t="shared" si="25"/>
        <v>4.7755707575151296E-2</v>
      </c>
      <c r="J31" s="3">
        <f t="shared" si="25"/>
        <v>4.7755707571954395E-2</v>
      </c>
      <c r="K31" s="3">
        <f t="shared" si="25"/>
        <v>4.7755707539985419E-2</v>
      </c>
      <c r="L31" s="3">
        <f t="shared" si="25"/>
        <v>4.7755707220295603E-2</v>
      </c>
      <c r="M31" s="3">
        <f t="shared" si="25"/>
        <v>4.775570402339762E-2</v>
      </c>
      <c r="N31" s="3">
        <f t="shared" si="25"/>
        <v>4.7755672054429564E-2</v>
      </c>
      <c r="O31" s="3">
        <f t="shared" si="25"/>
        <v>4.775535236592602E-2</v>
      </c>
      <c r="P31" s="3">
        <f t="shared" si="25"/>
        <v>4.7752155598592395E-2</v>
      </c>
      <c r="Q31" s="3">
        <f t="shared" si="25"/>
        <v>4.7720199692519699E-2</v>
      </c>
      <c r="R31" s="3">
        <f t="shared" si="25"/>
        <v>4.7401814448747366E-2</v>
      </c>
      <c r="S31" s="3">
        <f t="shared" si="25"/>
        <v>4.4332487628924562E-2</v>
      </c>
      <c r="T31" s="3">
        <f t="shared" si="25"/>
        <v>2.2698306583937563E-2</v>
      </c>
      <c r="U31" s="3">
        <f t="shared" si="25"/>
        <v>2.8100045240409511E-5</v>
      </c>
      <c r="V31" s="3">
        <f t="shared" si="26"/>
        <v>2.3759791939858162E-34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6.9071051537635333E-2</v>
      </c>
      <c r="C32" s="18">
        <f t="shared" si="3"/>
        <v>5.7469214785363418E-2</v>
      </c>
      <c r="D32" s="17"/>
      <c r="F32" s="3">
        <f t="shared" si="25"/>
        <v>5.7469214785363376E-2</v>
      </c>
      <c r="G32" s="3">
        <f t="shared" si="25"/>
        <v>5.7469214785363036E-2</v>
      </c>
      <c r="H32" s="3">
        <f t="shared" si="25"/>
        <v>5.7469214785359567E-2</v>
      </c>
      <c r="I32" s="3">
        <f t="shared" si="25"/>
        <v>5.7469214785324851E-2</v>
      </c>
      <c r="J32" s="3">
        <f t="shared" si="25"/>
        <v>5.7469214784977816E-2</v>
      </c>
      <c r="K32" s="3">
        <f t="shared" si="25"/>
        <v>5.746921478150737E-2</v>
      </c>
      <c r="L32" s="3">
        <f t="shared" si="25"/>
        <v>5.7469214746802902E-2</v>
      </c>
      <c r="M32" s="3">
        <f t="shared" si="25"/>
        <v>5.7469214399758245E-2</v>
      </c>
      <c r="N32" s="3">
        <f t="shared" si="25"/>
        <v>5.746921092931178E-2</v>
      </c>
      <c r="O32" s="3">
        <f t="shared" si="25"/>
        <v>5.7469176224858656E-2</v>
      </c>
      <c r="P32" s="3">
        <f t="shared" si="25"/>
        <v>5.7468829181480059E-2</v>
      </c>
      <c r="Q32" s="3">
        <f t="shared" si="25"/>
        <v>5.7465358862956464E-2</v>
      </c>
      <c r="R32" s="3">
        <f t="shared" si="25"/>
        <v>5.7430667201378079E-2</v>
      </c>
      <c r="S32" s="3">
        <f t="shared" si="25"/>
        <v>5.708490038070959E-2</v>
      </c>
      <c r="T32" s="3">
        <f t="shared" si="25"/>
        <v>5.3739683607536226E-2</v>
      </c>
      <c r="U32" s="3">
        <f t="shared" si="25"/>
        <v>2.9378774931467143E-2</v>
      </c>
      <c r="V32" s="3">
        <f t="shared" si="26"/>
        <v>7.0051824602853702E-5</v>
      </c>
      <c r="W32" s="3">
        <f t="shared" si="26"/>
        <v>4.1617610974789432E-31</v>
      </c>
      <c r="X32" s="3">
        <f t="shared" si="26"/>
        <v>2.279576088811381E-293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7.7233819205232562E-2</v>
      </c>
      <c r="C33" s="18">
        <f t="shared" si="3"/>
        <v>6.4260885650205518E-2</v>
      </c>
      <c r="D33" s="17"/>
      <c r="F33" s="3">
        <f t="shared" si="25"/>
        <v>6.4260885650205504E-2</v>
      </c>
      <c r="G33" s="3">
        <f t="shared" si="25"/>
        <v>6.4260885650205476E-2</v>
      </c>
      <c r="H33" s="3">
        <f t="shared" si="25"/>
        <v>6.426088565020513E-2</v>
      </c>
      <c r="I33" s="3">
        <f t="shared" si="25"/>
        <v>6.4260885650201632E-2</v>
      </c>
      <c r="J33" s="3">
        <f t="shared" si="25"/>
        <v>6.4260885650166619E-2</v>
      </c>
      <c r="K33" s="3">
        <f t="shared" si="25"/>
        <v>6.4260885649816551E-2</v>
      </c>
      <c r="L33" s="3">
        <f t="shared" si="25"/>
        <v>6.4260885646315949E-2</v>
      </c>
      <c r="M33" s="3">
        <f t="shared" si="25"/>
        <v>6.4260885611309881E-2</v>
      </c>
      <c r="N33" s="3">
        <f t="shared" si="25"/>
        <v>6.4260885261249151E-2</v>
      </c>
      <c r="O33" s="3">
        <f t="shared" si="25"/>
        <v>6.4260881760641916E-2</v>
      </c>
      <c r="P33" s="3">
        <f t="shared" si="25"/>
        <v>6.4260846754580117E-2</v>
      </c>
      <c r="Q33" s="3">
        <f t="shared" si="25"/>
        <v>6.426049669501091E-2</v>
      </c>
      <c r="R33" s="3">
        <f t="shared" si="25"/>
        <v>6.4256996204198905E-2</v>
      </c>
      <c r="S33" s="3">
        <f t="shared" si="25"/>
        <v>6.4222001781974458E-2</v>
      </c>
      <c r="T33" s="3">
        <f t="shared" si="25"/>
        <v>6.3873104038846995E-2</v>
      </c>
      <c r="U33" s="3">
        <f t="shared" ref="P33:AE48" si="27">$C33*EXP(-U$15/$A33)</f>
        <v>6.048669564683163E-2</v>
      </c>
      <c r="V33" s="3">
        <f t="shared" si="27"/>
        <v>3.5081506767988088E-2</v>
      </c>
      <c r="W33" s="3">
        <f t="shared" si="27"/>
        <v>1.5109915020255596E-4</v>
      </c>
      <c r="X33" s="3">
        <f t="shared" si="27"/>
        <v>3.3197077898452273E-28</v>
      </c>
      <c r="Y33" s="3">
        <f t="shared" si="27"/>
        <v>8.6991779477227362E-265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7.474430821809068E-2</v>
      </c>
      <c r="C34" s="18">
        <f t="shared" si="3"/>
        <v>6.2189536822504186E-2</v>
      </c>
      <c r="D34" s="17"/>
      <c r="F34" s="3">
        <f t="shared" ref="F34:O48" si="28">$C34*EXP(-F$15/$A34)</f>
        <v>6.2189536822504186E-2</v>
      </c>
      <c r="G34" s="3">
        <f t="shared" si="28"/>
        <v>6.2189536822504186E-2</v>
      </c>
      <c r="H34" s="3">
        <f t="shared" si="28"/>
        <v>6.2189536822504152E-2</v>
      </c>
      <c r="I34" s="3">
        <f t="shared" si="28"/>
        <v>6.2189536822503846E-2</v>
      </c>
      <c r="J34" s="3">
        <f t="shared" si="28"/>
        <v>6.2189536822500786E-2</v>
      </c>
      <c r="K34" s="3">
        <f t="shared" si="28"/>
        <v>6.2189536822470227E-2</v>
      </c>
      <c r="L34" s="3">
        <f t="shared" si="28"/>
        <v>6.2189536822164625E-2</v>
      </c>
      <c r="M34" s="3">
        <f t="shared" si="28"/>
        <v>6.2189536819108576E-2</v>
      </c>
      <c r="N34" s="3">
        <f t="shared" si="28"/>
        <v>6.2189536788548064E-2</v>
      </c>
      <c r="O34" s="3">
        <f t="shared" si="28"/>
        <v>6.2189536482942953E-2</v>
      </c>
      <c r="P34" s="3">
        <f t="shared" si="27"/>
        <v>6.2189533426891992E-2</v>
      </c>
      <c r="Q34" s="3">
        <f t="shared" si="27"/>
        <v>6.218950286639055E-2</v>
      </c>
      <c r="R34" s="3">
        <f t="shared" si="27"/>
        <v>6.2189197262202206E-2</v>
      </c>
      <c r="S34" s="3">
        <f t="shared" si="27"/>
        <v>6.2186141302914451E-2</v>
      </c>
      <c r="T34" s="3">
        <f t="shared" si="27"/>
        <v>6.2155589968112386E-2</v>
      </c>
      <c r="U34" s="3">
        <f t="shared" si="27"/>
        <v>6.1850900928110804E-2</v>
      </c>
      <c r="V34" s="3">
        <f t="shared" si="27"/>
        <v>5.8884962058251777E-2</v>
      </c>
      <c r="W34" s="3">
        <f t="shared" si="27"/>
        <v>3.6023681578270378E-2</v>
      </c>
      <c r="X34" s="3">
        <f t="shared" si="27"/>
        <v>2.6449961911203585E-4</v>
      </c>
      <c r="Y34" s="3">
        <f t="shared" si="27"/>
        <v>1.2044661779735604E-25</v>
      </c>
      <c r="Z34" s="3">
        <f t="shared" si="27"/>
        <v>4.6183856226227443E-239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5.8655428476296706E-2</v>
      </c>
      <c r="C35" s="18">
        <f t="shared" si="3"/>
        <v>4.8803099741359754E-2</v>
      </c>
      <c r="D35" s="17"/>
      <c r="F35" s="3">
        <f t="shared" si="28"/>
        <v>4.8803099741359754E-2</v>
      </c>
      <c r="G35" s="3">
        <f t="shared" si="28"/>
        <v>4.8803099741359754E-2</v>
      </c>
      <c r="H35" s="3">
        <f t="shared" si="28"/>
        <v>4.8803099741359754E-2</v>
      </c>
      <c r="I35" s="3">
        <f t="shared" si="28"/>
        <v>4.8803099741359733E-2</v>
      </c>
      <c r="J35" s="3">
        <f t="shared" si="28"/>
        <v>4.8803099741359518E-2</v>
      </c>
      <c r="K35" s="3">
        <f t="shared" si="28"/>
        <v>4.8803099741357346E-2</v>
      </c>
      <c r="L35" s="3">
        <f t="shared" si="28"/>
        <v>4.8803099741335718E-2</v>
      </c>
      <c r="M35" s="3">
        <f t="shared" si="28"/>
        <v>4.8803099741119377E-2</v>
      </c>
      <c r="N35" s="3">
        <f t="shared" si="28"/>
        <v>4.8803099738955968E-2</v>
      </c>
      <c r="O35" s="3">
        <f t="shared" si="28"/>
        <v>4.8803099717321947E-2</v>
      </c>
      <c r="P35" s="3">
        <f t="shared" si="27"/>
        <v>4.8803099500981724E-2</v>
      </c>
      <c r="Q35" s="3">
        <f t="shared" si="27"/>
        <v>4.8803097337579503E-2</v>
      </c>
      <c r="R35" s="3">
        <f t="shared" si="27"/>
        <v>4.8803075703562612E-2</v>
      </c>
      <c r="S35" s="3">
        <f t="shared" si="27"/>
        <v>4.8802859363921175E-2</v>
      </c>
      <c r="T35" s="3">
        <f t="shared" si="27"/>
        <v>4.8800696020251826E-2</v>
      </c>
      <c r="U35" s="3">
        <f t="shared" si="27"/>
        <v>4.8779067857200993E-2</v>
      </c>
      <c r="V35" s="3">
        <f t="shared" si="27"/>
        <v>4.8563312727015105E-2</v>
      </c>
      <c r="W35" s="3">
        <f t="shared" si="27"/>
        <v>4.6457558045845698E-2</v>
      </c>
      <c r="X35" s="3">
        <f t="shared" si="27"/>
        <v>2.9822024116744585E-2</v>
      </c>
      <c r="Y35" s="3">
        <f t="shared" si="27"/>
        <v>3.5427826241454682E-4</v>
      </c>
      <c r="Z35" s="3">
        <f t="shared" si="27"/>
        <v>1.9834369289778032E-23</v>
      </c>
      <c r="AA35" s="3">
        <f t="shared" si="27"/>
        <v>6.0000833690213739E-216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3.6555427578017954E-2</v>
      </c>
      <c r="C36" s="18">
        <f t="shared" si="3"/>
        <v>3.0415227107223403E-2</v>
      </c>
      <c r="D36" s="17"/>
      <c r="F36" s="3">
        <f t="shared" si="28"/>
        <v>3.0415227107223403E-2</v>
      </c>
      <c r="G36" s="3">
        <f t="shared" si="28"/>
        <v>3.0415227107223403E-2</v>
      </c>
      <c r="H36" s="3">
        <f t="shared" si="28"/>
        <v>3.0415227107223403E-2</v>
      </c>
      <c r="I36" s="3">
        <f t="shared" si="28"/>
        <v>3.0415227107223403E-2</v>
      </c>
      <c r="J36" s="3">
        <f t="shared" si="28"/>
        <v>3.0415227107223389E-2</v>
      </c>
      <c r="K36" s="3">
        <f t="shared" si="28"/>
        <v>3.0415227107223268E-2</v>
      </c>
      <c r="L36" s="3">
        <f t="shared" si="28"/>
        <v>3.0415227107222054E-2</v>
      </c>
      <c r="M36" s="3">
        <f t="shared" si="28"/>
        <v>3.041522710720989E-2</v>
      </c>
      <c r="N36" s="3">
        <f t="shared" si="28"/>
        <v>3.0415227107088261E-2</v>
      </c>
      <c r="O36" s="3">
        <f t="shared" si="28"/>
        <v>3.0415227105872002E-2</v>
      </c>
      <c r="P36" s="3">
        <f t="shared" si="27"/>
        <v>3.041522709370937E-2</v>
      </c>
      <c r="Q36" s="3">
        <f t="shared" si="27"/>
        <v>3.041522697208306E-2</v>
      </c>
      <c r="R36" s="3">
        <f t="shared" si="27"/>
        <v>3.0415225755819994E-2</v>
      </c>
      <c r="S36" s="3">
        <f t="shared" si="27"/>
        <v>3.0415213593192009E-2</v>
      </c>
      <c r="T36" s="3">
        <f t="shared" si="27"/>
        <v>3.0415091967179654E-2</v>
      </c>
      <c r="U36" s="3">
        <f t="shared" si="27"/>
        <v>3.0413875733805835E-2</v>
      </c>
      <c r="V36" s="3">
        <f t="shared" si="27"/>
        <v>3.0401716074645806E-2</v>
      </c>
      <c r="W36" s="3">
        <f t="shared" si="27"/>
        <v>3.0280386545556981E-2</v>
      </c>
      <c r="X36" s="3">
        <f t="shared" si="27"/>
        <v>2.9093406556661868E-2</v>
      </c>
      <c r="Y36" s="3">
        <f t="shared" si="27"/>
        <v>1.9504112187002362E-2</v>
      </c>
      <c r="Z36" s="3">
        <f t="shared" si="27"/>
        <v>3.5763687427608923E-4</v>
      </c>
      <c r="AA36" s="3">
        <f t="shared" si="27"/>
        <v>1.5367503914255919E-21</v>
      </c>
      <c r="AB36" s="3">
        <f t="shared" si="27"/>
        <v>3.2977197963627993E-195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1.8585039161964832E-2</v>
      </c>
      <c r="C37" s="18">
        <f t="shared" si="3"/>
        <v>1.5463317607252298E-2</v>
      </c>
      <c r="D37" s="17"/>
      <c r="F37" s="3">
        <f t="shared" si="28"/>
        <v>1.5463317607252298E-2</v>
      </c>
      <c r="G37" s="3">
        <f t="shared" si="28"/>
        <v>1.5463317607252298E-2</v>
      </c>
      <c r="H37" s="3">
        <f t="shared" si="28"/>
        <v>1.5463317607252298E-2</v>
      </c>
      <c r="I37" s="3">
        <f t="shared" si="28"/>
        <v>1.5463317607252298E-2</v>
      </c>
      <c r="J37" s="3">
        <f t="shared" si="28"/>
        <v>1.5463317607252298E-2</v>
      </c>
      <c r="K37" s="3">
        <f t="shared" si="28"/>
        <v>1.5463317607252291E-2</v>
      </c>
      <c r="L37" s="3">
        <f t="shared" si="28"/>
        <v>1.5463317607252235E-2</v>
      </c>
      <c r="M37" s="3">
        <f t="shared" si="28"/>
        <v>1.5463317607251678E-2</v>
      </c>
      <c r="N37" s="3">
        <f t="shared" si="28"/>
        <v>1.54633176072461E-2</v>
      </c>
      <c r="O37" s="3">
        <f t="shared" si="28"/>
        <v>1.546331760719032E-2</v>
      </c>
      <c r="P37" s="3">
        <f t="shared" si="27"/>
        <v>1.5463317606632511E-2</v>
      </c>
      <c r="Q37" s="3">
        <f t="shared" si="27"/>
        <v>1.5463317601054417E-2</v>
      </c>
      <c r="R37" s="3">
        <f t="shared" si="27"/>
        <v>1.546331754527349E-2</v>
      </c>
      <c r="S37" s="3">
        <f t="shared" si="27"/>
        <v>1.5463316987464224E-2</v>
      </c>
      <c r="T37" s="3">
        <f t="shared" si="27"/>
        <v>1.5463311409372684E-2</v>
      </c>
      <c r="U37" s="3">
        <f t="shared" si="27"/>
        <v>1.5463255628567943E-2</v>
      </c>
      <c r="V37" s="3">
        <f t="shared" si="27"/>
        <v>1.5462697831587402E-2</v>
      </c>
      <c r="W37" s="3">
        <f t="shared" si="27"/>
        <v>1.5457120968321898E-2</v>
      </c>
      <c r="X37" s="3">
        <f t="shared" si="27"/>
        <v>1.5401462842108056E-2</v>
      </c>
      <c r="Y37" s="3">
        <f t="shared" si="27"/>
        <v>1.4855786143112922E-2</v>
      </c>
      <c r="Z37" s="3">
        <f t="shared" si="27"/>
        <v>1.035696011239079E-2</v>
      </c>
      <c r="AA37" s="3">
        <f t="shared" si="27"/>
        <v>2.8093053836329235E-4</v>
      </c>
      <c r="AB37" s="3">
        <f t="shared" si="27"/>
        <v>6.057109563296722E-20</v>
      </c>
      <c r="AC37" s="3">
        <f t="shared" si="27"/>
        <v>1.3150134930759528E-176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7.8097298631234725E-3</v>
      </c>
      <c r="C38" s="18">
        <f t="shared" si="3"/>
        <v>6.4979326784240111E-3</v>
      </c>
      <c r="D38" s="17"/>
      <c r="F38" s="3">
        <f t="shared" si="28"/>
        <v>6.4979326784240111E-3</v>
      </c>
      <c r="G38" s="3">
        <f t="shared" si="28"/>
        <v>6.4979326784240111E-3</v>
      </c>
      <c r="H38" s="3">
        <f t="shared" si="28"/>
        <v>6.4979326784240111E-3</v>
      </c>
      <c r="I38" s="3">
        <f t="shared" si="28"/>
        <v>6.4979326784240111E-3</v>
      </c>
      <c r="J38" s="3">
        <f t="shared" si="28"/>
        <v>6.4979326784240111E-3</v>
      </c>
      <c r="K38" s="3">
        <f t="shared" si="28"/>
        <v>6.4979326784240111E-3</v>
      </c>
      <c r="L38" s="3">
        <f t="shared" si="28"/>
        <v>6.4979326784240093E-3</v>
      </c>
      <c r="M38" s="3">
        <f t="shared" si="28"/>
        <v>6.4979326784239877E-3</v>
      </c>
      <c r="N38" s="3">
        <f t="shared" si="28"/>
        <v>6.497932678423776E-3</v>
      </c>
      <c r="O38" s="3">
        <f t="shared" si="28"/>
        <v>6.4979326784216614E-3</v>
      </c>
      <c r="P38" s="3">
        <f t="shared" si="27"/>
        <v>6.4979326784005169E-3</v>
      </c>
      <c r="Q38" s="3">
        <f t="shared" si="27"/>
        <v>6.4979326781890688E-3</v>
      </c>
      <c r="R38" s="3">
        <f t="shared" si="27"/>
        <v>6.4979326760745814E-3</v>
      </c>
      <c r="S38" s="3">
        <f t="shared" si="27"/>
        <v>6.4979326549297195E-3</v>
      </c>
      <c r="T38" s="3">
        <f t="shared" si="27"/>
        <v>6.4979324434811039E-3</v>
      </c>
      <c r="U38" s="3">
        <f t="shared" si="27"/>
        <v>6.4979303289953239E-3</v>
      </c>
      <c r="V38" s="3">
        <f t="shared" si="27"/>
        <v>6.4979091841753682E-3</v>
      </c>
      <c r="W38" s="3">
        <f t="shared" si="27"/>
        <v>6.4976977397601587E-3</v>
      </c>
      <c r="X38" s="3">
        <f t="shared" si="27"/>
        <v>6.4955836739975757E-3</v>
      </c>
      <c r="Y38" s="3">
        <f t="shared" si="27"/>
        <v>6.4744808098043073E-3</v>
      </c>
      <c r="Z38" s="3">
        <f t="shared" si="27"/>
        <v>6.2671864006824916E-3</v>
      </c>
      <c r="AA38" s="3">
        <f t="shared" si="27"/>
        <v>4.5263616477699388E-3</v>
      </c>
      <c r="AB38" s="3">
        <f t="shared" si="27"/>
        <v>1.7478961883132319E-4</v>
      </c>
      <c r="AC38" s="3">
        <f t="shared" si="27"/>
        <v>1.2887820688696682E-18</v>
      </c>
      <c r="AD38" s="3">
        <f t="shared" si="27"/>
        <v>6.1209380247887189E-160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2.0751873260733441E-3</v>
      </c>
      <c r="C39" s="18">
        <f t="shared" si="3"/>
        <v>1.7266189453767201E-3</v>
      </c>
      <c r="D39" s="17"/>
      <c r="F39" s="3">
        <f t="shared" si="28"/>
        <v>1.7266189453767201E-3</v>
      </c>
      <c r="G39" s="3">
        <f t="shared" si="28"/>
        <v>1.7266189453767201E-3</v>
      </c>
      <c r="H39" s="3">
        <f t="shared" si="28"/>
        <v>1.7266189453767201E-3</v>
      </c>
      <c r="I39" s="3">
        <f t="shared" si="28"/>
        <v>1.7266189453767201E-3</v>
      </c>
      <c r="J39" s="3">
        <f t="shared" si="28"/>
        <v>1.7266189453767201E-3</v>
      </c>
      <c r="K39" s="3">
        <f t="shared" si="28"/>
        <v>1.7266189453767201E-3</v>
      </c>
      <c r="L39" s="3">
        <f t="shared" si="28"/>
        <v>1.7266189453767199E-3</v>
      </c>
      <c r="M39" s="3">
        <f t="shared" si="28"/>
        <v>1.7266189453767184E-3</v>
      </c>
      <c r="N39" s="3">
        <f t="shared" si="28"/>
        <v>1.7266189453767028E-3</v>
      </c>
      <c r="O39" s="3">
        <f t="shared" si="28"/>
        <v>1.7266189453765473E-3</v>
      </c>
      <c r="P39" s="3">
        <f t="shared" si="27"/>
        <v>1.7266189453749936E-3</v>
      </c>
      <c r="Q39" s="3">
        <f t="shared" si="27"/>
        <v>1.726618945359454E-3</v>
      </c>
      <c r="R39" s="3">
        <f t="shared" si="27"/>
        <v>1.7266189452040581E-3</v>
      </c>
      <c r="S39" s="3">
        <f t="shared" si="27"/>
        <v>1.7266189436501013E-3</v>
      </c>
      <c r="T39" s="3">
        <f t="shared" si="27"/>
        <v>1.7266189281105308E-3</v>
      </c>
      <c r="U39" s="3">
        <f t="shared" si="27"/>
        <v>1.7266187727148343E-3</v>
      </c>
      <c r="V39" s="3">
        <f t="shared" si="27"/>
        <v>1.7266172187586381E-3</v>
      </c>
      <c r="W39" s="3">
        <f t="shared" si="27"/>
        <v>1.7266016792735969E-3</v>
      </c>
      <c r="X39" s="3">
        <f t="shared" si="27"/>
        <v>1.7264462921149895E-3</v>
      </c>
      <c r="Y39" s="3">
        <f t="shared" si="27"/>
        <v>1.7248931894531183E-3</v>
      </c>
      <c r="Z39" s="3">
        <f t="shared" si="27"/>
        <v>1.7094387998183858E-3</v>
      </c>
      <c r="AA39" s="3">
        <f t="shared" si="27"/>
        <v>1.5623094284666428E-3</v>
      </c>
      <c r="AB39" s="3">
        <f t="shared" si="27"/>
        <v>6.3518761274121297E-4</v>
      </c>
      <c r="AC39" s="3">
        <f t="shared" si="27"/>
        <v>7.8388378846678763E-8</v>
      </c>
      <c r="AD39" s="3">
        <f t="shared" si="27"/>
        <v>6.4231536584383691E-47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5.4088576491876875E-3</v>
      </c>
      <c r="C40" s="18">
        <f t="shared" si="3"/>
        <v>4.5003340048363309E-3</v>
      </c>
      <c r="D40" s="17"/>
      <c r="F40" s="3">
        <f t="shared" si="28"/>
        <v>4.5003340048363309E-3</v>
      </c>
      <c r="G40" s="3">
        <f t="shared" si="28"/>
        <v>4.5003340048363309E-3</v>
      </c>
      <c r="H40" s="3">
        <f t="shared" si="28"/>
        <v>4.5003340048363309E-3</v>
      </c>
      <c r="I40" s="3">
        <f t="shared" si="28"/>
        <v>4.5003340048363309E-3</v>
      </c>
      <c r="J40" s="3">
        <f t="shared" si="28"/>
        <v>4.5003340048363309E-3</v>
      </c>
      <c r="K40" s="3">
        <f t="shared" si="28"/>
        <v>4.5003340048363309E-3</v>
      </c>
      <c r="L40" s="3">
        <f t="shared" si="28"/>
        <v>4.5003340048363309E-3</v>
      </c>
      <c r="M40" s="3">
        <f t="shared" si="28"/>
        <v>4.5003340048363301E-3</v>
      </c>
      <c r="N40" s="3">
        <f t="shared" si="28"/>
        <v>4.5003340048363266E-3</v>
      </c>
      <c r="O40" s="3">
        <f t="shared" si="28"/>
        <v>4.5003340048362858E-3</v>
      </c>
      <c r="P40" s="3">
        <f t="shared" si="27"/>
        <v>4.5003340048358808E-3</v>
      </c>
      <c r="Q40" s="3">
        <f t="shared" si="27"/>
        <v>4.500334004831831E-3</v>
      </c>
      <c r="R40" s="3">
        <f t="shared" si="27"/>
        <v>4.5003340047913279E-3</v>
      </c>
      <c r="S40" s="3">
        <f t="shared" si="27"/>
        <v>4.5003340043862977E-3</v>
      </c>
      <c r="T40" s="3">
        <f t="shared" si="27"/>
        <v>4.5003340003359968E-3</v>
      </c>
      <c r="U40" s="3">
        <f t="shared" si="27"/>
        <v>4.5003339598329913E-3</v>
      </c>
      <c r="V40" s="3">
        <f t="shared" si="27"/>
        <v>4.5003335548029532E-3</v>
      </c>
      <c r="W40" s="3">
        <f t="shared" si="27"/>
        <v>4.5003295045045761E-3</v>
      </c>
      <c r="X40" s="3">
        <f t="shared" si="27"/>
        <v>4.5002890017212986E-3</v>
      </c>
      <c r="Y40" s="3">
        <f t="shared" si="27"/>
        <v>4.4998839939367676E-3</v>
      </c>
      <c r="Z40" s="3">
        <f t="shared" si="27"/>
        <v>4.4958359202486291E-3</v>
      </c>
      <c r="AA40" s="3">
        <f t="shared" si="27"/>
        <v>4.4555549333039372E-3</v>
      </c>
      <c r="AB40" s="3">
        <f t="shared" si="27"/>
        <v>4.072070601235535E-3</v>
      </c>
      <c r="AC40" s="3">
        <f t="shared" si="27"/>
        <v>1.6555803587840286E-3</v>
      </c>
      <c r="AD40" s="3">
        <f t="shared" si="27"/>
        <v>2.0431484772729159E-7</v>
      </c>
      <c r="AE40" s="3">
        <f t="shared" si="27"/>
        <v>1.6741584415461272E-46</v>
      </c>
      <c r="AF40" s="3">
        <f t="shared" si="29"/>
        <v>0</v>
      </c>
      <c r="AG40" s="3">
        <f t="shared" si="29"/>
        <v>0</v>
      </c>
      <c r="AH40" s="3">
        <f t="shared" si="29"/>
        <v>0</v>
      </c>
      <c r="AI40" s="3">
        <f t="shared" si="29"/>
        <v>0</v>
      </c>
      <c r="AJ40" s="3">
        <f t="shared" si="29"/>
        <v>0</v>
      </c>
    </row>
    <row r="41" spans="1:36" x14ac:dyDescent="0.25">
      <c r="A41" s="3">
        <f t="shared" si="30"/>
        <v>1000000000</v>
      </c>
      <c r="B41" s="17">
        <v>7.4454151009850894E-4</v>
      </c>
      <c r="C41" s="18">
        <f t="shared" si="3"/>
        <v>6.1948117203855881E-4</v>
      </c>
      <c r="D41" s="17"/>
      <c r="F41" s="3">
        <f t="shared" si="28"/>
        <v>6.1948117203855881E-4</v>
      </c>
      <c r="G41" s="3">
        <f t="shared" si="28"/>
        <v>6.1948117203855881E-4</v>
      </c>
      <c r="H41" s="3">
        <f t="shared" si="28"/>
        <v>6.1948117203855881E-4</v>
      </c>
      <c r="I41" s="3">
        <f t="shared" si="28"/>
        <v>6.1948117203855881E-4</v>
      </c>
      <c r="J41" s="3">
        <f t="shared" si="28"/>
        <v>6.1948117203855881E-4</v>
      </c>
      <c r="K41" s="3">
        <f t="shared" si="28"/>
        <v>6.1948117203855881E-4</v>
      </c>
      <c r="L41" s="3">
        <f t="shared" si="28"/>
        <v>6.1948117203855881E-4</v>
      </c>
      <c r="M41" s="3">
        <f t="shared" si="28"/>
        <v>6.1948117203855881E-4</v>
      </c>
      <c r="N41" s="3">
        <f t="shared" si="28"/>
        <v>6.1948117203855871E-4</v>
      </c>
      <c r="O41" s="3">
        <f t="shared" si="28"/>
        <v>6.1948117203855816E-4</v>
      </c>
      <c r="P41" s="3">
        <f t="shared" si="27"/>
        <v>6.1948117203855263E-4</v>
      </c>
      <c r="Q41" s="3">
        <f t="shared" si="27"/>
        <v>6.194811720384968E-4</v>
      </c>
      <c r="R41" s="3">
        <f t="shared" si="27"/>
        <v>6.194811720379393E-4</v>
      </c>
      <c r="S41" s="3">
        <f t="shared" si="27"/>
        <v>6.1948117203236401E-4</v>
      </c>
      <c r="T41" s="3">
        <f t="shared" si="27"/>
        <v>6.1948117197661065E-4</v>
      </c>
      <c r="U41" s="3">
        <f t="shared" si="27"/>
        <v>6.1948117141907768E-4</v>
      </c>
      <c r="V41" s="3">
        <f t="shared" si="27"/>
        <v>6.1948116584374711E-4</v>
      </c>
      <c r="W41" s="3">
        <f t="shared" si="27"/>
        <v>6.1948111009044475E-4</v>
      </c>
      <c r="X41" s="3">
        <f t="shared" si="27"/>
        <v>6.1948055255769648E-4</v>
      </c>
      <c r="Y41" s="3">
        <f t="shared" si="27"/>
        <v>6.1947497725781239E-4</v>
      </c>
      <c r="Z41" s="3">
        <f t="shared" si="27"/>
        <v>6.1941922701865752E-4</v>
      </c>
      <c r="AA41" s="3">
        <f t="shared" si="27"/>
        <v>6.1886200050388521E-4</v>
      </c>
      <c r="AB41" s="3">
        <f t="shared" si="27"/>
        <v>6.1331723138751499E-4</v>
      </c>
      <c r="AC41" s="3">
        <f t="shared" si="27"/>
        <v>5.6052974422925964E-4</v>
      </c>
      <c r="AD41" s="3">
        <f t="shared" si="27"/>
        <v>2.2789438738577515E-4</v>
      </c>
      <c r="AE41" s="3">
        <f t="shared" si="27"/>
        <v>2.8124401699732366E-8</v>
      </c>
      <c r="AF41" s="3">
        <f t="shared" si="29"/>
        <v>2.3045170256978734E-47</v>
      </c>
      <c r="AG41" s="3">
        <f t="shared" si="29"/>
        <v>0</v>
      </c>
      <c r="AH41" s="3">
        <f t="shared" si="29"/>
        <v>0</v>
      </c>
      <c r="AI41" s="3">
        <f t="shared" si="29"/>
        <v>0</v>
      </c>
      <c r="AJ41" s="3">
        <f t="shared" si="29"/>
        <v>0</v>
      </c>
    </row>
    <row r="42" spans="1:36" x14ac:dyDescent="0.25">
      <c r="A42" s="3">
        <f t="shared" si="30"/>
        <v>10000000000</v>
      </c>
      <c r="B42" s="17">
        <v>9.485468895191635E-4</v>
      </c>
      <c r="C42" s="18">
        <f t="shared" si="3"/>
        <v>7.8921984991154562E-4</v>
      </c>
      <c r="D42" s="17"/>
      <c r="F42" s="3">
        <f t="shared" si="28"/>
        <v>7.8921984991154562E-4</v>
      </c>
      <c r="G42" s="3">
        <f t="shared" si="28"/>
        <v>7.8921984991154562E-4</v>
      </c>
      <c r="H42" s="3">
        <f t="shared" si="28"/>
        <v>7.8921984991154562E-4</v>
      </c>
      <c r="I42" s="3">
        <f t="shared" si="28"/>
        <v>7.8921984991154562E-4</v>
      </c>
      <c r="J42" s="3">
        <f t="shared" si="28"/>
        <v>7.8921984991154562E-4</v>
      </c>
      <c r="K42" s="3">
        <f t="shared" si="28"/>
        <v>7.8921984991154562E-4</v>
      </c>
      <c r="L42" s="3">
        <f t="shared" si="28"/>
        <v>7.8921984991154562E-4</v>
      </c>
      <c r="M42" s="3">
        <f t="shared" si="28"/>
        <v>7.8921984991154562E-4</v>
      </c>
      <c r="N42" s="3">
        <f t="shared" si="28"/>
        <v>7.8921984991154562E-4</v>
      </c>
      <c r="O42" s="3">
        <f t="shared" si="28"/>
        <v>7.8921984991154551E-4</v>
      </c>
      <c r="P42" s="3">
        <f t="shared" si="27"/>
        <v>7.8921984991154486E-4</v>
      </c>
      <c r="Q42" s="3">
        <f t="shared" si="27"/>
        <v>7.8921984991153771E-4</v>
      </c>
      <c r="R42" s="3">
        <f t="shared" si="27"/>
        <v>7.8921984991146669E-4</v>
      </c>
      <c r="S42" s="3">
        <f t="shared" si="27"/>
        <v>7.8921984991075643E-4</v>
      </c>
      <c r="T42" s="3">
        <f t="shared" si="27"/>
        <v>7.8921984990365339E-4</v>
      </c>
      <c r="U42" s="3">
        <f t="shared" si="27"/>
        <v>7.8921984983262362E-4</v>
      </c>
      <c r="V42" s="3">
        <f t="shared" si="27"/>
        <v>7.892198491223258E-4</v>
      </c>
      <c r="W42" s="3">
        <f t="shared" si="27"/>
        <v>7.8921984201934712E-4</v>
      </c>
      <c r="X42" s="3">
        <f t="shared" si="27"/>
        <v>7.8921977098956458E-4</v>
      </c>
      <c r="Y42" s="3">
        <f t="shared" si="27"/>
        <v>7.8921906069209032E-4</v>
      </c>
      <c r="Z42" s="3">
        <f t="shared" si="27"/>
        <v>7.8921195775250735E-4</v>
      </c>
      <c r="AA42" s="3">
        <f t="shared" si="27"/>
        <v>7.891409318725222E-4</v>
      </c>
      <c r="AB42" s="3">
        <f t="shared" si="27"/>
        <v>7.8843102454005535E-4</v>
      </c>
      <c r="AC42" s="3">
        <f t="shared" si="27"/>
        <v>7.8136698119646915E-4</v>
      </c>
      <c r="AD42" s="3">
        <f t="shared" si="27"/>
        <v>7.1411565125669048E-4</v>
      </c>
      <c r="AE42" s="3">
        <f t="shared" si="27"/>
        <v>2.9033775734686897E-4</v>
      </c>
      <c r="AF42" s="3">
        <f t="shared" si="29"/>
        <v>3.5830525753143007E-8</v>
      </c>
      <c r="AG42" s="3">
        <f t="shared" si="29"/>
        <v>2.9359578034547111E-47</v>
      </c>
      <c r="AH42" s="3">
        <f t="shared" si="29"/>
        <v>0</v>
      </c>
      <c r="AI42" s="3">
        <f t="shared" si="29"/>
        <v>0</v>
      </c>
      <c r="AJ42" s="3">
        <f t="shared" si="29"/>
        <v>0</v>
      </c>
    </row>
    <row r="43" spans="1:36" x14ac:dyDescent="0.25">
      <c r="A43" s="3">
        <f t="shared" si="30"/>
        <v>100000000000</v>
      </c>
      <c r="B43" s="17">
        <v>3.7719612353397693E-3</v>
      </c>
      <c r="C43" s="18">
        <f t="shared" si="3"/>
        <v>3.1383864234018747E-3</v>
      </c>
      <c r="D43" s="17"/>
      <c r="F43" s="3">
        <f t="shared" si="28"/>
        <v>3.1383864234018747E-3</v>
      </c>
      <c r="G43" s="3">
        <f t="shared" si="28"/>
        <v>3.1383864234018747E-3</v>
      </c>
      <c r="H43" s="3">
        <f t="shared" si="28"/>
        <v>3.1383864234018747E-3</v>
      </c>
      <c r="I43" s="3">
        <f t="shared" si="28"/>
        <v>3.1383864234018747E-3</v>
      </c>
      <c r="J43" s="3">
        <f t="shared" si="28"/>
        <v>3.1383864234018747E-3</v>
      </c>
      <c r="K43" s="3">
        <f t="shared" si="28"/>
        <v>3.1383864234018747E-3</v>
      </c>
      <c r="L43" s="3">
        <f t="shared" si="28"/>
        <v>3.1383864234018747E-3</v>
      </c>
      <c r="M43" s="3">
        <f t="shared" si="28"/>
        <v>3.1383864234018747E-3</v>
      </c>
      <c r="N43" s="3">
        <f t="shared" si="28"/>
        <v>3.1383864234018747E-3</v>
      </c>
      <c r="O43" s="3">
        <f t="shared" si="28"/>
        <v>3.1383864234018747E-3</v>
      </c>
      <c r="P43" s="3">
        <f t="shared" si="27"/>
        <v>3.1383864234018743E-3</v>
      </c>
      <c r="Q43" s="3">
        <f t="shared" si="27"/>
        <v>3.1383864234018717E-3</v>
      </c>
      <c r="R43" s="3">
        <f t="shared" si="27"/>
        <v>3.1383864234018435E-3</v>
      </c>
      <c r="S43" s="3">
        <f t="shared" si="27"/>
        <v>3.1383864234015607E-3</v>
      </c>
      <c r="T43" s="3">
        <f t="shared" si="27"/>
        <v>3.1383864233987366E-3</v>
      </c>
      <c r="U43" s="3">
        <f t="shared" si="27"/>
        <v>3.138386423370491E-3</v>
      </c>
      <c r="V43" s="3">
        <f t="shared" si="27"/>
        <v>3.1383864230880359E-3</v>
      </c>
      <c r="W43" s="3">
        <f t="shared" si="27"/>
        <v>3.1383864202634885E-3</v>
      </c>
      <c r="X43" s="3">
        <f t="shared" si="27"/>
        <v>3.1383863920180105E-3</v>
      </c>
      <c r="Y43" s="3">
        <f t="shared" si="27"/>
        <v>3.1383861095632482E-3</v>
      </c>
      <c r="Z43" s="3">
        <f t="shared" si="27"/>
        <v>3.1383832850170206E-3</v>
      </c>
      <c r="AA43" s="3">
        <f t="shared" si="27"/>
        <v>3.1383550396945595E-3</v>
      </c>
      <c r="AB43" s="3">
        <f t="shared" si="27"/>
        <v>3.1380726004509437E-3</v>
      </c>
      <c r="AC43" s="3">
        <f t="shared" si="27"/>
        <v>3.1352496056487509E-3</v>
      </c>
      <c r="AD43" s="3">
        <f t="shared" si="27"/>
        <v>3.1071589567296725E-3</v>
      </c>
      <c r="AE43" s="3">
        <f t="shared" si="27"/>
        <v>2.8397294681500622E-3</v>
      </c>
      <c r="AF43" s="3">
        <f t="shared" si="29"/>
        <v>1.1545478436211234E-3</v>
      </c>
      <c r="AG43" s="3">
        <f t="shared" si="29"/>
        <v>1.4248252318998116E-7</v>
      </c>
      <c r="AH43" s="3">
        <f t="shared" si="29"/>
        <v>1.167503593716727E-46</v>
      </c>
      <c r="AI43" s="3">
        <f t="shared" si="29"/>
        <v>0</v>
      </c>
      <c r="AJ43" s="3">
        <f t="shared" si="29"/>
        <v>0</v>
      </c>
    </row>
    <row r="44" spans="1:36" x14ac:dyDescent="0.25">
      <c r="A44" s="3">
        <f t="shared" si="30"/>
        <v>1000000000000</v>
      </c>
      <c r="B44" s="17">
        <v>5.2838308854490979E-4</v>
      </c>
      <c r="C44" s="18">
        <f t="shared" si="3"/>
        <v>4.3963079363277776E-4</v>
      </c>
      <c r="D44" s="17"/>
      <c r="F44" s="3">
        <f t="shared" si="28"/>
        <v>4.3963079363277776E-4</v>
      </c>
      <c r="G44" s="3">
        <f t="shared" si="28"/>
        <v>4.3963079363277776E-4</v>
      </c>
      <c r="H44" s="3">
        <f t="shared" si="28"/>
        <v>4.3963079363277776E-4</v>
      </c>
      <c r="I44" s="3">
        <f t="shared" si="28"/>
        <v>4.3963079363277776E-4</v>
      </c>
      <c r="J44" s="3">
        <f t="shared" si="28"/>
        <v>4.3963079363277776E-4</v>
      </c>
      <c r="K44" s="3">
        <f t="shared" si="28"/>
        <v>4.3963079363277776E-4</v>
      </c>
      <c r="L44" s="3">
        <f t="shared" si="28"/>
        <v>4.3963079363277776E-4</v>
      </c>
      <c r="M44" s="3">
        <f t="shared" si="28"/>
        <v>4.3963079363277776E-4</v>
      </c>
      <c r="N44" s="3">
        <f t="shared" si="28"/>
        <v>4.3963079363277776E-4</v>
      </c>
      <c r="O44" s="3">
        <f t="shared" si="28"/>
        <v>4.3963079363277776E-4</v>
      </c>
      <c r="P44" s="3">
        <f t="shared" si="27"/>
        <v>4.3963079363277776E-4</v>
      </c>
      <c r="Q44" s="3">
        <f t="shared" si="27"/>
        <v>4.396307936327777E-4</v>
      </c>
      <c r="R44" s="3">
        <f t="shared" si="27"/>
        <v>4.3963079363277733E-4</v>
      </c>
      <c r="S44" s="3">
        <f t="shared" si="27"/>
        <v>4.3963079363277337E-4</v>
      </c>
      <c r="T44" s="3">
        <f t="shared" si="27"/>
        <v>4.3963079363273379E-4</v>
      </c>
      <c r="U44" s="3">
        <f t="shared" si="27"/>
        <v>4.3963079363233811E-4</v>
      </c>
      <c r="V44" s="3">
        <f t="shared" si="27"/>
        <v>4.3963079362838143E-4</v>
      </c>
      <c r="W44" s="3">
        <f t="shared" si="27"/>
        <v>4.3963079358881466E-4</v>
      </c>
      <c r="X44" s="3">
        <f t="shared" si="27"/>
        <v>4.3963079319314695E-4</v>
      </c>
      <c r="Y44" s="3">
        <f t="shared" si="27"/>
        <v>4.3963078923646984E-4</v>
      </c>
      <c r="Z44" s="3">
        <f t="shared" si="27"/>
        <v>4.396307496697006E-4</v>
      </c>
      <c r="AA44" s="3">
        <f t="shared" si="27"/>
        <v>4.3963035400220395E-4</v>
      </c>
      <c r="AB44" s="3">
        <f t="shared" si="27"/>
        <v>4.3962639734682291E-4</v>
      </c>
      <c r="AC44" s="3">
        <f t="shared" si="27"/>
        <v>4.395868327514952E-4</v>
      </c>
      <c r="AD44" s="3">
        <f t="shared" si="27"/>
        <v>4.3919138258128834E-4</v>
      </c>
      <c r="AE44" s="3">
        <f t="shared" si="27"/>
        <v>4.3525639414714647E-4</v>
      </c>
      <c r="AF44" s="3">
        <f t="shared" si="29"/>
        <v>3.977943921997824E-4</v>
      </c>
      <c r="AG44" s="3">
        <f t="shared" si="29"/>
        <v>1.6173113068338398E-4</v>
      </c>
      <c r="AH44" s="3">
        <f t="shared" si="29"/>
        <v>1.9959207152353583E-8</v>
      </c>
      <c r="AI44" s="3">
        <f t="shared" si="29"/>
        <v>1.6354599537122706E-47</v>
      </c>
      <c r="AJ44" s="3">
        <f t="shared" si="29"/>
        <v>0</v>
      </c>
    </row>
    <row r="45" spans="1:36" x14ac:dyDescent="0.25">
      <c r="A45" s="3">
        <f t="shared" si="30"/>
        <v>10000000000000</v>
      </c>
      <c r="B45" s="17">
        <v>4.7314968088203807E-5</v>
      </c>
      <c r="C45" s="18">
        <f t="shared" si="3"/>
        <v>3.9367491924485783E-5</v>
      </c>
      <c r="D45" s="17"/>
      <c r="F45" s="3">
        <f t="shared" si="28"/>
        <v>3.9367491924485783E-5</v>
      </c>
      <c r="G45" s="3">
        <f t="shared" si="28"/>
        <v>3.9367491924485783E-5</v>
      </c>
      <c r="H45" s="3">
        <f t="shared" si="28"/>
        <v>3.9367491924485783E-5</v>
      </c>
      <c r="I45" s="3">
        <f t="shared" si="28"/>
        <v>3.9367491924485783E-5</v>
      </c>
      <c r="J45" s="3">
        <f t="shared" si="28"/>
        <v>3.9367491924485783E-5</v>
      </c>
      <c r="K45" s="3">
        <f t="shared" si="28"/>
        <v>3.9367491924485783E-5</v>
      </c>
      <c r="L45" s="3">
        <f t="shared" si="28"/>
        <v>3.9367491924485783E-5</v>
      </c>
      <c r="M45" s="3">
        <f t="shared" si="28"/>
        <v>3.9367491924485783E-5</v>
      </c>
      <c r="N45" s="3">
        <f t="shared" si="28"/>
        <v>3.9367491924485783E-5</v>
      </c>
      <c r="O45" s="3">
        <f t="shared" si="28"/>
        <v>3.9367491924485783E-5</v>
      </c>
      <c r="P45" s="3">
        <f t="shared" si="27"/>
        <v>3.9367491924485783E-5</v>
      </c>
      <c r="Q45" s="3">
        <f t="shared" si="27"/>
        <v>3.9367491924485783E-5</v>
      </c>
      <c r="R45" s="3">
        <f t="shared" si="27"/>
        <v>3.9367491924485776E-5</v>
      </c>
      <c r="S45" s="3">
        <f t="shared" si="27"/>
        <v>3.9367491924485742E-5</v>
      </c>
      <c r="T45" s="3">
        <f t="shared" si="27"/>
        <v>3.936749192448539E-5</v>
      </c>
      <c r="U45" s="3">
        <f t="shared" si="27"/>
        <v>3.9367491924481846E-5</v>
      </c>
      <c r="V45" s="3">
        <f t="shared" si="27"/>
        <v>3.936749192444642E-5</v>
      </c>
      <c r="W45" s="3">
        <f t="shared" si="27"/>
        <v>3.9367491924092109E-5</v>
      </c>
      <c r="X45" s="3">
        <f t="shared" si="27"/>
        <v>3.9367491920549031E-5</v>
      </c>
      <c r="Y45" s="3">
        <f t="shared" si="27"/>
        <v>3.9367491885118294E-5</v>
      </c>
      <c r="Z45" s="3">
        <f t="shared" si="27"/>
        <v>3.9367491530810863E-5</v>
      </c>
      <c r="AA45" s="3">
        <f t="shared" si="27"/>
        <v>3.9367487987736792E-5</v>
      </c>
      <c r="AB45" s="3">
        <f t="shared" si="27"/>
        <v>3.9367452557013543E-5</v>
      </c>
      <c r="AC45" s="3">
        <f t="shared" si="27"/>
        <v>3.9367098251534903E-5</v>
      </c>
      <c r="AD45" s="3">
        <f t="shared" si="27"/>
        <v>3.9363555372124234E-5</v>
      </c>
      <c r="AE45" s="3">
        <f t="shared" si="27"/>
        <v>3.9328144109747654E-5</v>
      </c>
      <c r="AF45" s="3">
        <f t="shared" si="29"/>
        <v>3.8975778834958866E-5</v>
      </c>
      <c r="AG45" s="3">
        <f t="shared" si="29"/>
        <v>3.5621179747503201E-5</v>
      </c>
      <c r="AH45" s="3">
        <f t="shared" si="29"/>
        <v>1.4482490929501098E-5</v>
      </c>
      <c r="AI45" s="3">
        <f t="shared" si="29"/>
        <v>1.7872813682968442E-9</v>
      </c>
      <c r="AJ45" s="3">
        <f t="shared" si="29"/>
        <v>1.4645006094447383E-48</v>
      </c>
    </row>
    <row r="46" spans="1:36" x14ac:dyDescent="0.25">
      <c r="A46" s="3">
        <f t="shared" si="30"/>
        <v>100000000000000</v>
      </c>
      <c r="B46" s="17">
        <v>2.9675763176928858E-6</v>
      </c>
      <c r="C46" s="18">
        <f t="shared" si="3"/>
        <v>2.469113716916911E-6</v>
      </c>
      <c r="D46" s="17"/>
      <c r="F46" s="3">
        <f t="shared" si="28"/>
        <v>2.469113716916911E-6</v>
      </c>
      <c r="G46" s="3">
        <f t="shared" si="28"/>
        <v>2.469113716916911E-6</v>
      </c>
      <c r="H46" s="3">
        <f t="shared" si="28"/>
        <v>2.469113716916911E-6</v>
      </c>
      <c r="I46" s="3">
        <f t="shared" si="28"/>
        <v>2.469113716916911E-6</v>
      </c>
      <c r="J46" s="3">
        <f t="shared" si="28"/>
        <v>2.469113716916911E-6</v>
      </c>
      <c r="K46" s="3">
        <f t="shared" si="28"/>
        <v>2.469113716916911E-6</v>
      </c>
      <c r="L46" s="3">
        <f t="shared" si="28"/>
        <v>2.469113716916911E-6</v>
      </c>
      <c r="M46" s="3">
        <f t="shared" si="28"/>
        <v>2.469113716916911E-6</v>
      </c>
      <c r="N46" s="3">
        <f t="shared" si="28"/>
        <v>2.469113716916911E-6</v>
      </c>
      <c r="O46" s="3">
        <f t="shared" si="28"/>
        <v>2.469113716916911E-6</v>
      </c>
      <c r="P46" s="3">
        <f t="shared" si="27"/>
        <v>2.469113716916911E-6</v>
      </c>
      <c r="Q46" s="3">
        <f t="shared" si="27"/>
        <v>2.469113716916911E-6</v>
      </c>
      <c r="R46" s="3">
        <f t="shared" si="27"/>
        <v>2.469113716916911E-6</v>
      </c>
      <c r="S46" s="3">
        <f t="shared" si="27"/>
        <v>2.4691137169169106E-6</v>
      </c>
      <c r="T46" s="3">
        <f t="shared" si="27"/>
        <v>2.4691137169169085E-6</v>
      </c>
      <c r="U46" s="3">
        <f t="shared" si="27"/>
        <v>2.4691137169168865E-6</v>
      </c>
      <c r="V46" s="3">
        <f t="shared" si="27"/>
        <v>2.4691137169166641E-6</v>
      </c>
      <c r="W46" s="3">
        <f t="shared" si="27"/>
        <v>2.4691137169144419E-6</v>
      </c>
      <c r="X46" s="3">
        <f t="shared" si="27"/>
        <v>2.46911371689222E-6</v>
      </c>
      <c r="Y46" s="3">
        <f t="shared" si="27"/>
        <v>2.4691137166699997E-6</v>
      </c>
      <c r="Z46" s="3">
        <f t="shared" si="27"/>
        <v>2.4691137144477973E-6</v>
      </c>
      <c r="AA46" s="3">
        <f t="shared" si="27"/>
        <v>2.469113692225774E-6</v>
      </c>
      <c r="AB46" s="3">
        <f t="shared" si="27"/>
        <v>2.4691134700055516E-6</v>
      </c>
      <c r="AC46" s="3">
        <f t="shared" si="27"/>
        <v>2.4691112478044289E-6</v>
      </c>
      <c r="AD46" s="3">
        <f t="shared" si="27"/>
        <v>2.4690890259031973E-6</v>
      </c>
      <c r="AE46" s="3">
        <f t="shared" si="27"/>
        <v>2.4688668178903765E-6</v>
      </c>
      <c r="AF46" s="3">
        <f t="shared" si="29"/>
        <v>2.4666458373454365E-6</v>
      </c>
      <c r="AG46" s="3">
        <f t="shared" si="29"/>
        <v>2.4445456249413784E-6</v>
      </c>
      <c r="AH46" s="3">
        <f t="shared" si="29"/>
        <v>2.234146480452269E-6</v>
      </c>
      <c r="AI46" s="3">
        <f t="shared" si="29"/>
        <v>9.0833617436813607E-7</v>
      </c>
      <c r="AJ46" s="3">
        <f t="shared" si="29"/>
        <v>1.1209758932361568E-10</v>
      </c>
    </row>
    <row r="47" spans="1:36" x14ac:dyDescent="0.25">
      <c r="A47" s="3">
        <f t="shared" si="30"/>
        <v>1000000000000000</v>
      </c>
      <c r="B47" s="17">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7">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1.2018791590524174</v>
      </c>
      <c r="C49" s="18">
        <f>SUM(C17:C48)</f>
        <v>0.99999999999999944</v>
      </c>
      <c r="F49" s="3">
        <f t="shared" ref="F49:AJ49" si="31">F16-F17</f>
        <v>57.356564389894629</v>
      </c>
      <c r="G49" s="3">
        <f t="shared" si="31"/>
        <v>-74.20104923369945</v>
      </c>
      <c r="H49" s="3">
        <f t="shared" si="31"/>
        <v>19.624032861216619</v>
      </c>
      <c r="I49" s="3">
        <f t="shared" si="31"/>
        <v>-3.223142402709982</v>
      </c>
      <c r="J49" s="3">
        <f t="shared" si="31"/>
        <v>0.43102019089337773</v>
      </c>
      <c r="K49" s="3">
        <f t="shared" si="31"/>
        <v>-6.8776909888583759E-2</v>
      </c>
      <c r="L49" s="3">
        <f t="shared" si="31"/>
        <v>-1.827710925226711E-3</v>
      </c>
      <c r="M49" s="3">
        <f t="shared" si="31"/>
        <v>-3.2462813033362181E-2</v>
      </c>
      <c r="N49" s="3">
        <f t="shared" si="31"/>
        <v>3.5671486844876199E-2</v>
      </c>
      <c r="O49" s="3">
        <f t="shared" si="31"/>
        <v>-0.10492896967343768</v>
      </c>
      <c r="P49" s="3">
        <f t="shared" si="31"/>
        <v>0.15504871803568676</v>
      </c>
      <c r="Q49" s="3">
        <f t="shared" si="31"/>
        <v>-0.23764823720739514</v>
      </c>
      <c r="R49" s="3">
        <f t="shared" si="31"/>
        <v>0.28749508141572733</v>
      </c>
      <c r="S49" s="3">
        <f t="shared" si="31"/>
        <v>-0.30279416769553791</v>
      </c>
      <c r="T49" s="3">
        <f t="shared" si="31"/>
        <v>0.27244040518121437</v>
      </c>
      <c r="U49" s="3">
        <f t="shared" si="31"/>
        <v>-0.2016972514607005</v>
      </c>
      <c r="V49" s="3">
        <f t="shared" si="31"/>
        <v>0.14290437904855935</v>
      </c>
      <c r="W49" s="3">
        <f t="shared" si="31"/>
        <v>-8.1692788572127029E-2</v>
      </c>
      <c r="X49" s="3">
        <f t="shared" si="31"/>
        <v>2.8564314866230234E-2</v>
      </c>
      <c r="Y49" s="3">
        <f t="shared" si="31"/>
        <v>-2.9854016102831338E-2</v>
      </c>
      <c r="Z49" s="3">
        <f t="shared" si="31"/>
        <v>9.6425968666835615E-4</v>
      </c>
      <c r="AA49" s="3">
        <f t="shared" si="31"/>
        <v>-5.6084648913952151E-3</v>
      </c>
      <c r="AB49" s="3">
        <f t="shared" si="31"/>
        <v>-1.607413560373061E-2</v>
      </c>
      <c r="AC49" s="3">
        <f t="shared" si="31"/>
        <v>-2.5225310085374986E-3</v>
      </c>
      <c r="AD49" s="3">
        <f t="shared" si="31"/>
        <v>-3.972881598940603E-3</v>
      </c>
      <c r="AE49" s="3">
        <f t="shared" si="31"/>
        <v>-3.298910130493482E-2</v>
      </c>
      <c r="AF49" s="3">
        <f t="shared" si="31"/>
        <v>1.3824072772905538E-2</v>
      </c>
      <c r="AG49" s="3">
        <f t="shared" si="31"/>
        <v>-4.797950171962384E-2</v>
      </c>
      <c r="AH49" s="3">
        <f t="shared" si="31"/>
        <v>3.6219032666139128E-2</v>
      </c>
      <c r="AI49" s="3">
        <f t="shared" si="31"/>
        <v>2.3302018418888792E-2</v>
      </c>
      <c r="AJ49" s="3">
        <f t="shared" si="31"/>
        <v>-6.8581400860495023E-2</v>
      </c>
    </row>
    <row r="50" spans="1:36" x14ac:dyDescent="0.25">
      <c r="F50" s="57">
        <f t="shared" ref="F50:AJ50" si="32">F49/F17</f>
        <v>1.2719765354122864E-2</v>
      </c>
      <c r="G50" s="57">
        <f t="shared" si="32"/>
        <v>-1.6703971444814517E-2</v>
      </c>
      <c r="H50" s="57">
        <f t="shared" si="32"/>
        <v>4.6811683454065526E-3</v>
      </c>
      <c r="I50" s="57">
        <f t="shared" si="32"/>
        <v>-7.9813554503182236E-4</v>
      </c>
      <c r="J50" s="57">
        <f t="shared" si="32"/>
        <v>1.1263931621927288E-4</v>
      </c>
      <c r="K50" s="57">
        <f t="shared" si="32"/>
        <v>-1.8997950129369128E-5</v>
      </c>
      <c r="L50" s="57">
        <f t="shared" si="32"/>
        <v>-5.3029003292324641E-7</v>
      </c>
      <c r="M50" s="57">
        <f t="shared" si="32"/>
        <v>-9.886434158592034E-6</v>
      </c>
      <c r="N50" s="57">
        <f t="shared" si="32"/>
        <v>1.141080124422747E-5</v>
      </c>
      <c r="O50" s="57">
        <f t="shared" si="32"/>
        <v>-3.5317383342181099E-5</v>
      </c>
      <c r="P50" s="57">
        <f t="shared" si="32"/>
        <v>5.5083424832253727E-5</v>
      </c>
      <c r="Q50" s="57">
        <f t="shared" si="32"/>
        <v>-8.9959735939513835E-5</v>
      </c>
      <c r="R50" s="57">
        <f t="shared" si="32"/>
        <v>1.1739783180696974E-4</v>
      </c>
      <c r="S50" s="57">
        <f t="shared" si="32"/>
        <v>-1.354100610648572E-4</v>
      </c>
      <c r="T50" s="57">
        <f t="shared" si="32"/>
        <v>1.3669430764943843E-4</v>
      </c>
      <c r="U50" s="57">
        <f t="shared" si="32"/>
        <v>-1.1808199941154271E-4</v>
      </c>
      <c r="V50" s="57">
        <f t="shared" si="32"/>
        <v>1.0334068392371127E-4</v>
      </c>
      <c r="W50" s="57">
        <f t="shared" si="32"/>
        <v>-7.8140048630725864E-5</v>
      </c>
      <c r="X50" s="57">
        <f t="shared" si="32"/>
        <v>3.841993893001595E-5</v>
      </c>
      <c r="Y50" s="57">
        <f t="shared" si="32"/>
        <v>-5.7463965933254059E-5</v>
      </c>
      <c r="Z50" s="57">
        <f t="shared" si="32"/>
        <v>2.5142703658944619E-6</v>
      </c>
      <c r="AA50" s="57">
        <f t="shared" si="32"/>
        <v>-1.7855136459543827E-5</v>
      </c>
      <c r="AB50" s="57">
        <f t="shared" si="32"/>
        <v>-5.7263030543160649E-5</v>
      </c>
      <c r="AC50" s="57">
        <f t="shared" si="32"/>
        <v>-9.6191151829406074E-6</v>
      </c>
      <c r="AD50" s="57">
        <f t="shared" si="32"/>
        <v>-1.5857115199597739E-5</v>
      </c>
      <c r="AE50" s="57">
        <f t="shared" si="32"/>
        <v>-1.3445224005549072E-4</v>
      </c>
      <c r="AF50" s="57">
        <f t="shared" si="32"/>
        <v>5.9063072695398577E-5</v>
      </c>
      <c r="AG50" s="57">
        <f t="shared" si="32"/>
        <v>-2.1208225052409156E-4</v>
      </c>
      <c r="AH50" s="57">
        <f t="shared" si="32"/>
        <v>1.6082901613135268E-4</v>
      </c>
      <c r="AI50" s="57">
        <f t="shared" si="32"/>
        <v>1.035124247312046E-4</v>
      </c>
      <c r="AJ50" s="57">
        <f t="shared" si="32"/>
        <v>-3.0465979741072798E-4</v>
      </c>
    </row>
    <row r="51" spans="1:36" x14ac:dyDescent="0.25">
      <c r="A51" s="13" t="s">
        <v>21</v>
      </c>
      <c r="B51" s="3">
        <f>STUTT!D8</f>
        <v>5614.1607000000004</v>
      </c>
      <c r="E51" s="11" t="s">
        <v>24</v>
      </c>
      <c r="F51" s="20">
        <f t="shared" ref="F51:AJ51" si="33">(F16-F17)^2</f>
        <v>3289.7754786121286</v>
      </c>
      <c r="G51" s="20">
        <f t="shared" si="33"/>
        <v>5505.7957073818898</v>
      </c>
      <c r="H51" s="20">
        <f t="shared" si="33"/>
        <v>385.10266573810975</v>
      </c>
      <c r="I51" s="20">
        <f t="shared" si="33"/>
        <v>10.388646948147075</v>
      </c>
      <c r="J51" s="20">
        <f t="shared" si="33"/>
        <v>0.18577840495776377</v>
      </c>
      <c r="K51" s="20">
        <f t="shared" si="33"/>
        <v>4.7302633338223701E-3</v>
      </c>
      <c r="L51" s="20">
        <f t="shared" si="33"/>
        <v>3.3405272261930798E-6</v>
      </c>
      <c r="M51" s="20">
        <f t="shared" si="33"/>
        <v>1.0538342300390295E-3</v>
      </c>
      <c r="N51" s="20">
        <f t="shared" si="33"/>
        <v>1.2724549737241756E-3</v>
      </c>
      <c r="O51" s="20">
        <f t="shared" si="33"/>
        <v>1.1010088676729203E-2</v>
      </c>
      <c r="P51" s="20">
        <f t="shared" si="33"/>
        <v>2.4040104964509899E-2</v>
      </c>
      <c r="Q51" s="20">
        <f t="shared" si="33"/>
        <v>5.6476684647782348E-2</v>
      </c>
      <c r="R51" s="20">
        <f t="shared" si="33"/>
        <v>8.265342183823568E-2</v>
      </c>
      <c r="S51" s="20">
        <f t="shared" si="33"/>
        <v>9.1684307990433533E-2</v>
      </c>
      <c r="T51" s="20">
        <f t="shared" si="33"/>
        <v>7.4223774375304266E-2</v>
      </c>
      <c r="U51" s="20">
        <f t="shared" si="33"/>
        <v>4.0681781246801052E-2</v>
      </c>
      <c r="V51" s="20">
        <f t="shared" si="33"/>
        <v>2.0421661551254328E-2</v>
      </c>
      <c r="W51" s="20">
        <f t="shared" si="33"/>
        <v>6.6737117046902486E-3</v>
      </c>
      <c r="X51" s="20">
        <f t="shared" si="33"/>
        <v>8.1592008377714151E-4</v>
      </c>
      <c r="Y51" s="20">
        <f t="shared" si="33"/>
        <v>8.9126227746811281E-4</v>
      </c>
      <c r="Z51" s="20">
        <f t="shared" si="33"/>
        <v>9.2979674333375641E-7</v>
      </c>
      <c r="AA51" s="20">
        <f t="shared" si="33"/>
        <v>3.145487843801274E-5</v>
      </c>
      <c r="AB51" s="20">
        <f t="shared" si="33"/>
        <v>2.5837783540712001E-4</v>
      </c>
      <c r="AC51" s="20">
        <f t="shared" si="33"/>
        <v>6.3631626890332096E-6</v>
      </c>
      <c r="AD51" s="20">
        <f t="shared" si="33"/>
        <v>1.5783788199200841E-5</v>
      </c>
      <c r="AE51" s="20">
        <f t="shared" si="33"/>
        <v>1.0882808049072522E-3</v>
      </c>
      <c r="AF51" s="20">
        <f t="shared" si="33"/>
        <v>1.9110498803058822E-4</v>
      </c>
      <c r="AG51" s="20">
        <f t="shared" si="33"/>
        <v>2.3020325852633871E-3</v>
      </c>
      <c r="AH51" s="20">
        <f t="shared" si="33"/>
        <v>1.3118183272708532E-3</v>
      </c>
      <c r="AI51" s="20">
        <f t="shared" si="33"/>
        <v>5.4298406239423251E-4</v>
      </c>
      <c r="AJ51" s="20">
        <f t="shared" si="33"/>
        <v>4.7034085439879077E-3</v>
      </c>
    </row>
    <row r="52" spans="1:36" x14ac:dyDescent="0.25">
      <c r="A52" s="13"/>
    </row>
    <row r="53" spans="1:36" x14ac:dyDescent="0.25">
      <c r="E53" s="109" t="s">
        <v>25</v>
      </c>
      <c r="F53" s="109"/>
      <c r="G53" s="21">
        <f>SUM(F51:AJ51)</f>
        <v>9191.6753622364286</v>
      </c>
      <c r="I53" s="3">
        <f>G53+C123</f>
        <v>9191.6753622364286</v>
      </c>
      <c r="K53" s="3">
        <f>SUM(Z51:AJ51)</f>
        <v>1.0452538773330921E-2</v>
      </c>
    </row>
    <row r="55" spans="1:36" x14ac:dyDescent="0.25">
      <c r="E55" s="30" t="s">
        <v>30</v>
      </c>
      <c r="F55" s="31">
        <f t="shared" ref="F55:AJ55" si="34">ABS(F17-F16)/F16</f>
        <v>1.256000503720304E-2</v>
      </c>
      <c r="G55" s="31">
        <f t="shared" si="34"/>
        <v>1.6987734069625646E-2</v>
      </c>
      <c r="H55" s="31">
        <f t="shared" si="34"/>
        <v>4.6593571103914428E-3</v>
      </c>
      <c r="I55" s="31">
        <f t="shared" si="34"/>
        <v>7.9877307421476749E-4</v>
      </c>
      <c r="J55" s="31">
        <f t="shared" si="34"/>
        <v>1.1262663003267793E-4</v>
      </c>
      <c r="K55" s="31">
        <f t="shared" si="34"/>
        <v>1.8998311058335153E-5</v>
      </c>
      <c r="L55" s="31">
        <f t="shared" si="34"/>
        <v>5.3029031413091449E-7</v>
      </c>
      <c r="M55" s="31">
        <f t="shared" si="34"/>
        <v>9.886531901138731E-6</v>
      </c>
      <c r="N55" s="31">
        <f t="shared" si="34"/>
        <v>1.1410671039328178E-5</v>
      </c>
      <c r="O55" s="31">
        <f t="shared" si="34"/>
        <v>3.5318630703800787E-5</v>
      </c>
      <c r="P55" s="31">
        <f t="shared" si="34"/>
        <v>5.5080390815686502E-5</v>
      </c>
      <c r="Q55" s="31">
        <f t="shared" si="34"/>
        <v>8.9967829421691662E-5</v>
      </c>
      <c r="R55" s="31">
        <f t="shared" si="34"/>
        <v>1.173840511738732E-4</v>
      </c>
      <c r="S55" s="31">
        <f t="shared" si="34"/>
        <v>1.354283994326943E-4</v>
      </c>
      <c r="T55" s="31">
        <f t="shared" si="34"/>
        <v>1.3667562486952432E-4</v>
      </c>
      <c r="U55" s="31">
        <f t="shared" si="34"/>
        <v>1.1809594441678184E-4</v>
      </c>
      <c r="V55" s="31">
        <f t="shared" si="34"/>
        <v>1.0333000573024926E-4</v>
      </c>
      <c r="W55" s="31">
        <f t="shared" si="34"/>
        <v>7.8146154975075911E-5</v>
      </c>
      <c r="X55" s="31">
        <f t="shared" si="34"/>
        <v>3.8418462895017744E-5</v>
      </c>
      <c r="Y55" s="31">
        <f t="shared" si="34"/>
        <v>5.7467268230397926E-5</v>
      </c>
      <c r="Z55" s="31">
        <f t="shared" si="34"/>
        <v>2.5142640443548833E-6</v>
      </c>
      <c r="AA55" s="31">
        <f t="shared" si="34"/>
        <v>1.7855455271134242E-5</v>
      </c>
      <c r="AB55" s="31">
        <f t="shared" si="34"/>
        <v>5.7266309785606994E-5</v>
      </c>
      <c r="AC55" s="31">
        <f t="shared" si="34"/>
        <v>9.61920771120755E-6</v>
      </c>
      <c r="AD55" s="31">
        <f t="shared" si="34"/>
        <v>1.5857366651687497E-5</v>
      </c>
      <c r="AE55" s="31">
        <f t="shared" si="34"/>
        <v>1.3447031989122107E-4</v>
      </c>
      <c r="AF55" s="31">
        <f t="shared" si="34"/>
        <v>5.905958445486856E-5</v>
      </c>
      <c r="AG55" s="31">
        <f t="shared" si="34"/>
        <v>2.1212723894632477E-4</v>
      </c>
      <c r="AH55" s="31">
        <f t="shared" si="34"/>
        <v>1.6080315431825286E-4</v>
      </c>
      <c r="AI55" s="31">
        <f t="shared" si="34"/>
        <v>1.0350171101813328E-4</v>
      </c>
      <c r="AJ55" s="31">
        <f t="shared" si="34"/>
        <v>3.0475264328929291E-4</v>
      </c>
    </row>
    <row r="56" spans="1:36" x14ac:dyDescent="0.25">
      <c r="E56" s="13" t="s">
        <v>31</v>
      </c>
      <c r="F56" s="32">
        <f>AVERAGE(F55:AJ55)</f>
        <v>1.2000794110912068E-3</v>
      </c>
    </row>
    <row r="57" spans="1:36" x14ac:dyDescent="0.25">
      <c r="A57" s="42"/>
      <c r="B57" s="15"/>
      <c r="C57" s="15"/>
      <c r="D57" s="15"/>
      <c r="F57" s="60">
        <f>AVERAGE(S55:X55)</f>
        <v>1.0168243205322389E-4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-48.244719359200019</v>
      </c>
    </row>
    <row r="119" spans="1:14" x14ac:dyDescent="0.25">
      <c r="L119" s="11">
        <f>L118+1</f>
        <v>2</v>
      </c>
      <c r="M119" s="11">
        <f t="shared" ref="M119:M124" si="35">INDEX($B$125:$K$126,1,L119)</f>
        <v>0</v>
      </c>
      <c r="N119" s="11">
        <f t="shared" ref="N119:N124" si="36">IF(L119=$B$3,0,INDEX($B$125:$K$126,2,L119))</f>
        <v>-34.728115646703102</v>
      </c>
    </row>
    <row r="120" spans="1:14" x14ac:dyDescent="0.25">
      <c r="L120" s="11">
        <f t="shared" ref="L120:L124" si="37">L119+1</f>
        <v>3</v>
      </c>
      <c r="M120" s="11">
        <f t="shared" si="35"/>
        <v>25</v>
      </c>
      <c r="N120" s="11">
        <f t="shared" si="36"/>
        <v>-28.445084118791691</v>
      </c>
    </row>
    <row r="121" spans="1:14" x14ac:dyDescent="0.25">
      <c r="A121" s="3">
        <f>(A165+A204+A243+A282+A321+A360+A399)*10^9</f>
        <v>5343059703031597</v>
      </c>
      <c r="L121" s="11">
        <f t="shared" si="37"/>
        <v>4</v>
      </c>
      <c r="M121" s="11">
        <f t="shared" si="35"/>
        <v>50</v>
      </c>
      <c r="N121" s="11">
        <f t="shared" si="36"/>
        <v>-23.522041093915846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-16.552268271120617</v>
      </c>
    </row>
    <row r="123" spans="1:14" x14ac:dyDescent="0.25">
      <c r="A123" s="109"/>
      <c r="B123" s="10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14.298694472234443</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-48.244719359200019</v>
      </c>
      <c r="C126" s="3">
        <v>-34.728115646703102</v>
      </c>
      <c r="D126" s="3">
        <v>-28.445084118791691</v>
      </c>
      <c r="E126" s="3">
        <v>-23.522041093915846</v>
      </c>
      <c r="F126" s="3">
        <v>-16.552268271120617</v>
      </c>
      <c r="G126" s="3">
        <v>1.6592935177776602E-2</v>
      </c>
      <c r="H126" s="3">
        <v>14.298694472234443</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5614.1606999999976</v>
      </c>
      <c r="C131" s="27">
        <f t="shared" ref="C131:AF131" si="40">($C$17+SUM(C132:C162))*$B$51</f>
        <v>5614.1606999999967</v>
      </c>
      <c r="D131" s="27">
        <f t="shared" si="40"/>
        <v>5614.1606999999858</v>
      </c>
      <c r="E131" s="27">
        <f t="shared" si="40"/>
        <v>5614.1606999998758</v>
      </c>
      <c r="F131" s="27">
        <f t="shared" si="40"/>
        <v>5614.1606999987753</v>
      </c>
      <c r="G131" s="27">
        <f t="shared" si="40"/>
        <v>5614.160699987764</v>
      </c>
      <c r="H131" s="27">
        <f t="shared" si="40"/>
        <v>5614.1606998776506</v>
      </c>
      <c r="I131" s="27">
        <f t="shared" si="40"/>
        <v>5614.1606987765326</v>
      </c>
      <c r="J131" s="27">
        <f t="shared" si="40"/>
        <v>5614.1606877653439</v>
      </c>
      <c r="K131" s="27">
        <f t="shared" si="40"/>
        <v>5614.1605776534607</v>
      </c>
      <c r="L131" s="27">
        <f t="shared" si="40"/>
        <v>5614.1594765352329</v>
      </c>
      <c r="M131" s="27">
        <f t="shared" si="40"/>
        <v>5614.1484654137776</v>
      </c>
      <c r="N131" s="27">
        <f t="shared" si="40"/>
        <v>5614.0383602806587</v>
      </c>
      <c r="O131" s="27">
        <f t="shared" si="40"/>
        <v>5612.9379168670475</v>
      </c>
      <c r="P131" s="27">
        <f t="shared" si="40"/>
        <v>5601.9940492165588</v>
      </c>
      <c r="Q131" s="27">
        <f t="shared" si="40"/>
        <v>5498.3928983683718</v>
      </c>
      <c r="R131" s="27">
        <f t="shared" si="40"/>
        <v>4876.9364486317927</v>
      </c>
      <c r="S131" s="27">
        <f t="shared" si="40"/>
        <v>4517.6793311199608</v>
      </c>
      <c r="T131" s="27">
        <f t="shared" si="40"/>
        <v>4517.6551359135456</v>
      </c>
      <c r="U131" s="27">
        <f t="shared" si="40"/>
        <v>4517.5695710568125</v>
      </c>
      <c r="V131" s="27">
        <f t="shared" si="40"/>
        <v>4516.7150876641026</v>
      </c>
      <c r="W131" s="27">
        <f t="shared" si="40"/>
        <v>4508.2856729980258</v>
      </c>
      <c r="X131" s="27">
        <f t="shared" si="40"/>
        <v>4434.509528776668</v>
      </c>
      <c r="Y131" s="27">
        <f t="shared" si="40"/>
        <v>4182.6042859710451</v>
      </c>
      <c r="Z131" s="27">
        <f t="shared" si="40"/>
        <v>4030.3788979091155</v>
      </c>
      <c r="AA131" s="27">
        <f t="shared" si="40"/>
        <v>3815.907329246028</v>
      </c>
      <c r="AB131" s="27">
        <f t="shared" si="40"/>
        <v>3610.4043223103922</v>
      </c>
      <c r="AC131" s="27">
        <f t="shared" si="40"/>
        <v>3438.0228937271154</v>
      </c>
      <c r="AD131" s="27">
        <f t="shared" si="40"/>
        <v>3275.0251750992188</v>
      </c>
      <c r="AE131" s="27">
        <f t="shared" si="40"/>
        <v>3117.7442346862076</v>
      </c>
      <c r="AF131" s="27">
        <f t="shared" si="40"/>
        <v>2962.6483319917247</v>
      </c>
    </row>
    <row r="132" spans="1:33" x14ac:dyDescent="0.25">
      <c r="B132" s="3">
        <f t="shared" ref="B132:Z133" si="41">$C18*EXP(-B$129/$A18/EXP(-$B$126))</f>
        <v>0.19530898992100293</v>
      </c>
      <c r="C132" s="3">
        <f t="shared" ref="C132:AF132" si="42">$C18*EXP(-C$129/$A18/EXP(-$B$126))</f>
        <v>0.19530898992100273</v>
      </c>
      <c r="D132" s="3">
        <f t="shared" si="42"/>
        <v>0.19530898992100076</v>
      </c>
      <c r="E132" s="3">
        <f t="shared" si="42"/>
        <v>0.19530898992098117</v>
      </c>
      <c r="F132" s="3">
        <f t="shared" si="42"/>
        <v>0.19530898992078505</v>
      </c>
      <c r="G132" s="3">
        <f t="shared" si="42"/>
        <v>0.1953089899188237</v>
      </c>
      <c r="H132" s="3">
        <f t="shared" si="42"/>
        <v>0.19530898989921047</v>
      </c>
      <c r="I132" s="3">
        <f t="shared" si="42"/>
        <v>0.19530898970307808</v>
      </c>
      <c r="J132" s="3">
        <f t="shared" si="42"/>
        <v>0.19530898774175409</v>
      </c>
      <c r="K132" s="3">
        <f t="shared" si="42"/>
        <v>0.19530896812851517</v>
      </c>
      <c r="L132" s="3">
        <f t="shared" si="42"/>
        <v>0.19530877199623459</v>
      </c>
      <c r="M132" s="3">
        <f t="shared" si="42"/>
        <v>0.19530681068426153</v>
      </c>
      <c r="N132" s="3">
        <f t="shared" si="42"/>
        <v>0.19528719864776226</v>
      </c>
      <c r="O132" s="3">
        <f t="shared" si="42"/>
        <v>0.19509118656566546</v>
      </c>
      <c r="P132" s="3">
        <f t="shared" si="42"/>
        <v>0.1931418539085667</v>
      </c>
      <c r="Q132" s="3">
        <f t="shared" si="42"/>
        <v>0.17468831333029194</v>
      </c>
      <c r="R132" s="3">
        <f t="shared" si="42"/>
        <v>6.3993875217970522E-2</v>
      </c>
      <c r="S132" s="3">
        <f t="shared" si="42"/>
        <v>2.7853770664252636E-6</v>
      </c>
      <c r="T132" s="3">
        <f t="shared" si="42"/>
        <v>6.7973533861611362E-50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5.6906652449858444E-2</v>
      </c>
      <c r="C133" s="3">
        <f t="shared" si="41"/>
        <v>5.6906652449858444E-2</v>
      </c>
      <c r="D133" s="3">
        <f t="shared" si="41"/>
        <v>5.6906652449858444E-2</v>
      </c>
      <c r="E133" s="3">
        <f t="shared" si="41"/>
        <v>5.6906652449858444E-2</v>
      </c>
      <c r="F133" s="3">
        <f t="shared" si="41"/>
        <v>5.6906652449858444E-2</v>
      </c>
      <c r="G133" s="3">
        <f t="shared" si="41"/>
        <v>5.6906652449858444E-2</v>
      </c>
      <c r="H133" s="3">
        <f t="shared" si="41"/>
        <v>5.6906652449858444E-2</v>
      </c>
      <c r="I133" s="3">
        <f t="shared" si="41"/>
        <v>5.6906652449858423E-2</v>
      </c>
      <c r="J133" s="3">
        <f t="shared" si="41"/>
        <v>5.6906652449858278E-2</v>
      </c>
      <c r="K133" s="3">
        <f t="shared" si="41"/>
        <v>5.690665244985682E-2</v>
      </c>
      <c r="L133" s="3">
        <f t="shared" si="41"/>
        <v>5.6906652449842179E-2</v>
      </c>
      <c r="M133" s="3">
        <f t="shared" si="41"/>
        <v>5.6906652449695797E-2</v>
      </c>
      <c r="N133" s="3">
        <f t="shared" si="41"/>
        <v>5.6906652448231961E-2</v>
      </c>
      <c r="O133" s="3">
        <f t="shared" si="41"/>
        <v>5.6906652433593607E-2</v>
      </c>
      <c r="P133" s="3">
        <f t="shared" si="41"/>
        <v>5.690665228721014E-2</v>
      </c>
      <c r="Q133" s="3">
        <f t="shared" si="41"/>
        <v>5.6906650823375385E-2</v>
      </c>
      <c r="R133" s="3">
        <f t="shared" si="41"/>
        <v>5.6906636185029925E-2</v>
      </c>
      <c r="S133" s="3">
        <f t="shared" si="41"/>
        <v>5.6906489801782492E-2</v>
      </c>
      <c r="T133" s="3">
        <f t="shared" si="41"/>
        <v>5.6905025990018128E-2</v>
      </c>
      <c r="U133" s="3">
        <f t="shared" si="41"/>
        <v>5.6890389943172893E-2</v>
      </c>
      <c r="V133" s="3">
        <f t="shared" si="41"/>
        <v>5.6744236357615635E-2</v>
      </c>
      <c r="W133" s="3">
        <f t="shared" si="41"/>
        <v>5.5303193234683169E-2</v>
      </c>
      <c r="X133" s="3">
        <f t="shared" si="41"/>
        <v>4.2759708351623127E-2</v>
      </c>
      <c r="Y133" s="3">
        <f t="shared" si="41"/>
        <v>3.2649760062320931E-3</v>
      </c>
      <c r="Z133" s="3">
        <f t="shared" si="41"/>
        <v>2.1995436798889882E-14</v>
      </c>
      <c r="AA133" s="3">
        <f t="shared" ref="AA133:AF133" si="43">$C19*EXP(-AA$129/$A19/EXP(-$B$126))</f>
        <v>4.2350501658637658E-126</v>
      </c>
      <c r="AB133" s="3">
        <f t="shared" si="43"/>
        <v>0</v>
      </c>
      <c r="AC133" s="3">
        <f t="shared" si="43"/>
        <v>0</v>
      </c>
      <c r="AD133" s="3">
        <f t="shared" si="43"/>
        <v>0</v>
      </c>
      <c r="AE133" s="3">
        <f t="shared" si="43"/>
        <v>0</v>
      </c>
      <c r="AF133" s="3">
        <f t="shared" si="43"/>
        <v>0</v>
      </c>
    </row>
    <row r="134" spans="1:33" x14ac:dyDescent="0.25">
      <c r="B134" s="3">
        <f t="shared" ref="B134:Z134" si="44">$C20*EXP(-B$129/$A20/EXP(-$B$126))</f>
        <v>2.191476034261481E-2</v>
      </c>
      <c r="C134" s="3">
        <f t="shared" si="44"/>
        <v>2.191476034261481E-2</v>
      </c>
      <c r="D134" s="3">
        <f t="shared" si="44"/>
        <v>2.191476034261481E-2</v>
      </c>
      <c r="E134" s="3">
        <f t="shared" si="44"/>
        <v>2.191476034261481E-2</v>
      </c>
      <c r="F134" s="3">
        <f t="shared" si="44"/>
        <v>2.191476034261481E-2</v>
      </c>
      <c r="G134" s="3">
        <f t="shared" si="44"/>
        <v>2.191476034261481E-2</v>
      </c>
      <c r="H134" s="3">
        <f t="shared" si="44"/>
        <v>2.191476034261481E-2</v>
      </c>
      <c r="I134" s="3">
        <f t="shared" si="44"/>
        <v>2.191476034261481E-2</v>
      </c>
      <c r="J134" s="3">
        <f t="shared" si="44"/>
        <v>2.1914760342614806E-2</v>
      </c>
      <c r="K134" s="3">
        <f t="shared" si="44"/>
        <v>2.1914760342614754E-2</v>
      </c>
      <c r="L134" s="3">
        <f t="shared" si="44"/>
        <v>2.1914760342614244E-2</v>
      </c>
      <c r="M134" s="3">
        <f t="shared" si="44"/>
        <v>2.1914760342609162E-2</v>
      </c>
      <c r="N134" s="3">
        <f t="shared" si="44"/>
        <v>2.1914760342558307E-2</v>
      </c>
      <c r="O134" s="3">
        <f t="shared" si="44"/>
        <v>2.1914760342049783E-2</v>
      </c>
      <c r="P134" s="3">
        <f t="shared" si="44"/>
        <v>2.1914760336964531E-2</v>
      </c>
      <c r="Q134" s="3">
        <f t="shared" si="44"/>
        <v>2.1914760286112028E-2</v>
      </c>
      <c r="R134" s="3">
        <f t="shared" si="44"/>
        <v>2.1914759777587001E-2</v>
      </c>
      <c r="S134" s="3">
        <f t="shared" si="44"/>
        <v>2.1914754692337376E-2</v>
      </c>
      <c r="T134" s="3">
        <f t="shared" si="44"/>
        <v>2.1914703839906045E-2</v>
      </c>
      <c r="U134" s="3">
        <f t="shared" si="44"/>
        <v>2.1914195322082729E-2</v>
      </c>
      <c r="V134" s="3">
        <f t="shared" si="44"/>
        <v>2.1909110792796574E-2</v>
      </c>
      <c r="W134" s="3">
        <f t="shared" si="44"/>
        <v>2.1858330338949895E-2</v>
      </c>
      <c r="X134" s="3">
        <f t="shared" si="44"/>
        <v>2.1356954376774987E-2</v>
      </c>
      <c r="Y134" s="3">
        <f t="shared" si="44"/>
        <v>1.693412138491892E-2</v>
      </c>
      <c r="Z134" s="3">
        <f t="shared" si="44"/>
        <v>1.6633979212535646E-3</v>
      </c>
      <c r="AA134" s="3">
        <f t="shared" ref="AA134" si="45">$C20*EXP(-AA$129/$A20/EXP(-$B$126))</f>
        <v>1.3910124386119654E-13</v>
      </c>
      <c r="AB134" s="3">
        <f t="shared" ref="AB134:AF143" si="46">$C20*EXP(-AB$129/$A20/EXP(-$B$126))</f>
        <v>2.3263743708916131E-114</v>
      </c>
      <c r="AC134" s="3">
        <f t="shared" si="46"/>
        <v>0</v>
      </c>
      <c r="AD134" s="3">
        <f t="shared" si="46"/>
        <v>0</v>
      </c>
      <c r="AE134" s="3">
        <f t="shared" si="46"/>
        <v>0</v>
      </c>
      <c r="AF134" s="3">
        <f t="shared" si="46"/>
        <v>0</v>
      </c>
    </row>
    <row r="135" spans="1:33" x14ac:dyDescent="0.25">
      <c r="B135" s="3">
        <f t="shared" ref="B135:Z135" si="47">$C21*EXP(-B$129/$A21/EXP(-$B$126))</f>
        <v>4.2179983982958157E-2</v>
      </c>
      <c r="C135" s="3">
        <f t="shared" si="47"/>
        <v>4.2179983982958157E-2</v>
      </c>
      <c r="D135" s="3">
        <f t="shared" si="47"/>
        <v>4.2179983982958157E-2</v>
      </c>
      <c r="E135" s="3">
        <f t="shared" si="47"/>
        <v>4.2179983982958157E-2</v>
      </c>
      <c r="F135" s="3">
        <f t="shared" si="47"/>
        <v>4.2179983982958157E-2</v>
      </c>
      <c r="G135" s="3">
        <f t="shared" si="47"/>
        <v>4.2179983982958157E-2</v>
      </c>
      <c r="H135" s="3">
        <f t="shared" si="47"/>
        <v>4.2179983982958157E-2</v>
      </c>
      <c r="I135" s="3">
        <f t="shared" si="47"/>
        <v>4.2179983982958157E-2</v>
      </c>
      <c r="J135" s="3">
        <f t="shared" si="47"/>
        <v>4.2179983982958157E-2</v>
      </c>
      <c r="K135" s="3">
        <f t="shared" si="47"/>
        <v>4.217998398295815E-2</v>
      </c>
      <c r="L135" s="3">
        <f t="shared" si="47"/>
        <v>4.2179983982958059E-2</v>
      </c>
      <c r="M135" s="3">
        <f t="shared" si="47"/>
        <v>4.2179983982957178E-2</v>
      </c>
      <c r="N135" s="3">
        <f t="shared" si="47"/>
        <v>4.2179983982948345E-2</v>
      </c>
      <c r="O135" s="3">
        <f t="shared" si="47"/>
        <v>4.2179983982860055E-2</v>
      </c>
      <c r="P135" s="3">
        <f t="shared" si="47"/>
        <v>4.2179983981977115E-2</v>
      </c>
      <c r="Q135" s="3">
        <f t="shared" si="47"/>
        <v>4.2179983973147768E-2</v>
      </c>
      <c r="R135" s="3">
        <f t="shared" si="47"/>
        <v>4.2179983884854298E-2</v>
      </c>
      <c r="S135" s="3">
        <f t="shared" si="47"/>
        <v>4.2179983001919552E-2</v>
      </c>
      <c r="T135" s="3">
        <f t="shared" si="47"/>
        <v>4.2179974172573104E-2</v>
      </c>
      <c r="U135" s="3">
        <f t="shared" si="47"/>
        <v>4.217988587921026E-2</v>
      </c>
      <c r="V135" s="3">
        <f t="shared" si="47"/>
        <v>4.217900295574694E-2</v>
      </c>
      <c r="W135" s="3">
        <f t="shared" si="47"/>
        <v>4.2170174737540561E-2</v>
      </c>
      <c r="X135" s="3">
        <f t="shared" si="47"/>
        <v>4.2081994119484212E-2</v>
      </c>
      <c r="Y135" s="3">
        <f t="shared" si="47"/>
        <v>4.1210266116383822E-2</v>
      </c>
      <c r="Z135" s="3">
        <f t="shared" si="47"/>
        <v>3.3426930286439331E-2</v>
      </c>
      <c r="AA135" s="3">
        <f t="shared" ref="AA135" si="48">$C21*EXP(-AA$129/$A21/EXP(-$B$126))</f>
        <v>4.1210440981632856E-3</v>
      </c>
      <c r="AB135" s="3">
        <f t="shared" si="46"/>
        <v>3.3428348700017516E-12</v>
      </c>
      <c r="AC135" s="3">
        <f t="shared" si="46"/>
        <v>4.1227931254141301E-103</v>
      </c>
      <c r="AD135" s="3">
        <f t="shared" si="46"/>
        <v>0</v>
      </c>
      <c r="AE135" s="3">
        <f t="shared" si="46"/>
        <v>0</v>
      </c>
      <c r="AF135" s="3">
        <f t="shared" si="46"/>
        <v>0</v>
      </c>
    </row>
    <row r="136" spans="1:33" x14ac:dyDescent="0.25">
      <c r="B136" s="3">
        <f t="shared" ref="B136:Z136" si="49">$C22*EXP(-B$129/$A22/EXP(-$B$126))</f>
        <v>3.9494315481295991E-2</v>
      </c>
      <c r="C136" s="3">
        <f t="shared" si="49"/>
        <v>3.9494315481295991E-2</v>
      </c>
      <c r="D136" s="3">
        <f t="shared" si="49"/>
        <v>3.9494315481295991E-2</v>
      </c>
      <c r="E136" s="3">
        <f t="shared" si="49"/>
        <v>3.9494315481295991E-2</v>
      </c>
      <c r="F136" s="3">
        <f t="shared" si="49"/>
        <v>3.9494315481295991E-2</v>
      </c>
      <c r="G136" s="3">
        <f t="shared" si="49"/>
        <v>3.9494315481295991E-2</v>
      </c>
      <c r="H136" s="3">
        <f t="shared" si="49"/>
        <v>3.9494315481295991E-2</v>
      </c>
      <c r="I136" s="3">
        <f t="shared" si="49"/>
        <v>3.9494315481295991E-2</v>
      </c>
      <c r="J136" s="3">
        <f t="shared" si="49"/>
        <v>3.9494315481295991E-2</v>
      </c>
      <c r="K136" s="3">
        <f t="shared" si="49"/>
        <v>3.9494315481295991E-2</v>
      </c>
      <c r="L136" s="3">
        <f t="shared" si="49"/>
        <v>3.9494315481295984E-2</v>
      </c>
      <c r="M136" s="3">
        <f t="shared" si="49"/>
        <v>3.9494315481295908E-2</v>
      </c>
      <c r="N136" s="3">
        <f t="shared" si="49"/>
        <v>3.9494315481295166E-2</v>
      </c>
      <c r="O136" s="3">
        <f t="shared" si="49"/>
        <v>3.9494315481287706E-2</v>
      </c>
      <c r="P136" s="3">
        <f t="shared" si="49"/>
        <v>3.9494315481213127E-2</v>
      </c>
      <c r="Q136" s="3">
        <f t="shared" si="49"/>
        <v>3.9494315480467362E-2</v>
      </c>
      <c r="R136" s="3">
        <f t="shared" si="49"/>
        <v>3.9494315473009689E-2</v>
      </c>
      <c r="S136" s="3">
        <f t="shared" si="49"/>
        <v>3.9494315398432948E-2</v>
      </c>
      <c r="T136" s="3">
        <f t="shared" si="49"/>
        <v>3.949431465266557E-2</v>
      </c>
      <c r="U136" s="3">
        <f t="shared" si="49"/>
        <v>3.9494307194992605E-2</v>
      </c>
      <c r="V136" s="3">
        <f t="shared" si="49"/>
        <v>3.9494232618340348E-2</v>
      </c>
      <c r="W136" s="3">
        <f t="shared" si="49"/>
        <v>3.9493486859562985E-2</v>
      </c>
      <c r="X136" s="3">
        <f t="shared" si="49"/>
        <v>3.9486030046253152E-2</v>
      </c>
      <c r="Y136" s="3">
        <f t="shared" si="49"/>
        <v>3.9411539305458668E-2</v>
      </c>
      <c r="Z136" s="3">
        <f t="shared" si="49"/>
        <v>3.8674317328437964E-2</v>
      </c>
      <c r="AA136" s="3">
        <f t="shared" ref="AA136" si="50">$C22*EXP(-AA$129/$A22/EXP(-$B$126))</f>
        <v>3.2019551510305798E-2</v>
      </c>
      <c r="AB136" s="3">
        <f t="shared" si="46"/>
        <v>4.8455282147511075E-3</v>
      </c>
      <c r="AC136" s="3">
        <f t="shared" si="46"/>
        <v>3.052108359804839E-11</v>
      </c>
      <c r="AD136" s="3">
        <f t="shared" si="46"/>
        <v>3.0004622373876318E-93</v>
      </c>
      <c r="AE136" s="3">
        <f t="shared" si="46"/>
        <v>0</v>
      </c>
      <c r="AF136" s="3">
        <f t="shared" si="46"/>
        <v>0</v>
      </c>
    </row>
    <row r="137" spans="1:33" x14ac:dyDescent="0.25">
      <c r="B137" s="3">
        <f t="shared" ref="B137:Z137" si="51">$C23*EXP(-B$129/$A23/EXP(-$B$126))</f>
        <v>3.1232286968780269E-2</v>
      </c>
      <c r="C137" s="3">
        <f t="shared" si="51"/>
        <v>3.1232286968780269E-2</v>
      </c>
      <c r="D137" s="3">
        <f t="shared" si="51"/>
        <v>3.1232286968780269E-2</v>
      </c>
      <c r="E137" s="3">
        <f t="shared" si="51"/>
        <v>3.1232286968780269E-2</v>
      </c>
      <c r="F137" s="3">
        <f t="shared" si="51"/>
        <v>3.1232286968780269E-2</v>
      </c>
      <c r="G137" s="3">
        <f t="shared" si="51"/>
        <v>3.1232286968780269E-2</v>
      </c>
      <c r="H137" s="3">
        <f t="shared" si="51"/>
        <v>3.1232286968780269E-2</v>
      </c>
      <c r="I137" s="3">
        <f t="shared" si="51"/>
        <v>3.1232286968780269E-2</v>
      </c>
      <c r="J137" s="3">
        <f t="shared" si="51"/>
        <v>3.1232286968780269E-2</v>
      </c>
      <c r="K137" s="3">
        <f t="shared" si="51"/>
        <v>3.1232286968780269E-2</v>
      </c>
      <c r="L137" s="3">
        <f t="shared" si="51"/>
        <v>3.1232286968780269E-2</v>
      </c>
      <c r="M137" s="3">
        <f t="shared" si="51"/>
        <v>3.1232286968780262E-2</v>
      </c>
      <c r="N137" s="3">
        <f t="shared" si="51"/>
        <v>3.123228696878021E-2</v>
      </c>
      <c r="O137" s="3">
        <f t="shared" si="51"/>
        <v>3.1232286968779679E-2</v>
      </c>
      <c r="P137" s="3">
        <f t="shared" si="51"/>
        <v>3.1232286968774357E-2</v>
      </c>
      <c r="Q137" s="3">
        <f t="shared" si="51"/>
        <v>3.1232286968721157E-2</v>
      </c>
      <c r="R137" s="3">
        <f t="shared" si="51"/>
        <v>3.1232286968189148E-2</v>
      </c>
      <c r="S137" s="3">
        <f t="shared" si="51"/>
        <v>3.1232286962869053E-2</v>
      </c>
      <c r="T137" s="3">
        <f t="shared" si="51"/>
        <v>3.1232286909668134E-2</v>
      </c>
      <c r="U137" s="3">
        <f t="shared" si="51"/>
        <v>3.1232286377658902E-2</v>
      </c>
      <c r="V137" s="3">
        <f t="shared" si="51"/>
        <v>3.1232281057567104E-2</v>
      </c>
      <c r="W137" s="3">
        <f t="shared" si="51"/>
        <v>3.1232227856698946E-2</v>
      </c>
      <c r="X137" s="3">
        <f t="shared" si="51"/>
        <v>3.1231695853001555E-2</v>
      </c>
      <c r="Y137" s="3">
        <f t="shared" si="51"/>
        <v>3.1226376314414789E-2</v>
      </c>
      <c r="Z137" s="3">
        <f t="shared" si="51"/>
        <v>3.1173230735864952E-2</v>
      </c>
      <c r="AA137" s="3">
        <f t="shared" ref="AA137" si="52">$C23*EXP(-AA$129/$A23/EXP(-$B$126))</f>
        <v>3.0646724433297808E-2</v>
      </c>
      <c r="AB137" s="3">
        <f t="shared" si="46"/>
        <v>2.5846786502640273E-2</v>
      </c>
      <c r="AC137" s="3">
        <f t="shared" si="46"/>
        <v>4.7057784617277028E-3</v>
      </c>
      <c r="AD137" s="3">
        <f t="shared" si="46"/>
        <v>1.8831317201881196E-10</v>
      </c>
      <c r="AE137" s="3">
        <f t="shared" si="46"/>
        <v>1.9832292131114402E-84</v>
      </c>
      <c r="AF137" s="3">
        <f t="shared" si="46"/>
        <v>0</v>
      </c>
    </row>
    <row r="138" spans="1:33" x14ac:dyDescent="0.25">
      <c r="B138" s="3">
        <f t="shared" ref="B138:Z138" si="53">$C24*EXP(-B$129/$A24/EXP(-$B$126))</f>
        <v>3.0546949875680195E-2</v>
      </c>
      <c r="C138" s="3">
        <f t="shared" si="53"/>
        <v>3.0546949875680195E-2</v>
      </c>
      <c r="D138" s="3">
        <f t="shared" si="53"/>
        <v>3.0546949875680195E-2</v>
      </c>
      <c r="E138" s="3">
        <f t="shared" si="53"/>
        <v>3.0546949875680195E-2</v>
      </c>
      <c r="F138" s="3">
        <f t="shared" si="53"/>
        <v>3.0546949875680195E-2</v>
      </c>
      <c r="G138" s="3">
        <f t="shared" si="53"/>
        <v>3.0546949875680195E-2</v>
      </c>
      <c r="H138" s="3">
        <f t="shared" si="53"/>
        <v>3.0546949875680195E-2</v>
      </c>
      <c r="I138" s="3">
        <f t="shared" si="53"/>
        <v>3.0546949875680195E-2</v>
      </c>
      <c r="J138" s="3">
        <f t="shared" si="53"/>
        <v>3.0546949875680195E-2</v>
      </c>
      <c r="K138" s="3">
        <f t="shared" si="53"/>
        <v>3.0546949875680195E-2</v>
      </c>
      <c r="L138" s="3">
        <f t="shared" si="53"/>
        <v>3.0546949875680195E-2</v>
      </c>
      <c r="M138" s="3">
        <f t="shared" si="53"/>
        <v>3.0546949875680195E-2</v>
      </c>
      <c r="N138" s="3">
        <f t="shared" si="53"/>
        <v>3.0546949875680188E-2</v>
      </c>
      <c r="O138" s="3">
        <f t="shared" si="53"/>
        <v>3.0546949875680143E-2</v>
      </c>
      <c r="P138" s="3">
        <f t="shared" si="53"/>
        <v>3.0546949875679671E-2</v>
      </c>
      <c r="Q138" s="3">
        <f t="shared" si="53"/>
        <v>3.0546949875674981E-2</v>
      </c>
      <c r="R138" s="3">
        <f t="shared" si="53"/>
        <v>3.0546949875628043E-2</v>
      </c>
      <c r="S138" s="3">
        <f t="shared" si="53"/>
        <v>3.0546949875158658E-2</v>
      </c>
      <c r="T138" s="3">
        <f t="shared" si="53"/>
        <v>3.0546949870464801E-2</v>
      </c>
      <c r="U138" s="3">
        <f t="shared" si="53"/>
        <v>3.0546949823526234E-2</v>
      </c>
      <c r="V138" s="3">
        <f t="shared" si="53"/>
        <v>3.0546949354140564E-2</v>
      </c>
      <c r="W138" s="3">
        <f t="shared" si="53"/>
        <v>3.0546944660284289E-2</v>
      </c>
      <c r="X138" s="3">
        <f t="shared" si="53"/>
        <v>3.0546897721761203E-2</v>
      </c>
      <c r="Y138" s="3">
        <f t="shared" si="53"/>
        <v>3.0546428340497249E-2</v>
      </c>
      <c r="Z138" s="3">
        <f t="shared" si="53"/>
        <v>3.054173492452562E-2</v>
      </c>
      <c r="AA138" s="3">
        <f t="shared" ref="AA138" si="54">$C24*EXP(-AA$129/$A24/EXP(-$B$126))</f>
        <v>3.0494840409056468E-2</v>
      </c>
      <c r="AB138" s="3">
        <f t="shared" si="46"/>
        <v>3.0029837231945244E-2</v>
      </c>
      <c r="AC138" s="3">
        <f t="shared" si="46"/>
        <v>2.5752483161573133E-2</v>
      </c>
      <c r="AD138" s="3">
        <f t="shared" si="46"/>
        <v>5.5396260424902003E-3</v>
      </c>
      <c r="AE138" s="3">
        <f t="shared" si="46"/>
        <v>1.1751513727229428E-9</v>
      </c>
      <c r="AF138" s="3">
        <f t="shared" si="46"/>
        <v>2.1688396875143009E-76</v>
      </c>
    </row>
    <row r="139" spans="1:33" x14ac:dyDescent="0.25">
      <c r="B139" s="3">
        <f t="shared" ref="B139:Z139" si="55">$C25*EXP(-B$129/$A25/EXP(-$B$126))</f>
        <v>2.9181012135706209E-2</v>
      </c>
      <c r="C139" s="3">
        <f t="shared" si="55"/>
        <v>2.9181012135706209E-2</v>
      </c>
      <c r="D139" s="3">
        <f t="shared" si="55"/>
        <v>2.9181012135706209E-2</v>
      </c>
      <c r="E139" s="3">
        <f t="shared" si="55"/>
        <v>2.9181012135706209E-2</v>
      </c>
      <c r="F139" s="3">
        <f t="shared" si="55"/>
        <v>2.9181012135706209E-2</v>
      </c>
      <c r="G139" s="3">
        <f t="shared" si="55"/>
        <v>2.9181012135706209E-2</v>
      </c>
      <c r="H139" s="3">
        <f t="shared" si="55"/>
        <v>2.9181012135706209E-2</v>
      </c>
      <c r="I139" s="3">
        <f t="shared" si="55"/>
        <v>2.9181012135706209E-2</v>
      </c>
      <c r="J139" s="3">
        <f t="shared" si="55"/>
        <v>2.9181012135706209E-2</v>
      </c>
      <c r="K139" s="3">
        <f t="shared" si="55"/>
        <v>2.9181012135706209E-2</v>
      </c>
      <c r="L139" s="3">
        <f t="shared" si="55"/>
        <v>2.9181012135706209E-2</v>
      </c>
      <c r="M139" s="3">
        <f t="shared" si="55"/>
        <v>2.9181012135706209E-2</v>
      </c>
      <c r="N139" s="3">
        <f t="shared" si="55"/>
        <v>2.9181012135706209E-2</v>
      </c>
      <c r="O139" s="3">
        <f t="shared" si="55"/>
        <v>2.9181012135706206E-2</v>
      </c>
      <c r="P139" s="3">
        <f t="shared" si="55"/>
        <v>2.9181012135706164E-2</v>
      </c>
      <c r="Q139" s="3">
        <f t="shared" si="55"/>
        <v>2.9181012135705758E-2</v>
      </c>
      <c r="R139" s="3">
        <f t="shared" si="55"/>
        <v>2.9181012135701716E-2</v>
      </c>
      <c r="S139" s="3">
        <f t="shared" si="55"/>
        <v>2.9181012135661263E-2</v>
      </c>
      <c r="T139" s="3">
        <f t="shared" si="55"/>
        <v>2.9181012135256777E-2</v>
      </c>
      <c r="U139" s="3">
        <f t="shared" si="55"/>
        <v>2.9181012131211867E-2</v>
      </c>
      <c r="V139" s="3">
        <f t="shared" si="55"/>
        <v>2.9181012090762758E-2</v>
      </c>
      <c r="W139" s="3">
        <f t="shared" si="55"/>
        <v>2.9181011686271713E-2</v>
      </c>
      <c r="X139" s="3">
        <f t="shared" si="55"/>
        <v>2.9181007641361542E-2</v>
      </c>
      <c r="Y139" s="3">
        <f t="shared" si="55"/>
        <v>2.9180967192290661E-2</v>
      </c>
      <c r="Z139" s="3">
        <f t="shared" si="55"/>
        <v>2.9180562704665614E-2</v>
      </c>
      <c r="AA139" s="3">
        <f t="shared" ref="AA139" si="56">$C25*EXP(-AA$129/$A25/EXP(-$B$126))</f>
        <v>2.9176518136773293E-2</v>
      </c>
      <c r="AB139" s="3">
        <f t="shared" si="46"/>
        <v>2.913610327785569E-2</v>
      </c>
      <c r="AC139" s="3">
        <f t="shared" si="46"/>
        <v>2.8735020940912986E-2</v>
      </c>
      <c r="AD139" s="3">
        <f t="shared" si="46"/>
        <v>2.5015663065420492E-2</v>
      </c>
      <c r="AE139" s="3">
        <f t="shared" si="46"/>
        <v>6.2548518408644116E-3</v>
      </c>
      <c r="AF139" s="3">
        <f t="shared" si="46"/>
        <v>5.9740260080937243E-9</v>
      </c>
    </row>
    <row r="140" spans="1:33" x14ac:dyDescent="0.25">
      <c r="B140" s="3">
        <f t="shared" ref="B140:Z140" si="57">$C26*EXP(-B$129/$A26/EXP(-$B$126))</f>
        <v>2.8956161504827882E-2</v>
      </c>
      <c r="C140" s="3">
        <f t="shared" si="57"/>
        <v>2.8956161504827882E-2</v>
      </c>
      <c r="D140" s="3">
        <f t="shared" si="57"/>
        <v>2.8956161504827882E-2</v>
      </c>
      <c r="E140" s="3">
        <f t="shared" si="57"/>
        <v>2.8956161504827882E-2</v>
      </c>
      <c r="F140" s="3">
        <f t="shared" si="57"/>
        <v>2.8956161504827882E-2</v>
      </c>
      <c r="G140" s="3">
        <f t="shared" si="57"/>
        <v>2.8956161504827882E-2</v>
      </c>
      <c r="H140" s="3">
        <f t="shared" si="57"/>
        <v>2.8956161504827882E-2</v>
      </c>
      <c r="I140" s="3">
        <f t="shared" si="57"/>
        <v>2.8956161504827882E-2</v>
      </c>
      <c r="J140" s="3">
        <f t="shared" si="57"/>
        <v>2.8956161504827882E-2</v>
      </c>
      <c r="K140" s="3">
        <f t="shared" si="57"/>
        <v>2.8956161504827882E-2</v>
      </c>
      <c r="L140" s="3">
        <f t="shared" si="57"/>
        <v>2.8956161504827882E-2</v>
      </c>
      <c r="M140" s="3">
        <f t="shared" si="57"/>
        <v>2.8956161504827882E-2</v>
      </c>
      <c r="N140" s="3">
        <f t="shared" si="57"/>
        <v>2.8956161504827882E-2</v>
      </c>
      <c r="O140" s="3">
        <f t="shared" si="57"/>
        <v>2.8956161504827882E-2</v>
      </c>
      <c r="P140" s="3">
        <f t="shared" si="57"/>
        <v>2.8956161504827879E-2</v>
      </c>
      <c r="Q140" s="3">
        <f t="shared" si="57"/>
        <v>2.895616150482784E-2</v>
      </c>
      <c r="R140" s="3">
        <f t="shared" si="57"/>
        <v>2.895616150482748E-2</v>
      </c>
      <c r="S140" s="3">
        <f t="shared" si="57"/>
        <v>2.8956161504823861E-2</v>
      </c>
      <c r="T140" s="3">
        <f t="shared" si="57"/>
        <v>2.8956161504787654E-2</v>
      </c>
      <c r="U140" s="3">
        <f t="shared" si="57"/>
        <v>2.8956161504425579E-2</v>
      </c>
      <c r="V140" s="3">
        <f t="shared" si="57"/>
        <v>2.895616150080485E-2</v>
      </c>
      <c r="W140" s="3">
        <f t="shared" si="57"/>
        <v>2.8956161464597546E-2</v>
      </c>
      <c r="X140" s="3">
        <f t="shared" si="57"/>
        <v>2.8956161102524546E-2</v>
      </c>
      <c r="Y140" s="3">
        <f t="shared" si="57"/>
        <v>2.8956157481794757E-2</v>
      </c>
      <c r="Z140" s="3">
        <f t="shared" si="57"/>
        <v>2.8956121274521782E-2</v>
      </c>
      <c r="AA140" s="3">
        <f t="shared" ref="AA140" si="58">$C26*EXP(-AA$129/$A26/EXP(-$B$126))</f>
        <v>2.895575920428211E-2</v>
      </c>
      <c r="AB140" s="3">
        <f t="shared" si="46"/>
        <v>2.8952138750880978E-2</v>
      </c>
      <c r="AC140" s="3">
        <f t="shared" si="46"/>
        <v>2.8915959104913479E-2</v>
      </c>
      <c r="AD140" s="3">
        <f t="shared" si="46"/>
        <v>2.8556639973464394E-2</v>
      </c>
      <c r="AE140" s="3">
        <f t="shared" si="46"/>
        <v>2.5200093366609683E-2</v>
      </c>
      <c r="AF140" s="3">
        <f t="shared" si="46"/>
        <v>7.2169315482913752E-3</v>
      </c>
    </row>
    <row r="141" spans="1:33" x14ac:dyDescent="0.25">
      <c r="B141" s="3">
        <f t="shared" ref="B141:Z141" si="59">$C27*EXP(-B$129/$A27/EXP(-$B$126))</f>
        <v>2.8549428510413092E-2</v>
      </c>
      <c r="C141" s="3">
        <f t="shared" si="59"/>
        <v>2.8549428510413092E-2</v>
      </c>
      <c r="D141" s="3">
        <f t="shared" si="59"/>
        <v>2.8549428510413092E-2</v>
      </c>
      <c r="E141" s="3">
        <f t="shared" si="59"/>
        <v>2.8549428510413092E-2</v>
      </c>
      <c r="F141" s="3">
        <f t="shared" si="59"/>
        <v>2.8549428510413092E-2</v>
      </c>
      <c r="G141" s="3">
        <f t="shared" si="59"/>
        <v>2.8549428510413092E-2</v>
      </c>
      <c r="H141" s="3">
        <f t="shared" si="59"/>
        <v>2.8549428510413092E-2</v>
      </c>
      <c r="I141" s="3">
        <f t="shared" si="59"/>
        <v>2.8549428510413092E-2</v>
      </c>
      <c r="J141" s="3">
        <f t="shared" si="59"/>
        <v>2.8549428510413092E-2</v>
      </c>
      <c r="K141" s="3">
        <f t="shared" si="59"/>
        <v>2.8549428510413092E-2</v>
      </c>
      <c r="L141" s="3">
        <f t="shared" si="59"/>
        <v>2.8549428510413092E-2</v>
      </c>
      <c r="M141" s="3">
        <f t="shared" si="59"/>
        <v>2.8549428510413092E-2</v>
      </c>
      <c r="N141" s="3">
        <f t="shared" si="59"/>
        <v>2.8549428510413092E-2</v>
      </c>
      <c r="O141" s="3">
        <f t="shared" si="59"/>
        <v>2.8549428510413092E-2</v>
      </c>
      <c r="P141" s="3">
        <f t="shared" si="59"/>
        <v>2.8549428510413092E-2</v>
      </c>
      <c r="Q141" s="3">
        <f t="shared" si="59"/>
        <v>2.8549428510413088E-2</v>
      </c>
      <c r="R141" s="3">
        <f t="shared" si="59"/>
        <v>2.8549428510413057E-2</v>
      </c>
      <c r="S141" s="3">
        <f t="shared" si="59"/>
        <v>2.8549428510412735E-2</v>
      </c>
      <c r="T141" s="3">
        <f t="shared" si="59"/>
        <v>2.8549428510409515E-2</v>
      </c>
      <c r="U141" s="3">
        <f t="shared" si="59"/>
        <v>2.8549428510377312E-2</v>
      </c>
      <c r="V141" s="3">
        <f t="shared" si="59"/>
        <v>2.8549428510055281E-2</v>
      </c>
      <c r="W141" s="3">
        <f t="shared" si="59"/>
        <v>2.8549428506834958E-2</v>
      </c>
      <c r="X141" s="3">
        <f t="shared" si="59"/>
        <v>2.8549428474631749E-2</v>
      </c>
      <c r="Y141" s="3">
        <f t="shared" si="59"/>
        <v>2.8549428152599646E-2</v>
      </c>
      <c r="Z141" s="3">
        <f t="shared" si="59"/>
        <v>2.8549424932278841E-2</v>
      </c>
      <c r="AA141" s="3">
        <f t="shared" ref="AA141" si="60">$C27*EXP(-AA$129/$A27/EXP(-$B$126))</f>
        <v>2.8549392729090753E-2</v>
      </c>
      <c r="AB141" s="3">
        <f t="shared" si="46"/>
        <v>2.854907069920774E-2</v>
      </c>
      <c r="AC141" s="3">
        <f t="shared" si="46"/>
        <v>2.8545850600153674E-2</v>
      </c>
      <c r="AD141" s="3">
        <f t="shared" si="46"/>
        <v>2.85136695788849E-2</v>
      </c>
      <c r="AE141" s="3">
        <f t="shared" si="46"/>
        <v>2.8193847984237456E-2</v>
      </c>
      <c r="AF141" s="3">
        <f t="shared" si="46"/>
        <v>2.5186438799559459E-2</v>
      </c>
    </row>
    <row r="142" spans="1:33" x14ac:dyDescent="0.25">
      <c r="B142" s="3">
        <f t="shared" ref="B142:Z142" si="61">$C28*EXP(-B$129/$A28/EXP(-$B$126))</f>
        <v>3.3916990026039671E-2</v>
      </c>
      <c r="C142" s="3">
        <f t="shared" si="61"/>
        <v>3.3916990026039671E-2</v>
      </c>
      <c r="D142" s="3">
        <f t="shared" si="61"/>
        <v>3.3916990026039671E-2</v>
      </c>
      <c r="E142" s="3">
        <f t="shared" si="61"/>
        <v>3.3916990026039671E-2</v>
      </c>
      <c r="F142" s="3">
        <f t="shared" si="61"/>
        <v>3.3916990026039671E-2</v>
      </c>
      <c r="G142" s="3">
        <f t="shared" si="61"/>
        <v>3.3916990026039671E-2</v>
      </c>
      <c r="H142" s="3">
        <f t="shared" si="61"/>
        <v>3.3916990026039671E-2</v>
      </c>
      <c r="I142" s="3">
        <f t="shared" si="61"/>
        <v>3.3916990026039671E-2</v>
      </c>
      <c r="J142" s="3">
        <f t="shared" si="61"/>
        <v>3.3916990026039671E-2</v>
      </c>
      <c r="K142" s="3">
        <f t="shared" si="61"/>
        <v>3.3916990026039671E-2</v>
      </c>
      <c r="L142" s="3">
        <f t="shared" si="61"/>
        <v>3.3916990026039671E-2</v>
      </c>
      <c r="M142" s="3">
        <f t="shared" si="61"/>
        <v>3.3916990026039671E-2</v>
      </c>
      <c r="N142" s="3">
        <f t="shared" si="61"/>
        <v>3.3916990026039671E-2</v>
      </c>
      <c r="O142" s="3">
        <f t="shared" si="61"/>
        <v>3.3916990026039671E-2</v>
      </c>
      <c r="P142" s="3">
        <f t="shared" si="61"/>
        <v>3.3916990026039671E-2</v>
      </c>
      <c r="Q142" s="3">
        <f t="shared" si="61"/>
        <v>3.3916990026039671E-2</v>
      </c>
      <c r="R142" s="3">
        <f t="shared" si="61"/>
        <v>3.3916990026039665E-2</v>
      </c>
      <c r="S142" s="3">
        <f t="shared" si="61"/>
        <v>3.3916990026039637E-2</v>
      </c>
      <c r="T142" s="3">
        <f t="shared" si="61"/>
        <v>3.391699002603929E-2</v>
      </c>
      <c r="U142" s="3">
        <f t="shared" si="61"/>
        <v>3.3916990026035841E-2</v>
      </c>
      <c r="V142" s="3">
        <f t="shared" si="61"/>
        <v>3.3916990026001327E-2</v>
      </c>
      <c r="W142" s="3">
        <f t="shared" si="61"/>
        <v>3.3916990025656207E-2</v>
      </c>
      <c r="X142" s="3">
        <f t="shared" si="61"/>
        <v>3.3916990022205044E-2</v>
      </c>
      <c r="Y142" s="3">
        <f t="shared" si="61"/>
        <v>3.3916989987693401E-2</v>
      </c>
      <c r="Z142" s="3">
        <f t="shared" si="61"/>
        <v>3.3916989642576965E-2</v>
      </c>
      <c r="AA142" s="3">
        <f t="shared" ref="AA142" si="62">$C28*EXP(-AA$129/$A28/EXP(-$B$126))</f>
        <v>3.3916986191412819E-2</v>
      </c>
      <c r="AB142" s="3">
        <f t="shared" si="46"/>
        <v>3.3916951679790634E-2</v>
      </c>
      <c r="AC142" s="3">
        <f t="shared" si="46"/>
        <v>3.3916606565500197E-2</v>
      </c>
      <c r="AD142" s="3">
        <f t="shared" si="46"/>
        <v>3.3913155615729752E-2</v>
      </c>
      <c r="AE142" s="3">
        <f t="shared" si="46"/>
        <v>3.3878665424145797E-2</v>
      </c>
      <c r="AF142" s="3">
        <f t="shared" si="46"/>
        <v>3.3535686871594222E-2</v>
      </c>
    </row>
    <row r="143" spans="1:33" x14ac:dyDescent="0.25">
      <c r="B143" s="3">
        <f t="shared" ref="B143:Z143" si="63">$C29*EXP(-B$129/$A29/EXP(-$B$126))</f>
        <v>3.6686036889388041E-2</v>
      </c>
      <c r="C143" s="3">
        <f t="shared" si="63"/>
        <v>3.6686036889388041E-2</v>
      </c>
      <c r="D143" s="3">
        <f t="shared" si="63"/>
        <v>3.6686036889388041E-2</v>
      </c>
      <c r="E143" s="3">
        <f t="shared" si="63"/>
        <v>3.6686036889388041E-2</v>
      </c>
      <c r="F143" s="3">
        <f t="shared" si="63"/>
        <v>3.6686036889388041E-2</v>
      </c>
      <c r="G143" s="3">
        <f t="shared" si="63"/>
        <v>3.6686036889388041E-2</v>
      </c>
      <c r="H143" s="3">
        <f t="shared" si="63"/>
        <v>3.6686036889388041E-2</v>
      </c>
      <c r="I143" s="3">
        <f t="shared" si="63"/>
        <v>3.6686036889388041E-2</v>
      </c>
      <c r="J143" s="3">
        <f t="shared" si="63"/>
        <v>3.6686036889388041E-2</v>
      </c>
      <c r="K143" s="3">
        <f t="shared" si="63"/>
        <v>3.6686036889388041E-2</v>
      </c>
      <c r="L143" s="3">
        <f t="shared" si="63"/>
        <v>3.6686036889388041E-2</v>
      </c>
      <c r="M143" s="3">
        <f t="shared" si="63"/>
        <v>3.6686036889388041E-2</v>
      </c>
      <c r="N143" s="3">
        <f t="shared" si="63"/>
        <v>3.6686036889388041E-2</v>
      </c>
      <c r="O143" s="3">
        <f t="shared" si="63"/>
        <v>3.6686036889388041E-2</v>
      </c>
      <c r="P143" s="3">
        <f t="shared" si="63"/>
        <v>3.6686036889388041E-2</v>
      </c>
      <c r="Q143" s="3">
        <f t="shared" si="63"/>
        <v>3.6686036889388041E-2</v>
      </c>
      <c r="R143" s="3">
        <f t="shared" si="63"/>
        <v>3.6686036889388041E-2</v>
      </c>
      <c r="S143" s="3">
        <f t="shared" si="63"/>
        <v>3.6686036889388034E-2</v>
      </c>
      <c r="T143" s="3">
        <f t="shared" si="63"/>
        <v>3.6686036889388006E-2</v>
      </c>
      <c r="U143" s="3">
        <f t="shared" si="63"/>
        <v>3.6686036889387666E-2</v>
      </c>
      <c r="V143" s="3">
        <f t="shared" si="63"/>
        <v>3.6686036889384301E-2</v>
      </c>
      <c r="W143" s="3">
        <f t="shared" si="63"/>
        <v>3.6686036889350626E-2</v>
      </c>
      <c r="X143" s="3">
        <f t="shared" si="63"/>
        <v>3.6686036889013889E-2</v>
      </c>
      <c r="Y143" s="3">
        <f t="shared" si="63"/>
        <v>3.6686036885646478E-2</v>
      </c>
      <c r="Z143" s="3">
        <f t="shared" si="63"/>
        <v>3.6686036851972401E-2</v>
      </c>
      <c r="AA143" s="3">
        <f t="shared" ref="AA143" si="64">$C29*EXP(-AA$129/$A29/EXP(-$B$126))</f>
        <v>3.6686036515231606E-2</v>
      </c>
      <c r="AB143" s="3">
        <f t="shared" si="46"/>
        <v>3.6686033147823878E-2</v>
      </c>
      <c r="AC143" s="3">
        <f t="shared" si="46"/>
        <v>3.668599947376356E-2</v>
      </c>
      <c r="AD143" s="3">
        <f t="shared" si="46"/>
        <v>3.6685662734860409E-2</v>
      </c>
      <c r="AE143" s="3">
        <f t="shared" si="46"/>
        <v>3.6682295515824227E-2</v>
      </c>
      <c r="AF143" s="3">
        <f t="shared" si="46"/>
        <v>3.6648640319222214E-2</v>
      </c>
    </row>
    <row r="144" spans="1:33" x14ac:dyDescent="0.25">
      <c r="B144" s="3">
        <f t="shared" ref="B144:Z144" si="65">$C30*EXP(-B$129/$A30/EXP(-$B$126))</f>
        <v>4.0919511658412108E-2</v>
      </c>
      <c r="C144" s="3">
        <f t="shared" si="65"/>
        <v>4.0919511658412108E-2</v>
      </c>
      <c r="D144" s="3">
        <f t="shared" si="65"/>
        <v>4.0919511658412108E-2</v>
      </c>
      <c r="E144" s="3">
        <f t="shared" si="65"/>
        <v>4.0919511658412108E-2</v>
      </c>
      <c r="F144" s="3">
        <f t="shared" si="65"/>
        <v>4.0919511658412108E-2</v>
      </c>
      <c r="G144" s="3">
        <f t="shared" si="65"/>
        <v>4.0919511658412108E-2</v>
      </c>
      <c r="H144" s="3">
        <f t="shared" si="65"/>
        <v>4.0919511658412108E-2</v>
      </c>
      <c r="I144" s="3">
        <f t="shared" si="65"/>
        <v>4.0919511658412108E-2</v>
      </c>
      <c r="J144" s="3">
        <f t="shared" si="65"/>
        <v>4.0919511658412108E-2</v>
      </c>
      <c r="K144" s="3">
        <f t="shared" si="65"/>
        <v>4.0919511658412108E-2</v>
      </c>
      <c r="L144" s="3">
        <f t="shared" si="65"/>
        <v>4.0919511658412108E-2</v>
      </c>
      <c r="M144" s="3">
        <f t="shared" si="65"/>
        <v>4.0919511658412108E-2</v>
      </c>
      <c r="N144" s="3">
        <f t="shared" si="65"/>
        <v>4.0919511658412108E-2</v>
      </c>
      <c r="O144" s="3">
        <f t="shared" si="65"/>
        <v>4.0919511658412108E-2</v>
      </c>
      <c r="P144" s="3">
        <f t="shared" si="65"/>
        <v>4.0919511658412108E-2</v>
      </c>
      <c r="Q144" s="3">
        <f t="shared" si="65"/>
        <v>4.0919511658412108E-2</v>
      </c>
      <c r="R144" s="3">
        <f t="shared" si="65"/>
        <v>4.0919511658412108E-2</v>
      </c>
      <c r="S144" s="3">
        <f t="shared" si="65"/>
        <v>4.0919511658412108E-2</v>
      </c>
      <c r="T144" s="3">
        <f t="shared" si="65"/>
        <v>4.0919511658412101E-2</v>
      </c>
      <c r="U144" s="3">
        <f t="shared" si="65"/>
        <v>4.0919511658412074E-2</v>
      </c>
      <c r="V144" s="3">
        <f t="shared" si="65"/>
        <v>4.0919511658411734E-2</v>
      </c>
      <c r="W144" s="3">
        <f t="shared" si="65"/>
        <v>4.091951165840834E-2</v>
      </c>
      <c r="X144" s="3">
        <f t="shared" si="65"/>
        <v>4.0919511658374458E-2</v>
      </c>
      <c r="Y144" s="3">
        <f t="shared" si="65"/>
        <v>4.0919511658035639E-2</v>
      </c>
      <c r="Z144" s="3">
        <f t="shared" si="65"/>
        <v>4.0919511654647411E-2</v>
      </c>
      <c r="AA144" s="3">
        <f t="shared" ref="AA144" si="66">$C30*EXP(-AA$129/$A30/EXP(-$B$126))</f>
        <v>4.0919511620765188E-2</v>
      </c>
      <c r="AB144" s="3">
        <f t="shared" ref="AB144:AF153" si="67">$C30*EXP(-AB$129/$A30/EXP(-$B$126))</f>
        <v>4.0919511281942905E-2</v>
      </c>
      <c r="AC144" s="3">
        <f t="shared" si="67"/>
        <v>4.0919507893720251E-2</v>
      </c>
      <c r="AD144" s="3">
        <f t="shared" si="67"/>
        <v>4.0919474011509159E-2</v>
      </c>
      <c r="AE144" s="3">
        <f t="shared" si="67"/>
        <v>4.0919135190941217E-2</v>
      </c>
      <c r="AF144" s="3">
        <f t="shared" si="67"/>
        <v>4.0915747139560185E-2</v>
      </c>
    </row>
    <row r="145" spans="1:32" x14ac:dyDescent="0.25">
      <c r="B145" s="3">
        <f t="shared" ref="B145:Z145" si="68">$C31*EXP(-B$129/$A31/EXP(-$B$126))</f>
        <v>4.7755707575506505E-2</v>
      </c>
      <c r="C145" s="3">
        <f t="shared" si="68"/>
        <v>4.7755707575506505E-2</v>
      </c>
      <c r="D145" s="3">
        <f t="shared" si="68"/>
        <v>4.7755707575506505E-2</v>
      </c>
      <c r="E145" s="3">
        <f t="shared" si="68"/>
        <v>4.7755707575506505E-2</v>
      </c>
      <c r="F145" s="3">
        <f t="shared" si="68"/>
        <v>4.7755707575506505E-2</v>
      </c>
      <c r="G145" s="3">
        <f t="shared" si="68"/>
        <v>4.7755707575506505E-2</v>
      </c>
      <c r="H145" s="3">
        <f t="shared" si="68"/>
        <v>4.7755707575506505E-2</v>
      </c>
      <c r="I145" s="3">
        <f t="shared" si="68"/>
        <v>4.7755707575506505E-2</v>
      </c>
      <c r="J145" s="3">
        <f t="shared" si="68"/>
        <v>4.7755707575506505E-2</v>
      </c>
      <c r="K145" s="3">
        <f t="shared" si="68"/>
        <v>4.7755707575506505E-2</v>
      </c>
      <c r="L145" s="3">
        <f t="shared" si="68"/>
        <v>4.7755707575506505E-2</v>
      </c>
      <c r="M145" s="3">
        <f t="shared" si="68"/>
        <v>4.7755707575506505E-2</v>
      </c>
      <c r="N145" s="3">
        <f t="shared" si="68"/>
        <v>4.7755707575506505E-2</v>
      </c>
      <c r="O145" s="3">
        <f t="shared" si="68"/>
        <v>4.7755707575506505E-2</v>
      </c>
      <c r="P145" s="3">
        <f t="shared" si="68"/>
        <v>4.7755707575506505E-2</v>
      </c>
      <c r="Q145" s="3">
        <f t="shared" si="68"/>
        <v>4.7755707575506505E-2</v>
      </c>
      <c r="R145" s="3">
        <f t="shared" si="68"/>
        <v>4.7755707575506505E-2</v>
      </c>
      <c r="S145" s="3">
        <f t="shared" si="68"/>
        <v>4.7755707575506505E-2</v>
      </c>
      <c r="T145" s="3">
        <f t="shared" si="68"/>
        <v>4.7755707575506505E-2</v>
      </c>
      <c r="U145" s="3">
        <f t="shared" si="68"/>
        <v>4.7755707575506498E-2</v>
      </c>
      <c r="V145" s="3">
        <f t="shared" si="68"/>
        <v>4.775570757550647E-2</v>
      </c>
      <c r="W145" s="3">
        <f t="shared" si="68"/>
        <v>4.7755707575506109E-2</v>
      </c>
      <c r="X145" s="3">
        <f t="shared" si="68"/>
        <v>4.7755707575502536E-2</v>
      </c>
      <c r="Y145" s="3">
        <f t="shared" si="68"/>
        <v>4.775570757546687E-2</v>
      </c>
      <c r="Z145" s="3">
        <f t="shared" si="68"/>
        <v>4.7755707575110162E-2</v>
      </c>
      <c r="AA145" s="3">
        <f t="shared" ref="AA145" si="69">$C31*EXP(-AA$129/$A31/EXP(-$B$126))</f>
        <v>4.7755707571543078E-2</v>
      </c>
      <c r="AB145" s="3">
        <f t="shared" si="67"/>
        <v>4.7755707535872237E-2</v>
      </c>
      <c r="AC145" s="3">
        <f t="shared" si="67"/>
        <v>4.7755707179163782E-2</v>
      </c>
      <c r="AD145" s="3">
        <f t="shared" si="67"/>
        <v>4.7755703612079453E-2</v>
      </c>
      <c r="AE145" s="3">
        <f t="shared" si="67"/>
        <v>4.7755667941250794E-2</v>
      </c>
      <c r="AF145" s="3">
        <f t="shared" si="67"/>
        <v>4.7755311234429602E-2</v>
      </c>
    </row>
    <row r="146" spans="1:32" x14ac:dyDescent="0.25">
      <c r="B146" s="3">
        <f t="shared" ref="B146:Z146" si="70">$C32*EXP(-B$129/$A32/EXP(-$B$126))</f>
        <v>5.7469214785363418E-2</v>
      </c>
      <c r="C146" s="3">
        <f t="shared" si="70"/>
        <v>5.7469214785363418E-2</v>
      </c>
      <c r="D146" s="3">
        <f t="shared" si="70"/>
        <v>5.7469214785363418E-2</v>
      </c>
      <c r="E146" s="3">
        <f t="shared" si="70"/>
        <v>5.7469214785363418E-2</v>
      </c>
      <c r="F146" s="3">
        <f t="shared" si="70"/>
        <v>5.7469214785363418E-2</v>
      </c>
      <c r="G146" s="3">
        <f t="shared" si="70"/>
        <v>5.7469214785363418E-2</v>
      </c>
      <c r="H146" s="3">
        <f t="shared" si="70"/>
        <v>5.7469214785363418E-2</v>
      </c>
      <c r="I146" s="3">
        <f t="shared" si="70"/>
        <v>5.7469214785363418E-2</v>
      </c>
      <c r="J146" s="3">
        <f t="shared" si="70"/>
        <v>5.7469214785363418E-2</v>
      </c>
      <c r="K146" s="3">
        <f t="shared" si="70"/>
        <v>5.7469214785363418E-2</v>
      </c>
      <c r="L146" s="3">
        <f t="shared" si="70"/>
        <v>5.7469214785363418E-2</v>
      </c>
      <c r="M146" s="3">
        <f t="shared" si="70"/>
        <v>5.7469214785363418E-2</v>
      </c>
      <c r="N146" s="3">
        <f t="shared" si="70"/>
        <v>5.7469214785363418E-2</v>
      </c>
      <c r="O146" s="3">
        <f t="shared" si="70"/>
        <v>5.7469214785363418E-2</v>
      </c>
      <c r="P146" s="3">
        <f t="shared" si="70"/>
        <v>5.7469214785363418E-2</v>
      </c>
      <c r="Q146" s="3">
        <f t="shared" si="70"/>
        <v>5.7469214785363418E-2</v>
      </c>
      <c r="R146" s="3">
        <f t="shared" si="70"/>
        <v>5.7469214785363418E-2</v>
      </c>
      <c r="S146" s="3">
        <f t="shared" si="70"/>
        <v>5.7469214785363418E-2</v>
      </c>
      <c r="T146" s="3">
        <f t="shared" si="70"/>
        <v>5.7469214785363418E-2</v>
      </c>
      <c r="U146" s="3">
        <f t="shared" si="70"/>
        <v>5.7469214785363418E-2</v>
      </c>
      <c r="V146" s="3">
        <f t="shared" si="70"/>
        <v>5.7469214785363411E-2</v>
      </c>
      <c r="W146" s="3">
        <f t="shared" si="70"/>
        <v>5.7469214785363376E-2</v>
      </c>
      <c r="X146" s="3">
        <f t="shared" si="70"/>
        <v>5.7469214785362988E-2</v>
      </c>
      <c r="Y146" s="3">
        <f t="shared" si="70"/>
        <v>5.7469214785359116E-2</v>
      </c>
      <c r="Z146" s="3">
        <f t="shared" si="70"/>
        <v>5.7469214785320397E-2</v>
      </c>
      <c r="AA146" s="3">
        <f t="shared" ref="AA146" si="71">$C32*EXP(-AA$129/$A32/EXP(-$B$126))</f>
        <v>5.7469214784933165E-2</v>
      </c>
      <c r="AB146" s="3">
        <f t="shared" si="67"/>
        <v>5.7469214781060853E-2</v>
      </c>
      <c r="AC146" s="3">
        <f t="shared" si="67"/>
        <v>5.7469214742337765E-2</v>
      </c>
      <c r="AD146" s="3">
        <f t="shared" si="67"/>
        <v>5.7469214355106907E-2</v>
      </c>
      <c r="AE146" s="3">
        <f t="shared" si="67"/>
        <v>5.7469210482798405E-2</v>
      </c>
      <c r="AF146" s="3">
        <f t="shared" si="67"/>
        <v>5.7469171759727815E-2</v>
      </c>
    </row>
    <row r="147" spans="1:32" x14ac:dyDescent="0.25">
      <c r="B147" s="3">
        <f t="shared" ref="B147:Z147" si="72">$C33*EXP(-B$129/$A33/EXP(-$B$126))</f>
        <v>6.4260885650205518E-2</v>
      </c>
      <c r="C147" s="3">
        <f t="shared" si="72"/>
        <v>6.4260885650205518E-2</v>
      </c>
      <c r="D147" s="3">
        <f t="shared" si="72"/>
        <v>6.4260885650205518E-2</v>
      </c>
      <c r="E147" s="3">
        <f t="shared" si="72"/>
        <v>6.4260885650205518E-2</v>
      </c>
      <c r="F147" s="3">
        <f t="shared" si="72"/>
        <v>6.4260885650205518E-2</v>
      </c>
      <c r="G147" s="3">
        <f t="shared" si="72"/>
        <v>6.4260885650205518E-2</v>
      </c>
      <c r="H147" s="3">
        <f t="shared" si="72"/>
        <v>6.4260885650205518E-2</v>
      </c>
      <c r="I147" s="3">
        <f t="shared" si="72"/>
        <v>6.4260885650205518E-2</v>
      </c>
      <c r="J147" s="3">
        <f t="shared" si="72"/>
        <v>6.4260885650205518E-2</v>
      </c>
      <c r="K147" s="3">
        <f t="shared" si="72"/>
        <v>6.4260885650205518E-2</v>
      </c>
      <c r="L147" s="3">
        <f t="shared" si="72"/>
        <v>6.4260885650205518E-2</v>
      </c>
      <c r="M147" s="3">
        <f t="shared" si="72"/>
        <v>6.4260885650205518E-2</v>
      </c>
      <c r="N147" s="3">
        <f t="shared" si="72"/>
        <v>6.4260885650205518E-2</v>
      </c>
      <c r="O147" s="3">
        <f t="shared" si="72"/>
        <v>6.4260885650205518E-2</v>
      </c>
      <c r="P147" s="3">
        <f t="shared" si="72"/>
        <v>6.4260885650205518E-2</v>
      </c>
      <c r="Q147" s="3">
        <f t="shared" si="72"/>
        <v>6.4260885650205518E-2</v>
      </c>
      <c r="R147" s="3">
        <f t="shared" si="72"/>
        <v>6.4260885650205518E-2</v>
      </c>
      <c r="S147" s="3">
        <f t="shared" si="72"/>
        <v>6.4260885650205518E-2</v>
      </c>
      <c r="T147" s="3">
        <f t="shared" si="72"/>
        <v>6.4260885650205518E-2</v>
      </c>
      <c r="U147" s="3">
        <f t="shared" si="72"/>
        <v>6.4260885650205518E-2</v>
      </c>
      <c r="V147" s="3">
        <f t="shared" si="72"/>
        <v>6.4260885650205518E-2</v>
      </c>
      <c r="W147" s="3">
        <f t="shared" si="72"/>
        <v>6.4260885650205504E-2</v>
      </c>
      <c r="X147" s="3">
        <f t="shared" si="72"/>
        <v>6.4260885650205476E-2</v>
      </c>
      <c r="Y147" s="3">
        <f t="shared" si="72"/>
        <v>6.4260885650205088E-2</v>
      </c>
      <c r="Z147" s="3">
        <f t="shared" si="72"/>
        <v>6.4260885650201174E-2</v>
      </c>
      <c r="AA147" s="3">
        <f t="shared" ref="AA147" si="73">$C33*EXP(-AA$129/$A33/EXP(-$B$126))</f>
        <v>6.4260885650162122E-2</v>
      </c>
      <c r="AB147" s="3">
        <f t="shared" si="67"/>
        <v>6.4260885649771518E-2</v>
      </c>
      <c r="AC147" s="3">
        <f t="shared" si="67"/>
        <v>6.4260885645865559E-2</v>
      </c>
      <c r="AD147" s="3">
        <f t="shared" si="67"/>
        <v>6.4260885606805943E-2</v>
      </c>
      <c r="AE147" s="3">
        <f t="shared" si="67"/>
        <v>6.4260885216209748E-2</v>
      </c>
      <c r="AF147" s="3">
        <f t="shared" si="67"/>
        <v>6.4260881310248014E-2</v>
      </c>
    </row>
    <row r="148" spans="1:32" x14ac:dyDescent="0.25">
      <c r="B148" s="3">
        <f t="shared" ref="B148:Z148" si="74">$C34*EXP(-B$129/$A34/EXP(-$B$126))</f>
        <v>6.2189536822504186E-2</v>
      </c>
      <c r="C148" s="3">
        <f t="shared" si="74"/>
        <v>6.2189536822504186E-2</v>
      </c>
      <c r="D148" s="3">
        <f t="shared" si="74"/>
        <v>6.2189536822504186E-2</v>
      </c>
      <c r="E148" s="3">
        <f t="shared" si="74"/>
        <v>6.2189536822504186E-2</v>
      </c>
      <c r="F148" s="3">
        <f t="shared" si="74"/>
        <v>6.2189536822504186E-2</v>
      </c>
      <c r="G148" s="3">
        <f t="shared" si="74"/>
        <v>6.2189536822504186E-2</v>
      </c>
      <c r="H148" s="3">
        <f t="shared" si="74"/>
        <v>6.2189536822504186E-2</v>
      </c>
      <c r="I148" s="3">
        <f t="shared" si="74"/>
        <v>6.2189536822504186E-2</v>
      </c>
      <c r="J148" s="3">
        <f t="shared" si="74"/>
        <v>6.2189536822504186E-2</v>
      </c>
      <c r="K148" s="3">
        <f t="shared" si="74"/>
        <v>6.2189536822504186E-2</v>
      </c>
      <c r="L148" s="3">
        <f t="shared" si="74"/>
        <v>6.2189536822504186E-2</v>
      </c>
      <c r="M148" s="3">
        <f t="shared" si="74"/>
        <v>6.2189536822504186E-2</v>
      </c>
      <c r="N148" s="3">
        <f t="shared" si="74"/>
        <v>6.2189536822504186E-2</v>
      </c>
      <c r="O148" s="3">
        <f t="shared" si="74"/>
        <v>6.2189536822504186E-2</v>
      </c>
      <c r="P148" s="3">
        <f t="shared" si="74"/>
        <v>6.2189536822504186E-2</v>
      </c>
      <c r="Q148" s="3">
        <f t="shared" si="74"/>
        <v>6.2189536822504186E-2</v>
      </c>
      <c r="R148" s="3">
        <f t="shared" si="74"/>
        <v>6.2189536822504186E-2</v>
      </c>
      <c r="S148" s="3">
        <f t="shared" si="74"/>
        <v>6.2189536822504186E-2</v>
      </c>
      <c r="T148" s="3">
        <f t="shared" si="74"/>
        <v>6.2189536822504186E-2</v>
      </c>
      <c r="U148" s="3">
        <f t="shared" si="74"/>
        <v>6.2189536822504186E-2</v>
      </c>
      <c r="V148" s="3">
        <f t="shared" si="74"/>
        <v>6.2189536822504186E-2</v>
      </c>
      <c r="W148" s="3">
        <f t="shared" si="74"/>
        <v>6.2189536822504186E-2</v>
      </c>
      <c r="X148" s="3">
        <f t="shared" si="74"/>
        <v>6.2189536822504179E-2</v>
      </c>
      <c r="Y148" s="3">
        <f t="shared" si="74"/>
        <v>6.2189536822504152E-2</v>
      </c>
      <c r="Z148" s="3">
        <f t="shared" si="74"/>
        <v>6.2189536822503805E-2</v>
      </c>
      <c r="AA148" s="3">
        <f>$C34*EXP(-AA$129/$A34/EXP(-$B$126))</f>
        <v>6.2189536822500398E-2</v>
      </c>
      <c r="AB148" s="3">
        <f t="shared" si="67"/>
        <v>6.2189536822466293E-2</v>
      </c>
      <c r="AC148" s="3">
        <f t="shared" si="67"/>
        <v>6.2189536822125309E-2</v>
      </c>
      <c r="AD148" s="3">
        <f t="shared" si="67"/>
        <v>6.2189536818715377E-2</v>
      </c>
      <c r="AE148" s="3">
        <f t="shared" si="67"/>
        <v>6.2189536784616098E-2</v>
      </c>
      <c r="AF148" s="3">
        <f t="shared" si="67"/>
        <v>6.2189536443623301E-2</v>
      </c>
    </row>
    <row r="149" spans="1:32" x14ac:dyDescent="0.25">
      <c r="B149" s="3">
        <f t="shared" ref="B149:Z149" si="75">$C35*EXP(-B$129/$A35/EXP(-$B$126))</f>
        <v>4.8803099741359754E-2</v>
      </c>
      <c r="C149" s="3">
        <f t="shared" si="75"/>
        <v>4.8803099741359754E-2</v>
      </c>
      <c r="D149" s="3">
        <f t="shared" si="75"/>
        <v>4.8803099741359754E-2</v>
      </c>
      <c r="E149" s="3">
        <f t="shared" si="75"/>
        <v>4.8803099741359754E-2</v>
      </c>
      <c r="F149" s="3">
        <f t="shared" si="75"/>
        <v>4.8803099741359754E-2</v>
      </c>
      <c r="G149" s="3">
        <f t="shared" si="75"/>
        <v>4.8803099741359754E-2</v>
      </c>
      <c r="H149" s="3">
        <f t="shared" si="75"/>
        <v>4.8803099741359754E-2</v>
      </c>
      <c r="I149" s="3">
        <f t="shared" si="75"/>
        <v>4.8803099741359754E-2</v>
      </c>
      <c r="J149" s="3">
        <f t="shared" si="75"/>
        <v>4.8803099741359754E-2</v>
      </c>
      <c r="K149" s="3">
        <f t="shared" si="75"/>
        <v>4.8803099741359754E-2</v>
      </c>
      <c r="L149" s="3">
        <f t="shared" si="75"/>
        <v>4.8803099741359754E-2</v>
      </c>
      <c r="M149" s="3">
        <f t="shared" si="75"/>
        <v>4.8803099741359754E-2</v>
      </c>
      <c r="N149" s="3">
        <f t="shared" si="75"/>
        <v>4.8803099741359754E-2</v>
      </c>
      <c r="O149" s="3">
        <f t="shared" si="75"/>
        <v>4.8803099741359754E-2</v>
      </c>
      <c r="P149" s="3">
        <f t="shared" si="75"/>
        <v>4.8803099741359754E-2</v>
      </c>
      <c r="Q149" s="3">
        <f t="shared" si="75"/>
        <v>4.8803099741359754E-2</v>
      </c>
      <c r="R149" s="3">
        <f t="shared" si="75"/>
        <v>4.8803099741359754E-2</v>
      </c>
      <c r="S149" s="3">
        <f t="shared" si="75"/>
        <v>4.8803099741359754E-2</v>
      </c>
      <c r="T149" s="3">
        <f t="shared" si="75"/>
        <v>4.8803099741359754E-2</v>
      </c>
      <c r="U149" s="3">
        <f t="shared" si="75"/>
        <v>4.8803099741359754E-2</v>
      </c>
      <c r="V149" s="3">
        <f t="shared" si="75"/>
        <v>4.8803099741359754E-2</v>
      </c>
      <c r="W149" s="3">
        <f t="shared" si="75"/>
        <v>4.8803099741359754E-2</v>
      </c>
      <c r="X149" s="3">
        <f t="shared" si="75"/>
        <v>4.8803099741359754E-2</v>
      </c>
      <c r="Y149" s="3">
        <f t="shared" si="75"/>
        <v>4.8803099741359754E-2</v>
      </c>
      <c r="Z149" s="3">
        <f t="shared" si="75"/>
        <v>4.8803099741359726E-2</v>
      </c>
      <c r="AA149" s="3">
        <f t="shared" ref="AA149" si="76">$C35*EXP(-AA$129/$A35/EXP(-$B$126))</f>
        <v>4.8803099741359483E-2</v>
      </c>
      <c r="AB149" s="3">
        <f t="shared" si="67"/>
        <v>4.8803099741357069E-2</v>
      </c>
      <c r="AC149" s="3">
        <f t="shared" si="67"/>
        <v>4.8803099741332935E-2</v>
      </c>
      <c r="AD149" s="3">
        <f t="shared" si="67"/>
        <v>4.8803099741091538E-2</v>
      </c>
      <c r="AE149" s="3">
        <f t="shared" si="67"/>
        <v>4.8803099738677629E-2</v>
      </c>
      <c r="AF149" s="3">
        <f t="shared" si="67"/>
        <v>4.8803099714538486E-2</v>
      </c>
    </row>
    <row r="150" spans="1:32" x14ac:dyDescent="0.25">
      <c r="B150" s="3">
        <f t="shared" ref="B150:Z150" si="77">$C36*EXP(-B$129/$A36/EXP(-$B$126))</f>
        <v>3.0415227107223403E-2</v>
      </c>
      <c r="C150" s="3">
        <f t="shared" si="77"/>
        <v>3.0415227107223403E-2</v>
      </c>
      <c r="D150" s="3">
        <f t="shared" si="77"/>
        <v>3.0415227107223403E-2</v>
      </c>
      <c r="E150" s="3">
        <f t="shared" si="77"/>
        <v>3.0415227107223403E-2</v>
      </c>
      <c r="F150" s="3">
        <f t="shared" si="77"/>
        <v>3.0415227107223403E-2</v>
      </c>
      <c r="G150" s="3">
        <f t="shared" si="77"/>
        <v>3.0415227107223403E-2</v>
      </c>
      <c r="H150" s="3">
        <f t="shared" si="77"/>
        <v>3.0415227107223403E-2</v>
      </c>
      <c r="I150" s="3">
        <f t="shared" si="77"/>
        <v>3.0415227107223403E-2</v>
      </c>
      <c r="J150" s="3">
        <f t="shared" si="77"/>
        <v>3.0415227107223403E-2</v>
      </c>
      <c r="K150" s="3">
        <f t="shared" si="77"/>
        <v>3.0415227107223403E-2</v>
      </c>
      <c r="L150" s="3">
        <f t="shared" si="77"/>
        <v>3.0415227107223403E-2</v>
      </c>
      <c r="M150" s="3">
        <f t="shared" si="77"/>
        <v>3.0415227107223403E-2</v>
      </c>
      <c r="N150" s="3">
        <f t="shared" si="77"/>
        <v>3.0415227107223403E-2</v>
      </c>
      <c r="O150" s="3">
        <f t="shared" si="77"/>
        <v>3.0415227107223403E-2</v>
      </c>
      <c r="P150" s="3">
        <f t="shared" si="77"/>
        <v>3.0415227107223403E-2</v>
      </c>
      <c r="Q150" s="3">
        <f t="shared" si="77"/>
        <v>3.0415227107223403E-2</v>
      </c>
      <c r="R150" s="3">
        <f t="shared" si="77"/>
        <v>3.0415227107223403E-2</v>
      </c>
      <c r="S150" s="3">
        <f t="shared" si="77"/>
        <v>3.0415227107223403E-2</v>
      </c>
      <c r="T150" s="3">
        <f t="shared" si="77"/>
        <v>3.0415227107223403E-2</v>
      </c>
      <c r="U150" s="3">
        <f t="shared" si="77"/>
        <v>3.0415227107223403E-2</v>
      </c>
      <c r="V150" s="3">
        <f t="shared" si="77"/>
        <v>3.0415227107223403E-2</v>
      </c>
      <c r="W150" s="3">
        <f t="shared" si="77"/>
        <v>3.0415227107223403E-2</v>
      </c>
      <c r="X150" s="3">
        <f t="shared" si="77"/>
        <v>3.0415227107223403E-2</v>
      </c>
      <c r="Y150" s="3">
        <f t="shared" si="77"/>
        <v>3.0415227107223403E-2</v>
      </c>
      <c r="Z150" s="3">
        <f t="shared" si="77"/>
        <v>3.0415227107223403E-2</v>
      </c>
      <c r="AA150" s="3">
        <f t="shared" ref="AA150" si="78">$C36*EXP(-AA$129/$A36/EXP(-$B$126))</f>
        <v>3.0415227107223389E-2</v>
      </c>
      <c r="AB150" s="3">
        <f t="shared" si="67"/>
        <v>3.0415227107223251E-2</v>
      </c>
      <c r="AC150" s="3">
        <f t="shared" si="67"/>
        <v>3.0415227107221894E-2</v>
      </c>
      <c r="AD150" s="3">
        <f t="shared" si="67"/>
        <v>3.0415227107208325E-2</v>
      </c>
      <c r="AE150" s="3">
        <f t="shared" si="67"/>
        <v>3.0415227107072614E-2</v>
      </c>
      <c r="AF150" s="3">
        <f t="shared" si="67"/>
        <v>3.0415227105715516E-2</v>
      </c>
    </row>
    <row r="151" spans="1:32" x14ac:dyDescent="0.25">
      <c r="B151" s="3">
        <f t="shared" ref="B151:Z151" si="79">$C37*EXP(-B$129/$A37/EXP(-$B$126))</f>
        <v>1.5463317607252298E-2</v>
      </c>
      <c r="C151" s="3">
        <f t="shared" si="79"/>
        <v>1.5463317607252298E-2</v>
      </c>
      <c r="D151" s="3">
        <f t="shared" si="79"/>
        <v>1.5463317607252298E-2</v>
      </c>
      <c r="E151" s="3">
        <f t="shared" si="79"/>
        <v>1.5463317607252298E-2</v>
      </c>
      <c r="F151" s="3">
        <f t="shared" si="79"/>
        <v>1.5463317607252298E-2</v>
      </c>
      <c r="G151" s="3">
        <f t="shared" si="79"/>
        <v>1.5463317607252298E-2</v>
      </c>
      <c r="H151" s="3">
        <f t="shared" si="79"/>
        <v>1.5463317607252298E-2</v>
      </c>
      <c r="I151" s="3">
        <f t="shared" si="79"/>
        <v>1.5463317607252298E-2</v>
      </c>
      <c r="J151" s="3">
        <f t="shared" si="79"/>
        <v>1.5463317607252298E-2</v>
      </c>
      <c r="K151" s="3">
        <f t="shared" si="79"/>
        <v>1.5463317607252298E-2</v>
      </c>
      <c r="L151" s="3">
        <f t="shared" si="79"/>
        <v>1.5463317607252298E-2</v>
      </c>
      <c r="M151" s="3">
        <f t="shared" si="79"/>
        <v>1.5463317607252298E-2</v>
      </c>
      <c r="N151" s="3">
        <f t="shared" si="79"/>
        <v>1.5463317607252298E-2</v>
      </c>
      <c r="O151" s="3">
        <f t="shared" si="79"/>
        <v>1.5463317607252298E-2</v>
      </c>
      <c r="P151" s="3">
        <f t="shared" si="79"/>
        <v>1.5463317607252298E-2</v>
      </c>
      <c r="Q151" s="3">
        <f t="shared" si="79"/>
        <v>1.5463317607252298E-2</v>
      </c>
      <c r="R151" s="3">
        <f t="shared" si="79"/>
        <v>1.5463317607252298E-2</v>
      </c>
      <c r="S151" s="3">
        <f t="shared" si="79"/>
        <v>1.5463317607252298E-2</v>
      </c>
      <c r="T151" s="3">
        <f t="shared" si="79"/>
        <v>1.5463317607252298E-2</v>
      </c>
      <c r="U151" s="3">
        <f t="shared" si="79"/>
        <v>1.5463317607252298E-2</v>
      </c>
      <c r="V151" s="3">
        <f t="shared" si="79"/>
        <v>1.5463317607252298E-2</v>
      </c>
      <c r="W151" s="3">
        <f t="shared" si="79"/>
        <v>1.5463317607252298E-2</v>
      </c>
      <c r="X151" s="3">
        <f t="shared" si="79"/>
        <v>1.5463317607252298E-2</v>
      </c>
      <c r="Y151" s="3">
        <f t="shared" si="79"/>
        <v>1.5463317607252298E-2</v>
      </c>
      <c r="Z151" s="3">
        <f t="shared" si="79"/>
        <v>1.5463317607252298E-2</v>
      </c>
      <c r="AA151" s="3">
        <f t="shared" ref="AA151" si="80">$C37*EXP(-AA$129/$A37/EXP(-$B$126))</f>
        <v>1.5463317607252298E-2</v>
      </c>
      <c r="AB151" s="3">
        <f t="shared" si="67"/>
        <v>1.5463317607252291E-2</v>
      </c>
      <c r="AC151" s="3">
        <f t="shared" si="67"/>
        <v>1.5463317607252228E-2</v>
      </c>
      <c r="AD151" s="3">
        <f t="shared" si="67"/>
        <v>1.5463317607251606E-2</v>
      </c>
      <c r="AE151" s="3">
        <f t="shared" si="67"/>
        <v>1.5463317607245383E-2</v>
      </c>
      <c r="AF151" s="3">
        <f t="shared" si="67"/>
        <v>1.5463317607183143E-2</v>
      </c>
    </row>
    <row r="152" spans="1:32" x14ac:dyDescent="0.25">
      <c r="B152" s="3">
        <f t="shared" ref="B152:Z152" si="81">$C38*EXP(-B$129/$A38/EXP(-$B$126))</f>
        <v>6.4979326784240111E-3</v>
      </c>
      <c r="C152" s="3">
        <f t="shared" si="81"/>
        <v>6.4979326784240111E-3</v>
      </c>
      <c r="D152" s="3">
        <f t="shared" si="81"/>
        <v>6.4979326784240111E-3</v>
      </c>
      <c r="E152" s="3">
        <f t="shared" si="81"/>
        <v>6.4979326784240111E-3</v>
      </c>
      <c r="F152" s="3">
        <f t="shared" si="81"/>
        <v>6.4979326784240111E-3</v>
      </c>
      <c r="G152" s="3">
        <f t="shared" si="81"/>
        <v>6.4979326784240111E-3</v>
      </c>
      <c r="H152" s="3">
        <f t="shared" si="81"/>
        <v>6.4979326784240111E-3</v>
      </c>
      <c r="I152" s="3">
        <f t="shared" si="81"/>
        <v>6.4979326784240111E-3</v>
      </c>
      <c r="J152" s="3">
        <f t="shared" si="81"/>
        <v>6.4979326784240111E-3</v>
      </c>
      <c r="K152" s="3">
        <f t="shared" si="81"/>
        <v>6.4979326784240111E-3</v>
      </c>
      <c r="L152" s="3">
        <f t="shared" si="81"/>
        <v>6.4979326784240111E-3</v>
      </c>
      <c r="M152" s="3">
        <f t="shared" si="81"/>
        <v>6.4979326784240111E-3</v>
      </c>
      <c r="N152" s="3">
        <f t="shared" si="81"/>
        <v>6.4979326784240111E-3</v>
      </c>
      <c r="O152" s="3">
        <f t="shared" si="81"/>
        <v>6.4979326784240111E-3</v>
      </c>
      <c r="P152" s="3">
        <f t="shared" si="81"/>
        <v>6.4979326784240111E-3</v>
      </c>
      <c r="Q152" s="3">
        <f t="shared" si="81"/>
        <v>6.4979326784240111E-3</v>
      </c>
      <c r="R152" s="3">
        <f t="shared" si="81"/>
        <v>6.4979326784240111E-3</v>
      </c>
      <c r="S152" s="3">
        <f t="shared" si="81"/>
        <v>6.4979326784240111E-3</v>
      </c>
      <c r="T152" s="3">
        <f t="shared" si="81"/>
        <v>6.4979326784240111E-3</v>
      </c>
      <c r="U152" s="3">
        <f t="shared" si="81"/>
        <v>6.4979326784240111E-3</v>
      </c>
      <c r="V152" s="3">
        <f t="shared" si="81"/>
        <v>6.4979326784240111E-3</v>
      </c>
      <c r="W152" s="3">
        <f t="shared" si="81"/>
        <v>6.4979326784240111E-3</v>
      </c>
      <c r="X152" s="3">
        <f t="shared" si="81"/>
        <v>6.4979326784240111E-3</v>
      </c>
      <c r="Y152" s="3">
        <f t="shared" si="81"/>
        <v>6.4979326784240111E-3</v>
      </c>
      <c r="Z152" s="3">
        <f t="shared" si="81"/>
        <v>6.4979326784240111E-3</v>
      </c>
      <c r="AA152" s="3">
        <f t="shared" ref="AA152" si="82">$C38*EXP(-AA$129/$A38/EXP(-$B$126))</f>
        <v>6.4979326784240111E-3</v>
      </c>
      <c r="AB152" s="3">
        <f t="shared" si="67"/>
        <v>6.4979326784240111E-3</v>
      </c>
      <c r="AC152" s="3">
        <f t="shared" si="67"/>
        <v>6.4979326784240085E-3</v>
      </c>
      <c r="AD152" s="3">
        <f t="shared" si="67"/>
        <v>6.4979326784239851E-3</v>
      </c>
      <c r="AE152" s="3">
        <f t="shared" si="67"/>
        <v>6.4979326784237491E-3</v>
      </c>
      <c r="AF152" s="3">
        <f t="shared" si="67"/>
        <v>6.497932678421389E-3</v>
      </c>
    </row>
    <row r="153" spans="1:32" x14ac:dyDescent="0.25">
      <c r="B153" s="3">
        <f t="shared" ref="B153:Z153" si="83">$C39*EXP(-B$129/$A39/EXP(-$B$126))</f>
        <v>1.7266189453767201E-3</v>
      </c>
      <c r="C153" s="3">
        <f t="shared" si="83"/>
        <v>1.7266189453767201E-3</v>
      </c>
      <c r="D153" s="3">
        <f t="shared" si="83"/>
        <v>1.7266189453767201E-3</v>
      </c>
      <c r="E153" s="3">
        <f t="shared" si="83"/>
        <v>1.7266189453767201E-3</v>
      </c>
      <c r="F153" s="3">
        <f t="shared" si="83"/>
        <v>1.7266189453767201E-3</v>
      </c>
      <c r="G153" s="3">
        <f t="shared" si="83"/>
        <v>1.7266189453767201E-3</v>
      </c>
      <c r="H153" s="3">
        <f t="shared" si="83"/>
        <v>1.7266189453767201E-3</v>
      </c>
      <c r="I153" s="3">
        <f t="shared" si="83"/>
        <v>1.7266189453767201E-3</v>
      </c>
      <c r="J153" s="3">
        <f t="shared" si="83"/>
        <v>1.7266189453767201E-3</v>
      </c>
      <c r="K153" s="3">
        <f t="shared" si="83"/>
        <v>1.7266189453767201E-3</v>
      </c>
      <c r="L153" s="3">
        <f t="shared" si="83"/>
        <v>1.7266189453767201E-3</v>
      </c>
      <c r="M153" s="3">
        <f t="shared" si="83"/>
        <v>1.7266189453767201E-3</v>
      </c>
      <c r="N153" s="3">
        <f t="shared" si="83"/>
        <v>1.7266189453767201E-3</v>
      </c>
      <c r="O153" s="3">
        <f t="shared" si="83"/>
        <v>1.7266189453767201E-3</v>
      </c>
      <c r="P153" s="3">
        <f t="shared" si="83"/>
        <v>1.7266189453767201E-3</v>
      </c>
      <c r="Q153" s="3">
        <f t="shared" si="83"/>
        <v>1.7266189453767201E-3</v>
      </c>
      <c r="R153" s="3">
        <f t="shared" si="83"/>
        <v>1.7266189453767201E-3</v>
      </c>
      <c r="S153" s="3">
        <f t="shared" si="83"/>
        <v>1.7266189453767201E-3</v>
      </c>
      <c r="T153" s="3">
        <f t="shared" si="83"/>
        <v>1.7266189453767201E-3</v>
      </c>
      <c r="U153" s="3">
        <f t="shared" si="83"/>
        <v>1.7266189453767201E-3</v>
      </c>
      <c r="V153" s="3">
        <f t="shared" si="83"/>
        <v>1.7266189453767201E-3</v>
      </c>
      <c r="W153" s="3">
        <f t="shared" si="83"/>
        <v>1.7266189453767201E-3</v>
      </c>
      <c r="X153" s="3">
        <f t="shared" si="83"/>
        <v>1.7266189453767201E-3</v>
      </c>
      <c r="Y153" s="3">
        <f t="shared" si="83"/>
        <v>1.7266189453767201E-3</v>
      </c>
      <c r="Z153" s="3">
        <f t="shared" si="83"/>
        <v>1.7266189453767201E-3</v>
      </c>
      <c r="AA153" s="3">
        <f t="shared" ref="AA153" si="84">$C39*EXP(-AA$129/$A39/EXP(-$B$126))</f>
        <v>1.7266189453767201E-3</v>
      </c>
      <c r="AB153" s="3">
        <f t="shared" si="67"/>
        <v>1.7266189453767201E-3</v>
      </c>
      <c r="AC153" s="3">
        <f t="shared" si="67"/>
        <v>1.7266189453767199E-3</v>
      </c>
      <c r="AD153" s="3">
        <f t="shared" si="67"/>
        <v>1.7266189453767182E-3</v>
      </c>
      <c r="AE153" s="3">
        <f t="shared" si="67"/>
        <v>1.7266189453767008E-3</v>
      </c>
      <c r="AF153" s="3">
        <f t="shared" si="67"/>
        <v>1.7266189453765276E-3</v>
      </c>
    </row>
    <row r="154" spans="1:32" x14ac:dyDescent="0.25">
      <c r="B154" s="3">
        <f t="shared" ref="B154:Z154" si="85">$C40*EXP(-B$129/$A40/EXP(-$B$126))</f>
        <v>4.5003340048363309E-3</v>
      </c>
      <c r="C154" s="3">
        <f t="shared" si="85"/>
        <v>4.5003340048363309E-3</v>
      </c>
      <c r="D154" s="3">
        <f t="shared" si="85"/>
        <v>4.5003340048363309E-3</v>
      </c>
      <c r="E154" s="3">
        <f t="shared" si="85"/>
        <v>4.5003340048363309E-3</v>
      </c>
      <c r="F154" s="3">
        <f t="shared" si="85"/>
        <v>4.5003340048363309E-3</v>
      </c>
      <c r="G154" s="3">
        <f t="shared" si="85"/>
        <v>4.5003340048363309E-3</v>
      </c>
      <c r="H154" s="3">
        <f t="shared" si="85"/>
        <v>4.5003340048363309E-3</v>
      </c>
      <c r="I154" s="3">
        <f t="shared" si="85"/>
        <v>4.5003340048363309E-3</v>
      </c>
      <c r="J154" s="3">
        <f t="shared" si="85"/>
        <v>4.5003340048363309E-3</v>
      </c>
      <c r="K154" s="3">
        <f t="shared" si="85"/>
        <v>4.5003340048363309E-3</v>
      </c>
      <c r="L154" s="3">
        <f t="shared" si="85"/>
        <v>4.5003340048363309E-3</v>
      </c>
      <c r="M154" s="3">
        <f t="shared" si="85"/>
        <v>4.5003340048363309E-3</v>
      </c>
      <c r="N154" s="3">
        <f t="shared" si="85"/>
        <v>4.5003340048363309E-3</v>
      </c>
      <c r="O154" s="3">
        <f t="shared" si="85"/>
        <v>4.5003340048363309E-3</v>
      </c>
      <c r="P154" s="3">
        <f t="shared" si="85"/>
        <v>4.5003340048363309E-3</v>
      </c>
      <c r="Q154" s="3">
        <f t="shared" si="85"/>
        <v>4.5003340048363309E-3</v>
      </c>
      <c r="R154" s="3">
        <f t="shared" si="85"/>
        <v>4.5003340048363309E-3</v>
      </c>
      <c r="S154" s="3">
        <f t="shared" si="85"/>
        <v>4.5003340048363309E-3</v>
      </c>
      <c r="T154" s="3">
        <f t="shared" si="85"/>
        <v>4.5003340048363309E-3</v>
      </c>
      <c r="U154" s="3">
        <f t="shared" si="85"/>
        <v>4.5003340048363309E-3</v>
      </c>
      <c r="V154" s="3">
        <f t="shared" si="85"/>
        <v>4.5003340048363309E-3</v>
      </c>
      <c r="W154" s="3">
        <f t="shared" si="85"/>
        <v>4.5003340048363309E-3</v>
      </c>
      <c r="X154" s="3">
        <f t="shared" si="85"/>
        <v>4.5003340048363309E-3</v>
      </c>
      <c r="Y154" s="3">
        <f t="shared" si="85"/>
        <v>4.5003340048363309E-3</v>
      </c>
      <c r="Z154" s="3">
        <f t="shared" si="85"/>
        <v>4.5003340048363309E-3</v>
      </c>
      <c r="AA154" s="3">
        <f t="shared" ref="AA154:AF154" si="86">$C40*EXP(-AA$129/$A40/EXP(-$B$126))</f>
        <v>4.5003340048363309E-3</v>
      </c>
      <c r="AB154" s="3">
        <f t="shared" si="86"/>
        <v>4.5003340048363309E-3</v>
      </c>
      <c r="AC154" s="3">
        <f t="shared" si="86"/>
        <v>4.5003340048363309E-3</v>
      </c>
      <c r="AD154" s="3">
        <f t="shared" si="86"/>
        <v>4.5003340048363301E-3</v>
      </c>
      <c r="AE154" s="3">
        <f t="shared" si="86"/>
        <v>4.5003340048363257E-3</v>
      </c>
      <c r="AF154" s="3">
        <f t="shared" si="86"/>
        <v>4.5003340048362806E-3</v>
      </c>
    </row>
    <row r="155" spans="1:32" x14ac:dyDescent="0.25">
      <c r="B155" s="3">
        <f t="shared" ref="B155:Z155" si="87">$C41*EXP(-B$129/$A41/EXP(-$B$126))</f>
        <v>6.1948117203855881E-4</v>
      </c>
      <c r="C155" s="3">
        <f t="shared" si="87"/>
        <v>6.1948117203855881E-4</v>
      </c>
      <c r="D155" s="3">
        <f t="shared" si="87"/>
        <v>6.1948117203855881E-4</v>
      </c>
      <c r="E155" s="3">
        <f t="shared" si="87"/>
        <v>6.1948117203855881E-4</v>
      </c>
      <c r="F155" s="3">
        <f t="shared" si="87"/>
        <v>6.1948117203855881E-4</v>
      </c>
      <c r="G155" s="3">
        <f t="shared" si="87"/>
        <v>6.1948117203855881E-4</v>
      </c>
      <c r="H155" s="3">
        <f t="shared" si="87"/>
        <v>6.1948117203855881E-4</v>
      </c>
      <c r="I155" s="3">
        <f t="shared" si="87"/>
        <v>6.1948117203855881E-4</v>
      </c>
      <c r="J155" s="3">
        <f t="shared" si="87"/>
        <v>6.1948117203855881E-4</v>
      </c>
      <c r="K155" s="3">
        <f t="shared" si="87"/>
        <v>6.1948117203855881E-4</v>
      </c>
      <c r="L155" s="3">
        <f t="shared" si="87"/>
        <v>6.1948117203855881E-4</v>
      </c>
      <c r="M155" s="3">
        <f t="shared" si="87"/>
        <v>6.1948117203855881E-4</v>
      </c>
      <c r="N155" s="3">
        <f t="shared" si="87"/>
        <v>6.1948117203855881E-4</v>
      </c>
      <c r="O155" s="3">
        <f t="shared" si="87"/>
        <v>6.1948117203855881E-4</v>
      </c>
      <c r="P155" s="3">
        <f t="shared" si="87"/>
        <v>6.1948117203855881E-4</v>
      </c>
      <c r="Q155" s="3">
        <f t="shared" si="87"/>
        <v>6.1948117203855881E-4</v>
      </c>
      <c r="R155" s="3">
        <f t="shared" si="87"/>
        <v>6.1948117203855881E-4</v>
      </c>
      <c r="S155" s="3">
        <f t="shared" si="87"/>
        <v>6.1948117203855881E-4</v>
      </c>
      <c r="T155" s="3">
        <f t="shared" si="87"/>
        <v>6.1948117203855881E-4</v>
      </c>
      <c r="U155" s="3">
        <f t="shared" si="87"/>
        <v>6.1948117203855881E-4</v>
      </c>
      <c r="V155" s="3">
        <f t="shared" si="87"/>
        <v>6.1948117203855881E-4</v>
      </c>
      <c r="W155" s="3">
        <f t="shared" si="87"/>
        <v>6.1948117203855881E-4</v>
      </c>
      <c r="X155" s="3">
        <f t="shared" si="87"/>
        <v>6.1948117203855881E-4</v>
      </c>
      <c r="Y155" s="3">
        <f t="shared" si="87"/>
        <v>6.1948117203855881E-4</v>
      </c>
      <c r="Z155" s="3">
        <f t="shared" si="87"/>
        <v>6.1948117203855881E-4</v>
      </c>
      <c r="AA155" s="3">
        <f t="shared" ref="AA155:AF155" si="88">$C41*EXP(-AA$129/$A41/EXP(-$B$126))</f>
        <v>6.1948117203855881E-4</v>
      </c>
      <c r="AB155" s="3">
        <f t="shared" si="88"/>
        <v>6.1948117203855881E-4</v>
      </c>
      <c r="AC155" s="3">
        <f t="shared" si="88"/>
        <v>6.1948117203855881E-4</v>
      </c>
      <c r="AD155" s="3">
        <f t="shared" si="88"/>
        <v>6.1948117203855881E-4</v>
      </c>
      <c r="AE155" s="3">
        <f t="shared" si="88"/>
        <v>6.1948117203855871E-4</v>
      </c>
      <c r="AF155" s="3">
        <f t="shared" si="88"/>
        <v>6.1948117203855816E-4</v>
      </c>
    </row>
    <row r="156" spans="1:32" x14ac:dyDescent="0.25">
      <c r="B156" s="3">
        <f t="shared" ref="B156:Z156" si="89">$C42*EXP(-B$129/$A42/EXP(-$B$126))</f>
        <v>7.8921984991154562E-4</v>
      </c>
      <c r="C156" s="3">
        <f t="shared" si="89"/>
        <v>7.8921984991154562E-4</v>
      </c>
      <c r="D156" s="3">
        <f t="shared" si="89"/>
        <v>7.8921984991154562E-4</v>
      </c>
      <c r="E156" s="3">
        <f t="shared" si="89"/>
        <v>7.8921984991154562E-4</v>
      </c>
      <c r="F156" s="3">
        <f t="shared" si="89"/>
        <v>7.8921984991154562E-4</v>
      </c>
      <c r="G156" s="3">
        <f t="shared" si="89"/>
        <v>7.8921984991154562E-4</v>
      </c>
      <c r="H156" s="3">
        <f t="shared" si="89"/>
        <v>7.8921984991154562E-4</v>
      </c>
      <c r="I156" s="3">
        <f t="shared" si="89"/>
        <v>7.8921984991154562E-4</v>
      </c>
      <c r="J156" s="3">
        <f t="shared" si="89"/>
        <v>7.8921984991154562E-4</v>
      </c>
      <c r="K156" s="3">
        <f t="shared" si="89"/>
        <v>7.8921984991154562E-4</v>
      </c>
      <c r="L156" s="3">
        <f t="shared" si="89"/>
        <v>7.8921984991154562E-4</v>
      </c>
      <c r="M156" s="3">
        <f t="shared" si="89"/>
        <v>7.8921984991154562E-4</v>
      </c>
      <c r="N156" s="3">
        <f t="shared" si="89"/>
        <v>7.8921984991154562E-4</v>
      </c>
      <c r="O156" s="3">
        <f t="shared" si="89"/>
        <v>7.8921984991154562E-4</v>
      </c>
      <c r="P156" s="3">
        <f t="shared" si="89"/>
        <v>7.8921984991154562E-4</v>
      </c>
      <c r="Q156" s="3">
        <f t="shared" si="89"/>
        <v>7.8921984991154562E-4</v>
      </c>
      <c r="R156" s="3">
        <f t="shared" si="89"/>
        <v>7.8921984991154562E-4</v>
      </c>
      <c r="S156" s="3">
        <f t="shared" si="89"/>
        <v>7.8921984991154562E-4</v>
      </c>
      <c r="T156" s="3">
        <f t="shared" si="89"/>
        <v>7.8921984991154562E-4</v>
      </c>
      <c r="U156" s="3">
        <f t="shared" si="89"/>
        <v>7.8921984991154562E-4</v>
      </c>
      <c r="V156" s="3">
        <f t="shared" si="89"/>
        <v>7.8921984991154562E-4</v>
      </c>
      <c r="W156" s="3">
        <f t="shared" si="89"/>
        <v>7.8921984991154562E-4</v>
      </c>
      <c r="X156" s="3">
        <f t="shared" si="89"/>
        <v>7.8921984991154562E-4</v>
      </c>
      <c r="Y156" s="3">
        <f t="shared" si="89"/>
        <v>7.8921984991154562E-4</v>
      </c>
      <c r="Z156" s="3">
        <f t="shared" si="89"/>
        <v>7.8921984991154562E-4</v>
      </c>
      <c r="AA156" s="3">
        <f t="shared" ref="AA156:AF156" si="90">$C42*EXP(-AA$129/$A42/EXP(-$B$126))</f>
        <v>7.8921984991154562E-4</v>
      </c>
      <c r="AB156" s="3">
        <f t="shared" si="90"/>
        <v>7.8921984991154562E-4</v>
      </c>
      <c r="AC156" s="3">
        <f t="shared" si="90"/>
        <v>7.8921984991154562E-4</v>
      </c>
      <c r="AD156" s="3">
        <f t="shared" si="90"/>
        <v>7.8921984991154562E-4</v>
      </c>
      <c r="AE156" s="3">
        <f t="shared" si="90"/>
        <v>7.8921984991154562E-4</v>
      </c>
      <c r="AF156" s="3">
        <f t="shared" si="90"/>
        <v>7.8921984991154551E-4</v>
      </c>
    </row>
    <row r="157" spans="1:32" x14ac:dyDescent="0.25">
      <c r="B157" s="3">
        <f t="shared" ref="B157:Z157" si="91">$C43*EXP(-B$129/$A43/EXP(-$B$126))</f>
        <v>3.1383864234018747E-3</v>
      </c>
      <c r="C157" s="3">
        <f t="shared" si="91"/>
        <v>3.1383864234018747E-3</v>
      </c>
      <c r="D157" s="3">
        <f t="shared" si="91"/>
        <v>3.1383864234018747E-3</v>
      </c>
      <c r="E157" s="3">
        <f t="shared" si="91"/>
        <v>3.1383864234018747E-3</v>
      </c>
      <c r="F157" s="3">
        <f t="shared" si="91"/>
        <v>3.1383864234018747E-3</v>
      </c>
      <c r="G157" s="3">
        <f t="shared" si="91"/>
        <v>3.1383864234018747E-3</v>
      </c>
      <c r="H157" s="3">
        <f t="shared" si="91"/>
        <v>3.1383864234018747E-3</v>
      </c>
      <c r="I157" s="3">
        <f t="shared" si="91"/>
        <v>3.1383864234018747E-3</v>
      </c>
      <c r="J157" s="3">
        <f t="shared" si="91"/>
        <v>3.1383864234018747E-3</v>
      </c>
      <c r="K157" s="3">
        <f t="shared" si="91"/>
        <v>3.1383864234018747E-3</v>
      </c>
      <c r="L157" s="3">
        <f t="shared" si="91"/>
        <v>3.1383864234018747E-3</v>
      </c>
      <c r="M157" s="3">
        <f t="shared" si="91"/>
        <v>3.1383864234018747E-3</v>
      </c>
      <c r="N157" s="3">
        <f t="shared" si="91"/>
        <v>3.1383864234018747E-3</v>
      </c>
      <c r="O157" s="3">
        <f t="shared" si="91"/>
        <v>3.1383864234018747E-3</v>
      </c>
      <c r="P157" s="3">
        <f t="shared" si="91"/>
        <v>3.1383864234018747E-3</v>
      </c>
      <c r="Q157" s="3">
        <f t="shared" si="91"/>
        <v>3.1383864234018747E-3</v>
      </c>
      <c r="R157" s="3">
        <f t="shared" si="91"/>
        <v>3.1383864234018747E-3</v>
      </c>
      <c r="S157" s="3">
        <f t="shared" si="91"/>
        <v>3.1383864234018747E-3</v>
      </c>
      <c r="T157" s="3">
        <f t="shared" si="91"/>
        <v>3.1383864234018747E-3</v>
      </c>
      <c r="U157" s="3">
        <f t="shared" si="91"/>
        <v>3.1383864234018747E-3</v>
      </c>
      <c r="V157" s="3">
        <f t="shared" si="91"/>
        <v>3.1383864234018747E-3</v>
      </c>
      <c r="W157" s="3">
        <f t="shared" si="91"/>
        <v>3.1383864234018747E-3</v>
      </c>
      <c r="X157" s="3">
        <f t="shared" si="91"/>
        <v>3.1383864234018747E-3</v>
      </c>
      <c r="Y157" s="3">
        <f t="shared" si="91"/>
        <v>3.1383864234018747E-3</v>
      </c>
      <c r="Z157" s="3">
        <f t="shared" si="91"/>
        <v>3.1383864234018747E-3</v>
      </c>
      <c r="AA157" s="3">
        <f t="shared" ref="AA157:AF157" si="92">$C43*EXP(-AA$129/$A43/EXP(-$B$126))</f>
        <v>3.1383864234018747E-3</v>
      </c>
      <c r="AB157" s="3">
        <f t="shared" si="92"/>
        <v>3.1383864234018747E-3</v>
      </c>
      <c r="AC157" s="3">
        <f t="shared" si="92"/>
        <v>3.1383864234018747E-3</v>
      </c>
      <c r="AD157" s="3">
        <f t="shared" si="92"/>
        <v>3.1383864234018747E-3</v>
      </c>
      <c r="AE157" s="3">
        <f t="shared" si="92"/>
        <v>3.1383864234018747E-3</v>
      </c>
      <c r="AF157" s="3">
        <f t="shared" si="92"/>
        <v>3.1383864234018747E-3</v>
      </c>
    </row>
    <row r="158" spans="1:32" x14ac:dyDescent="0.25">
      <c r="B158" s="3">
        <f t="shared" ref="B158:Z158" si="93">$C44*EXP(-B$129/$A44/EXP(-$B$126))</f>
        <v>4.3963079363277776E-4</v>
      </c>
      <c r="C158" s="3">
        <f t="shared" si="93"/>
        <v>4.3963079363277776E-4</v>
      </c>
      <c r="D158" s="3">
        <f t="shared" si="93"/>
        <v>4.3963079363277776E-4</v>
      </c>
      <c r="E158" s="3">
        <f t="shared" si="93"/>
        <v>4.3963079363277776E-4</v>
      </c>
      <c r="F158" s="3">
        <f t="shared" si="93"/>
        <v>4.3963079363277776E-4</v>
      </c>
      <c r="G158" s="3">
        <f t="shared" si="93"/>
        <v>4.3963079363277776E-4</v>
      </c>
      <c r="H158" s="3">
        <f t="shared" si="93"/>
        <v>4.3963079363277776E-4</v>
      </c>
      <c r="I158" s="3">
        <f t="shared" si="93"/>
        <v>4.3963079363277776E-4</v>
      </c>
      <c r="J158" s="3">
        <f t="shared" si="93"/>
        <v>4.3963079363277776E-4</v>
      </c>
      <c r="K158" s="3">
        <f t="shared" si="93"/>
        <v>4.3963079363277776E-4</v>
      </c>
      <c r="L158" s="3">
        <f t="shared" si="93"/>
        <v>4.3963079363277776E-4</v>
      </c>
      <c r="M158" s="3">
        <f t="shared" si="93"/>
        <v>4.3963079363277776E-4</v>
      </c>
      <c r="N158" s="3">
        <f t="shared" si="93"/>
        <v>4.3963079363277776E-4</v>
      </c>
      <c r="O158" s="3">
        <f t="shared" si="93"/>
        <v>4.3963079363277776E-4</v>
      </c>
      <c r="P158" s="3">
        <f t="shared" si="93"/>
        <v>4.3963079363277776E-4</v>
      </c>
      <c r="Q158" s="3">
        <f t="shared" si="93"/>
        <v>4.3963079363277776E-4</v>
      </c>
      <c r="R158" s="3">
        <f t="shared" si="93"/>
        <v>4.3963079363277776E-4</v>
      </c>
      <c r="S158" s="3">
        <f t="shared" si="93"/>
        <v>4.3963079363277776E-4</v>
      </c>
      <c r="T158" s="3">
        <f t="shared" si="93"/>
        <v>4.3963079363277776E-4</v>
      </c>
      <c r="U158" s="3">
        <f t="shared" si="93"/>
        <v>4.3963079363277776E-4</v>
      </c>
      <c r="V158" s="3">
        <f t="shared" si="93"/>
        <v>4.3963079363277776E-4</v>
      </c>
      <c r="W158" s="3">
        <f t="shared" si="93"/>
        <v>4.3963079363277776E-4</v>
      </c>
      <c r="X158" s="3">
        <f t="shared" si="93"/>
        <v>4.3963079363277776E-4</v>
      </c>
      <c r="Y158" s="3">
        <f t="shared" si="93"/>
        <v>4.3963079363277776E-4</v>
      </c>
      <c r="Z158" s="3">
        <f t="shared" si="93"/>
        <v>4.3963079363277776E-4</v>
      </c>
      <c r="AA158" s="3">
        <f t="shared" ref="AA158:AF158" si="94">$C44*EXP(-AA$129/$A44/EXP(-$B$126))</f>
        <v>4.3963079363277776E-4</v>
      </c>
      <c r="AB158" s="3">
        <f t="shared" si="94"/>
        <v>4.3963079363277776E-4</v>
      </c>
      <c r="AC158" s="3">
        <f t="shared" si="94"/>
        <v>4.3963079363277776E-4</v>
      </c>
      <c r="AD158" s="3">
        <f t="shared" si="94"/>
        <v>4.3963079363277776E-4</v>
      </c>
      <c r="AE158" s="3">
        <f t="shared" si="94"/>
        <v>4.3963079363277776E-4</v>
      </c>
      <c r="AF158" s="3">
        <f t="shared" si="94"/>
        <v>4.3963079363277776E-4</v>
      </c>
    </row>
    <row r="159" spans="1:32" x14ac:dyDescent="0.25">
      <c r="A159" s="11" t="s">
        <v>75</v>
      </c>
      <c r="B159" s="3">
        <f t="shared" ref="B159:Z159" si="95">$C45*EXP(-B$129/$A45/EXP(-$B$126))</f>
        <v>3.9367491924485783E-5</v>
      </c>
      <c r="C159" s="3">
        <f t="shared" si="95"/>
        <v>3.9367491924485783E-5</v>
      </c>
      <c r="D159" s="3">
        <f t="shared" si="95"/>
        <v>3.9367491924485783E-5</v>
      </c>
      <c r="E159" s="3">
        <f t="shared" si="95"/>
        <v>3.9367491924485783E-5</v>
      </c>
      <c r="F159" s="3">
        <f t="shared" si="95"/>
        <v>3.9367491924485783E-5</v>
      </c>
      <c r="G159" s="3">
        <f t="shared" si="95"/>
        <v>3.9367491924485783E-5</v>
      </c>
      <c r="H159" s="3">
        <f t="shared" si="95"/>
        <v>3.9367491924485783E-5</v>
      </c>
      <c r="I159" s="3">
        <f t="shared" si="95"/>
        <v>3.9367491924485783E-5</v>
      </c>
      <c r="J159" s="3">
        <f t="shared" si="95"/>
        <v>3.9367491924485783E-5</v>
      </c>
      <c r="K159" s="3">
        <f t="shared" si="95"/>
        <v>3.9367491924485783E-5</v>
      </c>
      <c r="L159" s="3">
        <f t="shared" si="95"/>
        <v>3.9367491924485783E-5</v>
      </c>
      <c r="M159" s="3">
        <f t="shared" si="95"/>
        <v>3.9367491924485783E-5</v>
      </c>
      <c r="N159" s="3">
        <f t="shared" si="95"/>
        <v>3.9367491924485783E-5</v>
      </c>
      <c r="O159" s="3">
        <f t="shared" si="95"/>
        <v>3.9367491924485783E-5</v>
      </c>
      <c r="P159" s="3">
        <f t="shared" si="95"/>
        <v>3.9367491924485783E-5</v>
      </c>
      <c r="Q159" s="3">
        <f t="shared" si="95"/>
        <v>3.9367491924485783E-5</v>
      </c>
      <c r="R159" s="3">
        <f t="shared" si="95"/>
        <v>3.9367491924485783E-5</v>
      </c>
      <c r="S159" s="3">
        <f t="shared" si="95"/>
        <v>3.9367491924485783E-5</v>
      </c>
      <c r="T159" s="3">
        <f t="shared" si="95"/>
        <v>3.9367491924485783E-5</v>
      </c>
      <c r="U159" s="3">
        <f t="shared" si="95"/>
        <v>3.9367491924485783E-5</v>
      </c>
      <c r="V159" s="3">
        <f t="shared" si="95"/>
        <v>3.9367491924485783E-5</v>
      </c>
      <c r="W159" s="3">
        <f t="shared" si="95"/>
        <v>3.9367491924485783E-5</v>
      </c>
      <c r="X159" s="3">
        <f t="shared" si="95"/>
        <v>3.9367491924485783E-5</v>
      </c>
      <c r="Y159" s="3">
        <f t="shared" si="95"/>
        <v>3.9367491924485783E-5</v>
      </c>
      <c r="Z159" s="3">
        <f t="shared" si="95"/>
        <v>3.9367491924485783E-5</v>
      </c>
      <c r="AA159" s="3">
        <f t="shared" ref="AA159:AF159" si="96">$C45*EXP(-AA$129/$A45/EXP(-$B$126))</f>
        <v>3.9367491924485783E-5</v>
      </c>
      <c r="AB159" s="3">
        <f t="shared" si="96"/>
        <v>3.9367491924485783E-5</v>
      </c>
      <c r="AC159" s="3">
        <f t="shared" si="96"/>
        <v>3.9367491924485783E-5</v>
      </c>
      <c r="AD159" s="3">
        <f t="shared" si="96"/>
        <v>3.9367491924485783E-5</v>
      </c>
      <c r="AE159" s="3">
        <f t="shared" si="96"/>
        <v>3.9367491924485783E-5</v>
      </c>
      <c r="AF159" s="3">
        <f t="shared" si="96"/>
        <v>3.9367491924485783E-5</v>
      </c>
    </row>
    <row r="160" spans="1:32" x14ac:dyDescent="0.25">
      <c r="B160" s="3">
        <f t="shared" ref="B160:Z160" si="97">$C46*EXP(-B$129/$A46/EXP(-$B$126))</f>
        <v>2.469113716916911E-6</v>
      </c>
      <c r="C160" s="3">
        <f t="shared" si="97"/>
        <v>2.469113716916911E-6</v>
      </c>
      <c r="D160" s="3">
        <f t="shared" si="97"/>
        <v>2.469113716916911E-6</v>
      </c>
      <c r="E160" s="3">
        <f t="shared" si="97"/>
        <v>2.469113716916911E-6</v>
      </c>
      <c r="F160" s="3">
        <f t="shared" si="97"/>
        <v>2.469113716916911E-6</v>
      </c>
      <c r="G160" s="3">
        <f t="shared" si="97"/>
        <v>2.469113716916911E-6</v>
      </c>
      <c r="H160" s="3">
        <f t="shared" si="97"/>
        <v>2.469113716916911E-6</v>
      </c>
      <c r="I160" s="3">
        <f t="shared" si="97"/>
        <v>2.469113716916911E-6</v>
      </c>
      <c r="J160" s="3">
        <f t="shared" si="97"/>
        <v>2.469113716916911E-6</v>
      </c>
      <c r="K160" s="3">
        <f t="shared" si="97"/>
        <v>2.469113716916911E-6</v>
      </c>
      <c r="L160" s="3">
        <f t="shared" si="97"/>
        <v>2.469113716916911E-6</v>
      </c>
      <c r="M160" s="3">
        <f t="shared" si="97"/>
        <v>2.469113716916911E-6</v>
      </c>
      <c r="N160" s="3">
        <f t="shared" si="97"/>
        <v>2.469113716916911E-6</v>
      </c>
      <c r="O160" s="3">
        <f t="shared" si="97"/>
        <v>2.469113716916911E-6</v>
      </c>
      <c r="P160" s="3">
        <f t="shared" si="97"/>
        <v>2.469113716916911E-6</v>
      </c>
      <c r="Q160" s="3">
        <f t="shared" si="97"/>
        <v>2.469113716916911E-6</v>
      </c>
      <c r="R160" s="3">
        <f t="shared" si="97"/>
        <v>2.469113716916911E-6</v>
      </c>
      <c r="S160" s="3">
        <f t="shared" si="97"/>
        <v>2.469113716916911E-6</v>
      </c>
      <c r="T160" s="3">
        <f t="shared" si="97"/>
        <v>2.469113716916911E-6</v>
      </c>
      <c r="U160" s="3">
        <f t="shared" si="97"/>
        <v>2.469113716916911E-6</v>
      </c>
      <c r="V160" s="3">
        <f t="shared" si="97"/>
        <v>2.469113716916911E-6</v>
      </c>
      <c r="W160" s="3">
        <f t="shared" si="97"/>
        <v>2.469113716916911E-6</v>
      </c>
      <c r="X160" s="3">
        <f t="shared" si="97"/>
        <v>2.469113716916911E-6</v>
      </c>
      <c r="Y160" s="3">
        <f t="shared" si="97"/>
        <v>2.469113716916911E-6</v>
      </c>
      <c r="Z160" s="3">
        <f t="shared" si="97"/>
        <v>2.469113716916911E-6</v>
      </c>
      <c r="AA160" s="3">
        <f t="shared" ref="AA160:AF160" si="98">$C46*EXP(-AA$129/$A46/EXP(-$B$126))</f>
        <v>2.469113716916911E-6</v>
      </c>
      <c r="AB160" s="3">
        <f t="shared" si="98"/>
        <v>2.469113716916911E-6</v>
      </c>
      <c r="AC160" s="3">
        <f t="shared" si="98"/>
        <v>2.469113716916911E-6</v>
      </c>
      <c r="AD160" s="3">
        <f t="shared" si="98"/>
        <v>2.469113716916911E-6</v>
      </c>
      <c r="AE160" s="3">
        <f t="shared" si="98"/>
        <v>2.469113716916911E-6</v>
      </c>
      <c r="AF160" s="3">
        <f t="shared" si="98"/>
        <v>2.469113716916911E-6</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80">
        <f>AVERAGE(B163:AF163)</f>
        <v>3.1689645013489622E-2</v>
      </c>
      <c r="B163" s="81">
        <f>IF($A$64&lt;=B129,IF($B$64&gt;=B129,ABS((B131-B130)/B130),0),0)</f>
        <v>2.4243888287744926E-3</v>
      </c>
      <c r="C163" s="81">
        <f t="shared" ref="C163:AF163" si="103">IF($A$64&lt;=C129,IF($B$64&gt;=C129,ABS((C131-C130)/C130),0),0)</f>
        <v>2.4302179316268726E-3</v>
      </c>
      <c r="D163" s="81">
        <f t="shared" si="103"/>
        <v>2.4266152445053908E-3</v>
      </c>
      <c r="E163" s="81">
        <f t="shared" si="103"/>
        <v>2.4254956204769634E-3</v>
      </c>
      <c r="F163" s="81">
        <f t="shared" si="103"/>
        <v>2.4251651872139986E-3</v>
      </c>
      <c r="G163" s="81">
        <f t="shared" si="103"/>
        <v>2.4250336574054795E-3</v>
      </c>
      <c r="H163" s="81">
        <f t="shared" si="103"/>
        <v>2.4250208446042229E-3</v>
      </c>
      <c r="I163" s="81">
        <f t="shared" si="103"/>
        <v>2.424985751250856E-3</v>
      </c>
      <c r="J163" s="81">
        <f t="shared" si="103"/>
        <v>2.4249748754514833E-3</v>
      </c>
      <c r="K163" s="81">
        <f t="shared" si="103"/>
        <v>2.4247506261566702E-3</v>
      </c>
      <c r="L163" s="81">
        <f t="shared" si="103"/>
        <v>2.4225851278135641E-3</v>
      </c>
      <c r="M163" s="81">
        <f t="shared" si="103"/>
        <v>2.4011066291826219E-3</v>
      </c>
      <c r="N163" s="81">
        <f t="shared" si="103"/>
        <v>2.1880932380588442E-3</v>
      </c>
      <c r="O163" s="81">
        <f t="shared" si="103"/>
        <v>1.5810912460641744E-4</v>
      </c>
      <c r="P163" s="81">
        <f t="shared" si="103"/>
        <v>1.5329064302873051E-2</v>
      </c>
      <c r="Q163" s="81">
        <f t="shared" si="103"/>
        <v>2.5643624175518537E-2</v>
      </c>
      <c r="R163" s="81">
        <f t="shared" si="103"/>
        <v>7.1104796252322799E-2</v>
      </c>
      <c r="S163" s="81">
        <f t="shared" si="103"/>
        <v>0.12086489688423178</v>
      </c>
      <c r="T163" s="81">
        <f t="shared" si="103"/>
        <v>9.9305234157134034E-2</v>
      </c>
      <c r="U163" s="81">
        <f t="shared" si="103"/>
        <v>7.4528500843755632E-2</v>
      </c>
      <c r="V163" s="81">
        <f t="shared" si="103"/>
        <v>4.2084585429193647E-2</v>
      </c>
      <c r="W163" s="81">
        <f t="shared" si="103"/>
        <v>1.2495445936425251E-3</v>
      </c>
      <c r="X163" s="81">
        <f t="shared" si="103"/>
        <v>3.7696718099914206E-2</v>
      </c>
      <c r="Y163" s="81">
        <f t="shared" si="103"/>
        <v>3.0592309828702237E-2</v>
      </c>
      <c r="Z163" s="81">
        <f t="shared" si="103"/>
        <v>4.7234583382833442E-2</v>
      </c>
      <c r="AA163" s="81">
        <f t="shared" si="103"/>
        <v>5.296724680610481E-2</v>
      </c>
      <c r="AB163" s="81">
        <f t="shared" si="103"/>
        <v>6.0465988939738223E-2</v>
      </c>
      <c r="AC163" s="81">
        <f t="shared" si="103"/>
        <v>6.6096774511827439E-2</v>
      </c>
      <c r="AD163" s="81">
        <f t="shared" si="103"/>
        <v>6.7416098506972361E-2</v>
      </c>
      <c r="AE163" s="81">
        <f t="shared" si="103"/>
        <v>6.9214867827186888E-2</v>
      </c>
      <c r="AF163" s="81">
        <f t="shared" si="103"/>
        <v>6.9157618189098768E-2</v>
      </c>
    </row>
    <row r="164" spans="1:34" x14ac:dyDescent="0.25">
      <c r="B164" s="21">
        <f>(B131-B130)^2</f>
        <v>186.15837615972328</v>
      </c>
      <c r="C164" s="21">
        <f t="shared" ref="C164:AF164" si="104">(C131-C130)^2</f>
        <v>187.05682177494128</v>
      </c>
      <c r="D164" s="21">
        <f t="shared" si="104"/>
        <v>186.50127938183201</v>
      </c>
      <c r="E164" s="21">
        <f t="shared" si="104"/>
        <v>186.32879994986479</v>
      </c>
      <c r="F164" s="21">
        <f t="shared" si="104"/>
        <v>186.27791163065277</v>
      </c>
      <c r="G164" s="21">
        <f t="shared" si="104"/>
        <v>186.25765734707704</v>
      </c>
      <c r="H164" s="21">
        <f t="shared" si="104"/>
        <v>186.2556843549082</v>
      </c>
      <c r="I164" s="21">
        <f t="shared" si="104"/>
        <v>186.25028047009121</v>
      </c>
      <c r="J164" s="21">
        <f t="shared" si="104"/>
        <v>186.24860505738388</v>
      </c>
      <c r="K164" s="21">
        <f t="shared" si="104"/>
        <v>186.21406898574782</v>
      </c>
      <c r="L164" s="21">
        <f t="shared" si="104"/>
        <v>185.88072915068011</v>
      </c>
      <c r="M164" s="21">
        <f t="shared" si="104"/>
        <v>182.59074590578001</v>
      </c>
      <c r="N164" s="21">
        <f t="shared" si="104"/>
        <v>151.56015321053403</v>
      </c>
      <c r="O164" s="21">
        <f t="shared" si="104"/>
        <v>0.78782850132786952</v>
      </c>
      <c r="P164" s="21">
        <f t="shared" si="104"/>
        <v>7153.2423951492738</v>
      </c>
      <c r="Q164" s="21">
        <f t="shared" si="104"/>
        <v>18898.937008078101</v>
      </c>
      <c r="R164" s="21">
        <f t="shared" si="104"/>
        <v>139366.54843221401</v>
      </c>
      <c r="S164" s="21">
        <f t="shared" si="104"/>
        <v>385762.43203988916</v>
      </c>
      <c r="T164" s="21">
        <f t="shared" si="104"/>
        <v>248093.3662818087</v>
      </c>
      <c r="U164" s="21">
        <f t="shared" si="104"/>
        <v>132351.34899510787</v>
      </c>
      <c r="V164" s="21">
        <f t="shared" si="104"/>
        <v>39376.505850597052</v>
      </c>
      <c r="W164" s="21">
        <f t="shared" si="104"/>
        <v>31.654955853027225</v>
      </c>
      <c r="X164" s="21">
        <f t="shared" si="104"/>
        <v>25951.196269275209</v>
      </c>
      <c r="Y164" s="21">
        <f t="shared" si="104"/>
        <v>15415.027341101531</v>
      </c>
      <c r="Z164" s="21">
        <f t="shared" si="104"/>
        <v>33046.386618289223</v>
      </c>
      <c r="AA164" s="21">
        <f t="shared" si="104"/>
        <v>36845.182501965734</v>
      </c>
      <c r="AB164" s="21">
        <f t="shared" si="104"/>
        <v>42378.005453313337</v>
      </c>
      <c r="AC164" s="21">
        <f t="shared" si="104"/>
        <v>45434.400625466835</v>
      </c>
      <c r="AD164" s="21">
        <f t="shared" si="104"/>
        <v>42784.752065860761</v>
      </c>
      <c r="AE164" s="21">
        <f t="shared" si="104"/>
        <v>40733.317194182549</v>
      </c>
      <c r="AF164" s="21">
        <f t="shared" si="104"/>
        <v>36724.576192148314</v>
      </c>
    </row>
    <row r="165" spans="1:34" x14ac:dyDescent="0.25">
      <c r="A165" s="72">
        <f>SUM(B165:AF165)</f>
        <v>1292731.2491621808</v>
      </c>
      <c r="B165" s="60">
        <f>IF($A$64&lt;=B129,IF($B$64&gt;=B129,ABS(B164),0),0)</f>
        <v>186.15837615972328</v>
      </c>
      <c r="C165" s="60">
        <f t="shared" ref="C165:AF165" si="105">IF($A$64&lt;=C129,IF($B$64&gt;=C129,ABS(C164),0),0)</f>
        <v>187.05682177494128</v>
      </c>
      <c r="D165" s="60">
        <f t="shared" si="105"/>
        <v>186.50127938183201</v>
      </c>
      <c r="E165" s="60">
        <f t="shared" si="105"/>
        <v>186.32879994986479</v>
      </c>
      <c r="F165" s="60">
        <f t="shared" si="105"/>
        <v>186.27791163065277</v>
      </c>
      <c r="G165" s="60">
        <f t="shared" si="105"/>
        <v>186.25765734707704</v>
      </c>
      <c r="H165" s="60">
        <f t="shared" si="105"/>
        <v>186.2556843549082</v>
      </c>
      <c r="I165" s="60">
        <f t="shared" si="105"/>
        <v>186.25028047009121</v>
      </c>
      <c r="J165" s="60">
        <f t="shared" si="105"/>
        <v>186.24860505738388</v>
      </c>
      <c r="K165" s="60">
        <f t="shared" si="105"/>
        <v>186.21406898574782</v>
      </c>
      <c r="L165" s="60">
        <f t="shared" si="105"/>
        <v>185.88072915068011</v>
      </c>
      <c r="M165" s="60">
        <f t="shared" si="105"/>
        <v>182.59074590578001</v>
      </c>
      <c r="N165" s="60">
        <f t="shared" si="105"/>
        <v>151.56015321053403</v>
      </c>
      <c r="O165" s="60">
        <f t="shared" si="105"/>
        <v>0.78782850132786952</v>
      </c>
      <c r="P165" s="60">
        <f t="shared" si="105"/>
        <v>7153.2423951492738</v>
      </c>
      <c r="Q165" s="60">
        <f t="shared" si="105"/>
        <v>18898.937008078101</v>
      </c>
      <c r="R165" s="60">
        <f t="shared" si="105"/>
        <v>139366.54843221401</v>
      </c>
      <c r="S165" s="60">
        <f t="shared" si="105"/>
        <v>385762.43203988916</v>
      </c>
      <c r="T165" s="60">
        <f t="shared" si="105"/>
        <v>248093.3662818087</v>
      </c>
      <c r="U165" s="60">
        <f t="shared" si="105"/>
        <v>132351.34899510787</v>
      </c>
      <c r="V165" s="60">
        <f t="shared" si="105"/>
        <v>39376.505850597052</v>
      </c>
      <c r="W165" s="60">
        <f t="shared" si="105"/>
        <v>31.654955853027225</v>
      </c>
      <c r="X165" s="60">
        <f t="shared" si="105"/>
        <v>25951.196269275209</v>
      </c>
      <c r="Y165" s="60">
        <f t="shared" si="105"/>
        <v>15415.027341101531</v>
      </c>
      <c r="Z165" s="60">
        <f t="shared" si="105"/>
        <v>33046.386618289223</v>
      </c>
      <c r="AA165" s="60">
        <f t="shared" si="105"/>
        <v>36845.182501965734</v>
      </c>
      <c r="AB165" s="60">
        <f t="shared" si="105"/>
        <v>42378.005453313337</v>
      </c>
      <c r="AC165" s="60">
        <f t="shared" si="105"/>
        <v>45434.400625466835</v>
      </c>
      <c r="AD165" s="60">
        <f t="shared" si="105"/>
        <v>42784.752065860761</v>
      </c>
      <c r="AE165" s="60">
        <f t="shared" si="105"/>
        <v>40733.317194182549</v>
      </c>
      <c r="AF165" s="60">
        <f t="shared" si="105"/>
        <v>36724.576192148314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5614.1606999092619</v>
      </c>
      <c r="C170" s="27">
        <f t="shared" ref="C170:AF170" si="106">($C$17+SUM(C171:C201))*$B$51</f>
        <v>5614.1606990926402</v>
      </c>
      <c r="D170" s="27">
        <f t="shared" si="106"/>
        <v>5614.1606909264292</v>
      </c>
      <c r="E170" s="27">
        <f t="shared" si="106"/>
        <v>5614.1606092643178</v>
      </c>
      <c r="F170" s="27">
        <f t="shared" si="106"/>
        <v>5614.1597926435388</v>
      </c>
      <c r="G170" s="27">
        <f t="shared" si="106"/>
        <v>5614.1516264691872</v>
      </c>
      <c r="H170" s="27">
        <f t="shared" si="106"/>
        <v>5614.0699680705757</v>
      </c>
      <c r="I170" s="27">
        <f t="shared" si="106"/>
        <v>5613.2537184825887</v>
      </c>
      <c r="J170" s="27">
        <f t="shared" si="106"/>
        <v>5605.1245704519852</v>
      </c>
      <c r="K170" s="27">
        <f t="shared" si="106"/>
        <v>5527.0777839165212</v>
      </c>
      <c r="L170" s="27">
        <f t="shared" si="106"/>
        <v>4996.9849628677475</v>
      </c>
      <c r="M170" s="27">
        <f t="shared" si="106"/>
        <v>4517.9433192760334</v>
      </c>
      <c r="N170" s="27">
        <f t="shared" si="106"/>
        <v>4517.6575926178857</v>
      </c>
      <c r="O170" s="27">
        <f t="shared" si="106"/>
        <v>4517.5941327992632</v>
      </c>
      <c r="P170" s="27">
        <f t="shared" si="106"/>
        <v>4516.9601756485781</v>
      </c>
      <c r="Q170" s="27">
        <f t="shared" si="106"/>
        <v>4510.6842588173859</v>
      </c>
      <c r="R170" s="27">
        <f t="shared" si="106"/>
        <v>4453.8645108481296</v>
      </c>
      <c r="S170" s="27">
        <f t="shared" si="106"/>
        <v>4210.7068678690503</v>
      </c>
      <c r="T170" s="27">
        <f t="shared" si="106"/>
        <v>4052.1172874391509</v>
      </c>
      <c r="U170" s="27">
        <f t="shared" si="106"/>
        <v>3845.9071363397916</v>
      </c>
      <c r="V170" s="27">
        <f t="shared" si="106"/>
        <v>3638.0690682679351</v>
      </c>
      <c r="W170" s="27">
        <f t="shared" si="106"/>
        <v>3461.9132572858762</v>
      </c>
      <c r="X170" s="27">
        <f t="shared" si="106"/>
        <v>3298.605072099142</v>
      </c>
      <c r="Y170" s="27">
        <f t="shared" si="106"/>
        <v>3140.6532755877579</v>
      </c>
      <c r="Z170" s="27">
        <f t="shared" si="106"/>
        <v>2985.4123681981614</v>
      </c>
      <c r="AA170" s="27">
        <f t="shared" si="106"/>
        <v>2829.3398651687799</v>
      </c>
      <c r="AB170" s="27">
        <f t="shared" si="106"/>
        <v>2658.2827309210752</v>
      </c>
      <c r="AC170" s="27">
        <f t="shared" si="106"/>
        <v>2466.4463225333297</v>
      </c>
      <c r="AD170" s="27">
        <f t="shared" si="106"/>
        <v>2255.2328438310433</v>
      </c>
      <c r="AE170" s="27">
        <f t="shared" si="106"/>
        <v>2014.6201668862104</v>
      </c>
      <c r="AF170" s="27">
        <f t="shared" si="106"/>
        <v>1732.677375285929</v>
      </c>
      <c r="AG170" s="27"/>
      <c r="AH170" s="27"/>
    </row>
    <row r="171" spans="1:34" x14ac:dyDescent="0.25">
      <c r="B171" s="3">
        <f t="shared" ref="B171:AF171" si="107">$C18*EXP(-B$168/$A18/EXP(-$C$126))</f>
        <v>0.19530898990484102</v>
      </c>
      <c r="C171" s="3">
        <f t="shared" si="107"/>
        <v>0.19530898975938366</v>
      </c>
      <c r="D171" s="3">
        <f t="shared" si="107"/>
        <v>0.19530898830480989</v>
      </c>
      <c r="E171" s="3">
        <f t="shared" si="107"/>
        <v>0.19530897375907288</v>
      </c>
      <c r="F171" s="3">
        <f t="shared" si="107"/>
        <v>0.19530882830176227</v>
      </c>
      <c r="G171" s="3">
        <f t="shared" si="107"/>
        <v>0.19530737373461449</v>
      </c>
      <c r="H171" s="3">
        <f t="shared" si="107"/>
        <v>0.19529282865893388</v>
      </c>
      <c r="I171" s="3">
        <f t="shared" si="107"/>
        <v>0.19514743746546134</v>
      </c>
      <c r="J171" s="3">
        <f t="shared" si="107"/>
        <v>0.19369946548348105</v>
      </c>
      <c r="K171" s="3">
        <f t="shared" si="107"/>
        <v>0.17979769381015356</v>
      </c>
      <c r="L171" s="3">
        <f t="shared" si="107"/>
        <v>8.5377033998646157E-2</v>
      </c>
      <c r="M171" s="3">
        <f t="shared" si="107"/>
        <v>4.9763455256649183E-5</v>
      </c>
      <c r="N171" s="3">
        <f t="shared" si="107"/>
        <v>2.2521907362457712E-37</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5.6906652449858444E-2</v>
      </c>
      <c r="C172" s="3">
        <f t="shared" si="108"/>
        <v>5.690665244985843E-2</v>
      </c>
      <c r="D172" s="3">
        <f t="shared" si="108"/>
        <v>5.6906652449858326E-2</v>
      </c>
      <c r="E172" s="3">
        <f t="shared" si="108"/>
        <v>5.6906652449857237E-2</v>
      </c>
      <c r="F172" s="3">
        <f t="shared" si="108"/>
        <v>5.6906652449846384E-2</v>
      </c>
      <c r="G172" s="3">
        <f t="shared" si="108"/>
        <v>5.6906652449737825E-2</v>
      </c>
      <c r="H172" s="3">
        <f t="shared" si="108"/>
        <v>5.6906652448652201E-2</v>
      </c>
      <c r="I172" s="3">
        <f t="shared" si="108"/>
        <v>5.6906652437795982E-2</v>
      </c>
      <c r="J172" s="3">
        <f t="shared" si="108"/>
        <v>5.6906652329233823E-2</v>
      </c>
      <c r="K172" s="3">
        <f t="shared" si="108"/>
        <v>5.6906651243612265E-2</v>
      </c>
      <c r="L172" s="3">
        <f t="shared" si="108"/>
        <v>5.6906640387397747E-2</v>
      </c>
      <c r="M172" s="3">
        <f t="shared" si="108"/>
        <v>5.690653182536657E-2</v>
      </c>
      <c r="N172" s="3">
        <f t="shared" si="108"/>
        <v>5.6905446216445534E-2</v>
      </c>
      <c r="O172" s="3">
        <f t="shared" si="108"/>
        <v>5.689459126623201E-2</v>
      </c>
      <c r="P172" s="3">
        <f t="shared" si="108"/>
        <v>5.678615558342591E-2</v>
      </c>
      <c r="Q172" s="3">
        <f t="shared" si="108"/>
        <v>5.571310075635167E-2</v>
      </c>
      <c r="R172" s="3">
        <f t="shared" si="108"/>
        <v>4.6036887261828557E-2</v>
      </c>
      <c r="S172" s="3">
        <f t="shared" si="108"/>
        <v>6.8326970591830061E-3</v>
      </c>
      <c r="T172" s="3">
        <f t="shared" si="108"/>
        <v>3.5436784610494849E-11</v>
      </c>
      <c r="U172" s="3">
        <f t="shared" si="108"/>
        <v>4.9897149841507867E-94</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2.191476034261481E-2</v>
      </c>
      <c r="C173" s="3">
        <f t="shared" si="109"/>
        <v>2.191476034261481E-2</v>
      </c>
      <c r="D173" s="3">
        <f t="shared" si="109"/>
        <v>2.1914760342614806E-2</v>
      </c>
      <c r="E173" s="3">
        <f t="shared" si="109"/>
        <v>2.1914760342614768E-2</v>
      </c>
      <c r="F173" s="3">
        <f t="shared" si="109"/>
        <v>2.191476034261439E-2</v>
      </c>
      <c r="G173" s="3">
        <f t="shared" si="109"/>
        <v>2.1914760342610619E-2</v>
      </c>
      <c r="H173" s="3">
        <f t="shared" si="109"/>
        <v>2.1914760342572906E-2</v>
      </c>
      <c r="I173" s="3">
        <f t="shared" si="109"/>
        <v>2.191476034219577E-2</v>
      </c>
      <c r="J173" s="3">
        <f t="shared" si="109"/>
        <v>2.1914760338424401E-2</v>
      </c>
      <c r="K173" s="3">
        <f t="shared" si="109"/>
        <v>2.1914760300710736E-2</v>
      </c>
      <c r="L173" s="3">
        <f t="shared" si="109"/>
        <v>2.1914759923574088E-2</v>
      </c>
      <c r="M173" s="3">
        <f t="shared" si="109"/>
        <v>2.1914756152207938E-2</v>
      </c>
      <c r="N173" s="3">
        <f t="shared" si="109"/>
        <v>2.1914718438582143E-2</v>
      </c>
      <c r="O173" s="3">
        <f t="shared" si="109"/>
        <v>2.1914341305893783E-2</v>
      </c>
      <c r="P173" s="3">
        <f t="shared" si="109"/>
        <v>2.1910570335948162E-2</v>
      </c>
      <c r="Q173" s="3">
        <f t="shared" si="109"/>
        <v>2.1872896307569827E-2</v>
      </c>
      <c r="R173" s="3">
        <f t="shared" si="109"/>
        <v>2.1499700522463555E-2</v>
      </c>
      <c r="S173" s="3">
        <f t="shared" si="109"/>
        <v>1.8100625145738757E-2</v>
      </c>
      <c r="T173" s="3">
        <f t="shared" si="109"/>
        <v>3.2382115244319358E-3</v>
      </c>
      <c r="U173" s="3">
        <f t="shared" si="109"/>
        <v>1.0874808299916951E-10</v>
      </c>
      <c r="V173" s="3">
        <f t="shared" si="109"/>
        <v>1.9842005667572817E-85</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4.2179983982958157E-2</v>
      </c>
      <c r="C174" s="3">
        <f t="shared" si="110"/>
        <v>4.2179983982958157E-2</v>
      </c>
      <c r="D174" s="3">
        <f t="shared" si="110"/>
        <v>4.2179983982958157E-2</v>
      </c>
      <c r="E174" s="3">
        <f t="shared" si="110"/>
        <v>4.217998398295815E-2</v>
      </c>
      <c r="F174" s="3">
        <f t="shared" si="110"/>
        <v>4.217998398295808E-2</v>
      </c>
      <c r="G174" s="3">
        <f t="shared" si="110"/>
        <v>4.2179983982957428E-2</v>
      </c>
      <c r="H174" s="3">
        <f t="shared" si="110"/>
        <v>4.2179983982950878E-2</v>
      </c>
      <c r="I174" s="3">
        <f t="shared" si="110"/>
        <v>4.2179983982885395E-2</v>
      </c>
      <c r="J174" s="3">
        <f t="shared" si="110"/>
        <v>4.2179983982230593E-2</v>
      </c>
      <c r="K174" s="3">
        <f t="shared" si="110"/>
        <v>4.217998397568249E-2</v>
      </c>
      <c r="L174" s="3">
        <f t="shared" si="110"/>
        <v>4.2179983910201536E-2</v>
      </c>
      <c r="M174" s="3">
        <f t="shared" si="110"/>
        <v>4.2179983255391969E-2</v>
      </c>
      <c r="N174" s="3">
        <f t="shared" si="110"/>
        <v>4.2179976707296861E-2</v>
      </c>
      <c r="O174" s="3">
        <f t="shared" si="110"/>
        <v>4.2179911226401662E-2</v>
      </c>
      <c r="P174" s="3">
        <f t="shared" si="110"/>
        <v>4.2179256423040566E-2</v>
      </c>
      <c r="Q174" s="3">
        <f t="shared" si="110"/>
        <v>4.2172708948489894E-2</v>
      </c>
      <c r="R174" s="3">
        <f t="shared" si="110"/>
        <v>4.2107290076907833E-2</v>
      </c>
      <c r="S174" s="3">
        <f t="shared" si="110"/>
        <v>4.1458656792707389E-2</v>
      </c>
      <c r="T174" s="3">
        <f t="shared" si="110"/>
        <v>3.5497239407020396E-2</v>
      </c>
      <c r="U174" s="3">
        <f t="shared" si="110"/>
        <v>7.5160230239603981E-3</v>
      </c>
      <c r="V174" s="3">
        <f t="shared" si="110"/>
        <v>1.3612043356593845E-9</v>
      </c>
      <c r="W174" s="3">
        <f t="shared" si="110"/>
        <v>5.1674411921365704E-77</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3.9494315481295991E-2</v>
      </c>
      <c r="C175" s="3">
        <f t="shared" si="111"/>
        <v>3.9494315481295991E-2</v>
      </c>
      <c r="D175" s="3">
        <f t="shared" si="111"/>
        <v>3.9494315481295991E-2</v>
      </c>
      <c r="E175" s="3">
        <f t="shared" si="111"/>
        <v>3.9494315481295991E-2</v>
      </c>
      <c r="F175" s="3">
        <f t="shared" si="111"/>
        <v>3.9494315481295984E-2</v>
      </c>
      <c r="G175" s="3">
        <f t="shared" si="111"/>
        <v>3.9494315481295929E-2</v>
      </c>
      <c r="H175" s="3">
        <f t="shared" si="111"/>
        <v>3.9494315481295381E-2</v>
      </c>
      <c r="I175" s="3">
        <f t="shared" si="111"/>
        <v>3.9494315481289843E-2</v>
      </c>
      <c r="J175" s="3">
        <f t="shared" si="111"/>
        <v>3.949431548123454E-2</v>
      </c>
      <c r="K175" s="3">
        <f t="shared" si="111"/>
        <v>3.9494315480681455E-2</v>
      </c>
      <c r="L175" s="3">
        <f t="shared" si="111"/>
        <v>3.9494315475150636E-2</v>
      </c>
      <c r="M175" s="3">
        <f t="shared" si="111"/>
        <v>3.9494315419842399E-2</v>
      </c>
      <c r="N175" s="3">
        <f t="shared" si="111"/>
        <v>3.9494314866760062E-2</v>
      </c>
      <c r="O175" s="3">
        <f t="shared" si="111"/>
        <v>3.9494309335937137E-2</v>
      </c>
      <c r="P175" s="3">
        <f t="shared" si="111"/>
        <v>3.9494254027750475E-2</v>
      </c>
      <c r="Q175" s="3">
        <f t="shared" si="111"/>
        <v>3.9493700950143824E-2</v>
      </c>
      <c r="R175" s="3">
        <f t="shared" si="111"/>
        <v>3.9488170600050929E-2</v>
      </c>
      <c r="S175" s="3">
        <f t="shared" si="111"/>
        <v>3.9432909674417746E-2</v>
      </c>
      <c r="T175" s="3">
        <f t="shared" si="111"/>
        <v>3.8884535969598934E-2</v>
      </c>
      <c r="U175" s="3">
        <f t="shared" si="111"/>
        <v>3.3803205644899921E-2</v>
      </c>
      <c r="V175" s="3">
        <f t="shared" si="111"/>
        <v>8.3323509929468034E-3</v>
      </c>
      <c r="W175" s="3">
        <f t="shared" si="111"/>
        <v>6.9002406986203591E-9</v>
      </c>
      <c r="X175" s="3">
        <f t="shared" si="111"/>
        <v>1.0467213544156112E-69</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3.1232286968780269E-2</v>
      </c>
      <c r="C176" s="3">
        <f t="shared" si="112"/>
        <v>3.1232286968780269E-2</v>
      </c>
      <c r="D176" s="3">
        <f t="shared" si="112"/>
        <v>3.1232286968780269E-2</v>
      </c>
      <c r="E176" s="3">
        <f t="shared" si="112"/>
        <v>3.1232286968780269E-2</v>
      </c>
      <c r="F176" s="3">
        <f t="shared" si="112"/>
        <v>3.1232286968780269E-2</v>
      </c>
      <c r="G176" s="3">
        <f t="shared" si="112"/>
        <v>3.1232286968780266E-2</v>
      </c>
      <c r="H176" s="3">
        <f t="shared" si="112"/>
        <v>3.1232286968780224E-2</v>
      </c>
      <c r="I176" s="3">
        <f t="shared" si="112"/>
        <v>3.1232286968779832E-2</v>
      </c>
      <c r="J176" s="3">
        <f t="shared" si="112"/>
        <v>3.1232286968775887E-2</v>
      </c>
      <c r="K176" s="3">
        <f t="shared" si="112"/>
        <v>3.1232286968736429E-2</v>
      </c>
      <c r="L176" s="3">
        <f t="shared" si="112"/>
        <v>3.1232286968341877E-2</v>
      </c>
      <c r="M176" s="3">
        <f t="shared" si="112"/>
        <v>3.1232286964396345E-2</v>
      </c>
      <c r="N176" s="3">
        <f t="shared" si="112"/>
        <v>3.1232286924941025E-2</v>
      </c>
      <c r="O176" s="3">
        <f t="shared" si="112"/>
        <v>3.1232286530387818E-2</v>
      </c>
      <c r="P176" s="3">
        <f t="shared" si="112"/>
        <v>3.1232282584856053E-2</v>
      </c>
      <c r="Q176" s="3">
        <f t="shared" si="112"/>
        <v>3.1232243129565802E-2</v>
      </c>
      <c r="R176" s="3">
        <f t="shared" si="112"/>
        <v>3.1231848579404663E-2</v>
      </c>
      <c r="S176" s="3">
        <f t="shared" si="112"/>
        <v>3.1227903351917542E-2</v>
      </c>
      <c r="T176" s="3">
        <f t="shared" si="112"/>
        <v>3.118847847666566E-2</v>
      </c>
      <c r="U176" s="3">
        <f t="shared" si="112"/>
        <v>3.0796956922222216E-2</v>
      </c>
      <c r="V176" s="3">
        <f t="shared" si="112"/>
        <v>2.7142133232857014E-2</v>
      </c>
      <c r="W176" s="3">
        <f t="shared" si="112"/>
        <v>7.6737156501790003E-3</v>
      </c>
      <c r="X176" s="3">
        <f t="shared" si="112"/>
        <v>2.5039343963933652E-8</v>
      </c>
      <c r="Y176" s="3">
        <f t="shared" si="112"/>
        <v>3.4260633042041159E-63</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3.0546949875680195E-2</v>
      </c>
      <c r="C177" s="3">
        <f t="shared" si="113"/>
        <v>3.0546949875680195E-2</v>
      </c>
      <c r="D177" s="3">
        <f t="shared" si="113"/>
        <v>3.0546949875680195E-2</v>
      </c>
      <c r="E177" s="3">
        <f t="shared" si="113"/>
        <v>3.0546949875680195E-2</v>
      </c>
      <c r="F177" s="3">
        <f t="shared" si="113"/>
        <v>3.0546949875680195E-2</v>
      </c>
      <c r="G177" s="3">
        <f t="shared" si="113"/>
        <v>3.0546949875680195E-2</v>
      </c>
      <c r="H177" s="3">
        <f t="shared" si="113"/>
        <v>3.0546949875680192E-2</v>
      </c>
      <c r="I177" s="3">
        <f t="shared" si="113"/>
        <v>3.0546949875680157E-2</v>
      </c>
      <c r="J177" s="3">
        <f t="shared" si="113"/>
        <v>3.054694987567981E-2</v>
      </c>
      <c r="K177" s="3">
        <f t="shared" si="113"/>
        <v>3.0546949875676327E-2</v>
      </c>
      <c r="L177" s="3">
        <f t="shared" si="113"/>
        <v>3.0546949875641518E-2</v>
      </c>
      <c r="M177" s="3">
        <f t="shared" si="113"/>
        <v>3.0546949875293408E-2</v>
      </c>
      <c r="N177" s="3">
        <f t="shared" si="113"/>
        <v>3.054694987181231E-2</v>
      </c>
      <c r="O177" s="3">
        <f t="shared" si="113"/>
        <v>3.054694983700133E-2</v>
      </c>
      <c r="P177" s="3">
        <f t="shared" si="113"/>
        <v>3.0546949488891546E-2</v>
      </c>
      <c r="Q177" s="3">
        <f t="shared" si="113"/>
        <v>3.054694600779391E-2</v>
      </c>
      <c r="R177" s="3">
        <f t="shared" si="113"/>
        <v>3.0546911196839357E-2</v>
      </c>
      <c r="S177" s="3">
        <f t="shared" si="113"/>
        <v>3.0546563089475693E-2</v>
      </c>
      <c r="T177" s="3">
        <f t="shared" si="113"/>
        <v>3.0543082234015057E-2</v>
      </c>
      <c r="U177" s="3">
        <f t="shared" si="113"/>
        <v>3.0508295487811418E-2</v>
      </c>
      <c r="V177" s="3">
        <f t="shared" si="113"/>
        <v>3.016259969853765E-2</v>
      </c>
      <c r="W177" s="3">
        <f t="shared" si="113"/>
        <v>2.691392474512681E-2</v>
      </c>
      <c r="X177" s="3">
        <f t="shared" si="113"/>
        <v>8.6111205043295815E-3</v>
      </c>
      <c r="Y177" s="3">
        <f t="shared" si="113"/>
        <v>9.680237163783699E-8</v>
      </c>
      <c r="Z177" s="3">
        <f t="shared" si="113"/>
        <v>3.119962004489326E-57</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2.9181012135706209E-2</v>
      </c>
      <c r="C178" s="3">
        <f t="shared" si="114"/>
        <v>2.9181012135706209E-2</v>
      </c>
      <c r="D178" s="3">
        <f t="shared" si="114"/>
        <v>2.9181012135706209E-2</v>
      </c>
      <c r="E178" s="3">
        <f t="shared" si="114"/>
        <v>2.9181012135706209E-2</v>
      </c>
      <c r="F178" s="3">
        <f t="shared" si="114"/>
        <v>2.9181012135706209E-2</v>
      </c>
      <c r="G178" s="3">
        <f t="shared" si="114"/>
        <v>2.9181012135706209E-2</v>
      </c>
      <c r="H178" s="3">
        <f t="shared" si="114"/>
        <v>2.9181012135706209E-2</v>
      </c>
      <c r="I178" s="3">
        <f t="shared" si="114"/>
        <v>2.9181012135706206E-2</v>
      </c>
      <c r="J178" s="3">
        <f t="shared" si="114"/>
        <v>2.9181012135706178E-2</v>
      </c>
      <c r="K178" s="3">
        <f t="shared" si="114"/>
        <v>2.9181012135705876E-2</v>
      </c>
      <c r="L178" s="3">
        <f t="shared" si="114"/>
        <v>2.9181012135702875E-2</v>
      </c>
      <c r="M178" s="3">
        <f t="shared" si="114"/>
        <v>2.9181012135672878E-2</v>
      </c>
      <c r="N178" s="3">
        <f t="shared" si="114"/>
        <v>2.9181012135372896E-2</v>
      </c>
      <c r="O178" s="3">
        <f t="shared" si="114"/>
        <v>2.9181012132373074E-2</v>
      </c>
      <c r="P178" s="3">
        <f t="shared" si="114"/>
        <v>2.9181012102374868E-2</v>
      </c>
      <c r="Q178" s="3">
        <f t="shared" si="114"/>
        <v>2.918101180239278E-2</v>
      </c>
      <c r="R178" s="3">
        <f t="shared" si="114"/>
        <v>2.9181008802572083E-2</v>
      </c>
      <c r="S178" s="3">
        <f t="shared" si="114"/>
        <v>2.9180978804382068E-2</v>
      </c>
      <c r="T178" s="3">
        <f t="shared" si="114"/>
        <v>2.9180678824178016E-2</v>
      </c>
      <c r="U178" s="3">
        <f t="shared" si="114"/>
        <v>2.9177679191740927E-2</v>
      </c>
      <c r="V178" s="3">
        <f t="shared" si="114"/>
        <v>2.9147699821263841E-2</v>
      </c>
      <c r="W178" s="3">
        <f t="shared" si="114"/>
        <v>2.8849595074956061E-2</v>
      </c>
      <c r="X178" s="3">
        <f t="shared" si="114"/>
        <v>2.603119215854896E-2</v>
      </c>
      <c r="Y178" s="3">
        <f t="shared" si="114"/>
        <v>9.3118810563619543E-3</v>
      </c>
      <c r="Z178" s="3">
        <f t="shared" si="114"/>
        <v>3.1950012964063062E-7</v>
      </c>
      <c r="AA178" s="3">
        <f t="shared" si="114"/>
        <v>7.2244905323565796E-52</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2.8956161504827882E-2</v>
      </c>
      <c r="C179" s="3">
        <f t="shared" si="115"/>
        <v>2.8956161504827882E-2</v>
      </c>
      <c r="D179" s="3">
        <f t="shared" si="115"/>
        <v>2.8956161504827882E-2</v>
      </c>
      <c r="E179" s="3">
        <f t="shared" si="115"/>
        <v>2.8956161504827882E-2</v>
      </c>
      <c r="F179" s="3">
        <f t="shared" si="115"/>
        <v>2.8956161504827882E-2</v>
      </c>
      <c r="G179" s="3">
        <f t="shared" si="115"/>
        <v>2.8956161504827882E-2</v>
      </c>
      <c r="H179" s="3">
        <f t="shared" si="115"/>
        <v>2.8956161504827882E-2</v>
      </c>
      <c r="I179" s="3">
        <f t="shared" si="115"/>
        <v>2.8956161504827882E-2</v>
      </c>
      <c r="J179" s="3">
        <f t="shared" si="115"/>
        <v>2.8956161504827879E-2</v>
      </c>
      <c r="K179" s="3">
        <f t="shared" si="115"/>
        <v>2.8956161504827854E-2</v>
      </c>
      <c r="L179" s="3">
        <f t="shared" si="115"/>
        <v>2.8956161504827584E-2</v>
      </c>
      <c r="M179" s="3">
        <f t="shared" si="115"/>
        <v>2.8956161504824898E-2</v>
      </c>
      <c r="N179" s="3">
        <f t="shared" si="115"/>
        <v>2.8956161504798045E-2</v>
      </c>
      <c r="O179" s="3">
        <f t="shared" si="115"/>
        <v>2.895616150452952E-2</v>
      </c>
      <c r="P179" s="3">
        <f t="shared" si="115"/>
        <v>2.8956161501844286E-2</v>
      </c>
      <c r="Q179" s="3">
        <f t="shared" si="115"/>
        <v>2.8956161474991918E-2</v>
      </c>
      <c r="R179" s="3">
        <f t="shared" si="115"/>
        <v>2.8956161206468264E-2</v>
      </c>
      <c r="S179" s="3">
        <f t="shared" si="115"/>
        <v>2.8956158521231838E-2</v>
      </c>
      <c r="T179" s="3">
        <f t="shared" si="115"/>
        <v>2.8956131668881273E-2</v>
      </c>
      <c r="U179" s="3">
        <f t="shared" si="115"/>
        <v>2.8955863146745173E-2</v>
      </c>
      <c r="V179" s="3">
        <f t="shared" si="115"/>
        <v>2.8953178062336809E-2</v>
      </c>
      <c r="W179" s="3">
        <f t="shared" si="115"/>
        <v>2.8926340908814251E-2</v>
      </c>
      <c r="X179" s="3">
        <f t="shared" si="115"/>
        <v>2.8659333743854949E-2</v>
      </c>
      <c r="Y179" s="3">
        <f t="shared" si="115"/>
        <v>2.6121131590030915E-2</v>
      </c>
      <c r="Z179" s="3">
        <f t="shared" si="115"/>
        <v>1.0333583611929327E-2</v>
      </c>
      <c r="AA179" s="3">
        <f t="shared" si="115"/>
        <v>9.7015397130560382E-7</v>
      </c>
      <c r="AB179" s="3">
        <f t="shared" si="115"/>
        <v>5.1610461854455429E-47</v>
      </c>
      <c r="AC179" s="3">
        <f t="shared" si="115"/>
        <v>0</v>
      </c>
      <c r="AD179" s="3">
        <f t="shared" si="115"/>
        <v>0</v>
      </c>
      <c r="AE179" s="3">
        <f t="shared" si="115"/>
        <v>0</v>
      </c>
      <c r="AF179" s="3">
        <f t="shared" si="115"/>
        <v>0</v>
      </c>
      <c r="AG179" s="3"/>
      <c r="AH179" s="3"/>
    </row>
    <row r="180" spans="2:34" x14ac:dyDescent="0.25">
      <c r="B180" s="3">
        <f t="shared" ref="B180:AF180" si="116">$C27*EXP(-B$168/$A27/EXP(-$C$126))</f>
        <v>2.8549428510413092E-2</v>
      </c>
      <c r="C180" s="3">
        <f t="shared" si="116"/>
        <v>2.8549428510413092E-2</v>
      </c>
      <c r="D180" s="3">
        <f t="shared" si="116"/>
        <v>2.8549428510413092E-2</v>
      </c>
      <c r="E180" s="3">
        <f t="shared" si="116"/>
        <v>2.8549428510413092E-2</v>
      </c>
      <c r="F180" s="3">
        <f t="shared" si="116"/>
        <v>2.8549428510413092E-2</v>
      </c>
      <c r="G180" s="3">
        <f t="shared" si="116"/>
        <v>2.8549428510413092E-2</v>
      </c>
      <c r="H180" s="3">
        <f t="shared" si="116"/>
        <v>2.8549428510413092E-2</v>
      </c>
      <c r="I180" s="3">
        <f t="shared" si="116"/>
        <v>2.8549428510413092E-2</v>
      </c>
      <c r="J180" s="3">
        <f t="shared" si="116"/>
        <v>2.8549428510413092E-2</v>
      </c>
      <c r="K180" s="3">
        <f t="shared" si="116"/>
        <v>2.8549428510413088E-2</v>
      </c>
      <c r="L180" s="3">
        <f t="shared" si="116"/>
        <v>2.8549428510413068E-2</v>
      </c>
      <c r="M180" s="3">
        <f t="shared" si="116"/>
        <v>2.8549428510412825E-2</v>
      </c>
      <c r="N180" s="3">
        <f t="shared" si="116"/>
        <v>2.8549428510410438E-2</v>
      </c>
      <c r="O180" s="3">
        <f t="shared" si="116"/>
        <v>2.8549428510386554E-2</v>
      </c>
      <c r="P180" s="3">
        <f t="shared" si="116"/>
        <v>2.8549428510147728E-2</v>
      </c>
      <c r="Q180" s="3">
        <f t="shared" si="116"/>
        <v>2.8549428507759444E-2</v>
      </c>
      <c r="R180" s="3">
        <f t="shared" si="116"/>
        <v>2.8549428483876628E-2</v>
      </c>
      <c r="S180" s="3">
        <f t="shared" si="116"/>
        <v>2.8549428245048445E-2</v>
      </c>
      <c r="T180" s="3">
        <f t="shared" si="116"/>
        <v>2.8549425856766737E-2</v>
      </c>
      <c r="U180" s="3">
        <f t="shared" si="116"/>
        <v>2.8549401973960661E-2</v>
      </c>
      <c r="V180" s="3">
        <f t="shared" si="116"/>
        <v>2.85491631469987E-2</v>
      </c>
      <c r="W180" s="3">
        <f t="shared" si="116"/>
        <v>2.854677498725983E-2</v>
      </c>
      <c r="X180" s="3">
        <f t="shared" si="116"/>
        <v>2.8522904374542524E-2</v>
      </c>
      <c r="Y180" s="3">
        <f t="shared" si="116"/>
        <v>2.8285293322118422E-2</v>
      </c>
      <c r="Z180" s="3">
        <f t="shared" si="116"/>
        <v>2.6015375301584372E-2</v>
      </c>
      <c r="AA180" s="3">
        <f t="shared" si="116"/>
        <v>1.1270006909472541E-2</v>
      </c>
      <c r="AB180" s="3">
        <f t="shared" si="116"/>
        <v>2.6234032403544236E-6</v>
      </c>
      <c r="AC180" s="3">
        <f t="shared" si="116"/>
        <v>1.2253883128951838E-42</v>
      </c>
      <c r="AD180" s="3">
        <f t="shared" si="116"/>
        <v>0</v>
      </c>
      <c r="AE180" s="3">
        <f t="shared" si="116"/>
        <v>0</v>
      </c>
      <c r="AF180" s="3">
        <f t="shared" si="116"/>
        <v>0</v>
      </c>
      <c r="AG180" s="3"/>
      <c r="AH180" s="3"/>
    </row>
    <row r="181" spans="2:34" x14ac:dyDescent="0.25">
      <c r="B181" s="3">
        <f t="shared" ref="B181:AF181" si="117">$C28*EXP(-B$168/$A28/EXP(-$C$126))</f>
        <v>3.3916990026039671E-2</v>
      </c>
      <c r="C181" s="3">
        <f t="shared" si="117"/>
        <v>3.3916990026039671E-2</v>
      </c>
      <c r="D181" s="3">
        <f t="shared" si="117"/>
        <v>3.3916990026039671E-2</v>
      </c>
      <c r="E181" s="3">
        <f t="shared" si="117"/>
        <v>3.3916990026039671E-2</v>
      </c>
      <c r="F181" s="3">
        <f t="shared" si="117"/>
        <v>3.3916990026039671E-2</v>
      </c>
      <c r="G181" s="3">
        <f t="shared" si="117"/>
        <v>3.3916990026039671E-2</v>
      </c>
      <c r="H181" s="3">
        <f t="shared" si="117"/>
        <v>3.3916990026039671E-2</v>
      </c>
      <c r="I181" s="3">
        <f t="shared" si="117"/>
        <v>3.3916990026039671E-2</v>
      </c>
      <c r="J181" s="3">
        <f t="shared" si="117"/>
        <v>3.3916990026039671E-2</v>
      </c>
      <c r="K181" s="3">
        <f t="shared" si="117"/>
        <v>3.3916990026039671E-2</v>
      </c>
      <c r="L181" s="3">
        <f t="shared" si="117"/>
        <v>3.3916990026039665E-2</v>
      </c>
      <c r="M181" s="3">
        <f t="shared" si="117"/>
        <v>3.3916990026039644E-2</v>
      </c>
      <c r="N181" s="3">
        <f t="shared" si="117"/>
        <v>3.3916990026039387E-2</v>
      </c>
      <c r="O181" s="3">
        <f t="shared" si="117"/>
        <v>3.3916990026036826E-2</v>
      </c>
      <c r="P181" s="3">
        <f t="shared" si="117"/>
        <v>3.3916990026011236E-2</v>
      </c>
      <c r="Q181" s="3">
        <f t="shared" si="117"/>
        <v>3.3916990025755288E-2</v>
      </c>
      <c r="R181" s="3">
        <f t="shared" si="117"/>
        <v>3.39169900231958E-2</v>
      </c>
      <c r="S181" s="3">
        <f t="shared" si="117"/>
        <v>3.3916989997600983E-2</v>
      </c>
      <c r="T181" s="3">
        <f t="shared" si="117"/>
        <v>3.3916989741652803E-2</v>
      </c>
      <c r="U181" s="3">
        <f t="shared" si="117"/>
        <v>3.3916987182171093E-2</v>
      </c>
      <c r="V181" s="3">
        <f t="shared" si="117"/>
        <v>3.3916961587364659E-2</v>
      </c>
      <c r="W181" s="3">
        <f t="shared" si="117"/>
        <v>3.3916705640362574E-2</v>
      </c>
      <c r="X181" s="3">
        <f t="shared" si="117"/>
        <v>3.3914146276568989E-2</v>
      </c>
      <c r="Y181" s="3">
        <f t="shared" si="117"/>
        <v>3.3888563258394504E-2</v>
      </c>
      <c r="Z181" s="3">
        <f t="shared" si="117"/>
        <v>3.3633792093583102E-2</v>
      </c>
      <c r="AA181" s="3">
        <f t="shared" si="117"/>
        <v>3.118908396057463E-2</v>
      </c>
      <c r="AB181" s="3">
        <f t="shared" si="117"/>
        <v>1.466460811278443E-2</v>
      </c>
      <c r="AC181" s="3">
        <f t="shared" si="117"/>
        <v>7.7437064895171824E-6</v>
      </c>
      <c r="AD181" s="3">
        <f t="shared" si="117"/>
        <v>1.3053684198284479E-38</v>
      </c>
      <c r="AE181" s="3">
        <f t="shared" si="117"/>
        <v>0</v>
      </c>
      <c r="AF181" s="3">
        <f t="shared" si="117"/>
        <v>0</v>
      </c>
      <c r="AG181" s="3"/>
      <c r="AH181" s="3"/>
    </row>
    <row r="182" spans="2:34" x14ac:dyDescent="0.25">
      <c r="B182" s="3">
        <f t="shared" ref="B182:AF182" si="118">$C29*EXP(-B$168/$A29/EXP(-$C$126))</f>
        <v>3.6686036889388041E-2</v>
      </c>
      <c r="C182" s="3">
        <f t="shared" si="118"/>
        <v>3.6686036889388041E-2</v>
      </c>
      <c r="D182" s="3">
        <f t="shared" si="118"/>
        <v>3.6686036889388041E-2</v>
      </c>
      <c r="E182" s="3">
        <f t="shared" si="118"/>
        <v>3.6686036889388041E-2</v>
      </c>
      <c r="F182" s="3">
        <f t="shared" si="118"/>
        <v>3.6686036889388041E-2</v>
      </c>
      <c r="G182" s="3">
        <f t="shared" si="118"/>
        <v>3.6686036889388041E-2</v>
      </c>
      <c r="H182" s="3">
        <f t="shared" si="118"/>
        <v>3.6686036889388041E-2</v>
      </c>
      <c r="I182" s="3">
        <f t="shared" si="118"/>
        <v>3.6686036889388041E-2</v>
      </c>
      <c r="J182" s="3">
        <f t="shared" si="118"/>
        <v>3.6686036889388041E-2</v>
      </c>
      <c r="K182" s="3">
        <f t="shared" si="118"/>
        <v>3.6686036889388041E-2</v>
      </c>
      <c r="L182" s="3">
        <f t="shared" si="118"/>
        <v>3.6686036889388041E-2</v>
      </c>
      <c r="M182" s="3">
        <f t="shared" si="118"/>
        <v>3.6686036889388034E-2</v>
      </c>
      <c r="N182" s="3">
        <f t="shared" si="118"/>
        <v>3.6686036889388013E-2</v>
      </c>
      <c r="O182" s="3">
        <f t="shared" si="118"/>
        <v>3.6686036889387763E-2</v>
      </c>
      <c r="P182" s="3">
        <f t="shared" si="118"/>
        <v>3.6686036889385265E-2</v>
      </c>
      <c r="Q182" s="3">
        <f t="shared" si="118"/>
        <v>3.6686036889360292E-2</v>
      </c>
      <c r="R182" s="3">
        <f t="shared" si="118"/>
        <v>3.6686036889110554E-2</v>
      </c>
      <c r="S182" s="3">
        <f t="shared" si="118"/>
        <v>3.6686036886613191E-2</v>
      </c>
      <c r="T182" s="3">
        <f t="shared" si="118"/>
        <v>3.6686036861639536E-2</v>
      </c>
      <c r="U182" s="3">
        <f t="shared" si="118"/>
        <v>3.6686036611902971E-2</v>
      </c>
      <c r="V182" s="3">
        <f t="shared" si="118"/>
        <v>3.6686034114537414E-2</v>
      </c>
      <c r="W182" s="3">
        <f t="shared" si="118"/>
        <v>3.6686009140891214E-2</v>
      </c>
      <c r="X182" s="3">
        <f t="shared" si="118"/>
        <v>3.6685759405364241E-2</v>
      </c>
      <c r="Y182" s="3">
        <f t="shared" si="118"/>
        <v>3.6683262143595005E-2</v>
      </c>
      <c r="Z182" s="3">
        <f t="shared" si="118"/>
        <v>3.6658298873599657E-2</v>
      </c>
      <c r="AA182" s="3">
        <f t="shared" si="118"/>
        <v>3.6409598593187258E-2</v>
      </c>
      <c r="AB182" s="3">
        <f t="shared" si="118"/>
        <v>3.4013531374150453E-2</v>
      </c>
      <c r="AC182" s="3">
        <f t="shared" si="118"/>
        <v>1.7219084323825861E-2</v>
      </c>
      <c r="AD182" s="3">
        <f t="shared" si="118"/>
        <v>1.9036773488495671E-5</v>
      </c>
      <c r="AE182" s="3">
        <f t="shared" si="118"/>
        <v>5.1930946529446443E-35</v>
      </c>
      <c r="AF182" s="3">
        <f t="shared" si="118"/>
        <v>0</v>
      </c>
      <c r="AG182" s="3"/>
      <c r="AH182" s="3"/>
    </row>
    <row r="183" spans="2:34" x14ac:dyDescent="0.25">
      <c r="B183" s="3">
        <f t="shared" ref="B183:AF183" si="119">$C30*EXP(-B$168/$A30/EXP(-$C$126))</f>
        <v>4.0919511658412108E-2</v>
      </c>
      <c r="C183" s="3">
        <f t="shared" si="119"/>
        <v>4.0919511658412108E-2</v>
      </c>
      <c r="D183" s="3">
        <f t="shared" si="119"/>
        <v>4.0919511658412108E-2</v>
      </c>
      <c r="E183" s="3">
        <f t="shared" si="119"/>
        <v>4.0919511658412108E-2</v>
      </c>
      <c r="F183" s="3">
        <f t="shared" si="119"/>
        <v>4.0919511658412108E-2</v>
      </c>
      <c r="G183" s="3">
        <f t="shared" si="119"/>
        <v>4.0919511658412108E-2</v>
      </c>
      <c r="H183" s="3">
        <f t="shared" si="119"/>
        <v>4.0919511658412108E-2</v>
      </c>
      <c r="I183" s="3">
        <f t="shared" si="119"/>
        <v>4.0919511658412108E-2</v>
      </c>
      <c r="J183" s="3">
        <f t="shared" si="119"/>
        <v>4.0919511658412108E-2</v>
      </c>
      <c r="K183" s="3">
        <f t="shared" si="119"/>
        <v>4.0919511658412108E-2</v>
      </c>
      <c r="L183" s="3">
        <f t="shared" si="119"/>
        <v>4.0919511658412108E-2</v>
      </c>
      <c r="M183" s="3">
        <f t="shared" si="119"/>
        <v>4.0919511658412108E-2</v>
      </c>
      <c r="N183" s="3">
        <f t="shared" si="119"/>
        <v>4.0919511658412101E-2</v>
      </c>
      <c r="O183" s="3">
        <f t="shared" si="119"/>
        <v>4.091951165841208E-2</v>
      </c>
      <c r="P183" s="3">
        <f t="shared" si="119"/>
        <v>4.0919511658411831E-2</v>
      </c>
      <c r="Q183" s="3">
        <f t="shared" si="119"/>
        <v>4.0919511658409312E-2</v>
      </c>
      <c r="R183" s="3">
        <f t="shared" si="119"/>
        <v>4.0919511658384186E-2</v>
      </c>
      <c r="S183" s="3">
        <f t="shared" si="119"/>
        <v>4.0919511658132908E-2</v>
      </c>
      <c r="T183" s="3">
        <f t="shared" si="119"/>
        <v>4.0919511655620106E-2</v>
      </c>
      <c r="U183" s="3">
        <f t="shared" si="119"/>
        <v>4.0919511630492081E-2</v>
      </c>
      <c r="V183" s="3">
        <f t="shared" si="119"/>
        <v>4.091951137921182E-2</v>
      </c>
      <c r="W183" s="3">
        <f t="shared" si="119"/>
        <v>4.0919508866409333E-2</v>
      </c>
      <c r="X183" s="3">
        <f t="shared" si="119"/>
        <v>4.0919483738392916E-2</v>
      </c>
      <c r="Y183" s="3">
        <f t="shared" si="119"/>
        <v>4.0919232459077443E-2</v>
      </c>
      <c r="Z183" s="3">
        <f t="shared" si="119"/>
        <v>4.0916719750789539E-2</v>
      </c>
      <c r="AA183" s="3">
        <f t="shared" si="119"/>
        <v>4.0891601152666372E-2</v>
      </c>
      <c r="AB183" s="3">
        <f t="shared" si="119"/>
        <v>4.0641261722355201E-2</v>
      </c>
      <c r="AC183" s="3">
        <f t="shared" si="119"/>
        <v>3.8220630239485152E-2</v>
      </c>
      <c r="AD183" s="3">
        <f t="shared" si="119"/>
        <v>2.0682568043503196E-2</v>
      </c>
      <c r="AE183" s="3">
        <f t="shared" si="119"/>
        <v>4.4531839878893271E-5</v>
      </c>
      <c r="AF183" s="3">
        <f t="shared" si="119"/>
        <v>9.5352571389260239E-32</v>
      </c>
      <c r="AG183" s="3"/>
      <c r="AH183" s="3"/>
    </row>
    <row r="184" spans="2:34" x14ac:dyDescent="0.25">
      <c r="B184" s="3">
        <f t="shared" ref="B184:AF184" si="120">$C31*EXP(-B$168/$A31/EXP(-$C$126))</f>
        <v>4.7755707575506505E-2</v>
      </c>
      <c r="C184" s="3">
        <f t="shared" si="120"/>
        <v>4.7755707575506505E-2</v>
      </c>
      <c r="D184" s="3">
        <f t="shared" si="120"/>
        <v>4.7755707575506505E-2</v>
      </c>
      <c r="E184" s="3">
        <f t="shared" si="120"/>
        <v>4.7755707575506505E-2</v>
      </c>
      <c r="F184" s="3">
        <f t="shared" si="120"/>
        <v>4.7755707575506505E-2</v>
      </c>
      <c r="G184" s="3">
        <f t="shared" si="120"/>
        <v>4.7755707575506505E-2</v>
      </c>
      <c r="H184" s="3">
        <f t="shared" si="120"/>
        <v>4.7755707575506505E-2</v>
      </c>
      <c r="I184" s="3">
        <f t="shared" si="120"/>
        <v>4.7755707575506505E-2</v>
      </c>
      <c r="J184" s="3">
        <f t="shared" si="120"/>
        <v>4.7755707575506505E-2</v>
      </c>
      <c r="K184" s="3">
        <f t="shared" si="120"/>
        <v>4.7755707575506505E-2</v>
      </c>
      <c r="L184" s="3">
        <f t="shared" si="120"/>
        <v>4.7755707575506505E-2</v>
      </c>
      <c r="M184" s="3">
        <f t="shared" si="120"/>
        <v>4.7755707575506505E-2</v>
      </c>
      <c r="N184" s="3">
        <f t="shared" si="120"/>
        <v>4.7755707575506505E-2</v>
      </c>
      <c r="O184" s="3">
        <f t="shared" si="120"/>
        <v>4.7755707575506498E-2</v>
      </c>
      <c r="P184" s="3">
        <f t="shared" si="120"/>
        <v>4.775570757550647E-2</v>
      </c>
      <c r="Q184" s="3">
        <f t="shared" si="120"/>
        <v>4.7755707575506214E-2</v>
      </c>
      <c r="R184" s="3">
        <f t="shared" si="120"/>
        <v>4.775570757550357E-2</v>
      </c>
      <c r="S184" s="3">
        <f t="shared" si="120"/>
        <v>4.7755707575477112E-2</v>
      </c>
      <c r="T184" s="3">
        <f t="shared" si="120"/>
        <v>4.7755707575212566E-2</v>
      </c>
      <c r="U184" s="3">
        <f t="shared" si="120"/>
        <v>4.7755707572567113E-2</v>
      </c>
      <c r="V184" s="3">
        <f t="shared" si="120"/>
        <v>4.7755707546112594E-2</v>
      </c>
      <c r="W184" s="3">
        <f t="shared" si="120"/>
        <v>4.7755707281567451E-2</v>
      </c>
      <c r="X184" s="3">
        <f t="shared" si="120"/>
        <v>4.7755704636116045E-2</v>
      </c>
      <c r="Y184" s="3">
        <f t="shared" si="120"/>
        <v>4.7755678181610042E-2</v>
      </c>
      <c r="Z184" s="3">
        <f t="shared" si="120"/>
        <v>4.7755413637356067E-2</v>
      </c>
      <c r="AA184" s="3">
        <f t="shared" si="120"/>
        <v>4.7752768275414782E-2</v>
      </c>
      <c r="AB184" s="3">
        <f t="shared" si="120"/>
        <v>4.7726322714203184E-2</v>
      </c>
      <c r="AC184" s="3">
        <f t="shared" si="120"/>
        <v>4.7462671273022915E-2</v>
      </c>
      <c r="AD184" s="3">
        <f t="shared" si="120"/>
        <v>4.4904949837224706E-2</v>
      </c>
      <c r="AE184" s="3">
        <f t="shared" si="120"/>
        <v>2.5805637838067049E-2</v>
      </c>
      <c r="AF184" s="3">
        <f t="shared" si="120"/>
        <v>1.013720950606553E-4</v>
      </c>
      <c r="AG184" s="3"/>
      <c r="AH184" s="3"/>
    </row>
    <row r="185" spans="2:34" x14ac:dyDescent="0.25">
      <c r="B185" s="3">
        <f t="shared" ref="B185:AF185" si="121">$C32*EXP(-B$168/$A32/EXP(-$C$126))</f>
        <v>5.7469214785363418E-2</v>
      </c>
      <c r="C185" s="3">
        <f t="shared" si="121"/>
        <v>5.7469214785363418E-2</v>
      </c>
      <c r="D185" s="3">
        <f t="shared" si="121"/>
        <v>5.7469214785363418E-2</v>
      </c>
      <c r="E185" s="3">
        <f t="shared" si="121"/>
        <v>5.7469214785363418E-2</v>
      </c>
      <c r="F185" s="3">
        <f t="shared" si="121"/>
        <v>5.7469214785363418E-2</v>
      </c>
      <c r="G185" s="3">
        <f t="shared" si="121"/>
        <v>5.7469214785363418E-2</v>
      </c>
      <c r="H185" s="3">
        <f t="shared" si="121"/>
        <v>5.7469214785363418E-2</v>
      </c>
      <c r="I185" s="3">
        <f t="shared" si="121"/>
        <v>5.7469214785363418E-2</v>
      </c>
      <c r="J185" s="3">
        <f t="shared" si="121"/>
        <v>5.7469214785363418E-2</v>
      </c>
      <c r="K185" s="3">
        <f t="shared" si="121"/>
        <v>5.7469214785363418E-2</v>
      </c>
      <c r="L185" s="3">
        <f t="shared" si="121"/>
        <v>5.7469214785363418E-2</v>
      </c>
      <c r="M185" s="3">
        <f t="shared" si="121"/>
        <v>5.7469214785363418E-2</v>
      </c>
      <c r="N185" s="3">
        <f t="shared" si="121"/>
        <v>5.7469214785363418E-2</v>
      </c>
      <c r="O185" s="3">
        <f t="shared" si="121"/>
        <v>5.7469214785363418E-2</v>
      </c>
      <c r="P185" s="3">
        <f t="shared" si="121"/>
        <v>5.7469214785363418E-2</v>
      </c>
      <c r="Q185" s="3">
        <f t="shared" si="121"/>
        <v>5.7469214785363383E-2</v>
      </c>
      <c r="R185" s="3">
        <f t="shared" si="121"/>
        <v>5.7469214785363099E-2</v>
      </c>
      <c r="S185" s="3">
        <f t="shared" si="121"/>
        <v>5.7469214785360226E-2</v>
      </c>
      <c r="T185" s="3">
        <f t="shared" si="121"/>
        <v>5.7469214785331513E-2</v>
      </c>
      <c r="U185" s="3">
        <f t="shared" si="121"/>
        <v>5.7469214785044333E-2</v>
      </c>
      <c r="V185" s="3">
        <f t="shared" si="121"/>
        <v>5.7469214782172512E-2</v>
      </c>
      <c r="W185" s="3">
        <f t="shared" si="121"/>
        <v>5.7469214753454366E-2</v>
      </c>
      <c r="X185" s="3">
        <f t="shared" si="121"/>
        <v>5.7469214466272928E-2</v>
      </c>
      <c r="Y185" s="3">
        <f t="shared" si="121"/>
        <v>5.7469211594458586E-2</v>
      </c>
      <c r="Z185" s="3">
        <f t="shared" si="121"/>
        <v>5.746918287632307E-2</v>
      </c>
      <c r="AA185" s="3">
        <f t="shared" si="121"/>
        <v>5.7468895695757208E-2</v>
      </c>
      <c r="AB185" s="3">
        <f t="shared" si="121"/>
        <v>5.7466023969026656E-2</v>
      </c>
      <c r="AC185" s="3">
        <f t="shared" si="121"/>
        <v>5.7437314593064739E-2</v>
      </c>
      <c r="AD185" s="3">
        <f t="shared" si="121"/>
        <v>5.7151008510694934E-2</v>
      </c>
      <c r="AE185" s="3">
        <f t="shared" si="121"/>
        <v>5.4365278305761891E-2</v>
      </c>
      <c r="AF185" s="3">
        <f t="shared" si="121"/>
        <v>3.2983655534238022E-2</v>
      </c>
      <c r="AG185" s="3"/>
      <c r="AH185" s="3"/>
    </row>
    <row r="186" spans="2:34" x14ac:dyDescent="0.25">
      <c r="B186" s="3">
        <f t="shared" ref="B186:AF186" si="122">$C33*EXP(-B$168/$A33/EXP(-$C$126))</f>
        <v>6.4260885650205518E-2</v>
      </c>
      <c r="C186" s="3">
        <f t="shared" si="122"/>
        <v>6.4260885650205518E-2</v>
      </c>
      <c r="D186" s="3">
        <f t="shared" si="122"/>
        <v>6.4260885650205518E-2</v>
      </c>
      <c r="E186" s="3">
        <f t="shared" si="122"/>
        <v>6.4260885650205518E-2</v>
      </c>
      <c r="F186" s="3">
        <f t="shared" si="122"/>
        <v>6.4260885650205518E-2</v>
      </c>
      <c r="G186" s="3">
        <f t="shared" si="122"/>
        <v>6.4260885650205518E-2</v>
      </c>
      <c r="H186" s="3">
        <f t="shared" si="122"/>
        <v>6.4260885650205518E-2</v>
      </c>
      <c r="I186" s="3">
        <f t="shared" si="122"/>
        <v>6.4260885650205518E-2</v>
      </c>
      <c r="J186" s="3">
        <f t="shared" si="122"/>
        <v>6.4260885650205518E-2</v>
      </c>
      <c r="K186" s="3">
        <f t="shared" si="122"/>
        <v>6.4260885650205518E-2</v>
      </c>
      <c r="L186" s="3">
        <f t="shared" si="122"/>
        <v>6.4260885650205518E-2</v>
      </c>
      <c r="M186" s="3">
        <f t="shared" si="122"/>
        <v>6.4260885650205518E-2</v>
      </c>
      <c r="N186" s="3">
        <f t="shared" si="122"/>
        <v>6.4260885650205518E-2</v>
      </c>
      <c r="O186" s="3">
        <f t="shared" si="122"/>
        <v>6.4260885650205518E-2</v>
      </c>
      <c r="P186" s="3">
        <f t="shared" si="122"/>
        <v>6.4260885650205518E-2</v>
      </c>
      <c r="Q186" s="3">
        <f t="shared" si="122"/>
        <v>6.4260885650205518E-2</v>
      </c>
      <c r="R186" s="3">
        <f t="shared" si="122"/>
        <v>6.4260885650205476E-2</v>
      </c>
      <c r="S186" s="3">
        <f t="shared" si="122"/>
        <v>6.4260885650205199E-2</v>
      </c>
      <c r="T186" s="3">
        <f t="shared" si="122"/>
        <v>6.4260885650202298E-2</v>
      </c>
      <c r="U186" s="3">
        <f t="shared" si="122"/>
        <v>6.4260885650173336E-2</v>
      </c>
      <c r="V186" s="3">
        <f t="shared" si="122"/>
        <v>6.4260885649883651E-2</v>
      </c>
      <c r="W186" s="3">
        <f t="shared" si="122"/>
        <v>6.4260885646986884E-2</v>
      </c>
      <c r="X186" s="3">
        <f t="shared" si="122"/>
        <v>6.4260885618019153E-2</v>
      </c>
      <c r="Y186" s="3">
        <f t="shared" si="122"/>
        <v>6.4260885328341885E-2</v>
      </c>
      <c r="Z186" s="3">
        <f t="shared" si="122"/>
        <v>6.4260882431569341E-2</v>
      </c>
      <c r="AA186" s="3">
        <f t="shared" si="122"/>
        <v>6.4260853463851089E-2</v>
      </c>
      <c r="AB186" s="3">
        <f t="shared" si="122"/>
        <v>6.426056378738669E-2</v>
      </c>
      <c r="AC186" s="3">
        <f t="shared" si="122"/>
        <v>6.425766709456128E-2</v>
      </c>
      <c r="AD186" s="3">
        <f t="shared" si="122"/>
        <v>6.4228707346966354E-2</v>
      </c>
      <c r="AE186" s="3">
        <f t="shared" si="122"/>
        <v>6.3939826740721017E-2</v>
      </c>
      <c r="AF186" s="3">
        <f t="shared" si="122"/>
        <v>6.112152626346827E-2</v>
      </c>
      <c r="AG186" s="3"/>
      <c r="AH186" s="3"/>
    </row>
    <row r="187" spans="2:34" x14ac:dyDescent="0.25">
      <c r="B187" s="3">
        <f t="shared" ref="B187:AF187" si="123">$C34*EXP(-B$168/$A34/EXP(-$C$126))</f>
        <v>6.2189536822504186E-2</v>
      </c>
      <c r="C187" s="3">
        <f t="shared" si="123"/>
        <v>6.2189536822504186E-2</v>
      </c>
      <c r="D187" s="3">
        <f t="shared" si="123"/>
        <v>6.2189536822504186E-2</v>
      </c>
      <c r="E187" s="3">
        <f t="shared" si="123"/>
        <v>6.2189536822504186E-2</v>
      </c>
      <c r="F187" s="3">
        <f t="shared" si="123"/>
        <v>6.2189536822504186E-2</v>
      </c>
      <c r="G187" s="3">
        <f t="shared" si="123"/>
        <v>6.2189536822504186E-2</v>
      </c>
      <c r="H187" s="3">
        <f t="shared" si="123"/>
        <v>6.2189536822504186E-2</v>
      </c>
      <c r="I187" s="3">
        <f t="shared" si="123"/>
        <v>6.2189536822504186E-2</v>
      </c>
      <c r="J187" s="3">
        <f t="shared" si="123"/>
        <v>6.2189536822504186E-2</v>
      </c>
      <c r="K187" s="3">
        <f t="shared" si="123"/>
        <v>6.2189536822504186E-2</v>
      </c>
      <c r="L187" s="3">
        <f t="shared" si="123"/>
        <v>6.2189536822504186E-2</v>
      </c>
      <c r="M187" s="3">
        <f t="shared" si="123"/>
        <v>6.2189536822504186E-2</v>
      </c>
      <c r="N187" s="3">
        <f t="shared" si="123"/>
        <v>6.2189536822504186E-2</v>
      </c>
      <c r="O187" s="3">
        <f t="shared" si="123"/>
        <v>6.2189536822504186E-2</v>
      </c>
      <c r="P187" s="3">
        <f t="shared" si="123"/>
        <v>6.2189536822504186E-2</v>
      </c>
      <c r="Q187" s="3">
        <f t="shared" si="123"/>
        <v>6.2189536822504186E-2</v>
      </c>
      <c r="R187" s="3">
        <f t="shared" si="123"/>
        <v>6.2189536822504186E-2</v>
      </c>
      <c r="S187" s="3">
        <f t="shared" si="123"/>
        <v>6.2189536822504159E-2</v>
      </c>
      <c r="T187" s="3">
        <f t="shared" si="123"/>
        <v>6.2189536822503902E-2</v>
      </c>
      <c r="U187" s="3">
        <f t="shared" si="123"/>
        <v>6.2189536822501376E-2</v>
      </c>
      <c r="V187" s="3">
        <f t="shared" si="123"/>
        <v>6.2189536822476084E-2</v>
      </c>
      <c r="W187" s="3">
        <f t="shared" si="123"/>
        <v>6.2189536822223196E-2</v>
      </c>
      <c r="X187" s="3">
        <f t="shared" si="123"/>
        <v>6.2189536819694302E-2</v>
      </c>
      <c r="Y187" s="3">
        <f t="shared" si="123"/>
        <v>6.2189536794405302E-2</v>
      </c>
      <c r="Z187" s="3">
        <f t="shared" si="123"/>
        <v>6.2189536541515322E-2</v>
      </c>
      <c r="AA187" s="3">
        <f t="shared" si="123"/>
        <v>6.2189534012615635E-2</v>
      </c>
      <c r="AB187" s="3">
        <f t="shared" si="123"/>
        <v>6.2189508723624394E-2</v>
      </c>
      <c r="AC187" s="3">
        <f t="shared" si="123"/>
        <v>6.2189255834277563E-2</v>
      </c>
      <c r="AD187" s="3">
        <f t="shared" si="123"/>
        <v>6.2186726997368193E-2</v>
      </c>
      <c r="AE187" s="3">
        <f t="shared" si="123"/>
        <v>6.2161444283318545E-2</v>
      </c>
      <c r="AF187" s="3">
        <f t="shared" si="123"/>
        <v>6.1909181797305868E-2</v>
      </c>
      <c r="AG187" s="3"/>
      <c r="AH187" s="3"/>
    </row>
    <row r="188" spans="2:34" x14ac:dyDescent="0.25">
      <c r="B188" s="3">
        <f t="shared" ref="B188:AF188" si="124">$C35*EXP(-B$168/$A35/EXP(-$C$126))</f>
        <v>4.8803099741359754E-2</v>
      </c>
      <c r="C188" s="3">
        <f t="shared" si="124"/>
        <v>4.8803099741359754E-2</v>
      </c>
      <c r="D188" s="3">
        <f t="shared" si="124"/>
        <v>4.8803099741359754E-2</v>
      </c>
      <c r="E188" s="3">
        <f t="shared" si="124"/>
        <v>4.8803099741359754E-2</v>
      </c>
      <c r="F188" s="3">
        <f t="shared" si="124"/>
        <v>4.8803099741359754E-2</v>
      </c>
      <c r="G188" s="3">
        <f t="shared" si="124"/>
        <v>4.8803099741359754E-2</v>
      </c>
      <c r="H188" s="3">
        <f t="shared" si="124"/>
        <v>4.8803099741359754E-2</v>
      </c>
      <c r="I188" s="3">
        <f t="shared" si="124"/>
        <v>4.8803099741359754E-2</v>
      </c>
      <c r="J188" s="3">
        <f t="shared" si="124"/>
        <v>4.8803099741359754E-2</v>
      </c>
      <c r="K188" s="3">
        <f t="shared" si="124"/>
        <v>4.8803099741359754E-2</v>
      </c>
      <c r="L188" s="3">
        <f t="shared" si="124"/>
        <v>4.8803099741359754E-2</v>
      </c>
      <c r="M188" s="3">
        <f t="shared" si="124"/>
        <v>4.8803099741359754E-2</v>
      </c>
      <c r="N188" s="3">
        <f t="shared" si="124"/>
        <v>4.8803099741359754E-2</v>
      </c>
      <c r="O188" s="3">
        <f t="shared" si="124"/>
        <v>4.8803099741359754E-2</v>
      </c>
      <c r="P188" s="3">
        <f t="shared" si="124"/>
        <v>4.8803099741359754E-2</v>
      </c>
      <c r="Q188" s="3">
        <f t="shared" si="124"/>
        <v>4.8803099741359754E-2</v>
      </c>
      <c r="R188" s="3">
        <f t="shared" si="124"/>
        <v>4.8803099741359754E-2</v>
      </c>
      <c r="S188" s="3">
        <f t="shared" si="124"/>
        <v>4.8803099741359754E-2</v>
      </c>
      <c r="T188" s="3">
        <f t="shared" si="124"/>
        <v>4.8803099741359733E-2</v>
      </c>
      <c r="U188" s="3">
        <f t="shared" si="124"/>
        <v>4.8803099741359553E-2</v>
      </c>
      <c r="V188" s="3">
        <f t="shared" si="124"/>
        <v>4.8803099741357762E-2</v>
      </c>
      <c r="W188" s="3">
        <f t="shared" si="124"/>
        <v>4.8803099741339867E-2</v>
      </c>
      <c r="X188" s="3">
        <f t="shared" si="124"/>
        <v>4.8803099741160837E-2</v>
      </c>
      <c r="Y188" s="3">
        <f t="shared" si="124"/>
        <v>4.8803099739370609E-2</v>
      </c>
      <c r="Z188" s="3">
        <f t="shared" si="124"/>
        <v>4.8803099721468332E-2</v>
      </c>
      <c r="AA188" s="3">
        <f t="shared" si="124"/>
        <v>4.8803099542445556E-2</v>
      </c>
      <c r="AB188" s="3">
        <f t="shared" si="124"/>
        <v>4.8803097752217826E-2</v>
      </c>
      <c r="AC188" s="3">
        <f t="shared" si="124"/>
        <v>4.8803079849944135E-2</v>
      </c>
      <c r="AD188" s="3">
        <f t="shared" si="124"/>
        <v>4.8802900827568364E-2</v>
      </c>
      <c r="AE188" s="3">
        <f t="shared" si="124"/>
        <v>4.8801110639928813E-2</v>
      </c>
      <c r="AF188" s="3">
        <f t="shared" si="124"/>
        <v>4.8783212374856652E-2</v>
      </c>
      <c r="AG188" s="3"/>
      <c r="AH188" s="3"/>
    </row>
    <row r="189" spans="2:34" x14ac:dyDescent="0.25">
      <c r="B189" s="3">
        <f t="shared" ref="B189:AF189" si="125">$C36*EXP(-B$168/$A36/EXP(-$C$126))</f>
        <v>3.0415227107223403E-2</v>
      </c>
      <c r="C189" s="3">
        <f t="shared" si="125"/>
        <v>3.0415227107223403E-2</v>
      </c>
      <c r="D189" s="3">
        <f t="shared" si="125"/>
        <v>3.0415227107223403E-2</v>
      </c>
      <c r="E189" s="3">
        <f t="shared" si="125"/>
        <v>3.0415227107223403E-2</v>
      </c>
      <c r="F189" s="3">
        <f t="shared" si="125"/>
        <v>3.0415227107223403E-2</v>
      </c>
      <c r="G189" s="3">
        <f t="shared" si="125"/>
        <v>3.0415227107223403E-2</v>
      </c>
      <c r="H189" s="3">
        <f t="shared" si="125"/>
        <v>3.0415227107223403E-2</v>
      </c>
      <c r="I189" s="3">
        <f t="shared" si="125"/>
        <v>3.0415227107223403E-2</v>
      </c>
      <c r="J189" s="3">
        <f t="shared" si="125"/>
        <v>3.0415227107223403E-2</v>
      </c>
      <c r="K189" s="3">
        <f t="shared" si="125"/>
        <v>3.0415227107223403E-2</v>
      </c>
      <c r="L189" s="3">
        <f t="shared" si="125"/>
        <v>3.0415227107223403E-2</v>
      </c>
      <c r="M189" s="3">
        <f t="shared" si="125"/>
        <v>3.0415227107223403E-2</v>
      </c>
      <c r="N189" s="3">
        <f t="shared" si="125"/>
        <v>3.0415227107223403E-2</v>
      </c>
      <c r="O189" s="3">
        <f t="shared" si="125"/>
        <v>3.0415227107223403E-2</v>
      </c>
      <c r="P189" s="3">
        <f t="shared" si="125"/>
        <v>3.0415227107223403E-2</v>
      </c>
      <c r="Q189" s="3">
        <f t="shared" si="125"/>
        <v>3.0415227107223403E-2</v>
      </c>
      <c r="R189" s="3">
        <f t="shared" si="125"/>
        <v>3.0415227107223403E-2</v>
      </c>
      <c r="S189" s="3">
        <f t="shared" si="125"/>
        <v>3.0415227107223403E-2</v>
      </c>
      <c r="T189" s="3">
        <f t="shared" si="125"/>
        <v>3.0415227107223403E-2</v>
      </c>
      <c r="U189" s="3">
        <f t="shared" si="125"/>
        <v>3.0415227107223393E-2</v>
      </c>
      <c r="V189" s="3">
        <f t="shared" si="125"/>
        <v>3.0415227107223292E-2</v>
      </c>
      <c r="W189" s="3">
        <f t="shared" si="125"/>
        <v>3.0415227107222286E-2</v>
      </c>
      <c r="X189" s="3">
        <f t="shared" si="125"/>
        <v>3.0415227107212218E-2</v>
      </c>
      <c r="Y189" s="3">
        <f t="shared" si="125"/>
        <v>3.0415227107111576E-2</v>
      </c>
      <c r="Z189" s="3">
        <f t="shared" si="125"/>
        <v>3.041522710610511E-2</v>
      </c>
      <c r="AA189" s="3">
        <f t="shared" si="125"/>
        <v>3.041522709604046E-2</v>
      </c>
      <c r="AB189" s="3">
        <f t="shared" si="125"/>
        <v>3.0415226995393993E-2</v>
      </c>
      <c r="AC189" s="3">
        <f t="shared" si="125"/>
        <v>3.0415225988929338E-2</v>
      </c>
      <c r="AD189" s="3">
        <f t="shared" si="125"/>
        <v>3.041521592428461E-2</v>
      </c>
      <c r="AE189" s="3">
        <f t="shared" si="125"/>
        <v>3.0415115278020495E-2</v>
      </c>
      <c r="AF189" s="3">
        <f t="shared" si="125"/>
        <v>3.0414108833696721E-2</v>
      </c>
      <c r="AG189" s="3"/>
      <c r="AH189" s="3"/>
    </row>
    <row r="190" spans="2:34" x14ac:dyDescent="0.25">
      <c r="B190" s="3">
        <f t="shared" ref="B190:AF190" si="126">$C37*EXP(-B$168/$A37/EXP(-$C$126))</f>
        <v>1.5463317607252298E-2</v>
      </c>
      <c r="C190" s="3">
        <f t="shared" si="126"/>
        <v>1.5463317607252298E-2</v>
      </c>
      <c r="D190" s="3">
        <f t="shared" si="126"/>
        <v>1.5463317607252298E-2</v>
      </c>
      <c r="E190" s="3">
        <f t="shared" si="126"/>
        <v>1.5463317607252298E-2</v>
      </c>
      <c r="F190" s="3">
        <f t="shared" si="126"/>
        <v>1.5463317607252298E-2</v>
      </c>
      <c r="G190" s="3">
        <f t="shared" si="126"/>
        <v>1.5463317607252298E-2</v>
      </c>
      <c r="H190" s="3">
        <f t="shared" si="126"/>
        <v>1.5463317607252298E-2</v>
      </c>
      <c r="I190" s="3">
        <f t="shared" si="126"/>
        <v>1.5463317607252298E-2</v>
      </c>
      <c r="J190" s="3">
        <f t="shared" si="126"/>
        <v>1.5463317607252298E-2</v>
      </c>
      <c r="K190" s="3">
        <f t="shared" si="126"/>
        <v>1.5463317607252298E-2</v>
      </c>
      <c r="L190" s="3">
        <f t="shared" si="126"/>
        <v>1.5463317607252298E-2</v>
      </c>
      <c r="M190" s="3">
        <f t="shared" si="126"/>
        <v>1.5463317607252298E-2</v>
      </c>
      <c r="N190" s="3">
        <f t="shared" si="126"/>
        <v>1.5463317607252298E-2</v>
      </c>
      <c r="O190" s="3">
        <f t="shared" si="126"/>
        <v>1.5463317607252298E-2</v>
      </c>
      <c r="P190" s="3">
        <f t="shared" si="126"/>
        <v>1.5463317607252298E-2</v>
      </c>
      <c r="Q190" s="3">
        <f t="shared" si="126"/>
        <v>1.5463317607252298E-2</v>
      </c>
      <c r="R190" s="3">
        <f t="shared" si="126"/>
        <v>1.5463317607252298E-2</v>
      </c>
      <c r="S190" s="3">
        <f t="shared" si="126"/>
        <v>1.5463317607252298E-2</v>
      </c>
      <c r="T190" s="3">
        <f t="shared" si="126"/>
        <v>1.5463317607252298E-2</v>
      </c>
      <c r="U190" s="3">
        <f t="shared" si="126"/>
        <v>1.5463317607252298E-2</v>
      </c>
      <c r="V190" s="3">
        <f t="shared" si="126"/>
        <v>1.5463317607252293E-2</v>
      </c>
      <c r="W190" s="3">
        <f t="shared" si="126"/>
        <v>1.5463317607252246E-2</v>
      </c>
      <c r="X190" s="3">
        <f t="shared" si="126"/>
        <v>1.5463317607251784E-2</v>
      </c>
      <c r="Y190" s="3">
        <f t="shared" si="126"/>
        <v>1.546331760724717E-2</v>
      </c>
      <c r="Z190" s="3">
        <f t="shared" si="126"/>
        <v>1.5463317607201009E-2</v>
      </c>
      <c r="AA190" s="3">
        <f t="shared" si="126"/>
        <v>1.546331760673942E-2</v>
      </c>
      <c r="AB190" s="3">
        <f t="shared" si="126"/>
        <v>1.5463317602123515E-2</v>
      </c>
      <c r="AC190" s="3">
        <f t="shared" si="126"/>
        <v>1.5463317555964478E-2</v>
      </c>
      <c r="AD190" s="3">
        <f t="shared" si="126"/>
        <v>1.5463317094374115E-2</v>
      </c>
      <c r="AE190" s="3">
        <f t="shared" si="126"/>
        <v>1.5463312478471249E-2</v>
      </c>
      <c r="AF190" s="3">
        <f t="shared" si="126"/>
        <v>1.5463266319518356E-2</v>
      </c>
      <c r="AG190" s="3"/>
      <c r="AH190" s="3"/>
    </row>
    <row r="191" spans="2:34" x14ac:dyDescent="0.25">
      <c r="B191" s="3">
        <f t="shared" ref="B191:AF191" si="127">$C38*EXP(-B$168/$A38/EXP(-$C$126))</f>
        <v>6.4979326784240111E-3</v>
      </c>
      <c r="C191" s="3">
        <f t="shared" si="127"/>
        <v>6.4979326784240111E-3</v>
      </c>
      <c r="D191" s="3">
        <f t="shared" si="127"/>
        <v>6.4979326784240111E-3</v>
      </c>
      <c r="E191" s="3">
        <f t="shared" si="127"/>
        <v>6.4979326784240111E-3</v>
      </c>
      <c r="F191" s="3">
        <f t="shared" si="127"/>
        <v>6.4979326784240111E-3</v>
      </c>
      <c r="G191" s="3">
        <f t="shared" si="127"/>
        <v>6.4979326784240111E-3</v>
      </c>
      <c r="H191" s="3">
        <f t="shared" si="127"/>
        <v>6.4979326784240111E-3</v>
      </c>
      <c r="I191" s="3">
        <f t="shared" si="127"/>
        <v>6.4979326784240111E-3</v>
      </c>
      <c r="J191" s="3">
        <f t="shared" si="127"/>
        <v>6.4979326784240111E-3</v>
      </c>
      <c r="K191" s="3">
        <f t="shared" si="127"/>
        <v>6.4979326784240111E-3</v>
      </c>
      <c r="L191" s="3">
        <f t="shared" si="127"/>
        <v>6.4979326784240111E-3</v>
      </c>
      <c r="M191" s="3">
        <f t="shared" si="127"/>
        <v>6.4979326784240111E-3</v>
      </c>
      <c r="N191" s="3">
        <f t="shared" si="127"/>
        <v>6.4979326784240111E-3</v>
      </c>
      <c r="O191" s="3">
        <f t="shared" si="127"/>
        <v>6.4979326784240111E-3</v>
      </c>
      <c r="P191" s="3">
        <f t="shared" si="127"/>
        <v>6.4979326784240111E-3</v>
      </c>
      <c r="Q191" s="3">
        <f t="shared" si="127"/>
        <v>6.4979326784240111E-3</v>
      </c>
      <c r="R191" s="3">
        <f t="shared" si="127"/>
        <v>6.4979326784240111E-3</v>
      </c>
      <c r="S191" s="3">
        <f t="shared" si="127"/>
        <v>6.4979326784240111E-3</v>
      </c>
      <c r="T191" s="3">
        <f t="shared" si="127"/>
        <v>6.4979326784240111E-3</v>
      </c>
      <c r="U191" s="3">
        <f t="shared" si="127"/>
        <v>6.4979326784240111E-3</v>
      </c>
      <c r="V191" s="3">
        <f t="shared" si="127"/>
        <v>6.4979326784240111E-3</v>
      </c>
      <c r="W191" s="3">
        <f t="shared" si="127"/>
        <v>6.4979326784240093E-3</v>
      </c>
      <c r="X191" s="3">
        <f t="shared" si="127"/>
        <v>6.497932678423992E-3</v>
      </c>
      <c r="Y191" s="3">
        <f t="shared" si="127"/>
        <v>6.4979326784238168E-3</v>
      </c>
      <c r="Z191" s="3">
        <f t="shared" si="127"/>
        <v>6.4979326784220665E-3</v>
      </c>
      <c r="AA191" s="3">
        <f t="shared" si="127"/>
        <v>6.49793267840457E-3</v>
      </c>
      <c r="AB191" s="3">
        <f t="shared" si="127"/>
        <v>6.4979326782295945E-3</v>
      </c>
      <c r="AC191" s="3">
        <f t="shared" si="127"/>
        <v>6.4979326764798449E-3</v>
      </c>
      <c r="AD191" s="3">
        <f t="shared" si="127"/>
        <v>6.497932658982351E-3</v>
      </c>
      <c r="AE191" s="3">
        <f t="shared" si="127"/>
        <v>6.4979324840074093E-3</v>
      </c>
      <c r="AF191" s="3">
        <f t="shared" si="127"/>
        <v>6.4979307342582591E-3</v>
      </c>
      <c r="AG191" s="3"/>
      <c r="AH191" s="3"/>
    </row>
    <row r="192" spans="2:34" x14ac:dyDescent="0.25">
      <c r="B192" s="3">
        <f t="shared" ref="B192:AF192" si="128">$C39*EXP(-B$168/$A39/EXP(-$C$126))</f>
        <v>1.7266189453767201E-3</v>
      </c>
      <c r="C192" s="3">
        <f t="shared" si="128"/>
        <v>1.7266189453767201E-3</v>
      </c>
      <c r="D192" s="3">
        <f t="shared" si="128"/>
        <v>1.7266189453767201E-3</v>
      </c>
      <c r="E192" s="3">
        <f t="shared" si="128"/>
        <v>1.7266189453767201E-3</v>
      </c>
      <c r="F192" s="3">
        <f t="shared" si="128"/>
        <v>1.7266189453767201E-3</v>
      </c>
      <c r="G192" s="3">
        <f t="shared" si="128"/>
        <v>1.7266189453767201E-3</v>
      </c>
      <c r="H192" s="3">
        <f t="shared" si="128"/>
        <v>1.7266189453767201E-3</v>
      </c>
      <c r="I192" s="3">
        <f t="shared" si="128"/>
        <v>1.7266189453767201E-3</v>
      </c>
      <c r="J192" s="3">
        <f t="shared" si="128"/>
        <v>1.7266189453767201E-3</v>
      </c>
      <c r="K192" s="3">
        <f t="shared" si="128"/>
        <v>1.7266189453767201E-3</v>
      </c>
      <c r="L192" s="3">
        <f t="shared" si="128"/>
        <v>1.7266189453767201E-3</v>
      </c>
      <c r="M192" s="3">
        <f t="shared" si="128"/>
        <v>1.7266189453767201E-3</v>
      </c>
      <c r="N192" s="3">
        <f t="shared" si="128"/>
        <v>1.7266189453767201E-3</v>
      </c>
      <c r="O192" s="3">
        <f t="shared" si="128"/>
        <v>1.7266189453767201E-3</v>
      </c>
      <c r="P192" s="3">
        <f t="shared" si="128"/>
        <v>1.7266189453767201E-3</v>
      </c>
      <c r="Q192" s="3">
        <f t="shared" si="128"/>
        <v>1.7266189453767201E-3</v>
      </c>
      <c r="R192" s="3">
        <f t="shared" si="128"/>
        <v>1.7266189453767201E-3</v>
      </c>
      <c r="S192" s="3">
        <f t="shared" si="128"/>
        <v>1.7266189453767201E-3</v>
      </c>
      <c r="T192" s="3">
        <f t="shared" si="128"/>
        <v>1.7266189453767201E-3</v>
      </c>
      <c r="U192" s="3">
        <f t="shared" si="128"/>
        <v>1.7266189453767201E-3</v>
      </c>
      <c r="V192" s="3">
        <f t="shared" si="128"/>
        <v>1.7266189453767201E-3</v>
      </c>
      <c r="W192" s="3">
        <f t="shared" si="128"/>
        <v>1.7266189453767199E-3</v>
      </c>
      <c r="X192" s="3">
        <f t="shared" si="128"/>
        <v>1.7266189453767188E-3</v>
      </c>
      <c r="Y192" s="3">
        <f t="shared" si="128"/>
        <v>1.7266189453767058E-3</v>
      </c>
      <c r="Z192" s="3">
        <f t="shared" si="128"/>
        <v>1.7266189453765772E-3</v>
      </c>
      <c r="AA192" s="3">
        <f t="shared" si="128"/>
        <v>1.7266189453752911E-3</v>
      </c>
      <c r="AB192" s="3">
        <f t="shared" si="128"/>
        <v>1.7266189453624323E-3</v>
      </c>
      <c r="AC192" s="3">
        <f t="shared" si="128"/>
        <v>1.7266189452338414E-3</v>
      </c>
      <c r="AD192" s="3">
        <f t="shared" si="128"/>
        <v>1.7266189439479331E-3</v>
      </c>
      <c r="AE192" s="3">
        <f t="shared" si="128"/>
        <v>1.7266189310888495E-3</v>
      </c>
      <c r="AF192" s="3">
        <f t="shared" si="128"/>
        <v>1.7266188024980197E-3</v>
      </c>
      <c r="AG192" s="3"/>
      <c r="AH192" s="3"/>
    </row>
    <row r="193" spans="1:34" x14ac:dyDescent="0.25">
      <c r="B193" s="3">
        <f t="shared" ref="B193:AF193" si="129">$C40*EXP(-B$168/$A40/EXP(-$C$126))</f>
        <v>4.5003340048363309E-3</v>
      </c>
      <c r="C193" s="3">
        <f t="shared" si="129"/>
        <v>4.5003340048363309E-3</v>
      </c>
      <c r="D193" s="3">
        <f t="shared" si="129"/>
        <v>4.5003340048363309E-3</v>
      </c>
      <c r="E193" s="3">
        <f t="shared" si="129"/>
        <v>4.5003340048363309E-3</v>
      </c>
      <c r="F193" s="3">
        <f t="shared" si="129"/>
        <v>4.5003340048363309E-3</v>
      </c>
      <c r="G193" s="3">
        <f t="shared" si="129"/>
        <v>4.5003340048363309E-3</v>
      </c>
      <c r="H193" s="3">
        <f t="shared" si="129"/>
        <v>4.5003340048363309E-3</v>
      </c>
      <c r="I193" s="3">
        <f t="shared" si="129"/>
        <v>4.5003340048363309E-3</v>
      </c>
      <c r="J193" s="3">
        <f t="shared" si="129"/>
        <v>4.5003340048363309E-3</v>
      </c>
      <c r="K193" s="3">
        <f t="shared" si="129"/>
        <v>4.5003340048363309E-3</v>
      </c>
      <c r="L193" s="3">
        <f t="shared" si="129"/>
        <v>4.5003340048363309E-3</v>
      </c>
      <c r="M193" s="3">
        <f t="shared" si="129"/>
        <v>4.5003340048363309E-3</v>
      </c>
      <c r="N193" s="3">
        <f t="shared" si="129"/>
        <v>4.5003340048363309E-3</v>
      </c>
      <c r="O193" s="3">
        <f t="shared" si="129"/>
        <v>4.5003340048363309E-3</v>
      </c>
      <c r="P193" s="3">
        <f t="shared" si="129"/>
        <v>4.5003340048363309E-3</v>
      </c>
      <c r="Q193" s="3">
        <f t="shared" si="129"/>
        <v>4.5003340048363309E-3</v>
      </c>
      <c r="R193" s="3">
        <f t="shared" si="129"/>
        <v>4.5003340048363309E-3</v>
      </c>
      <c r="S193" s="3">
        <f t="shared" si="129"/>
        <v>4.5003340048363309E-3</v>
      </c>
      <c r="T193" s="3">
        <f t="shared" si="129"/>
        <v>4.5003340048363309E-3</v>
      </c>
      <c r="U193" s="3">
        <f t="shared" si="129"/>
        <v>4.5003340048363309E-3</v>
      </c>
      <c r="V193" s="3">
        <f t="shared" si="129"/>
        <v>4.5003340048363309E-3</v>
      </c>
      <c r="W193" s="3">
        <f t="shared" si="129"/>
        <v>4.5003340048363309E-3</v>
      </c>
      <c r="X193" s="3">
        <f t="shared" si="129"/>
        <v>4.5003340048363301E-3</v>
      </c>
      <c r="Y193" s="3">
        <f t="shared" si="129"/>
        <v>4.5003340048363275E-3</v>
      </c>
      <c r="Z193" s="3">
        <f t="shared" si="129"/>
        <v>4.5003340048362936E-3</v>
      </c>
      <c r="AA193" s="3">
        <f t="shared" si="129"/>
        <v>4.5003340048359588E-3</v>
      </c>
      <c r="AB193" s="3">
        <f t="shared" si="129"/>
        <v>4.5003340048326065E-3</v>
      </c>
      <c r="AC193" s="3">
        <f t="shared" si="129"/>
        <v>4.5003340047990907E-3</v>
      </c>
      <c r="AD193" s="3">
        <f t="shared" si="129"/>
        <v>4.5003340044639257E-3</v>
      </c>
      <c r="AE193" s="3">
        <f t="shared" si="129"/>
        <v>4.5003340011122786E-3</v>
      </c>
      <c r="AF193" s="3">
        <f t="shared" si="129"/>
        <v>4.5003339675958095E-3</v>
      </c>
      <c r="AG193" s="3"/>
      <c r="AH193" s="3"/>
    </row>
    <row r="194" spans="1:34" x14ac:dyDescent="0.25">
      <c r="B194" s="3">
        <f t="shared" ref="B194:AF194" si="130">$C41*EXP(-B$168/$A41/EXP(-$C$126))</f>
        <v>6.1948117203855881E-4</v>
      </c>
      <c r="C194" s="3">
        <f t="shared" si="130"/>
        <v>6.1948117203855881E-4</v>
      </c>
      <c r="D194" s="3">
        <f t="shared" si="130"/>
        <v>6.1948117203855881E-4</v>
      </c>
      <c r="E194" s="3">
        <f t="shared" si="130"/>
        <v>6.1948117203855881E-4</v>
      </c>
      <c r="F194" s="3">
        <f t="shared" si="130"/>
        <v>6.1948117203855881E-4</v>
      </c>
      <c r="G194" s="3">
        <f t="shared" si="130"/>
        <v>6.1948117203855881E-4</v>
      </c>
      <c r="H194" s="3">
        <f t="shared" si="130"/>
        <v>6.1948117203855881E-4</v>
      </c>
      <c r="I194" s="3">
        <f t="shared" si="130"/>
        <v>6.1948117203855881E-4</v>
      </c>
      <c r="J194" s="3">
        <f t="shared" si="130"/>
        <v>6.1948117203855881E-4</v>
      </c>
      <c r="K194" s="3">
        <f t="shared" si="130"/>
        <v>6.1948117203855881E-4</v>
      </c>
      <c r="L194" s="3">
        <f t="shared" si="130"/>
        <v>6.1948117203855881E-4</v>
      </c>
      <c r="M194" s="3">
        <f t="shared" si="130"/>
        <v>6.1948117203855881E-4</v>
      </c>
      <c r="N194" s="3">
        <f t="shared" si="130"/>
        <v>6.1948117203855881E-4</v>
      </c>
      <c r="O194" s="3">
        <f t="shared" si="130"/>
        <v>6.1948117203855881E-4</v>
      </c>
      <c r="P194" s="3">
        <f t="shared" si="130"/>
        <v>6.1948117203855881E-4</v>
      </c>
      <c r="Q194" s="3">
        <f t="shared" si="130"/>
        <v>6.1948117203855881E-4</v>
      </c>
      <c r="R194" s="3">
        <f t="shared" si="130"/>
        <v>6.1948117203855881E-4</v>
      </c>
      <c r="S194" s="3">
        <f t="shared" si="130"/>
        <v>6.1948117203855881E-4</v>
      </c>
      <c r="T194" s="3">
        <f t="shared" si="130"/>
        <v>6.1948117203855881E-4</v>
      </c>
      <c r="U194" s="3">
        <f t="shared" si="130"/>
        <v>6.1948117203855881E-4</v>
      </c>
      <c r="V194" s="3">
        <f t="shared" si="130"/>
        <v>6.1948117203855881E-4</v>
      </c>
      <c r="W194" s="3">
        <f t="shared" si="130"/>
        <v>6.1948117203855881E-4</v>
      </c>
      <c r="X194" s="3">
        <f t="shared" si="130"/>
        <v>6.1948117203855881E-4</v>
      </c>
      <c r="Y194" s="3">
        <f t="shared" si="130"/>
        <v>6.1948117203855871E-4</v>
      </c>
      <c r="Z194" s="3">
        <f t="shared" si="130"/>
        <v>6.1948117203855838E-4</v>
      </c>
      <c r="AA194" s="3">
        <f t="shared" si="130"/>
        <v>6.1948117203855361E-4</v>
      </c>
      <c r="AB194" s="3">
        <f t="shared" si="130"/>
        <v>6.1948117203850753E-4</v>
      </c>
      <c r="AC194" s="3">
        <f t="shared" si="130"/>
        <v>6.194811720380462E-4</v>
      </c>
      <c r="AD194" s="3">
        <f t="shared" si="130"/>
        <v>6.194811720334326E-4</v>
      </c>
      <c r="AE194" s="3">
        <f t="shared" si="130"/>
        <v>6.1948117198729643E-4</v>
      </c>
      <c r="AF194" s="3">
        <f t="shared" si="130"/>
        <v>6.1948117152593458E-4</v>
      </c>
      <c r="AG194" s="3"/>
      <c r="AH194" s="3"/>
    </row>
    <row r="195" spans="1:34" x14ac:dyDescent="0.25">
      <c r="B195" s="3">
        <f t="shared" ref="B195:AF195" si="131">$C42*EXP(-B$168/$A42/EXP(-$C$126))</f>
        <v>7.8921984991154562E-4</v>
      </c>
      <c r="C195" s="3">
        <f t="shared" si="131"/>
        <v>7.8921984991154562E-4</v>
      </c>
      <c r="D195" s="3">
        <f t="shared" si="131"/>
        <v>7.8921984991154562E-4</v>
      </c>
      <c r="E195" s="3">
        <f t="shared" si="131"/>
        <v>7.8921984991154562E-4</v>
      </c>
      <c r="F195" s="3">
        <f t="shared" si="131"/>
        <v>7.8921984991154562E-4</v>
      </c>
      <c r="G195" s="3">
        <f t="shared" si="131"/>
        <v>7.8921984991154562E-4</v>
      </c>
      <c r="H195" s="3">
        <f t="shared" si="131"/>
        <v>7.8921984991154562E-4</v>
      </c>
      <c r="I195" s="3">
        <f t="shared" si="131"/>
        <v>7.8921984991154562E-4</v>
      </c>
      <c r="J195" s="3">
        <f t="shared" si="131"/>
        <v>7.8921984991154562E-4</v>
      </c>
      <c r="K195" s="3">
        <f t="shared" si="131"/>
        <v>7.8921984991154562E-4</v>
      </c>
      <c r="L195" s="3">
        <f t="shared" si="131"/>
        <v>7.8921984991154562E-4</v>
      </c>
      <c r="M195" s="3">
        <f t="shared" si="131"/>
        <v>7.8921984991154562E-4</v>
      </c>
      <c r="N195" s="3">
        <f t="shared" si="131"/>
        <v>7.8921984991154562E-4</v>
      </c>
      <c r="O195" s="3">
        <f t="shared" si="131"/>
        <v>7.8921984991154562E-4</v>
      </c>
      <c r="P195" s="3">
        <f t="shared" si="131"/>
        <v>7.8921984991154562E-4</v>
      </c>
      <c r="Q195" s="3">
        <f t="shared" si="131"/>
        <v>7.8921984991154562E-4</v>
      </c>
      <c r="R195" s="3">
        <f t="shared" si="131"/>
        <v>7.8921984991154562E-4</v>
      </c>
      <c r="S195" s="3">
        <f t="shared" si="131"/>
        <v>7.8921984991154562E-4</v>
      </c>
      <c r="T195" s="3">
        <f t="shared" si="131"/>
        <v>7.8921984991154562E-4</v>
      </c>
      <c r="U195" s="3">
        <f t="shared" si="131"/>
        <v>7.8921984991154562E-4</v>
      </c>
      <c r="V195" s="3">
        <f t="shared" si="131"/>
        <v>7.8921984991154562E-4</v>
      </c>
      <c r="W195" s="3">
        <f t="shared" si="131"/>
        <v>7.8921984991154562E-4</v>
      </c>
      <c r="X195" s="3">
        <f t="shared" si="131"/>
        <v>7.8921984991154562E-4</v>
      </c>
      <c r="Y195" s="3">
        <f t="shared" si="131"/>
        <v>7.8921984991154562E-4</v>
      </c>
      <c r="Z195" s="3">
        <f t="shared" si="131"/>
        <v>7.8921984991154551E-4</v>
      </c>
      <c r="AA195" s="3">
        <f t="shared" si="131"/>
        <v>7.8921984991154497E-4</v>
      </c>
      <c r="AB195" s="3">
        <f t="shared" si="131"/>
        <v>7.8921984991153901E-4</v>
      </c>
      <c r="AC195" s="3">
        <f t="shared" si="131"/>
        <v>7.8921984991148035E-4</v>
      </c>
      <c r="AD195" s="3">
        <f t="shared" si="131"/>
        <v>7.892198499108925E-4</v>
      </c>
      <c r="AE195" s="3">
        <f t="shared" si="131"/>
        <v>7.8921984990501482E-4</v>
      </c>
      <c r="AF195" s="3">
        <f t="shared" si="131"/>
        <v>7.8921984984623719E-4</v>
      </c>
      <c r="AG195" s="3"/>
      <c r="AH195" s="3"/>
    </row>
    <row r="196" spans="1:34" x14ac:dyDescent="0.25">
      <c r="B196" s="3">
        <f t="shared" ref="B196:AF196" si="132">$C43*EXP(-B$168/$A43/EXP(-$C$126))</f>
        <v>3.1383864234018747E-3</v>
      </c>
      <c r="C196" s="3">
        <f t="shared" si="132"/>
        <v>3.1383864234018747E-3</v>
      </c>
      <c r="D196" s="3">
        <f t="shared" si="132"/>
        <v>3.1383864234018747E-3</v>
      </c>
      <c r="E196" s="3">
        <f t="shared" si="132"/>
        <v>3.1383864234018747E-3</v>
      </c>
      <c r="F196" s="3">
        <f t="shared" si="132"/>
        <v>3.1383864234018747E-3</v>
      </c>
      <c r="G196" s="3">
        <f t="shared" si="132"/>
        <v>3.1383864234018747E-3</v>
      </c>
      <c r="H196" s="3">
        <f t="shared" si="132"/>
        <v>3.1383864234018747E-3</v>
      </c>
      <c r="I196" s="3">
        <f t="shared" si="132"/>
        <v>3.1383864234018747E-3</v>
      </c>
      <c r="J196" s="3">
        <f t="shared" si="132"/>
        <v>3.1383864234018747E-3</v>
      </c>
      <c r="K196" s="3">
        <f t="shared" si="132"/>
        <v>3.1383864234018747E-3</v>
      </c>
      <c r="L196" s="3">
        <f t="shared" si="132"/>
        <v>3.1383864234018747E-3</v>
      </c>
      <c r="M196" s="3">
        <f t="shared" si="132"/>
        <v>3.1383864234018747E-3</v>
      </c>
      <c r="N196" s="3">
        <f t="shared" si="132"/>
        <v>3.1383864234018747E-3</v>
      </c>
      <c r="O196" s="3">
        <f t="shared" si="132"/>
        <v>3.1383864234018747E-3</v>
      </c>
      <c r="P196" s="3">
        <f t="shared" si="132"/>
        <v>3.1383864234018747E-3</v>
      </c>
      <c r="Q196" s="3">
        <f t="shared" si="132"/>
        <v>3.1383864234018747E-3</v>
      </c>
      <c r="R196" s="3">
        <f t="shared" si="132"/>
        <v>3.1383864234018747E-3</v>
      </c>
      <c r="S196" s="3">
        <f t="shared" si="132"/>
        <v>3.1383864234018747E-3</v>
      </c>
      <c r="T196" s="3">
        <f t="shared" si="132"/>
        <v>3.1383864234018747E-3</v>
      </c>
      <c r="U196" s="3">
        <f t="shared" si="132"/>
        <v>3.1383864234018747E-3</v>
      </c>
      <c r="V196" s="3">
        <f t="shared" si="132"/>
        <v>3.1383864234018747E-3</v>
      </c>
      <c r="W196" s="3">
        <f t="shared" si="132"/>
        <v>3.1383864234018747E-3</v>
      </c>
      <c r="X196" s="3">
        <f t="shared" si="132"/>
        <v>3.1383864234018747E-3</v>
      </c>
      <c r="Y196" s="3">
        <f t="shared" si="132"/>
        <v>3.1383864234018747E-3</v>
      </c>
      <c r="Z196" s="3">
        <f t="shared" si="132"/>
        <v>3.1383864234018747E-3</v>
      </c>
      <c r="AA196" s="3">
        <f t="shared" si="132"/>
        <v>3.1383864234018743E-3</v>
      </c>
      <c r="AB196" s="3">
        <f t="shared" si="132"/>
        <v>3.1383864234018721E-3</v>
      </c>
      <c r="AC196" s="3">
        <f t="shared" si="132"/>
        <v>3.1383864234018487E-3</v>
      </c>
      <c r="AD196" s="3">
        <f t="shared" si="132"/>
        <v>3.1383864234016149E-3</v>
      </c>
      <c r="AE196" s="3">
        <f t="shared" si="132"/>
        <v>3.1383864233992774E-3</v>
      </c>
      <c r="AF196" s="3">
        <f t="shared" si="132"/>
        <v>3.1383864233759046E-3</v>
      </c>
      <c r="AG196" s="3"/>
      <c r="AH196" s="3"/>
    </row>
    <row r="197" spans="1:34" x14ac:dyDescent="0.25">
      <c r="B197" s="3">
        <f t="shared" ref="B197:AF197" si="133">$C44*EXP(-B$168/$A44/EXP(-$C$126))</f>
        <v>4.3963079363277776E-4</v>
      </c>
      <c r="C197" s="3">
        <f t="shared" si="133"/>
        <v>4.3963079363277776E-4</v>
      </c>
      <c r="D197" s="3">
        <f t="shared" si="133"/>
        <v>4.3963079363277776E-4</v>
      </c>
      <c r="E197" s="3">
        <f t="shared" si="133"/>
        <v>4.3963079363277776E-4</v>
      </c>
      <c r="F197" s="3">
        <f t="shared" si="133"/>
        <v>4.3963079363277776E-4</v>
      </c>
      <c r="G197" s="3">
        <f t="shared" si="133"/>
        <v>4.3963079363277776E-4</v>
      </c>
      <c r="H197" s="3">
        <f t="shared" si="133"/>
        <v>4.3963079363277776E-4</v>
      </c>
      <c r="I197" s="3">
        <f t="shared" si="133"/>
        <v>4.3963079363277776E-4</v>
      </c>
      <c r="J197" s="3">
        <f t="shared" si="133"/>
        <v>4.3963079363277776E-4</v>
      </c>
      <c r="K197" s="3">
        <f t="shared" si="133"/>
        <v>4.3963079363277776E-4</v>
      </c>
      <c r="L197" s="3">
        <f t="shared" si="133"/>
        <v>4.3963079363277776E-4</v>
      </c>
      <c r="M197" s="3">
        <f t="shared" si="133"/>
        <v>4.3963079363277776E-4</v>
      </c>
      <c r="N197" s="3">
        <f t="shared" si="133"/>
        <v>4.3963079363277776E-4</v>
      </c>
      <c r="O197" s="3">
        <f t="shared" si="133"/>
        <v>4.3963079363277776E-4</v>
      </c>
      <c r="P197" s="3">
        <f t="shared" si="133"/>
        <v>4.3963079363277776E-4</v>
      </c>
      <c r="Q197" s="3">
        <f t="shared" si="133"/>
        <v>4.3963079363277776E-4</v>
      </c>
      <c r="R197" s="3">
        <f t="shared" si="133"/>
        <v>4.3963079363277776E-4</v>
      </c>
      <c r="S197" s="3">
        <f t="shared" si="133"/>
        <v>4.3963079363277776E-4</v>
      </c>
      <c r="T197" s="3">
        <f t="shared" si="133"/>
        <v>4.3963079363277776E-4</v>
      </c>
      <c r="U197" s="3">
        <f t="shared" si="133"/>
        <v>4.3963079363277776E-4</v>
      </c>
      <c r="V197" s="3">
        <f t="shared" si="133"/>
        <v>4.3963079363277776E-4</v>
      </c>
      <c r="W197" s="3">
        <f t="shared" si="133"/>
        <v>4.3963079363277776E-4</v>
      </c>
      <c r="X197" s="3">
        <f t="shared" si="133"/>
        <v>4.3963079363277776E-4</v>
      </c>
      <c r="Y197" s="3">
        <f t="shared" si="133"/>
        <v>4.3963079363277776E-4</v>
      </c>
      <c r="Z197" s="3">
        <f t="shared" si="133"/>
        <v>4.3963079363277776E-4</v>
      </c>
      <c r="AA197" s="3">
        <f t="shared" si="133"/>
        <v>4.3963079363277776E-4</v>
      </c>
      <c r="AB197" s="3">
        <f t="shared" si="133"/>
        <v>4.396307936327777E-4</v>
      </c>
      <c r="AC197" s="3">
        <f t="shared" si="133"/>
        <v>4.3963079363277743E-4</v>
      </c>
      <c r="AD197" s="3">
        <f t="shared" si="133"/>
        <v>4.3963079363277407E-4</v>
      </c>
      <c r="AE197" s="3">
        <f t="shared" si="133"/>
        <v>4.3963079363274138E-4</v>
      </c>
      <c r="AF197" s="3">
        <f t="shared" si="133"/>
        <v>4.3963079363241395E-4</v>
      </c>
      <c r="AG197" s="3"/>
      <c r="AH197" s="3"/>
    </row>
    <row r="198" spans="1:34" x14ac:dyDescent="0.25">
      <c r="B198" s="3">
        <f t="shared" ref="B198:AF198" si="134">$C45*EXP(-B$168/$A45/EXP(-$C$126))</f>
        <v>3.9367491924485783E-5</v>
      </c>
      <c r="C198" s="3">
        <f t="shared" si="134"/>
        <v>3.9367491924485783E-5</v>
      </c>
      <c r="D198" s="3">
        <f t="shared" si="134"/>
        <v>3.9367491924485783E-5</v>
      </c>
      <c r="E198" s="3">
        <f t="shared" si="134"/>
        <v>3.9367491924485783E-5</v>
      </c>
      <c r="F198" s="3">
        <f t="shared" si="134"/>
        <v>3.9367491924485783E-5</v>
      </c>
      <c r="G198" s="3">
        <f t="shared" si="134"/>
        <v>3.9367491924485783E-5</v>
      </c>
      <c r="H198" s="3">
        <f t="shared" si="134"/>
        <v>3.9367491924485783E-5</v>
      </c>
      <c r="I198" s="3">
        <f t="shared" si="134"/>
        <v>3.9367491924485783E-5</v>
      </c>
      <c r="J198" s="3">
        <f t="shared" si="134"/>
        <v>3.9367491924485783E-5</v>
      </c>
      <c r="K198" s="3">
        <f t="shared" si="134"/>
        <v>3.9367491924485783E-5</v>
      </c>
      <c r="L198" s="3">
        <f t="shared" si="134"/>
        <v>3.9367491924485783E-5</v>
      </c>
      <c r="M198" s="3">
        <f t="shared" si="134"/>
        <v>3.9367491924485783E-5</v>
      </c>
      <c r="N198" s="3">
        <f t="shared" si="134"/>
        <v>3.9367491924485783E-5</v>
      </c>
      <c r="O198" s="3">
        <f t="shared" si="134"/>
        <v>3.9367491924485783E-5</v>
      </c>
      <c r="P198" s="3">
        <f t="shared" si="134"/>
        <v>3.9367491924485783E-5</v>
      </c>
      <c r="Q198" s="3">
        <f t="shared" si="134"/>
        <v>3.9367491924485783E-5</v>
      </c>
      <c r="R198" s="3">
        <f t="shared" si="134"/>
        <v>3.9367491924485783E-5</v>
      </c>
      <c r="S198" s="3">
        <f t="shared" si="134"/>
        <v>3.9367491924485783E-5</v>
      </c>
      <c r="T198" s="3">
        <f t="shared" si="134"/>
        <v>3.9367491924485783E-5</v>
      </c>
      <c r="U198" s="3">
        <f t="shared" si="134"/>
        <v>3.9367491924485783E-5</v>
      </c>
      <c r="V198" s="3">
        <f t="shared" si="134"/>
        <v>3.9367491924485783E-5</v>
      </c>
      <c r="W198" s="3">
        <f t="shared" si="134"/>
        <v>3.9367491924485783E-5</v>
      </c>
      <c r="X198" s="3">
        <f t="shared" si="134"/>
        <v>3.9367491924485783E-5</v>
      </c>
      <c r="Y198" s="3">
        <f t="shared" si="134"/>
        <v>3.9367491924485783E-5</v>
      </c>
      <c r="Z198" s="3">
        <f t="shared" si="134"/>
        <v>3.9367491924485783E-5</v>
      </c>
      <c r="AA198" s="3">
        <f t="shared" si="134"/>
        <v>3.9367491924485783E-5</v>
      </c>
      <c r="AB198" s="3">
        <f t="shared" si="134"/>
        <v>3.9367491924485783E-5</v>
      </c>
      <c r="AC198" s="3">
        <f t="shared" si="134"/>
        <v>3.9367491924485776E-5</v>
      </c>
      <c r="AD198" s="3">
        <f t="shared" si="134"/>
        <v>3.9367491924485749E-5</v>
      </c>
      <c r="AE198" s="3">
        <f t="shared" si="134"/>
        <v>3.9367491924485458E-5</v>
      </c>
      <c r="AF198" s="3">
        <f t="shared" si="134"/>
        <v>3.9367491924482524E-5</v>
      </c>
      <c r="AG198" s="3"/>
      <c r="AH198" s="3"/>
    </row>
    <row r="199" spans="1:34" x14ac:dyDescent="0.25">
      <c r="B199" s="3">
        <f t="shared" ref="B199:AF199" si="135">$C46*EXP(-B$168/$A46/EXP(-$C$126))</f>
        <v>2.469113716916911E-6</v>
      </c>
      <c r="C199" s="3">
        <f t="shared" si="135"/>
        <v>2.469113716916911E-6</v>
      </c>
      <c r="D199" s="3">
        <f t="shared" si="135"/>
        <v>2.469113716916911E-6</v>
      </c>
      <c r="E199" s="3">
        <f t="shared" si="135"/>
        <v>2.469113716916911E-6</v>
      </c>
      <c r="F199" s="3">
        <f t="shared" si="135"/>
        <v>2.469113716916911E-6</v>
      </c>
      <c r="G199" s="3">
        <f t="shared" si="135"/>
        <v>2.469113716916911E-6</v>
      </c>
      <c r="H199" s="3">
        <f t="shared" si="135"/>
        <v>2.469113716916911E-6</v>
      </c>
      <c r="I199" s="3">
        <f t="shared" si="135"/>
        <v>2.469113716916911E-6</v>
      </c>
      <c r="J199" s="3">
        <f t="shared" si="135"/>
        <v>2.469113716916911E-6</v>
      </c>
      <c r="K199" s="3">
        <f t="shared" si="135"/>
        <v>2.469113716916911E-6</v>
      </c>
      <c r="L199" s="3">
        <f t="shared" si="135"/>
        <v>2.469113716916911E-6</v>
      </c>
      <c r="M199" s="3">
        <f t="shared" si="135"/>
        <v>2.469113716916911E-6</v>
      </c>
      <c r="N199" s="3">
        <f t="shared" si="135"/>
        <v>2.469113716916911E-6</v>
      </c>
      <c r="O199" s="3">
        <f t="shared" si="135"/>
        <v>2.469113716916911E-6</v>
      </c>
      <c r="P199" s="3">
        <f t="shared" si="135"/>
        <v>2.469113716916911E-6</v>
      </c>
      <c r="Q199" s="3">
        <f t="shared" si="135"/>
        <v>2.469113716916911E-6</v>
      </c>
      <c r="R199" s="3">
        <f t="shared" si="135"/>
        <v>2.469113716916911E-6</v>
      </c>
      <c r="S199" s="3">
        <f t="shared" si="135"/>
        <v>2.469113716916911E-6</v>
      </c>
      <c r="T199" s="3">
        <f t="shared" si="135"/>
        <v>2.469113716916911E-6</v>
      </c>
      <c r="U199" s="3">
        <f t="shared" si="135"/>
        <v>2.469113716916911E-6</v>
      </c>
      <c r="V199" s="3">
        <f t="shared" si="135"/>
        <v>2.469113716916911E-6</v>
      </c>
      <c r="W199" s="3">
        <f t="shared" si="135"/>
        <v>2.469113716916911E-6</v>
      </c>
      <c r="X199" s="3">
        <f t="shared" si="135"/>
        <v>2.469113716916911E-6</v>
      </c>
      <c r="Y199" s="3">
        <f t="shared" si="135"/>
        <v>2.469113716916911E-6</v>
      </c>
      <c r="Z199" s="3">
        <f t="shared" si="135"/>
        <v>2.469113716916911E-6</v>
      </c>
      <c r="AA199" s="3">
        <f t="shared" si="135"/>
        <v>2.469113716916911E-6</v>
      </c>
      <c r="AB199" s="3">
        <f t="shared" si="135"/>
        <v>2.469113716916911E-6</v>
      </c>
      <c r="AC199" s="3">
        <f t="shared" si="135"/>
        <v>2.469113716916911E-6</v>
      </c>
      <c r="AD199" s="3">
        <f t="shared" si="135"/>
        <v>2.4691137169169106E-6</v>
      </c>
      <c r="AE199" s="3">
        <f t="shared" si="135"/>
        <v>2.4691137169169089E-6</v>
      </c>
      <c r="AF199" s="3">
        <f t="shared" si="135"/>
        <v>2.4691137169168903E-6</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80">
        <f>AVERAGE(B202:AF202)</f>
        <v>3.1387243717409828E-2</v>
      </c>
      <c r="B202" s="81">
        <f>IF($A$64&lt;=B168,IF($B$64&gt;=B168,ABS((B170-B169)/B169),0),0)</f>
        <v>9.5600350978984822E-4</v>
      </c>
      <c r="C202" s="81">
        <f t="shared" ref="C202:AF202" si="138">IF($A$64&lt;=C168,IF($B$64&gt;=C168,ABS((C170-C169)/C169),0),0)</f>
        <v>9.6184879841900144E-4</v>
      </c>
      <c r="D202" s="81">
        <f t="shared" si="138"/>
        <v>9.5820585928257094E-4</v>
      </c>
      <c r="E202" s="81">
        <f t="shared" si="138"/>
        <v>9.5694357055553904E-4</v>
      </c>
      <c r="F202" s="81">
        <f t="shared" si="138"/>
        <v>9.5510308016439336E-4</v>
      </c>
      <c r="G202" s="81">
        <f t="shared" si="138"/>
        <v>9.3991912106413322E-4</v>
      </c>
      <c r="H202" s="81">
        <f t="shared" si="138"/>
        <v>7.9018286289942764E-4</v>
      </c>
      <c r="I202" s="81">
        <f t="shared" si="138"/>
        <v>6.5048151510668176E-4</v>
      </c>
      <c r="J202" s="81">
        <f t="shared" si="138"/>
        <v>1.2727469503329467E-2</v>
      </c>
      <c r="K202" s="81">
        <f t="shared" si="138"/>
        <v>2.9174433115908342E-2</v>
      </c>
      <c r="L202" s="81">
        <f t="shared" si="138"/>
        <v>4.960817054781641E-2</v>
      </c>
      <c r="M202" s="81">
        <f t="shared" si="138"/>
        <v>0.12255098152486132</v>
      </c>
      <c r="N202" s="81">
        <f t="shared" si="138"/>
        <v>0.10130722835553771</v>
      </c>
      <c r="O202" s="81">
        <f t="shared" si="138"/>
        <v>7.770179535981922E-2</v>
      </c>
      <c r="P202" s="81">
        <f t="shared" si="138"/>
        <v>4.9726590074433669E-2</v>
      </c>
      <c r="Q202" s="81">
        <f t="shared" si="138"/>
        <v>1.8848976568046339E-2</v>
      </c>
      <c r="R202" s="81">
        <f t="shared" si="138"/>
        <v>3.6921617742825697E-3</v>
      </c>
      <c r="S202" s="81">
        <f t="shared" si="138"/>
        <v>1.6809691131328082E-2</v>
      </c>
      <c r="T202" s="81">
        <f t="shared" si="138"/>
        <v>1.2803365791799377E-2</v>
      </c>
      <c r="U202" s="81">
        <f t="shared" si="138"/>
        <v>4.5858544899916222E-3</v>
      </c>
      <c r="V202" s="81">
        <f t="shared" si="138"/>
        <v>1.2507156430919817E-2</v>
      </c>
      <c r="W202" s="81">
        <f t="shared" si="138"/>
        <v>3.0187779164229236E-2</v>
      </c>
      <c r="X202" s="81">
        <f t="shared" si="138"/>
        <v>4.0818754214658658E-2</v>
      </c>
      <c r="Y202" s="81">
        <f t="shared" si="138"/>
        <v>5.0797116850810349E-2</v>
      </c>
      <c r="Z202" s="81">
        <f t="shared" si="138"/>
        <v>5.5863433349585823E-2</v>
      </c>
      <c r="AA202" s="81">
        <f t="shared" si="138"/>
        <v>5.9610107039158422E-2</v>
      </c>
      <c r="AB202" s="81">
        <f t="shared" si="138"/>
        <v>5.6735437579039004E-2</v>
      </c>
      <c r="AC202" s="81">
        <f t="shared" si="138"/>
        <v>5.5521031252195201E-2</v>
      </c>
      <c r="AD202" s="81">
        <f t="shared" si="138"/>
        <v>4.8765697920116105E-2</v>
      </c>
      <c r="AE202" s="81">
        <f t="shared" si="138"/>
        <v>3.8187153674829222E-2</v>
      </c>
      <c r="AF202" s="81">
        <f t="shared" si="138"/>
        <v>1.730548120972716E-2</v>
      </c>
    </row>
    <row r="203" spans="1:34" x14ac:dyDescent="0.25">
      <c r="B203" s="21">
        <f>(B170-B169)^2</f>
        <v>28.861534923598942</v>
      </c>
      <c r="C203" s="21">
        <f t="shared" ref="C203:AF203" si="139">(C170-C169)^2</f>
        <v>29.215891715777637</v>
      </c>
      <c r="D203" s="21">
        <f t="shared" si="139"/>
        <v>28.994792725979092</v>
      </c>
      <c r="E203" s="21">
        <f t="shared" si="139"/>
        <v>28.91837677278949</v>
      </c>
      <c r="F203" s="21">
        <f t="shared" si="139"/>
        <v>28.807131745973454</v>
      </c>
      <c r="G203" s="21">
        <f t="shared" si="139"/>
        <v>27.897547925198879</v>
      </c>
      <c r="H203" s="21">
        <f t="shared" si="139"/>
        <v>19.710492257882912</v>
      </c>
      <c r="I203" s="21">
        <f t="shared" si="139"/>
        <v>13.314793867519006</v>
      </c>
      <c r="J203" s="21">
        <f t="shared" si="139"/>
        <v>4962.1454253967277</v>
      </c>
      <c r="K203" s="21">
        <f t="shared" si="139"/>
        <v>24548.108126545008</v>
      </c>
      <c r="L203" s="21">
        <f t="shared" si="139"/>
        <v>68032.608017427716</v>
      </c>
      <c r="M203" s="21">
        <f t="shared" si="139"/>
        <v>398172.58899986278</v>
      </c>
      <c r="N203" s="21">
        <f t="shared" si="139"/>
        <v>259349.24789417099</v>
      </c>
      <c r="O203" s="21">
        <f t="shared" si="139"/>
        <v>144855.10396616554</v>
      </c>
      <c r="P203" s="21">
        <f t="shared" si="139"/>
        <v>55869.235292809804</v>
      </c>
      <c r="Q203" s="21">
        <f t="shared" si="139"/>
        <v>7509.1137483303901</v>
      </c>
      <c r="R203" s="21">
        <f t="shared" si="139"/>
        <v>268.43205794155142</v>
      </c>
      <c r="S203" s="21">
        <f t="shared" si="139"/>
        <v>5182.6789465625652</v>
      </c>
      <c r="T203" s="21">
        <f t="shared" si="139"/>
        <v>2761.8811739340126</v>
      </c>
      <c r="U203" s="21">
        <f t="shared" si="139"/>
        <v>313.92833136054605</v>
      </c>
      <c r="V203" s="21">
        <f t="shared" si="139"/>
        <v>2019.5882724515945</v>
      </c>
      <c r="W203" s="21">
        <f t="shared" si="139"/>
        <v>10291.102527882817</v>
      </c>
      <c r="X203" s="21">
        <f t="shared" si="139"/>
        <v>16735.161918274243</v>
      </c>
      <c r="Y203" s="21">
        <f t="shared" si="139"/>
        <v>23050.500956976353</v>
      </c>
      <c r="Z203" s="21">
        <f t="shared" si="139"/>
        <v>24948.727740769584</v>
      </c>
      <c r="AA203" s="21">
        <f t="shared" si="139"/>
        <v>25334.821960151541</v>
      </c>
      <c r="AB203" s="21">
        <f t="shared" si="139"/>
        <v>20369.41770054468</v>
      </c>
      <c r="AC203" s="21">
        <f t="shared" si="139"/>
        <v>16831.569040104088</v>
      </c>
      <c r="AD203" s="21">
        <f t="shared" si="139"/>
        <v>10996.505981378108</v>
      </c>
      <c r="AE203" s="21">
        <f t="shared" si="139"/>
        <v>5491.2299496720898</v>
      </c>
      <c r="AF203" s="21">
        <f t="shared" si="139"/>
        <v>868.76036767886239</v>
      </c>
      <c r="AG203" s="3"/>
      <c r="AH203" s="3"/>
    </row>
    <row r="204" spans="1:34" x14ac:dyDescent="0.25">
      <c r="A204" s="72">
        <f>SUM(B204:AF204)</f>
        <v>1128968.1789583261</v>
      </c>
      <c r="B204" s="60">
        <f>IF($A$64&lt;=B168,IF($B$64&gt;=B168,ABS(B203),0),0)</f>
        <v>28.861534923598942</v>
      </c>
      <c r="C204" s="60">
        <f t="shared" ref="C204" si="140">IF($A$64&lt;=C168,IF($B$64&gt;=C168,ABS(C203),0),0)</f>
        <v>29.215891715777637</v>
      </c>
      <c r="D204" s="60">
        <f t="shared" ref="D204" si="141">IF($A$64&lt;=D168,IF($B$64&gt;=D168,ABS(D203),0),0)</f>
        <v>28.994792725979092</v>
      </c>
      <c r="E204" s="60">
        <f t="shared" ref="E204" si="142">IF($A$64&lt;=E168,IF($B$64&gt;=E168,ABS(E203),0),0)</f>
        <v>28.91837677278949</v>
      </c>
      <c r="F204" s="60">
        <f t="shared" ref="F204" si="143">IF($A$64&lt;=F168,IF($B$64&gt;=F168,ABS(F203),0),0)</f>
        <v>28.807131745973454</v>
      </c>
      <c r="G204" s="60">
        <f t="shared" ref="G204" si="144">IF($A$64&lt;=G168,IF($B$64&gt;=G168,ABS(G203),0),0)</f>
        <v>27.897547925198879</v>
      </c>
      <c r="H204" s="60">
        <f t="shared" ref="H204" si="145">IF($A$64&lt;=H168,IF($B$64&gt;=H168,ABS(H203),0),0)</f>
        <v>19.710492257882912</v>
      </c>
      <c r="I204" s="60">
        <f t="shared" ref="I204" si="146">IF($A$64&lt;=I168,IF($B$64&gt;=I168,ABS(I203),0),0)</f>
        <v>13.314793867519006</v>
      </c>
      <c r="J204" s="60">
        <f t="shared" ref="J204" si="147">IF($A$64&lt;=J168,IF($B$64&gt;=J168,ABS(J203),0),0)</f>
        <v>4962.1454253967277</v>
      </c>
      <c r="K204" s="60">
        <f t="shared" ref="K204" si="148">IF($A$64&lt;=K168,IF($B$64&gt;=K168,ABS(K203),0),0)</f>
        <v>24548.108126545008</v>
      </c>
      <c r="L204" s="60">
        <f t="shared" ref="L204" si="149">IF($A$64&lt;=L168,IF($B$64&gt;=L168,ABS(L203),0),0)</f>
        <v>68032.608017427716</v>
      </c>
      <c r="M204" s="60">
        <f t="shared" ref="M204" si="150">IF($A$64&lt;=M168,IF($B$64&gt;=M168,ABS(M203),0),0)</f>
        <v>398172.58899986278</v>
      </c>
      <c r="N204" s="60">
        <f t="shared" ref="N204" si="151">IF($A$64&lt;=N168,IF($B$64&gt;=N168,ABS(N203),0),0)</f>
        <v>259349.24789417099</v>
      </c>
      <c r="O204" s="60">
        <f t="shared" ref="O204" si="152">IF($A$64&lt;=O168,IF($B$64&gt;=O168,ABS(O203),0),0)</f>
        <v>144855.10396616554</v>
      </c>
      <c r="P204" s="60">
        <f t="shared" ref="P204" si="153">IF($A$64&lt;=P168,IF($B$64&gt;=P168,ABS(P203),0),0)</f>
        <v>55869.235292809804</v>
      </c>
      <c r="Q204" s="60">
        <f t="shared" ref="Q204" si="154">IF($A$64&lt;=Q168,IF($B$64&gt;=Q168,ABS(Q203),0),0)</f>
        <v>7509.1137483303901</v>
      </c>
      <c r="R204" s="60">
        <f t="shared" ref="R204" si="155">IF($A$64&lt;=R168,IF($B$64&gt;=R168,ABS(R203),0),0)</f>
        <v>268.43205794155142</v>
      </c>
      <c r="S204" s="60">
        <f t="shared" ref="S204" si="156">IF($A$64&lt;=S168,IF($B$64&gt;=S168,ABS(S203),0),0)</f>
        <v>5182.6789465625652</v>
      </c>
      <c r="T204" s="60">
        <f t="shared" ref="T204" si="157">IF($A$64&lt;=T168,IF($B$64&gt;=T168,ABS(T203),0),0)</f>
        <v>2761.8811739340126</v>
      </c>
      <c r="U204" s="60">
        <f t="shared" ref="U204" si="158">IF($A$64&lt;=U168,IF($B$64&gt;=U168,ABS(U203),0),0)</f>
        <v>313.92833136054605</v>
      </c>
      <c r="V204" s="60">
        <f t="shared" ref="V204" si="159">IF($A$64&lt;=V168,IF($B$64&gt;=V168,ABS(V203),0),0)</f>
        <v>2019.5882724515945</v>
      </c>
      <c r="W204" s="60">
        <f t="shared" ref="W204" si="160">IF($A$64&lt;=W168,IF($B$64&gt;=W168,ABS(W203),0),0)</f>
        <v>10291.102527882817</v>
      </c>
      <c r="X204" s="60">
        <f t="shared" ref="X204" si="161">IF($A$64&lt;=X168,IF($B$64&gt;=X168,ABS(X203),0),0)</f>
        <v>16735.161918274243</v>
      </c>
      <c r="Y204" s="60">
        <f t="shared" ref="Y204" si="162">IF($A$64&lt;=Y168,IF($B$64&gt;=Y168,ABS(Y203),0),0)</f>
        <v>23050.500956976353</v>
      </c>
      <c r="Z204" s="60">
        <f t="shared" ref="Z204" si="163">IF($A$64&lt;=Z168,IF($B$64&gt;=Z168,ABS(Z203),0),0)</f>
        <v>24948.727740769584</v>
      </c>
      <c r="AA204" s="60">
        <f t="shared" ref="AA204" si="164">IF($A$64&lt;=AA168,IF($B$64&gt;=AA168,ABS(AA203),0),0)</f>
        <v>25334.821960151541</v>
      </c>
      <c r="AB204" s="60">
        <f t="shared" ref="AB204" si="165">IF($A$64&lt;=AB168,IF($B$64&gt;=AB168,ABS(AB203),0),0)</f>
        <v>20369.41770054468</v>
      </c>
      <c r="AC204" s="60">
        <f t="shared" ref="AC204" si="166">IF($A$64&lt;=AC168,IF($B$64&gt;=AC168,ABS(AC203),0),0)</f>
        <v>16831.569040104088</v>
      </c>
      <c r="AD204" s="60">
        <f t="shared" ref="AD204" si="167">IF($A$64&lt;=AD168,IF($B$64&gt;=AD168,ABS(AD203),0),0)</f>
        <v>10996.505981378108</v>
      </c>
      <c r="AE204" s="60">
        <f t="shared" ref="AE204" si="168">IF($A$64&lt;=AE168,IF($B$64&gt;=AE168,ABS(AE203),0),0)</f>
        <v>5491.2299496720898</v>
      </c>
      <c r="AF204" s="60">
        <f t="shared" ref="AF204" si="169">IF($A$64&lt;=AF168,IF($B$64&gt;=AF168,ABS(AF203),0),0)</f>
        <v>868.76036767886239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5614.160651419269</v>
      </c>
      <c r="C209" s="27">
        <f t="shared" ref="C209:AF209" si="170">($C$17+SUM(C210:C240))*$B$51</f>
        <v>5614.1602141928051</v>
      </c>
      <c r="D209" s="27">
        <f t="shared" si="170"/>
        <v>5614.1558419377498</v>
      </c>
      <c r="E209" s="27">
        <f t="shared" si="170"/>
        <v>5614.1121203460698</v>
      </c>
      <c r="F209" s="27">
        <f t="shared" si="170"/>
        <v>5613.675000302529</v>
      </c>
      <c r="G209" s="27">
        <f t="shared" si="170"/>
        <v>5609.3133730623376</v>
      </c>
      <c r="H209" s="27">
        <f t="shared" si="170"/>
        <v>5566.6404455514248</v>
      </c>
      <c r="I209" s="27">
        <f t="shared" si="170"/>
        <v>5221.6944152886254</v>
      </c>
      <c r="J209" s="27">
        <f t="shared" si="170"/>
        <v>4530.7213693231133</v>
      </c>
      <c r="K209" s="27">
        <f t="shared" si="170"/>
        <v>4517.6608688056467</v>
      </c>
      <c r="L209" s="27">
        <f t="shared" si="170"/>
        <v>4517.6268900547529</v>
      </c>
      <c r="M209" s="27">
        <f t="shared" si="170"/>
        <v>4517.2872863738412</v>
      </c>
      <c r="N209" s="27">
        <f t="shared" si="170"/>
        <v>4513.9095632834724</v>
      </c>
      <c r="O209" s="27">
        <f t="shared" si="170"/>
        <v>4481.8965380928821</v>
      </c>
      <c r="P209" s="27">
        <f t="shared" si="170"/>
        <v>4286.531901108423</v>
      </c>
      <c r="Q209" s="27">
        <f t="shared" si="170"/>
        <v>4096.4759122353362</v>
      </c>
      <c r="R209" s="27">
        <f t="shared" si="170"/>
        <v>3913.2227126949238</v>
      </c>
      <c r="S209" s="27">
        <f t="shared" si="170"/>
        <v>3699.0603190292422</v>
      </c>
      <c r="T209" s="27">
        <f t="shared" si="170"/>
        <v>3511.6875440938297</v>
      </c>
      <c r="U209" s="27">
        <f t="shared" si="170"/>
        <v>3346.2321300203193</v>
      </c>
      <c r="V209" s="27">
        <f t="shared" si="170"/>
        <v>3185.4064297846617</v>
      </c>
      <c r="W209" s="27">
        <f t="shared" si="170"/>
        <v>3028.6551090232956</v>
      </c>
      <c r="X209" s="27">
        <f t="shared" si="170"/>
        <v>2871.915951769302</v>
      </c>
      <c r="Y209" s="27">
        <f t="shared" si="170"/>
        <v>2706.2283273333037</v>
      </c>
      <c r="Z209" s="27">
        <f t="shared" si="170"/>
        <v>2517.0119544446766</v>
      </c>
      <c r="AA209" s="27">
        <f t="shared" si="170"/>
        <v>2310.2599281425696</v>
      </c>
      <c r="AB209" s="27">
        <f t="shared" si="170"/>
        <v>2077.1724641977762</v>
      </c>
      <c r="AC209" s="27">
        <f t="shared" si="170"/>
        <v>1805.3999994422209</v>
      </c>
      <c r="AD209" s="27">
        <f t="shared" si="170"/>
        <v>1488.9173804796003</v>
      </c>
      <c r="AE209" s="27">
        <f t="shared" si="170"/>
        <v>1148.8842065801559</v>
      </c>
      <c r="AF209" s="27">
        <f t="shared" si="170"/>
        <v>830.20442972098976</v>
      </c>
      <c r="AG209" s="27"/>
      <c r="AH209" s="27"/>
    </row>
    <row r="210" spans="1:34" x14ac:dyDescent="0.25">
      <c r="B210" s="3">
        <f t="shared" ref="B210:AF210" si="171">$C18*EXP(-B$207/$A18/EXP(-$D$126))</f>
        <v>0.19530898126775489</v>
      </c>
      <c r="C210" s="3">
        <f t="shared" si="171"/>
        <v>0.19530890338853948</v>
      </c>
      <c r="D210" s="3">
        <f t="shared" si="171"/>
        <v>0.19530812459809349</v>
      </c>
      <c r="E210" s="3">
        <f t="shared" si="171"/>
        <v>0.19530033686442902</v>
      </c>
      <c r="F210" s="3">
        <f t="shared" si="171"/>
        <v>0.19522247660482495</v>
      </c>
      <c r="G210" s="3">
        <f t="shared" si="171"/>
        <v>0.19444557919603098</v>
      </c>
      <c r="H210" s="3">
        <f t="shared" si="171"/>
        <v>0.18684463465719134</v>
      </c>
      <c r="I210" s="3">
        <f t="shared" si="171"/>
        <v>0.12540250381793583</v>
      </c>
      <c r="J210" s="3">
        <f t="shared" si="171"/>
        <v>2.3257443376139392E-3</v>
      </c>
      <c r="K210" s="3">
        <f t="shared" si="171"/>
        <v>1.1197462504689322E-20</v>
      </c>
      <c r="L210" s="3">
        <f t="shared" si="171"/>
        <v>7.4936958590852298E-194</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5.6906652449857799E-2</v>
      </c>
      <c r="C211" s="3">
        <f t="shared" si="172"/>
        <v>5.6906652449851984E-2</v>
      </c>
      <c r="D211" s="3">
        <f t="shared" si="172"/>
        <v>5.6906652449793864E-2</v>
      </c>
      <c r="E211" s="3">
        <f t="shared" si="172"/>
        <v>5.6906652449212607E-2</v>
      </c>
      <c r="F211" s="3">
        <f t="shared" si="172"/>
        <v>5.6906652443400089E-2</v>
      </c>
      <c r="G211" s="3">
        <f t="shared" si="172"/>
        <v>5.6906652385274897E-2</v>
      </c>
      <c r="H211" s="3">
        <f t="shared" si="172"/>
        <v>5.6906651804022997E-2</v>
      </c>
      <c r="I211" s="3">
        <f t="shared" si="172"/>
        <v>5.6906645991504315E-2</v>
      </c>
      <c r="J211" s="3">
        <f t="shared" si="172"/>
        <v>5.6906587866350153E-2</v>
      </c>
      <c r="K211" s="3">
        <f t="shared" si="172"/>
        <v>5.6906006618073879E-2</v>
      </c>
      <c r="L211" s="3">
        <f t="shared" si="172"/>
        <v>5.690019446183138E-2</v>
      </c>
      <c r="M211" s="3">
        <f t="shared" si="172"/>
        <v>5.6842105539100199E-2</v>
      </c>
      <c r="N211" s="3">
        <f t="shared" si="172"/>
        <v>5.6264467979514218E-2</v>
      </c>
      <c r="O211" s="3">
        <f t="shared" si="172"/>
        <v>5.0801298934838715E-2</v>
      </c>
      <c r="P211" s="3">
        <f t="shared" si="172"/>
        <v>1.8292826654044043E-2</v>
      </c>
      <c r="Q211" s="3">
        <f t="shared" si="172"/>
        <v>6.704105495636115E-7</v>
      </c>
      <c r="R211" s="3">
        <f t="shared" si="172"/>
        <v>2.9304954233729765E-51</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2.1914760342614789E-2</v>
      </c>
      <c r="C212" s="3">
        <f t="shared" si="173"/>
        <v>2.1914760342614584E-2</v>
      </c>
      <c r="D212" s="3">
        <f t="shared" si="173"/>
        <v>2.1914760342612565E-2</v>
      </c>
      <c r="E212" s="3">
        <f t="shared" si="173"/>
        <v>2.1914760342592376E-2</v>
      </c>
      <c r="F212" s="3">
        <f t="shared" si="173"/>
        <v>2.1914760342390451E-2</v>
      </c>
      <c r="G212" s="3">
        <f t="shared" si="173"/>
        <v>2.191476034037123E-2</v>
      </c>
      <c r="H212" s="3">
        <f t="shared" si="173"/>
        <v>2.1914760320178979E-2</v>
      </c>
      <c r="I212" s="3">
        <f t="shared" si="173"/>
        <v>2.1914760118256504E-2</v>
      </c>
      <c r="J212" s="3">
        <f t="shared" si="173"/>
        <v>2.1914758099031838E-2</v>
      </c>
      <c r="K212" s="3">
        <f t="shared" si="173"/>
        <v>2.1914737906795444E-2</v>
      </c>
      <c r="L212" s="3">
        <f t="shared" si="173"/>
        <v>2.1914535985454776E-2</v>
      </c>
      <c r="M212" s="3">
        <f t="shared" si="173"/>
        <v>2.1912516874372383E-2</v>
      </c>
      <c r="N212" s="3">
        <f t="shared" si="173"/>
        <v>2.1892335992492407E-2</v>
      </c>
      <c r="O212" s="3">
        <f t="shared" si="173"/>
        <v>2.1691546589436214E-2</v>
      </c>
      <c r="P212" s="3">
        <f t="shared" si="173"/>
        <v>1.9782202764406408E-2</v>
      </c>
      <c r="Q212" s="3">
        <f t="shared" si="173"/>
        <v>7.8725596401653421E-3</v>
      </c>
      <c r="R212" s="3">
        <f t="shared" si="173"/>
        <v>7.8438460904968063E-7</v>
      </c>
      <c r="S212" s="3">
        <f t="shared" si="173"/>
        <v>7.5624079999292764E-47</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4.217998398295815E-2</v>
      </c>
      <c r="C213" s="3">
        <f t="shared" si="174"/>
        <v>4.2179983982958122E-2</v>
      </c>
      <c r="D213" s="3">
        <f t="shared" si="174"/>
        <v>4.2179983982957768E-2</v>
      </c>
      <c r="E213" s="3">
        <f t="shared" si="174"/>
        <v>4.2179983982954264E-2</v>
      </c>
      <c r="F213" s="3">
        <f t="shared" si="174"/>
        <v>4.2179983982919202E-2</v>
      </c>
      <c r="G213" s="3">
        <f t="shared" si="174"/>
        <v>4.2179983982568614E-2</v>
      </c>
      <c r="H213" s="3">
        <f t="shared" si="174"/>
        <v>4.2179983979062696E-2</v>
      </c>
      <c r="I213" s="3">
        <f t="shared" si="174"/>
        <v>4.2179983944003588E-2</v>
      </c>
      <c r="J213" s="3">
        <f t="shared" si="174"/>
        <v>4.2179983593412441E-2</v>
      </c>
      <c r="K213" s="3">
        <f t="shared" si="174"/>
        <v>4.2179980087501172E-2</v>
      </c>
      <c r="L213" s="3">
        <f t="shared" si="174"/>
        <v>4.2179945028404518E-2</v>
      </c>
      <c r="M213" s="3">
        <f t="shared" si="174"/>
        <v>4.2179594439040687E-2</v>
      </c>
      <c r="N213" s="3">
        <f t="shared" si="174"/>
        <v>4.2176088705669086E-2</v>
      </c>
      <c r="O213" s="3">
        <f t="shared" si="174"/>
        <v>4.2141047393696444E-2</v>
      </c>
      <c r="P213" s="3">
        <f t="shared" si="174"/>
        <v>4.1792231531978079E-2</v>
      </c>
      <c r="Q213" s="3">
        <f t="shared" si="174"/>
        <v>3.8458993875542018E-2</v>
      </c>
      <c r="R213" s="3">
        <f t="shared" si="174"/>
        <v>1.6750257603776832E-2</v>
      </c>
      <c r="S213" s="3">
        <f t="shared" si="174"/>
        <v>4.113932961684507E-6</v>
      </c>
      <c r="T213" s="3">
        <f t="shared" si="174"/>
        <v>3.2855978798734067E-42</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3.9494315481295991E-2</v>
      </c>
      <c r="C214" s="3">
        <f t="shared" si="175"/>
        <v>3.9494315481295984E-2</v>
      </c>
      <c r="D214" s="3">
        <f t="shared" si="175"/>
        <v>3.9494315481295957E-2</v>
      </c>
      <c r="E214" s="3">
        <f t="shared" si="175"/>
        <v>3.9494315481295665E-2</v>
      </c>
      <c r="F214" s="3">
        <f t="shared" si="175"/>
        <v>3.9494315481292702E-2</v>
      </c>
      <c r="G214" s="3">
        <f t="shared" si="175"/>
        <v>3.9494315481263087E-2</v>
      </c>
      <c r="H214" s="3">
        <f t="shared" si="175"/>
        <v>3.9494315480966963E-2</v>
      </c>
      <c r="I214" s="3">
        <f t="shared" si="175"/>
        <v>3.9494315478005713E-2</v>
      </c>
      <c r="J214" s="3">
        <f t="shared" si="175"/>
        <v>3.9494315448393165E-2</v>
      </c>
      <c r="K214" s="3">
        <f t="shared" si="175"/>
        <v>3.9494315152267728E-2</v>
      </c>
      <c r="L214" s="3">
        <f t="shared" si="175"/>
        <v>3.94943121910135E-2</v>
      </c>
      <c r="M214" s="3">
        <f t="shared" si="175"/>
        <v>3.9494282578483433E-2</v>
      </c>
      <c r="N214" s="3">
        <f t="shared" si="175"/>
        <v>3.9493986454403891E-2</v>
      </c>
      <c r="O214" s="3">
        <f t="shared" si="175"/>
        <v>3.9491025335722713E-2</v>
      </c>
      <c r="P214" s="3">
        <f t="shared" si="175"/>
        <v>3.946142635694299E-2</v>
      </c>
      <c r="Q214" s="3">
        <f t="shared" si="175"/>
        <v>3.9166653992347422E-2</v>
      </c>
      <c r="R214" s="3">
        <f t="shared" si="175"/>
        <v>3.6337361921959598E-2</v>
      </c>
      <c r="S214" s="3">
        <f t="shared" si="175"/>
        <v>1.7168115488718657E-2</v>
      </c>
      <c r="T214" s="3">
        <f t="shared" si="175"/>
        <v>9.5151347284487135E-6</v>
      </c>
      <c r="U214" s="3">
        <f t="shared" si="175"/>
        <v>2.6021845925374179E-38</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3.1232286968780269E-2</v>
      </c>
      <c r="C215" s="3">
        <f t="shared" si="176"/>
        <v>3.1232286968780269E-2</v>
      </c>
      <c r="D215" s="3">
        <f t="shared" si="176"/>
        <v>3.1232286968780266E-2</v>
      </c>
      <c r="E215" s="3">
        <f t="shared" si="176"/>
        <v>3.1232286968780245E-2</v>
      </c>
      <c r="F215" s="3">
        <f t="shared" si="176"/>
        <v>3.1232286968780033E-2</v>
      </c>
      <c r="G215" s="3">
        <f t="shared" si="176"/>
        <v>3.123228696877792E-2</v>
      </c>
      <c r="H215" s="3">
        <f t="shared" si="176"/>
        <v>3.1232286968756798E-2</v>
      </c>
      <c r="I215" s="3">
        <f t="shared" si="176"/>
        <v>3.1232286968545547E-2</v>
      </c>
      <c r="J215" s="3">
        <f t="shared" si="176"/>
        <v>3.1232286966433077E-2</v>
      </c>
      <c r="K215" s="3">
        <f t="shared" si="176"/>
        <v>3.123228694530833E-2</v>
      </c>
      <c r="L215" s="3">
        <f t="shared" si="176"/>
        <v>3.1232286734060869E-2</v>
      </c>
      <c r="M215" s="3">
        <f t="shared" si="176"/>
        <v>3.1232284621586337E-2</v>
      </c>
      <c r="N215" s="3">
        <f t="shared" si="176"/>
        <v>3.1232263496848857E-2</v>
      </c>
      <c r="O215" s="3">
        <f t="shared" si="176"/>
        <v>3.1232052250259938E-2</v>
      </c>
      <c r="P215" s="3">
        <f t="shared" si="176"/>
        <v>3.1229939862953953E-2</v>
      </c>
      <c r="Q215" s="3">
        <f t="shared" si="176"/>
        <v>3.120882384624998E-2</v>
      </c>
      <c r="R215" s="3">
        <f t="shared" si="176"/>
        <v>3.0998447352226188E-2</v>
      </c>
      <c r="S215" s="3">
        <f t="shared" si="176"/>
        <v>2.8971123480394659E-2</v>
      </c>
      <c r="T215" s="3">
        <f t="shared" si="176"/>
        <v>1.4730561248659207E-2</v>
      </c>
      <c r="U215" s="3">
        <f t="shared" si="176"/>
        <v>1.7012136725123274E-5</v>
      </c>
      <c r="V215" s="3">
        <f t="shared" si="176"/>
        <v>7.1804980220230101E-35</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3.0546949875680195E-2</v>
      </c>
      <c r="C216" s="3">
        <f t="shared" si="177"/>
        <v>3.0546949875680195E-2</v>
      </c>
      <c r="D216" s="3">
        <f t="shared" si="177"/>
        <v>3.0546949875680195E-2</v>
      </c>
      <c r="E216" s="3">
        <f t="shared" si="177"/>
        <v>3.0546949875680192E-2</v>
      </c>
      <c r="F216" s="3">
        <f t="shared" si="177"/>
        <v>3.0546949875680175E-2</v>
      </c>
      <c r="G216" s="3">
        <f t="shared" si="177"/>
        <v>3.0546949875679987E-2</v>
      </c>
      <c r="H216" s="3">
        <f t="shared" si="177"/>
        <v>3.0546949875678124E-2</v>
      </c>
      <c r="I216" s="3">
        <f t="shared" si="177"/>
        <v>3.0546949875659486E-2</v>
      </c>
      <c r="J216" s="3">
        <f t="shared" si="177"/>
        <v>3.0546949875473108E-2</v>
      </c>
      <c r="K216" s="3">
        <f t="shared" si="177"/>
        <v>3.0546949873609293E-2</v>
      </c>
      <c r="L216" s="3">
        <f t="shared" si="177"/>
        <v>3.0546949854971171E-2</v>
      </c>
      <c r="M216" s="3">
        <f t="shared" si="177"/>
        <v>3.0546949668589948E-2</v>
      </c>
      <c r="N216" s="3">
        <f t="shared" si="177"/>
        <v>3.0546947804777791E-2</v>
      </c>
      <c r="O216" s="3">
        <f t="shared" si="177"/>
        <v>3.0546929166662452E-2</v>
      </c>
      <c r="P216" s="3">
        <f t="shared" si="177"/>
        <v>3.0546742786134524E-2</v>
      </c>
      <c r="Q216" s="3">
        <f t="shared" si="177"/>
        <v>3.0544879043399649E-2</v>
      </c>
      <c r="R216" s="3">
        <f t="shared" si="177"/>
        <v>3.0526247869076668E-2</v>
      </c>
      <c r="S216" s="3">
        <f t="shared" si="177"/>
        <v>3.0340560019077221E-2</v>
      </c>
      <c r="T216" s="3">
        <f t="shared" si="177"/>
        <v>2.8544685068209411E-2</v>
      </c>
      <c r="U216" s="3">
        <f t="shared" si="177"/>
        <v>1.5507503495989849E-2</v>
      </c>
      <c r="V216" s="3">
        <f t="shared" si="177"/>
        <v>3.4730273784412779E-5</v>
      </c>
      <c r="W216" s="3">
        <f t="shared" si="177"/>
        <v>1.1024817241247737E-31</v>
      </c>
      <c r="X216" s="3">
        <f t="shared" si="177"/>
        <v>1.145521694120367E-296</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2.9181012135706209E-2</v>
      </c>
      <c r="C217" s="3">
        <f t="shared" si="178"/>
        <v>2.9181012135706209E-2</v>
      </c>
      <c r="D217" s="3">
        <f t="shared" si="178"/>
        <v>2.9181012135706209E-2</v>
      </c>
      <c r="E217" s="3">
        <f t="shared" si="178"/>
        <v>2.9181012135706209E-2</v>
      </c>
      <c r="F217" s="3">
        <f t="shared" si="178"/>
        <v>2.9181012135706206E-2</v>
      </c>
      <c r="G217" s="3">
        <f t="shared" si="178"/>
        <v>2.9181012135706189E-2</v>
      </c>
      <c r="H217" s="3">
        <f t="shared" si="178"/>
        <v>2.9181012135706032E-2</v>
      </c>
      <c r="I217" s="3">
        <f t="shared" si="178"/>
        <v>2.9181012135704423E-2</v>
      </c>
      <c r="J217" s="3">
        <f t="shared" si="178"/>
        <v>2.9181012135688366E-2</v>
      </c>
      <c r="K217" s="3">
        <f t="shared" si="178"/>
        <v>2.9181012135527751E-2</v>
      </c>
      <c r="L217" s="3">
        <f t="shared" si="178"/>
        <v>2.918101213392162E-2</v>
      </c>
      <c r="M217" s="3">
        <f t="shared" si="178"/>
        <v>2.9181012117860297E-2</v>
      </c>
      <c r="N217" s="3">
        <f t="shared" si="178"/>
        <v>2.9181011957247094E-2</v>
      </c>
      <c r="O217" s="3">
        <f t="shared" si="178"/>
        <v>2.9181010351115103E-2</v>
      </c>
      <c r="P217" s="3">
        <f t="shared" si="178"/>
        <v>2.9180994289800071E-2</v>
      </c>
      <c r="Q217" s="3">
        <f t="shared" si="178"/>
        <v>2.9180833677135927E-2</v>
      </c>
      <c r="R217" s="3">
        <f t="shared" si="178"/>
        <v>2.917922759911451E-2</v>
      </c>
      <c r="S217" s="3">
        <f t="shared" si="178"/>
        <v>2.9163171679910907E-2</v>
      </c>
      <c r="T217" s="3">
        <f t="shared" si="178"/>
        <v>2.9003097600446563E-2</v>
      </c>
      <c r="U217" s="3">
        <f t="shared" si="178"/>
        <v>2.7449894511542509E-2</v>
      </c>
      <c r="V217" s="3">
        <f t="shared" si="178"/>
        <v>1.5830828253398009E-2</v>
      </c>
      <c r="W217" s="3">
        <f t="shared" si="178"/>
        <v>6.4436688357860327E-5</v>
      </c>
      <c r="X217" s="3">
        <f t="shared" si="178"/>
        <v>8.0432017462782788E-29</v>
      </c>
      <c r="Y217" s="3">
        <f t="shared" si="178"/>
        <v>7.3856115312437762E-268</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2.8956161504827882E-2</v>
      </c>
      <c r="C218" s="3">
        <f t="shared" si="179"/>
        <v>2.8956161504827882E-2</v>
      </c>
      <c r="D218" s="3">
        <f t="shared" si="179"/>
        <v>2.8956161504827882E-2</v>
      </c>
      <c r="E218" s="3">
        <f t="shared" si="179"/>
        <v>2.8956161504827882E-2</v>
      </c>
      <c r="F218" s="3">
        <f t="shared" si="179"/>
        <v>2.8956161504827882E-2</v>
      </c>
      <c r="G218" s="3">
        <f t="shared" si="179"/>
        <v>2.8956161504827882E-2</v>
      </c>
      <c r="H218" s="3">
        <f t="shared" si="179"/>
        <v>2.8956161504827865E-2</v>
      </c>
      <c r="I218" s="3">
        <f t="shared" si="179"/>
        <v>2.8956161504827722E-2</v>
      </c>
      <c r="J218" s="3">
        <f t="shared" si="179"/>
        <v>2.8956161504826283E-2</v>
      </c>
      <c r="K218" s="3">
        <f t="shared" si="179"/>
        <v>2.8956161504811909E-2</v>
      </c>
      <c r="L218" s="3">
        <f t="shared" si="179"/>
        <v>2.8956161504668135E-2</v>
      </c>
      <c r="M218" s="3">
        <f t="shared" si="179"/>
        <v>2.8956161503230434E-2</v>
      </c>
      <c r="N218" s="3">
        <f t="shared" si="179"/>
        <v>2.8956161488853431E-2</v>
      </c>
      <c r="O218" s="3">
        <f t="shared" si="179"/>
        <v>2.8956161345083362E-2</v>
      </c>
      <c r="P218" s="3">
        <f t="shared" si="179"/>
        <v>2.895615990738273E-2</v>
      </c>
      <c r="Q218" s="3">
        <f t="shared" si="179"/>
        <v>2.8956145530380339E-2</v>
      </c>
      <c r="R218" s="3">
        <f t="shared" si="179"/>
        <v>2.8956001760749042E-2</v>
      </c>
      <c r="S218" s="3">
        <f t="shared" si="179"/>
        <v>2.8954564103695984E-2</v>
      </c>
      <c r="T218" s="3">
        <f t="shared" si="179"/>
        <v>2.8940191458439714E-2</v>
      </c>
      <c r="U218" s="3">
        <f t="shared" si="179"/>
        <v>2.8796856813154564E-2</v>
      </c>
      <c r="V218" s="3">
        <f t="shared" si="179"/>
        <v>2.7401980764279348E-2</v>
      </c>
      <c r="W218" s="3">
        <f t="shared" si="179"/>
        <v>1.6678256888697018E-2</v>
      </c>
      <c r="X218" s="3">
        <f t="shared" si="179"/>
        <v>1.1636910008094886E-4</v>
      </c>
      <c r="Y218" s="3">
        <f t="shared" si="179"/>
        <v>3.1820561989869136E-26</v>
      </c>
      <c r="Z218" s="3">
        <f t="shared" si="179"/>
        <v>7.4372014117668698E-242</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2.8549428510413092E-2</v>
      </c>
      <c r="C219" s="3">
        <f t="shared" si="180"/>
        <v>2.8549428510413092E-2</v>
      </c>
      <c r="D219" s="3">
        <f t="shared" si="180"/>
        <v>2.8549428510413092E-2</v>
      </c>
      <c r="E219" s="3">
        <f t="shared" si="180"/>
        <v>2.8549428510413092E-2</v>
      </c>
      <c r="F219" s="3">
        <f t="shared" si="180"/>
        <v>2.8549428510413092E-2</v>
      </c>
      <c r="G219" s="3">
        <f t="shared" si="180"/>
        <v>2.8549428510413092E-2</v>
      </c>
      <c r="H219" s="3">
        <f t="shared" si="180"/>
        <v>2.8549428510413092E-2</v>
      </c>
      <c r="I219" s="3">
        <f t="shared" si="180"/>
        <v>2.8549428510413078E-2</v>
      </c>
      <c r="J219" s="3">
        <f t="shared" si="180"/>
        <v>2.854942851041295E-2</v>
      </c>
      <c r="K219" s="3">
        <f t="shared" si="180"/>
        <v>2.8549428510411673E-2</v>
      </c>
      <c r="L219" s="3">
        <f t="shared" si="180"/>
        <v>2.8549428510398881E-2</v>
      </c>
      <c r="M219" s="3">
        <f t="shared" si="180"/>
        <v>2.8549428510271015E-2</v>
      </c>
      <c r="N219" s="3">
        <f t="shared" si="180"/>
        <v>2.8549428508992305E-2</v>
      </c>
      <c r="O219" s="3">
        <f t="shared" si="180"/>
        <v>2.8549428496205221E-2</v>
      </c>
      <c r="P219" s="3">
        <f t="shared" si="180"/>
        <v>2.8549428368334389E-2</v>
      </c>
      <c r="Q219" s="3">
        <f t="shared" si="180"/>
        <v>2.8549427089626087E-2</v>
      </c>
      <c r="R219" s="3">
        <f t="shared" si="180"/>
        <v>2.8549414302546223E-2</v>
      </c>
      <c r="S219" s="3">
        <f t="shared" si="180"/>
        <v>2.854928643206257E-2</v>
      </c>
      <c r="T219" s="3">
        <f t="shared" si="180"/>
        <v>2.8548007758725315E-2</v>
      </c>
      <c r="U219" s="3">
        <f t="shared" si="180"/>
        <v>2.8535224174756211E-2</v>
      </c>
      <c r="V219" s="3">
        <f t="shared" si="180"/>
        <v>2.8407702754113928E-2</v>
      </c>
      <c r="W219" s="3">
        <f t="shared" si="180"/>
        <v>2.7163415579878673E-2</v>
      </c>
      <c r="X219" s="3">
        <f t="shared" si="180"/>
        <v>1.735669405247673E-2</v>
      </c>
      <c r="Y219" s="3">
        <f t="shared" si="180"/>
        <v>1.9692157903555455E-4</v>
      </c>
      <c r="Z219" s="3">
        <f t="shared" si="180"/>
        <v>6.959152011565719E-24</v>
      </c>
      <c r="AA219" s="3">
        <f t="shared" si="180"/>
        <v>2.1143966316180302E-218</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3.3916990026039671E-2</v>
      </c>
      <c r="C220" s="3">
        <f t="shared" si="181"/>
        <v>3.3916990026039671E-2</v>
      </c>
      <c r="D220" s="3">
        <f t="shared" si="181"/>
        <v>3.3916990026039671E-2</v>
      </c>
      <c r="E220" s="3">
        <f t="shared" si="181"/>
        <v>3.3916990026039671E-2</v>
      </c>
      <c r="F220" s="3">
        <f t="shared" si="181"/>
        <v>3.3916990026039671E-2</v>
      </c>
      <c r="G220" s="3">
        <f t="shared" si="181"/>
        <v>3.3916990026039671E-2</v>
      </c>
      <c r="H220" s="3">
        <f t="shared" si="181"/>
        <v>3.3916990026039671E-2</v>
      </c>
      <c r="I220" s="3">
        <f t="shared" si="181"/>
        <v>3.3916990026039671E-2</v>
      </c>
      <c r="J220" s="3">
        <f t="shared" si="181"/>
        <v>3.3916990026039658E-2</v>
      </c>
      <c r="K220" s="3">
        <f t="shared" si="181"/>
        <v>3.3916990026039519E-2</v>
      </c>
      <c r="L220" s="3">
        <f t="shared" si="181"/>
        <v>3.3916990026038152E-2</v>
      </c>
      <c r="M220" s="3">
        <f t="shared" si="181"/>
        <v>3.3916990026024441E-2</v>
      </c>
      <c r="N220" s="3">
        <f t="shared" si="181"/>
        <v>3.3916990025887411E-2</v>
      </c>
      <c r="O220" s="3">
        <f t="shared" si="181"/>
        <v>3.3916990024517035E-2</v>
      </c>
      <c r="P220" s="3">
        <f t="shared" si="181"/>
        <v>3.391699001081333E-2</v>
      </c>
      <c r="Q220" s="3">
        <f t="shared" si="181"/>
        <v>3.3916989873776289E-2</v>
      </c>
      <c r="R220" s="3">
        <f t="shared" si="181"/>
        <v>3.3916988503405916E-2</v>
      </c>
      <c r="S220" s="3">
        <f t="shared" si="181"/>
        <v>3.3916974799705214E-2</v>
      </c>
      <c r="T220" s="3">
        <f t="shared" si="181"/>
        <v>3.3916837763002722E-2</v>
      </c>
      <c r="U220" s="3">
        <f t="shared" si="181"/>
        <v>3.3915467426429619E-2</v>
      </c>
      <c r="V220" s="3">
        <f t="shared" si="181"/>
        <v>3.3901767105431482E-2</v>
      </c>
      <c r="W220" s="3">
        <f t="shared" si="181"/>
        <v>3.3765067914059574E-2</v>
      </c>
      <c r="X220" s="3">
        <f t="shared" si="181"/>
        <v>3.2428028243157089E-2</v>
      </c>
      <c r="Y220" s="3">
        <f t="shared" si="181"/>
        <v>2.1649590827125455E-2</v>
      </c>
      <c r="Z220" s="3">
        <f t="shared" si="181"/>
        <v>3.8083880490555311E-4</v>
      </c>
      <c r="AA220" s="3">
        <f t="shared" si="181"/>
        <v>1.0805782038315353E-21</v>
      </c>
      <c r="AB220" s="3">
        <f t="shared" si="181"/>
        <v>3.6543176778438999E-197</v>
      </c>
      <c r="AC220" s="3">
        <f t="shared" si="181"/>
        <v>0</v>
      </c>
      <c r="AD220" s="3">
        <f t="shared" si="181"/>
        <v>0</v>
      </c>
      <c r="AE220" s="3">
        <f t="shared" si="181"/>
        <v>0</v>
      </c>
      <c r="AF220" s="3">
        <f t="shared" si="181"/>
        <v>0</v>
      </c>
      <c r="AG220" s="3"/>
      <c r="AH220" s="3"/>
    </row>
    <row r="221" spans="1:34" x14ac:dyDescent="0.25">
      <c r="B221" s="3">
        <f t="shared" ref="B221:AF221" si="182">$C29*EXP(-B$207/$A29/EXP(-$D$126))</f>
        <v>3.6686036889388041E-2</v>
      </c>
      <c r="C221" s="3">
        <f t="shared" si="182"/>
        <v>3.6686036889388041E-2</v>
      </c>
      <c r="D221" s="3">
        <f t="shared" si="182"/>
        <v>3.6686036889388041E-2</v>
      </c>
      <c r="E221" s="3">
        <f t="shared" si="182"/>
        <v>3.6686036889388041E-2</v>
      </c>
      <c r="F221" s="3">
        <f t="shared" si="182"/>
        <v>3.6686036889388041E-2</v>
      </c>
      <c r="G221" s="3">
        <f t="shared" si="182"/>
        <v>3.6686036889388041E-2</v>
      </c>
      <c r="H221" s="3">
        <f t="shared" si="182"/>
        <v>3.6686036889388041E-2</v>
      </c>
      <c r="I221" s="3">
        <f t="shared" si="182"/>
        <v>3.6686036889388041E-2</v>
      </c>
      <c r="J221" s="3">
        <f t="shared" si="182"/>
        <v>3.6686036889388041E-2</v>
      </c>
      <c r="K221" s="3">
        <f t="shared" si="182"/>
        <v>3.6686036889388027E-2</v>
      </c>
      <c r="L221" s="3">
        <f t="shared" si="182"/>
        <v>3.6686036889387895E-2</v>
      </c>
      <c r="M221" s="3">
        <f t="shared" si="182"/>
        <v>3.6686036889386556E-2</v>
      </c>
      <c r="N221" s="3">
        <f t="shared" si="182"/>
        <v>3.6686036889373184E-2</v>
      </c>
      <c r="O221" s="3">
        <f t="shared" si="182"/>
        <v>3.6686036889239472E-2</v>
      </c>
      <c r="P221" s="3">
        <f t="shared" si="182"/>
        <v>3.6686036887902361E-2</v>
      </c>
      <c r="Q221" s="3">
        <f t="shared" si="182"/>
        <v>3.668603687453123E-2</v>
      </c>
      <c r="R221" s="3">
        <f t="shared" si="182"/>
        <v>3.6686036740819945E-2</v>
      </c>
      <c r="S221" s="3">
        <f t="shared" si="182"/>
        <v>3.6686035403707143E-2</v>
      </c>
      <c r="T221" s="3">
        <f t="shared" si="182"/>
        <v>3.6686022032581769E-2</v>
      </c>
      <c r="U221" s="3">
        <f t="shared" si="182"/>
        <v>3.6685888321596076E-2</v>
      </c>
      <c r="V221" s="3">
        <f t="shared" si="182"/>
        <v>3.6684551238542661E-2</v>
      </c>
      <c r="W221" s="3">
        <f t="shared" si="182"/>
        <v>3.6671183087997009E-2</v>
      </c>
      <c r="X221" s="3">
        <f t="shared" si="182"/>
        <v>3.6537769220333131E-2</v>
      </c>
      <c r="Y221" s="3">
        <f t="shared" si="182"/>
        <v>3.5230036890103116E-2</v>
      </c>
      <c r="Z221" s="3">
        <f t="shared" si="182"/>
        <v>2.4469426659174027E-2</v>
      </c>
      <c r="AA221" s="3">
        <f t="shared" si="182"/>
        <v>6.3933834094447028E-4</v>
      </c>
      <c r="AB221" s="3">
        <f t="shared" si="182"/>
        <v>9.4798248097822603E-20</v>
      </c>
      <c r="AC221" s="3">
        <f t="shared" si="182"/>
        <v>4.869629607285042E-178</v>
      </c>
      <c r="AD221" s="3">
        <f t="shared" si="182"/>
        <v>0</v>
      </c>
      <c r="AE221" s="3">
        <f t="shared" si="182"/>
        <v>0</v>
      </c>
      <c r="AF221" s="3">
        <f t="shared" si="182"/>
        <v>0</v>
      </c>
      <c r="AG221" s="3"/>
      <c r="AH221" s="3"/>
    </row>
    <row r="222" spans="1:34" x14ac:dyDescent="0.25">
      <c r="B222" s="3">
        <f t="shared" ref="B222:AF222" si="183">$C30*EXP(-B$207/$A30/EXP(-$D$126))</f>
        <v>4.0919511658412108E-2</v>
      </c>
      <c r="C222" s="3">
        <f t="shared" si="183"/>
        <v>4.0919511658412108E-2</v>
      </c>
      <c r="D222" s="3">
        <f t="shared" si="183"/>
        <v>4.0919511658412108E-2</v>
      </c>
      <c r="E222" s="3">
        <f t="shared" si="183"/>
        <v>4.0919511658412108E-2</v>
      </c>
      <c r="F222" s="3">
        <f t="shared" si="183"/>
        <v>4.0919511658412108E-2</v>
      </c>
      <c r="G222" s="3">
        <f t="shared" si="183"/>
        <v>4.0919511658412108E-2</v>
      </c>
      <c r="H222" s="3">
        <f t="shared" si="183"/>
        <v>4.0919511658412108E-2</v>
      </c>
      <c r="I222" s="3">
        <f t="shared" si="183"/>
        <v>4.0919511658412108E-2</v>
      </c>
      <c r="J222" s="3">
        <f t="shared" si="183"/>
        <v>4.0919511658412108E-2</v>
      </c>
      <c r="K222" s="3">
        <f t="shared" si="183"/>
        <v>4.0919511658412108E-2</v>
      </c>
      <c r="L222" s="3">
        <f t="shared" si="183"/>
        <v>4.0919511658412094E-2</v>
      </c>
      <c r="M222" s="3">
        <f t="shared" si="183"/>
        <v>4.0919511658411956E-2</v>
      </c>
      <c r="N222" s="3">
        <f t="shared" si="183"/>
        <v>4.0919511658410616E-2</v>
      </c>
      <c r="O222" s="3">
        <f t="shared" si="183"/>
        <v>4.0919511658397162E-2</v>
      </c>
      <c r="P222" s="3">
        <f t="shared" si="183"/>
        <v>4.0919511658262624E-2</v>
      </c>
      <c r="Q222" s="3">
        <f t="shared" si="183"/>
        <v>4.0919511656917248E-2</v>
      </c>
      <c r="R222" s="3">
        <f t="shared" si="183"/>
        <v>4.0919511643463462E-2</v>
      </c>
      <c r="S222" s="3">
        <f t="shared" si="183"/>
        <v>4.0919511508925671E-2</v>
      </c>
      <c r="T222" s="3">
        <f t="shared" si="183"/>
        <v>4.0919510163547793E-2</v>
      </c>
      <c r="U222" s="3">
        <f t="shared" si="183"/>
        <v>4.0919496709771408E-2</v>
      </c>
      <c r="V222" s="3">
        <f t="shared" si="183"/>
        <v>4.0919362172250832E-2</v>
      </c>
      <c r="W222" s="3">
        <f t="shared" si="183"/>
        <v>4.091801682137361E-2</v>
      </c>
      <c r="X222" s="3">
        <f t="shared" si="183"/>
        <v>4.0904565745153366E-2</v>
      </c>
      <c r="Y222" s="3">
        <f t="shared" si="183"/>
        <v>4.0770297942487536E-2</v>
      </c>
      <c r="Z222" s="3">
        <f t="shared" si="183"/>
        <v>3.9451622888200956E-2</v>
      </c>
      <c r="AA222" s="3">
        <f t="shared" si="183"/>
        <v>2.8397149782504152E-2</v>
      </c>
      <c r="AB222" s="3">
        <f t="shared" si="183"/>
        <v>1.0601651957151356E-3</v>
      </c>
      <c r="AC222" s="3">
        <f t="shared" si="183"/>
        <v>5.5764966697861287E-18</v>
      </c>
      <c r="AD222" s="3">
        <f t="shared" si="183"/>
        <v>9.0415001280177157E-161</v>
      </c>
      <c r="AE222" s="3">
        <f t="shared" si="183"/>
        <v>0</v>
      </c>
      <c r="AF222" s="3">
        <f t="shared" si="183"/>
        <v>0</v>
      </c>
      <c r="AG222" s="3"/>
      <c r="AH222" s="3"/>
    </row>
    <row r="223" spans="1:34" x14ac:dyDescent="0.25">
      <c r="B223" s="3">
        <f t="shared" ref="B223:AF223" si="184">$C31*EXP(-B$207/$A31/EXP(-$D$126))</f>
        <v>4.7755707575506505E-2</v>
      </c>
      <c r="C223" s="3">
        <f t="shared" si="184"/>
        <v>4.7755707575506505E-2</v>
      </c>
      <c r="D223" s="3">
        <f t="shared" si="184"/>
        <v>4.7755707575506505E-2</v>
      </c>
      <c r="E223" s="3">
        <f t="shared" si="184"/>
        <v>4.7755707575506505E-2</v>
      </c>
      <c r="F223" s="3">
        <f t="shared" si="184"/>
        <v>4.7755707575506505E-2</v>
      </c>
      <c r="G223" s="3">
        <f t="shared" si="184"/>
        <v>4.7755707575506505E-2</v>
      </c>
      <c r="H223" s="3">
        <f t="shared" si="184"/>
        <v>4.7755707575506505E-2</v>
      </c>
      <c r="I223" s="3">
        <f t="shared" si="184"/>
        <v>4.7755707575506505E-2</v>
      </c>
      <c r="J223" s="3">
        <f t="shared" si="184"/>
        <v>4.7755707575506505E-2</v>
      </c>
      <c r="K223" s="3">
        <f t="shared" si="184"/>
        <v>4.7755707575506505E-2</v>
      </c>
      <c r="L223" s="3">
        <f t="shared" si="184"/>
        <v>4.7755707575506505E-2</v>
      </c>
      <c r="M223" s="3">
        <f t="shared" si="184"/>
        <v>4.7755707575506491E-2</v>
      </c>
      <c r="N223" s="3">
        <f t="shared" si="184"/>
        <v>4.7755707575506345E-2</v>
      </c>
      <c r="O223" s="3">
        <f t="shared" si="184"/>
        <v>4.775570757550493E-2</v>
      </c>
      <c r="P223" s="3">
        <f t="shared" si="184"/>
        <v>4.7755707575490768E-2</v>
      </c>
      <c r="Q223" s="3">
        <f t="shared" si="184"/>
        <v>4.7755707575349124E-2</v>
      </c>
      <c r="R223" s="3">
        <f t="shared" si="184"/>
        <v>4.7755707573932729E-2</v>
      </c>
      <c r="S223" s="3">
        <f t="shared" si="184"/>
        <v>4.7755707559768733E-2</v>
      </c>
      <c r="T223" s="3">
        <f t="shared" si="184"/>
        <v>4.7755707418128797E-2</v>
      </c>
      <c r="U223" s="3">
        <f t="shared" si="184"/>
        <v>4.7755706001729452E-2</v>
      </c>
      <c r="V223" s="3">
        <f t="shared" si="184"/>
        <v>4.7755691837738305E-2</v>
      </c>
      <c r="W223" s="3">
        <f t="shared" si="184"/>
        <v>4.7755550198057904E-2</v>
      </c>
      <c r="X223" s="3">
        <f t="shared" si="184"/>
        <v>4.7754133824358738E-2</v>
      </c>
      <c r="Y223" s="3">
        <f t="shared" si="184"/>
        <v>4.7739972397600736E-2</v>
      </c>
      <c r="Z223" s="3">
        <f t="shared" si="184"/>
        <v>4.7598588900061765E-2</v>
      </c>
      <c r="AA223" s="3">
        <f t="shared" si="184"/>
        <v>4.6207579679917211E-2</v>
      </c>
      <c r="AB223" s="3">
        <f t="shared" si="184"/>
        <v>3.4348252988102776E-2</v>
      </c>
      <c r="AC223" s="3">
        <f t="shared" si="184"/>
        <v>1.7693712735097921E-3</v>
      </c>
      <c r="AD223" s="3">
        <f t="shared" si="184"/>
        <v>2.3278884341389816E-16</v>
      </c>
      <c r="AE223" s="3">
        <f t="shared" si="184"/>
        <v>3.6173794573914515E-145</v>
      </c>
      <c r="AF223" s="3">
        <f t="shared" si="184"/>
        <v>0</v>
      </c>
      <c r="AG223" s="3"/>
      <c r="AH223" s="3"/>
    </row>
    <row r="224" spans="1:34" x14ac:dyDescent="0.25">
      <c r="B224" s="3">
        <f t="shared" ref="B224:AF224" si="185">$C32*EXP(-B$207/$A32/EXP(-$D$126))</f>
        <v>5.7469214785363418E-2</v>
      </c>
      <c r="C224" s="3">
        <f t="shared" si="185"/>
        <v>5.7469214785363418E-2</v>
      </c>
      <c r="D224" s="3">
        <f t="shared" si="185"/>
        <v>5.7469214785363418E-2</v>
      </c>
      <c r="E224" s="3">
        <f t="shared" si="185"/>
        <v>5.7469214785363418E-2</v>
      </c>
      <c r="F224" s="3">
        <f t="shared" si="185"/>
        <v>5.7469214785363418E-2</v>
      </c>
      <c r="G224" s="3">
        <f t="shared" si="185"/>
        <v>5.7469214785363418E-2</v>
      </c>
      <c r="H224" s="3">
        <f t="shared" si="185"/>
        <v>5.7469214785363418E-2</v>
      </c>
      <c r="I224" s="3">
        <f t="shared" si="185"/>
        <v>5.7469214785363418E-2</v>
      </c>
      <c r="J224" s="3">
        <f t="shared" si="185"/>
        <v>5.7469214785363418E-2</v>
      </c>
      <c r="K224" s="3">
        <f t="shared" si="185"/>
        <v>5.7469214785363418E-2</v>
      </c>
      <c r="L224" s="3">
        <f t="shared" si="185"/>
        <v>5.7469214785363418E-2</v>
      </c>
      <c r="M224" s="3">
        <f t="shared" si="185"/>
        <v>5.7469214785363418E-2</v>
      </c>
      <c r="N224" s="3">
        <f t="shared" si="185"/>
        <v>5.7469214785363397E-2</v>
      </c>
      <c r="O224" s="3">
        <f t="shared" si="185"/>
        <v>5.7469214785363244E-2</v>
      </c>
      <c r="P224" s="3">
        <f t="shared" si="185"/>
        <v>5.7469214785361711E-2</v>
      </c>
      <c r="Q224" s="3">
        <f t="shared" si="185"/>
        <v>5.7469214785346334E-2</v>
      </c>
      <c r="R224" s="3">
        <f t="shared" si="185"/>
        <v>5.7469214785192568E-2</v>
      </c>
      <c r="S224" s="3">
        <f t="shared" si="185"/>
        <v>5.7469214783654979E-2</v>
      </c>
      <c r="T224" s="3">
        <f t="shared" si="185"/>
        <v>5.7469214768279014E-2</v>
      </c>
      <c r="U224" s="3">
        <f t="shared" si="185"/>
        <v>5.7469214614519398E-2</v>
      </c>
      <c r="V224" s="3">
        <f t="shared" si="185"/>
        <v>5.746921307692323E-2</v>
      </c>
      <c r="W224" s="3">
        <f t="shared" si="185"/>
        <v>5.7469197700963801E-2</v>
      </c>
      <c r="X224" s="3">
        <f t="shared" si="185"/>
        <v>5.7469043941595792E-2</v>
      </c>
      <c r="Y224" s="3">
        <f t="shared" si="185"/>
        <v>5.7467506370541689E-2</v>
      </c>
      <c r="Z224" s="3">
        <f t="shared" si="185"/>
        <v>5.7452132922373909E-2</v>
      </c>
      <c r="AA224" s="3">
        <f t="shared" si="185"/>
        <v>5.7298624454215359E-2</v>
      </c>
      <c r="AB224" s="3">
        <f t="shared" si="185"/>
        <v>5.5785918976998396E-2</v>
      </c>
      <c r="AC224" s="3">
        <f t="shared" si="185"/>
        <v>4.269023519297873E-2</v>
      </c>
      <c r="AD224" s="3">
        <f t="shared" si="185"/>
        <v>2.9401406379761913E-3</v>
      </c>
      <c r="AE224" s="3">
        <f t="shared" si="185"/>
        <v>7.0593331610646787E-15</v>
      </c>
      <c r="AF224" s="3">
        <f t="shared" si="185"/>
        <v>4.4948936085703606E-131</v>
      </c>
      <c r="AG224" s="3"/>
      <c r="AH224" s="3"/>
    </row>
    <row r="225" spans="2:34" x14ac:dyDescent="0.25">
      <c r="B225" s="3">
        <f t="shared" ref="B225:AF225" si="186">$C33*EXP(-B$207/$A33/EXP(-$D$126))</f>
        <v>6.4260885650205518E-2</v>
      </c>
      <c r="C225" s="3">
        <f t="shared" si="186"/>
        <v>6.4260885650205518E-2</v>
      </c>
      <c r="D225" s="3">
        <f t="shared" si="186"/>
        <v>6.4260885650205518E-2</v>
      </c>
      <c r="E225" s="3">
        <f t="shared" si="186"/>
        <v>6.4260885650205518E-2</v>
      </c>
      <c r="F225" s="3">
        <f t="shared" si="186"/>
        <v>6.4260885650205518E-2</v>
      </c>
      <c r="G225" s="3">
        <f t="shared" si="186"/>
        <v>6.4260885650205518E-2</v>
      </c>
      <c r="H225" s="3">
        <f t="shared" si="186"/>
        <v>6.4260885650205518E-2</v>
      </c>
      <c r="I225" s="3">
        <f t="shared" si="186"/>
        <v>6.4260885650205518E-2</v>
      </c>
      <c r="J225" s="3">
        <f t="shared" si="186"/>
        <v>6.4260885650205518E-2</v>
      </c>
      <c r="K225" s="3">
        <f t="shared" si="186"/>
        <v>6.4260885650205518E-2</v>
      </c>
      <c r="L225" s="3">
        <f t="shared" si="186"/>
        <v>6.4260885650205518E-2</v>
      </c>
      <c r="M225" s="3">
        <f t="shared" si="186"/>
        <v>6.4260885650205518E-2</v>
      </c>
      <c r="N225" s="3">
        <f t="shared" si="186"/>
        <v>6.4260885650205518E-2</v>
      </c>
      <c r="O225" s="3">
        <f t="shared" si="186"/>
        <v>6.4260885650205504E-2</v>
      </c>
      <c r="P225" s="3">
        <f t="shared" si="186"/>
        <v>6.4260885650205352E-2</v>
      </c>
      <c r="Q225" s="3">
        <f t="shared" si="186"/>
        <v>6.4260885650203797E-2</v>
      </c>
      <c r="R225" s="3">
        <f t="shared" si="186"/>
        <v>6.4260885650188282E-2</v>
      </c>
      <c r="S225" s="3">
        <f t="shared" si="186"/>
        <v>6.4260885650033184E-2</v>
      </c>
      <c r="T225" s="3">
        <f t="shared" si="186"/>
        <v>6.426088564848223E-2</v>
      </c>
      <c r="U225" s="3">
        <f t="shared" si="186"/>
        <v>6.4260885632972636E-2</v>
      </c>
      <c r="V225" s="3">
        <f t="shared" si="186"/>
        <v>6.4260885477876742E-2</v>
      </c>
      <c r="W225" s="3">
        <f t="shared" si="186"/>
        <v>6.4260883926917714E-2</v>
      </c>
      <c r="X225" s="3">
        <f t="shared" si="186"/>
        <v>6.4260868417329559E-2</v>
      </c>
      <c r="Y225" s="3">
        <f t="shared" si="186"/>
        <v>6.4260713321653881E-2</v>
      </c>
      <c r="Z225" s="3">
        <f t="shared" si="186"/>
        <v>6.4259162385484958E-2</v>
      </c>
      <c r="AA225" s="3">
        <f t="shared" si="186"/>
        <v>6.4243655082403303E-2</v>
      </c>
      <c r="AB225" s="3">
        <f t="shared" si="186"/>
        <v>6.4088787728620158E-2</v>
      </c>
      <c r="AC225" s="3">
        <f t="shared" si="186"/>
        <v>6.256049940263099E-2</v>
      </c>
      <c r="AD225" s="3">
        <f t="shared" si="186"/>
        <v>4.9145268078840849E-2</v>
      </c>
      <c r="AE225" s="3">
        <f t="shared" si="186"/>
        <v>4.3984202642539253E-3</v>
      </c>
      <c r="AF225" s="3">
        <f t="shared" si="186"/>
        <v>1.4502633534631849E-13</v>
      </c>
      <c r="AG225" s="3"/>
      <c r="AH225" s="3"/>
    </row>
    <row r="226" spans="2:34" x14ac:dyDescent="0.25">
      <c r="B226" s="3">
        <f t="shared" ref="B226:AF226" si="187">$C34*EXP(-B$207/$A34/EXP(-$D$126))</f>
        <v>6.2189536822504186E-2</v>
      </c>
      <c r="C226" s="3">
        <f t="shared" si="187"/>
        <v>6.2189536822504186E-2</v>
      </c>
      <c r="D226" s="3">
        <f t="shared" si="187"/>
        <v>6.2189536822504186E-2</v>
      </c>
      <c r="E226" s="3">
        <f t="shared" si="187"/>
        <v>6.2189536822504186E-2</v>
      </c>
      <c r="F226" s="3">
        <f t="shared" si="187"/>
        <v>6.2189536822504186E-2</v>
      </c>
      <c r="G226" s="3">
        <f t="shared" si="187"/>
        <v>6.2189536822504186E-2</v>
      </c>
      <c r="H226" s="3">
        <f t="shared" si="187"/>
        <v>6.2189536822504186E-2</v>
      </c>
      <c r="I226" s="3">
        <f t="shared" si="187"/>
        <v>6.2189536822504186E-2</v>
      </c>
      <c r="J226" s="3">
        <f t="shared" si="187"/>
        <v>6.2189536822504186E-2</v>
      </c>
      <c r="K226" s="3">
        <f t="shared" si="187"/>
        <v>6.2189536822504186E-2</v>
      </c>
      <c r="L226" s="3">
        <f t="shared" si="187"/>
        <v>6.2189536822504186E-2</v>
      </c>
      <c r="M226" s="3">
        <f t="shared" si="187"/>
        <v>6.2189536822504186E-2</v>
      </c>
      <c r="N226" s="3">
        <f t="shared" si="187"/>
        <v>6.2189536822504186E-2</v>
      </c>
      <c r="O226" s="3">
        <f t="shared" si="187"/>
        <v>6.2189536822504186E-2</v>
      </c>
      <c r="P226" s="3">
        <f t="shared" si="187"/>
        <v>6.2189536822504173E-2</v>
      </c>
      <c r="Q226" s="3">
        <f t="shared" si="187"/>
        <v>6.2189536822504034E-2</v>
      </c>
      <c r="R226" s="3">
        <f t="shared" si="187"/>
        <v>6.2189536822502681E-2</v>
      </c>
      <c r="S226" s="3">
        <f t="shared" si="187"/>
        <v>6.2189536822489143E-2</v>
      </c>
      <c r="T226" s="3">
        <f t="shared" si="187"/>
        <v>6.2189536822353737E-2</v>
      </c>
      <c r="U226" s="3">
        <f t="shared" si="187"/>
        <v>6.2189536820999744E-2</v>
      </c>
      <c r="V226" s="3">
        <f t="shared" si="187"/>
        <v>6.2189536807459783E-2</v>
      </c>
      <c r="W226" s="3">
        <f t="shared" si="187"/>
        <v>6.2189536672060126E-2</v>
      </c>
      <c r="X226" s="3">
        <f t="shared" si="187"/>
        <v>6.2189535318063663E-2</v>
      </c>
      <c r="Y226" s="3">
        <f t="shared" si="187"/>
        <v>6.2189521778100644E-2</v>
      </c>
      <c r="Z226" s="3">
        <f t="shared" si="187"/>
        <v>6.2189386378632527E-2</v>
      </c>
      <c r="AA226" s="3">
        <f t="shared" si="187"/>
        <v>6.2188032400164878E-2</v>
      </c>
      <c r="AB226" s="3">
        <f t="shared" si="187"/>
        <v>6.2174494236706949E-2</v>
      </c>
      <c r="AC226" s="3">
        <f t="shared" si="187"/>
        <v>6.2039274593459807E-2</v>
      </c>
      <c r="AD226" s="3">
        <f t="shared" si="187"/>
        <v>6.0703147555737733E-2</v>
      </c>
      <c r="AE226" s="3">
        <f t="shared" si="187"/>
        <v>4.8826568657164039E-2</v>
      </c>
      <c r="AF226" s="3">
        <f t="shared" si="187"/>
        <v>5.5348537234556402E-3</v>
      </c>
      <c r="AG226" s="3"/>
      <c r="AH226" s="3"/>
    </row>
    <row r="227" spans="2:34" x14ac:dyDescent="0.25">
      <c r="B227" s="3">
        <f t="shared" ref="B227:AF227" si="188">$C35*EXP(-B$207/$A35/EXP(-$D$126))</f>
        <v>4.8803099741359754E-2</v>
      </c>
      <c r="C227" s="3">
        <f t="shared" si="188"/>
        <v>4.8803099741359754E-2</v>
      </c>
      <c r="D227" s="3">
        <f t="shared" si="188"/>
        <v>4.8803099741359754E-2</v>
      </c>
      <c r="E227" s="3">
        <f t="shared" si="188"/>
        <v>4.8803099741359754E-2</v>
      </c>
      <c r="F227" s="3">
        <f t="shared" si="188"/>
        <v>4.8803099741359754E-2</v>
      </c>
      <c r="G227" s="3">
        <f t="shared" si="188"/>
        <v>4.8803099741359754E-2</v>
      </c>
      <c r="H227" s="3">
        <f t="shared" si="188"/>
        <v>4.8803099741359754E-2</v>
      </c>
      <c r="I227" s="3">
        <f t="shared" si="188"/>
        <v>4.8803099741359754E-2</v>
      </c>
      <c r="J227" s="3">
        <f t="shared" si="188"/>
        <v>4.8803099741359754E-2</v>
      </c>
      <c r="K227" s="3">
        <f t="shared" si="188"/>
        <v>4.8803099741359754E-2</v>
      </c>
      <c r="L227" s="3">
        <f t="shared" si="188"/>
        <v>4.8803099741359754E-2</v>
      </c>
      <c r="M227" s="3">
        <f t="shared" si="188"/>
        <v>4.8803099741359754E-2</v>
      </c>
      <c r="N227" s="3">
        <f t="shared" si="188"/>
        <v>4.8803099741359754E-2</v>
      </c>
      <c r="O227" s="3">
        <f t="shared" si="188"/>
        <v>4.8803099741359754E-2</v>
      </c>
      <c r="P227" s="3">
        <f t="shared" si="188"/>
        <v>4.8803099741359754E-2</v>
      </c>
      <c r="Q227" s="3">
        <f t="shared" si="188"/>
        <v>4.880309974135974E-2</v>
      </c>
      <c r="R227" s="3">
        <f t="shared" si="188"/>
        <v>4.8803099741359643E-2</v>
      </c>
      <c r="S227" s="3">
        <f t="shared" si="188"/>
        <v>4.8803099741358685E-2</v>
      </c>
      <c r="T227" s="3">
        <f t="shared" si="188"/>
        <v>4.8803099741349103E-2</v>
      </c>
      <c r="U227" s="3">
        <f t="shared" si="188"/>
        <v>4.8803099741253256E-2</v>
      </c>
      <c r="V227" s="3">
        <f t="shared" si="188"/>
        <v>4.8803099740294745E-2</v>
      </c>
      <c r="W227" s="3">
        <f t="shared" si="188"/>
        <v>4.8803099730709704E-2</v>
      </c>
      <c r="X227" s="3">
        <f t="shared" si="188"/>
        <v>4.8803099634859244E-2</v>
      </c>
      <c r="Y227" s="3">
        <f t="shared" si="188"/>
        <v>4.8803098676354628E-2</v>
      </c>
      <c r="Z227" s="3">
        <f t="shared" si="188"/>
        <v>4.8803089091309544E-2</v>
      </c>
      <c r="AA227" s="3">
        <f t="shared" si="188"/>
        <v>4.8802993240962253E-2</v>
      </c>
      <c r="AB227" s="3">
        <f t="shared" si="188"/>
        <v>4.8802034747843191E-2</v>
      </c>
      <c r="AC227" s="3">
        <f t="shared" si="188"/>
        <v>4.8792450851958276E-2</v>
      </c>
      <c r="AD227" s="3">
        <f t="shared" si="188"/>
        <v>4.8696715348492604E-2</v>
      </c>
      <c r="AE227" s="3">
        <f t="shared" si="188"/>
        <v>4.7749631065626887E-2</v>
      </c>
      <c r="AF227" s="3">
        <f t="shared" si="188"/>
        <v>3.9234989346068692E-2</v>
      </c>
      <c r="AG227" s="3"/>
      <c r="AH227" s="3"/>
    </row>
    <row r="228" spans="2:34" x14ac:dyDescent="0.25">
      <c r="B228" s="3">
        <f t="shared" ref="B228:AF228" si="189">$C36*EXP(-B$207/$A36/EXP(-$D$126))</f>
        <v>3.0415227107223403E-2</v>
      </c>
      <c r="C228" s="3">
        <f t="shared" si="189"/>
        <v>3.0415227107223403E-2</v>
      </c>
      <c r="D228" s="3">
        <f t="shared" si="189"/>
        <v>3.0415227107223403E-2</v>
      </c>
      <c r="E228" s="3">
        <f t="shared" si="189"/>
        <v>3.0415227107223403E-2</v>
      </c>
      <c r="F228" s="3">
        <f t="shared" si="189"/>
        <v>3.0415227107223403E-2</v>
      </c>
      <c r="G228" s="3">
        <f t="shared" si="189"/>
        <v>3.0415227107223403E-2</v>
      </c>
      <c r="H228" s="3">
        <f t="shared" si="189"/>
        <v>3.0415227107223403E-2</v>
      </c>
      <c r="I228" s="3">
        <f t="shared" si="189"/>
        <v>3.0415227107223403E-2</v>
      </c>
      <c r="J228" s="3">
        <f t="shared" si="189"/>
        <v>3.0415227107223403E-2</v>
      </c>
      <c r="K228" s="3">
        <f t="shared" si="189"/>
        <v>3.0415227107223403E-2</v>
      </c>
      <c r="L228" s="3">
        <f t="shared" si="189"/>
        <v>3.0415227107223403E-2</v>
      </c>
      <c r="M228" s="3">
        <f t="shared" si="189"/>
        <v>3.0415227107223403E-2</v>
      </c>
      <c r="N228" s="3">
        <f t="shared" si="189"/>
        <v>3.0415227107223403E-2</v>
      </c>
      <c r="O228" s="3">
        <f t="shared" si="189"/>
        <v>3.0415227107223403E-2</v>
      </c>
      <c r="P228" s="3">
        <f t="shared" si="189"/>
        <v>3.0415227107223403E-2</v>
      </c>
      <c r="Q228" s="3">
        <f t="shared" si="189"/>
        <v>3.0415227107223403E-2</v>
      </c>
      <c r="R228" s="3">
        <f t="shared" si="189"/>
        <v>3.0415227107223396E-2</v>
      </c>
      <c r="S228" s="3">
        <f t="shared" si="189"/>
        <v>3.0415227107223341E-2</v>
      </c>
      <c r="T228" s="3">
        <f t="shared" si="189"/>
        <v>3.0415227107222807E-2</v>
      </c>
      <c r="U228" s="3">
        <f t="shared" si="189"/>
        <v>3.0415227107217415E-2</v>
      </c>
      <c r="V228" s="3">
        <f t="shared" si="189"/>
        <v>3.0415227107163531E-2</v>
      </c>
      <c r="W228" s="3">
        <f t="shared" si="189"/>
        <v>3.041522710662466E-2</v>
      </c>
      <c r="X228" s="3">
        <f t="shared" si="189"/>
        <v>3.0415227101235953E-2</v>
      </c>
      <c r="Y228" s="3">
        <f t="shared" si="189"/>
        <v>3.0415227047348899E-2</v>
      </c>
      <c r="Z228" s="3">
        <f t="shared" si="189"/>
        <v>3.0415226508478343E-2</v>
      </c>
      <c r="AA228" s="3">
        <f t="shared" si="189"/>
        <v>3.0415221119773298E-2</v>
      </c>
      <c r="AB228" s="3">
        <f t="shared" si="189"/>
        <v>3.0415167232775413E-2</v>
      </c>
      <c r="AC228" s="3">
        <f t="shared" si="189"/>
        <v>3.0414628368047491E-2</v>
      </c>
      <c r="AD228" s="3">
        <f t="shared" si="189"/>
        <v>3.040924024582823E-2</v>
      </c>
      <c r="AE228" s="3">
        <f t="shared" si="189"/>
        <v>3.0355411495229797E-2</v>
      </c>
      <c r="AF228" s="3">
        <f t="shared" si="189"/>
        <v>2.9822336914162823E-2</v>
      </c>
      <c r="AG228" s="3"/>
      <c r="AH228" s="3"/>
    </row>
    <row r="229" spans="2:34" x14ac:dyDescent="0.25">
      <c r="B229" s="3">
        <f t="shared" ref="B229:AF229" si="190">$C37*EXP(-B$207/$A37/EXP(-$D$126))</f>
        <v>1.5463317607252298E-2</v>
      </c>
      <c r="C229" s="3">
        <f t="shared" si="190"/>
        <v>1.5463317607252298E-2</v>
      </c>
      <c r="D229" s="3">
        <f t="shared" si="190"/>
        <v>1.5463317607252298E-2</v>
      </c>
      <c r="E229" s="3">
        <f t="shared" si="190"/>
        <v>1.5463317607252298E-2</v>
      </c>
      <c r="F229" s="3">
        <f t="shared" si="190"/>
        <v>1.5463317607252298E-2</v>
      </c>
      <c r="G229" s="3">
        <f t="shared" si="190"/>
        <v>1.5463317607252298E-2</v>
      </c>
      <c r="H229" s="3">
        <f t="shared" si="190"/>
        <v>1.5463317607252298E-2</v>
      </c>
      <c r="I229" s="3">
        <f t="shared" si="190"/>
        <v>1.5463317607252298E-2</v>
      </c>
      <c r="J229" s="3">
        <f t="shared" si="190"/>
        <v>1.5463317607252298E-2</v>
      </c>
      <c r="K229" s="3">
        <f t="shared" si="190"/>
        <v>1.5463317607252298E-2</v>
      </c>
      <c r="L229" s="3">
        <f t="shared" si="190"/>
        <v>1.5463317607252298E-2</v>
      </c>
      <c r="M229" s="3">
        <f t="shared" si="190"/>
        <v>1.5463317607252298E-2</v>
      </c>
      <c r="N229" s="3">
        <f t="shared" si="190"/>
        <v>1.5463317607252298E-2</v>
      </c>
      <c r="O229" s="3">
        <f t="shared" si="190"/>
        <v>1.5463317607252298E-2</v>
      </c>
      <c r="P229" s="3">
        <f t="shared" si="190"/>
        <v>1.5463317607252298E-2</v>
      </c>
      <c r="Q229" s="3">
        <f t="shared" si="190"/>
        <v>1.5463317607252298E-2</v>
      </c>
      <c r="R229" s="3">
        <f t="shared" si="190"/>
        <v>1.5463317607252298E-2</v>
      </c>
      <c r="S229" s="3">
        <f t="shared" si="190"/>
        <v>1.5463317607252294E-2</v>
      </c>
      <c r="T229" s="3">
        <f t="shared" si="190"/>
        <v>1.546331760725227E-2</v>
      </c>
      <c r="U229" s="3">
        <f t="shared" si="190"/>
        <v>1.5463317607252024E-2</v>
      </c>
      <c r="V229" s="3">
        <f t="shared" si="190"/>
        <v>1.5463317607249552E-2</v>
      </c>
      <c r="W229" s="3">
        <f t="shared" si="190"/>
        <v>1.5463317607224839E-2</v>
      </c>
      <c r="X229" s="3">
        <f t="shared" si="190"/>
        <v>1.5463317606977698E-2</v>
      </c>
      <c r="Y229" s="3">
        <f t="shared" si="190"/>
        <v>1.54633176045063E-2</v>
      </c>
      <c r="Z229" s="3">
        <f t="shared" si="190"/>
        <v>1.5463317579792321E-2</v>
      </c>
      <c r="AA229" s="3">
        <f t="shared" si="190"/>
        <v>1.546331733265254E-2</v>
      </c>
      <c r="AB229" s="3">
        <f t="shared" si="190"/>
        <v>1.5463314861254941E-2</v>
      </c>
      <c r="AC229" s="3">
        <f t="shared" si="190"/>
        <v>1.5463290147300676E-2</v>
      </c>
      <c r="AD229" s="3">
        <f t="shared" si="190"/>
        <v>1.5463043009930453E-2</v>
      </c>
      <c r="AE229" s="3">
        <f t="shared" si="190"/>
        <v>1.5460571853456707E-2</v>
      </c>
      <c r="AF229" s="3">
        <f t="shared" si="190"/>
        <v>1.5435881998729046E-2</v>
      </c>
      <c r="AG229" s="3"/>
      <c r="AH229" s="3"/>
    </row>
    <row r="230" spans="2:34" x14ac:dyDescent="0.25">
      <c r="B230" s="3">
        <f t="shared" ref="B230:AF230" si="191">$C38*EXP(-B$207/$A38/EXP(-$D$126))</f>
        <v>6.4979326784240111E-3</v>
      </c>
      <c r="C230" s="3">
        <f t="shared" si="191"/>
        <v>6.4979326784240111E-3</v>
      </c>
      <c r="D230" s="3">
        <f t="shared" si="191"/>
        <v>6.4979326784240111E-3</v>
      </c>
      <c r="E230" s="3">
        <f t="shared" si="191"/>
        <v>6.4979326784240111E-3</v>
      </c>
      <c r="F230" s="3">
        <f t="shared" si="191"/>
        <v>6.4979326784240111E-3</v>
      </c>
      <c r="G230" s="3">
        <f t="shared" si="191"/>
        <v>6.4979326784240111E-3</v>
      </c>
      <c r="H230" s="3">
        <f t="shared" si="191"/>
        <v>6.4979326784240111E-3</v>
      </c>
      <c r="I230" s="3">
        <f t="shared" si="191"/>
        <v>6.4979326784240111E-3</v>
      </c>
      <c r="J230" s="3">
        <f t="shared" si="191"/>
        <v>6.4979326784240111E-3</v>
      </c>
      <c r="K230" s="3">
        <f t="shared" si="191"/>
        <v>6.4979326784240111E-3</v>
      </c>
      <c r="L230" s="3">
        <f t="shared" si="191"/>
        <v>6.4979326784240111E-3</v>
      </c>
      <c r="M230" s="3">
        <f t="shared" si="191"/>
        <v>6.4979326784240111E-3</v>
      </c>
      <c r="N230" s="3">
        <f t="shared" si="191"/>
        <v>6.4979326784240111E-3</v>
      </c>
      <c r="O230" s="3">
        <f t="shared" si="191"/>
        <v>6.4979326784240111E-3</v>
      </c>
      <c r="P230" s="3">
        <f t="shared" si="191"/>
        <v>6.4979326784240111E-3</v>
      </c>
      <c r="Q230" s="3">
        <f t="shared" si="191"/>
        <v>6.4979326784240111E-3</v>
      </c>
      <c r="R230" s="3">
        <f t="shared" si="191"/>
        <v>6.4979326784240111E-3</v>
      </c>
      <c r="S230" s="3">
        <f t="shared" si="191"/>
        <v>6.4979326784240111E-3</v>
      </c>
      <c r="T230" s="3">
        <f t="shared" si="191"/>
        <v>6.4979326784240102E-3</v>
      </c>
      <c r="U230" s="3">
        <f t="shared" si="191"/>
        <v>6.4979326784240007E-3</v>
      </c>
      <c r="V230" s="3">
        <f t="shared" si="191"/>
        <v>6.497932678423907E-3</v>
      </c>
      <c r="W230" s="3">
        <f t="shared" si="191"/>
        <v>6.4979326784229702E-3</v>
      </c>
      <c r="X230" s="3">
        <f t="shared" si="191"/>
        <v>6.4979326784136019E-3</v>
      </c>
      <c r="Y230" s="3">
        <f t="shared" si="191"/>
        <v>6.497932678319919E-3</v>
      </c>
      <c r="Z230" s="3">
        <f t="shared" si="191"/>
        <v>6.4979326773830868E-3</v>
      </c>
      <c r="AA230" s="3">
        <f t="shared" si="191"/>
        <v>6.4979326680147656E-3</v>
      </c>
      <c r="AB230" s="3">
        <f t="shared" si="191"/>
        <v>6.4979325743315516E-3</v>
      </c>
      <c r="AC230" s="3">
        <f t="shared" si="191"/>
        <v>6.4979316374994866E-3</v>
      </c>
      <c r="AD230" s="3">
        <f t="shared" si="191"/>
        <v>6.4979222691862659E-3</v>
      </c>
      <c r="AE230" s="3">
        <f t="shared" si="191"/>
        <v>6.4978285867969277E-3</v>
      </c>
      <c r="AF230" s="3">
        <f t="shared" si="191"/>
        <v>6.49689183718584E-3</v>
      </c>
      <c r="AG230" s="3"/>
      <c r="AH230" s="3"/>
    </row>
    <row r="231" spans="2:34" x14ac:dyDescent="0.25">
      <c r="B231" s="3">
        <f t="shared" ref="B231:AF231" si="192">$C39*EXP(-B$207/$A39/EXP(-$D$126))</f>
        <v>1.7266189453767201E-3</v>
      </c>
      <c r="C231" s="3">
        <f t="shared" si="192"/>
        <v>1.7266189453767201E-3</v>
      </c>
      <c r="D231" s="3">
        <f t="shared" si="192"/>
        <v>1.7266189453767201E-3</v>
      </c>
      <c r="E231" s="3">
        <f t="shared" si="192"/>
        <v>1.7266189453767201E-3</v>
      </c>
      <c r="F231" s="3">
        <f t="shared" si="192"/>
        <v>1.7266189453767201E-3</v>
      </c>
      <c r="G231" s="3">
        <f t="shared" si="192"/>
        <v>1.7266189453767201E-3</v>
      </c>
      <c r="H231" s="3">
        <f t="shared" si="192"/>
        <v>1.7266189453767201E-3</v>
      </c>
      <c r="I231" s="3">
        <f t="shared" si="192"/>
        <v>1.7266189453767201E-3</v>
      </c>
      <c r="J231" s="3">
        <f t="shared" si="192"/>
        <v>1.7266189453767201E-3</v>
      </c>
      <c r="K231" s="3">
        <f t="shared" si="192"/>
        <v>1.7266189453767201E-3</v>
      </c>
      <c r="L231" s="3">
        <f t="shared" si="192"/>
        <v>1.7266189453767201E-3</v>
      </c>
      <c r="M231" s="3">
        <f t="shared" si="192"/>
        <v>1.7266189453767201E-3</v>
      </c>
      <c r="N231" s="3">
        <f t="shared" si="192"/>
        <v>1.7266189453767201E-3</v>
      </c>
      <c r="O231" s="3">
        <f t="shared" si="192"/>
        <v>1.7266189453767201E-3</v>
      </c>
      <c r="P231" s="3">
        <f t="shared" si="192"/>
        <v>1.7266189453767201E-3</v>
      </c>
      <c r="Q231" s="3">
        <f t="shared" si="192"/>
        <v>1.7266189453767201E-3</v>
      </c>
      <c r="R231" s="3">
        <f t="shared" si="192"/>
        <v>1.7266189453767201E-3</v>
      </c>
      <c r="S231" s="3">
        <f t="shared" si="192"/>
        <v>1.7266189453767201E-3</v>
      </c>
      <c r="T231" s="3">
        <f t="shared" si="192"/>
        <v>1.7266189453767201E-3</v>
      </c>
      <c r="U231" s="3">
        <f t="shared" si="192"/>
        <v>1.7266189453767193E-3</v>
      </c>
      <c r="V231" s="3">
        <f t="shared" si="192"/>
        <v>1.7266189453767125E-3</v>
      </c>
      <c r="W231" s="3">
        <f t="shared" si="192"/>
        <v>1.7266189453766436E-3</v>
      </c>
      <c r="X231" s="3">
        <f t="shared" si="192"/>
        <v>1.7266189453759551E-3</v>
      </c>
      <c r="Y231" s="3">
        <f t="shared" si="192"/>
        <v>1.7266189453690702E-3</v>
      </c>
      <c r="Z231" s="3">
        <f t="shared" si="192"/>
        <v>1.7266189453002214E-3</v>
      </c>
      <c r="AA231" s="3">
        <f t="shared" si="192"/>
        <v>1.7266189446117342E-3</v>
      </c>
      <c r="AB231" s="3">
        <f t="shared" si="192"/>
        <v>1.7266189377268611E-3</v>
      </c>
      <c r="AC231" s="3">
        <f t="shared" si="192"/>
        <v>1.7266188688781316E-3</v>
      </c>
      <c r="AD231" s="3">
        <f t="shared" si="192"/>
        <v>1.7266181803909872E-3</v>
      </c>
      <c r="AE231" s="3">
        <f t="shared" si="192"/>
        <v>1.7266112955346418E-3</v>
      </c>
      <c r="AF231" s="3">
        <f t="shared" si="192"/>
        <v>1.7265424484810984E-3</v>
      </c>
      <c r="AG231" s="3"/>
      <c r="AH231" s="3"/>
    </row>
    <row r="232" spans="2:34" x14ac:dyDescent="0.25">
      <c r="B232" s="3">
        <f t="shared" ref="B232:AF232" si="193">$C40*EXP(-B$207/$A40/EXP(-$D$126))</f>
        <v>4.5003340048363309E-3</v>
      </c>
      <c r="C232" s="3">
        <f t="shared" si="193"/>
        <v>4.5003340048363309E-3</v>
      </c>
      <c r="D232" s="3">
        <f t="shared" si="193"/>
        <v>4.5003340048363309E-3</v>
      </c>
      <c r="E232" s="3">
        <f t="shared" si="193"/>
        <v>4.5003340048363309E-3</v>
      </c>
      <c r="F232" s="3">
        <f t="shared" si="193"/>
        <v>4.5003340048363309E-3</v>
      </c>
      <c r="G232" s="3">
        <f t="shared" si="193"/>
        <v>4.5003340048363309E-3</v>
      </c>
      <c r="H232" s="3">
        <f t="shared" si="193"/>
        <v>4.5003340048363309E-3</v>
      </c>
      <c r="I232" s="3">
        <f t="shared" si="193"/>
        <v>4.5003340048363309E-3</v>
      </c>
      <c r="J232" s="3">
        <f t="shared" si="193"/>
        <v>4.5003340048363309E-3</v>
      </c>
      <c r="K232" s="3">
        <f t="shared" si="193"/>
        <v>4.5003340048363309E-3</v>
      </c>
      <c r="L232" s="3">
        <f t="shared" si="193"/>
        <v>4.5003340048363309E-3</v>
      </c>
      <c r="M232" s="3">
        <f t="shared" si="193"/>
        <v>4.5003340048363309E-3</v>
      </c>
      <c r="N232" s="3">
        <f t="shared" si="193"/>
        <v>4.5003340048363309E-3</v>
      </c>
      <c r="O232" s="3">
        <f t="shared" si="193"/>
        <v>4.5003340048363309E-3</v>
      </c>
      <c r="P232" s="3">
        <f t="shared" si="193"/>
        <v>4.5003340048363309E-3</v>
      </c>
      <c r="Q232" s="3">
        <f t="shared" si="193"/>
        <v>4.5003340048363309E-3</v>
      </c>
      <c r="R232" s="3">
        <f t="shared" si="193"/>
        <v>4.5003340048363309E-3</v>
      </c>
      <c r="S232" s="3">
        <f t="shared" si="193"/>
        <v>4.5003340048363309E-3</v>
      </c>
      <c r="T232" s="3">
        <f t="shared" si="193"/>
        <v>4.5003340048363309E-3</v>
      </c>
      <c r="U232" s="3">
        <f t="shared" si="193"/>
        <v>4.5003340048363309E-3</v>
      </c>
      <c r="V232" s="3">
        <f t="shared" si="193"/>
        <v>4.5003340048363292E-3</v>
      </c>
      <c r="W232" s="3">
        <f t="shared" si="193"/>
        <v>4.500334004836311E-3</v>
      </c>
      <c r="X232" s="3">
        <f t="shared" si="193"/>
        <v>4.5003340048361314E-3</v>
      </c>
      <c r="Y232" s="3">
        <f t="shared" si="193"/>
        <v>4.5003340048343369E-3</v>
      </c>
      <c r="Z232" s="3">
        <f t="shared" si="193"/>
        <v>4.500334004816392E-3</v>
      </c>
      <c r="AA232" s="3">
        <f t="shared" si="193"/>
        <v>4.5003340046369418E-3</v>
      </c>
      <c r="AB232" s="3">
        <f t="shared" si="193"/>
        <v>4.5003340028424389E-3</v>
      </c>
      <c r="AC232" s="3">
        <f t="shared" si="193"/>
        <v>4.5003339848974089E-3</v>
      </c>
      <c r="AD232" s="3">
        <f t="shared" si="193"/>
        <v>4.500333805447114E-3</v>
      </c>
      <c r="AE232" s="3">
        <f t="shared" si="193"/>
        <v>4.5003320109445596E-3</v>
      </c>
      <c r="AF232" s="3">
        <f t="shared" si="193"/>
        <v>4.5003140659583699E-3</v>
      </c>
      <c r="AG232" s="3"/>
      <c r="AH232" s="3"/>
    </row>
    <row r="233" spans="2:34" x14ac:dyDescent="0.25">
      <c r="B233" s="3">
        <f t="shared" ref="B233:AF233" si="194">$C41*EXP(-B$207/$A41/EXP(-$D$126))</f>
        <v>6.1948117203855881E-4</v>
      </c>
      <c r="C233" s="3">
        <f t="shared" si="194"/>
        <v>6.1948117203855881E-4</v>
      </c>
      <c r="D233" s="3">
        <f t="shared" si="194"/>
        <v>6.1948117203855881E-4</v>
      </c>
      <c r="E233" s="3">
        <f t="shared" si="194"/>
        <v>6.1948117203855881E-4</v>
      </c>
      <c r="F233" s="3">
        <f t="shared" si="194"/>
        <v>6.1948117203855881E-4</v>
      </c>
      <c r="G233" s="3">
        <f t="shared" si="194"/>
        <v>6.1948117203855881E-4</v>
      </c>
      <c r="H233" s="3">
        <f t="shared" si="194"/>
        <v>6.1948117203855881E-4</v>
      </c>
      <c r="I233" s="3">
        <f t="shared" si="194"/>
        <v>6.1948117203855881E-4</v>
      </c>
      <c r="J233" s="3">
        <f t="shared" si="194"/>
        <v>6.1948117203855881E-4</v>
      </c>
      <c r="K233" s="3">
        <f t="shared" si="194"/>
        <v>6.1948117203855881E-4</v>
      </c>
      <c r="L233" s="3">
        <f t="shared" si="194"/>
        <v>6.1948117203855881E-4</v>
      </c>
      <c r="M233" s="3">
        <f t="shared" si="194"/>
        <v>6.1948117203855881E-4</v>
      </c>
      <c r="N233" s="3">
        <f t="shared" si="194"/>
        <v>6.1948117203855881E-4</v>
      </c>
      <c r="O233" s="3">
        <f t="shared" si="194"/>
        <v>6.1948117203855881E-4</v>
      </c>
      <c r="P233" s="3">
        <f t="shared" si="194"/>
        <v>6.1948117203855881E-4</v>
      </c>
      <c r="Q233" s="3">
        <f t="shared" si="194"/>
        <v>6.1948117203855881E-4</v>
      </c>
      <c r="R233" s="3">
        <f t="shared" si="194"/>
        <v>6.1948117203855881E-4</v>
      </c>
      <c r="S233" s="3">
        <f t="shared" si="194"/>
        <v>6.1948117203855881E-4</v>
      </c>
      <c r="T233" s="3">
        <f t="shared" si="194"/>
        <v>6.1948117203855881E-4</v>
      </c>
      <c r="U233" s="3">
        <f t="shared" si="194"/>
        <v>6.1948117203855881E-4</v>
      </c>
      <c r="V233" s="3">
        <f t="shared" si="194"/>
        <v>6.1948117203855881E-4</v>
      </c>
      <c r="W233" s="3">
        <f t="shared" si="194"/>
        <v>6.1948117203855849E-4</v>
      </c>
      <c r="X233" s="3">
        <f t="shared" si="194"/>
        <v>6.194811720385561E-4</v>
      </c>
      <c r="Y233" s="3">
        <f t="shared" si="194"/>
        <v>6.1948117203853138E-4</v>
      </c>
      <c r="Z233" s="3">
        <f t="shared" si="194"/>
        <v>6.1948117203828429E-4</v>
      </c>
      <c r="AA233" s="3">
        <f t="shared" si="194"/>
        <v>6.1948117203581416E-4</v>
      </c>
      <c r="AB233" s="3">
        <f t="shared" si="194"/>
        <v>6.1948117201111245E-4</v>
      </c>
      <c r="AC233" s="3">
        <f t="shared" si="194"/>
        <v>6.1948117176409509E-4</v>
      </c>
      <c r="AD233" s="3">
        <f t="shared" si="194"/>
        <v>6.1948116929392107E-4</v>
      </c>
      <c r="AE233" s="3">
        <f t="shared" si="194"/>
        <v>6.194811445921814E-4</v>
      </c>
      <c r="AF233" s="3">
        <f t="shared" si="194"/>
        <v>6.1948089757483894E-4</v>
      </c>
      <c r="AG233" s="3"/>
      <c r="AH233" s="3"/>
    </row>
    <row r="234" spans="2:34" x14ac:dyDescent="0.25">
      <c r="B234" s="3">
        <f t="shared" ref="B234:AF234" si="195">$C42*EXP(-B$207/$A42/EXP(-$D$126))</f>
        <v>7.8921984991154562E-4</v>
      </c>
      <c r="C234" s="3">
        <f t="shared" si="195"/>
        <v>7.8921984991154562E-4</v>
      </c>
      <c r="D234" s="3">
        <f t="shared" si="195"/>
        <v>7.8921984991154562E-4</v>
      </c>
      <c r="E234" s="3">
        <f t="shared" si="195"/>
        <v>7.8921984991154562E-4</v>
      </c>
      <c r="F234" s="3">
        <f t="shared" si="195"/>
        <v>7.8921984991154562E-4</v>
      </c>
      <c r="G234" s="3">
        <f t="shared" si="195"/>
        <v>7.8921984991154562E-4</v>
      </c>
      <c r="H234" s="3">
        <f t="shared" si="195"/>
        <v>7.8921984991154562E-4</v>
      </c>
      <c r="I234" s="3">
        <f t="shared" si="195"/>
        <v>7.8921984991154562E-4</v>
      </c>
      <c r="J234" s="3">
        <f t="shared" si="195"/>
        <v>7.8921984991154562E-4</v>
      </c>
      <c r="K234" s="3">
        <f t="shared" si="195"/>
        <v>7.8921984991154562E-4</v>
      </c>
      <c r="L234" s="3">
        <f t="shared" si="195"/>
        <v>7.8921984991154562E-4</v>
      </c>
      <c r="M234" s="3">
        <f t="shared" si="195"/>
        <v>7.8921984991154562E-4</v>
      </c>
      <c r="N234" s="3">
        <f t="shared" si="195"/>
        <v>7.8921984991154562E-4</v>
      </c>
      <c r="O234" s="3">
        <f t="shared" si="195"/>
        <v>7.8921984991154562E-4</v>
      </c>
      <c r="P234" s="3">
        <f t="shared" si="195"/>
        <v>7.8921984991154562E-4</v>
      </c>
      <c r="Q234" s="3">
        <f t="shared" si="195"/>
        <v>7.8921984991154562E-4</v>
      </c>
      <c r="R234" s="3">
        <f t="shared" si="195"/>
        <v>7.8921984991154562E-4</v>
      </c>
      <c r="S234" s="3">
        <f t="shared" si="195"/>
        <v>7.8921984991154562E-4</v>
      </c>
      <c r="T234" s="3">
        <f t="shared" si="195"/>
        <v>7.8921984991154562E-4</v>
      </c>
      <c r="U234" s="3">
        <f t="shared" si="195"/>
        <v>7.8921984991154562E-4</v>
      </c>
      <c r="V234" s="3">
        <f t="shared" si="195"/>
        <v>7.8921984991154562E-4</v>
      </c>
      <c r="W234" s="3">
        <f t="shared" si="195"/>
        <v>7.8921984991154562E-4</v>
      </c>
      <c r="X234" s="3">
        <f t="shared" si="195"/>
        <v>7.892198499115453E-4</v>
      </c>
      <c r="Y234" s="3">
        <f t="shared" si="195"/>
        <v>7.8921984991154215E-4</v>
      </c>
      <c r="Z234" s="3">
        <f t="shared" si="195"/>
        <v>7.8921984991151071E-4</v>
      </c>
      <c r="AA234" s="3">
        <f t="shared" si="195"/>
        <v>7.8921984991119597E-4</v>
      </c>
      <c r="AB234" s="3">
        <f t="shared" si="195"/>
        <v>7.8921984990804896E-4</v>
      </c>
      <c r="AC234" s="3">
        <f t="shared" si="195"/>
        <v>7.8921984987657891E-4</v>
      </c>
      <c r="AD234" s="3">
        <f t="shared" si="195"/>
        <v>7.8921984956187839E-4</v>
      </c>
      <c r="AE234" s="3">
        <f t="shared" si="195"/>
        <v>7.8921984641487338E-4</v>
      </c>
      <c r="AF234" s="3">
        <f t="shared" si="195"/>
        <v>7.8921981494482372E-4</v>
      </c>
      <c r="AG234" s="3"/>
      <c r="AH234" s="3"/>
    </row>
    <row r="235" spans="2:34" x14ac:dyDescent="0.25">
      <c r="B235" s="3">
        <f t="shared" ref="B235:AF235" si="196">$C43*EXP(-B$207/$A43/EXP(-$D$126))</f>
        <v>3.1383864234018747E-3</v>
      </c>
      <c r="C235" s="3">
        <f t="shared" si="196"/>
        <v>3.1383864234018747E-3</v>
      </c>
      <c r="D235" s="3">
        <f t="shared" si="196"/>
        <v>3.1383864234018747E-3</v>
      </c>
      <c r="E235" s="3">
        <f t="shared" si="196"/>
        <v>3.1383864234018747E-3</v>
      </c>
      <c r="F235" s="3">
        <f t="shared" si="196"/>
        <v>3.1383864234018747E-3</v>
      </c>
      <c r="G235" s="3">
        <f t="shared" si="196"/>
        <v>3.1383864234018747E-3</v>
      </c>
      <c r="H235" s="3">
        <f t="shared" si="196"/>
        <v>3.1383864234018747E-3</v>
      </c>
      <c r="I235" s="3">
        <f t="shared" si="196"/>
        <v>3.1383864234018747E-3</v>
      </c>
      <c r="J235" s="3">
        <f t="shared" si="196"/>
        <v>3.1383864234018747E-3</v>
      </c>
      <c r="K235" s="3">
        <f t="shared" si="196"/>
        <v>3.1383864234018747E-3</v>
      </c>
      <c r="L235" s="3">
        <f t="shared" si="196"/>
        <v>3.1383864234018747E-3</v>
      </c>
      <c r="M235" s="3">
        <f t="shared" si="196"/>
        <v>3.1383864234018747E-3</v>
      </c>
      <c r="N235" s="3">
        <f t="shared" si="196"/>
        <v>3.1383864234018747E-3</v>
      </c>
      <c r="O235" s="3">
        <f t="shared" si="196"/>
        <v>3.1383864234018747E-3</v>
      </c>
      <c r="P235" s="3">
        <f t="shared" si="196"/>
        <v>3.1383864234018747E-3</v>
      </c>
      <c r="Q235" s="3">
        <f t="shared" si="196"/>
        <v>3.1383864234018747E-3</v>
      </c>
      <c r="R235" s="3">
        <f t="shared" si="196"/>
        <v>3.1383864234018747E-3</v>
      </c>
      <c r="S235" s="3">
        <f t="shared" si="196"/>
        <v>3.1383864234018747E-3</v>
      </c>
      <c r="T235" s="3">
        <f t="shared" si="196"/>
        <v>3.1383864234018747E-3</v>
      </c>
      <c r="U235" s="3">
        <f t="shared" si="196"/>
        <v>3.1383864234018747E-3</v>
      </c>
      <c r="V235" s="3">
        <f t="shared" si="196"/>
        <v>3.1383864234018747E-3</v>
      </c>
      <c r="W235" s="3">
        <f t="shared" si="196"/>
        <v>3.1383864234018747E-3</v>
      </c>
      <c r="X235" s="3">
        <f t="shared" si="196"/>
        <v>3.1383864234018747E-3</v>
      </c>
      <c r="Y235" s="3">
        <f t="shared" si="196"/>
        <v>3.1383864234018734E-3</v>
      </c>
      <c r="Z235" s="3">
        <f t="shared" si="196"/>
        <v>3.1383864234018608E-3</v>
      </c>
      <c r="AA235" s="3">
        <f t="shared" si="196"/>
        <v>3.1383864234017355E-3</v>
      </c>
      <c r="AB235" s="3">
        <f t="shared" si="196"/>
        <v>3.1383864234004843E-3</v>
      </c>
      <c r="AC235" s="3">
        <f t="shared" si="196"/>
        <v>3.13838642338797E-3</v>
      </c>
      <c r="AD235" s="3">
        <f t="shared" si="196"/>
        <v>3.1383864232628271E-3</v>
      </c>
      <c r="AE235" s="3">
        <f t="shared" si="196"/>
        <v>3.1383864220113993E-3</v>
      </c>
      <c r="AF235" s="3">
        <f t="shared" si="196"/>
        <v>3.1383864094971198E-3</v>
      </c>
      <c r="AG235" s="3"/>
      <c r="AH235" s="3"/>
    </row>
    <row r="236" spans="2:34" x14ac:dyDescent="0.25">
      <c r="B236" s="3">
        <f t="shared" ref="B236:AF236" si="197">$C44*EXP(-B$207/$A44/EXP(-$D$126))</f>
        <v>4.3963079363277776E-4</v>
      </c>
      <c r="C236" s="3">
        <f t="shared" si="197"/>
        <v>4.3963079363277776E-4</v>
      </c>
      <c r="D236" s="3">
        <f t="shared" si="197"/>
        <v>4.3963079363277776E-4</v>
      </c>
      <c r="E236" s="3">
        <f t="shared" si="197"/>
        <v>4.3963079363277776E-4</v>
      </c>
      <c r="F236" s="3">
        <f t="shared" si="197"/>
        <v>4.3963079363277776E-4</v>
      </c>
      <c r="G236" s="3">
        <f t="shared" si="197"/>
        <v>4.3963079363277776E-4</v>
      </c>
      <c r="H236" s="3">
        <f t="shared" si="197"/>
        <v>4.3963079363277776E-4</v>
      </c>
      <c r="I236" s="3">
        <f t="shared" si="197"/>
        <v>4.3963079363277776E-4</v>
      </c>
      <c r="J236" s="3">
        <f t="shared" si="197"/>
        <v>4.3963079363277776E-4</v>
      </c>
      <c r="K236" s="3">
        <f t="shared" si="197"/>
        <v>4.3963079363277776E-4</v>
      </c>
      <c r="L236" s="3">
        <f t="shared" si="197"/>
        <v>4.3963079363277776E-4</v>
      </c>
      <c r="M236" s="3">
        <f t="shared" si="197"/>
        <v>4.3963079363277776E-4</v>
      </c>
      <c r="N236" s="3">
        <f t="shared" si="197"/>
        <v>4.3963079363277776E-4</v>
      </c>
      <c r="O236" s="3">
        <f t="shared" si="197"/>
        <v>4.3963079363277776E-4</v>
      </c>
      <c r="P236" s="3">
        <f t="shared" si="197"/>
        <v>4.3963079363277776E-4</v>
      </c>
      <c r="Q236" s="3">
        <f t="shared" si="197"/>
        <v>4.3963079363277776E-4</v>
      </c>
      <c r="R236" s="3">
        <f t="shared" si="197"/>
        <v>4.3963079363277776E-4</v>
      </c>
      <c r="S236" s="3">
        <f t="shared" si="197"/>
        <v>4.3963079363277776E-4</v>
      </c>
      <c r="T236" s="3">
        <f t="shared" si="197"/>
        <v>4.3963079363277776E-4</v>
      </c>
      <c r="U236" s="3">
        <f t="shared" si="197"/>
        <v>4.3963079363277776E-4</v>
      </c>
      <c r="V236" s="3">
        <f t="shared" si="197"/>
        <v>4.3963079363277776E-4</v>
      </c>
      <c r="W236" s="3">
        <f t="shared" si="197"/>
        <v>4.3963079363277776E-4</v>
      </c>
      <c r="X236" s="3">
        <f t="shared" si="197"/>
        <v>4.3963079363277776E-4</v>
      </c>
      <c r="Y236" s="3">
        <f t="shared" si="197"/>
        <v>4.3963079363277776E-4</v>
      </c>
      <c r="Z236" s="3">
        <f t="shared" si="197"/>
        <v>4.3963079363277754E-4</v>
      </c>
      <c r="AA236" s="3">
        <f t="shared" si="197"/>
        <v>4.3963079363277581E-4</v>
      </c>
      <c r="AB236" s="3">
        <f t="shared" si="197"/>
        <v>4.396307936327583E-4</v>
      </c>
      <c r="AC236" s="3">
        <f t="shared" si="197"/>
        <v>4.3963079363258298E-4</v>
      </c>
      <c r="AD236" s="3">
        <f t="shared" si="197"/>
        <v>4.3963079363082994E-4</v>
      </c>
      <c r="AE236" s="3">
        <f t="shared" si="197"/>
        <v>4.3963079361329974E-4</v>
      </c>
      <c r="AF236" s="3">
        <f t="shared" si="197"/>
        <v>4.3963079343799748E-4</v>
      </c>
      <c r="AG236" s="3"/>
      <c r="AH236" s="3"/>
    </row>
    <row r="237" spans="2:34" x14ac:dyDescent="0.25">
      <c r="B237" s="3">
        <f t="shared" ref="B237:AF237" si="198">$C45*EXP(-B$207/$A45/EXP(-$D$126))</f>
        <v>3.9367491924485783E-5</v>
      </c>
      <c r="C237" s="3">
        <f t="shared" si="198"/>
        <v>3.9367491924485783E-5</v>
      </c>
      <c r="D237" s="3">
        <f t="shared" si="198"/>
        <v>3.9367491924485783E-5</v>
      </c>
      <c r="E237" s="3">
        <f t="shared" si="198"/>
        <v>3.9367491924485783E-5</v>
      </c>
      <c r="F237" s="3">
        <f t="shared" si="198"/>
        <v>3.9367491924485783E-5</v>
      </c>
      <c r="G237" s="3">
        <f t="shared" si="198"/>
        <v>3.9367491924485783E-5</v>
      </c>
      <c r="H237" s="3">
        <f t="shared" si="198"/>
        <v>3.9367491924485783E-5</v>
      </c>
      <c r="I237" s="3">
        <f t="shared" si="198"/>
        <v>3.9367491924485783E-5</v>
      </c>
      <c r="J237" s="3">
        <f t="shared" si="198"/>
        <v>3.9367491924485783E-5</v>
      </c>
      <c r="K237" s="3">
        <f t="shared" si="198"/>
        <v>3.9367491924485783E-5</v>
      </c>
      <c r="L237" s="3">
        <f t="shared" si="198"/>
        <v>3.9367491924485783E-5</v>
      </c>
      <c r="M237" s="3">
        <f t="shared" si="198"/>
        <v>3.9367491924485783E-5</v>
      </c>
      <c r="N237" s="3">
        <f t="shared" si="198"/>
        <v>3.9367491924485783E-5</v>
      </c>
      <c r="O237" s="3">
        <f t="shared" si="198"/>
        <v>3.9367491924485783E-5</v>
      </c>
      <c r="P237" s="3">
        <f t="shared" si="198"/>
        <v>3.9367491924485783E-5</v>
      </c>
      <c r="Q237" s="3">
        <f t="shared" si="198"/>
        <v>3.9367491924485783E-5</v>
      </c>
      <c r="R237" s="3">
        <f t="shared" si="198"/>
        <v>3.9367491924485783E-5</v>
      </c>
      <c r="S237" s="3">
        <f t="shared" si="198"/>
        <v>3.9367491924485783E-5</v>
      </c>
      <c r="T237" s="3">
        <f t="shared" si="198"/>
        <v>3.9367491924485783E-5</v>
      </c>
      <c r="U237" s="3">
        <f t="shared" si="198"/>
        <v>3.9367491924485783E-5</v>
      </c>
      <c r="V237" s="3">
        <f t="shared" si="198"/>
        <v>3.9367491924485783E-5</v>
      </c>
      <c r="W237" s="3">
        <f t="shared" si="198"/>
        <v>3.9367491924485783E-5</v>
      </c>
      <c r="X237" s="3">
        <f t="shared" si="198"/>
        <v>3.9367491924485783E-5</v>
      </c>
      <c r="Y237" s="3">
        <f t="shared" si="198"/>
        <v>3.9367491924485783E-5</v>
      </c>
      <c r="Z237" s="3">
        <f t="shared" si="198"/>
        <v>3.9367491924485783E-5</v>
      </c>
      <c r="AA237" s="3">
        <f t="shared" si="198"/>
        <v>3.9367491924485763E-5</v>
      </c>
      <c r="AB237" s="3">
        <f t="shared" si="198"/>
        <v>3.9367491924485607E-5</v>
      </c>
      <c r="AC237" s="3">
        <f t="shared" si="198"/>
        <v>3.9367491924484042E-5</v>
      </c>
      <c r="AD237" s="3">
        <f t="shared" si="198"/>
        <v>3.9367491924468341E-5</v>
      </c>
      <c r="AE237" s="3">
        <f t="shared" si="198"/>
        <v>3.9367491924311362E-5</v>
      </c>
      <c r="AF237" s="3">
        <f t="shared" si="198"/>
        <v>3.9367491922741586E-5</v>
      </c>
      <c r="AG237" s="3"/>
      <c r="AH237" s="3"/>
    </row>
    <row r="238" spans="2:34" x14ac:dyDescent="0.25">
      <c r="B238" s="3">
        <f t="shared" ref="B238:AF238" si="199">$C46*EXP(-B$207/$A46/EXP(-$D$126))</f>
        <v>2.469113716916911E-6</v>
      </c>
      <c r="C238" s="3">
        <f t="shared" si="199"/>
        <v>2.469113716916911E-6</v>
      </c>
      <c r="D238" s="3">
        <f t="shared" si="199"/>
        <v>2.469113716916911E-6</v>
      </c>
      <c r="E238" s="3">
        <f t="shared" si="199"/>
        <v>2.469113716916911E-6</v>
      </c>
      <c r="F238" s="3">
        <f t="shared" si="199"/>
        <v>2.469113716916911E-6</v>
      </c>
      <c r="G238" s="3">
        <f t="shared" si="199"/>
        <v>2.469113716916911E-6</v>
      </c>
      <c r="H238" s="3">
        <f t="shared" si="199"/>
        <v>2.469113716916911E-6</v>
      </c>
      <c r="I238" s="3">
        <f t="shared" si="199"/>
        <v>2.469113716916911E-6</v>
      </c>
      <c r="J238" s="3">
        <f t="shared" si="199"/>
        <v>2.469113716916911E-6</v>
      </c>
      <c r="K238" s="3">
        <f t="shared" si="199"/>
        <v>2.469113716916911E-6</v>
      </c>
      <c r="L238" s="3">
        <f t="shared" si="199"/>
        <v>2.469113716916911E-6</v>
      </c>
      <c r="M238" s="3">
        <f t="shared" si="199"/>
        <v>2.469113716916911E-6</v>
      </c>
      <c r="N238" s="3">
        <f t="shared" si="199"/>
        <v>2.469113716916911E-6</v>
      </c>
      <c r="O238" s="3">
        <f t="shared" si="199"/>
        <v>2.469113716916911E-6</v>
      </c>
      <c r="P238" s="3">
        <f t="shared" si="199"/>
        <v>2.469113716916911E-6</v>
      </c>
      <c r="Q238" s="3">
        <f t="shared" si="199"/>
        <v>2.469113716916911E-6</v>
      </c>
      <c r="R238" s="3">
        <f t="shared" si="199"/>
        <v>2.469113716916911E-6</v>
      </c>
      <c r="S238" s="3">
        <f t="shared" si="199"/>
        <v>2.469113716916911E-6</v>
      </c>
      <c r="T238" s="3">
        <f t="shared" si="199"/>
        <v>2.469113716916911E-6</v>
      </c>
      <c r="U238" s="3">
        <f t="shared" si="199"/>
        <v>2.469113716916911E-6</v>
      </c>
      <c r="V238" s="3">
        <f t="shared" si="199"/>
        <v>2.469113716916911E-6</v>
      </c>
      <c r="W238" s="3">
        <f t="shared" si="199"/>
        <v>2.469113716916911E-6</v>
      </c>
      <c r="X238" s="3">
        <f t="shared" si="199"/>
        <v>2.469113716916911E-6</v>
      </c>
      <c r="Y238" s="3">
        <f t="shared" si="199"/>
        <v>2.469113716916911E-6</v>
      </c>
      <c r="Z238" s="3">
        <f t="shared" si="199"/>
        <v>2.469113716916911E-6</v>
      </c>
      <c r="AA238" s="3">
        <f t="shared" si="199"/>
        <v>2.469113716916911E-6</v>
      </c>
      <c r="AB238" s="3">
        <f t="shared" si="199"/>
        <v>2.4691137169169098E-6</v>
      </c>
      <c r="AC238" s="3">
        <f t="shared" si="199"/>
        <v>2.4691137169169E-6</v>
      </c>
      <c r="AD238" s="3">
        <f t="shared" si="199"/>
        <v>2.4691137169168018E-6</v>
      </c>
      <c r="AE238" s="3">
        <f t="shared" si="199"/>
        <v>2.4691137169158171E-6</v>
      </c>
      <c r="AF238" s="3">
        <f t="shared" si="199"/>
        <v>2.4691137169059716E-6</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80">
        <f>AVERAGE(B241:AF241)</f>
        <v>3.0596006736986057E-2</v>
      </c>
      <c r="B241" s="81">
        <f>IF($A$64&lt;=B207,IF($B$64&gt;=B207,ABS((B209-B208)/B208),0),0)</f>
        <v>1.7566307120748781E-7</v>
      </c>
      <c r="C241" s="81">
        <f t="shared" ref="C241:AF241" si="202">IF($A$64&lt;=C207,IF($B$64&gt;=C207,ABS((C209-C208)/C208),0),0)</f>
        <v>4.7496424979668785E-6</v>
      </c>
      <c r="D241" s="81">
        <f t="shared" si="202"/>
        <v>8.1476542578472366E-6</v>
      </c>
      <c r="E241" s="81">
        <f t="shared" si="202"/>
        <v>1.0119251154284541E-4</v>
      </c>
      <c r="F241" s="81">
        <f t="shared" si="202"/>
        <v>9.9632754584529255E-4</v>
      </c>
      <c r="G241" s="81">
        <f t="shared" si="202"/>
        <v>8.6766832686543723E-3</v>
      </c>
      <c r="H241" s="81">
        <f t="shared" si="202"/>
        <v>3.2446024916383417E-2</v>
      </c>
      <c r="I241" s="81">
        <f t="shared" si="202"/>
        <v>9.8764542729234892E-3</v>
      </c>
      <c r="J241" s="81">
        <f t="shared" si="202"/>
        <v>0.12316652641964682</v>
      </c>
      <c r="K241" s="81">
        <f t="shared" si="202"/>
        <v>0.10478684573976753</v>
      </c>
      <c r="L241" s="81">
        <f t="shared" si="202"/>
        <v>8.1903873513536285E-2</v>
      </c>
      <c r="M241" s="81">
        <f t="shared" si="202"/>
        <v>5.4688146541273963E-2</v>
      </c>
      <c r="N241" s="81">
        <f t="shared" si="202"/>
        <v>2.398318048768559E-2</v>
      </c>
      <c r="O241" s="81">
        <f t="shared" si="202"/>
        <v>3.9094303555735309E-3</v>
      </c>
      <c r="P241" s="81">
        <f t="shared" si="202"/>
        <v>5.760382691874742E-3</v>
      </c>
      <c r="Q241" s="81">
        <f t="shared" si="202"/>
        <v>1.3536577596314336E-2</v>
      </c>
      <c r="R241" s="81">
        <f t="shared" si="202"/>
        <v>1.1304022324611916E-2</v>
      </c>
      <c r="S241" s="81">
        <f t="shared" si="202"/>
        <v>8.4516202182097142E-3</v>
      </c>
      <c r="T241" s="81">
        <f t="shared" si="202"/>
        <v>3.3191512594127146E-3</v>
      </c>
      <c r="U241" s="81">
        <f t="shared" si="202"/>
        <v>1.7287590056969029E-2</v>
      </c>
      <c r="V241" s="81">
        <f t="shared" si="202"/>
        <v>3.2458519007063397E-2</v>
      </c>
      <c r="W241" s="81">
        <f t="shared" si="202"/>
        <v>4.2432213550307116E-2</v>
      </c>
      <c r="X241" s="81">
        <f t="shared" si="202"/>
        <v>5.0857530819399081E-2</v>
      </c>
      <c r="Y241" s="81">
        <f t="shared" si="202"/>
        <v>5.3748866472761149E-2</v>
      </c>
      <c r="Z241" s="81">
        <f t="shared" si="202"/>
        <v>5.4858926780483083E-2</v>
      </c>
      <c r="AA241" s="81">
        <f t="shared" si="202"/>
        <v>5.1663124981477244E-2</v>
      </c>
      <c r="AB241" s="81">
        <f t="shared" si="202"/>
        <v>4.5168376203438138E-2</v>
      </c>
      <c r="AC241" s="81">
        <f t="shared" si="202"/>
        <v>2.7878399073293605E-2</v>
      </c>
      <c r="AD241" s="81">
        <f t="shared" si="202"/>
        <v>3.1611617516506655E-4</v>
      </c>
      <c r="AE241" s="81">
        <f t="shared" si="202"/>
        <v>3.1029051264198089E-2</v>
      </c>
      <c r="AF241" s="81">
        <f t="shared" si="202"/>
        <v>5.385798183892921E-2</v>
      </c>
    </row>
    <row r="242" spans="1:34" x14ac:dyDescent="0.25">
      <c r="B242" s="21">
        <f>(B209-B208)^2</f>
        <v>9.7259148348178465E-7</v>
      </c>
      <c r="C242" s="21">
        <f t="shared" ref="C242:AF242" si="203">(C209-C208)^2</f>
        <v>7.1104252226286333E-4</v>
      </c>
      <c r="D242" s="21">
        <f t="shared" si="203"/>
        <v>2.0923148343787259E-3</v>
      </c>
      <c r="E242" s="21">
        <f t="shared" si="203"/>
        <v>0.32267923840357821</v>
      </c>
      <c r="F242" s="21">
        <f t="shared" si="203"/>
        <v>31.220067564916178</v>
      </c>
      <c r="G242" s="21">
        <f t="shared" si="203"/>
        <v>2328.2141894908427</v>
      </c>
      <c r="H242" s="21">
        <f t="shared" si="203"/>
        <v>30603.748419805361</v>
      </c>
      <c r="I242" s="21">
        <f t="shared" si="203"/>
        <v>2712.977816367274</v>
      </c>
      <c r="J242" s="21">
        <f t="shared" si="203"/>
        <v>405028.75280002458</v>
      </c>
      <c r="K242" s="21">
        <f t="shared" si="203"/>
        <v>279632.64937555487</v>
      </c>
      <c r="L242" s="21">
        <f t="shared" si="203"/>
        <v>162425.15594617365</v>
      </c>
      <c r="M242" s="21">
        <f t="shared" si="203"/>
        <v>68295.427031048966</v>
      </c>
      <c r="N242" s="21">
        <f t="shared" si="203"/>
        <v>12302.819582944554</v>
      </c>
      <c r="O242" s="21">
        <f t="shared" si="203"/>
        <v>304.62219816345225</v>
      </c>
      <c r="P242" s="21">
        <f t="shared" si="203"/>
        <v>616.78338358350891</v>
      </c>
      <c r="Q242" s="21">
        <f t="shared" si="203"/>
        <v>3159.9236720196618</v>
      </c>
      <c r="R242" s="21">
        <f t="shared" si="203"/>
        <v>2001.7489507844969</v>
      </c>
      <c r="S242" s="21">
        <f t="shared" si="203"/>
        <v>994.11117259800835</v>
      </c>
      <c r="T242" s="21">
        <f t="shared" si="203"/>
        <v>134.9607922360465</v>
      </c>
      <c r="U242" s="21">
        <f t="shared" si="203"/>
        <v>3233.6539932834667</v>
      </c>
      <c r="V242" s="21">
        <f t="shared" si="203"/>
        <v>10028.636293567628</v>
      </c>
      <c r="W242" s="21">
        <f t="shared" si="203"/>
        <v>15198.312494665173</v>
      </c>
      <c r="X242" s="21">
        <f t="shared" si="203"/>
        <v>19318.184605607425</v>
      </c>
      <c r="Y242" s="21">
        <f t="shared" si="203"/>
        <v>19054.311021310899</v>
      </c>
      <c r="Z242" s="21">
        <f t="shared" si="203"/>
        <v>17134.696083076095</v>
      </c>
      <c r="AA242" s="21">
        <f t="shared" si="203"/>
        <v>12880.411623151414</v>
      </c>
      <c r="AB242" s="21">
        <f t="shared" si="203"/>
        <v>8058.2650526103762</v>
      </c>
      <c r="AC242" s="21">
        <f t="shared" si="203"/>
        <v>2397.7232713131934</v>
      </c>
      <c r="AD242" s="21">
        <f t="shared" si="203"/>
        <v>0.22139107274815134</v>
      </c>
      <c r="AE242" s="21">
        <f t="shared" si="203"/>
        <v>1353.5303542138593</v>
      </c>
      <c r="AF242" s="21">
        <f t="shared" si="203"/>
        <v>2233.3540876580191</v>
      </c>
      <c r="AG242" s="3"/>
      <c r="AH242" s="3"/>
    </row>
    <row r="243" spans="1:34" x14ac:dyDescent="0.25">
      <c r="A243" s="72">
        <f>SUM(B243:AF243)</f>
        <v>1081464.7411534584</v>
      </c>
      <c r="B243" s="60">
        <f>IF($A$64&lt;=B207,IF($B$64&gt;=B207,ABS(B242),0),0)</f>
        <v>9.7259148348178465E-7</v>
      </c>
      <c r="C243" s="60">
        <f t="shared" ref="C243" si="204">IF($A$64&lt;=C207,IF($B$64&gt;=C207,ABS(C242),0),0)</f>
        <v>7.1104252226286333E-4</v>
      </c>
      <c r="D243" s="60">
        <f t="shared" ref="D243" si="205">IF($A$64&lt;=D207,IF($B$64&gt;=D207,ABS(D242),0),0)</f>
        <v>2.0923148343787259E-3</v>
      </c>
      <c r="E243" s="60">
        <f t="shared" ref="E243" si="206">IF($A$64&lt;=E207,IF($B$64&gt;=E207,ABS(E242),0),0)</f>
        <v>0.32267923840357821</v>
      </c>
      <c r="F243" s="60">
        <f t="shared" ref="F243" si="207">IF($A$64&lt;=F207,IF($B$64&gt;=F207,ABS(F242),0),0)</f>
        <v>31.220067564916178</v>
      </c>
      <c r="G243" s="60">
        <f t="shared" ref="G243" si="208">IF($A$64&lt;=G207,IF($B$64&gt;=G207,ABS(G242),0),0)</f>
        <v>2328.2141894908427</v>
      </c>
      <c r="H243" s="60">
        <f t="shared" ref="H243" si="209">IF($A$64&lt;=H207,IF($B$64&gt;=H207,ABS(H242),0),0)</f>
        <v>30603.748419805361</v>
      </c>
      <c r="I243" s="60">
        <f t="shared" ref="I243" si="210">IF($A$64&lt;=I207,IF($B$64&gt;=I207,ABS(I242),0),0)</f>
        <v>2712.977816367274</v>
      </c>
      <c r="J243" s="60">
        <f t="shared" ref="J243" si="211">IF($A$64&lt;=J207,IF($B$64&gt;=J207,ABS(J242),0),0)</f>
        <v>405028.75280002458</v>
      </c>
      <c r="K243" s="60">
        <f t="shared" ref="K243" si="212">IF($A$64&lt;=K207,IF($B$64&gt;=K207,ABS(K242),0),0)</f>
        <v>279632.64937555487</v>
      </c>
      <c r="L243" s="60">
        <f t="shared" ref="L243" si="213">IF($A$64&lt;=L207,IF($B$64&gt;=L207,ABS(L242),0),0)</f>
        <v>162425.15594617365</v>
      </c>
      <c r="M243" s="60">
        <f t="shared" ref="M243" si="214">IF($A$64&lt;=M207,IF($B$64&gt;=M207,ABS(M242),0),0)</f>
        <v>68295.427031048966</v>
      </c>
      <c r="N243" s="60">
        <f t="shared" ref="N243" si="215">IF($A$64&lt;=N207,IF($B$64&gt;=N207,ABS(N242),0),0)</f>
        <v>12302.819582944554</v>
      </c>
      <c r="O243" s="60">
        <f t="shared" ref="O243" si="216">IF($A$64&lt;=O207,IF($B$64&gt;=O207,ABS(O242),0),0)</f>
        <v>304.62219816345225</v>
      </c>
      <c r="P243" s="60">
        <f t="shared" ref="P243" si="217">IF($A$64&lt;=P207,IF($B$64&gt;=P207,ABS(P242),0),0)</f>
        <v>616.78338358350891</v>
      </c>
      <c r="Q243" s="60">
        <f t="shared" ref="Q243" si="218">IF($A$64&lt;=Q207,IF($B$64&gt;=Q207,ABS(Q242),0),0)</f>
        <v>3159.9236720196618</v>
      </c>
      <c r="R243" s="60">
        <f t="shared" ref="R243" si="219">IF($A$64&lt;=R207,IF($B$64&gt;=R207,ABS(R242),0),0)</f>
        <v>2001.7489507844969</v>
      </c>
      <c r="S243" s="60">
        <f t="shared" ref="S243" si="220">IF($A$64&lt;=S207,IF($B$64&gt;=S207,ABS(S242),0),0)</f>
        <v>994.11117259800835</v>
      </c>
      <c r="T243" s="60">
        <f t="shared" ref="T243" si="221">IF($A$64&lt;=T207,IF($B$64&gt;=T207,ABS(T242),0),0)</f>
        <v>134.9607922360465</v>
      </c>
      <c r="U243" s="60">
        <f t="shared" ref="U243" si="222">IF($A$64&lt;=U207,IF($B$64&gt;=U207,ABS(U242),0),0)</f>
        <v>3233.6539932834667</v>
      </c>
      <c r="V243" s="60">
        <f t="shared" ref="V243" si="223">IF($A$64&lt;=V207,IF($B$64&gt;=V207,ABS(V242),0),0)</f>
        <v>10028.636293567628</v>
      </c>
      <c r="W243" s="60">
        <f t="shared" ref="W243" si="224">IF($A$64&lt;=W207,IF($B$64&gt;=W207,ABS(W242),0),0)</f>
        <v>15198.312494665173</v>
      </c>
      <c r="X243" s="60">
        <f t="shared" ref="X243" si="225">IF($A$64&lt;=X207,IF($B$64&gt;=X207,ABS(X242),0),0)</f>
        <v>19318.184605607425</v>
      </c>
      <c r="Y243" s="60">
        <f t="shared" ref="Y243" si="226">IF($A$64&lt;=Y207,IF($B$64&gt;=Y207,ABS(Y242),0),0)</f>
        <v>19054.311021310899</v>
      </c>
      <c r="Z243" s="60">
        <f t="shared" ref="Z243" si="227">IF($A$64&lt;=Z207,IF($B$64&gt;=Z207,ABS(Z242),0),0)</f>
        <v>17134.696083076095</v>
      </c>
      <c r="AA243" s="60">
        <f t="shared" ref="AA243" si="228">IF($A$64&lt;=AA207,IF($B$64&gt;=AA207,ABS(AA242),0),0)</f>
        <v>12880.411623151414</v>
      </c>
      <c r="AB243" s="60">
        <f t="shared" ref="AB243" si="229">IF($A$64&lt;=AB207,IF($B$64&gt;=AB207,ABS(AB242),0),0)</f>
        <v>8058.2650526103762</v>
      </c>
      <c r="AC243" s="60">
        <f t="shared" ref="AC243" si="230">IF($A$64&lt;=AC207,IF($B$64&gt;=AC207,ABS(AC242),0),0)</f>
        <v>2397.7232713131934</v>
      </c>
      <c r="AD243" s="60">
        <f t="shared" ref="AD243" si="231">IF($A$64&lt;=AD207,IF($B$64&gt;=AD207,ABS(AD242),0),0)</f>
        <v>0.22139107274815134</v>
      </c>
      <c r="AE243" s="60">
        <f t="shared" ref="AE243" si="232">IF($A$64&lt;=AE207,IF($B$64&gt;=AE207,ABS(AE242),0),0)</f>
        <v>1353.5303542138593</v>
      </c>
      <c r="AF243" s="60">
        <f t="shared" ref="AF243" si="233">IF($A$64&lt;=AF207,IF($B$64&gt;=AF207,ABS(AF242),0),0)</f>
        <v>2233.3540876580191</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5614.1540240490785</v>
      </c>
      <c r="C248" s="27">
        <f t="shared" ref="C248:AF248" si="234">($C$17+SUM(C249:C279))*$B$51</f>
        <v>5614.0939423198433</v>
      </c>
      <c r="D248" s="27">
        <f t="shared" si="234"/>
        <v>5613.4933060662815</v>
      </c>
      <c r="E248" s="27">
        <f t="shared" si="234"/>
        <v>5607.5050107591078</v>
      </c>
      <c r="F248" s="27">
        <f t="shared" si="234"/>
        <v>5549.3926807148446</v>
      </c>
      <c r="G248" s="27">
        <f t="shared" si="234"/>
        <v>5114.1346964188706</v>
      </c>
      <c r="H248" s="27">
        <f t="shared" si="234"/>
        <v>4520.1519695882416</v>
      </c>
      <c r="I248" s="27">
        <f t="shared" si="234"/>
        <v>4517.6594559723917</v>
      </c>
      <c r="J248" s="27">
        <f t="shared" si="234"/>
        <v>4517.6127633724445</v>
      </c>
      <c r="K248" s="27">
        <f t="shared" si="234"/>
        <v>4517.1461844649111</v>
      </c>
      <c r="L248" s="27">
        <f t="shared" si="234"/>
        <v>4512.5149255169335</v>
      </c>
      <c r="M248" s="27">
        <f t="shared" si="234"/>
        <v>4469.4830561766958</v>
      </c>
      <c r="N248" s="27">
        <f t="shared" si="234"/>
        <v>4245.9376160623769</v>
      </c>
      <c r="O248" s="27">
        <f t="shared" si="234"/>
        <v>4074.3333062077022</v>
      </c>
      <c r="P248" s="27">
        <f t="shared" si="234"/>
        <v>3878.9427648590595</v>
      </c>
      <c r="Q248" s="27">
        <f t="shared" si="234"/>
        <v>3668.2398072628071</v>
      </c>
      <c r="R248" s="27">
        <f t="shared" si="234"/>
        <v>3486.9400968518139</v>
      </c>
      <c r="S248" s="27">
        <f t="shared" si="234"/>
        <v>3322.7814588389147</v>
      </c>
      <c r="T248" s="27">
        <f t="shared" si="234"/>
        <v>3163.571749068331</v>
      </c>
      <c r="U248" s="27">
        <f t="shared" si="234"/>
        <v>3007.6984818125184</v>
      </c>
      <c r="V248" s="27">
        <f t="shared" si="234"/>
        <v>2851.4101412319119</v>
      </c>
      <c r="W248" s="27">
        <f t="shared" si="234"/>
        <v>2683.1747450602193</v>
      </c>
      <c r="X248" s="27">
        <f t="shared" si="234"/>
        <v>2492.5786668535425</v>
      </c>
      <c r="Y248" s="27">
        <f t="shared" si="234"/>
        <v>2283.5126255664077</v>
      </c>
      <c r="Z248" s="27">
        <f t="shared" si="234"/>
        <v>2046.5056337117439</v>
      </c>
      <c r="AA248" s="27">
        <f t="shared" si="234"/>
        <v>1769.2830412359899</v>
      </c>
      <c r="AB248" s="27">
        <f t="shared" si="234"/>
        <v>1448.1866120299135</v>
      </c>
      <c r="AC248" s="27">
        <f t="shared" si="234"/>
        <v>1107.2071556412598</v>
      </c>
      <c r="AD248" s="27">
        <f t="shared" si="234"/>
        <v>793.13710245446237</v>
      </c>
      <c r="AE248" s="27">
        <f t="shared" si="234"/>
        <v>553.35225027120032</v>
      </c>
      <c r="AF248" s="27">
        <f t="shared" si="234"/>
        <v>403.34125492573634</v>
      </c>
      <c r="AG248" s="27"/>
      <c r="AH248" s="27"/>
    </row>
    <row r="249" spans="1:34" x14ac:dyDescent="0.25">
      <c r="B249" s="3">
        <f t="shared" ref="B249:AF249" si="235">$C18*EXP(-B$246/$A18/EXP(-$E$126))</f>
        <v>0.19530780079394408</v>
      </c>
      <c r="C249" s="3">
        <f t="shared" si="235"/>
        <v>0.19529709897620559</v>
      </c>
      <c r="D249" s="3">
        <f t="shared" si="235"/>
        <v>0.19519011304563463</v>
      </c>
      <c r="E249" s="3">
        <f t="shared" si="235"/>
        <v>0.19412347189298493</v>
      </c>
      <c r="F249" s="3">
        <f t="shared" si="235"/>
        <v>0.18377244553661107</v>
      </c>
      <c r="G249" s="3">
        <f t="shared" si="235"/>
        <v>0.10624386007956872</v>
      </c>
      <c r="H249" s="3">
        <f t="shared" si="235"/>
        <v>4.4313729897051606E-4</v>
      </c>
      <c r="I249" s="3">
        <f t="shared" si="235"/>
        <v>7.061272255099752E-28</v>
      </c>
      <c r="J249" s="3">
        <f t="shared" si="235"/>
        <v>7.4529714795689891E-266</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5.6906652449769689E-2</v>
      </c>
      <c r="C250" s="3">
        <f t="shared" si="236"/>
        <v>5.6906652448970939E-2</v>
      </c>
      <c r="D250" s="3">
        <f t="shared" si="236"/>
        <v>5.6906652440983363E-2</v>
      </c>
      <c r="E250" s="3">
        <f t="shared" si="236"/>
        <v>5.6906652361107639E-2</v>
      </c>
      <c r="F250" s="3">
        <f t="shared" si="236"/>
        <v>5.6906651562350405E-2</v>
      </c>
      <c r="G250" s="3">
        <f t="shared" si="236"/>
        <v>5.6906643574778669E-2</v>
      </c>
      <c r="H250" s="3">
        <f t="shared" si="236"/>
        <v>5.6906563699122996E-2</v>
      </c>
      <c r="I250" s="3">
        <f t="shared" si="236"/>
        <v>5.6905764948732562E-2</v>
      </c>
      <c r="J250" s="3">
        <f t="shared" si="236"/>
        <v>5.6897778061429219E-2</v>
      </c>
      <c r="K250" s="3">
        <f t="shared" si="236"/>
        <v>5.6817970816482669E-2</v>
      </c>
      <c r="L250" s="3">
        <f t="shared" si="236"/>
        <v>5.6026029289462639E-2</v>
      </c>
      <c r="M250" s="3">
        <f t="shared" si="236"/>
        <v>4.8689026362273242E-2</v>
      </c>
      <c r="N250" s="3">
        <f t="shared" si="236"/>
        <v>1.1963094969357503E-2</v>
      </c>
      <c r="O250" s="3">
        <f t="shared" si="236"/>
        <v>9.593302837358159E-9</v>
      </c>
      <c r="P250" s="3">
        <f t="shared" si="236"/>
        <v>1.0549070466247925E-69</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2.1914760342611726E-2</v>
      </c>
      <c r="C251" s="3">
        <f t="shared" si="237"/>
        <v>2.1914760342583977E-2</v>
      </c>
      <c r="D251" s="3">
        <f t="shared" si="237"/>
        <v>2.1914760342306498E-2</v>
      </c>
      <c r="E251" s="3">
        <f t="shared" si="237"/>
        <v>2.1914760339531675E-2</v>
      </c>
      <c r="F251" s="3">
        <f t="shared" si="237"/>
        <v>2.1914760311783459E-2</v>
      </c>
      <c r="G251" s="3">
        <f t="shared" si="237"/>
        <v>2.1914760034301286E-2</v>
      </c>
      <c r="H251" s="3">
        <f t="shared" si="237"/>
        <v>2.1914757259479774E-2</v>
      </c>
      <c r="I251" s="3">
        <f t="shared" si="237"/>
        <v>2.1914729511283974E-2</v>
      </c>
      <c r="J251" s="3">
        <f t="shared" si="237"/>
        <v>2.1914452031258372E-2</v>
      </c>
      <c r="K251" s="3">
        <f t="shared" si="237"/>
        <v>2.1911677424231873E-2</v>
      </c>
      <c r="L251" s="3">
        <f t="shared" si="237"/>
        <v>2.1883950667871809E-2</v>
      </c>
      <c r="M251" s="3">
        <f t="shared" si="237"/>
        <v>2.1608605476959589E-2</v>
      </c>
      <c r="N251" s="3">
        <f t="shared" si="237"/>
        <v>1.9038681694436618E-2</v>
      </c>
      <c r="O251" s="3">
        <f t="shared" si="237"/>
        <v>5.367081615065143E-3</v>
      </c>
      <c r="P251" s="3">
        <f t="shared" si="237"/>
        <v>1.7011846846838501E-8</v>
      </c>
      <c r="Q251" s="3">
        <f t="shared" si="237"/>
        <v>1.7413421467331238E-63</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4.2179983982957622E-2</v>
      </c>
      <c r="C252" s="3">
        <f t="shared" si="238"/>
        <v>4.2179983982952807E-2</v>
      </c>
      <c r="D252" s="3">
        <f t="shared" si="238"/>
        <v>4.2179983982904623E-2</v>
      </c>
      <c r="E252" s="3">
        <f t="shared" si="238"/>
        <v>4.2179983982422842E-2</v>
      </c>
      <c r="F252" s="3">
        <f t="shared" si="238"/>
        <v>4.2179983977605015E-2</v>
      </c>
      <c r="G252" s="3">
        <f t="shared" si="238"/>
        <v>4.2179983929426727E-2</v>
      </c>
      <c r="H252" s="3">
        <f t="shared" si="238"/>
        <v>4.217998344764385E-2</v>
      </c>
      <c r="I252" s="3">
        <f t="shared" si="238"/>
        <v>4.2179978629815401E-2</v>
      </c>
      <c r="J252" s="3">
        <f t="shared" si="238"/>
        <v>4.2179930451561168E-2</v>
      </c>
      <c r="K252" s="3">
        <f t="shared" si="238"/>
        <v>4.2179448672045441E-2</v>
      </c>
      <c r="L252" s="3">
        <f t="shared" si="238"/>
        <v>4.2174631179536744E-2</v>
      </c>
      <c r="M252" s="3">
        <f t="shared" si="238"/>
        <v>4.2126486506519116E-2</v>
      </c>
      <c r="N252" s="3">
        <f t="shared" si="238"/>
        <v>4.1648052237216515E-2</v>
      </c>
      <c r="O252" s="3">
        <f t="shared" si="238"/>
        <v>3.7152604158523082E-2</v>
      </c>
      <c r="P252" s="3">
        <f t="shared" si="238"/>
        <v>1.1855910433418071E-2</v>
      </c>
      <c r="Q252" s="3">
        <f t="shared" si="238"/>
        <v>1.2983488658194756E-7</v>
      </c>
      <c r="R252" s="3">
        <f t="shared" si="238"/>
        <v>3.2207449505721207E-57</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3.949431548129595E-2</v>
      </c>
      <c r="C253" s="3">
        <f t="shared" si="239"/>
        <v>3.949431548129554E-2</v>
      </c>
      <c r="D253" s="3">
        <f t="shared" si="239"/>
        <v>3.9494315481291474E-2</v>
      </c>
      <c r="E253" s="3">
        <f t="shared" si="239"/>
        <v>3.9494315481250777E-2</v>
      </c>
      <c r="F253" s="3">
        <f t="shared" si="239"/>
        <v>3.9494315480843839E-2</v>
      </c>
      <c r="G253" s="3">
        <f t="shared" si="239"/>
        <v>3.9494315476774483E-2</v>
      </c>
      <c r="H253" s="3">
        <f t="shared" si="239"/>
        <v>3.9494315436080875E-2</v>
      </c>
      <c r="I253" s="3">
        <f t="shared" si="239"/>
        <v>3.9494315029144855E-2</v>
      </c>
      <c r="J253" s="3">
        <f t="shared" si="239"/>
        <v>3.9494310959784909E-2</v>
      </c>
      <c r="K253" s="3">
        <f t="shared" si="239"/>
        <v>3.9494270266208498E-2</v>
      </c>
      <c r="L253" s="3">
        <f t="shared" si="239"/>
        <v>3.9493863332750428E-2</v>
      </c>
      <c r="M253" s="3">
        <f t="shared" si="239"/>
        <v>3.9489794228771143E-2</v>
      </c>
      <c r="N253" s="3">
        <f t="shared" si="239"/>
        <v>3.9449126240330971E-2</v>
      </c>
      <c r="O253" s="3">
        <f t="shared" si="239"/>
        <v>3.904474272737133E-2</v>
      </c>
      <c r="P253" s="3">
        <f t="shared" si="239"/>
        <v>3.5222026243236816E-2</v>
      </c>
      <c r="Q253" s="3">
        <f t="shared" si="239"/>
        <v>1.2569906413790214E-2</v>
      </c>
      <c r="R253" s="3">
        <f t="shared" si="239"/>
        <v>4.2122013563088371E-7</v>
      </c>
      <c r="S253" s="3">
        <f t="shared" si="239"/>
        <v>7.5210749632638517E-52</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3.1232286968780266E-2</v>
      </c>
      <c r="C254" s="3">
        <f t="shared" si="240"/>
        <v>3.1232286968780238E-2</v>
      </c>
      <c r="D254" s="3">
        <f t="shared" si="240"/>
        <v>3.1232286968779947E-2</v>
      </c>
      <c r="E254" s="3">
        <f t="shared" si="240"/>
        <v>3.1232286968777046E-2</v>
      </c>
      <c r="F254" s="3">
        <f t="shared" si="240"/>
        <v>3.1232286968748014E-2</v>
      </c>
      <c r="G254" s="3">
        <f t="shared" si="240"/>
        <v>3.1232286968457718E-2</v>
      </c>
      <c r="H254" s="3">
        <f t="shared" si="240"/>
        <v>3.1232286965554752E-2</v>
      </c>
      <c r="I254" s="3">
        <f t="shared" si="240"/>
        <v>3.1232286936525095E-2</v>
      </c>
      <c r="J254" s="3">
        <f t="shared" si="240"/>
        <v>3.1232286646228513E-2</v>
      </c>
      <c r="K254" s="3">
        <f t="shared" si="240"/>
        <v>3.1232283743262874E-2</v>
      </c>
      <c r="L254" s="3">
        <f t="shared" si="240"/>
        <v>3.123225471362133E-2</v>
      </c>
      <c r="M254" s="3">
        <f t="shared" si="240"/>
        <v>3.1231964418689889E-2</v>
      </c>
      <c r="N254" s="3">
        <f t="shared" si="240"/>
        <v>3.1229061617772835E-2</v>
      </c>
      <c r="O254" s="3">
        <f t="shared" si="240"/>
        <v>3.1200048443235179E-2</v>
      </c>
      <c r="P254" s="3">
        <f t="shared" si="240"/>
        <v>3.0911395072084943E-2</v>
      </c>
      <c r="Q254" s="3">
        <f t="shared" si="240"/>
        <v>2.8167738507589538E-2</v>
      </c>
      <c r="R254" s="3">
        <f t="shared" si="240"/>
        <v>1.1119511951568574E-2</v>
      </c>
      <c r="S254" s="3">
        <f t="shared" si="240"/>
        <v>1.0219347851764156E-6</v>
      </c>
      <c r="T254" s="3">
        <f t="shared" si="240"/>
        <v>4.3933696347555923E-47</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3.0546949875680195E-2</v>
      </c>
      <c r="C255" s="3">
        <f t="shared" si="241"/>
        <v>3.0546949875680192E-2</v>
      </c>
      <c r="D255" s="3">
        <f t="shared" si="241"/>
        <v>3.0546949875680168E-2</v>
      </c>
      <c r="E255" s="3">
        <f t="shared" si="241"/>
        <v>3.0546949875679911E-2</v>
      </c>
      <c r="F255" s="3">
        <f t="shared" si="241"/>
        <v>3.054694987567735E-2</v>
      </c>
      <c r="G255" s="3">
        <f t="shared" si="241"/>
        <v>3.0546949875651739E-2</v>
      </c>
      <c r="H255" s="3">
        <f t="shared" si="241"/>
        <v>3.054694987539561E-2</v>
      </c>
      <c r="I255" s="3">
        <f t="shared" si="241"/>
        <v>3.0546949872834361E-2</v>
      </c>
      <c r="J255" s="3">
        <f t="shared" si="241"/>
        <v>3.0546949847221821E-2</v>
      </c>
      <c r="K255" s="3">
        <f t="shared" si="241"/>
        <v>3.0546949591096467E-2</v>
      </c>
      <c r="L255" s="3">
        <f t="shared" si="241"/>
        <v>3.0546947029843029E-2</v>
      </c>
      <c r="M255" s="3">
        <f t="shared" si="241"/>
        <v>3.054692141732045E-2</v>
      </c>
      <c r="N255" s="3">
        <f t="shared" si="241"/>
        <v>3.0546665293275814E-2</v>
      </c>
      <c r="O255" s="3">
        <f t="shared" si="241"/>
        <v>3.0544104170938998E-2</v>
      </c>
      <c r="P255" s="3">
        <f t="shared" si="241"/>
        <v>3.051850475486266E-2</v>
      </c>
      <c r="Q255" s="3">
        <f t="shared" si="241"/>
        <v>3.0263687668486118E-2</v>
      </c>
      <c r="R255" s="3">
        <f t="shared" si="241"/>
        <v>2.7829653041188906E-2</v>
      </c>
      <c r="S255" s="3">
        <f t="shared" si="241"/>
        <v>1.2032815250157786E-2</v>
      </c>
      <c r="T255" s="3">
        <f t="shared" si="241"/>
        <v>2.7476525647247814E-6</v>
      </c>
      <c r="U255" s="3">
        <f t="shared" si="241"/>
        <v>1.0590281183269859E-42</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2.9181012135706209E-2</v>
      </c>
      <c r="C256" s="3">
        <f t="shared" si="242"/>
        <v>2.9181012135706209E-2</v>
      </c>
      <c r="D256" s="3">
        <f t="shared" si="242"/>
        <v>2.9181012135706206E-2</v>
      </c>
      <c r="E256" s="3">
        <f t="shared" si="242"/>
        <v>2.9181012135706185E-2</v>
      </c>
      <c r="F256" s="3">
        <f t="shared" si="242"/>
        <v>2.9181012135705963E-2</v>
      </c>
      <c r="G256" s="3">
        <f t="shared" si="242"/>
        <v>2.9181012135703756E-2</v>
      </c>
      <c r="H256" s="3">
        <f t="shared" si="242"/>
        <v>2.9181012135681684E-2</v>
      </c>
      <c r="I256" s="3">
        <f t="shared" si="242"/>
        <v>2.9181012135460972E-2</v>
      </c>
      <c r="J256" s="3">
        <f t="shared" si="242"/>
        <v>2.918101213325382E-2</v>
      </c>
      <c r="K256" s="3">
        <f t="shared" si="242"/>
        <v>2.9181012111182333E-2</v>
      </c>
      <c r="L256" s="3">
        <f t="shared" si="242"/>
        <v>2.9181011890467425E-2</v>
      </c>
      <c r="M256" s="3">
        <f t="shared" si="242"/>
        <v>2.9181009683318455E-2</v>
      </c>
      <c r="N256" s="3">
        <f t="shared" si="242"/>
        <v>2.9180987611837936E-2</v>
      </c>
      <c r="O256" s="3">
        <f t="shared" si="242"/>
        <v>2.9180766897950933E-2</v>
      </c>
      <c r="P256" s="3">
        <f t="shared" si="242"/>
        <v>2.9178559850895583E-2</v>
      </c>
      <c r="Q256" s="3">
        <f t="shared" si="242"/>
        <v>2.915649855924202E-2</v>
      </c>
      <c r="R256" s="3">
        <f t="shared" si="242"/>
        <v>2.8936800969127874E-2</v>
      </c>
      <c r="S256" s="3">
        <f t="shared" si="242"/>
        <v>2.6828847125566116E-2</v>
      </c>
      <c r="T256" s="3">
        <f t="shared" si="242"/>
        <v>1.2592644620531661E-2</v>
      </c>
      <c r="U256" s="3">
        <f t="shared" si="242"/>
        <v>6.5353117811330081E-6</v>
      </c>
      <c r="V256" s="3">
        <f t="shared" si="242"/>
        <v>9.2631767906277903E-39</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2.8956161504827882E-2</v>
      </c>
      <c r="C257" s="3">
        <f t="shared" si="243"/>
        <v>2.8956161504827882E-2</v>
      </c>
      <c r="D257" s="3">
        <f t="shared" si="243"/>
        <v>2.8956161504827882E-2</v>
      </c>
      <c r="E257" s="3">
        <f t="shared" si="243"/>
        <v>2.8956161504827879E-2</v>
      </c>
      <c r="F257" s="3">
        <f t="shared" si="243"/>
        <v>2.8956161504827861E-2</v>
      </c>
      <c r="G257" s="3">
        <f t="shared" si="243"/>
        <v>2.8956161504827663E-2</v>
      </c>
      <c r="H257" s="3">
        <f t="shared" si="243"/>
        <v>2.8956161504825686E-2</v>
      </c>
      <c r="I257" s="3">
        <f t="shared" si="243"/>
        <v>2.8956161504805931E-2</v>
      </c>
      <c r="J257" s="3">
        <f t="shared" si="243"/>
        <v>2.895616150460836E-2</v>
      </c>
      <c r="K257" s="3">
        <f t="shared" si="243"/>
        <v>2.8956161502632669E-2</v>
      </c>
      <c r="L257" s="3">
        <f t="shared" si="243"/>
        <v>2.8956161482875765E-2</v>
      </c>
      <c r="M257" s="3">
        <f t="shared" si="243"/>
        <v>2.8956161285306724E-2</v>
      </c>
      <c r="N257" s="3">
        <f t="shared" si="243"/>
        <v>2.8956159309616373E-2</v>
      </c>
      <c r="O257" s="3">
        <f t="shared" si="243"/>
        <v>2.8956139552720292E-2</v>
      </c>
      <c r="P257" s="3">
        <f t="shared" si="243"/>
        <v>2.8955941984500889E-2</v>
      </c>
      <c r="Q257" s="3">
        <f t="shared" si="243"/>
        <v>2.8953966376445952E-2</v>
      </c>
      <c r="R257" s="3">
        <f t="shared" si="243"/>
        <v>2.8934217707935275E-2</v>
      </c>
      <c r="S257" s="3">
        <f t="shared" si="243"/>
        <v>2.8737470358920669E-2</v>
      </c>
      <c r="T257" s="3">
        <f t="shared" si="243"/>
        <v>2.6842097581526597E-2</v>
      </c>
      <c r="U257" s="3">
        <f t="shared" si="243"/>
        <v>1.3567367726884442E-2</v>
      </c>
      <c r="V257" s="3">
        <f t="shared" si="243"/>
        <v>1.4766822322427397E-5</v>
      </c>
      <c r="W257" s="3">
        <f t="shared" si="243"/>
        <v>3.4450980079558309E-35</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2.8549428510413092E-2</v>
      </c>
      <c r="C258" s="3">
        <f t="shared" si="244"/>
        <v>2.8549428510413092E-2</v>
      </c>
      <c r="D258" s="3">
        <f t="shared" si="244"/>
        <v>2.8549428510413092E-2</v>
      </c>
      <c r="E258" s="3">
        <f t="shared" si="244"/>
        <v>2.8549428510413092E-2</v>
      </c>
      <c r="F258" s="3">
        <f t="shared" si="244"/>
        <v>2.8549428510413088E-2</v>
      </c>
      <c r="G258" s="3">
        <f t="shared" si="244"/>
        <v>2.8549428510413075E-2</v>
      </c>
      <c r="H258" s="3">
        <f t="shared" si="244"/>
        <v>2.8549428510412894E-2</v>
      </c>
      <c r="I258" s="3">
        <f t="shared" si="244"/>
        <v>2.8549428510411139E-2</v>
      </c>
      <c r="J258" s="3">
        <f t="shared" si="244"/>
        <v>2.8549428510393566E-2</v>
      </c>
      <c r="K258" s="3">
        <f t="shared" si="244"/>
        <v>2.8549428510217845E-2</v>
      </c>
      <c r="L258" s="3">
        <f t="shared" si="244"/>
        <v>2.8549428508460647E-2</v>
      </c>
      <c r="M258" s="3">
        <f t="shared" si="244"/>
        <v>2.8549428490888616E-2</v>
      </c>
      <c r="N258" s="3">
        <f t="shared" si="244"/>
        <v>2.8549428315168324E-2</v>
      </c>
      <c r="O258" s="3">
        <f t="shared" si="244"/>
        <v>2.8549426557965468E-2</v>
      </c>
      <c r="P258" s="3">
        <f t="shared" si="244"/>
        <v>2.8549408985942874E-2</v>
      </c>
      <c r="Q258" s="3">
        <f t="shared" si="244"/>
        <v>2.8549233266311758E-2</v>
      </c>
      <c r="R258" s="3">
        <f t="shared" si="244"/>
        <v>2.8547476129484318E-2</v>
      </c>
      <c r="S258" s="3">
        <f t="shared" si="244"/>
        <v>2.8529910708227413E-2</v>
      </c>
      <c r="T258" s="3">
        <f t="shared" si="244"/>
        <v>2.8354849845301389E-2</v>
      </c>
      <c r="U258" s="3">
        <f t="shared" si="244"/>
        <v>2.6662246885077904E-2</v>
      </c>
      <c r="V258" s="3">
        <f t="shared" si="244"/>
        <v>1.4407568169058773E-2</v>
      </c>
      <c r="W258" s="3">
        <f t="shared" si="244"/>
        <v>3.0586519367921312E-5</v>
      </c>
      <c r="X258" s="3">
        <f t="shared" si="244"/>
        <v>5.6875314948167219E-32</v>
      </c>
      <c r="Y258" s="3">
        <f t="shared" si="244"/>
        <v>2.811003416434524E-299</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3.3916990026039671E-2</v>
      </c>
      <c r="C259" s="3">
        <f t="shared" si="245"/>
        <v>3.3916990026039671E-2</v>
      </c>
      <c r="D259" s="3">
        <f t="shared" si="245"/>
        <v>3.3916990026039671E-2</v>
      </c>
      <c r="E259" s="3">
        <f t="shared" si="245"/>
        <v>3.3916990026039671E-2</v>
      </c>
      <c r="F259" s="3">
        <f t="shared" si="245"/>
        <v>3.3916990026039671E-2</v>
      </c>
      <c r="G259" s="3">
        <f t="shared" si="245"/>
        <v>3.3916990026039665E-2</v>
      </c>
      <c r="H259" s="3">
        <f t="shared" si="245"/>
        <v>3.3916990026039651E-2</v>
      </c>
      <c r="I259" s="3">
        <f t="shared" si="245"/>
        <v>3.3916990026039463E-2</v>
      </c>
      <c r="J259" s="3">
        <f t="shared" si="245"/>
        <v>3.3916990026037576E-2</v>
      </c>
      <c r="K259" s="3">
        <f t="shared" si="245"/>
        <v>3.3916990026018744E-2</v>
      </c>
      <c r="L259" s="3">
        <f t="shared" si="245"/>
        <v>3.3916990025830429E-2</v>
      </c>
      <c r="M259" s="3">
        <f t="shared" si="245"/>
        <v>3.3916990023947262E-2</v>
      </c>
      <c r="N259" s="3">
        <f t="shared" si="245"/>
        <v>3.3916990005115617E-2</v>
      </c>
      <c r="O259" s="3">
        <f t="shared" si="245"/>
        <v>3.3916989816799109E-2</v>
      </c>
      <c r="P259" s="3">
        <f t="shared" si="245"/>
        <v>3.3916987933634096E-2</v>
      </c>
      <c r="Q259" s="3">
        <f t="shared" si="245"/>
        <v>3.39169691019897E-2</v>
      </c>
      <c r="R259" s="3">
        <f t="shared" si="245"/>
        <v>3.391678078612087E-2</v>
      </c>
      <c r="S259" s="3">
        <f t="shared" si="245"/>
        <v>3.3914897684938383E-2</v>
      </c>
      <c r="T259" s="3">
        <f t="shared" si="245"/>
        <v>3.3896072422520379E-2</v>
      </c>
      <c r="U259" s="3">
        <f t="shared" si="245"/>
        <v>3.3708393559651863E-2</v>
      </c>
      <c r="V259" s="3">
        <f t="shared" si="245"/>
        <v>3.1887819660928574E-2</v>
      </c>
      <c r="W259" s="3">
        <f t="shared" si="245"/>
        <v>1.8301745809586458E-2</v>
      </c>
      <c r="X259" s="3">
        <f t="shared" si="245"/>
        <v>7.0985469441656716E-5</v>
      </c>
      <c r="Y259" s="3">
        <f t="shared" si="245"/>
        <v>5.4693895225745593E-29</v>
      </c>
      <c r="Z259" s="3">
        <f t="shared" si="245"/>
        <v>4.0330426077564458E-270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3.6686036889388041E-2</v>
      </c>
      <c r="C260" s="3">
        <f t="shared" si="246"/>
        <v>3.6686036889388041E-2</v>
      </c>
      <c r="D260" s="3">
        <f t="shared" si="246"/>
        <v>3.6686036889388041E-2</v>
      </c>
      <c r="E260" s="3">
        <f t="shared" si="246"/>
        <v>3.6686036889388041E-2</v>
      </c>
      <c r="F260" s="3">
        <f t="shared" si="246"/>
        <v>3.6686036889388041E-2</v>
      </c>
      <c r="G260" s="3">
        <f t="shared" si="246"/>
        <v>3.6686036889388041E-2</v>
      </c>
      <c r="H260" s="3">
        <f t="shared" si="246"/>
        <v>3.6686036889388034E-2</v>
      </c>
      <c r="I260" s="3">
        <f t="shared" si="246"/>
        <v>3.668603688938802E-2</v>
      </c>
      <c r="J260" s="3">
        <f t="shared" si="246"/>
        <v>3.6686036889387839E-2</v>
      </c>
      <c r="K260" s="3">
        <f t="shared" si="246"/>
        <v>3.6686036889386001E-2</v>
      </c>
      <c r="L260" s="3">
        <f t="shared" si="246"/>
        <v>3.6686036889367619E-2</v>
      </c>
      <c r="M260" s="3">
        <f t="shared" si="246"/>
        <v>3.6686036889183878E-2</v>
      </c>
      <c r="N260" s="3">
        <f t="shared" si="246"/>
        <v>3.6686036887346417E-2</v>
      </c>
      <c r="O260" s="3">
        <f t="shared" si="246"/>
        <v>3.6686036868971789E-2</v>
      </c>
      <c r="P260" s="3">
        <f t="shared" si="246"/>
        <v>3.6686036685225541E-2</v>
      </c>
      <c r="Q260" s="3">
        <f t="shared" si="246"/>
        <v>3.668603484776313E-2</v>
      </c>
      <c r="R260" s="3">
        <f t="shared" si="246"/>
        <v>3.6686016473144047E-2</v>
      </c>
      <c r="S260" s="3">
        <f t="shared" si="246"/>
        <v>3.6685832727459407E-2</v>
      </c>
      <c r="T260" s="3">
        <f t="shared" si="246"/>
        <v>3.6683995321229228E-2</v>
      </c>
      <c r="U260" s="3">
        <f t="shared" si="246"/>
        <v>3.6665626319613877E-2</v>
      </c>
      <c r="V260" s="3">
        <f t="shared" si="246"/>
        <v>3.648244143551322E-2</v>
      </c>
      <c r="W260" s="3">
        <f t="shared" si="246"/>
        <v>3.4700182104323685E-2</v>
      </c>
      <c r="X260" s="3">
        <f t="shared" si="246"/>
        <v>2.1028599688089778E-2</v>
      </c>
      <c r="Y260" s="3">
        <f t="shared" si="246"/>
        <v>1.4047412977103186E-4</v>
      </c>
      <c r="Z260" s="3">
        <f t="shared" si="246"/>
        <v>2.4857435296147595E-26</v>
      </c>
      <c r="AA260" s="3">
        <f t="shared" si="246"/>
        <v>7.4826596266519828E-244</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4.0919511658412108E-2</v>
      </c>
      <c r="C261" s="3">
        <f t="shared" si="247"/>
        <v>4.0919511658412108E-2</v>
      </c>
      <c r="D261" s="3">
        <f t="shared" si="247"/>
        <v>4.0919511658412108E-2</v>
      </c>
      <c r="E261" s="3">
        <f t="shared" si="247"/>
        <v>4.0919511658412108E-2</v>
      </c>
      <c r="F261" s="3">
        <f t="shared" si="247"/>
        <v>4.0919511658412108E-2</v>
      </c>
      <c r="G261" s="3">
        <f t="shared" si="247"/>
        <v>4.0919511658412108E-2</v>
      </c>
      <c r="H261" s="3">
        <f t="shared" si="247"/>
        <v>4.0919511658412108E-2</v>
      </c>
      <c r="I261" s="3">
        <f t="shared" si="247"/>
        <v>4.0919511658412108E-2</v>
      </c>
      <c r="J261" s="3">
        <f t="shared" si="247"/>
        <v>4.0919511658412087E-2</v>
      </c>
      <c r="K261" s="3">
        <f t="shared" si="247"/>
        <v>4.0919511658411907E-2</v>
      </c>
      <c r="L261" s="3">
        <f t="shared" si="247"/>
        <v>4.0919511658410054E-2</v>
      </c>
      <c r="M261" s="3">
        <f t="shared" si="247"/>
        <v>4.0919511658391562E-2</v>
      </c>
      <c r="N261" s="3">
        <f t="shared" si="247"/>
        <v>4.0919511658206682E-2</v>
      </c>
      <c r="O261" s="3">
        <f t="shared" si="247"/>
        <v>4.0919511656357863E-2</v>
      </c>
      <c r="P261" s="3">
        <f t="shared" si="247"/>
        <v>4.0919511637869659E-2</v>
      </c>
      <c r="Q261" s="3">
        <f t="shared" si="247"/>
        <v>4.0919511452987625E-2</v>
      </c>
      <c r="R261" s="3">
        <f t="shared" si="247"/>
        <v>4.0919509604167334E-2</v>
      </c>
      <c r="S261" s="3">
        <f t="shared" si="247"/>
        <v>4.0919491115968959E-2</v>
      </c>
      <c r="T261" s="3">
        <f t="shared" si="247"/>
        <v>4.0919306234444702E-2</v>
      </c>
      <c r="U261" s="3">
        <f t="shared" si="247"/>
        <v>4.0917457465144517E-2</v>
      </c>
      <c r="V261" s="3">
        <f t="shared" si="247"/>
        <v>4.089897436561396E-2</v>
      </c>
      <c r="W261" s="3">
        <f t="shared" si="247"/>
        <v>4.0714601950459305E-2</v>
      </c>
      <c r="X261" s="3">
        <f t="shared" si="247"/>
        <v>3.8915978368891983E-2</v>
      </c>
      <c r="Y261" s="3">
        <f t="shared" si="247"/>
        <v>2.4768833524363962E-2</v>
      </c>
      <c r="Z261" s="3">
        <f t="shared" si="247"/>
        <v>2.7019764711782456E-4</v>
      </c>
      <c r="AA261" s="3">
        <f t="shared" si="247"/>
        <v>6.4482467751478944E-24</v>
      </c>
      <c r="AB261" s="3">
        <f t="shared" si="247"/>
        <v>3.8640480395780211E-220</v>
      </c>
      <c r="AC261" s="3">
        <f t="shared" si="247"/>
        <v>0</v>
      </c>
      <c r="AD261" s="3">
        <f t="shared" si="247"/>
        <v>0</v>
      </c>
      <c r="AE261" s="3">
        <f t="shared" si="247"/>
        <v>0</v>
      </c>
      <c r="AF261" s="3">
        <f t="shared" si="247"/>
        <v>0</v>
      </c>
      <c r="AG261" s="3"/>
      <c r="AH261" s="3"/>
    </row>
    <row r="262" spans="2:34" x14ac:dyDescent="0.25">
      <c r="B262" s="3">
        <f t="shared" ref="B262:AF262" si="248">$C31*EXP(-B$246/$A31/EXP(-$E$126))</f>
        <v>4.7755707575506505E-2</v>
      </c>
      <c r="C262" s="3">
        <f t="shared" si="248"/>
        <v>4.7755707575506505E-2</v>
      </c>
      <c r="D262" s="3">
        <f t="shared" si="248"/>
        <v>4.7755707575506505E-2</v>
      </c>
      <c r="E262" s="3">
        <f t="shared" si="248"/>
        <v>4.7755707575506505E-2</v>
      </c>
      <c r="F262" s="3">
        <f t="shared" si="248"/>
        <v>4.7755707575506505E-2</v>
      </c>
      <c r="G262" s="3">
        <f t="shared" si="248"/>
        <v>4.7755707575506505E-2</v>
      </c>
      <c r="H262" s="3">
        <f t="shared" si="248"/>
        <v>4.7755707575506505E-2</v>
      </c>
      <c r="I262" s="3">
        <f t="shared" si="248"/>
        <v>4.7755707575506505E-2</v>
      </c>
      <c r="J262" s="3">
        <f t="shared" si="248"/>
        <v>4.7755707575506505E-2</v>
      </c>
      <c r="K262" s="3">
        <f t="shared" si="248"/>
        <v>4.7755707575506484E-2</v>
      </c>
      <c r="L262" s="3">
        <f t="shared" si="248"/>
        <v>4.775570757550629E-2</v>
      </c>
      <c r="M262" s="3">
        <f t="shared" si="248"/>
        <v>4.775570757550434E-2</v>
      </c>
      <c r="N262" s="3">
        <f t="shared" si="248"/>
        <v>4.7755707575484876E-2</v>
      </c>
      <c r="O262" s="3">
        <f t="shared" si="248"/>
        <v>4.775570757529024E-2</v>
      </c>
      <c r="P262" s="3">
        <f t="shared" si="248"/>
        <v>4.7755707573343818E-2</v>
      </c>
      <c r="Q262" s="3">
        <f t="shared" si="248"/>
        <v>4.7755707553879638E-2</v>
      </c>
      <c r="R262" s="3">
        <f t="shared" si="248"/>
        <v>4.7755707359237821E-2</v>
      </c>
      <c r="S262" s="3">
        <f t="shared" si="248"/>
        <v>4.7755705412819725E-2</v>
      </c>
      <c r="T262" s="3">
        <f t="shared" si="248"/>
        <v>4.7755685948643094E-2</v>
      </c>
      <c r="U262" s="3">
        <f t="shared" si="248"/>
        <v>4.775549130731311E-2</v>
      </c>
      <c r="V262" s="3">
        <f t="shared" si="248"/>
        <v>4.7753544937645019E-2</v>
      </c>
      <c r="W262" s="3">
        <f t="shared" si="248"/>
        <v>4.7734085603479089E-2</v>
      </c>
      <c r="X262" s="3">
        <f t="shared" si="248"/>
        <v>4.7539927856146406E-2</v>
      </c>
      <c r="Y262" s="3">
        <f t="shared" si="248"/>
        <v>4.5641260022268794E-2</v>
      </c>
      <c r="Z262" s="3">
        <f t="shared" si="248"/>
        <v>3.0363280898702345E-2</v>
      </c>
      <c r="AA262" s="3">
        <f t="shared" si="248"/>
        <v>5.1553649657196424E-4</v>
      </c>
      <c r="AB262" s="3">
        <f t="shared" si="248"/>
        <v>1.0265180753821401E-21</v>
      </c>
      <c r="AC262" s="3">
        <f t="shared" si="248"/>
        <v>1.0056305364042943E-198</v>
      </c>
      <c r="AD262" s="3">
        <f t="shared" si="248"/>
        <v>0</v>
      </c>
      <c r="AE262" s="3">
        <f t="shared" si="248"/>
        <v>0</v>
      </c>
      <c r="AF262" s="3">
        <f t="shared" si="248"/>
        <v>0</v>
      </c>
      <c r="AG262" s="3"/>
      <c r="AH262" s="3"/>
    </row>
    <row r="263" spans="2:34" x14ac:dyDescent="0.25">
      <c r="B263" s="3">
        <f t="shared" ref="B263:AF263" si="249">$C32*EXP(-B$246/$A32/EXP(-$E$126))</f>
        <v>5.7469214785363418E-2</v>
      </c>
      <c r="C263" s="3">
        <f t="shared" si="249"/>
        <v>5.7469214785363418E-2</v>
      </c>
      <c r="D263" s="3">
        <f t="shared" si="249"/>
        <v>5.7469214785363418E-2</v>
      </c>
      <c r="E263" s="3">
        <f t="shared" si="249"/>
        <v>5.7469214785363418E-2</v>
      </c>
      <c r="F263" s="3">
        <f t="shared" si="249"/>
        <v>5.7469214785363418E-2</v>
      </c>
      <c r="G263" s="3">
        <f t="shared" si="249"/>
        <v>5.7469214785363418E-2</v>
      </c>
      <c r="H263" s="3">
        <f t="shared" si="249"/>
        <v>5.7469214785363418E-2</v>
      </c>
      <c r="I263" s="3">
        <f t="shared" si="249"/>
        <v>5.7469214785363418E-2</v>
      </c>
      <c r="J263" s="3">
        <f t="shared" si="249"/>
        <v>5.7469214785363418E-2</v>
      </c>
      <c r="K263" s="3">
        <f t="shared" si="249"/>
        <v>5.7469214785363418E-2</v>
      </c>
      <c r="L263" s="3">
        <f t="shared" si="249"/>
        <v>5.746921478536339E-2</v>
      </c>
      <c r="M263" s="3">
        <f t="shared" si="249"/>
        <v>5.7469214785363182E-2</v>
      </c>
      <c r="N263" s="3">
        <f t="shared" si="249"/>
        <v>5.7469214785361072E-2</v>
      </c>
      <c r="O263" s="3">
        <f t="shared" si="249"/>
        <v>5.7469214785339937E-2</v>
      </c>
      <c r="P263" s="3">
        <f t="shared" si="249"/>
        <v>5.7469214785128647E-2</v>
      </c>
      <c r="Q263" s="3">
        <f t="shared" si="249"/>
        <v>5.7469214783015678E-2</v>
      </c>
      <c r="R263" s="3">
        <f t="shared" si="249"/>
        <v>5.7469214761886003E-2</v>
      </c>
      <c r="S263" s="3">
        <f t="shared" si="249"/>
        <v>5.7469214550589301E-2</v>
      </c>
      <c r="T263" s="3">
        <f t="shared" si="249"/>
        <v>5.7469212437622354E-2</v>
      </c>
      <c r="U263" s="3">
        <f t="shared" si="249"/>
        <v>5.7469191307957058E-2</v>
      </c>
      <c r="V263" s="3">
        <f t="shared" si="249"/>
        <v>5.746898001173139E-2</v>
      </c>
      <c r="W263" s="3">
        <f t="shared" si="249"/>
        <v>5.7466867092202133E-2</v>
      </c>
      <c r="X263" s="3">
        <f t="shared" si="249"/>
        <v>5.7445742169066602E-2</v>
      </c>
      <c r="Y263" s="3">
        <f t="shared" si="249"/>
        <v>5.7234919572817136E-2</v>
      </c>
      <c r="Z263" s="3">
        <f t="shared" si="249"/>
        <v>5.5168782400103519E-2</v>
      </c>
      <c r="AA263" s="3">
        <f t="shared" si="249"/>
        <v>3.8195888779663338E-2</v>
      </c>
      <c r="AB263" s="3">
        <f t="shared" si="249"/>
        <v>9.666045406803613E-4</v>
      </c>
      <c r="AC263" s="3">
        <f t="shared" si="249"/>
        <v>1.0412881821502077E-19</v>
      </c>
      <c r="AD263" s="3">
        <f t="shared" si="249"/>
        <v>2.1917550968875302E-179</v>
      </c>
      <c r="AE263" s="3">
        <f t="shared" si="249"/>
        <v>0</v>
      </c>
      <c r="AF263" s="3">
        <f t="shared" si="249"/>
        <v>0</v>
      </c>
      <c r="AG263" s="3"/>
      <c r="AH263" s="3"/>
    </row>
    <row r="264" spans="2:34" x14ac:dyDescent="0.25">
      <c r="B264" s="3">
        <f t="shared" ref="B264:AF264" si="250">$C33*EXP(-B$246/$A33/EXP(-$E$126))</f>
        <v>6.4260885650205518E-2</v>
      </c>
      <c r="C264" s="3">
        <f t="shared" si="250"/>
        <v>6.4260885650205518E-2</v>
      </c>
      <c r="D264" s="3">
        <f t="shared" si="250"/>
        <v>6.4260885650205518E-2</v>
      </c>
      <c r="E264" s="3">
        <f t="shared" si="250"/>
        <v>6.4260885650205518E-2</v>
      </c>
      <c r="F264" s="3">
        <f t="shared" si="250"/>
        <v>6.4260885650205518E-2</v>
      </c>
      <c r="G264" s="3">
        <f t="shared" si="250"/>
        <v>6.4260885650205518E-2</v>
      </c>
      <c r="H264" s="3">
        <f t="shared" si="250"/>
        <v>6.4260885650205518E-2</v>
      </c>
      <c r="I264" s="3">
        <f t="shared" si="250"/>
        <v>6.4260885650205518E-2</v>
      </c>
      <c r="J264" s="3">
        <f t="shared" si="250"/>
        <v>6.4260885650205518E-2</v>
      </c>
      <c r="K264" s="3">
        <f t="shared" si="250"/>
        <v>6.4260885650205518E-2</v>
      </c>
      <c r="L264" s="3">
        <f t="shared" si="250"/>
        <v>6.4260885650205518E-2</v>
      </c>
      <c r="M264" s="3">
        <f t="shared" si="250"/>
        <v>6.426088565020549E-2</v>
      </c>
      <c r="N264" s="3">
        <f t="shared" si="250"/>
        <v>6.4260885650205282E-2</v>
      </c>
      <c r="O264" s="3">
        <f t="shared" si="250"/>
        <v>6.4260885650203145E-2</v>
      </c>
      <c r="P264" s="3">
        <f t="shared" si="250"/>
        <v>6.4260885650181843E-2</v>
      </c>
      <c r="Q264" s="3">
        <f t="shared" si="250"/>
        <v>6.4260885649968708E-2</v>
      </c>
      <c r="R264" s="3">
        <f t="shared" si="250"/>
        <v>6.4260885647837371E-2</v>
      </c>
      <c r="S264" s="3">
        <f t="shared" si="250"/>
        <v>6.4260885626524072E-2</v>
      </c>
      <c r="T264" s="3">
        <f t="shared" si="250"/>
        <v>6.4260885413391047E-2</v>
      </c>
      <c r="U264" s="3">
        <f t="shared" si="250"/>
        <v>6.4260883282060838E-2</v>
      </c>
      <c r="V264" s="3">
        <f t="shared" si="250"/>
        <v>6.4260861968762628E-2</v>
      </c>
      <c r="W264" s="3">
        <f t="shared" si="250"/>
        <v>6.426064883616929E-2</v>
      </c>
      <c r="X264" s="3">
        <f t="shared" si="250"/>
        <v>6.4258517549114685E-2</v>
      </c>
      <c r="Y264" s="3">
        <f t="shared" si="250"/>
        <v>6.4237208565960019E-2</v>
      </c>
      <c r="Z264" s="3">
        <f t="shared" si="250"/>
        <v>6.4024506996923164E-2</v>
      </c>
      <c r="AA264" s="3">
        <f t="shared" si="250"/>
        <v>6.193584528979304E-2</v>
      </c>
      <c r="AB264" s="3">
        <f t="shared" si="250"/>
        <v>4.4452923765483501E-2</v>
      </c>
      <c r="AC264" s="3">
        <f t="shared" si="250"/>
        <v>1.6124377108329019E-3</v>
      </c>
      <c r="AD264" s="3">
        <f t="shared" si="250"/>
        <v>6.3578328468853534E-18</v>
      </c>
      <c r="AE264" s="3">
        <f t="shared" si="250"/>
        <v>5.7752487747607648E-162</v>
      </c>
      <c r="AF264" s="3">
        <f t="shared" si="250"/>
        <v>0</v>
      </c>
      <c r="AG264" s="3"/>
      <c r="AH264" s="3"/>
    </row>
    <row r="265" spans="2:34" x14ac:dyDescent="0.25">
      <c r="B265" s="3">
        <f t="shared" ref="B265:AF265" si="251">$C34*EXP(-B$246/$A34/EXP(-$E$126))</f>
        <v>6.2189536822504186E-2</v>
      </c>
      <c r="C265" s="3">
        <f t="shared" si="251"/>
        <v>6.2189536822504186E-2</v>
      </c>
      <c r="D265" s="3">
        <f t="shared" si="251"/>
        <v>6.2189536822504186E-2</v>
      </c>
      <c r="E265" s="3">
        <f t="shared" si="251"/>
        <v>6.2189536822504186E-2</v>
      </c>
      <c r="F265" s="3">
        <f t="shared" si="251"/>
        <v>6.2189536822504186E-2</v>
      </c>
      <c r="G265" s="3">
        <f t="shared" si="251"/>
        <v>6.2189536822504186E-2</v>
      </c>
      <c r="H265" s="3">
        <f t="shared" si="251"/>
        <v>6.2189536822504186E-2</v>
      </c>
      <c r="I265" s="3">
        <f t="shared" si="251"/>
        <v>6.2189536822504186E-2</v>
      </c>
      <c r="J265" s="3">
        <f t="shared" si="251"/>
        <v>6.2189536822504186E-2</v>
      </c>
      <c r="K265" s="3">
        <f t="shared" si="251"/>
        <v>6.2189536822504186E-2</v>
      </c>
      <c r="L265" s="3">
        <f t="shared" si="251"/>
        <v>6.2189536822504186E-2</v>
      </c>
      <c r="M265" s="3">
        <f t="shared" si="251"/>
        <v>6.2189536822504186E-2</v>
      </c>
      <c r="N265" s="3">
        <f t="shared" si="251"/>
        <v>6.2189536822504166E-2</v>
      </c>
      <c r="O265" s="3">
        <f t="shared" si="251"/>
        <v>6.2189536822503978E-2</v>
      </c>
      <c r="P265" s="3">
        <f t="shared" si="251"/>
        <v>6.2189536822502119E-2</v>
      </c>
      <c r="Q265" s="3">
        <f t="shared" si="251"/>
        <v>6.2189536822483515E-2</v>
      </c>
      <c r="R265" s="3">
        <f t="shared" si="251"/>
        <v>6.2189536822297449E-2</v>
      </c>
      <c r="S265" s="3">
        <f t="shared" si="251"/>
        <v>6.2189536820436778E-2</v>
      </c>
      <c r="T265" s="3">
        <f t="shared" si="251"/>
        <v>6.2189536801830141E-2</v>
      </c>
      <c r="U265" s="3">
        <f t="shared" si="251"/>
        <v>6.2189536615763742E-2</v>
      </c>
      <c r="V265" s="3">
        <f t="shared" si="251"/>
        <v>6.2189534755099772E-2</v>
      </c>
      <c r="W265" s="3">
        <f t="shared" si="251"/>
        <v>6.2189516148463124E-2</v>
      </c>
      <c r="X265" s="3">
        <f t="shared" si="251"/>
        <v>6.2189330082402898E-2</v>
      </c>
      <c r="Y265" s="3">
        <f t="shared" si="251"/>
        <v>6.2187469452418459E-2</v>
      </c>
      <c r="Z265" s="3">
        <f t="shared" si="251"/>
        <v>6.2168866214029048E-2</v>
      </c>
      <c r="AA265" s="3">
        <f t="shared" si="251"/>
        <v>6.1983139636986186E-2</v>
      </c>
      <c r="AB265" s="3">
        <f t="shared" si="251"/>
        <v>6.0156118711996727E-2</v>
      </c>
      <c r="AC265" s="3">
        <f t="shared" si="251"/>
        <v>4.4600751512240348E-2</v>
      </c>
      <c r="AD265" s="3">
        <f t="shared" si="251"/>
        <v>2.2385451843094199E-3</v>
      </c>
      <c r="AE265" s="3">
        <f t="shared" si="251"/>
        <v>2.2709247762367984E-16</v>
      </c>
      <c r="AF265" s="3">
        <f t="shared" si="251"/>
        <v>2.6216311296045046E-146</v>
      </c>
      <c r="AG265" s="3"/>
      <c r="AH265" s="3"/>
    </row>
    <row r="266" spans="2:34" x14ac:dyDescent="0.25">
      <c r="B266" s="3">
        <f t="shared" ref="B266:AF266" si="252">$C35*EXP(-B$246/$A35/EXP(-$E$126))</f>
        <v>4.8803099741359754E-2</v>
      </c>
      <c r="C266" s="3">
        <f t="shared" si="252"/>
        <v>4.8803099741359754E-2</v>
      </c>
      <c r="D266" s="3">
        <f t="shared" si="252"/>
        <v>4.8803099741359754E-2</v>
      </c>
      <c r="E266" s="3">
        <f t="shared" si="252"/>
        <v>4.8803099741359754E-2</v>
      </c>
      <c r="F266" s="3">
        <f t="shared" si="252"/>
        <v>4.8803099741359754E-2</v>
      </c>
      <c r="G266" s="3">
        <f t="shared" si="252"/>
        <v>4.8803099741359754E-2</v>
      </c>
      <c r="H266" s="3">
        <f t="shared" si="252"/>
        <v>4.8803099741359754E-2</v>
      </c>
      <c r="I266" s="3">
        <f t="shared" si="252"/>
        <v>4.8803099741359754E-2</v>
      </c>
      <c r="J266" s="3">
        <f t="shared" si="252"/>
        <v>4.8803099741359754E-2</v>
      </c>
      <c r="K266" s="3">
        <f t="shared" si="252"/>
        <v>4.8803099741359754E-2</v>
      </c>
      <c r="L266" s="3">
        <f t="shared" si="252"/>
        <v>4.8803099741359754E-2</v>
      </c>
      <c r="M266" s="3">
        <f t="shared" si="252"/>
        <v>4.8803099741359754E-2</v>
      </c>
      <c r="N266" s="3">
        <f t="shared" si="252"/>
        <v>4.8803099741359754E-2</v>
      </c>
      <c r="O266" s="3">
        <f t="shared" si="252"/>
        <v>4.880309974135974E-2</v>
      </c>
      <c r="P266" s="3">
        <f t="shared" si="252"/>
        <v>4.8803099741359608E-2</v>
      </c>
      <c r="Q266" s="3">
        <f t="shared" si="252"/>
        <v>4.880309974135829E-2</v>
      </c>
      <c r="R266" s="3">
        <f t="shared" si="252"/>
        <v>4.880309974134512E-2</v>
      </c>
      <c r="S266" s="3">
        <f t="shared" si="252"/>
        <v>4.8803099741213399E-2</v>
      </c>
      <c r="T266" s="3">
        <f t="shared" si="252"/>
        <v>4.8803099739896223E-2</v>
      </c>
      <c r="U266" s="3">
        <f t="shared" si="252"/>
        <v>4.8803099726724433E-2</v>
      </c>
      <c r="V266" s="3">
        <f t="shared" si="252"/>
        <v>4.8803099595006588E-2</v>
      </c>
      <c r="W266" s="3">
        <f t="shared" si="252"/>
        <v>4.8803098277828118E-2</v>
      </c>
      <c r="X266" s="3">
        <f t="shared" si="252"/>
        <v>4.8803085106045328E-2</v>
      </c>
      <c r="Y266" s="3">
        <f t="shared" si="252"/>
        <v>4.8802953388412972E-2</v>
      </c>
      <c r="Z266" s="3">
        <f t="shared" si="252"/>
        <v>4.880163623164184E-2</v>
      </c>
      <c r="AA266" s="3">
        <f t="shared" si="252"/>
        <v>4.8788466618973743E-2</v>
      </c>
      <c r="AB266" s="3">
        <f t="shared" si="252"/>
        <v>4.8656965801519909E-2</v>
      </c>
      <c r="AC266" s="3">
        <f t="shared" si="252"/>
        <v>4.7361294910641297E-2</v>
      </c>
      <c r="AD266" s="3">
        <f t="shared" si="252"/>
        <v>3.6158384188164722E-2</v>
      </c>
      <c r="AE266" s="3">
        <f t="shared" si="252"/>
        <v>2.4325595686931346E-3</v>
      </c>
      <c r="AF266" s="3">
        <f t="shared" si="252"/>
        <v>4.6196404585295974E-15</v>
      </c>
      <c r="AG266" s="3"/>
      <c r="AH266" s="3"/>
    </row>
    <row r="267" spans="2:34" x14ac:dyDescent="0.25">
      <c r="B267" s="3">
        <f t="shared" ref="B267:AF267" si="253">$C36*EXP(-B$246/$A36/EXP(-$E$126))</f>
        <v>3.0415227107223403E-2</v>
      </c>
      <c r="C267" s="3">
        <f t="shared" si="253"/>
        <v>3.0415227107223403E-2</v>
      </c>
      <c r="D267" s="3">
        <f t="shared" si="253"/>
        <v>3.0415227107223403E-2</v>
      </c>
      <c r="E267" s="3">
        <f t="shared" si="253"/>
        <v>3.0415227107223403E-2</v>
      </c>
      <c r="F267" s="3">
        <f t="shared" si="253"/>
        <v>3.0415227107223403E-2</v>
      </c>
      <c r="G267" s="3">
        <f t="shared" si="253"/>
        <v>3.0415227107223403E-2</v>
      </c>
      <c r="H267" s="3">
        <f t="shared" si="253"/>
        <v>3.0415227107223403E-2</v>
      </c>
      <c r="I267" s="3">
        <f t="shared" si="253"/>
        <v>3.0415227107223403E-2</v>
      </c>
      <c r="J267" s="3">
        <f t="shared" si="253"/>
        <v>3.0415227107223403E-2</v>
      </c>
      <c r="K267" s="3">
        <f t="shared" si="253"/>
        <v>3.0415227107223403E-2</v>
      </c>
      <c r="L267" s="3">
        <f t="shared" si="253"/>
        <v>3.0415227107223403E-2</v>
      </c>
      <c r="M267" s="3">
        <f t="shared" si="253"/>
        <v>3.0415227107223403E-2</v>
      </c>
      <c r="N267" s="3">
        <f t="shared" si="253"/>
        <v>3.0415227107223403E-2</v>
      </c>
      <c r="O267" s="3">
        <f t="shared" si="253"/>
        <v>3.0415227107223403E-2</v>
      </c>
      <c r="P267" s="3">
        <f t="shared" si="253"/>
        <v>3.0415227107223396E-2</v>
      </c>
      <c r="Q267" s="3">
        <f t="shared" si="253"/>
        <v>3.0415227107223324E-2</v>
      </c>
      <c r="R267" s="3">
        <f t="shared" si="253"/>
        <v>3.0415227107222581E-2</v>
      </c>
      <c r="S267" s="3">
        <f t="shared" si="253"/>
        <v>3.0415227107215174E-2</v>
      </c>
      <c r="T267" s="3">
        <f t="shared" si="253"/>
        <v>3.0415227107141125E-2</v>
      </c>
      <c r="U267" s="3">
        <f t="shared" si="253"/>
        <v>3.0415227106400607E-2</v>
      </c>
      <c r="V267" s="3">
        <f t="shared" si="253"/>
        <v>3.041522709899544E-2</v>
      </c>
      <c r="W267" s="3">
        <f t="shared" si="253"/>
        <v>3.0415227024943765E-2</v>
      </c>
      <c r="X267" s="3">
        <f t="shared" si="253"/>
        <v>3.0415226284427041E-2</v>
      </c>
      <c r="Y267" s="3">
        <f t="shared" si="253"/>
        <v>3.0415218879260762E-2</v>
      </c>
      <c r="Z267" s="3">
        <f t="shared" si="253"/>
        <v>3.0415144827697162E-2</v>
      </c>
      <c r="AA267" s="3">
        <f t="shared" si="253"/>
        <v>3.041440432197717E-2</v>
      </c>
      <c r="AB267" s="3">
        <f t="shared" si="253"/>
        <v>3.0407000256289108E-2</v>
      </c>
      <c r="AC267" s="3">
        <f t="shared" si="253"/>
        <v>3.0333058661334192E-2</v>
      </c>
      <c r="AD267" s="3">
        <f t="shared" si="253"/>
        <v>2.9603460244027831E-2</v>
      </c>
      <c r="AE267" s="3">
        <f t="shared" si="253"/>
        <v>2.3206262419051885E-2</v>
      </c>
      <c r="AF267" s="3">
        <f t="shared" si="253"/>
        <v>2.0334449385043239E-3</v>
      </c>
      <c r="AG267" s="3"/>
      <c r="AH267" s="3"/>
    </row>
    <row r="268" spans="2:34" x14ac:dyDescent="0.25">
      <c r="B268" s="3">
        <f t="shared" ref="B268:AF268" si="254">$C37*EXP(-B$246/$A37/EXP(-$E$126))</f>
        <v>1.5463317607252298E-2</v>
      </c>
      <c r="C268" s="3">
        <f t="shared" si="254"/>
        <v>1.5463317607252298E-2</v>
      </c>
      <c r="D268" s="3">
        <f t="shared" si="254"/>
        <v>1.5463317607252298E-2</v>
      </c>
      <c r="E268" s="3">
        <f t="shared" si="254"/>
        <v>1.5463317607252298E-2</v>
      </c>
      <c r="F268" s="3">
        <f t="shared" si="254"/>
        <v>1.5463317607252298E-2</v>
      </c>
      <c r="G268" s="3">
        <f t="shared" si="254"/>
        <v>1.5463317607252298E-2</v>
      </c>
      <c r="H268" s="3">
        <f t="shared" si="254"/>
        <v>1.5463317607252298E-2</v>
      </c>
      <c r="I268" s="3">
        <f t="shared" si="254"/>
        <v>1.5463317607252298E-2</v>
      </c>
      <c r="J268" s="3">
        <f t="shared" si="254"/>
        <v>1.5463317607252298E-2</v>
      </c>
      <c r="K268" s="3">
        <f t="shared" si="254"/>
        <v>1.5463317607252298E-2</v>
      </c>
      <c r="L268" s="3">
        <f t="shared" si="254"/>
        <v>1.5463317607252298E-2</v>
      </c>
      <c r="M268" s="3">
        <f t="shared" si="254"/>
        <v>1.5463317607252298E-2</v>
      </c>
      <c r="N268" s="3">
        <f t="shared" si="254"/>
        <v>1.5463317607252298E-2</v>
      </c>
      <c r="O268" s="3">
        <f t="shared" si="254"/>
        <v>1.5463317607252298E-2</v>
      </c>
      <c r="P268" s="3">
        <f t="shared" si="254"/>
        <v>1.5463317607252298E-2</v>
      </c>
      <c r="Q268" s="3">
        <f t="shared" si="254"/>
        <v>1.5463317607252294E-2</v>
      </c>
      <c r="R268" s="3">
        <f t="shared" si="254"/>
        <v>1.546331760725226E-2</v>
      </c>
      <c r="S268" s="3">
        <f t="shared" si="254"/>
        <v>1.546331760725192E-2</v>
      </c>
      <c r="T268" s="3">
        <f t="shared" si="254"/>
        <v>1.5463317607248525E-2</v>
      </c>
      <c r="U268" s="3">
        <f t="shared" si="254"/>
        <v>1.5463317607214561E-2</v>
      </c>
      <c r="V268" s="3">
        <f t="shared" si="254"/>
        <v>1.5463317606874942E-2</v>
      </c>
      <c r="W268" s="3">
        <f t="shared" si="254"/>
        <v>1.5463317603478743E-2</v>
      </c>
      <c r="X268" s="3">
        <f t="shared" si="254"/>
        <v>1.5463317569516757E-2</v>
      </c>
      <c r="Y268" s="3">
        <f t="shared" si="254"/>
        <v>1.5463317229896899E-2</v>
      </c>
      <c r="Z268" s="3">
        <f t="shared" si="254"/>
        <v>1.5463313833698722E-2</v>
      </c>
      <c r="AA268" s="3">
        <f t="shared" si="254"/>
        <v>1.5463279871757989E-2</v>
      </c>
      <c r="AB268" s="3">
        <f t="shared" si="254"/>
        <v>1.5462940256453084E-2</v>
      </c>
      <c r="AC268" s="3">
        <f t="shared" si="254"/>
        <v>1.5459544513614726E-2</v>
      </c>
      <c r="AD268" s="3">
        <f t="shared" si="254"/>
        <v>1.5425628072984072E-2</v>
      </c>
      <c r="AE268" s="3">
        <f t="shared" si="254"/>
        <v>1.509052932892176E-2</v>
      </c>
      <c r="AF268" s="3">
        <f t="shared" si="254"/>
        <v>1.2114922836259152E-2</v>
      </c>
      <c r="AG268" s="3"/>
      <c r="AH268" s="3"/>
    </row>
    <row r="269" spans="2:34" x14ac:dyDescent="0.25">
      <c r="B269" s="3">
        <f t="shared" ref="B269:AF269" si="255">$C38*EXP(-B$246/$A38/EXP(-$E$126))</f>
        <v>6.4979326784240111E-3</v>
      </c>
      <c r="C269" s="3">
        <f t="shared" si="255"/>
        <v>6.4979326784240111E-3</v>
      </c>
      <c r="D269" s="3">
        <f t="shared" si="255"/>
        <v>6.4979326784240111E-3</v>
      </c>
      <c r="E269" s="3">
        <f t="shared" si="255"/>
        <v>6.4979326784240111E-3</v>
      </c>
      <c r="F269" s="3">
        <f t="shared" si="255"/>
        <v>6.4979326784240111E-3</v>
      </c>
      <c r="G269" s="3">
        <f t="shared" si="255"/>
        <v>6.4979326784240111E-3</v>
      </c>
      <c r="H269" s="3">
        <f t="shared" si="255"/>
        <v>6.4979326784240111E-3</v>
      </c>
      <c r="I269" s="3">
        <f t="shared" si="255"/>
        <v>6.4979326784240111E-3</v>
      </c>
      <c r="J269" s="3">
        <f t="shared" si="255"/>
        <v>6.4979326784240111E-3</v>
      </c>
      <c r="K269" s="3">
        <f t="shared" si="255"/>
        <v>6.4979326784240111E-3</v>
      </c>
      <c r="L269" s="3">
        <f t="shared" si="255"/>
        <v>6.4979326784240111E-3</v>
      </c>
      <c r="M269" s="3">
        <f t="shared" si="255"/>
        <v>6.4979326784240111E-3</v>
      </c>
      <c r="N269" s="3">
        <f t="shared" si="255"/>
        <v>6.4979326784240111E-3</v>
      </c>
      <c r="O269" s="3">
        <f t="shared" si="255"/>
        <v>6.4979326784240111E-3</v>
      </c>
      <c r="P269" s="3">
        <f t="shared" si="255"/>
        <v>6.4979326784240111E-3</v>
      </c>
      <c r="Q269" s="3">
        <f t="shared" si="255"/>
        <v>6.4979326784240111E-3</v>
      </c>
      <c r="R269" s="3">
        <f t="shared" si="255"/>
        <v>6.4979326784240093E-3</v>
      </c>
      <c r="S269" s="3">
        <f t="shared" si="255"/>
        <v>6.4979326784239963E-3</v>
      </c>
      <c r="T269" s="3">
        <f t="shared" si="255"/>
        <v>6.497932678423868E-3</v>
      </c>
      <c r="U269" s="3">
        <f t="shared" si="255"/>
        <v>6.4979326784225808E-3</v>
      </c>
      <c r="V269" s="3">
        <f t="shared" si="255"/>
        <v>6.4979326784097066E-3</v>
      </c>
      <c r="W269" s="3">
        <f t="shared" si="255"/>
        <v>6.4979326782809675E-3</v>
      </c>
      <c r="X269" s="3">
        <f t="shared" si="255"/>
        <v>6.4979326769935711E-3</v>
      </c>
      <c r="Y269" s="3">
        <f t="shared" si="255"/>
        <v>6.4979326641196097E-3</v>
      </c>
      <c r="Z269" s="3">
        <f t="shared" si="255"/>
        <v>6.4979325353799969E-3</v>
      </c>
      <c r="AA269" s="3">
        <f t="shared" si="255"/>
        <v>6.4979312479840051E-3</v>
      </c>
      <c r="AB269" s="3">
        <f t="shared" si="255"/>
        <v>6.4979183740381226E-3</v>
      </c>
      <c r="AC269" s="3">
        <f t="shared" si="255"/>
        <v>6.4977896359821328E-3</v>
      </c>
      <c r="AD269" s="3">
        <f t="shared" si="255"/>
        <v>6.4965023956960206E-3</v>
      </c>
      <c r="AE269" s="3">
        <f t="shared" si="255"/>
        <v>6.4836440099360574E-3</v>
      </c>
      <c r="AF269" s="3">
        <f t="shared" si="255"/>
        <v>6.3564516413228368E-3</v>
      </c>
      <c r="AG269" s="3"/>
      <c r="AH269" s="3"/>
    </row>
    <row r="270" spans="2:34" x14ac:dyDescent="0.25">
      <c r="B270" s="3">
        <f t="shared" ref="B270:AF270" si="256">$C39*EXP(-B$246/$A39/EXP(-$E$126))</f>
        <v>1.7266189453767201E-3</v>
      </c>
      <c r="C270" s="3">
        <f t="shared" si="256"/>
        <v>1.7266189453767201E-3</v>
      </c>
      <c r="D270" s="3">
        <f t="shared" si="256"/>
        <v>1.7266189453767201E-3</v>
      </c>
      <c r="E270" s="3">
        <f t="shared" si="256"/>
        <v>1.7266189453767201E-3</v>
      </c>
      <c r="F270" s="3">
        <f t="shared" si="256"/>
        <v>1.7266189453767201E-3</v>
      </c>
      <c r="G270" s="3">
        <f t="shared" si="256"/>
        <v>1.7266189453767201E-3</v>
      </c>
      <c r="H270" s="3">
        <f t="shared" si="256"/>
        <v>1.7266189453767201E-3</v>
      </c>
      <c r="I270" s="3">
        <f t="shared" si="256"/>
        <v>1.7266189453767201E-3</v>
      </c>
      <c r="J270" s="3">
        <f t="shared" si="256"/>
        <v>1.7266189453767201E-3</v>
      </c>
      <c r="K270" s="3">
        <f t="shared" si="256"/>
        <v>1.7266189453767201E-3</v>
      </c>
      <c r="L270" s="3">
        <f t="shared" si="256"/>
        <v>1.7266189453767201E-3</v>
      </c>
      <c r="M270" s="3">
        <f t="shared" si="256"/>
        <v>1.7266189453767201E-3</v>
      </c>
      <c r="N270" s="3">
        <f t="shared" si="256"/>
        <v>1.7266189453767201E-3</v>
      </c>
      <c r="O270" s="3">
        <f t="shared" si="256"/>
        <v>1.7266189453767201E-3</v>
      </c>
      <c r="P270" s="3">
        <f t="shared" si="256"/>
        <v>1.7266189453767201E-3</v>
      </c>
      <c r="Q270" s="3">
        <f t="shared" si="256"/>
        <v>1.7266189453767201E-3</v>
      </c>
      <c r="R270" s="3">
        <f t="shared" si="256"/>
        <v>1.7266189453767199E-3</v>
      </c>
      <c r="S270" s="3">
        <f t="shared" si="256"/>
        <v>1.7266189453767193E-3</v>
      </c>
      <c r="T270" s="3">
        <f t="shared" si="256"/>
        <v>1.7266189453767095E-3</v>
      </c>
      <c r="U270" s="3">
        <f t="shared" si="256"/>
        <v>1.7266189453766152E-3</v>
      </c>
      <c r="V270" s="3">
        <f t="shared" si="256"/>
        <v>1.7266189453756689E-3</v>
      </c>
      <c r="W270" s="3">
        <f t="shared" si="256"/>
        <v>1.7266189453662077E-3</v>
      </c>
      <c r="X270" s="3">
        <f t="shared" si="256"/>
        <v>1.7266189452715957E-3</v>
      </c>
      <c r="Y270" s="3">
        <f t="shared" si="256"/>
        <v>1.7266189443254753E-3</v>
      </c>
      <c r="Z270" s="3">
        <f t="shared" si="256"/>
        <v>1.7266189348642722E-3</v>
      </c>
      <c r="AA270" s="3">
        <f t="shared" si="256"/>
        <v>1.7266188402522455E-3</v>
      </c>
      <c r="AB270" s="3">
        <f t="shared" si="256"/>
        <v>1.7266178941322615E-3</v>
      </c>
      <c r="AC270" s="3">
        <f t="shared" si="256"/>
        <v>1.7266084329609366E-3</v>
      </c>
      <c r="AD270" s="3">
        <f t="shared" si="256"/>
        <v>1.7265138240990263E-3</v>
      </c>
      <c r="AE270" s="3">
        <f t="shared" si="256"/>
        <v>1.725568020556203E-3</v>
      </c>
      <c r="AF270" s="3">
        <f t="shared" si="256"/>
        <v>1.7161384350423547E-3</v>
      </c>
      <c r="AG270" s="3"/>
      <c r="AH270" s="3"/>
    </row>
    <row r="271" spans="2:34" x14ac:dyDescent="0.25">
      <c r="B271" s="3">
        <f t="shared" ref="B271:AF271" si="257">$C40*EXP(-B$246/$A40/EXP(-$E$126))</f>
        <v>4.5003340048363309E-3</v>
      </c>
      <c r="C271" s="3">
        <f t="shared" si="257"/>
        <v>4.5003340048363309E-3</v>
      </c>
      <c r="D271" s="3">
        <f t="shared" si="257"/>
        <v>4.5003340048363309E-3</v>
      </c>
      <c r="E271" s="3">
        <f t="shared" si="257"/>
        <v>4.5003340048363309E-3</v>
      </c>
      <c r="F271" s="3">
        <f t="shared" si="257"/>
        <v>4.5003340048363309E-3</v>
      </c>
      <c r="G271" s="3">
        <f t="shared" si="257"/>
        <v>4.5003340048363309E-3</v>
      </c>
      <c r="H271" s="3">
        <f t="shared" si="257"/>
        <v>4.5003340048363309E-3</v>
      </c>
      <c r="I271" s="3">
        <f t="shared" si="257"/>
        <v>4.5003340048363309E-3</v>
      </c>
      <c r="J271" s="3">
        <f t="shared" si="257"/>
        <v>4.5003340048363309E-3</v>
      </c>
      <c r="K271" s="3">
        <f t="shared" si="257"/>
        <v>4.5003340048363309E-3</v>
      </c>
      <c r="L271" s="3">
        <f t="shared" si="257"/>
        <v>4.5003340048363309E-3</v>
      </c>
      <c r="M271" s="3">
        <f t="shared" si="257"/>
        <v>4.5003340048363309E-3</v>
      </c>
      <c r="N271" s="3">
        <f t="shared" si="257"/>
        <v>4.5003340048363309E-3</v>
      </c>
      <c r="O271" s="3">
        <f t="shared" si="257"/>
        <v>4.5003340048363309E-3</v>
      </c>
      <c r="P271" s="3">
        <f t="shared" si="257"/>
        <v>4.5003340048363309E-3</v>
      </c>
      <c r="Q271" s="3">
        <f t="shared" si="257"/>
        <v>4.5003340048363309E-3</v>
      </c>
      <c r="R271" s="3">
        <f t="shared" si="257"/>
        <v>4.5003340048363309E-3</v>
      </c>
      <c r="S271" s="3">
        <f t="shared" si="257"/>
        <v>4.5003340048363301E-3</v>
      </c>
      <c r="T271" s="3">
        <f t="shared" si="257"/>
        <v>4.5003340048363283E-3</v>
      </c>
      <c r="U271" s="3">
        <f t="shared" si="257"/>
        <v>4.5003340048363032E-3</v>
      </c>
      <c r="V271" s="3">
        <f t="shared" si="257"/>
        <v>4.5003340048360568E-3</v>
      </c>
      <c r="W271" s="3">
        <f t="shared" si="257"/>
        <v>4.5003340048335909E-3</v>
      </c>
      <c r="X271" s="3">
        <f t="shared" si="257"/>
        <v>4.500334004808931E-3</v>
      </c>
      <c r="Y271" s="3">
        <f t="shared" si="257"/>
        <v>4.5003340045623296E-3</v>
      </c>
      <c r="Z271" s="3">
        <f t="shared" si="257"/>
        <v>4.5003340020963213E-3</v>
      </c>
      <c r="AA271" s="3">
        <f t="shared" si="257"/>
        <v>4.500333977436234E-3</v>
      </c>
      <c r="AB271" s="3">
        <f t="shared" si="257"/>
        <v>4.500333730835371E-3</v>
      </c>
      <c r="AC271" s="3">
        <f t="shared" si="257"/>
        <v>4.5003312648274844E-3</v>
      </c>
      <c r="AD271" s="3">
        <f t="shared" si="257"/>
        <v>4.5003066048229399E-3</v>
      </c>
      <c r="AE271" s="3">
        <f t="shared" si="257"/>
        <v>4.5000600122093509E-3</v>
      </c>
      <c r="AF271" s="3">
        <f t="shared" si="257"/>
        <v>4.4975948291085515E-3</v>
      </c>
      <c r="AG271" s="3"/>
      <c r="AH271" s="3"/>
    </row>
    <row r="272" spans="2:34" x14ac:dyDescent="0.25">
      <c r="B272" s="3">
        <f t="shared" ref="B272:AF272" si="258">$C41*EXP(-B$246/$A41/EXP(-$E$126))</f>
        <v>6.1948117203855881E-4</v>
      </c>
      <c r="C272" s="3">
        <f t="shared" si="258"/>
        <v>6.1948117203855881E-4</v>
      </c>
      <c r="D272" s="3">
        <f t="shared" si="258"/>
        <v>6.1948117203855881E-4</v>
      </c>
      <c r="E272" s="3">
        <f t="shared" si="258"/>
        <v>6.1948117203855881E-4</v>
      </c>
      <c r="F272" s="3">
        <f t="shared" si="258"/>
        <v>6.1948117203855881E-4</v>
      </c>
      <c r="G272" s="3">
        <f t="shared" si="258"/>
        <v>6.1948117203855881E-4</v>
      </c>
      <c r="H272" s="3">
        <f t="shared" si="258"/>
        <v>6.1948117203855881E-4</v>
      </c>
      <c r="I272" s="3">
        <f t="shared" si="258"/>
        <v>6.1948117203855881E-4</v>
      </c>
      <c r="J272" s="3">
        <f t="shared" si="258"/>
        <v>6.1948117203855881E-4</v>
      </c>
      <c r="K272" s="3">
        <f t="shared" si="258"/>
        <v>6.1948117203855881E-4</v>
      </c>
      <c r="L272" s="3">
        <f t="shared" si="258"/>
        <v>6.1948117203855881E-4</v>
      </c>
      <c r="M272" s="3">
        <f t="shared" si="258"/>
        <v>6.1948117203855881E-4</v>
      </c>
      <c r="N272" s="3">
        <f t="shared" si="258"/>
        <v>6.1948117203855881E-4</v>
      </c>
      <c r="O272" s="3">
        <f t="shared" si="258"/>
        <v>6.1948117203855881E-4</v>
      </c>
      <c r="P272" s="3">
        <f t="shared" si="258"/>
        <v>6.1948117203855881E-4</v>
      </c>
      <c r="Q272" s="3">
        <f t="shared" si="258"/>
        <v>6.1948117203855881E-4</v>
      </c>
      <c r="R272" s="3">
        <f t="shared" si="258"/>
        <v>6.1948117203855881E-4</v>
      </c>
      <c r="S272" s="3">
        <f t="shared" si="258"/>
        <v>6.1948117203855881E-4</v>
      </c>
      <c r="T272" s="3">
        <f t="shared" si="258"/>
        <v>6.1948117203855871E-4</v>
      </c>
      <c r="U272" s="3">
        <f t="shared" si="258"/>
        <v>6.1948117203855849E-4</v>
      </c>
      <c r="V272" s="3">
        <f t="shared" si="258"/>
        <v>6.1948117203855502E-4</v>
      </c>
      <c r="W272" s="3">
        <f t="shared" si="258"/>
        <v>6.1948117203852108E-4</v>
      </c>
      <c r="X272" s="3">
        <f t="shared" si="258"/>
        <v>6.1948117203818162E-4</v>
      </c>
      <c r="Y272" s="3">
        <f t="shared" si="258"/>
        <v>6.1948117203478709E-4</v>
      </c>
      <c r="Z272" s="3">
        <f t="shared" si="258"/>
        <v>6.1948117200084191E-4</v>
      </c>
      <c r="AA272" s="3">
        <f t="shared" si="258"/>
        <v>6.1948117166139025E-4</v>
      </c>
      <c r="AB272" s="3">
        <f t="shared" si="258"/>
        <v>6.1948116826687338E-4</v>
      </c>
      <c r="AC272" s="3">
        <f t="shared" si="258"/>
        <v>6.1948113432170584E-4</v>
      </c>
      <c r="AD272" s="3">
        <f t="shared" si="258"/>
        <v>6.194807948701332E-4</v>
      </c>
      <c r="AE272" s="3">
        <f t="shared" si="258"/>
        <v>6.194774003646362E-4</v>
      </c>
      <c r="AF272" s="3">
        <f t="shared" si="258"/>
        <v>6.1944345633267804E-4</v>
      </c>
      <c r="AG272" s="3"/>
      <c r="AH272" s="3"/>
    </row>
    <row r="273" spans="1:34" x14ac:dyDescent="0.25">
      <c r="B273" s="3">
        <f t="shared" ref="B273:AF273" si="259">$C42*EXP(-B$246/$A42/EXP(-$E$126))</f>
        <v>7.8921984991154562E-4</v>
      </c>
      <c r="C273" s="3">
        <f t="shared" si="259"/>
        <v>7.8921984991154562E-4</v>
      </c>
      <c r="D273" s="3">
        <f t="shared" si="259"/>
        <v>7.8921984991154562E-4</v>
      </c>
      <c r="E273" s="3">
        <f t="shared" si="259"/>
        <v>7.8921984991154562E-4</v>
      </c>
      <c r="F273" s="3">
        <f t="shared" si="259"/>
        <v>7.8921984991154562E-4</v>
      </c>
      <c r="G273" s="3">
        <f t="shared" si="259"/>
        <v>7.8921984991154562E-4</v>
      </c>
      <c r="H273" s="3">
        <f t="shared" si="259"/>
        <v>7.8921984991154562E-4</v>
      </c>
      <c r="I273" s="3">
        <f t="shared" si="259"/>
        <v>7.8921984991154562E-4</v>
      </c>
      <c r="J273" s="3">
        <f t="shared" si="259"/>
        <v>7.8921984991154562E-4</v>
      </c>
      <c r="K273" s="3">
        <f t="shared" si="259"/>
        <v>7.8921984991154562E-4</v>
      </c>
      <c r="L273" s="3">
        <f t="shared" si="259"/>
        <v>7.8921984991154562E-4</v>
      </c>
      <c r="M273" s="3">
        <f t="shared" si="259"/>
        <v>7.8921984991154562E-4</v>
      </c>
      <c r="N273" s="3">
        <f t="shared" si="259"/>
        <v>7.8921984991154562E-4</v>
      </c>
      <c r="O273" s="3">
        <f t="shared" si="259"/>
        <v>7.8921984991154562E-4</v>
      </c>
      <c r="P273" s="3">
        <f t="shared" si="259"/>
        <v>7.8921984991154562E-4</v>
      </c>
      <c r="Q273" s="3">
        <f t="shared" si="259"/>
        <v>7.8921984991154562E-4</v>
      </c>
      <c r="R273" s="3">
        <f t="shared" si="259"/>
        <v>7.8921984991154562E-4</v>
      </c>
      <c r="S273" s="3">
        <f t="shared" si="259"/>
        <v>7.8921984991154562E-4</v>
      </c>
      <c r="T273" s="3">
        <f t="shared" si="259"/>
        <v>7.8921984991154562E-4</v>
      </c>
      <c r="U273" s="3">
        <f t="shared" si="259"/>
        <v>7.8921984991154551E-4</v>
      </c>
      <c r="V273" s="3">
        <f t="shared" si="259"/>
        <v>7.8921984991154519E-4</v>
      </c>
      <c r="W273" s="3">
        <f t="shared" si="259"/>
        <v>7.8921984991154085E-4</v>
      </c>
      <c r="X273" s="3">
        <f t="shared" si="259"/>
        <v>7.8921984991149759E-4</v>
      </c>
      <c r="Y273" s="3">
        <f t="shared" si="259"/>
        <v>7.892198499110651E-4</v>
      </c>
      <c r="Z273" s="3">
        <f t="shared" si="259"/>
        <v>7.8921984990674044E-4</v>
      </c>
      <c r="AA273" s="3">
        <f t="shared" si="259"/>
        <v>7.8921984986349422E-4</v>
      </c>
      <c r="AB273" s="3">
        <f t="shared" si="259"/>
        <v>7.8921984943103242E-4</v>
      </c>
      <c r="AC273" s="3">
        <f t="shared" si="259"/>
        <v>7.8921984510641331E-4</v>
      </c>
      <c r="AD273" s="3">
        <f t="shared" si="259"/>
        <v>7.8921980186022402E-4</v>
      </c>
      <c r="AE273" s="3">
        <f t="shared" si="259"/>
        <v>7.8921936939846187E-4</v>
      </c>
      <c r="AF273" s="3">
        <f t="shared" si="259"/>
        <v>7.8921504479387381E-4</v>
      </c>
      <c r="AG273" s="3"/>
      <c r="AH273" s="3"/>
    </row>
    <row r="274" spans="1:34" x14ac:dyDescent="0.25">
      <c r="B274" s="3">
        <f t="shared" ref="B274:AF274" si="260">$C43*EXP(-B$246/$A43/EXP(-$E$126))</f>
        <v>3.1383864234018747E-3</v>
      </c>
      <c r="C274" s="3">
        <f t="shared" si="260"/>
        <v>3.1383864234018747E-3</v>
      </c>
      <c r="D274" s="3">
        <f t="shared" si="260"/>
        <v>3.1383864234018747E-3</v>
      </c>
      <c r="E274" s="3">
        <f t="shared" si="260"/>
        <v>3.1383864234018747E-3</v>
      </c>
      <c r="F274" s="3">
        <f t="shared" si="260"/>
        <v>3.1383864234018747E-3</v>
      </c>
      <c r="G274" s="3">
        <f t="shared" si="260"/>
        <v>3.1383864234018747E-3</v>
      </c>
      <c r="H274" s="3">
        <f t="shared" si="260"/>
        <v>3.1383864234018747E-3</v>
      </c>
      <c r="I274" s="3">
        <f t="shared" si="260"/>
        <v>3.1383864234018747E-3</v>
      </c>
      <c r="J274" s="3">
        <f t="shared" si="260"/>
        <v>3.1383864234018747E-3</v>
      </c>
      <c r="K274" s="3">
        <f t="shared" si="260"/>
        <v>3.1383864234018747E-3</v>
      </c>
      <c r="L274" s="3">
        <f t="shared" si="260"/>
        <v>3.1383864234018747E-3</v>
      </c>
      <c r="M274" s="3">
        <f t="shared" si="260"/>
        <v>3.1383864234018747E-3</v>
      </c>
      <c r="N274" s="3">
        <f t="shared" si="260"/>
        <v>3.1383864234018747E-3</v>
      </c>
      <c r="O274" s="3">
        <f t="shared" si="260"/>
        <v>3.1383864234018747E-3</v>
      </c>
      <c r="P274" s="3">
        <f t="shared" si="260"/>
        <v>3.1383864234018747E-3</v>
      </c>
      <c r="Q274" s="3">
        <f t="shared" si="260"/>
        <v>3.1383864234018747E-3</v>
      </c>
      <c r="R274" s="3">
        <f t="shared" si="260"/>
        <v>3.1383864234018747E-3</v>
      </c>
      <c r="S274" s="3">
        <f t="shared" si="260"/>
        <v>3.1383864234018747E-3</v>
      </c>
      <c r="T274" s="3">
        <f t="shared" si="260"/>
        <v>3.1383864234018747E-3</v>
      </c>
      <c r="U274" s="3">
        <f t="shared" si="260"/>
        <v>3.1383864234018747E-3</v>
      </c>
      <c r="V274" s="3">
        <f t="shared" si="260"/>
        <v>3.1383864234018743E-3</v>
      </c>
      <c r="W274" s="3">
        <f t="shared" si="260"/>
        <v>3.138386423401873E-3</v>
      </c>
      <c r="X274" s="3">
        <f t="shared" si="260"/>
        <v>3.1383864234018556E-3</v>
      </c>
      <c r="Y274" s="3">
        <f t="shared" si="260"/>
        <v>3.1383864234016839E-3</v>
      </c>
      <c r="Z274" s="3">
        <f t="shared" si="260"/>
        <v>3.1383864233999639E-3</v>
      </c>
      <c r="AA274" s="3">
        <f t="shared" si="260"/>
        <v>3.1383864233827667E-3</v>
      </c>
      <c r="AB274" s="3">
        <f t="shared" si="260"/>
        <v>3.1383864232107954E-3</v>
      </c>
      <c r="AC274" s="3">
        <f t="shared" si="260"/>
        <v>3.1383864214910811E-3</v>
      </c>
      <c r="AD274" s="3">
        <f t="shared" si="260"/>
        <v>3.138386404293939E-3</v>
      </c>
      <c r="AE274" s="3">
        <f t="shared" si="260"/>
        <v>3.1383862323225258E-3</v>
      </c>
      <c r="AF274" s="3">
        <f t="shared" si="260"/>
        <v>3.1383845126089082E-3</v>
      </c>
      <c r="AG274" s="3"/>
      <c r="AH274" s="3"/>
    </row>
    <row r="275" spans="1:34" x14ac:dyDescent="0.25">
      <c r="B275" s="3">
        <f t="shared" ref="B275:AF275" si="261">$C44*EXP(-B$246/$A44/EXP(-$E$126))</f>
        <v>4.3963079363277776E-4</v>
      </c>
      <c r="C275" s="3">
        <f t="shared" si="261"/>
        <v>4.3963079363277776E-4</v>
      </c>
      <c r="D275" s="3">
        <f t="shared" si="261"/>
        <v>4.3963079363277776E-4</v>
      </c>
      <c r="E275" s="3">
        <f t="shared" si="261"/>
        <v>4.3963079363277776E-4</v>
      </c>
      <c r="F275" s="3">
        <f t="shared" si="261"/>
        <v>4.3963079363277776E-4</v>
      </c>
      <c r="G275" s="3">
        <f t="shared" si="261"/>
        <v>4.3963079363277776E-4</v>
      </c>
      <c r="H275" s="3">
        <f t="shared" si="261"/>
        <v>4.3963079363277776E-4</v>
      </c>
      <c r="I275" s="3">
        <f t="shared" si="261"/>
        <v>4.3963079363277776E-4</v>
      </c>
      <c r="J275" s="3">
        <f t="shared" si="261"/>
        <v>4.3963079363277776E-4</v>
      </c>
      <c r="K275" s="3">
        <f t="shared" si="261"/>
        <v>4.3963079363277776E-4</v>
      </c>
      <c r="L275" s="3">
        <f t="shared" si="261"/>
        <v>4.3963079363277776E-4</v>
      </c>
      <c r="M275" s="3">
        <f t="shared" si="261"/>
        <v>4.3963079363277776E-4</v>
      </c>
      <c r="N275" s="3">
        <f t="shared" si="261"/>
        <v>4.3963079363277776E-4</v>
      </c>
      <c r="O275" s="3">
        <f t="shared" si="261"/>
        <v>4.3963079363277776E-4</v>
      </c>
      <c r="P275" s="3">
        <f t="shared" si="261"/>
        <v>4.3963079363277776E-4</v>
      </c>
      <c r="Q275" s="3">
        <f t="shared" si="261"/>
        <v>4.3963079363277776E-4</v>
      </c>
      <c r="R275" s="3">
        <f t="shared" si="261"/>
        <v>4.3963079363277776E-4</v>
      </c>
      <c r="S275" s="3">
        <f t="shared" si="261"/>
        <v>4.3963079363277776E-4</v>
      </c>
      <c r="T275" s="3">
        <f t="shared" si="261"/>
        <v>4.3963079363277776E-4</v>
      </c>
      <c r="U275" s="3">
        <f t="shared" si="261"/>
        <v>4.3963079363277776E-4</v>
      </c>
      <c r="V275" s="3">
        <f t="shared" si="261"/>
        <v>4.3963079363277776E-4</v>
      </c>
      <c r="W275" s="3">
        <f t="shared" si="261"/>
        <v>4.396307936327777E-4</v>
      </c>
      <c r="X275" s="3">
        <f t="shared" si="261"/>
        <v>4.3963079363277749E-4</v>
      </c>
      <c r="Y275" s="3">
        <f t="shared" si="261"/>
        <v>4.3963079363277505E-4</v>
      </c>
      <c r="Z275" s="3">
        <f t="shared" si="261"/>
        <v>4.3963079363275103E-4</v>
      </c>
      <c r="AA275" s="3">
        <f t="shared" si="261"/>
        <v>4.3963079363251007E-4</v>
      </c>
      <c r="AB275" s="3">
        <f t="shared" si="261"/>
        <v>4.3963079363010108E-4</v>
      </c>
      <c r="AC275" s="3">
        <f t="shared" si="261"/>
        <v>4.3963079360601098E-4</v>
      </c>
      <c r="AD275" s="3">
        <f t="shared" si="261"/>
        <v>4.3963079336511036E-4</v>
      </c>
      <c r="AE275" s="3">
        <f t="shared" si="261"/>
        <v>4.3963079095610393E-4</v>
      </c>
      <c r="AF275" s="3">
        <f t="shared" si="261"/>
        <v>4.3963076686604017E-4</v>
      </c>
      <c r="AG275" s="3"/>
      <c r="AH275" s="3"/>
    </row>
    <row r="276" spans="1:34" x14ac:dyDescent="0.25">
      <c r="B276" s="3">
        <f t="shared" ref="B276:AF276" si="262">$C45*EXP(-B$246/$A45/EXP(-$E$126))</f>
        <v>3.9367491924485783E-5</v>
      </c>
      <c r="C276" s="3">
        <f t="shared" si="262"/>
        <v>3.9367491924485783E-5</v>
      </c>
      <c r="D276" s="3">
        <f t="shared" si="262"/>
        <v>3.9367491924485783E-5</v>
      </c>
      <c r="E276" s="3">
        <f t="shared" si="262"/>
        <v>3.9367491924485783E-5</v>
      </c>
      <c r="F276" s="3">
        <f t="shared" si="262"/>
        <v>3.9367491924485783E-5</v>
      </c>
      <c r="G276" s="3">
        <f t="shared" si="262"/>
        <v>3.9367491924485783E-5</v>
      </c>
      <c r="H276" s="3">
        <f t="shared" si="262"/>
        <v>3.9367491924485783E-5</v>
      </c>
      <c r="I276" s="3">
        <f t="shared" si="262"/>
        <v>3.9367491924485783E-5</v>
      </c>
      <c r="J276" s="3">
        <f t="shared" si="262"/>
        <v>3.9367491924485783E-5</v>
      </c>
      <c r="K276" s="3">
        <f t="shared" si="262"/>
        <v>3.9367491924485783E-5</v>
      </c>
      <c r="L276" s="3">
        <f t="shared" si="262"/>
        <v>3.9367491924485783E-5</v>
      </c>
      <c r="M276" s="3">
        <f t="shared" si="262"/>
        <v>3.9367491924485783E-5</v>
      </c>
      <c r="N276" s="3">
        <f t="shared" si="262"/>
        <v>3.9367491924485783E-5</v>
      </c>
      <c r="O276" s="3">
        <f t="shared" si="262"/>
        <v>3.9367491924485783E-5</v>
      </c>
      <c r="P276" s="3">
        <f t="shared" si="262"/>
        <v>3.9367491924485783E-5</v>
      </c>
      <c r="Q276" s="3">
        <f t="shared" si="262"/>
        <v>3.9367491924485783E-5</v>
      </c>
      <c r="R276" s="3">
        <f t="shared" si="262"/>
        <v>3.9367491924485783E-5</v>
      </c>
      <c r="S276" s="3">
        <f t="shared" si="262"/>
        <v>3.9367491924485783E-5</v>
      </c>
      <c r="T276" s="3">
        <f t="shared" si="262"/>
        <v>3.9367491924485783E-5</v>
      </c>
      <c r="U276" s="3">
        <f t="shared" si="262"/>
        <v>3.9367491924485783E-5</v>
      </c>
      <c r="V276" s="3">
        <f t="shared" si="262"/>
        <v>3.9367491924485783E-5</v>
      </c>
      <c r="W276" s="3">
        <f t="shared" si="262"/>
        <v>3.9367491924485783E-5</v>
      </c>
      <c r="X276" s="3">
        <f t="shared" si="262"/>
        <v>3.9367491924485776E-5</v>
      </c>
      <c r="Y276" s="3">
        <f t="shared" si="262"/>
        <v>3.9367491924485763E-5</v>
      </c>
      <c r="Z276" s="3">
        <f t="shared" si="262"/>
        <v>3.9367491924485546E-5</v>
      </c>
      <c r="AA276" s="3">
        <f t="shared" si="262"/>
        <v>3.9367491924483391E-5</v>
      </c>
      <c r="AB276" s="3">
        <f t="shared" si="262"/>
        <v>3.9367491924461815E-5</v>
      </c>
      <c r="AC276" s="3">
        <f t="shared" si="262"/>
        <v>3.9367491924246093E-5</v>
      </c>
      <c r="AD276" s="3">
        <f t="shared" si="262"/>
        <v>3.936749192208891E-5</v>
      </c>
      <c r="AE276" s="3">
        <f t="shared" si="262"/>
        <v>3.9367491900517048E-5</v>
      </c>
      <c r="AF276" s="3">
        <f t="shared" si="262"/>
        <v>3.9367491684798444E-5</v>
      </c>
      <c r="AG276" s="3"/>
      <c r="AH276" s="3"/>
    </row>
    <row r="277" spans="1:34" x14ac:dyDescent="0.25">
      <c r="B277" s="3">
        <f t="shared" ref="B277:AF277" si="263">$C46*EXP(-B$246/$A46/EXP(-$E$126))</f>
        <v>2.469113716916911E-6</v>
      </c>
      <c r="C277" s="3">
        <f t="shared" si="263"/>
        <v>2.469113716916911E-6</v>
      </c>
      <c r="D277" s="3">
        <f t="shared" si="263"/>
        <v>2.469113716916911E-6</v>
      </c>
      <c r="E277" s="3">
        <f t="shared" si="263"/>
        <v>2.469113716916911E-6</v>
      </c>
      <c r="F277" s="3">
        <f t="shared" si="263"/>
        <v>2.469113716916911E-6</v>
      </c>
      <c r="G277" s="3">
        <f t="shared" si="263"/>
        <v>2.469113716916911E-6</v>
      </c>
      <c r="H277" s="3">
        <f t="shared" si="263"/>
        <v>2.469113716916911E-6</v>
      </c>
      <c r="I277" s="3">
        <f t="shared" si="263"/>
        <v>2.469113716916911E-6</v>
      </c>
      <c r="J277" s="3">
        <f t="shared" si="263"/>
        <v>2.469113716916911E-6</v>
      </c>
      <c r="K277" s="3">
        <f t="shared" si="263"/>
        <v>2.469113716916911E-6</v>
      </c>
      <c r="L277" s="3">
        <f t="shared" si="263"/>
        <v>2.469113716916911E-6</v>
      </c>
      <c r="M277" s="3">
        <f t="shared" si="263"/>
        <v>2.469113716916911E-6</v>
      </c>
      <c r="N277" s="3">
        <f t="shared" si="263"/>
        <v>2.469113716916911E-6</v>
      </c>
      <c r="O277" s="3">
        <f t="shared" si="263"/>
        <v>2.469113716916911E-6</v>
      </c>
      <c r="P277" s="3">
        <f t="shared" si="263"/>
        <v>2.469113716916911E-6</v>
      </c>
      <c r="Q277" s="3">
        <f t="shared" si="263"/>
        <v>2.469113716916911E-6</v>
      </c>
      <c r="R277" s="3">
        <f t="shared" si="263"/>
        <v>2.469113716916911E-6</v>
      </c>
      <c r="S277" s="3">
        <f t="shared" si="263"/>
        <v>2.469113716916911E-6</v>
      </c>
      <c r="T277" s="3">
        <f t="shared" si="263"/>
        <v>2.469113716916911E-6</v>
      </c>
      <c r="U277" s="3">
        <f t="shared" si="263"/>
        <v>2.469113716916911E-6</v>
      </c>
      <c r="V277" s="3">
        <f t="shared" si="263"/>
        <v>2.469113716916911E-6</v>
      </c>
      <c r="W277" s="3">
        <f t="shared" si="263"/>
        <v>2.469113716916911E-6</v>
      </c>
      <c r="X277" s="3">
        <f t="shared" si="263"/>
        <v>2.469113716916911E-6</v>
      </c>
      <c r="Y277" s="3">
        <f t="shared" si="263"/>
        <v>2.4691137169169106E-6</v>
      </c>
      <c r="Z277" s="3">
        <f t="shared" si="263"/>
        <v>2.4691137169169098E-6</v>
      </c>
      <c r="AA277" s="3">
        <f t="shared" si="263"/>
        <v>2.4691137169168958E-6</v>
      </c>
      <c r="AB277" s="3">
        <f t="shared" si="263"/>
        <v>2.4691137169167607E-6</v>
      </c>
      <c r="AC277" s="3">
        <f t="shared" si="263"/>
        <v>2.4691137169154076E-6</v>
      </c>
      <c r="AD277" s="3">
        <f t="shared" si="263"/>
        <v>2.4691137169018779E-6</v>
      </c>
      <c r="AE277" s="3">
        <f t="shared" si="263"/>
        <v>2.4691137167665801E-6</v>
      </c>
      <c r="AF277" s="3">
        <f t="shared" si="263"/>
        <v>2.4691137154136012E-6</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80">
        <f>AVERAGE(B280:AF280)</f>
        <v>2.4004629911625788E-2</v>
      </c>
      <c r="B280" s="81">
        <f>IF($D$61&lt;=B246,IF($E$61&gt;=B246,ABS((B248-B247)/B247),0),0)</f>
        <v>9.9749012661218186E-4</v>
      </c>
      <c r="C280" s="81">
        <f t="shared" ref="C280:AF280" si="266">IF($D$61&lt;=C246,IF($E$61&gt;=C246,ABS((C248-C247)/C247),0),0)</f>
        <v>1.1655945325423664E-3</v>
      </c>
      <c r="D280" s="81">
        <f t="shared" si="266"/>
        <v>2.8455622695808145E-3</v>
      </c>
      <c r="E280" s="81">
        <f t="shared" si="266"/>
        <v>1.6611883939199826E-2</v>
      </c>
      <c r="F280" s="81">
        <f t="shared" si="266"/>
        <v>3.6411521718859176E-2</v>
      </c>
      <c r="G280" s="81">
        <f t="shared" si="266"/>
        <v>2.4578947260181731E-2</v>
      </c>
      <c r="H280" s="81">
        <f t="shared" si="266"/>
        <v>0.11951683409384498</v>
      </c>
      <c r="I280" s="81">
        <f t="shared" si="266"/>
        <v>9.8609074089061319E-2</v>
      </c>
      <c r="J280" s="81">
        <f t="shared" si="266"/>
        <v>7.4775953396742131E-2</v>
      </c>
      <c r="K280" s="81">
        <f t="shared" si="266"/>
        <v>4.6549409183824136E-2</v>
      </c>
      <c r="L280" s="81">
        <f t="shared" si="266"/>
        <v>1.5101225651429051E-2</v>
      </c>
      <c r="M280" s="81">
        <f t="shared" si="266"/>
        <v>1.0542278251275182E-2</v>
      </c>
      <c r="N280" s="81">
        <f t="shared" si="266"/>
        <v>5.7357517843634959E-3</v>
      </c>
      <c r="O280" s="81">
        <f t="shared" si="266"/>
        <v>7.4514770195045271E-3</v>
      </c>
      <c r="P280" s="81">
        <f t="shared" si="266"/>
        <v>6.4659531496250233E-3</v>
      </c>
      <c r="Q280" s="81">
        <f t="shared" si="266"/>
        <v>5.7200577698306564E-3</v>
      </c>
      <c r="R280" s="81">
        <f t="shared" si="266"/>
        <v>2.5518985796347481E-3</v>
      </c>
      <c r="S280" s="81">
        <f t="shared" si="266"/>
        <v>4.5004932109908857E-3</v>
      </c>
      <c r="T280" s="81">
        <f t="shared" si="266"/>
        <v>1.9260859549647083E-2</v>
      </c>
      <c r="U280" s="81">
        <f t="shared" si="266"/>
        <v>3.3001296428562948E-2</v>
      </c>
      <c r="V280" s="81">
        <f t="shared" si="266"/>
        <v>4.4771242379751157E-2</v>
      </c>
      <c r="W280" s="81">
        <f t="shared" si="266"/>
        <v>5.1925810226936868E-2</v>
      </c>
      <c r="X280" s="81">
        <f t="shared" si="266"/>
        <v>5.7008763464953642E-2</v>
      </c>
      <c r="Y280" s="81">
        <f t="shared" si="266"/>
        <v>5.8044149183445561E-2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31.298237429649902</v>
      </c>
      <c r="C281" s="21">
        <f t="shared" ref="C281:AF281" si="267">(C248-C247)^2</f>
        <v>42.721109325186511</v>
      </c>
      <c r="D281" s="21">
        <f t="shared" si="267"/>
        <v>253.70819269981826</v>
      </c>
      <c r="E281" s="21">
        <f t="shared" si="267"/>
        <v>8395.8902457531312</v>
      </c>
      <c r="F281" s="21">
        <f t="shared" si="267"/>
        <v>38010.546015613108</v>
      </c>
      <c r="G281" s="21">
        <f t="shared" si="267"/>
        <v>16606.825810682429</v>
      </c>
      <c r="H281" s="21">
        <f t="shared" si="267"/>
        <v>376462.84452469199</v>
      </c>
      <c r="I281" s="21">
        <f t="shared" si="267"/>
        <v>244249.89126717838</v>
      </c>
      <c r="J281" s="21">
        <f t="shared" si="267"/>
        <v>133305.50925367777</v>
      </c>
      <c r="K281" s="21">
        <f t="shared" si="267"/>
        <v>48636.269125364815</v>
      </c>
      <c r="L281" s="21">
        <f t="shared" si="267"/>
        <v>4787.1661720666916</v>
      </c>
      <c r="M281" s="21">
        <f t="shared" si="267"/>
        <v>2174.0752104340741</v>
      </c>
      <c r="N281" s="21">
        <f t="shared" si="267"/>
        <v>599.96272508610446</v>
      </c>
      <c r="O281" s="21">
        <f t="shared" si="267"/>
        <v>935.60890409126398</v>
      </c>
      <c r="P281" s="21">
        <f t="shared" si="267"/>
        <v>637.27420728595609</v>
      </c>
      <c r="Q281" s="21">
        <f t="shared" si="267"/>
        <v>445.34739064913362</v>
      </c>
      <c r="R281" s="21">
        <f t="shared" si="267"/>
        <v>79.585725103109411</v>
      </c>
      <c r="S281" s="21">
        <f t="shared" si="267"/>
        <v>221.62740939932365</v>
      </c>
      <c r="T281" s="21">
        <f t="shared" si="267"/>
        <v>3573.8474561928124</v>
      </c>
      <c r="U281" s="21">
        <f t="shared" si="267"/>
        <v>9232.7029362707108</v>
      </c>
      <c r="V281" s="21">
        <f t="shared" si="267"/>
        <v>14930.530936562338</v>
      </c>
      <c r="W281" s="21">
        <f t="shared" si="267"/>
        <v>17542.611936777601</v>
      </c>
      <c r="X281" s="21">
        <f t="shared" si="267"/>
        <v>18072.732219461053</v>
      </c>
      <c r="Y281" s="21">
        <f t="shared" si="267"/>
        <v>15693.367816267815</v>
      </c>
      <c r="Z281" s="21">
        <f t="shared" si="267"/>
        <v>11464.564263741991</v>
      </c>
      <c r="AA281" s="21">
        <f t="shared" si="267"/>
        <v>5196.7352107718634</v>
      </c>
      <c r="AB281" s="21">
        <f t="shared" si="267"/>
        <v>945.62101317113138</v>
      </c>
      <c r="AC281" s="21">
        <f t="shared" si="267"/>
        <v>0.55804589048991948</v>
      </c>
      <c r="AD281" s="21">
        <f t="shared" si="267"/>
        <v>164.25538953242179</v>
      </c>
      <c r="AE281" s="21">
        <f t="shared" si="267"/>
        <v>154.83724933397306</v>
      </c>
      <c r="AF281" s="21">
        <f t="shared" si="267"/>
        <v>28.224579855743414</v>
      </c>
      <c r="AG281" s="3"/>
      <c r="AH281" s="3"/>
    </row>
    <row r="282" spans="1:34" s="3" customFormat="1" x14ac:dyDescent="0.25">
      <c r="A282" s="72">
        <f>SUM(B282:AF282)</f>
        <v>954921.94482806441</v>
      </c>
      <c r="B282" s="21">
        <f>IF($D$61&lt;=B246,IF($E$61&gt;=B246,ABS(B281),0),0)</f>
        <v>31.298237429649902</v>
      </c>
      <c r="C282" s="21">
        <f t="shared" ref="C282:AF282" si="268">IF($D$61&lt;=C246,IF($E$61&gt;=C246,ABS(C281),0),0)</f>
        <v>42.721109325186511</v>
      </c>
      <c r="D282" s="21">
        <f t="shared" si="268"/>
        <v>253.70819269981826</v>
      </c>
      <c r="E282" s="21">
        <f t="shared" si="268"/>
        <v>8395.8902457531312</v>
      </c>
      <c r="F282" s="21">
        <f t="shared" si="268"/>
        <v>38010.546015613108</v>
      </c>
      <c r="G282" s="21">
        <f t="shared" si="268"/>
        <v>16606.825810682429</v>
      </c>
      <c r="H282" s="21">
        <f t="shared" si="268"/>
        <v>376462.84452469199</v>
      </c>
      <c r="I282" s="21">
        <f t="shared" si="268"/>
        <v>244249.89126717838</v>
      </c>
      <c r="J282" s="21">
        <f t="shared" si="268"/>
        <v>133305.50925367777</v>
      </c>
      <c r="K282" s="21">
        <f t="shared" si="268"/>
        <v>48636.269125364815</v>
      </c>
      <c r="L282" s="21">
        <f t="shared" si="268"/>
        <v>4787.1661720666916</v>
      </c>
      <c r="M282" s="21">
        <f t="shared" si="268"/>
        <v>2174.0752104340741</v>
      </c>
      <c r="N282" s="21">
        <f t="shared" si="268"/>
        <v>599.96272508610446</v>
      </c>
      <c r="O282" s="21">
        <f t="shared" si="268"/>
        <v>935.60890409126398</v>
      </c>
      <c r="P282" s="21">
        <f t="shared" si="268"/>
        <v>637.27420728595609</v>
      </c>
      <c r="Q282" s="21">
        <f t="shared" si="268"/>
        <v>445.34739064913362</v>
      </c>
      <c r="R282" s="21">
        <f t="shared" si="268"/>
        <v>79.585725103109411</v>
      </c>
      <c r="S282" s="21">
        <f t="shared" si="268"/>
        <v>221.62740939932365</v>
      </c>
      <c r="T282" s="21">
        <f t="shared" si="268"/>
        <v>3573.8474561928124</v>
      </c>
      <c r="U282" s="21">
        <f t="shared" si="268"/>
        <v>9232.7029362707108</v>
      </c>
      <c r="V282" s="21">
        <f t="shared" si="268"/>
        <v>14930.530936562338</v>
      </c>
      <c r="W282" s="21">
        <f t="shared" si="268"/>
        <v>17542.611936777601</v>
      </c>
      <c r="X282" s="21">
        <f t="shared" si="268"/>
        <v>18072.732219461053</v>
      </c>
      <c r="Y282" s="21">
        <f t="shared" si="268"/>
        <v>15693.367816267815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5607.0805507443374</v>
      </c>
      <c r="C287" s="27">
        <f t="shared" ref="C287:AF287" si="269">($C$17+SUM(C288:C318))*$B$51</f>
        <v>5545.3814457311619</v>
      </c>
      <c r="D287" s="27">
        <f t="shared" si="269"/>
        <v>5091.3461947087162</v>
      </c>
      <c r="E287" s="27">
        <f t="shared" si="269"/>
        <v>4519.3492696251333</v>
      </c>
      <c r="F287" s="27">
        <f t="shared" si="269"/>
        <v>4517.659124012358</v>
      </c>
      <c r="G287" s="27">
        <f t="shared" si="269"/>
        <v>4517.609444235326</v>
      </c>
      <c r="H287" s="27">
        <f t="shared" si="269"/>
        <v>4517.1130393778994</v>
      </c>
      <c r="I287" s="27">
        <f t="shared" si="269"/>
        <v>4512.188066471148</v>
      </c>
      <c r="J287" s="27">
        <f t="shared" si="269"/>
        <v>4466.6389428890307</v>
      </c>
      <c r="K287" s="27">
        <f t="shared" si="269"/>
        <v>4238.394295555996</v>
      </c>
      <c r="L287" s="27">
        <f t="shared" si="269"/>
        <v>4069.8795029006114</v>
      </c>
      <c r="M287" s="27">
        <f t="shared" si="269"/>
        <v>3872.1826406395408</v>
      </c>
      <c r="N287" s="27">
        <f t="shared" si="269"/>
        <v>3662.1026650553749</v>
      </c>
      <c r="O287" s="27">
        <f t="shared" si="269"/>
        <v>3481.9227453100443</v>
      </c>
      <c r="P287" s="27">
        <f t="shared" si="269"/>
        <v>3317.9758821801743</v>
      </c>
      <c r="Q287" s="27">
        <f t="shared" si="269"/>
        <v>3159.0566858535653</v>
      </c>
      <c r="R287" s="27">
        <f t="shared" si="269"/>
        <v>3003.3404326534683</v>
      </c>
      <c r="S287" s="27">
        <f t="shared" si="269"/>
        <v>2847.1289700904581</v>
      </c>
      <c r="T287" s="27">
        <f t="shared" si="269"/>
        <v>2678.3627410806771</v>
      </c>
      <c r="U287" s="27">
        <f t="shared" si="269"/>
        <v>2487.5317433793421</v>
      </c>
      <c r="V287" s="27">
        <f t="shared" si="269"/>
        <v>2278.0462377191448</v>
      </c>
      <c r="W287" s="27">
        <f t="shared" si="269"/>
        <v>2040.3193967573288</v>
      </c>
      <c r="X287" s="27">
        <f t="shared" si="269"/>
        <v>1762.1242408739377</v>
      </c>
      <c r="Y287" s="27">
        <f t="shared" si="269"/>
        <v>1440.3498484280956</v>
      </c>
      <c r="Z287" s="27">
        <f t="shared" si="269"/>
        <v>1099.4955583262772</v>
      </c>
      <c r="AA287" s="27">
        <f t="shared" si="269"/>
        <v>786.56988787211685</v>
      </c>
      <c r="AB287" s="27">
        <f t="shared" si="269"/>
        <v>548.59462135206707</v>
      </c>
      <c r="AC287" s="27">
        <f t="shared" si="269"/>
        <v>400.4181960281677</v>
      </c>
      <c r="AD287" s="27">
        <f t="shared" si="269"/>
        <v>322.85815551068981</v>
      </c>
      <c r="AE287" s="27">
        <f t="shared" si="269"/>
        <v>285.57142210938559</v>
      </c>
      <c r="AF287" s="27">
        <f t="shared" si="269"/>
        <v>266.31466107234047</v>
      </c>
      <c r="AG287" s="27"/>
      <c r="AH287" s="27"/>
    </row>
    <row r="288" spans="1:34" x14ac:dyDescent="0.25">
      <c r="B288" s="3">
        <f t="shared" ref="B288:AF288" si="270">$C18*EXP(-B$285/$A18/EXP(-$F$126))</f>
        <v>0.1940478666504106</v>
      </c>
      <c r="C288" s="3">
        <f t="shared" si="270"/>
        <v>0.18305796035065661</v>
      </c>
      <c r="D288" s="3">
        <f t="shared" si="270"/>
        <v>0.10218474962508822</v>
      </c>
      <c r="E288" s="3">
        <f t="shared" si="270"/>
        <v>3.0016548011212142E-4</v>
      </c>
      <c r="F288" s="3">
        <f t="shared" si="270"/>
        <v>1.4358443079273261E-29</v>
      </c>
      <c r="G288" s="3">
        <f t="shared" si="270"/>
        <v>9.0068598021199732E-283</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5.6906652355429271E-2</v>
      </c>
      <c r="C289" s="3">
        <f t="shared" si="271"/>
        <v>5.6906651505566744E-2</v>
      </c>
      <c r="D289" s="3">
        <f t="shared" si="271"/>
        <v>5.6906643006942141E-2</v>
      </c>
      <c r="E289" s="3">
        <f t="shared" si="271"/>
        <v>5.690655802076594E-2</v>
      </c>
      <c r="F289" s="3">
        <f t="shared" si="271"/>
        <v>5.6905708165984524E-2</v>
      </c>
      <c r="G289" s="3">
        <f t="shared" si="271"/>
        <v>5.6897210316194345E-2</v>
      </c>
      <c r="H289" s="3">
        <f t="shared" si="271"/>
        <v>5.6812301582137757E-2</v>
      </c>
      <c r="I289" s="3">
        <f t="shared" si="271"/>
        <v>5.5970152230188641E-2</v>
      </c>
      <c r="J289" s="3">
        <f t="shared" si="271"/>
        <v>4.820560429614245E-2</v>
      </c>
      <c r="K289" s="3">
        <f t="shared" si="271"/>
        <v>1.0826995714258594E-2</v>
      </c>
      <c r="L289" s="3">
        <f t="shared" si="271"/>
        <v>3.5368146346409717E-9</v>
      </c>
      <c r="M289" s="3">
        <f t="shared" si="271"/>
        <v>4.8939061819318516E-74</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2.1914760339334413E-2</v>
      </c>
      <c r="C290" s="3">
        <f t="shared" si="272"/>
        <v>2.1914760309810835E-2</v>
      </c>
      <c r="D290" s="3">
        <f t="shared" si="272"/>
        <v>2.1914760014575076E-2</v>
      </c>
      <c r="E290" s="3">
        <f t="shared" si="272"/>
        <v>2.1914757062217693E-2</v>
      </c>
      <c r="F290" s="3">
        <f t="shared" si="272"/>
        <v>2.1914727538665739E-2</v>
      </c>
      <c r="G290" s="3">
        <f t="shared" si="272"/>
        <v>2.191443230533377E-2</v>
      </c>
      <c r="H290" s="3">
        <f t="shared" si="272"/>
        <v>2.1911480190759922E-2</v>
      </c>
      <c r="I290" s="3">
        <f t="shared" si="272"/>
        <v>2.1881980908707445E-2</v>
      </c>
      <c r="J290" s="3">
        <f t="shared" si="272"/>
        <v>2.1589163597679997E-2</v>
      </c>
      <c r="K290" s="3">
        <f t="shared" si="272"/>
        <v>1.8868077119651903E-2</v>
      </c>
      <c r="L290" s="3">
        <f t="shared" si="272"/>
        <v>4.9050777546597278E-3</v>
      </c>
      <c r="M290" s="3">
        <f t="shared" si="272"/>
        <v>6.9155771542191312E-9</v>
      </c>
      <c r="N290" s="3">
        <f t="shared" si="272"/>
        <v>2.1461188974535774E-67</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4.2179983982388591E-2</v>
      </c>
      <c r="C291" s="3">
        <f t="shared" si="273"/>
        <v>4.2179983977262511E-2</v>
      </c>
      <c r="D291" s="3">
        <f t="shared" si="273"/>
        <v>4.2179983926001731E-2</v>
      </c>
      <c r="E291" s="3">
        <f t="shared" si="273"/>
        <v>4.21799834133939E-2</v>
      </c>
      <c r="F291" s="3">
        <f t="shared" si="273"/>
        <v>4.2179978287315942E-2</v>
      </c>
      <c r="G291" s="3">
        <f t="shared" si="273"/>
        <v>4.2179927026570585E-2</v>
      </c>
      <c r="H291" s="3">
        <f t="shared" si="273"/>
        <v>4.2179414422543367E-2</v>
      </c>
      <c r="I291" s="3">
        <f t="shared" si="273"/>
        <v>4.2174288724885121E-2</v>
      </c>
      <c r="J291" s="3">
        <f t="shared" si="273"/>
        <v>4.212306599429827E-2</v>
      </c>
      <c r="K291" s="3">
        <f t="shared" si="273"/>
        <v>4.1614247938992599E-2</v>
      </c>
      <c r="L291" s="3">
        <f t="shared" si="273"/>
        <v>3.6852148237077484E-2</v>
      </c>
      <c r="M291" s="3">
        <f t="shared" si="273"/>
        <v>1.093126442595348E-2</v>
      </c>
      <c r="N291" s="3">
        <f t="shared" si="273"/>
        <v>5.7642964142765442E-8</v>
      </c>
      <c r="O291" s="3">
        <f t="shared" si="273"/>
        <v>9.5830853835973177E-61</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3.9494315481247884E-2</v>
      </c>
      <c r="C292" s="3">
        <f t="shared" si="274"/>
        <v>3.9494315480814911E-2</v>
      </c>
      <c r="D292" s="3">
        <f t="shared" si="274"/>
        <v>3.9494315476485187E-2</v>
      </c>
      <c r="E292" s="3">
        <f t="shared" si="274"/>
        <v>3.9494315433187967E-2</v>
      </c>
      <c r="F292" s="3">
        <f t="shared" si="274"/>
        <v>3.9494315000215774E-2</v>
      </c>
      <c r="G292" s="3">
        <f t="shared" si="274"/>
        <v>3.9494310670494082E-2</v>
      </c>
      <c r="H292" s="3">
        <f t="shared" si="274"/>
        <v>3.9494267373303249E-2</v>
      </c>
      <c r="I292" s="3">
        <f t="shared" si="274"/>
        <v>3.9493834404005619E-2</v>
      </c>
      <c r="J292" s="3">
        <f t="shared" si="274"/>
        <v>3.9489504972082173E-2</v>
      </c>
      <c r="K292" s="3">
        <f t="shared" si="274"/>
        <v>3.9446236747553279E-2</v>
      </c>
      <c r="L292" s="3">
        <f t="shared" si="274"/>
        <v>3.9016153419063608E-2</v>
      </c>
      <c r="M292" s="3">
        <f t="shared" si="274"/>
        <v>3.4964971950041446E-2</v>
      </c>
      <c r="N292" s="3">
        <f t="shared" si="274"/>
        <v>1.1682089326488005E-2</v>
      </c>
      <c r="O292" s="3">
        <f t="shared" si="274"/>
        <v>2.0248549042428522E-7</v>
      </c>
      <c r="P292" s="3">
        <f t="shared" si="274"/>
        <v>4.9559596714778589E-55</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3.1232286968776838E-2</v>
      </c>
      <c r="C293" s="3">
        <f t="shared" si="275"/>
        <v>3.1232286968745953E-2</v>
      </c>
      <c r="D293" s="3">
        <f t="shared" si="275"/>
        <v>3.1232286968437079E-2</v>
      </c>
      <c r="E293" s="3">
        <f t="shared" si="275"/>
        <v>3.1232286965348379E-2</v>
      </c>
      <c r="F293" s="3">
        <f t="shared" si="275"/>
        <v>3.1232286934461374E-2</v>
      </c>
      <c r="G293" s="3">
        <f t="shared" si="275"/>
        <v>3.1232286625591327E-2</v>
      </c>
      <c r="H293" s="3">
        <f t="shared" si="275"/>
        <v>3.1232283536891024E-2</v>
      </c>
      <c r="I293" s="3">
        <f t="shared" si="275"/>
        <v>3.1232252649904792E-2</v>
      </c>
      <c r="J293" s="3">
        <f t="shared" si="275"/>
        <v>3.1231943781722438E-2</v>
      </c>
      <c r="K293" s="3">
        <f t="shared" si="275"/>
        <v>3.122885526789259E-2</v>
      </c>
      <c r="L293" s="3">
        <f t="shared" si="275"/>
        <v>3.119798692281265E-2</v>
      </c>
      <c r="M293" s="3">
        <f t="shared" si="275"/>
        <v>3.0890976665293668E-2</v>
      </c>
      <c r="N293" s="3">
        <f t="shared" si="275"/>
        <v>2.7982229646171065E-2</v>
      </c>
      <c r="O293" s="3">
        <f t="shared" si="275"/>
        <v>1.0408522541296601E-2</v>
      </c>
      <c r="P293" s="3">
        <f t="shared" si="275"/>
        <v>5.2778469635148989E-7</v>
      </c>
      <c r="Q293" s="3">
        <f t="shared" si="275"/>
        <v>5.9310809985256904E-50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3.0546949875679894E-2</v>
      </c>
      <c r="C294" s="3">
        <f t="shared" si="276"/>
        <v>3.0546949875677167E-2</v>
      </c>
      <c r="D294" s="3">
        <f t="shared" si="276"/>
        <v>3.0546949875649917E-2</v>
      </c>
      <c r="E294" s="3">
        <f t="shared" si="276"/>
        <v>3.0546949875377406E-2</v>
      </c>
      <c r="F294" s="3">
        <f t="shared" si="276"/>
        <v>3.0546949872652277E-2</v>
      </c>
      <c r="G294" s="3">
        <f t="shared" si="276"/>
        <v>3.0546949845401027E-2</v>
      </c>
      <c r="H294" s="3">
        <f t="shared" si="276"/>
        <v>3.0546949572888511E-2</v>
      </c>
      <c r="I294" s="3">
        <f t="shared" si="276"/>
        <v>3.0546946847763497E-2</v>
      </c>
      <c r="J294" s="3">
        <f t="shared" si="276"/>
        <v>3.054691959652673E-2</v>
      </c>
      <c r="K294" s="3">
        <f t="shared" si="276"/>
        <v>3.0546647085496152E-2</v>
      </c>
      <c r="L294" s="3">
        <f t="shared" si="276"/>
        <v>3.0543922108896667E-2</v>
      </c>
      <c r="M294" s="3">
        <f t="shared" si="276"/>
        <v>3.0516685709117839E-2</v>
      </c>
      <c r="N294" s="3">
        <f t="shared" si="276"/>
        <v>3.024565393150646E-2</v>
      </c>
      <c r="O294" s="3">
        <f t="shared" si="276"/>
        <v>2.7664263741063046E-2</v>
      </c>
      <c r="P294" s="3">
        <f t="shared" si="276"/>
        <v>1.1336539173173024E-2</v>
      </c>
      <c r="Q294" s="3">
        <f t="shared" si="276"/>
        <v>1.5138897902506735E-6</v>
      </c>
      <c r="R294" s="3">
        <f t="shared" si="276"/>
        <v>2.7304355536630314E-45</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2.9181012135706185E-2</v>
      </c>
      <c r="C295" s="3">
        <f t="shared" si="277"/>
        <v>2.9181012135705946E-2</v>
      </c>
      <c r="D295" s="3">
        <f t="shared" si="277"/>
        <v>2.91810121357036E-2</v>
      </c>
      <c r="E295" s="3">
        <f t="shared" si="277"/>
        <v>2.9181012135680116E-2</v>
      </c>
      <c r="F295" s="3">
        <f t="shared" si="277"/>
        <v>2.9181012135445279E-2</v>
      </c>
      <c r="G295" s="3">
        <f t="shared" si="277"/>
        <v>2.9181012133096915E-2</v>
      </c>
      <c r="H295" s="3">
        <f t="shared" si="277"/>
        <v>2.9181012109613269E-2</v>
      </c>
      <c r="I295" s="3">
        <f t="shared" si="277"/>
        <v>2.9181011874776799E-2</v>
      </c>
      <c r="J295" s="3">
        <f t="shared" si="277"/>
        <v>2.9181009526412217E-2</v>
      </c>
      <c r="K295" s="3">
        <f t="shared" si="277"/>
        <v>2.9180986042776753E-2</v>
      </c>
      <c r="L295" s="3">
        <f t="shared" si="277"/>
        <v>2.9180751207461601E-2</v>
      </c>
      <c r="M295" s="3">
        <f t="shared" si="277"/>
        <v>2.9178402958249191E-2</v>
      </c>
      <c r="N295" s="3">
        <f t="shared" si="277"/>
        <v>2.9154930856943366E-2</v>
      </c>
      <c r="O295" s="3">
        <f t="shared" si="277"/>
        <v>2.8921245838389283E-2</v>
      </c>
      <c r="P295" s="3">
        <f t="shared" si="277"/>
        <v>2.6684975603919716E-2</v>
      </c>
      <c r="Q295" s="3">
        <f t="shared" si="277"/>
        <v>1.1933420387088035E-2</v>
      </c>
      <c r="R295" s="3">
        <f t="shared" si="277"/>
        <v>3.8172116452396479E-6</v>
      </c>
      <c r="S295" s="3">
        <f t="shared" si="277"/>
        <v>4.2811381233152908E-41</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2.8956161504827879E-2</v>
      </c>
      <c r="C296" s="3">
        <f t="shared" si="278"/>
        <v>2.8956161504827861E-2</v>
      </c>
      <c r="D296" s="3">
        <f t="shared" si="278"/>
        <v>2.8956161504827646E-2</v>
      </c>
      <c r="E296" s="3">
        <f t="shared" si="278"/>
        <v>2.8956161504825544E-2</v>
      </c>
      <c r="F296" s="3">
        <f t="shared" si="278"/>
        <v>2.8956161504804526E-2</v>
      </c>
      <c r="G296" s="3">
        <f t="shared" si="278"/>
        <v>2.8956161504594315E-2</v>
      </c>
      <c r="H296" s="3">
        <f t="shared" si="278"/>
        <v>2.8956161502492219E-2</v>
      </c>
      <c r="I296" s="3">
        <f t="shared" si="278"/>
        <v>2.8956161481471246E-2</v>
      </c>
      <c r="J296" s="3">
        <f t="shared" si="278"/>
        <v>2.8956161271261539E-2</v>
      </c>
      <c r="K296" s="3">
        <f t="shared" si="278"/>
        <v>2.8956159169164528E-2</v>
      </c>
      <c r="L296" s="3">
        <f t="shared" si="278"/>
        <v>2.8956138148202824E-2</v>
      </c>
      <c r="M296" s="3">
        <f t="shared" si="278"/>
        <v>2.8955927939425113E-2</v>
      </c>
      <c r="N296" s="3">
        <f t="shared" si="278"/>
        <v>2.8953825935577406E-2</v>
      </c>
      <c r="O296" s="3">
        <f t="shared" si="278"/>
        <v>2.8932814287789627E-2</v>
      </c>
      <c r="P296" s="3">
        <f t="shared" si="278"/>
        <v>2.8723534629431315E-2</v>
      </c>
      <c r="Q296" s="3">
        <f t="shared" si="278"/>
        <v>2.6712215243397938E-2</v>
      </c>
      <c r="R296" s="3">
        <f t="shared" si="278"/>
        <v>1.2924987836220817E-2</v>
      </c>
      <c r="S296" s="3">
        <f t="shared" si="278"/>
        <v>9.0914366752734197E-6</v>
      </c>
      <c r="T296" s="3">
        <f t="shared" si="278"/>
        <v>2.6956050937613521E-37</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2.8549428510413092E-2</v>
      </c>
      <c r="C297" s="3">
        <f t="shared" si="279"/>
        <v>2.8549428510413088E-2</v>
      </c>
      <c r="D297" s="3">
        <f t="shared" si="279"/>
        <v>2.8549428510413071E-2</v>
      </c>
      <c r="E297" s="3">
        <f t="shared" si="279"/>
        <v>2.8549428510412884E-2</v>
      </c>
      <c r="F297" s="3">
        <f t="shared" si="279"/>
        <v>2.8549428510411017E-2</v>
      </c>
      <c r="G297" s="3">
        <f t="shared" si="279"/>
        <v>2.8549428510392317E-2</v>
      </c>
      <c r="H297" s="3">
        <f t="shared" si="279"/>
        <v>2.8549428510205355E-2</v>
      </c>
      <c r="I297" s="3">
        <f t="shared" si="279"/>
        <v>2.8549428508335722E-2</v>
      </c>
      <c r="J297" s="3">
        <f t="shared" si="279"/>
        <v>2.8549428489639418E-2</v>
      </c>
      <c r="K297" s="3">
        <f t="shared" si="279"/>
        <v>2.8549428302676365E-2</v>
      </c>
      <c r="L297" s="3">
        <f t="shared" si="279"/>
        <v>2.85494264330459E-2</v>
      </c>
      <c r="M297" s="3">
        <f t="shared" si="279"/>
        <v>2.8549407736747984E-2</v>
      </c>
      <c r="N297" s="3">
        <f t="shared" si="279"/>
        <v>2.854922077444224E-2</v>
      </c>
      <c r="O297" s="3">
        <f t="shared" si="279"/>
        <v>2.8547351218723538E-2</v>
      </c>
      <c r="P297" s="3">
        <f t="shared" si="279"/>
        <v>2.8528662393781927E-2</v>
      </c>
      <c r="Q297" s="3">
        <f t="shared" si="279"/>
        <v>2.8342445740513266E-2</v>
      </c>
      <c r="R297" s="3">
        <f t="shared" si="279"/>
        <v>2.6545839632940264E-2</v>
      </c>
      <c r="S297" s="3">
        <f t="shared" si="279"/>
        <v>1.3790750200070435E-2</v>
      </c>
      <c r="T297" s="3">
        <f t="shared" si="279"/>
        <v>1.9747046402293973E-5</v>
      </c>
      <c r="U297" s="3">
        <f t="shared" si="279"/>
        <v>7.1555775772868394E-34</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3.3916990026039671E-2</v>
      </c>
      <c r="C298" s="3">
        <f t="shared" si="280"/>
        <v>3.3916990026039671E-2</v>
      </c>
      <c r="D298" s="3">
        <f t="shared" si="280"/>
        <v>3.3916990026039665E-2</v>
      </c>
      <c r="E298" s="3">
        <f t="shared" si="280"/>
        <v>3.3916990026039651E-2</v>
      </c>
      <c r="F298" s="3">
        <f t="shared" si="280"/>
        <v>3.3916990026039449E-2</v>
      </c>
      <c r="G298" s="3">
        <f t="shared" si="280"/>
        <v>3.3916990026037444E-2</v>
      </c>
      <c r="H298" s="3">
        <f t="shared" si="280"/>
        <v>3.3916990026017411E-2</v>
      </c>
      <c r="I298" s="3">
        <f t="shared" si="280"/>
        <v>3.3916990025817044E-2</v>
      </c>
      <c r="J298" s="3">
        <f t="shared" si="280"/>
        <v>3.391699002381339E-2</v>
      </c>
      <c r="K298" s="3">
        <f t="shared" si="280"/>
        <v>3.3916990003776876E-2</v>
      </c>
      <c r="L298" s="3">
        <f t="shared" si="280"/>
        <v>3.3916989803411686E-2</v>
      </c>
      <c r="M298" s="3">
        <f t="shared" si="280"/>
        <v>3.3916987799759872E-2</v>
      </c>
      <c r="N298" s="3">
        <f t="shared" si="280"/>
        <v>3.3916967763248276E-2</v>
      </c>
      <c r="O298" s="3">
        <f t="shared" si="280"/>
        <v>3.3916767398783285E-2</v>
      </c>
      <c r="P298" s="3">
        <f t="shared" si="280"/>
        <v>3.3914763819233189E-2</v>
      </c>
      <c r="Q298" s="3">
        <f t="shared" si="280"/>
        <v>3.3894734532285281E-2</v>
      </c>
      <c r="R298" s="3">
        <f t="shared" si="280"/>
        <v>3.3695091097736073E-2</v>
      </c>
      <c r="S298" s="3">
        <f t="shared" si="280"/>
        <v>3.1762202874684294E-2</v>
      </c>
      <c r="T298" s="3">
        <f t="shared" si="280"/>
        <v>1.7593426081282313E-2</v>
      </c>
      <c r="U298" s="3">
        <f t="shared" si="280"/>
        <v>4.7835296842588228E-5</v>
      </c>
      <c r="V298" s="3">
        <f t="shared" si="280"/>
        <v>1.0561582602652399E-30</v>
      </c>
      <c r="W298" s="3">
        <f t="shared" si="280"/>
        <v>2.9075973676778294E-287</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3.6686036889388041E-2</v>
      </c>
      <c r="C299" s="3">
        <f t="shared" si="281"/>
        <v>3.6686036889388041E-2</v>
      </c>
      <c r="D299" s="3">
        <f t="shared" si="281"/>
        <v>3.6686036889388041E-2</v>
      </c>
      <c r="E299" s="3">
        <f t="shared" si="281"/>
        <v>3.6686036889388034E-2</v>
      </c>
      <c r="F299" s="3">
        <f t="shared" si="281"/>
        <v>3.668603688938802E-2</v>
      </c>
      <c r="G299" s="3">
        <f t="shared" si="281"/>
        <v>3.6686036889387826E-2</v>
      </c>
      <c r="H299" s="3">
        <f t="shared" si="281"/>
        <v>3.6686036889385869E-2</v>
      </c>
      <c r="I299" s="3">
        <f t="shared" si="281"/>
        <v>3.6686036889366322E-2</v>
      </c>
      <c r="J299" s="3">
        <f t="shared" si="281"/>
        <v>3.6686036889170819E-2</v>
      </c>
      <c r="K299" s="3">
        <f t="shared" si="281"/>
        <v>3.6686036887215792E-2</v>
      </c>
      <c r="L299" s="3">
        <f t="shared" si="281"/>
        <v>3.6686036867665542E-2</v>
      </c>
      <c r="M299" s="3">
        <f t="shared" si="281"/>
        <v>3.6686036672163025E-2</v>
      </c>
      <c r="N299" s="3">
        <f t="shared" si="281"/>
        <v>3.6686034717137911E-2</v>
      </c>
      <c r="O299" s="3">
        <f t="shared" si="281"/>
        <v>3.6686015166892509E-2</v>
      </c>
      <c r="P299" s="3">
        <f t="shared" si="281"/>
        <v>3.6685819665011506E-2</v>
      </c>
      <c r="Q299" s="3">
        <f t="shared" si="281"/>
        <v>3.6683864703501851E-2</v>
      </c>
      <c r="R299" s="3">
        <f t="shared" si="281"/>
        <v>3.6664320817308138E-2</v>
      </c>
      <c r="S299" s="3">
        <f t="shared" si="281"/>
        <v>3.6469453717663629E-2</v>
      </c>
      <c r="T299" s="3">
        <f t="shared" si="281"/>
        <v>3.4576847464349872E-2</v>
      </c>
      <c r="U299" s="3">
        <f t="shared" si="281"/>
        <v>2.0293023329487271E-2</v>
      </c>
      <c r="V299" s="3">
        <f t="shared" si="281"/>
        <v>9.8392129620245556E-5</v>
      </c>
      <c r="W299" s="3">
        <f t="shared" si="281"/>
        <v>7.0647438575918392E-28</v>
      </c>
      <c r="X299" s="3">
        <f t="shared" si="281"/>
        <v>2.5731020995840544E-259</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4.0919511658412108E-2</v>
      </c>
      <c r="C300" s="3">
        <f t="shared" si="282"/>
        <v>4.0919511658412108E-2</v>
      </c>
      <c r="D300" s="3">
        <f t="shared" si="282"/>
        <v>4.0919511658412108E-2</v>
      </c>
      <c r="E300" s="3">
        <f t="shared" si="282"/>
        <v>4.0919511658412108E-2</v>
      </c>
      <c r="F300" s="3">
        <f t="shared" si="282"/>
        <v>4.0919511658412108E-2</v>
      </c>
      <c r="G300" s="3">
        <f t="shared" si="282"/>
        <v>4.0919511658412087E-2</v>
      </c>
      <c r="H300" s="3">
        <f t="shared" si="282"/>
        <v>4.0919511658411893E-2</v>
      </c>
      <c r="I300" s="3">
        <f t="shared" si="282"/>
        <v>4.0919511658409922E-2</v>
      </c>
      <c r="J300" s="3">
        <f t="shared" si="282"/>
        <v>4.0919511658390251E-2</v>
      </c>
      <c r="K300" s="3">
        <f t="shared" si="282"/>
        <v>4.091951165819354E-2</v>
      </c>
      <c r="L300" s="3">
        <f t="shared" si="282"/>
        <v>4.0919511656226433E-2</v>
      </c>
      <c r="M300" s="3">
        <f t="shared" si="282"/>
        <v>4.0919511636555335E-2</v>
      </c>
      <c r="N300" s="3">
        <f t="shared" si="282"/>
        <v>4.0919511439844361E-2</v>
      </c>
      <c r="O300" s="3">
        <f t="shared" si="282"/>
        <v>4.0919509472734678E-2</v>
      </c>
      <c r="P300" s="3">
        <f t="shared" si="282"/>
        <v>4.0919489801643033E-2</v>
      </c>
      <c r="Q300" s="3">
        <f t="shared" si="282"/>
        <v>4.0919293091246714E-2</v>
      </c>
      <c r="R300" s="3">
        <f t="shared" si="282"/>
        <v>4.0917326039292837E-2</v>
      </c>
      <c r="S300" s="3">
        <f t="shared" si="282"/>
        <v>4.0897660719757076E-2</v>
      </c>
      <c r="T300" s="3">
        <f t="shared" si="282"/>
        <v>4.0701526600974161E-2</v>
      </c>
      <c r="U300" s="3">
        <f t="shared" si="282"/>
        <v>3.879118154709741E-2</v>
      </c>
      <c r="V300" s="3">
        <f t="shared" si="282"/>
        <v>2.3985904569996212E-2</v>
      </c>
      <c r="W300" s="3">
        <f t="shared" si="282"/>
        <v>1.9596884620946139E-4</v>
      </c>
      <c r="X300" s="3">
        <f t="shared" si="282"/>
        <v>2.5971460791908284E-25</v>
      </c>
      <c r="Y300" s="3">
        <f t="shared" si="282"/>
        <v>4.3410001175217463E-234</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4.7755707575506505E-2</v>
      </c>
      <c r="C301" s="3">
        <f t="shared" si="283"/>
        <v>4.7755707575506505E-2</v>
      </c>
      <c r="D301" s="3">
        <f t="shared" si="283"/>
        <v>4.7755707575506505E-2</v>
      </c>
      <c r="E301" s="3">
        <f t="shared" si="283"/>
        <v>4.7755707575506505E-2</v>
      </c>
      <c r="F301" s="3">
        <f t="shared" si="283"/>
        <v>4.7755707575506505E-2</v>
      </c>
      <c r="G301" s="3">
        <f t="shared" si="283"/>
        <v>4.7755707575506505E-2</v>
      </c>
      <c r="H301" s="3">
        <f t="shared" si="283"/>
        <v>4.7755707575506484E-2</v>
      </c>
      <c r="I301" s="3">
        <f t="shared" si="283"/>
        <v>4.7755707575506276E-2</v>
      </c>
      <c r="J301" s="3">
        <f t="shared" si="283"/>
        <v>4.7755707575504201E-2</v>
      </c>
      <c r="K301" s="3">
        <f t="shared" si="283"/>
        <v>4.7755707575483496E-2</v>
      </c>
      <c r="L301" s="3">
        <f t="shared" si="283"/>
        <v>4.7755707575276397E-2</v>
      </c>
      <c r="M301" s="3">
        <f t="shared" si="283"/>
        <v>4.775570757320545E-2</v>
      </c>
      <c r="N301" s="3">
        <f t="shared" si="283"/>
        <v>4.7755707552495925E-2</v>
      </c>
      <c r="O301" s="3">
        <f t="shared" si="283"/>
        <v>4.775570734540073E-2</v>
      </c>
      <c r="P301" s="3">
        <f t="shared" si="283"/>
        <v>4.7755705274448841E-2</v>
      </c>
      <c r="Q301" s="3">
        <f t="shared" si="283"/>
        <v>4.7755684564934842E-2</v>
      </c>
      <c r="R301" s="3">
        <f t="shared" si="283"/>
        <v>4.7755477470288819E-2</v>
      </c>
      <c r="S301" s="3">
        <f t="shared" si="283"/>
        <v>4.7753406573222072E-2</v>
      </c>
      <c r="T301" s="3">
        <f t="shared" si="283"/>
        <v>4.7732702541111068E-2</v>
      </c>
      <c r="U301" s="3">
        <f t="shared" si="283"/>
        <v>4.7526155284164928E-2</v>
      </c>
      <c r="V301" s="3">
        <f t="shared" si="283"/>
        <v>4.5509207090403736E-2</v>
      </c>
      <c r="W301" s="3">
        <f t="shared" si="283"/>
        <v>2.9496136237514462E-2</v>
      </c>
      <c r="X301" s="3">
        <f t="shared" si="283"/>
        <v>3.8585465813107355E-4</v>
      </c>
      <c r="Y301" s="3">
        <f t="shared" si="283"/>
        <v>5.6625221970218683E-23</v>
      </c>
      <c r="Z301" s="3">
        <f t="shared" si="283"/>
        <v>2.6234429038564116E-211</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5.7469214785363418E-2</v>
      </c>
      <c r="C302" s="3">
        <f t="shared" si="284"/>
        <v>5.7469214785363418E-2</v>
      </c>
      <c r="D302" s="3">
        <f t="shared" si="284"/>
        <v>5.7469214785363418E-2</v>
      </c>
      <c r="E302" s="3">
        <f t="shared" si="284"/>
        <v>5.7469214785363418E-2</v>
      </c>
      <c r="F302" s="3">
        <f t="shared" si="284"/>
        <v>5.7469214785363418E-2</v>
      </c>
      <c r="G302" s="3">
        <f t="shared" si="284"/>
        <v>5.7469214785363418E-2</v>
      </c>
      <c r="H302" s="3">
        <f t="shared" si="284"/>
        <v>5.7469214785363418E-2</v>
      </c>
      <c r="I302" s="3">
        <f t="shared" si="284"/>
        <v>5.746921478536339E-2</v>
      </c>
      <c r="J302" s="3">
        <f t="shared" si="284"/>
        <v>5.7469214785363168E-2</v>
      </c>
      <c r="K302" s="3">
        <f t="shared" si="284"/>
        <v>5.746921478536092E-2</v>
      </c>
      <c r="L302" s="3">
        <f t="shared" si="284"/>
        <v>5.7469214785338438E-2</v>
      </c>
      <c r="M302" s="3">
        <f t="shared" si="284"/>
        <v>5.7469214785113618E-2</v>
      </c>
      <c r="N302" s="3">
        <f t="shared" si="284"/>
        <v>5.7469214782865465E-2</v>
      </c>
      <c r="O302" s="3">
        <f t="shared" si="284"/>
        <v>5.7469214760383892E-2</v>
      </c>
      <c r="P302" s="3">
        <f t="shared" si="284"/>
        <v>5.7469214535568219E-2</v>
      </c>
      <c r="Q302" s="3">
        <f t="shared" si="284"/>
        <v>5.7469212287411503E-2</v>
      </c>
      <c r="R302" s="3">
        <f t="shared" si="284"/>
        <v>5.746918980584919E-2</v>
      </c>
      <c r="S302" s="3">
        <f t="shared" si="284"/>
        <v>5.7468964990709741E-2</v>
      </c>
      <c r="T302" s="3">
        <f t="shared" si="284"/>
        <v>5.7466716887684947E-2</v>
      </c>
      <c r="U302" s="3">
        <f t="shared" si="284"/>
        <v>5.7444240693709535E-2</v>
      </c>
      <c r="V302" s="3">
        <f t="shared" si="284"/>
        <v>5.7219961681933246E-2</v>
      </c>
      <c r="W302" s="3">
        <f t="shared" si="284"/>
        <v>5.5024772618692992E-2</v>
      </c>
      <c r="X302" s="3">
        <f t="shared" si="284"/>
        <v>3.7210473458936945E-2</v>
      </c>
      <c r="Y302" s="3">
        <f t="shared" si="284"/>
        <v>7.4427698479583449E-4</v>
      </c>
      <c r="Z302" s="3">
        <f t="shared" si="284"/>
        <v>7.6283133740961465E-21</v>
      </c>
      <c r="AA302" s="3">
        <f t="shared" si="284"/>
        <v>9.7581589373473E-191</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6.4260885650205518E-2</v>
      </c>
      <c r="C303" s="3">
        <f t="shared" si="285"/>
        <v>6.4260885650205518E-2</v>
      </c>
      <c r="D303" s="3">
        <f t="shared" si="285"/>
        <v>6.4260885650205518E-2</v>
      </c>
      <c r="E303" s="3">
        <f t="shared" si="285"/>
        <v>6.4260885650205518E-2</v>
      </c>
      <c r="F303" s="3">
        <f t="shared" si="285"/>
        <v>6.4260885650205518E-2</v>
      </c>
      <c r="G303" s="3">
        <f t="shared" si="285"/>
        <v>6.4260885650205518E-2</v>
      </c>
      <c r="H303" s="3">
        <f t="shared" si="285"/>
        <v>6.4260885650205518E-2</v>
      </c>
      <c r="I303" s="3">
        <f t="shared" si="285"/>
        <v>6.4260885650205518E-2</v>
      </c>
      <c r="J303" s="3">
        <f t="shared" si="285"/>
        <v>6.426088565020549E-2</v>
      </c>
      <c r="K303" s="3">
        <f t="shared" si="285"/>
        <v>6.4260885650205268E-2</v>
      </c>
      <c r="L303" s="3">
        <f t="shared" si="285"/>
        <v>6.4260885650203006E-2</v>
      </c>
      <c r="M303" s="3">
        <f t="shared" si="285"/>
        <v>6.4260885650180316E-2</v>
      </c>
      <c r="N303" s="3">
        <f t="shared" si="285"/>
        <v>6.4260885649953553E-2</v>
      </c>
      <c r="O303" s="3">
        <f t="shared" si="285"/>
        <v>6.4260885647685853E-2</v>
      </c>
      <c r="P303" s="3">
        <f t="shared" si="285"/>
        <v>6.4260885625008909E-2</v>
      </c>
      <c r="Q303" s="3">
        <f t="shared" si="285"/>
        <v>6.4260885398239417E-2</v>
      </c>
      <c r="R303" s="3">
        <f t="shared" si="285"/>
        <v>6.4260883130544552E-2</v>
      </c>
      <c r="S303" s="3">
        <f t="shared" si="285"/>
        <v>6.4260860453600258E-2</v>
      </c>
      <c r="T303" s="3">
        <f t="shared" si="285"/>
        <v>6.4260633684597585E-2</v>
      </c>
      <c r="U303" s="3">
        <f t="shared" si="285"/>
        <v>6.4258366038583509E-2</v>
      </c>
      <c r="V303" s="3">
        <f t="shared" si="285"/>
        <v>6.4235693979147468E-2</v>
      </c>
      <c r="W303" s="3">
        <f t="shared" si="285"/>
        <v>6.4009412881208788E-2</v>
      </c>
      <c r="X303" s="3">
        <f t="shared" si="285"/>
        <v>6.1789983074886819E-2</v>
      </c>
      <c r="Y303" s="3">
        <f t="shared" si="285"/>
        <v>4.3417059009607857E-2</v>
      </c>
      <c r="Z303" s="3">
        <f t="shared" si="285"/>
        <v>1.2737484175030735E-3</v>
      </c>
      <c r="AA303" s="3">
        <f t="shared" si="285"/>
        <v>6.0161161694611394E-19</v>
      </c>
      <c r="AB303" s="3">
        <f t="shared" si="285"/>
        <v>3.3238527580973867E-172</v>
      </c>
      <c r="AC303" s="3">
        <f t="shared" si="285"/>
        <v>0</v>
      </c>
      <c r="AD303" s="3">
        <f t="shared" si="285"/>
        <v>0</v>
      </c>
      <c r="AE303" s="3">
        <f t="shared" si="285"/>
        <v>0</v>
      </c>
      <c r="AF303" s="3">
        <f t="shared" si="285"/>
        <v>0</v>
      </c>
      <c r="AG303" s="3"/>
      <c r="AH303" s="3"/>
    </row>
    <row r="304" spans="2:34" x14ac:dyDescent="0.25">
      <c r="B304" s="3">
        <f t="shared" ref="B304:AF304" si="286">$C34*EXP(-B$285/$A34/EXP(-$F$126))</f>
        <v>6.2189536822504186E-2</v>
      </c>
      <c r="C304" s="3">
        <f t="shared" si="286"/>
        <v>6.2189536822504186E-2</v>
      </c>
      <c r="D304" s="3">
        <f t="shared" si="286"/>
        <v>6.2189536822504186E-2</v>
      </c>
      <c r="E304" s="3">
        <f t="shared" si="286"/>
        <v>6.2189536822504186E-2</v>
      </c>
      <c r="F304" s="3">
        <f t="shared" si="286"/>
        <v>6.2189536822504186E-2</v>
      </c>
      <c r="G304" s="3">
        <f t="shared" si="286"/>
        <v>6.2189536822504186E-2</v>
      </c>
      <c r="H304" s="3">
        <f t="shared" si="286"/>
        <v>6.2189536822504186E-2</v>
      </c>
      <c r="I304" s="3">
        <f t="shared" si="286"/>
        <v>6.2189536822504186E-2</v>
      </c>
      <c r="J304" s="3">
        <f t="shared" si="286"/>
        <v>6.2189536822504186E-2</v>
      </c>
      <c r="K304" s="3">
        <f t="shared" si="286"/>
        <v>6.2189536822504166E-2</v>
      </c>
      <c r="L304" s="3">
        <f t="shared" si="286"/>
        <v>6.2189536822503964E-2</v>
      </c>
      <c r="M304" s="3">
        <f t="shared" si="286"/>
        <v>6.2189536822501987E-2</v>
      </c>
      <c r="N304" s="3">
        <f t="shared" si="286"/>
        <v>6.218953682248219E-2</v>
      </c>
      <c r="O304" s="3">
        <f t="shared" si="286"/>
        <v>6.2189536822284217E-2</v>
      </c>
      <c r="P304" s="3">
        <f t="shared" si="286"/>
        <v>6.2189536820304508E-2</v>
      </c>
      <c r="Q304" s="3">
        <f t="shared" si="286"/>
        <v>6.21895368005074E-2</v>
      </c>
      <c r="R304" s="3">
        <f t="shared" si="286"/>
        <v>6.2189536602536281E-2</v>
      </c>
      <c r="S304" s="3">
        <f t="shared" si="286"/>
        <v>6.218953462282515E-2</v>
      </c>
      <c r="T304" s="3">
        <f t="shared" si="286"/>
        <v>6.2189514825717315E-2</v>
      </c>
      <c r="U304" s="3">
        <f t="shared" si="286"/>
        <v>6.2189316854985625E-2</v>
      </c>
      <c r="V304" s="3">
        <f t="shared" si="286"/>
        <v>6.2187337182329841E-2</v>
      </c>
      <c r="W304" s="3">
        <f t="shared" si="286"/>
        <v>6.2167543921481883E-2</v>
      </c>
      <c r="X304" s="3">
        <f t="shared" si="286"/>
        <v>6.1969957476127525E-2</v>
      </c>
      <c r="Y304" s="3">
        <f t="shared" si="286"/>
        <v>6.002830505889304E-2</v>
      </c>
      <c r="Z304" s="3">
        <f t="shared" si="286"/>
        <v>4.3662129033808186E-2</v>
      </c>
      <c r="AA304" s="3">
        <f t="shared" si="286"/>
        <v>1.8096441667726747E-3</v>
      </c>
      <c r="AB304" s="3">
        <f t="shared" si="286"/>
        <v>2.706923435200077E-17</v>
      </c>
      <c r="AC304" s="3">
        <f t="shared" si="286"/>
        <v>1.5181120226183235E-155</v>
      </c>
      <c r="AD304" s="3">
        <f t="shared" si="286"/>
        <v>0</v>
      </c>
      <c r="AE304" s="3">
        <f t="shared" si="286"/>
        <v>0</v>
      </c>
      <c r="AF304" s="3">
        <f t="shared" si="286"/>
        <v>0</v>
      </c>
      <c r="AG304" s="3"/>
      <c r="AH304" s="3"/>
    </row>
    <row r="305" spans="1:34" x14ac:dyDescent="0.25">
      <c r="B305" s="3">
        <f t="shared" ref="B305:AF305" si="287">$C35*EXP(-B$285/$A35/EXP(-$F$126))</f>
        <v>4.8803099741359754E-2</v>
      </c>
      <c r="C305" s="3">
        <f t="shared" si="287"/>
        <v>4.8803099741359754E-2</v>
      </c>
      <c r="D305" s="3">
        <f t="shared" si="287"/>
        <v>4.8803099741359754E-2</v>
      </c>
      <c r="E305" s="3">
        <f t="shared" si="287"/>
        <v>4.8803099741359754E-2</v>
      </c>
      <c r="F305" s="3">
        <f t="shared" si="287"/>
        <v>4.8803099741359754E-2</v>
      </c>
      <c r="G305" s="3">
        <f t="shared" si="287"/>
        <v>4.8803099741359754E-2</v>
      </c>
      <c r="H305" s="3">
        <f t="shared" si="287"/>
        <v>4.8803099741359754E-2</v>
      </c>
      <c r="I305" s="3">
        <f t="shared" si="287"/>
        <v>4.8803099741359754E-2</v>
      </c>
      <c r="J305" s="3">
        <f t="shared" si="287"/>
        <v>4.8803099741359754E-2</v>
      </c>
      <c r="K305" s="3">
        <f t="shared" si="287"/>
        <v>4.8803099741359754E-2</v>
      </c>
      <c r="L305" s="3">
        <f t="shared" si="287"/>
        <v>4.880309974135974E-2</v>
      </c>
      <c r="M305" s="3">
        <f t="shared" si="287"/>
        <v>4.8803099741359594E-2</v>
      </c>
      <c r="N305" s="3">
        <f t="shared" si="287"/>
        <v>4.88030997413582E-2</v>
      </c>
      <c r="O305" s="3">
        <f t="shared" si="287"/>
        <v>4.8803099741344183E-2</v>
      </c>
      <c r="P305" s="3">
        <f t="shared" si="287"/>
        <v>4.8803099741204038E-2</v>
      </c>
      <c r="Q305" s="3">
        <f t="shared" si="287"/>
        <v>4.880309973980259E-2</v>
      </c>
      <c r="R305" s="3">
        <f t="shared" si="287"/>
        <v>4.8803099725788057E-2</v>
      </c>
      <c r="S305" s="3">
        <f t="shared" si="287"/>
        <v>4.8803099585642766E-2</v>
      </c>
      <c r="T305" s="3">
        <f t="shared" si="287"/>
        <v>4.8803098184189882E-2</v>
      </c>
      <c r="U305" s="3">
        <f t="shared" si="287"/>
        <v>4.8803084169663266E-2</v>
      </c>
      <c r="V305" s="3">
        <f t="shared" si="287"/>
        <v>4.880294402461844E-2</v>
      </c>
      <c r="W305" s="3">
        <f t="shared" si="287"/>
        <v>4.8801542596304544E-2</v>
      </c>
      <c r="X305" s="3">
        <f t="shared" si="287"/>
        <v>4.8787530526367459E-2</v>
      </c>
      <c r="Y305" s="3">
        <f t="shared" si="287"/>
        <v>4.8647630912210124E-2</v>
      </c>
      <c r="Z305" s="3">
        <f t="shared" si="287"/>
        <v>4.7270510180294704E-2</v>
      </c>
      <c r="AA305" s="3">
        <f t="shared" si="287"/>
        <v>3.547122857711054E-2</v>
      </c>
      <c r="AB305" s="3">
        <f t="shared" si="287"/>
        <v>2.0078702464419785E-3</v>
      </c>
      <c r="AC305" s="3">
        <f t="shared" si="287"/>
        <v>6.7815626320017829E-16</v>
      </c>
      <c r="AD305" s="3">
        <f t="shared" si="287"/>
        <v>1.3099994281692456E-140</v>
      </c>
      <c r="AE305" s="3">
        <f t="shared" si="287"/>
        <v>0</v>
      </c>
      <c r="AF305" s="3">
        <f t="shared" si="287"/>
        <v>0</v>
      </c>
      <c r="AG305" s="3"/>
      <c r="AH305" s="3"/>
    </row>
    <row r="306" spans="1:34" x14ac:dyDescent="0.25">
      <c r="B306" s="3">
        <f t="shared" ref="B306:AF306" si="288">$C36*EXP(-B$285/$A36/EXP(-$F$126))</f>
        <v>3.0415227107223403E-2</v>
      </c>
      <c r="C306" s="3">
        <f t="shared" si="288"/>
        <v>3.0415227107223403E-2</v>
      </c>
      <c r="D306" s="3">
        <f t="shared" si="288"/>
        <v>3.0415227107223403E-2</v>
      </c>
      <c r="E306" s="3">
        <f t="shared" si="288"/>
        <v>3.0415227107223403E-2</v>
      </c>
      <c r="F306" s="3">
        <f t="shared" si="288"/>
        <v>3.0415227107223403E-2</v>
      </c>
      <c r="G306" s="3">
        <f t="shared" si="288"/>
        <v>3.0415227107223403E-2</v>
      </c>
      <c r="H306" s="3">
        <f t="shared" si="288"/>
        <v>3.0415227107223403E-2</v>
      </c>
      <c r="I306" s="3">
        <f t="shared" si="288"/>
        <v>3.0415227107223403E-2</v>
      </c>
      <c r="J306" s="3">
        <f t="shared" si="288"/>
        <v>3.0415227107223403E-2</v>
      </c>
      <c r="K306" s="3">
        <f t="shared" si="288"/>
        <v>3.0415227107223403E-2</v>
      </c>
      <c r="L306" s="3">
        <f t="shared" si="288"/>
        <v>3.0415227107223403E-2</v>
      </c>
      <c r="M306" s="3">
        <f t="shared" si="288"/>
        <v>3.0415227107223393E-2</v>
      </c>
      <c r="N306" s="3">
        <f t="shared" si="288"/>
        <v>3.0415227107223317E-2</v>
      </c>
      <c r="O306" s="3">
        <f t="shared" si="288"/>
        <v>3.0415227107222529E-2</v>
      </c>
      <c r="P306" s="3">
        <f t="shared" si="288"/>
        <v>3.0415227107214646E-2</v>
      </c>
      <c r="Q306" s="3">
        <f t="shared" si="288"/>
        <v>3.0415227107135862E-2</v>
      </c>
      <c r="R306" s="3">
        <f t="shared" si="288"/>
        <v>3.0415227106347961E-2</v>
      </c>
      <c r="S306" s="3">
        <f t="shared" si="288"/>
        <v>3.0415227098469007E-2</v>
      </c>
      <c r="T306" s="3">
        <f t="shared" si="288"/>
        <v>3.0415227019679431E-2</v>
      </c>
      <c r="U306" s="3">
        <f t="shared" si="288"/>
        <v>3.0415226231783696E-2</v>
      </c>
      <c r="V306" s="3">
        <f t="shared" si="288"/>
        <v>3.0415218352827473E-2</v>
      </c>
      <c r="W306" s="3">
        <f t="shared" si="288"/>
        <v>3.0415139563377477E-2</v>
      </c>
      <c r="X306" s="3">
        <f t="shared" si="288"/>
        <v>3.0414351680103008E-2</v>
      </c>
      <c r="Y306" s="3">
        <f t="shared" si="288"/>
        <v>3.0406473969797652E-2</v>
      </c>
      <c r="Z306" s="3">
        <f t="shared" si="288"/>
        <v>3.0327809003172196E-2</v>
      </c>
      <c r="AA306" s="3">
        <f t="shared" si="288"/>
        <v>2.9552266240780833E-2</v>
      </c>
      <c r="AB306" s="3">
        <f t="shared" si="288"/>
        <v>2.2808059360700288E-2</v>
      </c>
      <c r="AC306" s="3">
        <f t="shared" si="288"/>
        <v>1.7102664380418545E-3</v>
      </c>
      <c r="AD306" s="3">
        <f t="shared" si="288"/>
        <v>9.6120973392451522E-15</v>
      </c>
      <c r="AE306" s="3">
        <f t="shared" si="288"/>
        <v>3.0224702071380562E-127</v>
      </c>
      <c r="AF306" s="3">
        <f t="shared" si="288"/>
        <v>0</v>
      </c>
      <c r="AG306" s="3"/>
      <c r="AH306" s="3"/>
    </row>
    <row r="307" spans="1:34" x14ac:dyDescent="0.25">
      <c r="B307" s="3">
        <f t="shared" ref="B307:AF307" si="289">$C37*EXP(-B$285/$A37/EXP(-$F$126))</f>
        <v>1.5463317607252298E-2</v>
      </c>
      <c r="C307" s="3">
        <f t="shared" si="289"/>
        <v>1.5463317607252298E-2</v>
      </c>
      <c r="D307" s="3">
        <f t="shared" si="289"/>
        <v>1.5463317607252298E-2</v>
      </c>
      <c r="E307" s="3">
        <f t="shared" si="289"/>
        <v>1.5463317607252298E-2</v>
      </c>
      <c r="F307" s="3">
        <f t="shared" si="289"/>
        <v>1.5463317607252298E-2</v>
      </c>
      <c r="G307" s="3">
        <f t="shared" si="289"/>
        <v>1.5463317607252298E-2</v>
      </c>
      <c r="H307" s="3">
        <f t="shared" si="289"/>
        <v>1.5463317607252298E-2</v>
      </c>
      <c r="I307" s="3">
        <f t="shared" si="289"/>
        <v>1.5463317607252298E-2</v>
      </c>
      <c r="J307" s="3">
        <f t="shared" si="289"/>
        <v>1.5463317607252298E-2</v>
      </c>
      <c r="K307" s="3">
        <f t="shared" si="289"/>
        <v>1.5463317607252298E-2</v>
      </c>
      <c r="L307" s="3">
        <f t="shared" si="289"/>
        <v>1.5463317607252298E-2</v>
      </c>
      <c r="M307" s="3">
        <f t="shared" si="289"/>
        <v>1.5463317607252298E-2</v>
      </c>
      <c r="N307" s="3">
        <f t="shared" si="289"/>
        <v>1.5463317607252294E-2</v>
      </c>
      <c r="O307" s="3">
        <f t="shared" si="289"/>
        <v>1.5463317607252258E-2</v>
      </c>
      <c r="P307" s="3">
        <f t="shared" si="289"/>
        <v>1.5463317607251895E-2</v>
      </c>
      <c r="Q307" s="3">
        <f t="shared" si="289"/>
        <v>1.5463317607248282E-2</v>
      </c>
      <c r="R307" s="3">
        <f t="shared" si="289"/>
        <v>1.5463317607212148E-2</v>
      </c>
      <c r="S307" s="3">
        <f t="shared" si="289"/>
        <v>1.54633176068508E-2</v>
      </c>
      <c r="T307" s="3">
        <f t="shared" si="289"/>
        <v>1.5463317603237308E-2</v>
      </c>
      <c r="U307" s="3">
        <f t="shared" si="289"/>
        <v>1.5463317567102399E-2</v>
      </c>
      <c r="V307" s="3">
        <f t="shared" si="289"/>
        <v>1.546331720575332E-2</v>
      </c>
      <c r="W307" s="3">
        <f t="shared" si="289"/>
        <v>1.5463313592262981E-2</v>
      </c>
      <c r="X307" s="3">
        <f t="shared" si="289"/>
        <v>1.5463277457406053E-2</v>
      </c>
      <c r="Y307" s="3">
        <f t="shared" si="289"/>
        <v>1.546291611348094E-2</v>
      </c>
      <c r="Z307" s="3">
        <f t="shared" si="289"/>
        <v>1.5459303138608434E-2</v>
      </c>
      <c r="AA307" s="3">
        <f t="shared" si="289"/>
        <v>1.5423219787618736E-2</v>
      </c>
      <c r="AB307" s="3">
        <f t="shared" si="289"/>
        <v>1.5066986184300364E-2</v>
      </c>
      <c r="AC307" s="3">
        <f t="shared" si="289"/>
        <v>1.1927236075250768E-2</v>
      </c>
      <c r="AD307" s="3">
        <f t="shared" si="289"/>
        <v>1.152587931795614E-3</v>
      </c>
      <c r="AE307" s="3">
        <f t="shared" si="289"/>
        <v>8.1849606273967727E-14</v>
      </c>
      <c r="AF307" s="3">
        <f t="shared" si="289"/>
        <v>2.6695733691489861E-115</v>
      </c>
      <c r="AG307" s="3"/>
      <c r="AH307" s="3"/>
    </row>
    <row r="308" spans="1:34" x14ac:dyDescent="0.25">
      <c r="B308" s="3">
        <f t="shared" ref="B308:AF308" si="290">$C38*EXP(-B$285/$A38/EXP(-$F$126))</f>
        <v>6.4979326784240111E-3</v>
      </c>
      <c r="C308" s="3">
        <f t="shared" si="290"/>
        <v>6.4979326784240111E-3</v>
      </c>
      <c r="D308" s="3">
        <f t="shared" si="290"/>
        <v>6.4979326784240111E-3</v>
      </c>
      <c r="E308" s="3">
        <f t="shared" si="290"/>
        <v>6.4979326784240111E-3</v>
      </c>
      <c r="F308" s="3">
        <f t="shared" si="290"/>
        <v>6.4979326784240111E-3</v>
      </c>
      <c r="G308" s="3">
        <f t="shared" si="290"/>
        <v>6.4979326784240111E-3</v>
      </c>
      <c r="H308" s="3">
        <f t="shared" si="290"/>
        <v>6.4979326784240111E-3</v>
      </c>
      <c r="I308" s="3">
        <f t="shared" si="290"/>
        <v>6.4979326784240111E-3</v>
      </c>
      <c r="J308" s="3">
        <f t="shared" si="290"/>
        <v>6.4979326784240111E-3</v>
      </c>
      <c r="K308" s="3">
        <f t="shared" si="290"/>
        <v>6.4979326784240111E-3</v>
      </c>
      <c r="L308" s="3">
        <f t="shared" si="290"/>
        <v>6.4979326784240111E-3</v>
      </c>
      <c r="M308" s="3">
        <f t="shared" si="290"/>
        <v>6.4979326784240111E-3</v>
      </c>
      <c r="N308" s="3">
        <f t="shared" si="290"/>
        <v>6.4979326784240111E-3</v>
      </c>
      <c r="O308" s="3">
        <f t="shared" si="290"/>
        <v>6.4979326784240093E-3</v>
      </c>
      <c r="P308" s="3">
        <f t="shared" si="290"/>
        <v>6.4979326784239963E-3</v>
      </c>
      <c r="Q308" s="3">
        <f t="shared" si="290"/>
        <v>6.4979326784238593E-3</v>
      </c>
      <c r="R308" s="3">
        <f t="shared" si="290"/>
        <v>6.4979326784224889E-3</v>
      </c>
      <c r="S308" s="3">
        <f t="shared" si="290"/>
        <v>6.4979326784087915E-3</v>
      </c>
      <c r="T308" s="3">
        <f t="shared" si="290"/>
        <v>6.4979326782718151E-3</v>
      </c>
      <c r="U308" s="3">
        <f t="shared" si="290"/>
        <v>6.4979326769020497E-3</v>
      </c>
      <c r="V308" s="3">
        <f t="shared" si="290"/>
        <v>6.4979326632043999E-3</v>
      </c>
      <c r="W308" s="3">
        <f t="shared" si="290"/>
        <v>6.497932526227896E-3</v>
      </c>
      <c r="X308" s="3">
        <f t="shared" si="290"/>
        <v>6.4979311564630181E-3</v>
      </c>
      <c r="Y308" s="3">
        <f t="shared" si="290"/>
        <v>6.4979174588301256E-3</v>
      </c>
      <c r="Z308" s="3">
        <f t="shared" si="290"/>
        <v>6.4977804840892868E-3</v>
      </c>
      <c r="AA308" s="3">
        <f t="shared" si="290"/>
        <v>6.4964108954777954E-3</v>
      </c>
      <c r="AB308" s="3">
        <f t="shared" si="290"/>
        <v>6.4827308766739573E-3</v>
      </c>
      <c r="AC308" s="3">
        <f t="shared" si="290"/>
        <v>6.3475051133411384E-3</v>
      </c>
      <c r="AD308" s="3">
        <f t="shared" si="290"/>
        <v>5.141072473231474E-3</v>
      </c>
      <c r="AE308" s="3">
        <f t="shared" si="290"/>
        <v>6.2454019328651844E-4</v>
      </c>
      <c r="AF308" s="3">
        <f t="shared" si="290"/>
        <v>4.3714656022755335E-13</v>
      </c>
      <c r="AG308" s="3"/>
      <c r="AH308" s="3"/>
    </row>
    <row r="309" spans="1:34" x14ac:dyDescent="0.25">
      <c r="B309" s="3">
        <f t="shared" ref="B309:AF309" si="291">$C39*EXP(-B$285/$A39/EXP(-$F$126))</f>
        <v>1.7266189453767201E-3</v>
      </c>
      <c r="C309" s="3">
        <f t="shared" si="291"/>
        <v>1.7266189453767201E-3</v>
      </c>
      <c r="D309" s="3">
        <f t="shared" si="291"/>
        <v>1.7266189453767201E-3</v>
      </c>
      <c r="E309" s="3">
        <f t="shared" si="291"/>
        <v>1.7266189453767201E-3</v>
      </c>
      <c r="F309" s="3">
        <f t="shared" si="291"/>
        <v>1.7266189453767201E-3</v>
      </c>
      <c r="G309" s="3">
        <f t="shared" si="291"/>
        <v>1.7266189453767201E-3</v>
      </c>
      <c r="H309" s="3">
        <f t="shared" si="291"/>
        <v>1.7266189453767201E-3</v>
      </c>
      <c r="I309" s="3">
        <f t="shared" si="291"/>
        <v>1.7266189453767201E-3</v>
      </c>
      <c r="J309" s="3">
        <f t="shared" si="291"/>
        <v>1.7266189453767201E-3</v>
      </c>
      <c r="K309" s="3">
        <f t="shared" si="291"/>
        <v>1.7266189453767201E-3</v>
      </c>
      <c r="L309" s="3">
        <f t="shared" si="291"/>
        <v>1.7266189453767201E-3</v>
      </c>
      <c r="M309" s="3">
        <f t="shared" si="291"/>
        <v>1.7266189453767201E-3</v>
      </c>
      <c r="N309" s="3">
        <f t="shared" si="291"/>
        <v>1.7266189453767201E-3</v>
      </c>
      <c r="O309" s="3">
        <f t="shared" si="291"/>
        <v>1.7266189453767199E-3</v>
      </c>
      <c r="P309" s="3">
        <f t="shared" si="291"/>
        <v>1.726618945376719E-3</v>
      </c>
      <c r="Q309" s="3">
        <f t="shared" si="291"/>
        <v>1.7266189453767091E-3</v>
      </c>
      <c r="R309" s="3">
        <f t="shared" si="291"/>
        <v>1.7266189453766085E-3</v>
      </c>
      <c r="S309" s="3">
        <f t="shared" si="291"/>
        <v>1.7266189453756017E-3</v>
      </c>
      <c r="T309" s="3">
        <f t="shared" si="291"/>
        <v>1.7266189453655351E-3</v>
      </c>
      <c r="U309" s="3">
        <f t="shared" si="291"/>
        <v>1.7266189452648697E-3</v>
      </c>
      <c r="V309" s="3">
        <f t="shared" si="291"/>
        <v>1.7266189442582157E-3</v>
      </c>
      <c r="W309" s="3">
        <f t="shared" si="291"/>
        <v>1.7266189341916753E-3</v>
      </c>
      <c r="X309" s="3">
        <f t="shared" si="291"/>
        <v>1.7266188335262756E-3</v>
      </c>
      <c r="Y309" s="3">
        <f t="shared" si="291"/>
        <v>1.7266178268726003E-3</v>
      </c>
      <c r="Z309" s="3">
        <f t="shared" si="291"/>
        <v>1.7266077603681268E-3</v>
      </c>
      <c r="AA309" s="3">
        <f t="shared" si="291"/>
        <v>1.726507098551263E-3</v>
      </c>
      <c r="AB309" s="3">
        <f t="shared" si="291"/>
        <v>1.7255008031001693E-3</v>
      </c>
      <c r="AC309" s="3">
        <f t="shared" si="291"/>
        <v>1.7154700508361209E-3</v>
      </c>
      <c r="AD309" s="3">
        <f t="shared" si="291"/>
        <v>1.6183143570160606E-3</v>
      </c>
      <c r="AE309" s="3">
        <f t="shared" si="291"/>
        <v>9.0335895292181225E-4</v>
      </c>
      <c r="AF309" s="3">
        <f t="shared" si="291"/>
        <v>2.6535972815143519E-6</v>
      </c>
      <c r="AG309" s="3"/>
      <c r="AH309" s="3"/>
    </row>
    <row r="310" spans="1:34" x14ac:dyDescent="0.25">
      <c r="B310" s="3">
        <f t="shared" ref="B310:AF310" si="292">$C40*EXP(-B$285/$A40/EXP(-$F$126))</f>
        <v>4.5003340048363309E-3</v>
      </c>
      <c r="C310" s="3">
        <f t="shared" si="292"/>
        <v>4.5003340048363309E-3</v>
      </c>
      <c r="D310" s="3">
        <f t="shared" si="292"/>
        <v>4.5003340048363309E-3</v>
      </c>
      <c r="E310" s="3">
        <f t="shared" si="292"/>
        <v>4.5003340048363309E-3</v>
      </c>
      <c r="F310" s="3">
        <f t="shared" si="292"/>
        <v>4.5003340048363309E-3</v>
      </c>
      <c r="G310" s="3">
        <f t="shared" si="292"/>
        <v>4.5003340048363309E-3</v>
      </c>
      <c r="H310" s="3">
        <f t="shared" si="292"/>
        <v>4.5003340048363309E-3</v>
      </c>
      <c r="I310" s="3">
        <f t="shared" si="292"/>
        <v>4.5003340048363309E-3</v>
      </c>
      <c r="J310" s="3">
        <f t="shared" si="292"/>
        <v>4.5003340048363309E-3</v>
      </c>
      <c r="K310" s="3">
        <f t="shared" si="292"/>
        <v>4.5003340048363309E-3</v>
      </c>
      <c r="L310" s="3">
        <f t="shared" si="292"/>
        <v>4.5003340048363309E-3</v>
      </c>
      <c r="M310" s="3">
        <f t="shared" si="292"/>
        <v>4.5003340048363309E-3</v>
      </c>
      <c r="N310" s="3">
        <f t="shared" si="292"/>
        <v>4.5003340048363309E-3</v>
      </c>
      <c r="O310" s="3">
        <f t="shared" si="292"/>
        <v>4.5003340048363309E-3</v>
      </c>
      <c r="P310" s="3">
        <f t="shared" si="292"/>
        <v>4.5003340048363301E-3</v>
      </c>
      <c r="Q310" s="3">
        <f t="shared" si="292"/>
        <v>4.5003340048363283E-3</v>
      </c>
      <c r="R310" s="3">
        <f t="shared" si="292"/>
        <v>4.5003340048363023E-3</v>
      </c>
      <c r="S310" s="3">
        <f t="shared" si="292"/>
        <v>4.5003340048360395E-3</v>
      </c>
      <c r="T310" s="3">
        <f t="shared" si="292"/>
        <v>4.5003340048334157E-3</v>
      </c>
      <c r="U310" s="3">
        <f t="shared" si="292"/>
        <v>4.5003340048071772E-3</v>
      </c>
      <c r="V310" s="3">
        <f t="shared" si="292"/>
        <v>4.5003340045447994E-3</v>
      </c>
      <c r="W310" s="3">
        <f t="shared" si="292"/>
        <v>4.5003340019210128E-3</v>
      </c>
      <c r="X310" s="3">
        <f t="shared" si="292"/>
        <v>4.5003339756831484E-3</v>
      </c>
      <c r="Y310" s="3">
        <f t="shared" si="292"/>
        <v>4.500333713304514E-3</v>
      </c>
      <c r="Z310" s="3">
        <f t="shared" si="292"/>
        <v>4.5003310895190057E-3</v>
      </c>
      <c r="AA310" s="3">
        <f t="shared" si="292"/>
        <v>4.5003048517480645E-3</v>
      </c>
      <c r="AB310" s="3">
        <f t="shared" si="292"/>
        <v>4.5000424824519127E-3</v>
      </c>
      <c r="AC310" s="3">
        <f t="shared" si="292"/>
        <v>4.497419630635306E-3</v>
      </c>
      <c r="AD310" s="3">
        <f t="shared" si="292"/>
        <v>4.4712750457928541E-3</v>
      </c>
      <c r="AE310" s="3">
        <f t="shared" si="292"/>
        <v>4.2180442597919005E-3</v>
      </c>
      <c r="AF310" s="3">
        <f t="shared" si="292"/>
        <v>2.3545536930966353E-3</v>
      </c>
      <c r="AG310" s="3"/>
      <c r="AH310" s="3"/>
    </row>
    <row r="311" spans="1:34" x14ac:dyDescent="0.25">
      <c r="B311" s="3">
        <f t="shared" ref="B311:AF311" si="293">$C41*EXP(-B$285/$A41/EXP(-$F$126))</f>
        <v>6.1948117203855881E-4</v>
      </c>
      <c r="C311" s="3">
        <f t="shared" si="293"/>
        <v>6.1948117203855881E-4</v>
      </c>
      <c r="D311" s="3">
        <f t="shared" si="293"/>
        <v>6.1948117203855881E-4</v>
      </c>
      <c r="E311" s="3">
        <f t="shared" si="293"/>
        <v>6.1948117203855881E-4</v>
      </c>
      <c r="F311" s="3">
        <f t="shared" si="293"/>
        <v>6.1948117203855881E-4</v>
      </c>
      <c r="G311" s="3">
        <f t="shared" si="293"/>
        <v>6.1948117203855881E-4</v>
      </c>
      <c r="H311" s="3">
        <f t="shared" si="293"/>
        <v>6.1948117203855881E-4</v>
      </c>
      <c r="I311" s="3">
        <f t="shared" si="293"/>
        <v>6.1948117203855881E-4</v>
      </c>
      <c r="J311" s="3">
        <f t="shared" si="293"/>
        <v>6.1948117203855881E-4</v>
      </c>
      <c r="K311" s="3">
        <f t="shared" si="293"/>
        <v>6.1948117203855881E-4</v>
      </c>
      <c r="L311" s="3">
        <f t="shared" si="293"/>
        <v>6.1948117203855881E-4</v>
      </c>
      <c r="M311" s="3">
        <f t="shared" si="293"/>
        <v>6.1948117203855881E-4</v>
      </c>
      <c r="N311" s="3">
        <f t="shared" si="293"/>
        <v>6.1948117203855881E-4</v>
      </c>
      <c r="O311" s="3">
        <f t="shared" si="293"/>
        <v>6.1948117203855881E-4</v>
      </c>
      <c r="P311" s="3">
        <f t="shared" si="293"/>
        <v>6.1948117203855881E-4</v>
      </c>
      <c r="Q311" s="3">
        <f t="shared" si="293"/>
        <v>6.1948117203855871E-4</v>
      </c>
      <c r="R311" s="3">
        <f t="shared" si="293"/>
        <v>6.1948117203855838E-4</v>
      </c>
      <c r="S311" s="3">
        <f t="shared" si="293"/>
        <v>6.194811720385548E-4</v>
      </c>
      <c r="T311" s="3">
        <f t="shared" si="293"/>
        <v>6.194811720385187E-4</v>
      </c>
      <c r="U311" s="3">
        <f t="shared" si="293"/>
        <v>6.1948117203815755E-4</v>
      </c>
      <c r="V311" s="3">
        <f t="shared" si="293"/>
        <v>6.1948117203454575E-4</v>
      </c>
      <c r="W311" s="3">
        <f t="shared" si="293"/>
        <v>6.1948117199842881E-4</v>
      </c>
      <c r="X311" s="3">
        <f t="shared" si="293"/>
        <v>6.1948117163725873E-4</v>
      </c>
      <c r="Y311" s="3">
        <f t="shared" si="293"/>
        <v>6.1948116802555719E-4</v>
      </c>
      <c r="Z311" s="3">
        <f t="shared" si="293"/>
        <v>6.1948113190854362E-4</v>
      </c>
      <c r="AA311" s="3">
        <f t="shared" si="293"/>
        <v>6.1948077073852384E-4</v>
      </c>
      <c r="AB311" s="3">
        <f t="shared" si="293"/>
        <v>6.1947715904990769E-4</v>
      </c>
      <c r="AC311" s="3">
        <f t="shared" si="293"/>
        <v>6.194410433218501E-4</v>
      </c>
      <c r="AD311" s="3">
        <f t="shared" si="293"/>
        <v>6.1908000182677684E-4</v>
      </c>
      <c r="AE311" s="3">
        <f t="shared" si="293"/>
        <v>6.1548114048820546E-4</v>
      </c>
      <c r="AF311" s="3">
        <f t="shared" si="293"/>
        <v>5.8062334905771779E-4</v>
      </c>
      <c r="AG311" s="3"/>
      <c r="AH311" s="3"/>
    </row>
    <row r="312" spans="1:34" x14ac:dyDescent="0.25">
      <c r="B312" s="3">
        <f t="shared" ref="B312:AF312" si="294">$C42*EXP(-B$285/$A42/EXP(-$F$126))</f>
        <v>7.8921984991154562E-4</v>
      </c>
      <c r="C312" s="3">
        <f t="shared" si="294"/>
        <v>7.8921984991154562E-4</v>
      </c>
      <c r="D312" s="3">
        <f t="shared" si="294"/>
        <v>7.8921984991154562E-4</v>
      </c>
      <c r="E312" s="3">
        <f t="shared" si="294"/>
        <v>7.8921984991154562E-4</v>
      </c>
      <c r="F312" s="3">
        <f t="shared" si="294"/>
        <v>7.8921984991154562E-4</v>
      </c>
      <c r="G312" s="3">
        <f t="shared" si="294"/>
        <v>7.8921984991154562E-4</v>
      </c>
      <c r="H312" s="3">
        <f t="shared" si="294"/>
        <v>7.8921984991154562E-4</v>
      </c>
      <c r="I312" s="3">
        <f t="shared" si="294"/>
        <v>7.8921984991154562E-4</v>
      </c>
      <c r="J312" s="3">
        <f t="shared" si="294"/>
        <v>7.8921984991154562E-4</v>
      </c>
      <c r="K312" s="3">
        <f t="shared" si="294"/>
        <v>7.8921984991154562E-4</v>
      </c>
      <c r="L312" s="3">
        <f t="shared" si="294"/>
        <v>7.8921984991154562E-4</v>
      </c>
      <c r="M312" s="3">
        <f t="shared" si="294"/>
        <v>7.8921984991154562E-4</v>
      </c>
      <c r="N312" s="3">
        <f t="shared" si="294"/>
        <v>7.8921984991154562E-4</v>
      </c>
      <c r="O312" s="3">
        <f t="shared" si="294"/>
        <v>7.8921984991154562E-4</v>
      </c>
      <c r="P312" s="3">
        <f t="shared" si="294"/>
        <v>7.8921984991154562E-4</v>
      </c>
      <c r="Q312" s="3">
        <f t="shared" si="294"/>
        <v>7.8921984991154562E-4</v>
      </c>
      <c r="R312" s="3">
        <f t="shared" si="294"/>
        <v>7.8921984991154551E-4</v>
      </c>
      <c r="S312" s="3">
        <f t="shared" si="294"/>
        <v>7.8921984991154508E-4</v>
      </c>
      <c r="T312" s="3">
        <f t="shared" si="294"/>
        <v>7.8921984991154053E-4</v>
      </c>
      <c r="U312" s="3">
        <f t="shared" si="294"/>
        <v>7.8921984991149456E-4</v>
      </c>
      <c r="V312" s="3">
        <f t="shared" si="294"/>
        <v>7.8921984991103431E-4</v>
      </c>
      <c r="W312" s="3">
        <f t="shared" si="294"/>
        <v>7.8921984990643307E-4</v>
      </c>
      <c r="X312" s="3">
        <f t="shared" si="294"/>
        <v>7.8921984986041985E-4</v>
      </c>
      <c r="Y312" s="3">
        <f t="shared" si="294"/>
        <v>7.8921984940028868E-4</v>
      </c>
      <c r="Z312" s="3">
        <f t="shared" si="294"/>
        <v>7.8921984479897607E-4</v>
      </c>
      <c r="AA312" s="3">
        <f t="shared" si="294"/>
        <v>7.892197987858521E-4</v>
      </c>
      <c r="AB312" s="3">
        <f t="shared" si="294"/>
        <v>7.8921933865475904E-4</v>
      </c>
      <c r="AC312" s="3">
        <f t="shared" si="294"/>
        <v>7.8921473735858369E-4</v>
      </c>
      <c r="AD312" s="3">
        <f t="shared" si="294"/>
        <v>7.8916872587225676E-4</v>
      </c>
      <c r="AE312" s="3">
        <f t="shared" si="294"/>
        <v>7.8870875851987403E-4</v>
      </c>
      <c r="AF312" s="3">
        <f t="shared" si="294"/>
        <v>7.8412380431354509E-4</v>
      </c>
      <c r="AG312" s="3"/>
      <c r="AH312" s="3"/>
    </row>
    <row r="313" spans="1:34" x14ac:dyDescent="0.25">
      <c r="B313" s="3">
        <f t="shared" ref="B313:AF313" si="295">$C43*EXP(-B$285/$A43/EXP(-$F$126))</f>
        <v>3.1383864234018747E-3</v>
      </c>
      <c r="C313" s="3">
        <f t="shared" si="295"/>
        <v>3.1383864234018747E-3</v>
      </c>
      <c r="D313" s="3">
        <f t="shared" si="295"/>
        <v>3.1383864234018747E-3</v>
      </c>
      <c r="E313" s="3">
        <f t="shared" si="295"/>
        <v>3.1383864234018747E-3</v>
      </c>
      <c r="F313" s="3">
        <f t="shared" si="295"/>
        <v>3.1383864234018747E-3</v>
      </c>
      <c r="G313" s="3">
        <f t="shared" si="295"/>
        <v>3.1383864234018747E-3</v>
      </c>
      <c r="H313" s="3">
        <f t="shared" si="295"/>
        <v>3.1383864234018747E-3</v>
      </c>
      <c r="I313" s="3">
        <f t="shared" si="295"/>
        <v>3.1383864234018747E-3</v>
      </c>
      <c r="J313" s="3">
        <f t="shared" si="295"/>
        <v>3.1383864234018747E-3</v>
      </c>
      <c r="K313" s="3">
        <f t="shared" si="295"/>
        <v>3.1383864234018747E-3</v>
      </c>
      <c r="L313" s="3">
        <f t="shared" si="295"/>
        <v>3.1383864234018747E-3</v>
      </c>
      <c r="M313" s="3">
        <f t="shared" si="295"/>
        <v>3.1383864234018747E-3</v>
      </c>
      <c r="N313" s="3">
        <f t="shared" si="295"/>
        <v>3.1383864234018747E-3</v>
      </c>
      <c r="O313" s="3">
        <f t="shared" si="295"/>
        <v>3.1383864234018747E-3</v>
      </c>
      <c r="P313" s="3">
        <f t="shared" si="295"/>
        <v>3.1383864234018747E-3</v>
      </c>
      <c r="Q313" s="3">
        <f t="shared" si="295"/>
        <v>3.1383864234018747E-3</v>
      </c>
      <c r="R313" s="3">
        <f t="shared" si="295"/>
        <v>3.1383864234018747E-3</v>
      </c>
      <c r="S313" s="3">
        <f t="shared" si="295"/>
        <v>3.1383864234018743E-3</v>
      </c>
      <c r="T313" s="3">
        <f t="shared" si="295"/>
        <v>3.1383864234018725E-3</v>
      </c>
      <c r="U313" s="3">
        <f t="shared" si="295"/>
        <v>3.1383864234018543E-3</v>
      </c>
      <c r="V313" s="3">
        <f t="shared" si="295"/>
        <v>3.1383864234016717E-3</v>
      </c>
      <c r="W313" s="3">
        <f t="shared" si="295"/>
        <v>3.1383864233998416E-3</v>
      </c>
      <c r="X313" s="3">
        <f t="shared" si="295"/>
        <v>3.1383864233815442E-3</v>
      </c>
      <c r="Y313" s="3">
        <f t="shared" si="295"/>
        <v>3.1383864231985699E-3</v>
      </c>
      <c r="Z313" s="3">
        <f t="shared" si="295"/>
        <v>3.1383864213688269E-3</v>
      </c>
      <c r="AA313" s="3">
        <f t="shared" si="295"/>
        <v>3.1383864030713944E-3</v>
      </c>
      <c r="AB313" s="3">
        <f t="shared" si="295"/>
        <v>3.1383862200970764E-3</v>
      </c>
      <c r="AC313" s="3">
        <f t="shared" si="295"/>
        <v>3.1383843903544824E-3</v>
      </c>
      <c r="AD313" s="3">
        <f t="shared" si="295"/>
        <v>3.1383660929872174E-3</v>
      </c>
      <c r="AE313" s="3">
        <f t="shared" si="295"/>
        <v>3.1381831251816998E-3</v>
      </c>
      <c r="AF313" s="3">
        <f t="shared" si="295"/>
        <v>3.1363540337136027E-3</v>
      </c>
      <c r="AG313" s="3"/>
      <c r="AH313" s="3"/>
    </row>
    <row r="314" spans="1:34" x14ac:dyDescent="0.25">
      <c r="B314" s="3">
        <f t="shared" ref="B314:AF314" si="296">$C44*EXP(-B$285/$A44/EXP(-$F$126))</f>
        <v>4.3963079363277776E-4</v>
      </c>
      <c r="C314" s="3">
        <f t="shared" si="296"/>
        <v>4.3963079363277776E-4</v>
      </c>
      <c r="D314" s="3">
        <f t="shared" si="296"/>
        <v>4.3963079363277776E-4</v>
      </c>
      <c r="E314" s="3">
        <f t="shared" si="296"/>
        <v>4.3963079363277776E-4</v>
      </c>
      <c r="F314" s="3">
        <f t="shared" si="296"/>
        <v>4.3963079363277776E-4</v>
      </c>
      <c r="G314" s="3">
        <f t="shared" si="296"/>
        <v>4.3963079363277776E-4</v>
      </c>
      <c r="H314" s="3">
        <f t="shared" si="296"/>
        <v>4.3963079363277776E-4</v>
      </c>
      <c r="I314" s="3">
        <f t="shared" si="296"/>
        <v>4.3963079363277776E-4</v>
      </c>
      <c r="J314" s="3">
        <f t="shared" si="296"/>
        <v>4.3963079363277776E-4</v>
      </c>
      <c r="K314" s="3">
        <f t="shared" si="296"/>
        <v>4.3963079363277776E-4</v>
      </c>
      <c r="L314" s="3">
        <f t="shared" si="296"/>
        <v>4.3963079363277776E-4</v>
      </c>
      <c r="M314" s="3">
        <f t="shared" si="296"/>
        <v>4.3963079363277776E-4</v>
      </c>
      <c r="N314" s="3">
        <f t="shared" si="296"/>
        <v>4.3963079363277776E-4</v>
      </c>
      <c r="O314" s="3">
        <f t="shared" si="296"/>
        <v>4.3963079363277776E-4</v>
      </c>
      <c r="P314" s="3">
        <f t="shared" si="296"/>
        <v>4.3963079363277776E-4</v>
      </c>
      <c r="Q314" s="3">
        <f t="shared" si="296"/>
        <v>4.3963079363277776E-4</v>
      </c>
      <c r="R314" s="3">
        <f t="shared" si="296"/>
        <v>4.3963079363277776E-4</v>
      </c>
      <c r="S314" s="3">
        <f t="shared" si="296"/>
        <v>4.3963079363277776E-4</v>
      </c>
      <c r="T314" s="3">
        <f t="shared" si="296"/>
        <v>4.396307936327777E-4</v>
      </c>
      <c r="U314" s="3">
        <f t="shared" si="296"/>
        <v>4.3963079363277749E-4</v>
      </c>
      <c r="V314" s="3">
        <f t="shared" si="296"/>
        <v>4.3963079363277494E-4</v>
      </c>
      <c r="W314" s="3">
        <f t="shared" si="296"/>
        <v>4.396307936327493E-4</v>
      </c>
      <c r="X314" s="3">
        <f t="shared" si="296"/>
        <v>4.3963079363249294E-4</v>
      </c>
      <c r="Y314" s="3">
        <f t="shared" si="296"/>
        <v>4.3963079362992983E-4</v>
      </c>
      <c r="Z314" s="3">
        <f t="shared" si="296"/>
        <v>4.3963079360429842E-4</v>
      </c>
      <c r="AA314" s="3">
        <f t="shared" si="296"/>
        <v>4.3963079334798479E-4</v>
      </c>
      <c r="AB314" s="3">
        <f t="shared" si="296"/>
        <v>4.3963079078484759E-4</v>
      </c>
      <c r="AC314" s="3">
        <f t="shared" si="296"/>
        <v>4.396307651534773E-4</v>
      </c>
      <c r="AD314" s="3">
        <f t="shared" si="296"/>
        <v>4.396305088398562E-4</v>
      </c>
      <c r="AE314" s="3">
        <f t="shared" si="296"/>
        <v>4.3962794571186396E-4</v>
      </c>
      <c r="AF314" s="3">
        <f t="shared" si="296"/>
        <v>4.3960231525382059E-4</v>
      </c>
      <c r="AG314" s="3"/>
      <c r="AH314" s="3"/>
    </row>
    <row r="315" spans="1:34" x14ac:dyDescent="0.25">
      <c r="B315" s="3">
        <f t="shared" ref="B315:AF315" si="297">$C45*EXP(-B$285/$A45/EXP(-$F$126))</f>
        <v>3.9367491924485783E-5</v>
      </c>
      <c r="C315" s="3">
        <f t="shared" si="297"/>
        <v>3.9367491924485783E-5</v>
      </c>
      <c r="D315" s="3">
        <f t="shared" si="297"/>
        <v>3.9367491924485783E-5</v>
      </c>
      <c r="E315" s="3">
        <f t="shared" si="297"/>
        <v>3.9367491924485783E-5</v>
      </c>
      <c r="F315" s="3">
        <f t="shared" si="297"/>
        <v>3.9367491924485783E-5</v>
      </c>
      <c r="G315" s="3">
        <f t="shared" si="297"/>
        <v>3.9367491924485783E-5</v>
      </c>
      <c r="H315" s="3">
        <f t="shared" si="297"/>
        <v>3.9367491924485783E-5</v>
      </c>
      <c r="I315" s="3">
        <f t="shared" si="297"/>
        <v>3.9367491924485783E-5</v>
      </c>
      <c r="J315" s="3">
        <f t="shared" si="297"/>
        <v>3.9367491924485783E-5</v>
      </c>
      <c r="K315" s="3">
        <f t="shared" si="297"/>
        <v>3.9367491924485783E-5</v>
      </c>
      <c r="L315" s="3">
        <f t="shared" si="297"/>
        <v>3.9367491924485783E-5</v>
      </c>
      <c r="M315" s="3">
        <f t="shared" si="297"/>
        <v>3.9367491924485783E-5</v>
      </c>
      <c r="N315" s="3">
        <f t="shared" si="297"/>
        <v>3.9367491924485783E-5</v>
      </c>
      <c r="O315" s="3">
        <f t="shared" si="297"/>
        <v>3.9367491924485783E-5</v>
      </c>
      <c r="P315" s="3">
        <f t="shared" si="297"/>
        <v>3.9367491924485783E-5</v>
      </c>
      <c r="Q315" s="3">
        <f t="shared" si="297"/>
        <v>3.9367491924485783E-5</v>
      </c>
      <c r="R315" s="3">
        <f t="shared" si="297"/>
        <v>3.9367491924485783E-5</v>
      </c>
      <c r="S315" s="3">
        <f t="shared" si="297"/>
        <v>3.9367491924485783E-5</v>
      </c>
      <c r="T315" s="3">
        <f t="shared" si="297"/>
        <v>3.9367491924485783E-5</v>
      </c>
      <c r="U315" s="3">
        <f t="shared" si="297"/>
        <v>3.9367491924485776E-5</v>
      </c>
      <c r="V315" s="3">
        <f t="shared" si="297"/>
        <v>3.9367491924485756E-5</v>
      </c>
      <c r="W315" s="3">
        <f t="shared" si="297"/>
        <v>3.9367491924485532E-5</v>
      </c>
      <c r="X315" s="3">
        <f t="shared" si="297"/>
        <v>3.9367491924483235E-5</v>
      </c>
      <c r="Y315" s="3">
        <f t="shared" si="297"/>
        <v>3.9367491924460277E-5</v>
      </c>
      <c r="Z315" s="3">
        <f t="shared" si="297"/>
        <v>3.9367491924230758E-5</v>
      </c>
      <c r="AA315" s="3">
        <f t="shared" si="297"/>
        <v>3.9367491921935557E-5</v>
      </c>
      <c r="AB315" s="3">
        <f t="shared" si="297"/>
        <v>3.9367491898983505E-5</v>
      </c>
      <c r="AC315" s="3">
        <f t="shared" si="297"/>
        <v>3.9367491669463001E-5</v>
      </c>
      <c r="AD315" s="3">
        <f t="shared" si="297"/>
        <v>3.9367489374258074E-5</v>
      </c>
      <c r="AE315" s="3">
        <f t="shared" si="297"/>
        <v>3.9367466422216148E-5</v>
      </c>
      <c r="AF315" s="3">
        <f t="shared" si="297"/>
        <v>3.9367236902532819E-5</v>
      </c>
      <c r="AG315" s="3"/>
      <c r="AH315" s="3"/>
    </row>
    <row r="316" spans="1:34" x14ac:dyDescent="0.25">
      <c r="B316" s="3">
        <f t="shared" ref="B316:AF316" si="298">$C46*EXP(-B$285/$A46/EXP(-$F$126))</f>
        <v>2.469113716916911E-6</v>
      </c>
      <c r="C316" s="3">
        <f t="shared" si="298"/>
        <v>2.469113716916911E-6</v>
      </c>
      <c r="D316" s="3">
        <f t="shared" si="298"/>
        <v>2.469113716916911E-6</v>
      </c>
      <c r="E316" s="3">
        <f t="shared" si="298"/>
        <v>2.469113716916911E-6</v>
      </c>
      <c r="F316" s="3">
        <f t="shared" si="298"/>
        <v>2.469113716916911E-6</v>
      </c>
      <c r="G316" s="3">
        <f t="shared" si="298"/>
        <v>2.469113716916911E-6</v>
      </c>
      <c r="H316" s="3">
        <f t="shared" si="298"/>
        <v>2.469113716916911E-6</v>
      </c>
      <c r="I316" s="3">
        <f t="shared" si="298"/>
        <v>2.469113716916911E-6</v>
      </c>
      <c r="J316" s="3">
        <f t="shared" si="298"/>
        <v>2.469113716916911E-6</v>
      </c>
      <c r="K316" s="3">
        <f t="shared" si="298"/>
        <v>2.469113716916911E-6</v>
      </c>
      <c r="L316" s="3">
        <f t="shared" si="298"/>
        <v>2.469113716916911E-6</v>
      </c>
      <c r="M316" s="3">
        <f t="shared" si="298"/>
        <v>2.469113716916911E-6</v>
      </c>
      <c r="N316" s="3">
        <f t="shared" si="298"/>
        <v>2.469113716916911E-6</v>
      </c>
      <c r="O316" s="3">
        <f t="shared" si="298"/>
        <v>2.469113716916911E-6</v>
      </c>
      <c r="P316" s="3">
        <f t="shared" si="298"/>
        <v>2.469113716916911E-6</v>
      </c>
      <c r="Q316" s="3">
        <f t="shared" si="298"/>
        <v>2.469113716916911E-6</v>
      </c>
      <c r="R316" s="3">
        <f t="shared" si="298"/>
        <v>2.469113716916911E-6</v>
      </c>
      <c r="S316" s="3">
        <f t="shared" si="298"/>
        <v>2.469113716916911E-6</v>
      </c>
      <c r="T316" s="3">
        <f t="shared" si="298"/>
        <v>2.469113716916911E-6</v>
      </c>
      <c r="U316" s="3">
        <f t="shared" si="298"/>
        <v>2.469113716916911E-6</v>
      </c>
      <c r="V316" s="3">
        <f t="shared" si="298"/>
        <v>2.4691137169169106E-6</v>
      </c>
      <c r="W316" s="3">
        <f t="shared" si="298"/>
        <v>2.4691137169169093E-6</v>
      </c>
      <c r="X316" s="3">
        <f t="shared" si="298"/>
        <v>2.4691137169168949E-6</v>
      </c>
      <c r="Y316" s="3">
        <f t="shared" si="298"/>
        <v>2.4691137169167514E-6</v>
      </c>
      <c r="Z316" s="3">
        <f t="shared" si="298"/>
        <v>2.4691137169153114E-6</v>
      </c>
      <c r="AA316" s="3">
        <f t="shared" si="298"/>
        <v>2.4691137169009161E-6</v>
      </c>
      <c r="AB316" s="3">
        <f t="shared" si="298"/>
        <v>2.4691137167569616E-6</v>
      </c>
      <c r="AC316" s="3">
        <f t="shared" si="298"/>
        <v>2.4691137153174181E-6</v>
      </c>
      <c r="AD316" s="3">
        <f t="shared" si="298"/>
        <v>2.4691137009219817E-6</v>
      </c>
      <c r="AE316" s="3">
        <f t="shared" si="298"/>
        <v>2.4691135569676253E-6</v>
      </c>
      <c r="AF316" s="3">
        <f t="shared" si="298"/>
        <v>2.4691121174245202E-6</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80">
        <f>AVERAGE(B319:AF319)</f>
        <v>2.4144215172867266E-2</v>
      </c>
      <c r="B319" s="81">
        <f>IF($A$64&lt;=B285,IF($B$64&gt;=B285,ABS((B287-B286)/B286),0),0)</f>
        <v>1.1864681984282095E-2</v>
      </c>
      <c r="C319" s="81">
        <f t="shared" ref="C319:AF319" si="301">IF($A$64&lt;=C285,IF($B$64&gt;=C285,ABS((C287-C286)/C286),0),0)</f>
        <v>3.7840737374570249E-2</v>
      </c>
      <c r="D319" s="81">
        <f t="shared" si="301"/>
        <v>2.6601478767285042E-2</v>
      </c>
      <c r="E319" s="81">
        <f t="shared" si="301"/>
        <v>0.11733952450691226</v>
      </c>
      <c r="F319" s="81">
        <f t="shared" si="301"/>
        <v>9.6162675598445713E-2</v>
      </c>
      <c r="G319" s="81">
        <f t="shared" si="301"/>
        <v>7.2033618158672985E-2</v>
      </c>
      <c r="H319" s="81">
        <f t="shared" si="301"/>
        <v>4.354023852009177E-2</v>
      </c>
      <c r="I319" s="81">
        <f t="shared" si="301"/>
        <v>1.1885939489024911E-2</v>
      </c>
      <c r="J319" s="81">
        <f t="shared" si="301"/>
        <v>1.320290853038905E-2</v>
      </c>
      <c r="K319" s="81">
        <f t="shared" si="301"/>
        <v>4.1835202622727084E-3</v>
      </c>
      <c r="L319" s="81">
        <f t="shared" si="301"/>
        <v>4.6005459206280609E-3</v>
      </c>
      <c r="M319" s="81">
        <f t="shared" si="301"/>
        <v>3.6954828300966264E-3</v>
      </c>
      <c r="N319" s="81">
        <f t="shared" si="301"/>
        <v>3.2511775920307097E-3</v>
      </c>
      <c r="O319" s="81">
        <f t="shared" si="301"/>
        <v>2.4563123627871259E-3</v>
      </c>
      <c r="P319" s="81">
        <f t="shared" si="301"/>
        <v>3.2060256911095458E-3</v>
      </c>
      <c r="Q319" s="81">
        <f t="shared" si="301"/>
        <v>1.137722085941149E-3</v>
      </c>
      <c r="R319" s="81">
        <f t="shared" si="301"/>
        <v>4.7777702636342696E-3</v>
      </c>
      <c r="S319" s="81">
        <f t="shared" si="301"/>
        <v>1.7491251448321515E-2</v>
      </c>
      <c r="T319" s="81">
        <f t="shared" si="301"/>
        <v>3.0336439624705426E-2</v>
      </c>
      <c r="U319" s="81">
        <f t="shared" si="301"/>
        <v>4.0778633299173507E-2</v>
      </c>
      <c r="V319" s="81">
        <f t="shared" si="301"/>
        <v>4.718483031774761E-2</v>
      </c>
      <c r="W319" s="81">
        <f t="shared" si="301"/>
        <v>4.914554835405336E-2</v>
      </c>
      <c r="X319" s="81">
        <f t="shared" si="301"/>
        <v>4.1255334851893651E-2</v>
      </c>
      <c r="Y319" s="81">
        <f t="shared" si="301"/>
        <v>2.5263656180165232E-2</v>
      </c>
      <c r="Z319" s="81">
        <f t="shared" si="301"/>
        <v>7.3783377014061133E-3</v>
      </c>
      <c r="AA319" s="81">
        <f t="shared" si="301"/>
        <v>5.040704310471906E-3</v>
      </c>
      <c r="AB319" s="81">
        <f t="shared" si="301"/>
        <v>1.0546935211656457E-2</v>
      </c>
      <c r="AC319" s="81">
        <f t="shared" si="301"/>
        <v>4.6847002441016668E-3</v>
      </c>
      <c r="AD319" s="81">
        <f t="shared" si="301"/>
        <v>2.0565291879697245E-3</v>
      </c>
      <c r="AE319" s="81">
        <f t="shared" si="301"/>
        <v>4.2906419683220202E-3</v>
      </c>
      <c r="AF319" s="81">
        <f t="shared" si="301"/>
        <v>5.2367677207226949E-3</v>
      </c>
    </row>
    <row r="320" spans="1:34" x14ac:dyDescent="0.25">
      <c r="B320" s="21">
        <f>(B287-B286)^2</f>
        <v>4322.5588951522386</v>
      </c>
      <c r="C320" s="21">
        <f t="shared" ref="C320:AF320" si="302">(C287-C286)^2</f>
        <v>40880.914642894953</v>
      </c>
      <c r="D320" s="21">
        <f t="shared" si="302"/>
        <v>19359.558646187535</v>
      </c>
      <c r="E320" s="21">
        <f t="shared" si="302"/>
        <v>360955.03226167161</v>
      </c>
      <c r="F320" s="21">
        <f t="shared" si="302"/>
        <v>231025.25084926118</v>
      </c>
      <c r="G320" s="21">
        <f t="shared" si="302"/>
        <v>122976.84250277287</v>
      </c>
      <c r="H320" s="21">
        <f t="shared" si="302"/>
        <v>42283.421025876749</v>
      </c>
      <c r="I320" s="21">
        <f t="shared" si="302"/>
        <v>2945.962787760393</v>
      </c>
      <c r="J320" s="21">
        <f t="shared" si="302"/>
        <v>3387.7243792522104</v>
      </c>
      <c r="K320" s="21">
        <f t="shared" si="302"/>
        <v>317.05006616995689</v>
      </c>
      <c r="L320" s="21">
        <f t="shared" si="302"/>
        <v>353.82380293518986</v>
      </c>
      <c r="M320" s="21">
        <f t="shared" si="302"/>
        <v>206.28604341597145</v>
      </c>
      <c r="N320" s="21">
        <f t="shared" si="302"/>
        <v>142.68258017199466</v>
      </c>
      <c r="O320" s="21">
        <f t="shared" si="302"/>
        <v>73.509183797205282</v>
      </c>
      <c r="P320" s="21">
        <f t="shared" si="302"/>
        <v>113.88581608183172</v>
      </c>
      <c r="Q320" s="21">
        <f t="shared" si="302"/>
        <v>12.947204002758024</v>
      </c>
      <c r="R320" s="21">
        <f t="shared" si="302"/>
        <v>203.94807739926404</v>
      </c>
      <c r="S320" s="21">
        <f t="shared" si="302"/>
        <v>2395.4917495966224</v>
      </c>
      <c r="T320" s="21">
        <f t="shared" si="302"/>
        <v>6218.847241777019</v>
      </c>
      <c r="U320" s="21">
        <f t="shared" si="302"/>
        <v>9499.1743723914751</v>
      </c>
      <c r="V320" s="21">
        <f t="shared" si="302"/>
        <v>10536.179965091547</v>
      </c>
      <c r="W320" s="21">
        <f t="shared" si="302"/>
        <v>9134.6771502858155</v>
      </c>
      <c r="X320" s="21">
        <f t="shared" si="302"/>
        <v>4874.3735126644497</v>
      </c>
      <c r="Y320" s="21">
        <f t="shared" si="302"/>
        <v>1259.6713786372095</v>
      </c>
      <c r="Z320" s="21">
        <f t="shared" si="302"/>
        <v>64.85131705306577</v>
      </c>
      <c r="AA320" s="21">
        <f t="shared" si="302"/>
        <v>15.879851966592618</v>
      </c>
      <c r="AB320" s="21">
        <f t="shared" si="302"/>
        <v>34.195208088217399</v>
      </c>
      <c r="AC320" s="21">
        <f t="shared" si="302"/>
        <v>3.5519747022192751</v>
      </c>
      <c r="AD320" s="21">
        <f t="shared" si="302"/>
        <v>0.44267133057022279</v>
      </c>
      <c r="AE320" s="21">
        <f t="shared" si="302"/>
        <v>1.4885218346640756</v>
      </c>
      <c r="AF320" s="21">
        <f t="shared" si="302"/>
        <v>1.9247753288524436</v>
      </c>
      <c r="AG320" s="3"/>
      <c r="AH320" s="3"/>
    </row>
    <row r="321" spans="1:34" x14ac:dyDescent="0.25">
      <c r="A321" s="72">
        <f>SUM(B321:AF321)</f>
        <v>873602.14845555217</v>
      </c>
      <c r="B321" s="60">
        <f>IF($A$64&lt;=B285,IF($B$64&gt;=B285,ABS(B320),0),0)</f>
        <v>4322.5588951522386</v>
      </c>
      <c r="C321" s="60">
        <f t="shared" ref="C321" si="303">IF($A$64&lt;=C285,IF($B$64&gt;=C285,ABS(C320),0),0)</f>
        <v>40880.914642894953</v>
      </c>
      <c r="D321" s="60">
        <f t="shared" ref="D321" si="304">IF($A$64&lt;=D285,IF($B$64&gt;=D285,ABS(D320),0),0)</f>
        <v>19359.558646187535</v>
      </c>
      <c r="E321" s="60">
        <f t="shared" ref="E321" si="305">IF($A$64&lt;=E285,IF($B$64&gt;=E285,ABS(E320),0),0)</f>
        <v>360955.03226167161</v>
      </c>
      <c r="F321" s="60">
        <f t="shared" ref="F321" si="306">IF($A$64&lt;=F285,IF($B$64&gt;=F285,ABS(F320),0),0)</f>
        <v>231025.25084926118</v>
      </c>
      <c r="G321" s="60">
        <f t="shared" ref="G321" si="307">IF($A$64&lt;=G285,IF($B$64&gt;=G285,ABS(G320),0),0)</f>
        <v>122976.84250277287</v>
      </c>
      <c r="H321" s="60">
        <f t="shared" ref="H321" si="308">IF($A$64&lt;=H285,IF($B$64&gt;=H285,ABS(H320),0),0)</f>
        <v>42283.421025876749</v>
      </c>
      <c r="I321" s="60">
        <f t="shared" ref="I321" si="309">IF($A$64&lt;=I285,IF($B$64&gt;=I285,ABS(I320),0),0)</f>
        <v>2945.962787760393</v>
      </c>
      <c r="J321" s="60">
        <f t="shared" ref="J321" si="310">IF($A$64&lt;=J285,IF($B$64&gt;=J285,ABS(J320),0),0)</f>
        <v>3387.7243792522104</v>
      </c>
      <c r="K321" s="60">
        <f t="shared" ref="K321" si="311">IF($A$64&lt;=K285,IF($B$64&gt;=K285,ABS(K320),0),0)</f>
        <v>317.05006616995689</v>
      </c>
      <c r="L321" s="60">
        <f t="shared" ref="L321" si="312">IF($A$64&lt;=L285,IF($B$64&gt;=L285,ABS(L320),0),0)</f>
        <v>353.82380293518986</v>
      </c>
      <c r="M321" s="60">
        <f t="shared" ref="M321" si="313">IF($A$64&lt;=M285,IF($B$64&gt;=M285,ABS(M320),0),0)</f>
        <v>206.28604341597145</v>
      </c>
      <c r="N321" s="60">
        <f t="shared" ref="N321" si="314">IF($A$64&lt;=N285,IF($B$64&gt;=N285,ABS(N320),0),0)</f>
        <v>142.68258017199466</v>
      </c>
      <c r="O321" s="60">
        <f t="shared" ref="O321" si="315">IF($A$64&lt;=O285,IF($B$64&gt;=O285,ABS(O320),0),0)</f>
        <v>73.509183797205282</v>
      </c>
      <c r="P321" s="60">
        <f t="shared" ref="P321" si="316">IF($A$64&lt;=P285,IF($B$64&gt;=P285,ABS(P320),0),0)</f>
        <v>113.88581608183172</v>
      </c>
      <c r="Q321" s="60">
        <f t="shared" ref="Q321" si="317">IF($A$64&lt;=Q285,IF($B$64&gt;=Q285,ABS(Q320),0),0)</f>
        <v>12.947204002758024</v>
      </c>
      <c r="R321" s="60">
        <f t="shared" ref="R321" si="318">IF($A$64&lt;=R285,IF($B$64&gt;=R285,ABS(R320),0),0)</f>
        <v>203.94807739926404</v>
      </c>
      <c r="S321" s="60">
        <f t="shared" ref="S321" si="319">IF($A$64&lt;=S285,IF($B$64&gt;=S285,ABS(S320),0),0)</f>
        <v>2395.4917495966224</v>
      </c>
      <c r="T321" s="60">
        <f t="shared" ref="T321" si="320">IF($A$64&lt;=T285,IF($B$64&gt;=T285,ABS(T320),0),0)</f>
        <v>6218.847241777019</v>
      </c>
      <c r="U321" s="60">
        <f t="shared" ref="U321" si="321">IF($A$64&lt;=U285,IF($B$64&gt;=U285,ABS(U320),0),0)</f>
        <v>9499.1743723914751</v>
      </c>
      <c r="V321" s="60">
        <f t="shared" ref="V321" si="322">IF($A$64&lt;=V285,IF($B$64&gt;=V285,ABS(V320),0),0)</f>
        <v>10536.179965091547</v>
      </c>
      <c r="W321" s="60">
        <f t="shared" ref="W321" si="323">IF($A$64&lt;=W285,IF($B$64&gt;=W285,ABS(W320),0),0)</f>
        <v>9134.6771502858155</v>
      </c>
      <c r="X321" s="60">
        <f t="shared" ref="X321" si="324">IF($A$64&lt;=X285,IF($B$64&gt;=X285,ABS(X320),0),0)</f>
        <v>4874.3735126644497</v>
      </c>
      <c r="Y321" s="60">
        <f t="shared" ref="Y321" si="325">IF($A$64&lt;=Y285,IF($B$64&gt;=Y285,ABS(Y320),0),0)</f>
        <v>1259.6713786372095</v>
      </c>
      <c r="Z321" s="60">
        <f t="shared" ref="Z321" si="326">IF($A$64&lt;=Z285,IF($B$64&gt;=Z285,ABS(Z320),0),0)</f>
        <v>64.85131705306577</v>
      </c>
      <c r="AA321" s="60">
        <f t="shared" ref="AA321" si="327">IF($A$64&lt;=AA285,IF($B$64&gt;=AA285,ABS(AA320),0),0)</f>
        <v>15.879851966592618</v>
      </c>
      <c r="AB321" s="60">
        <f t="shared" ref="AB321" si="328">IF($A$64&lt;=AB285,IF($B$64&gt;=AB285,ABS(AB320),0),0)</f>
        <v>34.195208088217399</v>
      </c>
      <c r="AC321" s="60">
        <f t="shared" ref="AC321" si="329">IF($A$64&lt;=AC285,IF($B$64&gt;=AC285,ABS(AC320),0),0)</f>
        <v>3.5519747022192751</v>
      </c>
      <c r="AD321" s="60">
        <f t="shared" ref="AD321" si="330">IF($A$64&lt;=AD285,IF($B$64&gt;=AD285,ABS(AD320),0),0)</f>
        <v>0.44267133057022279</v>
      </c>
      <c r="AE321" s="60">
        <f t="shared" ref="AE321" si="331">IF($A$64&lt;=AE285,IF($B$64&gt;=AE285,ABS(AE320),0),0)</f>
        <v>1.4885218346640756</v>
      </c>
      <c r="AF321" s="60">
        <f t="shared" ref="AF321" si="332">IF($A$64&lt;=AF285,IF($B$64&gt;=AF285,ABS(AF320),0),0)</f>
        <v>1.9247753288524436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4509.1079696781289</v>
      </c>
      <c r="C326" s="27">
        <f t="shared" ref="C326:AF326" si="333">($C$17+SUM(C327:C357))*$B$51</f>
        <v>4441.0071926957189</v>
      </c>
      <c r="D326" s="27">
        <f t="shared" si="333"/>
        <v>4190.6231595593026</v>
      </c>
      <c r="E326" s="27">
        <f t="shared" si="333"/>
        <v>4037.1336118618979</v>
      </c>
      <c r="F326" s="27">
        <f t="shared" si="333"/>
        <v>3824.9116293300149</v>
      </c>
      <c r="G326" s="27">
        <f t="shared" si="333"/>
        <v>3618.713676667448</v>
      </c>
      <c r="H326" s="27">
        <f t="shared" si="333"/>
        <v>3445.308080132178</v>
      </c>
      <c r="I326" s="27">
        <f t="shared" si="333"/>
        <v>3282.2669526319723</v>
      </c>
      <c r="J326" s="27">
        <f t="shared" si="333"/>
        <v>3124.8431441481607</v>
      </c>
      <c r="K326" s="27">
        <f t="shared" si="333"/>
        <v>2969.7595941501559</v>
      </c>
      <c r="L326" s="27">
        <f t="shared" si="333"/>
        <v>2813.5012441580802</v>
      </c>
      <c r="M326" s="27">
        <f t="shared" si="333"/>
        <v>2640.2329885255444</v>
      </c>
      <c r="N326" s="27">
        <f t="shared" si="333"/>
        <v>2447.3128958040434</v>
      </c>
      <c r="O326" s="27">
        <f t="shared" si="333"/>
        <v>2234.3949135097596</v>
      </c>
      <c r="P326" s="27">
        <f t="shared" si="333"/>
        <v>1991.1012037927635</v>
      </c>
      <c r="Q326" s="27">
        <f t="shared" si="333"/>
        <v>1705.8741726454764</v>
      </c>
      <c r="R326" s="27">
        <f t="shared" si="333"/>
        <v>1380.4953018808935</v>
      </c>
      <c r="S326" s="27">
        <f t="shared" si="333"/>
        <v>1043.3173424448605</v>
      </c>
      <c r="T326" s="27">
        <f t="shared" si="333"/>
        <v>741.84517708564249</v>
      </c>
      <c r="U326" s="27">
        <f t="shared" si="333"/>
        <v>518.4991973395106</v>
      </c>
      <c r="V326" s="27">
        <f t="shared" si="333"/>
        <v>382.95892565419052</v>
      </c>
      <c r="W326" s="27">
        <f t="shared" si="333"/>
        <v>313.83484678643191</v>
      </c>
      <c r="X326" s="27">
        <f t="shared" si="333"/>
        <v>280.55136652338615</v>
      </c>
      <c r="Y326" s="27">
        <f t="shared" si="333"/>
        <v>262.08090038025858</v>
      </c>
      <c r="Z326" s="27">
        <f t="shared" si="333"/>
        <v>250.51145218860481</v>
      </c>
      <c r="AA326" s="27">
        <f t="shared" si="333"/>
        <v>245.30511975337251</v>
      </c>
      <c r="AB326" s="27">
        <f t="shared" si="333"/>
        <v>233.94475677502982</v>
      </c>
      <c r="AC326" s="27">
        <f t="shared" si="333"/>
        <v>226.21510740577409</v>
      </c>
      <c r="AD326" s="27">
        <f t="shared" si="333"/>
        <v>225.20071576957574</v>
      </c>
      <c r="AE326" s="27">
        <f t="shared" si="333"/>
        <v>225.11316453971395</v>
      </c>
      <c r="AF326" s="27">
        <f t="shared" si="333"/>
        <v>225.10814165118532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5.5443707260620791E-2</v>
      </c>
      <c r="C328" s="3">
        <f t="shared" si="335"/>
        <v>4.3858650876018014E-2</v>
      </c>
      <c r="D328" s="3">
        <f t="shared" si="335"/>
        <v>4.2080930415796525E-3</v>
      </c>
      <c r="E328" s="3">
        <f t="shared" si="335"/>
        <v>2.7821848790497861E-13</v>
      </c>
      <c r="F328" s="3">
        <f t="shared" si="335"/>
        <v>4.4400975272068137E-115</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2.1863334503818343E-2</v>
      </c>
      <c r="C329" s="3">
        <f t="shared" si="336"/>
        <v>2.1405898595797959E-2</v>
      </c>
      <c r="D329" s="3">
        <f t="shared" si="336"/>
        <v>1.7326231265659457E-2</v>
      </c>
      <c r="E329" s="3">
        <f t="shared" si="336"/>
        <v>2.0912720775740972E-3</v>
      </c>
      <c r="F329" s="3">
        <f t="shared" si="336"/>
        <v>1.3723815089373138E-12</v>
      </c>
      <c r="G329" s="3">
        <f t="shared" si="336"/>
        <v>2.0329095127762598E-104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4.2171045543498875E-2</v>
      </c>
      <c r="C330" s="3">
        <f t="shared" si="337"/>
        <v>4.209068477748143E-2</v>
      </c>
      <c r="D330" s="3">
        <f t="shared" si="337"/>
        <v>4.1295451562816297E-2</v>
      </c>
      <c r="E330" s="3">
        <f t="shared" si="337"/>
        <v>3.4124358835749567E-2</v>
      </c>
      <c r="F330" s="3">
        <f t="shared" si="337"/>
        <v>5.0662580527470061E-3</v>
      </c>
      <c r="G330" s="3">
        <f t="shared" si="337"/>
        <v>2.6358177372122538E-11</v>
      </c>
      <c r="H330" s="3">
        <f t="shared" si="337"/>
        <v>3.8299761291450371E-94</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3.9493560426721468E-2</v>
      </c>
      <c r="C331" s="3">
        <f t="shared" si="338"/>
        <v>3.9486765585100579E-2</v>
      </c>
      <c r="D331" s="3">
        <f t="shared" si="338"/>
        <v>3.9418881433362717E-2</v>
      </c>
      <c r="E331" s="3">
        <f t="shared" si="338"/>
        <v>3.8746425637544081E-2</v>
      </c>
      <c r="F331" s="3">
        <f t="shared" si="338"/>
        <v>3.2621590426029773E-2</v>
      </c>
      <c r="G331" s="3">
        <f t="shared" si="338"/>
        <v>5.8376760121070488E-3</v>
      </c>
      <c r="H331" s="3">
        <f t="shared" si="338"/>
        <v>1.9660228590974804E-10</v>
      </c>
      <c r="I331" s="3">
        <f t="shared" si="338"/>
        <v>3.6904073962724504E-85</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3.1232233104866475E-2</v>
      </c>
      <c r="C332" s="3">
        <f t="shared" si="339"/>
        <v>3.1231748333822595E-2</v>
      </c>
      <c r="D332" s="3">
        <f t="shared" si="339"/>
        <v>3.1226901037205011E-2</v>
      </c>
      <c r="E332" s="3">
        <f t="shared" si="339"/>
        <v>3.1178469429396664E-2</v>
      </c>
      <c r="F332" s="3">
        <f t="shared" si="339"/>
        <v>3.0698265534251191E-2</v>
      </c>
      <c r="G332" s="3">
        <f t="shared" si="339"/>
        <v>2.6284777545890394E-2</v>
      </c>
      <c r="H332" s="3">
        <f t="shared" si="339"/>
        <v>5.5668430976352811E-3</v>
      </c>
      <c r="I332" s="3">
        <f t="shared" si="339"/>
        <v>1.0107778834109262E-9</v>
      </c>
      <c r="J332" s="3">
        <f t="shared" si="339"/>
        <v>3.936617593050327E-77</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3.0546945123324881E-2</v>
      </c>
      <c r="C333" s="3">
        <f t="shared" si="340"/>
        <v>3.0546902352160291E-2</v>
      </c>
      <c r="D333" s="3">
        <f t="shared" si="340"/>
        <v>3.0546474643808209E-2</v>
      </c>
      <c r="E333" s="3">
        <f t="shared" si="340"/>
        <v>3.0542197889648792E-2</v>
      </c>
      <c r="F333" s="3">
        <f t="shared" si="340"/>
        <v>3.0499463267140377E-2</v>
      </c>
      <c r="G333" s="3">
        <f t="shared" si="340"/>
        <v>3.007539196004878E-2</v>
      </c>
      <c r="H333" s="3">
        <f t="shared" si="340"/>
        <v>2.6145821373221904E-2</v>
      </c>
      <c r="I333" s="3">
        <f t="shared" si="340"/>
        <v>6.4463254456821346E-3</v>
      </c>
      <c r="J333" s="3">
        <f t="shared" si="340"/>
        <v>5.3507123262339599E-9</v>
      </c>
      <c r="K333" s="3">
        <f t="shared" si="340"/>
        <v>8.3062567842392729E-70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2.9181011726174037E-2</v>
      </c>
      <c r="C334" s="3">
        <f t="shared" si="341"/>
        <v>2.9181008040384749E-2</v>
      </c>
      <c r="D334" s="3">
        <f t="shared" si="341"/>
        <v>2.918097118251748E-2</v>
      </c>
      <c r="E334" s="3">
        <f t="shared" si="341"/>
        <v>2.9180602606405245E-2</v>
      </c>
      <c r="F334" s="3">
        <f t="shared" si="341"/>
        <v>2.9176917101318783E-2</v>
      </c>
      <c r="G334" s="3">
        <f t="shared" si="341"/>
        <v>2.9140087642082483E-2</v>
      </c>
      <c r="H334" s="3">
        <f t="shared" si="341"/>
        <v>2.8774340292888792E-2</v>
      </c>
      <c r="I334" s="3">
        <f t="shared" si="341"/>
        <v>2.5360078464176421E-2</v>
      </c>
      <c r="J334" s="3">
        <f t="shared" si="341"/>
        <v>7.1713805390956238E-3</v>
      </c>
      <c r="K334" s="3">
        <f t="shared" si="341"/>
        <v>2.3449010572134847E-8</v>
      </c>
      <c r="L334" s="3">
        <f t="shared" si="341"/>
        <v>3.2759861991596403E-63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2.8956161468169334E-2</v>
      </c>
      <c r="C335" s="3">
        <f t="shared" si="342"/>
        <v>2.8956161138242408E-2</v>
      </c>
      <c r="D335" s="3">
        <f t="shared" si="342"/>
        <v>2.8956157838973328E-2</v>
      </c>
      <c r="E335" s="3">
        <f t="shared" si="342"/>
        <v>2.8956124846303218E-2</v>
      </c>
      <c r="F335" s="3">
        <f t="shared" si="342"/>
        <v>2.8955794921669671E-2</v>
      </c>
      <c r="G335" s="3">
        <f t="shared" si="342"/>
        <v>2.8952495882080098E-2</v>
      </c>
      <c r="H335" s="3">
        <f t="shared" si="342"/>
        <v>2.8919526152060317E-2</v>
      </c>
      <c r="I335" s="3">
        <f t="shared" si="342"/>
        <v>2.8591886753657026E-2</v>
      </c>
      <c r="J335" s="3">
        <f t="shared" si="342"/>
        <v>2.5512865396845674E-2</v>
      </c>
      <c r="K335" s="3">
        <f t="shared" si="342"/>
        <v>8.1643847944778379E-3</v>
      </c>
      <c r="L335" s="3">
        <f t="shared" si="342"/>
        <v>9.195296543616099E-8</v>
      </c>
      <c r="M335" s="3">
        <f t="shared" si="342"/>
        <v>3.0198716380959825E-57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2.8549428507152638E-2</v>
      </c>
      <c r="C336" s="3">
        <f t="shared" si="343"/>
        <v>2.8549428477808537E-2</v>
      </c>
      <c r="D336" s="3">
        <f t="shared" si="343"/>
        <v>2.8549428184367544E-2</v>
      </c>
      <c r="E336" s="3">
        <f t="shared" si="343"/>
        <v>2.8549425249957777E-2</v>
      </c>
      <c r="F336" s="3">
        <f t="shared" si="343"/>
        <v>2.8549395905876695E-2</v>
      </c>
      <c r="G336" s="3">
        <f t="shared" si="343"/>
        <v>2.8549102466724714E-2</v>
      </c>
      <c r="H336" s="3">
        <f t="shared" si="343"/>
        <v>2.8546168241082814E-2</v>
      </c>
      <c r="I336" s="3">
        <f t="shared" si="343"/>
        <v>2.8516842566145843E-2</v>
      </c>
      <c r="J336" s="3">
        <f t="shared" si="343"/>
        <v>2.8225237676361072E-2</v>
      </c>
      <c r="K336" s="3">
        <f t="shared" si="343"/>
        <v>2.5468261731238374E-2</v>
      </c>
      <c r="L336" s="3">
        <f t="shared" si="343"/>
        <v>9.1120537132235689E-3</v>
      </c>
      <c r="M336" s="3">
        <f t="shared" si="343"/>
        <v>3.1317417275456483E-7</v>
      </c>
      <c r="N336" s="3">
        <f t="shared" si="343"/>
        <v>7.2024892162755679E-52</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3.3916990025690257E-2</v>
      </c>
      <c r="C337" s="3">
        <f t="shared" si="344"/>
        <v>3.3916990022545494E-2</v>
      </c>
      <c r="D337" s="3">
        <f t="shared" si="344"/>
        <v>3.3916989991097914E-2</v>
      </c>
      <c r="E337" s="3">
        <f t="shared" si="344"/>
        <v>3.3916989676622093E-2</v>
      </c>
      <c r="F337" s="3">
        <f t="shared" si="344"/>
        <v>3.3916986531864042E-2</v>
      </c>
      <c r="G337" s="3">
        <f t="shared" si="344"/>
        <v>3.3916955084299566E-2</v>
      </c>
      <c r="H337" s="3">
        <f t="shared" si="344"/>
        <v>3.3916640610258508E-2</v>
      </c>
      <c r="I337" s="3">
        <f t="shared" si="344"/>
        <v>3.3913496030210641E-2</v>
      </c>
      <c r="J337" s="3">
        <f t="shared" si="344"/>
        <v>3.3882066260501782E-2</v>
      </c>
      <c r="K337" s="3">
        <f t="shared" si="344"/>
        <v>3.3569366154470537E-2</v>
      </c>
      <c r="L337" s="3">
        <f t="shared" si="344"/>
        <v>3.0596776771116555E-2</v>
      </c>
      <c r="M337" s="3">
        <f t="shared" si="344"/>
        <v>1.2106010507324098E-2</v>
      </c>
      <c r="N337" s="3">
        <f t="shared" si="344"/>
        <v>1.1382947477154435E-6</v>
      </c>
      <c r="O337" s="3">
        <f t="shared" si="344"/>
        <v>6.1488172601678601E-47</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3.6686036889353943E-2</v>
      </c>
      <c r="C338" s="3">
        <f t="shared" si="345"/>
        <v>3.6686036889047105E-2</v>
      </c>
      <c r="D338" s="3">
        <f t="shared" si="345"/>
        <v>3.6686036885978664E-2</v>
      </c>
      <c r="E338" s="3">
        <f t="shared" si="345"/>
        <v>3.6686036855294285E-2</v>
      </c>
      <c r="F338" s="3">
        <f t="shared" si="345"/>
        <v>3.6686036548450492E-2</v>
      </c>
      <c r="G338" s="3">
        <f t="shared" si="345"/>
        <v>3.6686033480012682E-2</v>
      </c>
      <c r="H338" s="3">
        <f t="shared" si="345"/>
        <v>3.6686002795648688E-2</v>
      </c>
      <c r="I338" s="3">
        <f t="shared" si="345"/>
        <v>3.6685695953420284E-2</v>
      </c>
      <c r="J338" s="3">
        <f t="shared" si="345"/>
        <v>3.668262767228652E-2</v>
      </c>
      <c r="K338" s="3">
        <f t="shared" si="345"/>
        <v>3.6651958971606745E-2</v>
      </c>
      <c r="L338" s="3">
        <f t="shared" si="345"/>
        <v>3.6346678673525791E-2</v>
      </c>
      <c r="M338" s="3">
        <f t="shared" si="345"/>
        <v>3.3430288912531463E-2</v>
      </c>
      <c r="N338" s="3">
        <f t="shared" si="345"/>
        <v>1.4484186660196888E-2</v>
      </c>
      <c r="O338" s="3">
        <f t="shared" si="345"/>
        <v>3.376244923863484E-6</v>
      </c>
      <c r="P338" s="3">
        <f t="shared" si="345"/>
        <v>1.5989403289487088E-42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4.091951165840868E-2</v>
      </c>
      <c r="C339" s="3">
        <f t="shared" si="346"/>
        <v>4.0919511658377802E-2</v>
      </c>
      <c r="D339" s="3">
        <f t="shared" si="346"/>
        <v>4.0919511658069063E-2</v>
      </c>
      <c r="E339" s="3">
        <f t="shared" si="346"/>
        <v>4.0919511654981658E-2</v>
      </c>
      <c r="F339" s="3">
        <f t="shared" si="346"/>
        <v>4.0919511624107612E-2</v>
      </c>
      <c r="G339" s="3">
        <f t="shared" si="346"/>
        <v>4.0919511315367127E-2</v>
      </c>
      <c r="H339" s="3">
        <f t="shared" si="346"/>
        <v>4.091950822796242E-2</v>
      </c>
      <c r="I339" s="3">
        <f t="shared" si="346"/>
        <v>4.0919477353928119E-2</v>
      </c>
      <c r="J339" s="3">
        <f t="shared" si="346"/>
        <v>4.091916861486633E-2</v>
      </c>
      <c r="K339" s="3">
        <f t="shared" si="346"/>
        <v>4.0916081352365213E-2</v>
      </c>
      <c r="L339" s="3">
        <f t="shared" si="346"/>
        <v>4.0885221535454014E-2</v>
      </c>
      <c r="M339" s="3">
        <f t="shared" si="346"/>
        <v>4.0577900607936687E-2</v>
      </c>
      <c r="N339" s="3">
        <f t="shared" si="346"/>
        <v>3.7628920670218745E-2</v>
      </c>
      <c r="O339" s="3">
        <f t="shared" si="346"/>
        <v>1.7694717565255133E-2</v>
      </c>
      <c r="P339" s="3">
        <f t="shared" si="346"/>
        <v>9.3554002211990105E-6</v>
      </c>
      <c r="Q339" s="3">
        <f t="shared" si="346"/>
        <v>1.59679709252882E-38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4.7755707575506144E-2</v>
      </c>
      <c r="C340" s="3">
        <f t="shared" si="347"/>
        <v>4.7755707575502897E-2</v>
      </c>
      <c r="D340" s="3">
        <f t="shared" si="347"/>
        <v>4.7755707575470388E-2</v>
      </c>
      <c r="E340" s="3">
        <f t="shared" si="347"/>
        <v>4.7755707575145349E-2</v>
      </c>
      <c r="F340" s="3">
        <f t="shared" si="347"/>
        <v>4.7755707571894963E-2</v>
      </c>
      <c r="G340" s="3">
        <f t="shared" si="347"/>
        <v>4.7755707539391103E-2</v>
      </c>
      <c r="H340" s="3">
        <f t="shared" si="347"/>
        <v>4.775570721435244E-2</v>
      </c>
      <c r="I340" s="3">
        <f t="shared" si="347"/>
        <v>4.7755703963966001E-2</v>
      </c>
      <c r="J340" s="3">
        <f t="shared" si="347"/>
        <v>4.7755671460113773E-2</v>
      </c>
      <c r="K340" s="3">
        <f t="shared" si="347"/>
        <v>4.7755346422808237E-2</v>
      </c>
      <c r="L340" s="3">
        <f t="shared" si="347"/>
        <v>4.7752096171426194E-2</v>
      </c>
      <c r="M340" s="3">
        <f t="shared" si="347"/>
        <v>4.7719605821872089E-2</v>
      </c>
      <c r="N340" s="3">
        <f t="shared" si="347"/>
        <v>4.739591569518041E-2</v>
      </c>
      <c r="O340" s="3">
        <f t="shared" si="347"/>
        <v>4.4277350493139661E-2</v>
      </c>
      <c r="P340" s="3">
        <f t="shared" si="347"/>
        <v>2.2417578287940391E-2</v>
      </c>
      <c r="Q340" s="3">
        <f t="shared" si="347"/>
        <v>2.4811864067708958E-5</v>
      </c>
      <c r="R340" s="3">
        <f t="shared" si="347"/>
        <v>6.8448884401517588E-35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5.7469214785363376E-2</v>
      </c>
      <c r="C341" s="3">
        <f t="shared" si="348"/>
        <v>5.7469214785363029E-2</v>
      </c>
      <c r="D341" s="3">
        <f t="shared" si="348"/>
        <v>5.7469214785359497E-2</v>
      </c>
      <c r="E341" s="3">
        <f t="shared" si="348"/>
        <v>5.7469214785324213E-2</v>
      </c>
      <c r="F341" s="3">
        <f t="shared" si="348"/>
        <v>5.7469214784971363E-2</v>
      </c>
      <c r="G341" s="3">
        <f t="shared" si="348"/>
        <v>5.7469214781442853E-2</v>
      </c>
      <c r="H341" s="3">
        <f t="shared" si="348"/>
        <v>5.746921474615773E-2</v>
      </c>
      <c r="I341" s="3">
        <f t="shared" si="348"/>
        <v>5.7469214393306545E-2</v>
      </c>
      <c r="J341" s="3">
        <f t="shared" si="348"/>
        <v>5.7469210864794784E-2</v>
      </c>
      <c r="K341" s="3">
        <f t="shared" si="348"/>
        <v>5.7469175579689086E-2</v>
      </c>
      <c r="L341" s="3">
        <f t="shared" si="348"/>
        <v>5.7468822729823711E-2</v>
      </c>
      <c r="M341" s="3">
        <f t="shared" si="348"/>
        <v>5.7465294350321473E-2</v>
      </c>
      <c r="N341" s="3">
        <f t="shared" si="348"/>
        <v>5.743002246774602E-2</v>
      </c>
      <c r="O341" s="3">
        <f t="shared" si="348"/>
        <v>5.7078492184931551E-2</v>
      </c>
      <c r="P341" s="3">
        <f t="shared" si="348"/>
        <v>5.3679387364577676E-2</v>
      </c>
      <c r="Q341" s="3">
        <f t="shared" si="348"/>
        <v>2.9050802687326117E-2</v>
      </c>
      <c r="R341" s="3">
        <f t="shared" si="348"/>
        <v>6.2612925595727115E-5</v>
      </c>
      <c r="S341" s="3">
        <f t="shared" si="348"/>
        <v>1.3543240707087162E-31</v>
      </c>
      <c r="T341" s="3">
        <f t="shared" si="348"/>
        <v>3.0360477915583768E-298</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6.4260885650205504E-2</v>
      </c>
      <c r="C342" s="3">
        <f t="shared" si="349"/>
        <v>6.4260885650205476E-2</v>
      </c>
      <c r="D342" s="3">
        <f t="shared" si="349"/>
        <v>6.426088565020513E-2</v>
      </c>
      <c r="E342" s="3">
        <f t="shared" si="349"/>
        <v>6.4260885650201563E-2</v>
      </c>
      <c r="F342" s="3">
        <f t="shared" si="349"/>
        <v>6.4260885650165966E-2</v>
      </c>
      <c r="G342" s="3">
        <f t="shared" si="349"/>
        <v>6.4260885649810057E-2</v>
      </c>
      <c r="H342" s="3">
        <f t="shared" si="349"/>
        <v>6.4260885646250876E-2</v>
      </c>
      <c r="I342" s="3">
        <f t="shared" si="349"/>
        <v>6.4260885610659096E-2</v>
      </c>
      <c r="J342" s="3">
        <f t="shared" si="349"/>
        <v>6.4260885254741371E-2</v>
      </c>
      <c r="K342" s="3">
        <f t="shared" si="349"/>
        <v>6.4260881695564223E-2</v>
      </c>
      <c r="L342" s="3">
        <f t="shared" si="349"/>
        <v>6.4260846103803504E-2</v>
      </c>
      <c r="M342" s="3">
        <f t="shared" si="349"/>
        <v>6.4260490187280569E-2</v>
      </c>
      <c r="N342" s="3">
        <f t="shared" si="349"/>
        <v>6.4256931130470207E-2</v>
      </c>
      <c r="O342" s="3">
        <f t="shared" si="349"/>
        <v>6.4221351402043436E-2</v>
      </c>
      <c r="P342" s="3">
        <f t="shared" si="349"/>
        <v>6.3866635867384738E-2</v>
      </c>
      <c r="Q342" s="3">
        <f t="shared" si="349"/>
        <v>6.0425471116321419E-2</v>
      </c>
      <c r="R342" s="3">
        <f t="shared" si="349"/>
        <v>3.4728025411680449E-2</v>
      </c>
      <c r="S342" s="3">
        <f t="shared" si="349"/>
        <v>1.3654649144735913E-4</v>
      </c>
      <c r="T342" s="3">
        <f t="shared" si="349"/>
        <v>1.2058272491785523E-28</v>
      </c>
      <c r="U342" s="3">
        <f t="shared" si="349"/>
        <v>3.4780080042857016E-269</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6.2189536822504186E-2</v>
      </c>
      <c r="C343" s="3">
        <f t="shared" si="350"/>
        <v>6.2189536822504186E-2</v>
      </c>
      <c r="D343" s="3">
        <f t="shared" si="350"/>
        <v>6.2189536822504152E-2</v>
      </c>
      <c r="E343" s="3">
        <f t="shared" si="350"/>
        <v>6.2189536822503839E-2</v>
      </c>
      <c r="F343" s="3">
        <f t="shared" si="350"/>
        <v>6.2189536822500731E-2</v>
      </c>
      <c r="G343" s="3">
        <f t="shared" si="350"/>
        <v>6.2189536822469665E-2</v>
      </c>
      <c r="H343" s="3">
        <f t="shared" si="350"/>
        <v>6.2189536822158942E-2</v>
      </c>
      <c r="I343" s="3">
        <f t="shared" si="350"/>
        <v>6.2189536819051761E-2</v>
      </c>
      <c r="J343" s="3">
        <f t="shared" si="350"/>
        <v>6.2189536787979935E-2</v>
      </c>
      <c r="K343" s="3">
        <f t="shared" si="350"/>
        <v>6.2189536477261637E-2</v>
      </c>
      <c r="L343" s="3">
        <f t="shared" si="350"/>
        <v>6.2189533370078771E-2</v>
      </c>
      <c r="M343" s="3">
        <f t="shared" si="350"/>
        <v>6.2189502298258668E-2</v>
      </c>
      <c r="N343" s="3">
        <f t="shared" si="350"/>
        <v>6.218919158091147E-2</v>
      </c>
      <c r="O343" s="3">
        <f t="shared" si="350"/>
        <v>6.218608449282223E-2</v>
      </c>
      <c r="P343" s="3">
        <f t="shared" si="350"/>
        <v>6.2155022148625845E-2</v>
      </c>
      <c r="Q343" s="3">
        <f t="shared" si="350"/>
        <v>6.1845250800248275E-2</v>
      </c>
      <c r="R343" s="3">
        <f t="shared" si="350"/>
        <v>5.8831192295127073E-2</v>
      </c>
      <c r="S343" s="3">
        <f t="shared" si="350"/>
        <v>3.5696086067931933E-2</v>
      </c>
      <c r="T343" s="3">
        <f t="shared" si="350"/>
        <v>2.4140713414967909E-4</v>
      </c>
      <c r="U343" s="3">
        <f t="shared" si="350"/>
        <v>4.8310897234735657E-26</v>
      </c>
      <c r="V343" s="3">
        <f t="shared" si="350"/>
        <v>4.9773150676632677E-243</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4.8803099741359754E-2</v>
      </c>
      <c r="C344" s="3">
        <f t="shared" si="351"/>
        <v>4.8803099741359754E-2</v>
      </c>
      <c r="D344" s="3">
        <f t="shared" si="351"/>
        <v>4.8803099741359754E-2</v>
      </c>
      <c r="E344" s="3">
        <f t="shared" si="351"/>
        <v>4.8803099741359726E-2</v>
      </c>
      <c r="F344" s="3">
        <f t="shared" si="351"/>
        <v>4.8803099741359511E-2</v>
      </c>
      <c r="G344" s="3">
        <f t="shared" si="351"/>
        <v>4.8803099741357311E-2</v>
      </c>
      <c r="H344" s="3">
        <f t="shared" si="351"/>
        <v>4.8803099741335315E-2</v>
      </c>
      <c r="I344" s="3">
        <f t="shared" si="351"/>
        <v>4.8803099741115352E-2</v>
      </c>
      <c r="J344" s="3">
        <f t="shared" si="351"/>
        <v>4.8803099738915758E-2</v>
      </c>
      <c r="K344" s="3">
        <f t="shared" si="351"/>
        <v>4.8803099716919762E-2</v>
      </c>
      <c r="L344" s="3">
        <f t="shared" si="351"/>
        <v>4.8803099496959872E-2</v>
      </c>
      <c r="M344" s="3">
        <f t="shared" si="351"/>
        <v>4.8803097297360987E-2</v>
      </c>
      <c r="N344" s="3">
        <f t="shared" si="351"/>
        <v>4.8803075301377619E-2</v>
      </c>
      <c r="O344" s="3">
        <f t="shared" si="351"/>
        <v>4.8802855342089183E-2</v>
      </c>
      <c r="P344" s="3">
        <f t="shared" si="351"/>
        <v>4.8800655803729616E-2</v>
      </c>
      <c r="Q344" s="3">
        <f t="shared" si="351"/>
        <v>4.8778665871706789E-2</v>
      </c>
      <c r="R344" s="3">
        <f t="shared" si="351"/>
        <v>4.8559310800739976E-2</v>
      </c>
      <c r="S344" s="3">
        <f t="shared" si="351"/>
        <v>4.6419288252750414E-2</v>
      </c>
      <c r="T344" s="3">
        <f t="shared" si="351"/>
        <v>2.957727140347054E-2</v>
      </c>
      <c r="U344" s="3">
        <f t="shared" si="351"/>
        <v>3.2625291440732283E-4</v>
      </c>
      <c r="V344" s="3">
        <f t="shared" si="351"/>
        <v>8.6999615692946274E-24</v>
      </c>
      <c r="W344" s="3">
        <f t="shared" si="351"/>
        <v>1.5817821747271997E-219</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3.0415227107223403E-2</v>
      </c>
      <c r="C345" s="3">
        <f t="shared" si="352"/>
        <v>3.0415227107223403E-2</v>
      </c>
      <c r="D345" s="3">
        <f t="shared" si="352"/>
        <v>3.0415227107223403E-2</v>
      </c>
      <c r="E345" s="3">
        <f t="shared" si="352"/>
        <v>3.0415227107223403E-2</v>
      </c>
      <c r="F345" s="3">
        <f t="shared" si="352"/>
        <v>3.0415227107223389E-2</v>
      </c>
      <c r="G345" s="3">
        <f t="shared" si="352"/>
        <v>3.0415227107223265E-2</v>
      </c>
      <c r="H345" s="3">
        <f t="shared" si="352"/>
        <v>3.0415227107222029E-2</v>
      </c>
      <c r="I345" s="3">
        <f t="shared" si="352"/>
        <v>3.0415227107209664E-2</v>
      </c>
      <c r="J345" s="3">
        <f t="shared" si="352"/>
        <v>3.0415227107086003E-2</v>
      </c>
      <c r="K345" s="3">
        <f t="shared" si="352"/>
        <v>3.0415227105849388E-2</v>
      </c>
      <c r="L345" s="3">
        <f t="shared" si="352"/>
        <v>3.0415227093483262E-2</v>
      </c>
      <c r="M345" s="3">
        <f t="shared" si="352"/>
        <v>3.041522696982198E-2</v>
      </c>
      <c r="N345" s="3">
        <f t="shared" si="352"/>
        <v>3.0415225733209175E-2</v>
      </c>
      <c r="O345" s="3">
        <f t="shared" si="352"/>
        <v>3.0415213367083901E-2</v>
      </c>
      <c r="P345" s="3">
        <f t="shared" si="352"/>
        <v>3.0415089706107699E-2</v>
      </c>
      <c r="Q345" s="3">
        <f t="shared" si="352"/>
        <v>3.0413853123998014E-2</v>
      </c>
      <c r="R345" s="3">
        <f t="shared" si="352"/>
        <v>3.0401490067719108E-2</v>
      </c>
      <c r="S345" s="3">
        <f t="shared" si="352"/>
        <v>3.0278135571252942E-2</v>
      </c>
      <c r="T345" s="3">
        <f t="shared" si="352"/>
        <v>2.9071786420595918E-2</v>
      </c>
      <c r="U345" s="3">
        <f t="shared" si="352"/>
        <v>1.9359655327538684E-2</v>
      </c>
      <c r="V345" s="3">
        <f t="shared" si="352"/>
        <v>3.3201418381902787E-4</v>
      </c>
      <c r="W345" s="3">
        <f t="shared" si="352"/>
        <v>7.307129448488876E-22</v>
      </c>
      <c r="X345" s="3">
        <f t="shared" si="352"/>
        <v>1.9482668375036073E-198</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1.5463317607252298E-2</v>
      </c>
      <c r="C346" s="3">
        <f t="shared" si="353"/>
        <v>1.5463317607252298E-2</v>
      </c>
      <c r="D346" s="3">
        <f t="shared" si="353"/>
        <v>1.5463317607252298E-2</v>
      </c>
      <c r="E346" s="3">
        <f t="shared" si="353"/>
        <v>1.5463317607252298E-2</v>
      </c>
      <c r="F346" s="3">
        <f t="shared" si="353"/>
        <v>1.5463317607252298E-2</v>
      </c>
      <c r="G346" s="3">
        <f t="shared" si="353"/>
        <v>1.5463317607252291E-2</v>
      </c>
      <c r="H346" s="3">
        <f t="shared" si="353"/>
        <v>1.5463317607252234E-2</v>
      </c>
      <c r="I346" s="3">
        <f t="shared" si="353"/>
        <v>1.5463317607251668E-2</v>
      </c>
      <c r="J346" s="3">
        <f t="shared" si="353"/>
        <v>1.5463317607245996E-2</v>
      </c>
      <c r="K346" s="3">
        <f t="shared" si="353"/>
        <v>1.5463317607189282E-2</v>
      </c>
      <c r="L346" s="3">
        <f t="shared" si="353"/>
        <v>1.5463317606622139E-2</v>
      </c>
      <c r="M346" s="3">
        <f t="shared" si="353"/>
        <v>1.5463317600950717E-2</v>
      </c>
      <c r="N346" s="3">
        <f t="shared" si="353"/>
        <v>1.5463317544236499E-2</v>
      </c>
      <c r="O346" s="3">
        <f t="shared" si="353"/>
        <v>1.5463316977094325E-2</v>
      </c>
      <c r="P346" s="3">
        <f t="shared" si="353"/>
        <v>1.5463311305673735E-2</v>
      </c>
      <c r="Q346" s="3">
        <f t="shared" si="353"/>
        <v>1.5463254591582218E-2</v>
      </c>
      <c r="R346" s="3">
        <f t="shared" si="353"/>
        <v>1.5462687462107371E-2</v>
      </c>
      <c r="S346" s="3">
        <f t="shared" si="353"/>
        <v>1.5457017311233546E-2</v>
      </c>
      <c r="T346" s="3">
        <f t="shared" si="353"/>
        <v>1.5400430034885271E-2</v>
      </c>
      <c r="U346" s="3">
        <f t="shared" si="353"/>
        <v>1.4845827002105225E-2</v>
      </c>
      <c r="V346" s="3">
        <f t="shared" si="353"/>
        <v>1.0287737377071173E-2</v>
      </c>
      <c r="W346" s="3">
        <f t="shared" si="353"/>
        <v>2.6270879138531807E-4</v>
      </c>
      <c r="X346" s="3">
        <f t="shared" si="353"/>
        <v>3.0975760596839378E-20</v>
      </c>
      <c r="Y346" s="3">
        <f t="shared" si="353"/>
        <v>1.6087764708275528E-179</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6.4979326784240111E-3</v>
      </c>
      <c r="C347" s="3">
        <f t="shared" si="354"/>
        <v>6.4979326784240111E-3</v>
      </c>
      <c r="D347" s="3">
        <f t="shared" si="354"/>
        <v>6.4979326784240111E-3</v>
      </c>
      <c r="E347" s="3">
        <f t="shared" si="354"/>
        <v>6.4979326784240111E-3</v>
      </c>
      <c r="F347" s="3">
        <f t="shared" si="354"/>
        <v>6.4979326784240111E-3</v>
      </c>
      <c r="G347" s="3">
        <f t="shared" si="354"/>
        <v>6.4979326784240111E-3</v>
      </c>
      <c r="H347" s="3">
        <f t="shared" si="354"/>
        <v>6.4979326784240093E-3</v>
      </c>
      <c r="I347" s="3">
        <f t="shared" si="354"/>
        <v>6.4979326784239877E-3</v>
      </c>
      <c r="J347" s="3">
        <f t="shared" si="354"/>
        <v>6.4979326784237726E-3</v>
      </c>
      <c r="K347" s="3">
        <f t="shared" si="354"/>
        <v>6.4979326784216224E-3</v>
      </c>
      <c r="L347" s="3">
        <f t="shared" si="354"/>
        <v>6.4979326784001239E-3</v>
      </c>
      <c r="M347" s="3">
        <f t="shared" si="354"/>
        <v>6.4979326781851371E-3</v>
      </c>
      <c r="N347" s="3">
        <f t="shared" si="354"/>
        <v>6.4979326760352726E-3</v>
      </c>
      <c r="O347" s="3">
        <f t="shared" si="354"/>
        <v>6.4979326545366286E-3</v>
      </c>
      <c r="P347" s="3">
        <f t="shared" si="354"/>
        <v>6.4979324395501893E-3</v>
      </c>
      <c r="Q347" s="3">
        <f t="shared" si="354"/>
        <v>6.497930289686189E-3</v>
      </c>
      <c r="R347" s="3">
        <f t="shared" si="354"/>
        <v>6.4979087910852999E-3</v>
      </c>
      <c r="S347" s="3">
        <f t="shared" si="354"/>
        <v>6.4976938089884584E-3</v>
      </c>
      <c r="T347" s="3">
        <f t="shared" si="354"/>
        <v>6.4955443791765537E-3</v>
      </c>
      <c r="U347" s="3">
        <f t="shared" si="354"/>
        <v>6.474089148867098E-3</v>
      </c>
      <c r="V347" s="3">
        <f t="shared" si="354"/>
        <v>6.263396221843286E-3</v>
      </c>
      <c r="W347" s="3">
        <f t="shared" si="354"/>
        <v>4.4990621454034816E-3</v>
      </c>
      <c r="X347" s="3">
        <f t="shared" si="354"/>
        <v>1.6452922543626526E-4</v>
      </c>
      <c r="Y347" s="3">
        <f t="shared" si="354"/>
        <v>7.0380713244657679E-19</v>
      </c>
      <c r="Z347" s="3">
        <f t="shared" si="354"/>
        <v>1.443975315620802E-162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1.7266189453767201E-3</v>
      </c>
      <c r="C348" s="3">
        <f t="shared" si="355"/>
        <v>1.7266189453767201E-3</v>
      </c>
      <c r="D348" s="3">
        <f t="shared" si="355"/>
        <v>1.7266189453767201E-3</v>
      </c>
      <c r="E348" s="3">
        <f t="shared" si="355"/>
        <v>1.7266189453767201E-3</v>
      </c>
      <c r="F348" s="3">
        <f t="shared" si="355"/>
        <v>1.7266189453767201E-3</v>
      </c>
      <c r="G348" s="3">
        <f t="shared" si="355"/>
        <v>1.7266189453767201E-3</v>
      </c>
      <c r="H348" s="3">
        <f t="shared" si="355"/>
        <v>1.7266189453767199E-3</v>
      </c>
      <c r="I348" s="3">
        <f t="shared" si="355"/>
        <v>1.7266189453767184E-3</v>
      </c>
      <c r="J348" s="3">
        <f t="shared" si="355"/>
        <v>1.7266189453767026E-3</v>
      </c>
      <c r="K348" s="3">
        <f t="shared" si="355"/>
        <v>1.7266189453765445E-3</v>
      </c>
      <c r="L348" s="3">
        <f t="shared" si="355"/>
        <v>1.7266189453749646E-3</v>
      </c>
      <c r="M348" s="3">
        <f t="shared" si="355"/>
        <v>1.7266189453591652E-3</v>
      </c>
      <c r="N348" s="3">
        <f t="shared" si="355"/>
        <v>1.7266189452011694E-3</v>
      </c>
      <c r="O348" s="3">
        <f t="shared" si="355"/>
        <v>1.7266189436212125E-3</v>
      </c>
      <c r="P348" s="3">
        <f t="shared" si="355"/>
        <v>1.726618927821644E-3</v>
      </c>
      <c r="Q348" s="3">
        <f t="shared" si="355"/>
        <v>1.7266187698259656E-3</v>
      </c>
      <c r="R348" s="3">
        <f t="shared" si="355"/>
        <v>1.7266171898699797E-3</v>
      </c>
      <c r="S348" s="3">
        <f t="shared" si="355"/>
        <v>1.726601390389635E-3</v>
      </c>
      <c r="T348" s="3">
        <f t="shared" si="355"/>
        <v>1.72644340353753E-3</v>
      </c>
      <c r="U348" s="3">
        <f t="shared" si="355"/>
        <v>1.724864329881313E-3</v>
      </c>
      <c r="V348" s="3">
        <f t="shared" si="355"/>
        <v>1.7091528113415317E-3</v>
      </c>
      <c r="W348" s="3">
        <f t="shared" si="355"/>
        <v>1.5596976574609696E-3</v>
      </c>
      <c r="X348" s="3">
        <f t="shared" si="355"/>
        <v>6.246484714880359E-4</v>
      </c>
      <c r="Y348" s="3">
        <f t="shared" si="355"/>
        <v>6.6311415530583477E-8</v>
      </c>
      <c r="Z348" s="3">
        <f t="shared" si="355"/>
        <v>1.205353603288143E-47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4.5003340048363309E-3</v>
      </c>
      <c r="C349" s="3">
        <f t="shared" si="356"/>
        <v>4.5003340048363309E-3</v>
      </c>
      <c r="D349" s="3">
        <f t="shared" si="356"/>
        <v>4.5003340048363309E-3</v>
      </c>
      <c r="E349" s="3">
        <f t="shared" si="356"/>
        <v>4.5003340048363309E-3</v>
      </c>
      <c r="F349" s="3">
        <f t="shared" si="356"/>
        <v>4.5003340048363309E-3</v>
      </c>
      <c r="G349" s="3">
        <f t="shared" si="356"/>
        <v>4.5003340048363309E-3</v>
      </c>
      <c r="H349" s="3">
        <f t="shared" si="356"/>
        <v>4.5003340048363309E-3</v>
      </c>
      <c r="I349" s="3">
        <f t="shared" si="356"/>
        <v>4.5003340048363301E-3</v>
      </c>
      <c r="J349" s="3">
        <f t="shared" si="356"/>
        <v>4.5003340048363266E-3</v>
      </c>
      <c r="K349" s="3">
        <f t="shared" si="356"/>
        <v>4.5003340048362849E-3</v>
      </c>
      <c r="L349" s="3">
        <f t="shared" si="356"/>
        <v>4.500334004835873E-3</v>
      </c>
      <c r="M349" s="3">
        <f t="shared" si="356"/>
        <v>4.5003340048317556E-3</v>
      </c>
      <c r="N349" s="3">
        <f t="shared" si="356"/>
        <v>4.500334004790575E-3</v>
      </c>
      <c r="O349" s="3">
        <f t="shared" si="356"/>
        <v>4.5003340043787681E-3</v>
      </c>
      <c r="P349" s="3">
        <f t="shared" si="356"/>
        <v>4.5003340002607002E-3</v>
      </c>
      <c r="Q349" s="3">
        <f t="shared" si="356"/>
        <v>4.5003339590800242E-3</v>
      </c>
      <c r="R349" s="3">
        <f t="shared" si="356"/>
        <v>4.5003335472732818E-3</v>
      </c>
      <c r="S349" s="3">
        <f t="shared" si="356"/>
        <v>4.5003294292079322E-3</v>
      </c>
      <c r="T349" s="3">
        <f t="shared" si="356"/>
        <v>4.5002882487616943E-3</v>
      </c>
      <c r="U349" s="3">
        <f t="shared" si="356"/>
        <v>4.4998764650240322E-3</v>
      </c>
      <c r="V349" s="3">
        <f t="shared" si="356"/>
        <v>4.4957606994173579E-3</v>
      </c>
      <c r="W349" s="3">
        <f t="shared" si="356"/>
        <v>4.4548095206170075E-3</v>
      </c>
      <c r="X349" s="3">
        <f t="shared" si="356"/>
        <v>4.0652631687669244E-3</v>
      </c>
      <c r="Y349" s="3">
        <f t="shared" si="356"/>
        <v>1.6281106869780718E-3</v>
      </c>
      <c r="Z349" s="3">
        <f t="shared" si="356"/>
        <v>1.7283693024462074E-7</v>
      </c>
      <c r="AA349" s="3">
        <f t="shared" si="356"/>
        <v>3.1416855602416053E-47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6.1948117203855881E-4</v>
      </c>
      <c r="C350" s="3">
        <f t="shared" si="357"/>
        <v>6.1948117203855881E-4</v>
      </c>
      <c r="D350" s="3">
        <f t="shared" si="357"/>
        <v>6.1948117203855881E-4</v>
      </c>
      <c r="E350" s="3">
        <f t="shared" si="357"/>
        <v>6.1948117203855881E-4</v>
      </c>
      <c r="F350" s="3">
        <f t="shared" si="357"/>
        <v>6.1948117203855881E-4</v>
      </c>
      <c r="G350" s="3">
        <f t="shared" si="357"/>
        <v>6.1948117203855881E-4</v>
      </c>
      <c r="H350" s="3">
        <f t="shared" si="357"/>
        <v>6.1948117203855881E-4</v>
      </c>
      <c r="I350" s="3">
        <f t="shared" si="357"/>
        <v>6.1948117203855881E-4</v>
      </c>
      <c r="J350" s="3">
        <f t="shared" si="357"/>
        <v>6.1948117203855871E-4</v>
      </c>
      <c r="K350" s="3">
        <f t="shared" si="357"/>
        <v>6.1948117203855816E-4</v>
      </c>
      <c r="L350" s="3">
        <f t="shared" si="357"/>
        <v>6.1948117203855253E-4</v>
      </c>
      <c r="M350" s="3">
        <f t="shared" si="357"/>
        <v>6.1948117203849582E-4</v>
      </c>
      <c r="N350" s="3">
        <f t="shared" si="357"/>
        <v>6.19481172037929E-4</v>
      </c>
      <c r="O350" s="3">
        <f t="shared" si="357"/>
        <v>6.1948117203226036E-4</v>
      </c>
      <c r="P350" s="3">
        <f t="shared" si="357"/>
        <v>6.1948117197557426E-4</v>
      </c>
      <c r="Q350" s="3">
        <f t="shared" si="357"/>
        <v>6.1948117140871292E-4</v>
      </c>
      <c r="R350" s="3">
        <f t="shared" si="357"/>
        <v>6.1948116574009956E-4</v>
      </c>
      <c r="S350" s="3">
        <f t="shared" si="357"/>
        <v>6.194811090539684E-4</v>
      </c>
      <c r="T350" s="3">
        <f t="shared" si="357"/>
        <v>6.1948054219294294E-4</v>
      </c>
      <c r="U350" s="3">
        <f t="shared" si="357"/>
        <v>6.1947487361121696E-4</v>
      </c>
      <c r="V350" s="3">
        <f t="shared" si="357"/>
        <v>6.1941819064676156E-4</v>
      </c>
      <c r="W350" s="3">
        <f t="shared" si="357"/>
        <v>6.1885164618603514E-4</v>
      </c>
      <c r="X350" s="3">
        <f t="shared" si="357"/>
        <v>6.1321462364229975E-4</v>
      </c>
      <c r="Y350" s="3">
        <f t="shared" si="357"/>
        <v>5.5959268572655814E-4</v>
      </c>
      <c r="Z350" s="3">
        <f t="shared" si="357"/>
        <v>2.2411312482446721E-4</v>
      </c>
      <c r="AA350" s="3">
        <f t="shared" si="357"/>
        <v>2.3791395039661776E-8</v>
      </c>
      <c r="AB350" s="3">
        <f t="shared" si="357"/>
        <v>4.3246013539074331E-48</v>
      </c>
      <c r="AC350" s="3">
        <f t="shared" si="357"/>
        <v>0</v>
      </c>
      <c r="AD350" s="3">
        <f t="shared" si="357"/>
        <v>0</v>
      </c>
      <c r="AE350" s="3">
        <f t="shared" si="357"/>
        <v>0</v>
      </c>
      <c r="AF350" s="3">
        <f t="shared" si="357"/>
        <v>0</v>
      </c>
      <c r="AG350" s="3"/>
      <c r="AH350" s="3"/>
    </row>
    <row r="351" spans="2:34" x14ac:dyDescent="0.25">
      <c r="B351" s="3">
        <f t="shared" ref="B351:AF351" si="358">$C42*EXP(-B$363/$A42/EXP(-$G$126))</f>
        <v>7.8921984991154562E-4</v>
      </c>
      <c r="C351" s="3">
        <f t="shared" si="358"/>
        <v>7.8921984991154562E-4</v>
      </c>
      <c r="D351" s="3">
        <f t="shared" si="358"/>
        <v>7.8921984991154562E-4</v>
      </c>
      <c r="E351" s="3">
        <f t="shared" si="358"/>
        <v>7.8921984991154562E-4</v>
      </c>
      <c r="F351" s="3">
        <f t="shared" si="358"/>
        <v>7.8921984991154562E-4</v>
      </c>
      <c r="G351" s="3">
        <f t="shared" si="358"/>
        <v>7.8921984991154562E-4</v>
      </c>
      <c r="H351" s="3">
        <f t="shared" si="358"/>
        <v>7.8921984991154562E-4</v>
      </c>
      <c r="I351" s="3">
        <f t="shared" si="358"/>
        <v>7.8921984991154562E-4</v>
      </c>
      <c r="J351" s="3">
        <f t="shared" si="358"/>
        <v>7.8921984991154562E-4</v>
      </c>
      <c r="K351" s="3">
        <f t="shared" si="358"/>
        <v>7.8921984991154551E-4</v>
      </c>
      <c r="L351" s="3">
        <f t="shared" si="358"/>
        <v>7.8921984991154486E-4</v>
      </c>
      <c r="M351" s="3">
        <f t="shared" si="358"/>
        <v>7.892198499115376E-4</v>
      </c>
      <c r="N351" s="3">
        <f t="shared" si="358"/>
        <v>7.8921984991146539E-4</v>
      </c>
      <c r="O351" s="3">
        <f t="shared" si="358"/>
        <v>7.892198499107432E-4</v>
      </c>
      <c r="P351" s="3">
        <f t="shared" si="358"/>
        <v>7.8921984990352133E-4</v>
      </c>
      <c r="Q351" s="3">
        <f t="shared" si="358"/>
        <v>7.8921984983130317E-4</v>
      </c>
      <c r="R351" s="3">
        <f t="shared" si="358"/>
        <v>7.8921984910912109E-4</v>
      </c>
      <c r="S351" s="3">
        <f t="shared" si="358"/>
        <v>7.8921984188729997E-4</v>
      </c>
      <c r="T351" s="3">
        <f t="shared" si="358"/>
        <v>7.8921976966909232E-4</v>
      </c>
      <c r="U351" s="3">
        <f t="shared" si="358"/>
        <v>7.8921904748738021E-4</v>
      </c>
      <c r="V351" s="3">
        <f t="shared" si="358"/>
        <v>7.8921182570660482E-4</v>
      </c>
      <c r="W351" s="3">
        <f t="shared" si="358"/>
        <v>7.8913961153332681E-4</v>
      </c>
      <c r="X351" s="3">
        <f t="shared" si="358"/>
        <v>7.884178331251287E-4</v>
      </c>
      <c r="Y351" s="3">
        <f t="shared" si="358"/>
        <v>7.8123625879047249E-4</v>
      </c>
      <c r="Z351" s="3">
        <f t="shared" si="358"/>
        <v>7.1292183745856196E-4</v>
      </c>
      <c r="AA351" s="3">
        <f t="shared" si="358"/>
        <v>2.8552042373640397E-4</v>
      </c>
      <c r="AB351" s="3">
        <f t="shared" si="358"/>
        <v>3.0310269415612565E-8</v>
      </c>
      <c r="AC351" s="3">
        <f t="shared" si="358"/>
        <v>5.5095479661255146E-48</v>
      </c>
      <c r="AD351" s="3">
        <f t="shared" si="358"/>
        <v>0</v>
      </c>
      <c r="AE351" s="3">
        <f t="shared" si="358"/>
        <v>0</v>
      </c>
      <c r="AF351" s="3">
        <f t="shared" si="358"/>
        <v>0</v>
      </c>
      <c r="AG351" s="3"/>
      <c r="AH351" s="3"/>
    </row>
    <row r="352" spans="2:34" x14ac:dyDescent="0.25">
      <c r="B352" s="3">
        <f t="shared" ref="B352:AF352" si="359">$C43*EXP(-B$363/$A43/EXP(-$G$126))</f>
        <v>3.1383864234018747E-3</v>
      </c>
      <c r="C352" s="3">
        <f t="shared" si="359"/>
        <v>3.1383864234018747E-3</v>
      </c>
      <c r="D352" s="3">
        <f t="shared" si="359"/>
        <v>3.1383864234018747E-3</v>
      </c>
      <c r="E352" s="3">
        <f t="shared" si="359"/>
        <v>3.1383864234018747E-3</v>
      </c>
      <c r="F352" s="3">
        <f t="shared" si="359"/>
        <v>3.1383864234018747E-3</v>
      </c>
      <c r="G352" s="3">
        <f t="shared" si="359"/>
        <v>3.1383864234018747E-3</v>
      </c>
      <c r="H352" s="3">
        <f t="shared" si="359"/>
        <v>3.1383864234018747E-3</v>
      </c>
      <c r="I352" s="3">
        <f t="shared" si="359"/>
        <v>3.1383864234018747E-3</v>
      </c>
      <c r="J352" s="3">
        <f t="shared" si="359"/>
        <v>3.1383864234018747E-3</v>
      </c>
      <c r="K352" s="3">
        <f t="shared" si="359"/>
        <v>3.1383864234018747E-3</v>
      </c>
      <c r="L352" s="3">
        <f t="shared" si="359"/>
        <v>3.1383864234018743E-3</v>
      </c>
      <c r="M352" s="3">
        <f t="shared" si="359"/>
        <v>3.1383864234018717E-3</v>
      </c>
      <c r="N352" s="3">
        <f t="shared" si="359"/>
        <v>3.1383864234018426E-3</v>
      </c>
      <c r="O352" s="3">
        <f t="shared" si="359"/>
        <v>3.1383864234015555E-3</v>
      </c>
      <c r="P352" s="3">
        <f t="shared" si="359"/>
        <v>3.1383864233986837E-3</v>
      </c>
      <c r="Q352" s="3">
        <f t="shared" si="359"/>
        <v>3.1383864233699658E-3</v>
      </c>
      <c r="R352" s="3">
        <f t="shared" si="359"/>
        <v>3.1383864230827853E-3</v>
      </c>
      <c r="S352" s="3">
        <f t="shared" si="359"/>
        <v>3.1383864202109788E-3</v>
      </c>
      <c r="T352" s="3">
        <f t="shared" si="359"/>
        <v>3.1383863914929157E-3</v>
      </c>
      <c r="U352" s="3">
        <f t="shared" si="359"/>
        <v>3.1383861043123005E-3</v>
      </c>
      <c r="V352" s="3">
        <f t="shared" si="359"/>
        <v>3.1383832325075924E-3</v>
      </c>
      <c r="W352" s="3">
        <f t="shared" si="359"/>
        <v>3.1383545146050447E-3</v>
      </c>
      <c r="X352" s="3">
        <f t="shared" si="359"/>
        <v>3.1380673500323113E-3</v>
      </c>
      <c r="Y352" s="3">
        <f t="shared" si="359"/>
        <v>3.1351971490898899E-3</v>
      </c>
      <c r="Z352" s="3">
        <f t="shared" si="359"/>
        <v>3.1066391301892474E-3</v>
      </c>
      <c r="AA352" s="3">
        <f t="shared" si="359"/>
        <v>2.8349821863672534E-3</v>
      </c>
      <c r="AB352" s="3">
        <f t="shared" si="359"/>
        <v>1.1353913887983318E-3</v>
      </c>
      <c r="AC352" s="3">
        <f t="shared" si="359"/>
        <v>1.2053084832353499E-7</v>
      </c>
      <c r="AD352" s="3">
        <f t="shared" si="359"/>
        <v>2.1909092299069368E-47</v>
      </c>
      <c r="AE352" s="3">
        <f t="shared" si="359"/>
        <v>0</v>
      </c>
      <c r="AF352" s="3">
        <f t="shared" si="359"/>
        <v>0</v>
      </c>
      <c r="AG352" s="3"/>
      <c r="AH352" s="3"/>
    </row>
    <row r="353" spans="1:34" x14ac:dyDescent="0.25">
      <c r="B353" s="3">
        <f t="shared" ref="B353:AF353" si="360">$C44*EXP(-B$363/$A44/EXP(-$G$126))</f>
        <v>4.3963079363277776E-4</v>
      </c>
      <c r="C353" s="3">
        <f t="shared" si="360"/>
        <v>4.3963079363277776E-4</v>
      </c>
      <c r="D353" s="3">
        <f t="shared" si="360"/>
        <v>4.3963079363277776E-4</v>
      </c>
      <c r="E353" s="3">
        <f t="shared" si="360"/>
        <v>4.3963079363277776E-4</v>
      </c>
      <c r="F353" s="3">
        <f t="shared" si="360"/>
        <v>4.3963079363277776E-4</v>
      </c>
      <c r="G353" s="3">
        <f t="shared" si="360"/>
        <v>4.3963079363277776E-4</v>
      </c>
      <c r="H353" s="3">
        <f t="shared" si="360"/>
        <v>4.3963079363277776E-4</v>
      </c>
      <c r="I353" s="3">
        <f t="shared" si="360"/>
        <v>4.3963079363277776E-4</v>
      </c>
      <c r="J353" s="3">
        <f t="shared" si="360"/>
        <v>4.3963079363277776E-4</v>
      </c>
      <c r="K353" s="3">
        <f t="shared" si="360"/>
        <v>4.3963079363277776E-4</v>
      </c>
      <c r="L353" s="3">
        <f t="shared" si="360"/>
        <v>4.3963079363277776E-4</v>
      </c>
      <c r="M353" s="3">
        <f t="shared" si="360"/>
        <v>4.396307936327777E-4</v>
      </c>
      <c r="N353" s="3">
        <f t="shared" si="360"/>
        <v>4.3963079363277733E-4</v>
      </c>
      <c r="O353" s="3">
        <f t="shared" si="360"/>
        <v>4.3963079363277326E-4</v>
      </c>
      <c r="P353" s="3">
        <f t="shared" si="360"/>
        <v>4.3963079363273304E-4</v>
      </c>
      <c r="Q353" s="3">
        <f t="shared" si="360"/>
        <v>4.3963079363233074E-4</v>
      </c>
      <c r="R353" s="3">
        <f t="shared" si="360"/>
        <v>4.3963079362830792E-4</v>
      </c>
      <c r="S353" s="3">
        <f t="shared" si="360"/>
        <v>4.3963079358807914E-4</v>
      </c>
      <c r="T353" s="3">
        <f t="shared" si="360"/>
        <v>4.3963079318579134E-4</v>
      </c>
      <c r="U353" s="3">
        <f t="shared" si="360"/>
        <v>4.3963078916291361E-4</v>
      </c>
      <c r="V353" s="3">
        <f t="shared" si="360"/>
        <v>4.3963074893413844E-4</v>
      </c>
      <c r="W353" s="3">
        <f t="shared" si="360"/>
        <v>4.3963034664658919E-4</v>
      </c>
      <c r="X353" s="3">
        <f t="shared" si="360"/>
        <v>4.3962632379134284E-4</v>
      </c>
      <c r="Y353" s="3">
        <f t="shared" si="360"/>
        <v>4.3958609726344535E-4</v>
      </c>
      <c r="Z353" s="3">
        <f t="shared" si="360"/>
        <v>4.3918403437253007E-4</v>
      </c>
      <c r="AA353" s="3">
        <f t="shared" si="360"/>
        <v>4.3518357591392496E-4</v>
      </c>
      <c r="AB353" s="3">
        <f t="shared" si="360"/>
        <v>3.9712938446134321E-4</v>
      </c>
      <c r="AC353" s="3">
        <f t="shared" si="360"/>
        <v>1.5904766016677197E-4</v>
      </c>
      <c r="AD353" s="3">
        <f t="shared" si="360"/>
        <v>1.6884177203478276E-8</v>
      </c>
      <c r="AE353" s="3">
        <f t="shared" si="360"/>
        <v>3.0690649065366118E-48</v>
      </c>
      <c r="AF353" s="3">
        <f t="shared" si="360"/>
        <v>0</v>
      </c>
      <c r="AG353" s="3"/>
      <c r="AH353" s="3"/>
    </row>
    <row r="354" spans="1:34" x14ac:dyDescent="0.25">
      <c r="B354" s="3">
        <f t="shared" ref="B354:AF354" si="361">$C45*EXP(-B$363/$A45/EXP(-$G$126))</f>
        <v>3.9367491924485783E-5</v>
      </c>
      <c r="C354" s="3">
        <f t="shared" si="361"/>
        <v>3.9367491924485783E-5</v>
      </c>
      <c r="D354" s="3">
        <f t="shared" si="361"/>
        <v>3.9367491924485783E-5</v>
      </c>
      <c r="E354" s="3">
        <f t="shared" si="361"/>
        <v>3.9367491924485783E-5</v>
      </c>
      <c r="F354" s="3">
        <f t="shared" si="361"/>
        <v>3.9367491924485783E-5</v>
      </c>
      <c r="G354" s="3">
        <f t="shared" si="361"/>
        <v>3.9367491924485783E-5</v>
      </c>
      <c r="H354" s="3">
        <f t="shared" si="361"/>
        <v>3.9367491924485783E-5</v>
      </c>
      <c r="I354" s="3">
        <f t="shared" si="361"/>
        <v>3.9367491924485783E-5</v>
      </c>
      <c r="J354" s="3">
        <f t="shared" si="361"/>
        <v>3.9367491924485783E-5</v>
      </c>
      <c r="K354" s="3">
        <f t="shared" si="361"/>
        <v>3.9367491924485783E-5</v>
      </c>
      <c r="L354" s="3">
        <f t="shared" si="361"/>
        <v>3.9367491924485783E-5</v>
      </c>
      <c r="M354" s="3">
        <f t="shared" si="361"/>
        <v>3.9367491924485783E-5</v>
      </c>
      <c r="N354" s="3">
        <f t="shared" si="361"/>
        <v>3.9367491924485776E-5</v>
      </c>
      <c r="O354" s="3">
        <f t="shared" si="361"/>
        <v>3.9367491924485742E-5</v>
      </c>
      <c r="P354" s="3">
        <f t="shared" si="361"/>
        <v>3.9367491924485383E-5</v>
      </c>
      <c r="Q354" s="3">
        <f t="shared" si="361"/>
        <v>3.9367491924481778E-5</v>
      </c>
      <c r="R354" s="3">
        <f t="shared" si="361"/>
        <v>3.9367491924445756E-5</v>
      </c>
      <c r="S354" s="3">
        <f t="shared" si="361"/>
        <v>3.9367491924085523E-5</v>
      </c>
      <c r="T354" s="3">
        <f t="shared" si="361"/>
        <v>3.9367491920483166E-5</v>
      </c>
      <c r="U354" s="3">
        <f t="shared" si="361"/>
        <v>3.9367491884459621E-5</v>
      </c>
      <c r="V354" s="3">
        <f t="shared" si="361"/>
        <v>3.9367491524224152E-5</v>
      </c>
      <c r="W354" s="3">
        <f t="shared" si="361"/>
        <v>3.9367487921869612E-5</v>
      </c>
      <c r="X354" s="3">
        <f t="shared" si="361"/>
        <v>3.9367451898342427E-5</v>
      </c>
      <c r="Y354" s="3">
        <f t="shared" si="361"/>
        <v>3.936709166488354E-5</v>
      </c>
      <c r="Z354" s="3">
        <f t="shared" si="361"/>
        <v>3.936348951158789E-5</v>
      </c>
      <c r="AA354" s="3">
        <f t="shared" si="361"/>
        <v>3.9327486101816587E-5</v>
      </c>
      <c r="AB354" s="3">
        <f t="shared" si="361"/>
        <v>3.8969258201623303E-5</v>
      </c>
      <c r="AC354" s="3">
        <f t="shared" si="361"/>
        <v>3.5561630491282102E-5</v>
      </c>
      <c r="AD354" s="3">
        <f t="shared" si="361"/>
        <v>1.4242194968839706E-5</v>
      </c>
      <c r="AE354" s="3">
        <f t="shared" si="361"/>
        <v>1.5119225480477364E-9</v>
      </c>
      <c r="AF354" s="3">
        <f t="shared" si="361"/>
        <v>2.7482467032262644E-49</v>
      </c>
      <c r="AG354" s="3"/>
      <c r="AH354" s="3"/>
    </row>
    <row r="355" spans="1:34" x14ac:dyDescent="0.25">
      <c r="B355" s="3">
        <f t="shared" ref="B355:AF355" si="362">$C46*EXP(-B$363/$A46/EXP(-$G$126))</f>
        <v>2.469113716916911E-6</v>
      </c>
      <c r="C355" s="3">
        <f t="shared" si="362"/>
        <v>2.469113716916911E-6</v>
      </c>
      <c r="D355" s="3">
        <f t="shared" si="362"/>
        <v>2.469113716916911E-6</v>
      </c>
      <c r="E355" s="3">
        <f t="shared" si="362"/>
        <v>2.469113716916911E-6</v>
      </c>
      <c r="F355" s="3">
        <f t="shared" si="362"/>
        <v>2.469113716916911E-6</v>
      </c>
      <c r="G355" s="3">
        <f t="shared" si="362"/>
        <v>2.469113716916911E-6</v>
      </c>
      <c r="H355" s="3">
        <f t="shared" si="362"/>
        <v>2.469113716916911E-6</v>
      </c>
      <c r="I355" s="3">
        <f t="shared" si="362"/>
        <v>2.469113716916911E-6</v>
      </c>
      <c r="J355" s="3">
        <f t="shared" si="362"/>
        <v>2.469113716916911E-6</v>
      </c>
      <c r="K355" s="3">
        <f t="shared" si="362"/>
        <v>2.469113716916911E-6</v>
      </c>
      <c r="L355" s="3">
        <f t="shared" si="362"/>
        <v>2.469113716916911E-6</v>
      </c>
      <c r="M355" s="3">
        <f t="shared" si="362"/>
        <v>2.469113716916911E-6</v>
      </c>
      <c r="N355" s="3">
        <f t="shared" si="362"/>
        <v>2.469113716916911E-6</v>
      </c>
      <c r="O355" s="3">
        <f t="shared" si="362"/>
        <v>2.4691137169169106E-6</v>
      </c>
      <c r="P355" s="3">
        <f t="shared" si="362"/>
        <v>2.4691137169169085E-6</v>
      </c>
      <c r="Q355" s="3">
        <f t="shared" si="362"/>
        <v>2.4691137169168856E-6</v>
      </c>
      <c r="R355" s="3">
        <f t="shared" si="362"/>
        <v>2.4691137169166599E-6</v>
      </c>
      <c r="S355" s="3">
        <f t="shared" si="362"/>
        <v>2.4691137169144004E-6</v>
      </c>
      <c r="T355" s="3">
        <f t="shared" si="362"/>
        <v>2.4691137168918067E-6</v>
      </c>
      <c r="U355" s="3">
        <f t="shared" si="362"/>
        <v>2.4691137166658687E-6</v>
      </c>
      <c r="V355" s="3">
        <f t="shared" si="362"/>
        <v>2.4691137144064858E-6</v>
      </c>
      <c r="W355" s="3">
        <f t="shared" si="362"/>
        <v>2.4691136918126578E-6</v>
      </c>
      <c r="X355" s="3">
        <f t="shared" si="362"/>
        <v>2.4691134658743881E-6</v>
      </c>
      <c r="Y355" s="3">
        <f t="shared" si="362"/>
        <v>2.4691112064928338E-6</v>
      </c>
      <c r="Z355" s="3">
        <f t="shared" si="362"/>
        <v>2.4690886127909962E-6</v>
      </c>
      <c r="AA355" s="3">
        <f t="shared" si="362"/>
        <v>2.4688626871432613E-6</v>
      </c>
      <c r="AB355" s="3">
        <f t="shared" si="362"/>
        <v>2.4666045673450122E-6</v>
      </c>
      <c r="AC355" s="3">
        <f t="shared" si="362"/>
        <v>2.4441366533654722E-6</v>
      </c>
      <c r="AD355" s="3">
        <f t="shared" si="362"/>
        <v>2.2304115743614833E-6</v>
      </c>
      <c r="AE355" s="3">
        <f t="shared" si="362"/>
        <v>8.9326490557288581E-7</v>
      </c>
      <c r="AF355" s="3">
        <f t="shared" si="362"/>
        <v>9.4827191670260196E-11</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1.7694008061745438E-3</v>
      </c>
      <c r="B358" s="81">
        <f>IF($A$64&lt;=B324,IF($B$64&gt;=B324,ABS((B326-B325)/B325),0),0)</f>
        <v>1.2590460832625912E-2</v>
      </c>
      <c r="C358" s="81">
        <f t="shared" ref="C358:AF358" si="365">IF($A$64&lt;=C324,IF($B$64&gt;=C324,ABS((C326-C325)/C325),0),0)</f>
        <v>1.6732916447039572E-2</v>
      </c>
      <c r="D358" s="81">
        <f t="shared" si="365"/>
        <v>5.0154342101334298E-3</v>
      </c>
      <c r="E358" s="81">
        <f t="shared" si="365"/>
        <v>4.9989210881881544E-4</v>
      </c>
      <c r="F358" s="81">
        <f t="shared" si="365"/>
        <v>5.4123661505346319E-4</v>
      </c>
      <c r="G358" s="81">
        <f t="shared" si="365"/>
        <v>3.9928848574912813E-4</v>
      </c>
      <c r="H358" s="81">
        <f t="shared" si="365"/>
        <v>3.8158175125737443E-4</v>
      </c>
      <c r="I358" s="81">
        <f t="shared" si="365"/>
        <v>3.8740013380396962E-4</v>
      </c>
      <c r="J358" s="81">
        <f t="shared" si="365"/>
        <v>4.1853252617419872E-4</v>
      </c>
      <c r="K358" s="81">
        <f t="shared" si="365"/>
        <v>3.9195361116202323E-4</v>
      </c>
      <c r="L358" s="81">
        <f t="shared" si="365"/>
        <v>5.1577302961697323E-4</v>
      </c>
      <c r="M358" s="81">
        <f t="shared" si="365"/>
        <v>4.7215188096617276E-4</v>
      </c>
      <c r="N358" s="81">
        <f t="shared" si="365"/>
        <v>7.6376686204299214E-4</v>
      </c>
      <c r="O358" s="81">
        <f t="shared" si="365"/>
        <v>6.3951317104780838E-4</v>
      </c>
      <c r="P358" s="81">
        <f t="shared" si="365"/>
        <v>1.1209936873099891E-3</v>
      </c>
      <c r="Q358" s="81">
        <f t="shared" si="365"/>
        <v>1.1920340222557303E-3</v>
      </c>
      <c r="R358" s="81">
        <f t="shared" si="365"/>
        <v>1.8039446820369677E-3</v>
      </c>
      <c r="S358" s="81">
        <f t="shared" si="365"/>
        <v>1.9775287888964114E-3</v>
      </c>
      <c r="T358" s="81">
        <f t="shared" si="365"/>
        <v>2.232276769676553E-3</v>
      </c>
      <c r="U358" s="81">
        <f t="shared" si="365"/>
        <v>1.9187921611063528E-3</v>
      </c>
      <c r="V358" s="81">
        <f t="shared" si="365"/>
        <v>1.4517141498330546E-3</v>
      </c>
      <c r="W358" s="81">
        <f t="shared" si="365"/>
        <v>8.5599574389384953E-4</v>
      </c>
      <c r="X358" s="81">
        <f t="shared" si="365"/>
        <v>4.9732923897647459E-4</v>
      </c>
      <c r="Y358" s="81">
        <f t="shared" si="365"/>
        <v>6.0272426160535208E-4</v>
      </c>
      <c r="Z358" s="81">
        <f t="shared" si="365"/>
        <v>1.0814597125891398E-4</v>
      </c>
      <c r="AA358" s="81">
        <f t="shared" si="365"/>
        <v>8.6191518775882592E-5</v>
      </c>
      <c r="AB358" s="81">
        <f t="shared" si="365"/>
        <v>5.3476659870240069E-4</v>
      </c>
      <c r="AC358" s="81">
        <f t="shared" si="365"/>
        <v>1.4348674043248197E-4</v>
      </c>
      <c r="AD358" s="81">
        <f t="shared" si="365"/>
        <v>1.669623735891603E-4</v>
      </c>
      <c r="AE358" s="81">
        <f t="shared" si="365"/>
        <v>1.0388440513234175E-4</v>
      </c>
      <c r="AF358" s="81">
        <f t="shared" si="365"/>
        <v>3.0475221243710966E-4</v>
      </c>
    </row>
    <row r="359" spans="1:34" x14ac:dyDescent="0.25">
      <c r="B359" s="21">
        <f>(B326-B325)^2</f>
        <v>3305.7490715380413</v>
      </c>
      <c r="C359" s="21">
        <f t="shared" ref="C359:AF359" si="366">(C326-C325)^2</f>
        <v>5341.8596112490541</v>
      </c>
      <c r="D359" s="21">
        <f t="shared" si="366"/>
        <v>446.21236969810394</v>
      </c>
      <c r="E359" s="21">
        <f t="shared" si="366"/>
        <v>4.0687847574011844</v>
      </c>
      <c r="F359" s="21">
        <f t="shared" si="366"/>
        <v>4.2902973121958086</v>
      </c>
      <c r="G359" s="21">
        <f t="shared" si="366"/>
        <v>2.0894351851484934</v>
      </c>
      <c r="H359" s="21">
        <f t="shared" si="366"/>
        <v>1.7296682758508599</v>
      </c>
      <c r="I359" s="21">
        <f t="shared" si="366"/>
        <v>1.6180945296088851</v>
      </c>
      <c r="J359" s="21">
        <f t="shared" si="366"/>
        <v>1.7119003580121461</v>
      </c>
      <c r="K359" s="21">
        <f t="shared" si="366"/>
        <v>1.3559773697071706</v>
      </c>
      <c r="L359" s="21">
        <f t="shared" si="366"/>
        <v>2.1079465312367209</v>
      </c>
      <c r="M359" s="21">
        <f t="shared" si="366"/>
        <v>1.5554575284185046</v>
      </c>
      <c r="N359" s="21">
        <f t="shared" si="366"/>
        <v>3.4991638035190422</v>
      </c>
      <c r="O359" s="21">
        <f t="shared" si="366"/>
        <v>2.0444406458104636</v>
      </c>
      <c r="P359" s="21">
        <f t="shared" si="366"/>
        <v>4.9930651481669157</v>
      </c>
      <c r="Q359" s="21">
        <f t="shared" si="366"/>
        <v>4.1448354611571299</v>
      </c>
      <c r="R359" s="21">
        <f t="shared" si="366"/>
        <v>6.2242151873639298</v>
      </c>
      <c r="S359" s="21">
        <f t="shared" si="366"/>
        <v>4.2736390849182753</v>
      </c>
      <c r="T359" s="21">
        <f t="shared" si="366"/>
        <v>2.7546329178894693</v>
      </c>
      <c r="U359" s="21">
        <f t="shared" si="366"/>
        <v>0.99361992242095987</v>
      </c>
      <c r="V359" s="21">
        <f t="shared" si="366"/>
        <v>0.30997628646482167</v>
      </c>
      <c r="W359" s="21">
        <f t="shared" si="366"/>
        <v>7.2291854446249096E-2</v>
      </c>
      <c r="X359" s="21">
        <f t="shared" si="366"/>
        <v>1.948699371281868E-2</v>
      </c>
      <c r="Y359" s="21">
        <f t="shared" si="366"/>
        <v>2.49822625844002E-2</v>
      </c>
      <c r="Z359" s="21">
        <f t="shared" si="366"/>
        <v>7.3412463734346669E-4</v>
      </c>
      <c r="AA359" s="21">
        <f t="shared" si="366"/>
        <v>4.4711285863050133E-4</v>
      </c>
      <c r="AB359" s="21">
        <f t="shared" si="366"/>
        <v>1.5668224874633405E-2</v>
      </c>
      <c r="AC359" s="21">
        <f t="shared" si="366"/>
        <v>1.0532758537707759E-3</v>
      </c>
      <c r="AD359" s="21">
        <f t="shared" si="366"/>
        <v>1.4142356709898967E-3</v>
      </c>
      <c r="AE359" s="21">
        <f t="shared" si="366"/>
        <v>5.470068164841257E-4</v>
      </c>
      <c r="AF359" s="21">
        <f t="shared" si="366"/>
        <v>4.7033952448585848E-3</v>
      </c>
      <c r="AG359" s="3"/>
      <c r="AH359" s="3"/>
    </row>
    <row r="360" spans="1:34" x14ac:dyDescent="0.25">
      <c r="A360" s="72">
        <f>SUM(B360:AF360)</f>
        <v>9143.7275312771872</v>
      </c>
      <c r="B360" s="60">
        <f>IF($A$64&lt;=B324,IF($B$64&gt;=B324,ABS(B359),0),0)</f>
        <v>3305.7490715380413</v>
      </c>
      <c r="C360" s="60">
        <f t="shared" ref="C360:AF360" si="367">IF($A$64&lt;=C324,IF($B$64&gt;=C324,ABS(C359),0),0)</f>
        <v>5341.8596112490541</v>
      </c>
      <c r="D360" s="60">
        <f t="shared" si="367"/>
        <v>446.21236969810394</v>
      </c>
      <c r="E360" s="60">
        <f t="shared" si="367"/>
        <v>4.0687847574011844</v>
      </c>
      <c r="F360" s="60">
        <f t="shared" si="367"/>
        <v>4.2902973121958086</v>
      </c>
      <c r="G360" s="60">
        <f t="shared" si="367"/>
        <v>2.0894351851484934</v>
      </c>
      <c r="H360" s="60">
        <f t="shared" si="367"/>
        <v>1.7296682758508599</v>
      </c>
      <c r="I360" s="60">
        <f t="shared" si="367"/>
        <v>1.6180945296088851</v>
      </c>
      <c r="J360" s="60">
        <f t="shared" si="367"/>
        <v>1.7119003580121461</v>
      </c>
      <c r="K360" s="60">
        <f t="shared" si="367"/>
        <v>1.3559773697071706</v>
      </c>
      <c r="L360" s="60">
        <f t="shared" si="367"/>
        <v>2.1079465312367209</v>
      </c>
      <c r="M360" s="60">
        <f t="shared" si="367"/>
        <v>1.5554575284185046</v>
      </c>
      <c r="N360" s="60">
        <f t="shared" si="367"/>
        <v>3.4991638035190422</v>
      </c>
      <c r="O360" s="60">
        <f t="shared" si="367"/>
        <v>2.0444406458104636</v>
      </c>
      <c r="P360" s="60">
        <f t="shared" si="367"/>
        <v>4.9930651481669157</v>
      </c>
      <c r="Q360" s="60">
        <f t="shared" si="367"/>
        <v>4.1448354611571299</v>
      </c>
      <c r="R360" s="60">
        <f t="shared" si="367"/>
        <v>6.2242151873639298</v>
      </c>
      <c r="S360" s="60">
        <f t="shared" si="367"/>
        <v>4.2736390849182753</v>
      </c>
      <c r="T360" s="60">
        <f t="shared" si="367"/>
        <v>2.7546329178894693</v>
      </c>
      <c r="U360" s="60">
        <f t="shared" si="367"/>
        <v>0.99361992242095987</v>
      </c>
      <c r="V360" s="60">
        <f t="shared" si="367"/>
        <v>0.30997628646482167</v>
      </c>
      <c r="W360" s="60">
        <f t="shared" si="367"/>
        <v>7.2291854446249096E-2</v>
      </c>
      <c r="X360" s="60">
        <f t="shared" si="367"/>
        <v>1.948699371281868E-2</v>
      </c>
      <c r="Y360" s="60">
        <f t="shared" si="367"/>
        <v>2.49822625844002E-2</v>
      </c>
      <c r="Z360" s="60">
        <f t="shared" si="367"/>
        <v>7.3412463734346669E-4</v>
      </c>
      <c r="AA360" s="60">
        <f t="shared" si="367"/>
        <v>4.4711285863050133E-4</v>
      </c>
      <c r="AB360" s="60">
        <f t="shared" si="367"/>
        <v>1.5668224874633405E-2</v>
      </c>
      <c r="AC360" s="60">
        <f t="shared" si="367"/>
        <v>1.0532758537707759E-3</v>
      </c>
      <c r="AD360" s="60">
        <f t="shared" si="367"/>
        <v>1.4142356709898967E-3</v>
      </c>
      <c r="AE360" s="60">
        <f t="shared" si="367"/>
        <v>5.470068164841257E-4</v>
      </c>
      <c r="AF360" s="60">
        <f t="shared" si="367"/>
        <v>4.7033952448585848E-3</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3410.8192404405372</v>
      </c>
      <c r="C365" s="27">
        <f t="shared" ref="C365:AF365" si="368">($C$17+SUM(C366:C396))*$B$51</f>
        <v>3247.7043769039301</v>
      </c>
      <c r="D365" s="27">
        <f t="shared" si="368"/>
        <v>3090.4737688063506</v>
      </c>
      <c r="E365" s="27">
        <f t="shared" si="368"/>
        <v>2934.8528392045218</v>
      </c>
      <c r="F365" s="27">
        <f t="shared" si="368"/>
        <v>2776.8289733573283</v>
      </c>
      <c r="G365" s="27">
        <f t="shared" si="368"/>
        <v>2597.7458339507434</v>
      </c>
      <c r="H365" s="27">
        <f t="shared" si="368"/>
        <v>2401.1761651530041</v>
      </c>
      <c r="I365" s="27">
        <f t="shared" si="368"/>
        <v>2183.012036039449</v>
      </c>
      <c r="J365" s="27">
        <f t="shared" si="368"/>
        <v>1932.0599455436418</v>
      </c>
      <c r="K365" s="27">
        <f t="shared" si="368"/>
        <v>1637.9376747907497</v>
      </c>
      <c r="L365" s="27">
        <f t="shared" si="368"/>
        <v>1308.8255535570097</v>
      </c>
      <c r="M365" s="27">
        <f t="shared" si="368"/>
        <v>978.1101638250575</v>
      </c>
      <c r="N365" s="27">
        <f t="shared" si="368"/>
        <v>693.23694694322921</v>
      </c>
      <c r="O365" s="27">
        <f t="shared" si="368"/>
        <v>489.07824876282245</v>
      </c>
      <c r="P365" s="27">
        <f t="shared" si="368"/>
        <v>367.96081229808431</v>
      </c>
      <c r="Q365" s="27">
        <f t="shared" si="368"/>
        <v>306.86491758956458</v>
      </c>
      <c r="R365" s="27">
        <f t="shared" si="368"/>
        <v>276.77732681121387</v>
      </c>
      <c r="S365" s="27">
        <f t="shared" si="368"/>
        <v>257.71244077998654</v>
      </c>
      <c r="T365" s="27">
        <f t="shared" si="368"/>
        <v>249.59830135123548</v>
      </c>
      <c r="U365" s="27">
        <f t="shared" si="368"/>
        <v>243.6293280665023</v>
      </c>
      <c r="V365" s="27">
        <f t="shared" si="368"/>
        <v>230.92078574601254</v>
      </c>
      <c r="W365" s="27">
        <f t="shared" si="368"/>
        <v>225.79756512293744</v>
      </c>
      <c r="X365" s="27">
        <f t="shared" si="368"/>
        <v>225.16361369802667</v>
      </c>
      <c r="Y365" s="27">
        <f t="shared" si="368"/>
        <v>225.11088104413545</v>
      </c>
      <c r="Z365" s="27">
        <f t="shared" si="368"/>
        <v>225.10814112007182</v>
      </c>
      <c r="AA365" s="27">
        <f t="shared" si="368"/>
        <v>225.10814111881024</v>
      </c>
      <c r="AB365" s="27">
        <f t="shared" si="368"/>
        <v>225.10814111881024</v>
      </c>
      <c r="AC365" s="27">
        <f t="shared" si="368"/>
        <v>225.10814111881024</v>
      </c>
      <c r="AD365" s="27">
        <f t="shared" si="368"/>
        <v>225.10814111881024</v>
      </c>
      <c r="AE365" s="27">
        <f t="shared" si="368"/>
        <v>225.10814111881024</v>
      </c>
      <c r="AF365" s="27">
        <f t="shared" si="368"/>
        <v>225.10814111881024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7.2404278395386965E-149</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2.275515280668295E-15</v>
      </c>
      <c r="C370" s="3">
        <f t="shared" si="373"/>
        <v>1.5921582938743692E-134</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1.9966172486915496E-3</v>
      </c>
      <c r="C371" s="3">
        <f t="shared" si="374"/>
        <v>3.5605255691368465E-14</v>
      </c>
      <c r="D371" s="3">
        <f t="shared" si="374"/>
        <v>1.1579958728247269E-121</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2.383588314809449E-2</v>
      </c>
      <c r="C372" s="3">
        <f t="shared" si="375"/>
        <v>2.556241059690237E-3</v>
      </c>
      <c r="D372" s="3">
        <f t="shared" si="375"/>
        <v>5.1440762071098448E-13</v>
      </c>
      <c r="E372" s="3">
        <f t="shared" si="375"/>
        <v>5.6022600950009287E-110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2.8535245492395334E-2</v>
      </c>
      <c r="C373" s="3">
        <f t="shared" si="376"/>
        <v>2.332990503826823E-2</v>
      </c>
      <c r="D373" s="3">
        <f t="shared" si="376"/>
        <v>3.1133399868054786E-3</v>
      </c>
      <c r="E373" s="3">
        <f t="shared" si="376"/>
        <v>5.5765080759059863E-12</v>
      </c>
      <c r="F373" s="3">
        <f t="shared" si="376"/>
        <v>1.8954843103420089E-99</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2.8897766612324318E-2</v>
      </c>
      <c r="C374" s="3">
        <f t="shared" si="377"/>
        <v>2.8377483514985972E-2</v>
      </c>
      <c r="D374" s="3">
        <f t="shared" si="377"/>
        <v>2.366300460021022E-2</v>
      </c>
      <c r="E374" s="3">
        <f t="shared" si="377"/>
        <v>3.8461832229017712E-3</v>
      </c>
      <c r="F374" s="3">
        <f t="shared" si="377"/>
        <v>4.9502915645850854E-11</v>
      </c>
      <c r="G374" s="3">
        <f t="shared" si="377"/>
        <v>6.1750272329124121E-90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2.854423002748387E-2</v>
      </c>
      <c r="C375" s="3">
        <f t="shared" si="378"/>
        <v>2.8497486256397302E-2</v>
      </c>
      <c r="D375" s="3">
        <f t="shared" si="378"/>
        <v>2.8034238024436536E-2</v>
      </c>
      <c r="E375" s="3">
        <f t="shared" si="378"/>
        <v>2.3796374303809716E-2</v>
      </c>
      <c r="F375" s="3">
        <f t="shared" si="378"/>
        <v>4.620948653104192E-3</v>
      </c>
      <c r="G375" s="3">
        <f t="shared" si="378"/>
        <v>3.5231785666098698E-10</v>
      </c>
      <c r="H375" s="3">
        <f t="shared" si="378"/>
        <v>2.3386744989680441E-81</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3.3916432867138475E-2</v>
      </c>
      <c r="C376" s="3">
        <f t="shared" si="379"/>
        <v>3.3911418848873172E-2</v>
      </c>
      <c r="D376" s="3">
        <f t="shared" si="379"/>
        <v>3.3861319416608061E-2</v>
      </c>
      <c r="E376" s="3">
        <f t="shared" si="379"/>
        <v>3.3364377929020902E-2</v>
      </c>
      <c r="F376" s="3">
        <f t="shared" si="379"/>
        <v>2.8778926245964245E-2</v>
      </c>
      <c r="G376" s="3">
        <f t="shared" si="379"/>
        <v>6.5613035254326775E-3</v>
      </c>
      <c r="H376" s="3">
        <f t="shared" si="379"/>
        <v>2.4896915957075046E-9</v>
      </c>
      <c r="I376" s="3">
        <f t="shared" si="379"/>
        <v>1.5406351410043813E-73</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3.6685982525262811E-2</v>
      </c>
      <c r="C377" s="3">
        <f t="shared" si="380"/>
        <v>3.6685493251760945E-2</v>
      </c>
      <c r="D377" s="3">
        <f t="shared" si="380"/>
        <v>3.668060087562177E-2</v>
      </c>
      <c r="E377" s="3">
        <f t="shared" si="380"/>
        <v>3.6631712984468469E-2</v>
      </c>
      <c r="F377" s="3">
        <f t="shared" si="380"/>
        <v>3.6146403459058958E-2</v>
      </c>
      <c r="G377" s="3">
        <f t="shared" si="380"/>
        <v>3.1633244061829165E-2</v>
      </c>
      <c r="H377" s="3">
        <f t="shared" si="380"/>
        <v>8.3354708124938164E-3</v>
      </c>
      <c r="I377" s="3">
        <f t="shared" si="380"/>
        <v>1.345222632185011E-8</v>
      </c>
      <c r="J377" s="3">
        <f t="shared" si="380"/>
        <v>1.6122577283928909E-66</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4.0919506188391894E-2</v>
      </c>
      <c r="C378" s="3">
        <f t="shared" si="381"/>
        <v>4.0919456958242825E-2</v>
      </c>
      <c r="D378" s="3">
        <f t="shared" si="381"/>
        <v>4.0918964660009764E-2</v>
      </c>
      <c r="E378" s="3">
        <f t="shared" si="381"/>
        <v>4.0914042003421101E-2</v>
      </c>
      <c r="F378" s="3">
        <f t="shared" si="381"/>
        <v>4.0864847997234999E-2</v>
      </c>
      <c r="G378" s="3">
        <f t="shared" si="381"/>
        <v>4.0376149458123262E-2</v>
      </c>
      <c r="H378" s="3">
        <f t="shared" si="381"/>
        <v>3.5799339527493784E-2</v>
      </c>
      <c r="I378" s="3">
        <f t="shared" si="381"/>
        <v>1.0749200505595972E-2</v>
      </c>
      <c r="J378" s="3">
        <f t="shared" si="381"/>
        <v>6.403061303808039E-8</v>
      </c>
      <c r="K378" s="3">
        <f t="shared" si="381"/>
        <v>3.6016592266914248E-60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4.7755706999628632E-2</v>
      </c>
      <c r="C379" s="3">
        <f t="shared" si="382"/>
        <v>4.7755701816728099E-2</v>
      </c>
      <c r="D379" s="3">
        <f t="shared" si="382"/>
        <v>4.7755649987753696E-2</v>
      </c>
      <c r="E379" s="3">
        <f t="shared" si="382"/>
        <v>4.7755131701103411E-2</v>
      </c>
      <c r="F379" s="3">
        <f t="shared" si="382"/>
        <v>4.7749949143960309E-2</v>
      </c>
      <c r="G379" s="3">
        <f t="shared" si="382"/>
        <v>4.7698154496087129E-2</v>
      </c>
      <c r="H379" s="3">
        <f t="shared" si="382"/>
        <v>4.7183287991476086E-2</v>
      </c>
      <c r="I379" s="3">
        <f t="shared" si="382"/>
        <v>4.2330603342074433E-2</v>
      </c>
      <c r="J379" s="3">
        <f t="shared" si="382"/>
        <v>1.4299374082303392E-2</v>
      </c>
      <c r="K379" s="3">
        <f t="shared" si="382"/>
        <v>2.7665767315196165E-7</v>
      </c>
      <c r="L379" s="3">
        <f t="shared" si="382"/>
        <v>2.0332914841889704E-54</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5.7469214722848022E-2</v>
      </c>
      <c r="C380" s="3">
        <f t="shared" si="383"/>
        <v>5.7469214160209496E-2</v>
      </c>
      <c r="D380" s="3">
        <f t="shared" si="383"/>
        <v>5.7469208533824485E-2</v>
      </c>
      <c r="E380" s="3">
        <f t="shared" si="383"/>
        <v>5.7469152270004709E-2</v>
      </c>
      <c r="F380" s="3">
        <f t="shared" si="383"/>
        <v>5.7468589634836531E-2</v>
      </c>
      <c r="G380" s="3">
        <f t="shared" si="383"/>
        <v>5.7462963586103311E-2</v>
      </c>
      <c r="H380" s="3">
        <f t="shared" si="383"/>
        <v>5.7406733382656033E-2</v>
      </c>
      <c r="I380" s="3">
        <f t="shared" si="383"/>
        <v>5.6847448795319062E-2</v>
      </c>
      <c r="J380" s="3">
        <f t="shared" si="383"/>
        <v>5.1545697620432561E-2</v>
      </c>
      <c r="K380" s="3">
        <f t="shared" si="383"/>
        <v>1.9364524964940892E-2</v>
      </c>
      <c r="L380" s="3">
        <f t="shared" si="383"/>
        <v>1.0843041177782216E-6</v>
      </c>
      <c r="M380" s="3">
        <f t="shared" si="383"/>
        <v>3.285441214031488E-49</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6.4260885643899646E-2</v>
      </c>
      <c r="C381" s="3">
        <f t="shared" si="384"/>
        <v>6.4260885587146821E-2</v>
      </c>
      <c r="D381" s="3">
        <f t="shared" si="384"/>
        <v>6.4260885019618547E-2</v>
      </c>
      <c r="E381" s="3">
        <f t="shared" si="384"/>
        <v>6.4260879344336053E-2</v>
      </c>
      <c r="F381" s="3">
        <f t="shared" si="384"/>
        <v>6.426082259153866E-2</v>
      </c>
      <c r="G381" s="3">
        <f t="shared" si="384"/>
        <v>6.4260255066321478E-2</v>
      </c>
      <c r="H381" s="3">
        <f t="shared" si="384"/>
        <v>6.4254580089810609E-2</v>
      </c>
      <c r="I381" s="3">
        <f t="shared" si="384"/>
        <v>6.4197857881790027E-2</v>
      </c>
      <c r="J381" s="3">
        <f t="shared" si="384"/>
        <v>6.3633382526795276E-2</v>
      </c>
      <c r="K381" s="3">
        <f t="shared" si="384"/>
        <v>5.8254534122102436E-2</v>
      </c>
      <c r="L381" s="3">
        <f t="shared" si="384"/>
        <v>2.4086681701437858E-2</v>
      </c>
      <c r="M381" s="3">
        <f t="shared" si="384"/>
        <v>3.5176236720415795E-6</v>
      </c>
      <c r="N381" s="3">
        <f t="shared" si="384"/>
        <v>1.5522919009339682E-44</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6.2189536821953682E-2</v>
      </c>
      <c r="C382" s="3">
        <f t="shared" si="385"/>
        <v>6.2189536816999125E-2</v>
      </c>
      <c r="D382" s="3">
        <f t="shared" si="385"/>
        <v>6.2189536767453563E-2</v>
      </c>
      <c r="E382" s="3">
        <f t="shared" si="385"/>
        <v>6.2189536271997997E-2</v>
      </c>
      <c r="F382" s="3">
        <f t="shared" si="385"/>
        <v>6.2189531317442558E-2</v>
      </c>
      <c r="G382" s="3">
        <f t="shared" si="385"/>
        <v>6.2189481771909819E-2</v>
      </c>
      <c r="H382" s="3">
        <f t="shared" si="385"/>
        <v>6.2188986318753435E-2</v>
      </c>
      <c r="I382" s="3">
        <f t="shared" si="385"/>
        <v>6.2184032004279972E-2</v>
      </c>
      <c r="J382" s="3">
        <f t="shared" si="385"/>
        <v>6.2134510562184969E-2</v>
      </c>
      <c r="K382" s="3">
        <f t="shared" si="385"/>
        <v>6.1641460021443141E-2</v>
      </c>
      <c r="L382" s="3">
        <f t="shared" si="385"/>
        <v>5.692109773494039E-2</v>
      </c>
      <c r="M382" s="3">
        <f t="shared" si="385"/>
        <v>2.5661188628421674E-2</v>
      </c>
      <c r="N382" s="3">
        <f t="shared" si="385"/>
        <v>8.8983972536753371E-6</v>
      </c>
      <c r="O382" s="3">
        <f t="shared" si="385"/>
        <v>2.236979485304297E-40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4.8803099741320778E-2</v>
      </c>
      <c r="C383" s="3">
        <f t="shared" si="386"/>
        <v>4.8803099740970045E-2</v>
      </c>
      <c r="D383" s="3">
        <f t="shared" si="386"/>
        <v>4.8803099737462677E-2</v>
      </c>
      <c r="E383" s="3">
        <f t="shared" si="386"/>
        <v>4.880309970238899E-2</v>
      </c>
      <c r="F383" s="3">
        <f t="shared" si="386"/>
        <v>4.8803099351652154E-2</v>
      </c>
      <c r="G383" s="3">
        <f t="shared" si="386"/>
        <v>4.8803095844283863E-2</v>
      </c>
      <c r="H383" s="3">
        <f t="shared" si="386"/>
        <v>4.8803060770614873E-2</v>
      </c>
      <c r="I383" s="3">
        <f t="shared" si="386"/>
        <v>4.8802710035311267E-2</v>
      </c>
      <c r="J383" s="3">
        <f t="shared" si="386"/>
        <v>4.8799202820907793E-2</v>
      </c>
      <c r="K383" s="3">
        <f t="shared" si="386"/>
        <v>4.8764144536442983E-2</v>
      </c>
      <c r="L383" s="3">
        <f t="shared" si="386"/>
        <v>4.8414943970454032E-2</v>
      </c>
      <c r="M383" s="3">
        <f t="shared" si="386"/>
        <v>4.5057560142322151E-2</v>
      </c>
      <c r="N383" s="3">
        <f t="shared" si="386"/>
        <v>2.1960895523229305E-2</v>
      </c>
      <c r="O383" s="3">
        <f t="shared" si="386"/>
        <v>1.6613984215696323E-5</v>
      </c>
      <c r="P383" s="3">
        <f t="shared" si="386"/>
        <v>1.020260963716992E-36</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3.0415227107221211E-2</v>
      </c>
      <c r="C384" s="3">
        <f t="shared" si="387"/>
        <v>3.0415227107201494E-2</v>
      </c>
      <c r="D384" s="3">
        <f t="shared" si="387"/>
        <v>3.0415227107004308E-2</v>
      </c>
      <c r="E384" s="3">
        <f t="shared" si="387"/>
        <v>3.0415227105032472E-2</v>
      </c>
      <c r="F384" s="3">
        <f t="shared" si="387"/>
        <v>3.0415227085314071E-2</v>
      </c>
      <c r="G384" s="3">
        <f t="shared" si="387"/>
        <v>3.041522688813009E-2</v>
      </c>
      <c r="H384" s="3">
        <f t="shared" si="387"/>
        <v>3.0415224916290326E-2</v>
      </c>
      <c r="I384" s="3">
        <f t="shared" si="387"/>
        <v>3.0415205197899732E-2</v>
      </c>
      <c r="J384" s="3">
        <f t="shared" si="387"/>
        <v>3.0415008014696904E-2</v>
      </c>
      <c r="K384" s="3">
        <f t="shared" si="387"/>
        <v>3.0413036252976363E-2</v>
      </c>
      <c r="L384" s="3">
        <f t="shared" si="387"/>
        <v>3.039332566486181E-2</v>
      </c>
      <c r="M384" s="3">
        <f t="shared" si="387"/>
        <v>3.019692100962602E-2</v>
      </c>
      <c r="N384" s="3">
        <f t="shared" si="387"/>
        <v>2.8301343764339616E-2</v>
      </c>
      <c r="O384" s="3">
        <f t="shared" si="387"/>
        <v>1.479963460142847E-2</v>
      </c>
      <c r="P384" s="3">
        <f t="shared" si="387"/>
        <v>2.2630302357551965E-5</v>
      </c>
      <c r="Q384" s="3">
        <f t="shared" si="387"/>
        <v>1.5815538806195598E-33</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1.5463317607252197E-2</v>
      </c>
      <c r="C385" s="3">
        <f t="shared" si="388"/>
        <v>1.5463317607251293E-2</v>
      </c>
      <c r="D385" s="3">
        <f t="shared" si="388"/>
        <v>1.546331760724225E-2</v>
      </c>
      <c r="E385" s="3">
        <f t="shared" si="388"/>
        <v>1.5463317607151817E-2</v>
      </c>
      <c r="F385" s="3">
        <f t="shared" si="388"/>
        <v>1.546331760624748E-2</v>
      </c>
      <c r="G385" s="3">
        <f t="shared" si="388"/>
        <v>1.5463317597204118E-2</v>
      </c>
      <c r="H385" s="3">
        <f t="shared" si="388"/>
        <v>1.5463317506770517E-2</v>
      </c>
      <c r="I385" s="3">
        <f t="shared" si="388"/>
        <v>1.5463316602434505E-2</v>
      </c>
      <c r="J385" s="3">
        <f t="shared" si="388"/>
        <v>1.5463307559077303E-2</v>
      </c>
      <c r="K385" s="3">
        <f t="shared" si="388"/>
        <v>1.5463217125796153E-2</v>
      </c>
      <c r="L385" s="3">
        <f t="shared" si="388"/>
        <v>1.5462312822072348E-2</v>
      </c>
      <c r="M385" s="3">
        <f t="shared" si="388"/>
        <v>1.545327269297414E-2</v>
      </c>
      <c r="N385" s="3">
        <f t="shared" si="388"/>
        <v>1.5363161587676361E-2</v>
      </c>
      <c r="O385" s="3">
        <f t="shared" si="388"/>
        <v>1.4490450884178668E-2</v>
      </c>
      <c r="P385" s="3">
        <f t="shared" si="388"/>
        <v>8.0741145493076344E-3</v>
      </c>
      <c r="Q385" s="3">
        <f t="shared" si="388"/>
        <v>2.3292976064148949E-5</v>
      </c>
      <c r="R385" s="3">
        <f t="shared" si="388"/>
        <v>9.3009159316500555E-31</v>
      </c>
      <c r="S385" s="3">
        <f t="shared" si="388"/>
        <v>9.5836976537533055E-285</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6.4979326784240076E-3</v>
      </c>
      <c r="C386" s="3">
        <f t="shared" si="389"/>
        <v>6.4979326784239729E-3</v>
      </c>
      <c r="D386" s="3">
        <f t="shared" si="389"/>
        <v>6.4979326784236303E-3</v>
      </c>
      <c r="E386" s="3">
        <f t="shared" si="389"/>
        <v>6.4979326784202016E-3</v>
      </c>
      <c r="F386" s="3">
        <f t="shared" si="389"/>
        <v>6.4979326783859218E-3</v>
      </c>
      <c r="G386" s="3">
        <f t="shared" si="389"/>
        <v>6.4979326780431152E-3</v>
      </c>
      <c r="H386" s="3">
        <f t="shared" si="389"/>
        <v>6.497932674615051E-3</v>
      </c>
      <c r="I386" s="3">
        <f t="shared" si="389"/>
        <v>6.4979326403344076E-3</v>
      </c>
      <c r="J386" s="3">
        <f t="shared" si="389"/>
        <v>6.4979322975279854E-3</v>
      </c>
      <c r="K386" s="3">
        <f t="shared" si="389"/>
        <v>6.4979288694647632E-3</v>
      </c>
      <c r="L386" s="3">
        <f t="shared" si="389"/>
        <v>6.4978945889320018E-3</v>
      </c>
      <c r="M386" s="3">
        <f t="shared" si="389"/>
        <v>6.4975517935510268E-3</v>
      </c>
      <c r="N386" s="3">
        <f t="shared" si="389"/>
        <v>6.4941248342102057E-3</v>
      </c>
      <c r="O386" s="3">
        <f t="shared" si="389"/>
        <v>6.4599544938501625E-3</v>
      </c>
      <c r="P386" s="3">
        <f t="shared" si="389"/>
        <v>6.1279853586516993E-3</v>
      </c>
      <c r="Q386" s="3">
        <f t="shared" si="389"/>
        <v>3.6157660441447958E-3</v>
      </c>
      <c r="R386" s="3">
        <f t="shared" si="389"/>
        <v>1.8493808307418276E-5</v>
      </c>
      <c r="S386" s="3">
        <f t="shared" si="389"/>
        <v>2.2661395460580561E-28</v>
      </c>
      <c r="T386" s="3">
        <f t="shared" si="389"/>
        <v>1.729376801065091E-257</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1.7266189453767199E-3</v>
      </c>
      <c r="C387" s="3">
        <f t="shared" si="390"/>
        <v>1.7266189453767173E-3</v>
      </c>
      <c r="D387" s="3">
        <f t="shared" si="390"/>
        <v>1.7266189453766922E-3</v>
      </c>
      <c r="E387" s="3">
        <f t="shared" si="390"/>
        <v>1.7266189453764402E-3</v>
      </c>
      <c r="F387" s="3">
        <f t="shared" si="390"/>
        <v>1.7266189453739209E-3</v>
      </c>
      <c r="G387" s="3">
        <f t="shared" si="390"/>
        <v>1.7266189453487278E-3</v>
      </c>
      <c r="H387" s="3">
        <f t="shared" si="390"/>
        <v>1.7266189450967958E-3</v>
      </c>
      <c r="I387" s="3">
        <f t="shared" si="390"/>
        <v>1.7266189425774771E-3</v>
      </c>
      <c r="J387" s="3">
        <f t="shared" si="390"/>
        <v>1.7266189173842899E-3</v>
      </c>
      <c r="K387" s="3">
        <f t="shared" si="390"/>
        <v>1.7266186654524372E-3</v>
      </c>
      <c r="L387" s="3">
        <f t="shared" si="390"/>
        <v>1.7266161461359326E-3</v>
      </c>
      <c r="M387" s="3">
        <f t="shared" si="390"/>
        <v>1.7265909531730642E-3</v>
      </c>
      <c r="N387" s="3">
        <f t="shared" si="390"/>
        <v>1.7263390437608978E-3</v>
      </c>
      <c r="O387" s="3">
        <f t="shared" si="390"/>
        <v>1.7238219702001177E-3</v>
      </c>
      <c r="P387" s="3">
        <f t="shared" si="390"/>
        <v>1.6988522040868636E-3</v>
      </c>
      <c r="Q387" s="3">
        <f t="shared" si="390"/>
        <v>1.4682075821821747E-3</v>
      </c>
      <c r="R387" s="3">
        <f t="shared" si="390"/>
        <v>3.4127628317387709E-4</v>
      </c>
      <c r="S387" s="3">
        <f t="shared" si="390"/>
        <v>1.5714210457906488E-10</v>
      </c>
      <c r="T387" s="3">
        <f t="shared" si="390"/>
        <v>6.7322019554926675E-74</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4.5003340048363309E-3</v>
      </c>
      <c r="C388" s="3">
        <f t="shared" si="391"/>
        <v>4.5003340048363301E-3</v>
      </c>
      <c r="D388" s="3">
        <f t="shared" si="391"/>
        <v>4.5003340048363231E-3</v>
      </c>
      <c r="E388" s="3">
        <f t="shared" si="391"/>
        <v>4.5003340048362581E-3</v>
      </c>
      <c r="F388" s="3">
        <f t="shared" si="391"/>
        <v>4.5003340048356015E-3</v>
      </c>
      <c r="G388" s="3">
        <f t="shared" si="391"/>
        <v>4.5003340048290347E-3</v>
      </c>
      <c r="H388" s="3">
        <f t="shared" si="391"/>
        <v>4.5003340047633702E-3</v>
      </c>
      <c r="I388" s="3">
        <f t="shared" si="391"/>
        <v>4.5003340041067244E-3</v>
      </c>
      <c r="J388" s="3">
        <f t="shared" si="391"/>
        <v>4.5003339975402635E-3</v>
      </c>
      <c r="K388" s="3">
        <f t="shared" si="391"/>
        <v>4.5003339318756544E-3</v>
      </c>
      <c r="L388" s="3">
        <f t="shared" si="391"/>
        <v>4.5003332752296199E-3</v>
      </c>
      <c r="M388" s="3">
        <f t="shared" si="391"/>
        <v>4.5003267087745467E-3</v>
      </c>
      <c r="N388" s="3">
        <f t="shared" si="391"/>
        <v>4.5002610447507719E-3</v>
      </c>
      <c r="O388" s="3">
        <f t="shared" si="391"/>
        <v>4.4996044572062259E-3</v>
      </c>
      <c r="P388" s="3">
        <f t="shared" si="391"/>
        <v>4.493043848237707E-3</v>
      </c>
      <c r="Q388" s="3">
        <f t="shared" si="391"/>
        <v>4.4279615741012043E-3</v>
      </c>
      <c r="R388" s="3">
        <f t="shared" si="391"/>
        <v>3.8267994950161631E-3</v>
      </c>
      <c r="S388" s="3">
        <f t="shared" si="391"/>
        <v>8.8951720721241882E-4</v>
      </c>
      <c r="T388" s="3">
        <f t="shared" si="391"/>
        <v>4.095819513172403E-10</v>
      </c>
      <c r="U388" s="3">
        <f t="shared" si="391"/>
        <v>1.7547101211216553E-73</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6.1948117203855881E-4</v>
      </c>
      <c r="C389" s="3">
        <f t="shared" si="392"/>
        <v>6.1948117203855881E-4</v>
      </c>
      <c r="D389" s="3">
        <f t="shared" si="392"/>
        <v>6.1948117203855871E-4</v>
      </c>
      <c r="E389" s="3">
        <f t="shared" si="392"/>
        <v>6.1948117203855773E-4</v>
      </c>
      <c r="F389" s="3">
        <f t="shared" si="392"/>
        <v>6.1948117203854873E-4</v>
      </c>
      <c r="G389" s="3">
        <f t="shared" si="392"/>
        <v>6.1948117203845842E-4</v>
      </c>
      <c r="H389" s="3">
        <f t="shared" si="392"/>
        <v>6.1948117203755452E-4</v>
      </c>
      <c r="I389" s="3">
        <f t="shared" si="392"/>
        <v>6.1948117202851563E-4</v>
      </c>
      <c r="J389" s="3">
        <f t="shared" si="392"/>
        <v>6.1948117193812678E-4</v>
      </c>
      <c r="K389" s="3">
        <f t="shared" si="392"/>
        <v>6.194811710342386E-4</v>
      </c>
      <c r="L389" s="3">
        <f t="shared" si="392"/>
        <v>6.1948116199535643E-4</v>
      </c>
      <c r="M389" s="3">
        <f t="shared" si="392"/>
        <v>6.1948107160654205E-4</v>
      </c>
      <c r="N389" s="3">
        <f t="shared" si="392"/>
        <v>6.1948016771912369E-4</v>
      </c>
      <c r="O389" s="3">
        <f t="shared" si="392"/>
        <v>6.1947112891747806E-4</v>
      </c>
      <c r="P389" s="3">
        <f t="shared" si="392"/>
        <v>6.1938074815436051E-4</v>
      </c>
      <c r="Q389" s="3">
        <f t="shared" si="392"/>
        <v>6.1847766546566736E-4</v>
      </c>
      <c r="R389" s="3">
        <f t="shared" si="392"/>
        <v>6.0951894297580592E-4</v>
      </c>
      <c r="S389" s="3">
        <f t="shared" si="392"/>
        <v>5.2676762075471622E-4</v>
      </c>
      <c r="T389" s="3">
        <f t="shared" si="392"/>
        <v>1.2244405892545637E-4</v>
      </c>
      <c r="U389" s="3">
        <f t="shared" si="392"/>
        <v>5.6379883576457251E-11</v>
      </c>
      <c r="V389" s="3">
        <f t="shared" si="392"/>
        <v>2.4153982376690221E-74</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7.8921984991154562E-4</v>
      </c>
      <c r="C390" s="3">
        <f t="shared" si="393"/>
        <v>7.8921984991154562E-4</v>
      </c>
      <c r="D390" s="3">
        <f t="shared" si="393"/>
        <v>7.8921984991154562E-4</v>
      </c>
      <c r="E390" s="3">
        <f t="shared" si="393"/>
        <v>7.8921984991154551E-4</v>
      </c>
      <c r="F390" s="3">
        <f t="shared" si="393"/>
        <v>7.8921984991154432E-4</v>
      </c>
      <c r="G390" s="3">
        <f t="shared" si="393"/>
        <v>7.8921984991153283E-4</v>
      </c>
      <c r="H390" s="3">
        <f t="shared" si="393"/>
        <v>7.8921984991141769E-4</v>
      </c>
      <c r="I390" s="3">
        <f t="shared" si="393"/>
        <v>7.8921984991026605E-4</v>
      </c>
      <c r="J390" s="3">
        <f t="shared" si="393"/>
        <v>7.8921984989875063E-4</v>
      </c>
      <c r="K390" s="3">
        <f t="shared" si="393"/>
        <v>7.8921984978359513E-4</v>
      </c>
      <c r="L390" s="3">
        <f t="shared" si="393"/>
        <v>7.8921984863204026E-4</v>
      </c>
      <c r="M390" s="3">
        <f t="shared" si="393"/>
        <v>7.8921983711649219E-4</v>
      </c>
      <c r="N390" s="3">
        <f t="shared" si="393"/>
        <v>7.8921972196102056E-4</v>
      </c>
      <c r="O390" s="3">
        <f t="shared" si="393"/>
        <v>7.8921857040722878E-4</v>
      </c>
      <c r="P390" s="3">
        <f t="shared" si="393"/>
        <v>7.8920705496172353E-4</v>
      </c>
      <c r="Q390" s="3">
        <f t="shared" si="393"/>
        <v>7.890919097474343E-4</v>
      </c>
      <c r="R390" s="3">
        <f t="shared" si="393"/>
        <v>7.8794138118224366E-4</v>
      </c>
      <c r="S390" s="3">
        <f t="shared" si="393"/>
        <v>7.7652795662959623E-4</v>
      </c>
      <c r="T390" s="3">
        <f t="shared" si="393"/>
        <v>6.711026603475565E-4</v>
      </c>
      <c r="U390" s="3">
        <f t="shared" si="393"/>
        <v>1.5599389645645952E-4</v>
      </c>
      <c r="V390" s="3">
        <f t="shared" si="393"/>
        <v>7.182804782882474E-11</v>
      </c>
      <c r="W390" s="3">
        <f t="shared" si="393"/>
        <v>3.0772206172734228E-74</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3.1383864234018747E-3</v>
      </c>
      <c r="C391" s="3">
        <f t="shared" si="394"/>
        <v>3.1383864234018747E-3</v>
      </c>
      <c r="D391" s="3">
        <f t="shared" si="394"/>
        <v>3.1383864234018747E-3</v>
      </c>
      <c r="E391" s="3">
        <f t="shared" si="394"/>
        <v>3.1383864234018747E-3</v>
      </c>
      <c r="F391" s="3">
        <f t="shared" si="394"/>
        <v>3.1383864234018743E-3</v>
      </c>
      <c r="G391" s="3">
        <f t="shared" si="394"/>
        <v>3.1383864234018695E-3</v>
      </c>
      <c r="H391" s="3">
        <f t="shared" si="394"/>
        <v>3.138386423401824E-3</v>
      </c>
      <c r="I391" s="3">
        <f t="shared" si="394"/>
        <v>3.138386423401366E-3</v>
      </c>
      <c r="J391" s="3">
        <f t="shared" si="394"/>
        <v>3.1383864233967868E-3</v>
      </c>
      <c r="K391" s="3">
        <f t="shared" si="394"/>
        <v>3.1383864233509944E-3</v>
      </c>
      <c r="L391" s="3">
        <f t="shared" si="394"/>
        <v>3.1383864228930708E-3</v>
      </c>
      <c r="M391" s="3">
        <f t="shared" si="394"/>
        <v>3.1383864183138345E-3</v>
      </c>
      <c r="N391" s="3">
        <f t="shared" si="394"/>
        <v>3.1383863725214741E-3</v>
      </c>
      <c r="O391" s="3">
        <f t="shared" si="394"/>
        <v>3.1383859145979074E-3</v>
      </c>
      <c r="P391" s="3">
        <f t="shared" si="394"/>
        <v>3.1383813353659147E-3</v>
      </c>
      <c r="Q391" s="3">
        <f t="shared" si="394"/>
        <v>3.138335543413473E-3</v>
      </c>
      <c r="R391" s="3">
        <f t="shared" si="394"/>
        <v>3.1378776606355812E-3</v>
      </c>
      <c r="S391" s="3">
        <f t="shared" si="394"/>
        <v>3.1333025055262221E-3</v>
      </c>
      <c r="T391" s="3">
        <f t="shared" si="394"/>
        <v>3.0879162463431E-3</v>
      </c>
      <c r="U391" s="3">
        <f t="shared" si="394"/>
        <v>2.6686853836477981E-3</v>
      </c>
      <c r="V391" s="3">
        <f t="shared" si="394"/>
        <v>6.2032034144526447E-4</v>
      </c>
      <c r="W391" s="3">
        <f t="shared" si="394"/>
        <v>2.8562911861721322E-10</v>
      </c>
      <c r="X391" s="3">
        <f t="shared" si="394"/>
        <v>1.2236777126355404E-73</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4.3963079363277776E-4</v>
      </c>
      <c r="C392" s="3">
        <f t="shared" si="395"/>
        <v>4.3963079363277776E-4</v>
      </c>
      <c r="D392" s="3">
        <f t="shared" si="395"/>
        <v>4.3963079363277776E-4</v>
      </c>
      <c r="E392" s="3">
        <f t="shared" si="395"/>
        <v>4.3963079363277776E-4</v>
      </c>
      <c r="F392" s="3">
        <f t="shared" si="395"/>
        <v>4.3963079363277776E-4</v>
      </c>
      <c r="G392" s="3">
        <f t="shared" si="395"/>
        <v>4.396307936327777E-4</v>
      </c>
      <c r="H392" s="3">
        <f t="shared" si="395"/>
        <v>4.39630793632777E-4</v>
      </c>
      <c r="I392" s="3">
        <f t="shared" si="395"/>
        <v>4.3963079363277066E-4</v>
      </c>
      <c r="J392" s="3">
        <f t="shared" si="395"/>
        <v>4.3963079363270647E-4</v>
      </c>
      <c r="K392" s="3">
        <f t="shared" si="395"/>
        <v>4.39630793632065E-4</v>
      </c>
      <c r="L392" s="3">
        <f t="shared" si="395"/>
        <v>4.3963079362565038E-4</v>
      </c>
      <c r="M392" s="3">
        <f t="shared" si="395"/>
        <v>4.3963079356150361E-4</v>
      </c>
      <c r="N392" s="3">
        <f t="shared" si="395"/>
        <v>4.3963079292003599E-4</v>
      </c>
      <c r="O392" s="3">
        <f t="shared" si="395"/>
        <v>4.3963078650536012E-4</v>
      </c>
      <c r="P392" s="3">
        <f t="shared" si="395"/>
        <v>4.3963072235860635E-4</v>
      </c>
      <c r="Q392" s="3">
        <f t="shared" si="395"/>
        <v>4.3963008089158362E-4</v>
      </c>
      <c r="R392" s="3">
        <f t="shared" si="395"/>
        <v>4.3962366627283436E-4</v>
      </c>
      <c r="S392" s="3">
        <f t="shared" si="395"/>
        <v>4.3955952523286096E-4</v>
      </c>
      <c r="T392" s="3">
        <f t="shared" si="395"/>
        <v>4.3891862930725968E-4</v>
      </c>
      <c r="U392" s="3">
        <f t="shared" si="395"/>
        <v>4.3256084079660505E-4</v>
      </c>
      <c r="V392" s="3">
        <f t="shared" si="395"/>
        <v>3.7383423036145379E-4</v>
      </c>
      <c r="W392" s="3">
        <f t="shared" si="395"/>
        <v>8.6895584935818519E-5</v>
      </c>
      <c r="X392" s="3">
        <f t="shared" si="395"/>
        <v>4.0011438733603223E-11</v>
      </c>
      <c r="Y392" s="3">
        <f t="shared" si="395"/>
        <v>1.7141496660362574E-74</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3.9367491924485783E-5</v>
      </c>
      <c r="C393" s="3">
        <f t="shared" si="396"/>
        <v>3.9367491924485783E-5</v>
      </c>
      <c r="D393" s="3">
        <f t="shared" si="396"/>
        <v>3.9367491924485783E-5</v>
      </c>
      <c r="E393" s="3">
        <f t="shared" si="396"/>
        <v>3.9367491924485783E-5</v>
      </c>
      <c r="F393" s="3">
        <f t="shared" si="396"/>
        <v>3.9367491924485783E-5</v>
      </c>
      <c r="G393" s="3">
        <f t="shared" si="396"/>
        <v>3.9367491924485783E-5</v>
      </c>
      <c r="H393" s="3">
        <f t="shared" si="396"/>
        <v>3.9367491924485776E-5</v>
      </c>
      <c r="I393" s="3">
        <f t="shared" si="396"/>
        <v>3.9367491924485715E-5</v>
      </c>
      <c r="J393" s="3">
        <f t="shared" si="396"/>
        <v>3.9367491924485146E-5</v>
      </c>
      <c r="K393" s="3">
        <f t="shared" si="396"/>
        <v>3.93674919244794E-5</v>
      </c>
      <c r="L393" s="3">
        <f t="shared" si="396"/>
        <v>3.9367491924421957E-5</v>
      </c>
      <c r="M393" s="3">
        <f t="shared" si="396"/>
        <v>3.9367491923847547E-5</v>
      </c>
      <c r="N393" s="3">
        <f t="shared" si="396"/>
        <v>3.9367491918103417E-5</v>
      </c>
      <c r="O393" s="3">
        <f t="shared" si="396"/>
        <v>3.9367491860662101E-5</v>
      </c>
      <c r="P393" s="3">
        <f t="shared" si="396"/>
        <v>3.9367491286248971E-5</v>
      </c>
      <c r="Q393" s="3">
        <f t="shared" si="396"/>
        <v>3.9367485542118106E-5</v>
      </c>
      <c r="R393" s="3">
        <f t="shared" si="396"/>
        <v>3.9367428100855564E-5</v>
      </c>
      <c r="S393" s="3">
        <f t="shared" si="396"/>
        <v>3.9366853692839871E-5</v>
      </c>
      <c r="T393" s="3">
        <f t="shared" si="396"/>
        <v>3.9361110073626312E-5</v>
      </c>
      <c r="U393" s="3">
        <f t="shared" si="396"/>
        <v>3.9303719950957567E-5</v>
      </c>
      <c r="V393" s="3">
        <f t="shared" si="396"/>
        <v>3.873440089625128E-5</v>
      </c>
      <c r="W393" s="3">
        <f t="shared" si="396"/>
        <v>3.3475626043483852E-5</v>
      </c>
      <c r="X393" s="3">
        <f t="shared" si="396"/>
        <v>7.7812138907897764E-6</v>
      </c>
      <c r="Y393" s="3">
        <f t="shared" si="396"/>
        <v>3.5828927683075368E-12</v>
      </c>
      <c r="Z393" s="3">
        <f t="shared" si="396"/>
        <v>1.5349646592638294E-75</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2.469113716916911E-6</v>
      </c>
      <c r="C394" s="3">
        <f t="shared" si="397"/>
        <v>2.469113716916911E-6</v>
      </c>
      <c r="D394" s="3">
        <f t="shared" si="397"/>
        <v>2.469113716916911E-6</v>
      </c>
      <c r="E394" s="3">
        <f t="shared" si="397"/>
        <v>2.469113716916911E-6</v>
      </c>
      <c r="F394" s="3">
        <f t="shared" si="397"/>
        <v>2.469113716916911E-6</v>
      </c>
      <c r="G394" s="3">
        <f t="shared" si="397"/>
        <v>2.469113716916911E-6</v>
      </c>
      <c r="H394" s="3">
        <f t="shared" si="397"/>
        <v>2.469113716916911E-6</v>
      </c>
      <c r="I394" s="3">
        <f t="shared" si="397"/>
        <v>2.4691137169169106E-6</v>
      </c>
      <c r="J394" s="3">
        <f t="shared" si="397"/>
        <v>2.4691137169169068E-6</v>
      </c>
      <c r="K394" s="3">
        <f t="shared" si="397"/>
        <v>2.4691137169168708E-6</v>
      </c>
      <c r="L394" s="3">
        <f t="shared" si="397"/>
        <v>2.4691137169165108E-6</v>
      </c>
      <c r="M394" s="3">
        <f t="shared" si="397"/>
        <v>2.469113716912908E-6</v>
      </c>
      <c r="N394" s="3">
        <f t="shared" si="397"/>
        <v>2.4691137168768811E-6</v>
      </c>
      <c r="O394" s="3">
        <f t="shared" si="397"/>
        <v>2.4691137165166113E-6</v>
      </c>
      <c r="P394" s="3">
        <f t="shared" si="397"/>
        <v>2.4691137129139146E-6</v>
      </c>
      <c r="Q394" s="3">
        <f t="shared" si="397"/>
        <v>2.4691136768869475E-6</v>
      </c>
      <c r="R394" s="3">
        <f t="shared" si="397"/>
        <v>2.469113316617303E-6</v>
      </c>
      <c r="S394" s="3">
        <f t="shared" si="397"/>
        <v>2.4691097139237527E-6</v>
      </c>
      <c r="T394" s="3">
        <f t="shared" si="397"/>
        <v>2.469073687277367E-6</v>
      </c>
      <c r="U394" s="3">
        <f t="shared" si="397"/>
        <v>2.4687134497236983E-6</v>
      </c>
      <c r="V394" s="3">
        <f t="shared" si="397"/>
        <v>2.4651139636459781E-6</v>
      </c>
      <c r="W394" s="3">
        <f t="shared" si="397"/>
        <v>2.4294064949056815E-6</v>
      </c>
      <c r="X394" s="3">
        <f t="shared" si="397"/>
        <v>2.0995781901700767E-6</v>
      </c>
      <c r="Y394" s="3">
        <f t="shared" si="397"/>
        <v>4.8803469595845737E-7</v>
      </c>
      <c r="Z394" s="3">
        <f t="shared" si="397"/>
        <v>2.2471763498268876E-13</v>
      </c>
      <c r="AA394" s="3">
        <f t="shared" si="397"/>
        <v>9.6272383885692989E-77</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4.4587490235324318E-3</v>
      </c>
      <c r="B397" s="81">
        <f>IF($A$64&lt;=B363,IF($B$64&gt;=B363,ABS((B365-B364)/B364),0),0)</f>
        <v>1.0865304850801803E-2</v>
      </c>
      <c r="C397" s="81">
        <f t="shared" ref="C397:AF397" si="400">IF($A$64&lt;=C363,IF($B$64&gt;=C363,ABS((C365-C364)/C364),0),0)</f>
        <v>2.5040223428280813E-3</v>
      </c>
      <c r="D397" s="81">
        <f t="shared" si="400"/>
        <v>2.7595425996072001E-3</v>
      </c>
      <c r="E397" s="81">
        <f t="shared" si="400"/>
        <v>3.3247907510784219E-3</v>
      </c>
      <c r="F397" s="81">
        <f t="shared" si="400"/>
        <v>2.9441648610443131E-3</v>
      </c>
      <c r="G397" s="81">
        <f t="shared" si="400"/>
        <v>3.8156012209594478E-3</v>
      </c>
      <c r="H397" s="81">
        <f t="shared" si="400"/>
        <v>3.6394286036220747E-3</v>
      </c>
      <c r="I397" s="81">
        <f t="shared" si="400"/>
        <v>4.7081371852198076E-3</v>
      </c>
      <c r="J397" s="81">
        <f t="shared" si="400"/>
        <v>2.1242861011080941E-3</v>
      </c>
      <c r="K397" s="81">
        <f t="shared" si="400"/>
        <v>3.5039054589241355E-3</v>
      </c>
      <c r="L397" s="81">
        <f t="shared" si="400"/>
        <v>8.2183503761035243E-3</v>
      </c>
      <c r="M397" s="81">
        <f t="shared" si="400"/>
        <v>5.5969633264259626E-3</v>
      </c>
      <c r="N397" s="81">
        <f t="shared" si="400"/>
        <v>6.1139505832112845E-4</v>
      </c>
      <c r="O397" s="81">
        <f t="shared" si="400"/>
        <v>6.4581143097814618E-3</v>
      </c>
      <c r="P397" s="81">
        <f t="shared" si="400"/>
        <v>1.5812149111829119E-3</v>
      </c>
      <c r="Q397" s="81">
        <f t="shared" si="400"/>
        <v>9.9901628948949393E-4</v>
      </c>
      <c r="R397" s="81">
        <f t="shared" si="400"/>
        <v>8.2098078125642671E-3</v>
      </c>
      <c r="S397" s="81">
        <f t="shared" si="400"/>
        <v>1.5130598422035325E-2</v>
      </c>
      <c r="T397" s="81">
        <f t="shared" si="400"/>
        <v>6.9563137544584423E-3</v>
      </c>
      <c r="U397" s="81">
        <f t="shared" si="400"/>
        <v>1.0157303186212586E-2</v>
      </c>
      <c r="V397" s="81">
        <f t="shared" si="400"/>
        <v>5.9566395374339026E-3</v>
      </c>
      <c r="W397" s="81">
        <f t="shared" si="400"/>
        <v>6.3512866882912394E-3</v>
      </c>
      <c r="X397" s="81">
        <f t="shared" si="400"/>
        <v>5.5045176547174968E-3</v>
      </c>
      <c r="Y397" s="81">
        <f t="shared" si="400"/>
        <v>5.2638437222179485E-3</v>
      </c>
      <c r="Z397" s="81">
        <f t="shared" si="400"/>
        <v>3.8200288189575464E-3</v>
      </c>
      <c r="AA397" s="81">
        <f t="shared" si="400"/>
        <v>2.2078814977819928E-3</v>
      </c>
      <c r="AB397" s="81">
        <f t="shared" si="400"/>
        <v>1.6992657320768481E-3</v>
      </c>
      <c r="AC397" s="81">
        <f t="shared" si="400"/>
        <v>1.2121317146957509E-3</v>
      </c>
      <c r="AD397" s="81">
        <f t="shared" si="400"/>
        <v>8.0040249292835013E-4</v>
      </c>
      <c r="AE397" s="81">
        <f t="shared" si="400"/>
        <v>6.8028478882741232E-4</v>
      </c>
      <c r="AF397" s="81">
        <f t="shared" si="400"/>
        <v>6.166756598083731E-4</v>
      </c>
    </row>
    <row r="398" spans="1:34" x14ac:dyDescent="0.25">
      <c r="B398" s="21">
        <f>(B365-B364)^2</f>
        <v>1403.7519388850512</v>
      </c>
      <c r="C398" s="21">
        <f t="shared" ref="C398:AF398" si="401">(C365-C364)^2</f>
        <v>65.804733240368577</v>
      </c>
      <c r="D398" s="21">
        <f t="shared" si="401"/>
        <v>72.33204134452032</v>
      </c>
      <c r="E398" s="21">
        <f t="shared" si="401"/>
        <v>94.584115779285185</v>
      </c>
      <c r="F398" s="21">
        <f t="shared" si="401"/>
        <v>66.446024549900145</v>
      </c>
      <c r="G398" s="21">
        <f t="shared" si="401"/>
        <v>97.501520823614186</v>
      </c>
      <c r="H398" s="21">
        <f t="shared" si="401"/>
        <v>75.815678606125701</v>
      </c>
      <c r="I398" s="21">
        <f t="shared" si="401"/>
        <v>104.64792916145171</v>
      </c>
      <c r="J398" s="21">
        <f t="shared" si="401"/>
        <v>16.773513200701949</v>
      </c>
      <c r="K398" s="21">
        <f t="shared" si="401"/>
        <v>33.170216200887985</v>
      </c>
      <c r="L398" s="21">
        <f t="shared" si="401"/>
        <v>117.62528796694816</v>
      </c>
      <c r="M398" s="21">
        <f t="shared" si="401"/>
        <v>30.307881627066074</v>
      </c>
      <c r="N398" s="21">
        <f t="shared" si="401"/>
        <v>0.179861604614757</v>
      </c>
      <c r="O398" s="21">
        <f t="shared" si="401"/>
        <v>9.8486508522268625</v>
      </c>
      <c r="P398" s="21">
        <f t="shared" si="401"/>
        <v>0.33745246047606392</v>
      </c>
      <c r="Q398" s="21">
        <f t="shared" si="401"/>
        <v>9.4168963122313321E-2</v>
      </c>
      <c r="R398" s="21">
        <f t="shared" si="401"/>
        <v>5.2491306658795764</v>
      </c>
      <c r="S398" s="21">
        <f t="shared" si="401"/>
        <v>15.675654706109718</v>
      </c>
      <c r="T398" s="21">
        <f t="shared" si="401"/>
        <v>3.0570663578736337</v>
      </c>
      <c r="U398" s="21">
        <f t="shared" si="401"/>
        <v>6.2500515648159789</v>
      </c>
      <c r="V398" s="21">
        <f t="shared" si="401"/>
        <v>1.9147762633487975</v>
      </c>
      <c r="W398" s="21">
        <f t="shared" si="401"/>
        <v>2.0830332056847105</v>
      </c>
      <c r="X398" s="21">
        <f t="shared" si="401"/>
        <v>1.5532069636314771</v>
      </c>
      <c r="Y398" s="21">
        <f t="shared" si="401"/>
        <v>1.4190024392537204</v>
      </c>
      <c r="Z398" s="21">
        <f t="shared" si="401"/>
        <v>0.74514376287562567</v>
      </c>
      <c r="AA398" s="21">
        <f t="shared" si="401"/>
        <v>0.24811543679005124</v>
      </c>
      <c r="AB398" s="21">
        <f t="shared" si="401"/>
        <v>0.14681898626229961</v>
      </c>
      <c r="AC398" s="21">
        <f t="shared" si="401"/>
        <v>7.4633793247733213E-2</v>
      </c>
      <c r="AD398" s="21">
        <f t="shared" si="401"/>
        <v>3.2515824271876125E-2</v>
      </c>
      <c r="AE398" s="21">
        <f t="shared" si="401"/>
        <v>2.3483077577976422E-2</v>
      </c>
      <c r="AF398" s="21">
        <f t="shared" si="401"/>
        <v>1.9294424115371269E-2</v>
      </c>
      <c r="AG398" s="3"/>
      <c r="AH398" s="3"/>
    </row>
    <row r="399" spans="1:34" x14ac:dyDescent="0.25">
      <c r="A399" s="72">
        <f>SUM(B399:AF399)</f>
        <v>2227.7129427380992</v>
      </c>
      <c r="B399" s="60">
        <f>IF($A$64&lt;=B363,IF($B$64&gt;=B363,ABS(B398),0),0)</f>
        <v>1403.7519388850512</v>
      </c>
      <c r="C399" s="60">
        <f t="shared" ref="C399" si="402">IF($A$64&lt;=C363,IF($B$64&gt;=C363,ABS(C398),0),0)</f>
        <v>65.804733240368577</v>
      </c>
      <c r="D399" s="60">
        <f t="shared" ref="D399" si="403">IF($A$64&lt;=D363,IF($B$64&gt;=D363,ABS(D398),0),0)</f>
        <v>72.33204134452032</v>
      </c>
      <c r="E399" s="60">
        <f t="shared" ref="E399" si="404">IF($A$64&lt;=E363,IF($B$64&gt;=E363,ABS(E398),0),0)</f>
        <v>94.584115779285185</v>
      </c>
      <c r="F399" s="60">
        <f t="shared" ref="F399" si="405">IF($A$64&lt;=F363,IF($B$64&gt;=F363,ABS(F398),0),0)</f>
        <v>66.446024549900145</v>
      </c>
      <c r="G399" s="60">
        <f t="shared" ref="G399" si="406">IF($A$64&lt;=G363,IF($B$64&gt;=G363,ABS(G398),0),0)</f>
        <v>97.501520823614186</v>
      </c>
      <c r="H399" s="60">
        <f t="shared" ref="H399" si="407">IF($A$64&lt;=H363,IF($B$64&gt;=H363,ABS(H398),0),0)</f>
        <v>75.815678606125701</v>
      </c>
      <c r="I399" s="60">
        <f t="shared" ref="I399" si="408">IF($A$64&lt;=I363,IF($B$64&gt;=I363,ABS(I398),0),0)</f>
        <v>104.64792916145171</v>
      </c>
      <c r="J399" s="60">
        <f t="shared" ref="J399" si="409">IF($A$64&lt;=J363,IF($B$64&gt;=J363,ABS(J398),0),0)</f>
        <v>16.773513200701949</v>
      </c>
      <c r="K399" s="60">
        <f t="shared" ref="K399" si="410">IF($A$64&lt;=K363,IF($B$64&gt;=K363,ABS(K398),0),0)</f>
        <v>33.170216200887985</v>
      </c>
      <c r="L399" s="60">
        <f t="shared" ref="L399" si="411">IF($A$64&lt;=L363,IF($B$64&gt;=L363,ABS(L398),0),0)</f>
        <v>117.62528796694816</v>
      </c>
      <c r="M399" s="60">
        <f t="shared" ref="M399" si="412">IF($A$64&lt;=M363,IF($B$64&gt;=M363,ABS(M398),0),0)</f>
        <v>30.307881627066074</v>
      </c>
      <c r="N399" s="60">
        <f t="shared" ref="N399" si="413">IF($A$64&lt;=N363,IF($B$64&gt;=N363,ABS(N398),0),0)</f>
        <v>0.179861604614757</v>
      </c>
      <c r="O399" s="60">
        <f t="shared" ref="O399" si="414">IF($A$64&lt;=O363,IF($B$64&gt;=O363,ABS(O398),0),0)</f>
        <v>9.8486508522268625</v>
      </c>
      <c r="P399" s="60">
        <f t="shared" ref="P399" si="415">IF($A$64&lt;=P363,IF($B$64&gt;=P363,ABS(P398),0),0)</f>
        <v>0.33745246047606392</v>
      </c>
      <c r="Q399" s="60">
        <f t="shared" ref="Q399" si="416">IF($A$64&lt;=Q363,IF($B$64&gt;=Q363,ABS(Q398),0),0)</f>
        <v>9.4168963122313321E-2</v>
      </c>
      <c r="R399" s="60">
        <f t="shared" ref="R399" si="417">IF($A$64&lt;=R363,IF($B$64&gt;=R363,ABS(R398),0),0)</f>
        <v>5.2491306658795764</v>
      </c>
      <c r="S399" s="60">
        <f t="shared" ref="S399" si="418">IF($A$64&lt;=S363,IF($B$64&gt;=S363,ABS(S398),0),0)</f>
        <v>15.675654706109718</v>
      </c>
      <c r="T399" s="60">
        <f t="shared" ref="T399" si="419">IF($A$64&lt;=T363,IF($B$64&gt;=T363,ABS(T398),0),0)</f>
        <v>3.0570663578736337</v>
      </c>
      <c r="U399" s="60">
        <f t="shared" ref="U399" si="420">IF($A$64&lt;=U363,IF($B$64&gt;=U363,ABS(U398),0),0)</f>
        <v>6.2500515648159789</v>
      </c>
      <c r="V399" s="60">
        <f t="shared" ref="V399" si="421">IF($A$64&lt;=V363,IF($B$64&gt;=V363,ABS(V398),0),0)</f>
        <v>1.9147762633487975</v>
      </c>
      <c r="W399" s="60">
        <f t="shared" ref="W399" si="422">IF($A$64&lt;=W363,IF($B$64&gt;=W363,ABS(W398),0),0)</f>
        <v>2.0830332056847105</v>
      </c>
      <c r="X399" s="60">
        <f t="shared" ref="X399" si="423">IF($A$64&lt;=X363,IF($B$64&gt;=X363,ABS(X398),0),0)</f>
        <v>1.5532069636314771</v>
      </c>
      <c r="Y399" s="60">
        <f t="shared" ref="Y399" si="424">IF($A$64&lt;=Y363,IF($B$64&gt;=Y363,ABS(Y398),0),0)</f>
        <v>1.4190024392537204</v>
      </c>
      <c r="Z399" s="60">
        <f t="shared" ref="Z399" si="425">IF($A$64&lt;=Z363,IF($B$64&gt;=Z363,ABS(Z398),0),0)</f>
        <v>0.74514376287562567</v>
      </c>
      <c r="AA399" s="60">
        <f t="shared" ref="AA399" si="426">IF($A$64&lt;=AA363,IF($B$64&gt;=AA363,ABS(AA398),0),0)</f>
        <v>0.24811543679005124</v>
      </c>
      <c r="AB399" s="60">
        <f t="shared" ref="AB399" si="427">IF($A$64&lt;=AB363,IF($B$64&gt;=AB363,ABS(AB398),0),0)</f>
        <v>0.14681898626229961</v>
      </c>
      <c r="AC399" s="60">
        <f t="shared" ref="AC399" si="428">IF($A$64&lt;=AC363,IF($B$64&gt;=AC363,ABS(AC398),0),0)</f>
        <v>7.4633793247733213E-2</v>
      </c>
      <c r="AD399" s="60">
        <f t="shared" ref="AD399" si="429">IF($A$64&lt;=AD363,IF($B$64&gt;=AD363,ABS(AD398),0),0)</f>
        <v>3.2515824271876125E-2</v>
      </c>
      <c r="AE399" s="60">
        <f t="shared" ref="AE399" si="430">IF($A$64&lt;=AE363,IF($B$64&gt;=AE363,ABS(AE398),0),0)</f>
        <v>2.3483077577976422E-2</v>
      </c>
      <c r="AF399" s="60">
        <f t="shared" ref="AF399" si="431">IF($A$64&lt;=AF363,IF($B$64&gt;=AF363,ABS(AF398),0),0)</f>
        <v>1.9294424115371269E-2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-48.244719359200019</v>
      </c>
      <c r="M1" s="54">
        <v>1</v>
      </c>
      <c r="N1" s="56">
        <f>INDEX($H$217:$P$217,1,Q1)</f>
        <v>0.40773245545908676</v>
      </c>
      <c r="O1" s="11"/>
      <c r="P1" s="55">
        <v>1</v>
      </c>
      <c r="Q1" s="11">
        <v>2</v>
      </c>
    </row>
    <row r="2" spans="1:17" x14ac:dyDescent="0.25">
      <c r="A2" s="11">
        <f>'Mastercurve bestimmen'!M119</f>
        <v>0</v>
      </c>
      <c r="B2" s="11">
        <f>'Mastercurve bestimmen'!N119</f>
        <v>-34.728115646703102</v>
      </c>
      <c r="M2" s="54">
        <v>2</v>
      </c>
      <c r="N2" s="56">
        <f t="shared" ref="N2:N9" si="0">INDEX($H$217:$P$217,1,Q2)</f>
        <v>1.3928010678623489E-4</v>
      </c>
      <c r="O2" s="11"/>
      <c r="P2" s="55">
        <v>2</v>
      </c>
      <c r="Q2" s="11">
        <f>Q1+1</f>
        <v>3</v>
      </c>
    </row>
    <row r="3" spans="1:17" x14ac:dyDescent="0.25">
      <c r="A3" s="11">
        <f>'Mastercurve bestimmen'!M120</f>
        <v>25</v>
      </c>
      <c r="B3" s="11">
        <f>'Mastercurve bestimmen'!N120</f>
        <v>-28.445084118791691</v>
      </c>
      <c r="M3" s="54">
        <v>3</v>
      </c>
      <c r="N3" s="56">
        <f t="shared" si="0"/>
        <v>-1.0937215997538119E-5</v>
      </c>
      <c r="O3" s="11"/>
      <c r="P3" s="55">
        <v>3</v>
      </c>
      <c r="Q3" s="11">
        <f t="shared" ref="Q3:Q8" si="1">Q2+1</f>
        <v>4</v>
      </c>
    </row>
    <row r="4" spans="1:17" x14ac:dyDescent="0.25">
      <c r="A4" s="11">
        <f>'Mastercurve bestimmen'!M121</f>
        <v>50</v>
      </c>
      <c r="B4" s="11">
        <f>'Mastercurve bestimmen'!N121</f>
        <v>-23.522041093915846</v>
      </c>
      <c r="M4" s="54">
        <v>4</v>
      </c>
      <c r="N4" s="56">
        <f t="shared" si="0"/>
        <v>2.3044161504863091E-7</v>
      </c>
      <c r="O4" s="11"/>
      <c r="P4" s="55">
        <v>4</v>
      </c>
      <c r="Q4" s="11">
        <f t="shared" si="1"/>
        <v>5</v>
      </c>
    </row>
    <row r="5" spans="1:17" x14ac:dyDescent="0.25">
      <c r="A5" s="11">
        <f>'Mastercurve bestimmen'!M122</f>
        <v>80</v>
      </c>
      <c r="B5" s="11">
        <f>'Mastercurve bestimmen'!N122</f>
        <v>-16.552268271120617</v>
      </c>
      <c r="M5" s="54">
        <v>5</v>
      </c>
      <c r="N5" s="56">
        <f t="shared" si="0"/>
        <v>1.2707338755034813E-9</v>
      </c>
      <c r="O5" s="11"/>
      <c r="P5" s="55">
        <v>5</v>
      </c>
      <c r="Q5" s="11">
        <f t="shared" si="1"/>
        <v>6</v>
      </c>
    </row>
    <row r="6" spans="1:17" x14ac:dyDescent="0.25">
      <c r="A6" s="11">
        <f>'Mastercurve bestimmen'!M123</f>
        <v>125</v>
      </c>
      <c r="B6" s="11">
        <f>'Mastercurve bestimmen'!N123</f>
        <v>0</v>
      </c>
      <c r="M6" s="54">
        <v>6</v>
      </c>
      <c r="N6" s="56">
        <f t="shared" si="0"/>
        <v>-3.2645464244070649E-11</v>
      </c>
      <c r="O6" s="11"/>
      <c r="P6" s="55">
        <v>6</v>
      </c>
      <c r="Q6" s="11">
        <f t="shared" si="1"/>
        <v>7</v>
      </c>
    </row>
    <row r="7" spans="1:17" x14ac:dyDescent="0.25">
      <c r="A7" s="11">
        <f>'Mastercurve bestimmen'!M124</f>
        <v>160</v>
      </c>
      <c r="B7" s="11">
        <f>'Mastercurve bestimmen'!N124</f>
        <v>14.298694472234443</v>
      </c>
      <c r="M7" s="54">
        <v>7</v>
      </c>
      <c r="N7" s="56">
        <f t="shared" si="0"/>
        <v>-2.8515330603638812E-13</v>
      </c>
      <c r="O7" s="11"/>
      <c r="P7" s="55">
        <v>7</v>
      </c>
      <c r="Q7" s="11">
        <f t="shared" si="1"/>
        <v>8</v>
      </c>
    </row>
    <row r="8" spans="1:17" x14ac:dyDescent="0.25">
      <c r="A8" s="11"/>
      <c r="B8" s="11"/>
      <c r="M8" s="54">
        <v>8</v>
      </c>
      <c r="N8" s="56">
        <f t="shared" si="0"/>
        <v>-6.1847759481403441E-16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-48.244719359200019</v>
      </c>
      <c r="E15" s="11">
        <f>A15-'Mastercurve bestimmen'!$B$2</f>
        <v>-165</v>
      </c>
      <c r="F15" s="11">
        <f>B15</f>
        <v>-48.244719359200019</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-47.976357629063344</v>
      </c>
      <c r="E16" s="11">
        <f>A16-'Mastercurve bestimmen'!$B$2</f>
        <v>-164</v>
      </c>
      <c r="F16" s="11">
        <f t="shared" ref="F16:F79" si="4">B16</f>
        <v>-47.976357629063344</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-47.707734910698989</v>
      </c>
      <c r="E17" s="11">
        <f>A17-'Mastercurve bestimmen'!$B$2</f>
        <v>-163</v>
      </c>
      <c r="F17" s="11">
        <f t="shared" si="4"/>
        <v>-47.707734910698989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-47.438590215879273</v>
      </c>
      <c r="E18" s="11">
        <f>A18-'Mastercurve bestimmen'!$B$2</f>
        <v>-162</v>
      </c>
      <c r="F18" s="11">
        <f t="shared" si="4"/>
        <v>-47.438590215879273</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-47.168662556376546</v>
      </c>
      <c r="E19" s="11">
        <f>A19-'Mastercurve bestimmen'!$B$2</f>
        <v>-161</v>
      </c>
      <c r="F19" s="11">
        <f t="shared" si="4"/>
        <v>-47.168662556376546</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-46.897690943963099</v>
      </c>
      <c r="E20" s="11">
        <f>A20-'Mastercurve bestimmen'!$B$2</f>
        <v>-160</v>
      </c>
      <c r="F20" s="11">
        <f t="shared" si="4"/>
        <v>-46.897690943963099</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-46.625414390411279</v>
      </c>
      <c r="E21" s="11">
        <f>A21-'Mastercurve bestimmen'!$B$2</f>
        <v>-159</v>
      </c>
      <c r="F21" s="11">
        <f t="shared" si="4"/>
        <v>-46.625414390411279</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-46.351571907493394</v>
      </c>
      <c r="E22" s="11">
        <f>A22-'Mastercurve bestimmen'!$B$2</f>
        <v>-158</v>
      </c>
      <c r="F22" s="11">
        <f t="shared" si="4"/>
        <v>-46.351571907493394</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-46.075902506981784</v>
      </c>
      <c r="E23" s="11">
        <f>A23-'Mastercurve bestimmen'!$B$2</f>
        <v>-157</v>
      </c>
      <c r="F23" s="11">
        <f t="shared" si="4"/>
        <v>-46.075902506981784</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-45.798145200648761</v>
      </c>
      <c r="E24" s="11">
        <f>A24-'Mastercurve bestimmen'!$B$2</f>
        <v>-156</v>
      </c>
      <c r="F24" s="11">
        <f t="shared" si="4"/>
        <v>-45.798145200648761</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-45.51803900026664</v>
      </c>
      <c r="E25" s="11">
        <f>A25-'Mastercurve bestimmen'!$B$2</f>
        <v>-155</v>
      </c>
      <c r="F25" s="11">
        <f t="shared" si="4"/>
        <v>-45.51803900026664</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-45.23532291760776</v>
      </c>
      <c r="E26" s="11">
        <f>A26-'Mastercurve bestimmen'!$B$2</f>
        <v>-154</v>
      </c>
      <c r="F26" s="11">
        <f t="shared" si="4"/>
        <v>-45.23532291760776</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-44.94973596444445</v>
      </c>
      <c r="E27" s="11">
        <f>A27-'Mastercurve bestimmen'!$B$2</f>
        <v>-153</v>
      </c>
      <c r="F27" s="11">
        <f t="shared" si="4"/>
        <v>-44.94973596444445</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-44.661017152549022</v>
      </c>
      <c r="E28" s="11">
        <f>A28-'Mastercurve bestimmen'!$B$2</f>
        <v>-152</v>
      </c>
      <c r="F28" s="11">
        <f t="shared" si="4"/>
        <v>-44.661017152549022</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-44.368905493693788</v>
      </c>
      <c r="E29" s="11">
        <f>A29-'Mastercurve bestimmen'!$B$2</f>
        <v>-151</v>
      </c>
      <c r="F29" s="11">
        <f t="shared" si="4"/>
        <v>-44.368905493693788</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-44.073139999651097</v>
      </c>
      <c r="E30" s="11">
        <f>A30-'Mastercurve bestimmen'!$B$2</f>
        <v>-150</v>
      </c>
      <c r="F30" s="11">
        <f t="shared" si="4"/>
        <v>-44.073139999651097</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-43.773459682193256</v>
      </c>
      <c r="E31" s="11">
        <f>A31-'Mastercurve bestimmen'!$B$2</f>
        <v>-149</v>
      </c>
      <c r="F31" s="11">
        <f t="shared" si="4"/>
        <v>-43.773459682193256</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-43.469603553092597</v>
      </c>
      <c r="E32" s="11">
        <f>A32-'Mastercurve bestimmen'!$B$2</f>
        <v>-148</v>
      </c>
      <c r="F32" s="11">
        <f t="shared" si="4"/>
        <v>-43.469603553092597</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-43.161310624121441</v>
      </c>
      <c r="E33" s="11">
        <f>A33-'Mastercurve bestimmen'!$B$2</f>
        <v>-147</v>
      </c>
      <c r="F33" s="11">
        <f t="shared" si="4"/>
        <v>-43.161310624121441</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-42.848319907052101</v>
      </c>
      <c r="E34" s="11">
        <f>A34-'Mastercurve bestimmen'!$B$2</f>
        <v>-146</v>
      </c>
      <c r="F34" s="11">
        <f t="shared" si="4"/>
        <v>-42.848319907052101</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-42.530370413656925</v>
      </c>
      <c r="E35" s="11">
        <f>A35-'Mastercurve bestimmen'!$B$2</f>
        <v>-145</v>
      </c>
      <c r="F35" s="11">
        <f t="shared" si="4"/>
        <v>-42.530370413656925</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-42.207201155708212</v>
      </c>
      <c r="E36" s="11">
        <f>A36-'Mastercurve bestimmen'!$B$2</f>
        <v>-144</v>
      </c>
      <c r="F36" s="11">
        <f t="shared" si="4"/>
        <v>-42.207201155708212</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-41.878551144978303</v>
      </c>
      <c r="E37" s="11">
        <f>A37-'Mastercurve bestimmen'!$B$2</f>
        <v>-143</v>
      </c>
      <c r="F37" s="11">
        <f t="shared" si="4"/>
        <v>-41.878551144978303</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-41.544159393239511</v>
      </c>
      <c r="E38" s="11">
        <f>A38-'Mastercurve bestimmen'!$B$2</f>
        <v>-142</v>
      </c>
      <c r="F38" s="11">
        <f t="shared" si="4"/>
        <v>-41.544159393239511</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-41.203764912264162</v>
      </c>
      <c r="E39" s="11">
        <f>A39-'Mastercurve bestimmen'!$B$2</f>
        <v>-141</v>
      </c>
      <c r="F39" s="11">
        <f t="shared" si="4"/>
        <v>-41.203764912264162</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-40.857106713824578</v>
      </c>
      <c r="E40" s="11">
        <f>A40-'Mastercurve bestimmen'!$B$2</f>
        <v>-140</v>
      </c>
      <c r="F40" s="11">
        <f t="shared" si="4"/>
        <v>-40.857106713824578</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-40.503923809693092</v>
      </c>
      <c r="E41" s="11">
        <f>A41-'Mastercurve bestimmen'!$B$2</f>
        <v>-139</v>
      </c>
      <c r="F41" s="11">
        <f t="shared" si="4"/>
        <v>-40.503923809693092</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-40.143955211642016</v>
      </c>
      <c r="E42" s="11">
        <f>A42-'Mastercurve bestimmen'!$B$2</f>
        <v>-138</v>
      </c>
      <c r="F42" s="11">
        <f t="shared" si="4"/>
        <v>-40.143955211642016</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-39.776939931443678</v>
      </c>
      <c r="E43" s="11">
        <f>A43-'Mastercurve bestimmen'!$B$2</f>
        <v>-137</v>
      </c>
      <c r="F43" s="11">
        <f t="shared" si="4"/>
        <v>-39.776939931443678</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-39.402616980870405</v>
      </c>
      <c r="E44" s="11">
        <f>A44-'Mastercurve bestimmen'!$B$2</f>
        <v>-136</v>
      </c>
      <c r="F44" s="11">
        <f t="shared" si="4"/>
        <v>-39.402616980870405</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-39.020725371694525</v>
      </c>
      <c r="E45" s="11">
        <f>A45-'Mastercurve bestimmen'!$B$2</f>
        <v>-135</v>
      </c>
      <c r="F45" s="11">
        <f t="shared" si="4"/>
        <v>-39.020725371694525</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-38.631004115688349</v>
      </c>
      <c r="E46" s="11">
        <f>A46-'Mastercurve bestimmen'!$B$2</f>
        <v>-134</v>
      </c>
      <c r="F46" s="11">
        <f t="shared" si="4"/>
        <v>-38.631004115688349</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-38.233192224624204</v>
      </c>
      <c r="E47" s="11">
        <f>A47-'Mastercurve bestimmen'!$B$2</f>
        <v>-133</v>
      </c>
      <c r="F47" s="11">
        <f t="shared" si="4"/>
        <v>-38.233192224624204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-37.827028710274419</v>
      </c>
      <c r="E48" s="11">
        <f>A48-'Mastercurve bestimmen'!$B$2</f>
        <v>-132</v>
      </c>
      <c r="F48" s="11">
        <f t="shared" si="4"/>
        <v>-37.827028710274419</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-37.412252584411313</v>
      </c>
      <c r="E49" s="11">
        <f>A49-'Mastercurve bestimmen'!$B$2</f>
        <v>-131</v>
      </c>
      <c r="F49" s="11">
        <f t="shared" si="4"/>
        <v>-37.412252584411313</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-36.988602858807205</v>
      </c>
      <c r="E50" s="11">
        <f>A50-'Mastercurve bestimmen'!$B$2</f>
        <v>-130</v>
      </c>
      <c r="F50" s="11">
        <f t="shared" si="4"/>
        <v>-36.988602858807205</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-36.555818545234438</v>
      </c>
      <c r="E51" s="11">
        <f>A51-'Mastercurve bestimmen'!$B$2</f>
        <v>-129</v>
      </c>
      <c r="F51" s="11">
        <f t="shared" si="4"/>
        <v>-36.555818545234438</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-36.113638655465323</v>
      </c>
      <c r="E52" s="11">
        <f>A52-'Mastercurve bestimmen'!$B$2</f>
        <v>-128</v>
      </c>
      <c r="F52" s="11">
        <f t="shared" si="4"/>
        <v>-36.113638655465323</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-35.661802201272174</v>
      </c>
      <c r="E53" s="11">
        <f>A53-'Mastercurve bestimmen'!$B$2</f>
        <v>-127</v>
      </c>
      <c r="F53" s="11">
        <f t="shared" si="4"/>
        <v>-35.661802201272174</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-35.200048194427325</v>
      </c>
      <c r="E54" s="11">
        <f>A54-'Mastercurve bestimmen'!$B$2</f>
        <v>-126</v>
      </c>
      <c r="F54" s="11">
        <f t="shared" si="4"/>
        <v>-35.200048194427325</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-34.728115646703102</v>
      </c>
      <c r="E55" s="11">
        <f>A55-'Mastercurve bestimmen'!$B$2</f>
        <v>-125</v>
      </c>
      <c r="F55" s="11">
        <f t="shared" si="4"/>
        <v>-34.728115646703102</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-34.532100514283208</v>
      </c>
      <c r="E56" s="11">
        <f>A56-'Mastercurve bestimmen'!$B$2</f>
        <v>-124</v>
      </c>
      <c r="F56" s="11">
        <f t="shared" si="4"/>
        <v>-34.532100514283208</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-34.326318624108069</v>
      </c>
      <c r="E57" s="11">
        <f>A57-'Mastercurve bestimmen'!$B$2</f>
        <v>-123</v>
      </c>
      <c r="F57" s="11">
        <f t="shared" si="4"/>
        <v>-34.326318624108069</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-34.111442747529495</v>
      </c>
      <c r="E58" s="11">
        <f>A58-'Mastercurve bestimmen'!$B$2</f>
        <v>-122</v>
      </c>
      <c r="F58" s="11">
        <f t="shared" si="4"/>
        <v>-34.111442747529495</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-33.888145655899294</v>
      </c>
      <c r="E59" s="11">
        <f>A59-'Mastercurve bestimmen'!$B$2</f>
        <v>-121</v>
      </c>
      <c r="F59" s="11">
        <f t="shared" si="4"/>
        <v>-33.888145655899294</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-33.657100120569268</v>
      </c>
      <c r="E60" s="11">
        <f>A60-'Mastercurve bestimmen'!$B$2</f>
        <v>-120</v>
      </c>
      <c r="F60" s="11">
        <f t="shared" si="4"/>
        <v>-33.657100120569268</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-33.418978912891234</v>
      </c>
      <c r="E61" s="11">
        <f>A61-'Mastercurve bestimmen'!$B$2</f>
        <v>-119</v>
      </c>
      <c r="F61" s="11">
        <f t="shared" si="4"/>
        <v>-33.418978912891234</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-33.174454804217</v>
      </c>
      <c r="E62" s="11">
        <f>A62-'Mastercurve bestimmen'!$B$2</f>
        <v>-118</v>
      </c>
      <c r="F62" s="11">
        <f t="shared" si="4"/>
        <v>-33.174454804217</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-32.924200565898367</v>
      </c>
      <c r="E63" s="11">
        <f>A63-'Mastercurve bestimmen'!$B$2</f>
        <v>-117</v>
      </c>
      <c r="F63" s="11">
        <f t="shared" si="4"/>
        <v>-32.924200565898367</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-32.668888969287153</v>
      </c>
      <c r="E64" s="11">
        <f>A64-'Mastercurve bestimmen'!$B$2</f>
        <v>-116</v>
      </c>
      <c r="F64" s="11">
        <f t="shared" si="4"/>
        <v>-32.668888969287153</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-32.409192785735158</v>
      </c>
      <c r="E65" s="11">
        <f>A65-'Mastercurve bestimmen'!$B$2</f>
        <v>-115</v>
      </c>
      <c r="F65" s="11">
        <f t="shared" si="4"/>
        <v>-32.409192785735158</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-32.145784786594191</v>
      </c>
      <c r="E66" s="11">
        <f>A66-'Mastercurve bestimmen'!$B$2</f>
        <v>-114</v>
      </c>
      <c r="F66" s="11">
        <f t="shared" si="4"/>
        <v>-32.145784786594191</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-31.87933774321607</v>
      </c>
      <c r="E67" s="11">
        <f>A67-'Mastercurve bestimmen'!$B$2</f>
        <v>-113</v>
      </c>
      <c r="F67" s="11">
        <f t="shared" si="4"/>
        <v>-31.87933774321607</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-31.610524426952594</v>
      </c>
      <c r="E68" s="11">
        <f>A68-'Mastercurve bestimmen'!$B$2</f>
        <v>-112</v>
      </c>
      <c r="F68" s="11">
        <f t="shared" si="4"/>
        <v>-31.610524426952594</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-31.340017609155574</v>
      </c>
      <c r="E69" s="11">
        <f>A69-'Mastercurve bestimmen'!$B$2</f>
        <v>-111</v>
      </c>
      <c r="F69" s="11">
        <f t="shared" si="4"/>
        <v>-31.340017609155574</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-31.068490061176817</v>
      </c>
      <c r="E70" s="11">
        <f>A70-'Mastercurve bestimmen'!$B$2</f>
        <v>-110</v>
      </c>
      <c r="F70" s="11">
        <f t="shared" si="4"/>
        <v>-31.068490061176817</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-30.796614554368134</v>
      </c>
      <c r="E71" s="11">
        <f>A71-'Mastercurve bestimmen'!$B$2</f>
        <v>-109</v>
      </c>
      <c r="F71" s="11">
        <f t="shared" si="4"/>
        <v>-30.796614554368134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-30.525063860081332</v>
      </c>
      <c r="E72" s="11">
        <f>A72-'Mastercurve bestimmen'!$B$2</f>
        <v>-108</v>
      </c>
      <c r="F72" s="11">
        <f t="shared" si="4"/>
        <v>-30.525063860081332</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-30.254510749668224</v>
      </c>
      <c r="E73" s="11">
        <f>A73-'Mastercurve bestimmen'!$B$2</f>
        <v>-107</v>
      </c>
      <c r="F73" s="11">
        <f t="shared" si="4"/>
        <v>-30.254510749668224</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-29.985627994480609</v>
      </c>
      <c r="E74" s="11">
        <f>A74-'Mastercurve bestimmen'!$B$2</f>
        <v>-106</v>
      </c>
      <c r="F74" s="11">
        <f t="shared" si="4"/>
        <v>-29.985627994480609</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-29.719088365870306</v>
      </c>
      <c r="E75" s="11">
        <f>A75-'Mastercurve bestimmen'!$B$2</f>
        <v>-105</v>
      </c>
      <c r="F75" s="11">
        <f t="shared" si="4"/>
        <v>-29.719088365870306</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-29.45556463518912</v>
      </c>
      <c r="E76" s="11">
        <f>A76-'Mastercurve bestimmen'!$B$2</f>
        <v>-104</v>
      </c>
      <c r="F76" s="11">
        <f t="shared" si="4"/>
        <v>-29.45556463518912</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-29.195729573788856</v>
      </c>
      <c r="E77" s="11">
        <f>A77-'Mastercurve bestimmen'!$B$2</f>
        <v>-103</v>
      </c>
      <c r="F77" s="11">
        <f t="shared" si="4"/>
        <v>-29.195729573788856</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-28.940255953021325</v>
      </c>
      <c r="E78" s="11">
        <f>A78-'Mastercurve bestimmen'!$B$2</f>
        <v>-102</v>
      </c>
      <c r="F78" s="11">
        <f t="shared" si="4"/>
        <v>-28.940255953021325</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-28.689816544238333</v>
      </c>
      <c r="E79" s="11">
        <f>A79-'Mastercurve bestimmen'!$B$2</f>
        <v>-101</v>
      </c>
      <c r="F79" s="11">
        <f t="shared" si="4"/>
        <v>-28.689816544238333</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-28.445084118791687</v>
      </c>
      <c r="E80" s="11">
        <f>A80-'Mastercurve bestimmen'!$B$2</f>
        <v>-100</v>
      </c>
      <c r="F80" s="11">
        <f t="shared" ref="F80:F143" si="10">B80</f>
        <v>-28.445084118791687</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-28.206563297109874</v>
      </c>
      <c r="E81" s="11">
        <f>A81-'Mastercurve bestimmen'!$B$2</f>
        <v>-99</v>
      </c>
      <c r="F81" s="11">
        <f t="shared" si="10"/>
        <v>-28.206563297109874</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-27.974086095928033</v>
      </c>
      <c r="E82" s="11">
        <f>A82-'Mastercurve bestimmen'!$B$2</f>
        <v>-98</v>
      </c>
      <c r="F82" s="11">
        <f t="shared" si="10"/>
        <v>-27.974086095928033</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-27.747316381057981</v>
      </c>
      <c r="E83" s="11">
        <f>A83-'Mastercurve bestimmen'!$B$2</f>
        <v>-97</v>
      </c>
      <c r="F83" s="11">
        <f t="shared" si="10"/>
        <v>-27.747316381057981</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-27.525918018311536</v>
      </c>
      <c r="E84" s="11">
        <f>A84-'Mastercurve bestimmen'!$B$2</f>
        <v>-96</v>
      </c>
      <c r="F84" s="11">
        <f t="shared" si="10"/>
        <v>-27.525918018311536</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-27.30955487350051</v>
      </c>
      <c r="E85" s="11">
        <f>A85-'Mastercurve bestimmen'!$B$2</f>
        <v>-95</v>
      </c>
      <c r="F85" s="11">
        <f t="shared" si="10"/>
        <v>-27.30955487350051</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-27.097890812436727</v>
      </c>
      <c r="E86" s="11">
        <f>A86-'Mastercurve bestimmen'!$B$2</f>
        <v>-94</v>
      </c>
      <c r="F86" s="11">
        <f t="shared" si="10"/>
        <v>-27.097890812436727</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-26.890589700932001</v>
      </c>
      <c r="E87" s="11">
        <f>A87-'Mastercurve bestimmen'!$B$2</f>
        <v>-93</v>
      </c>
      <c r="F87" s="11">
        <f t="shared" si="10"/>
        <v>-26.890589700932001</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-26.687315404798142</v>
      </c>
      <c r="E88" s="11">
        <f>A88-'Mastercurve bestimmen'!$B$2</f>
        <v>-92</v>
      </c>
      <c r="F88" s="11">
        <f t="shared" si="10"/>
        <v>-26.687315404798142</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-26.487731789846976</v>
      </c>
      <c r="E89" s="11">
        <f>A89-'Mastercurve bestimmen'!$B$2</f>
        <v>-91</v>
      </c>
      <c r="F89" s="11">
        <f t="shared" si="10"/>
        <v>-26.487731789846976</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-26.291502721890311</v>
      </c>
      <c r="E90" s="11">
        <f>A90-'Mastercurve bestimmen'!$B$2</f>
        <v>-90</v>
      </c>
      <c r="F90" s="11">
        <f t="shared" si="10"/>
        <v>-26.291502721890311</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-26.098292066739965</v>
      </c>
      <c r="E91" s="11">
        <f>A91-'Mastercurve bestimmen'!$B$2</f>
        <v>-89</v>
      </c>
      <c r="F91" s="11">
        <f t="shared" si="10"/>
        <v>-26.098292066739965</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-25.907763690207759</v>
      </c>
      <c r="E92" s="11">
        <f>A92-'Mastercurve bestimmen'!$B$2</f>
        <v>-88</v>
      </c>
      <c r="F92" s="11">
        <f t="shared" si="10"/>
        <v>-25.907763690207759</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-25.719581458105502</v>
      </c>
      <c r="E93" s="11">
        <f>A93-'Mastercurve bestimmen'!$B$2</f>
        <v>-87</v>
      </c>
      <c r="F93" s="11">
        <f t="shared" si="10"/>
        <v>-25.719581458105502</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-25.533409236245014</v>
      </c>
      <c r="E94" s="11">
        <f>A94-'Mastercurve bestimmen'!$B$2</f>
        <v>-86</v>
      </c>
      <c r="F94" s="11">
        <f t="shared" si="10"/>
        <v>-25.533409236245014</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-25.348910890438113</v>
      </c>
      <c r="E95" s="11">
        <f>A95-'Mastercurve bestimmen'!$B$2</f>
        <v>-85</v>
      </c>
      <c r="F95" s="11">
        <f t="shared" si="10"/>
        <v>-25.348910890438113</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-25.16575028649661</v>
      </c>
      <c r="E96" s="11">
        <f>A96-'Mastercurve bestimmen'!$B$2</f>
        <v>-84</v>
      </c>
      <c r="F96" s="11">
        <f t="shared" si="10"/>
        <v>-25.16575028649661</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-24.983591290232329</v>
      </c>
      <c r="E97" s="11">
        <f>A97-'Mastercurve bestimmen'!$B$2</f>
        <v>-83</v>
      </c>
      <c r="F97" s="11">
        <f t="shared" si="10"/>
        <v>-24.983591290232329</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-24.802097767457081</v>
      </c>
      <c r="E98" s="11">
        <f>A98-'Mastercurve bestimmen'!$B$2</f>
        <v>-82</v>
      </c>
      <c r="F98" s="11">
        <f t="shared" si="10"/>
        <v>-24.802097767457081</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-24.62093358398268</v>
      </c>
      <c r="E99" s="11">
        <f>A99-'Mastercurve bestimmen'!$B$2</f>
        <v>-81</v>
      </c>
      <c r="F99" s="11">
        <f t="shared" si="10"/>
        <v>-24.62093358398268</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-24.439762605620949</v>
      </c>
      <c r="E100" s="11">
        <f>A100-'Mastercurve bestimmen'!$B$2</f>
        <v>-80</v>
      </c>
      <c r="F100" s="11">
        <f t="shared" si="10"/>
        <v>-24.439762605620949</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-24.258248698183699</v>
      </c>
      <c r="E101" s="11">
        <f>A101-'Mastercurve bestimmen'!$B$2</f>
        <v>-79</v>
      </c>
      <c r="F101" s="11">
        <f t="shared" si="10"/>
        <v>-24.258248698183699</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-24.076055727482746</v>
      </c>
      <c r="E102" s="11">
        <f>A102-'Mastercurve bestimmen'!$B$2</f>
        <v>-78</v>
      </c>
      <c r="F102" s="11">
        <f t="shared" si="10"/>
        <v>-24.076055727482746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-23.892847559329908</v>
      </c>
      <c r="E103" s="11">
        <f>A103-'Mastercurve bestimmen'!$B$2</f>
        <v>-77</v>
      </c>
      <c r="F103" s="11">
        <f t="shared" si="10"/>
        <v>-23.892847559329908</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-23.708288059537004</v>
      </c>
      <c r="E104" s="11">
        <f>A104-'Mastercurve bestimmen'!$B$2</f>
        <v>-76</v>
      </c>
      <c r="F104" s="11">
        <f t="shared" si="10"/>
        <v>-23.708288059537004</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-23.522041093915846</v>
      </c>
      <c r="E105" s="11">
        <f>A105-'Mastercurve bestimmen'!$B$2</f>
        <v>-75</v>
      </c>
      <c r="F105" s="11">
        <f t="shared" si="10"/>
        <v>-23.522041093915846</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-23.333810140623783</v>
      </c>
      <c r="E106" s="11">
        <f>A106-'Mastercurve bestimmen'!$B$2</f>
        <v>-74</v>
      </c>
      <c r="F106" s="11">
        <f t="shared" si="10"/>
        <v>-23.333810140623783</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-23.143457127200293</v>
      </c>
      <c r="E107" s="11">
        <f>A107-'Mastercurve bestimmen'!$B$2</f>
        <v>-73</v>
      </c>
      <c r="F107" s="11">
        <f t="shared" si="10"/>
        <v>-23.143457127200293</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-22.950883593530385</v>
      </c>
      <c r="E108" s="11">
        <f>A108-'Mastercurve bestimmen'!$B$2</f>
        <v>-72</v>
      </c>
      <c r="F108" s="11">
        <f t="shared" si="10"/>
        <v>-22.950883593530385</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-22.755991079499069</v>
      </c>
      <c r="E109" s="11">
        <f>A109-'Mastercurve bestimmen'!$B$2</f>
        <v>-71</v>
      </c>
      <c r="F109" s="11">
        <f t="shared" si="10"/>
        <v>-22.755991079499069</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-22.558681124991356</v>
      </c>
      <c r="E110" s="11">
        <f>A110-'Mastercurve bestimmen'!$B$2</f>
        <v>-70</v>
      </c>
      <c r="F110" s="11">
        <f t="shared" si="10"/>
        <v>-22.558681124991356</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-22.358855269892249</v>
      </c>
      <c r="E111" s="11">
        <f>A111-'Mastercurve bestimmen'!$B$2</f>
        <v>-69</v>
      </c>
      <c r="F111" s="11">
        <f t="shared" si="10"/>
        <v>-22.358855269892249</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-22.156415054086764</v>
      </c>
      <c r="E112" s="11">
        <f>A112-'Mastercurve bestimmen'!$B$2</f>
        <v>-68</v>
      </c>
      <c r="F112" s="11">
        <f t="shared" si="10"/>
        <v>-22.156415054086764</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-21.951262017459907</v>
      </c>
      <c r="E113" s="11">
        <f>A113-'Mastercurve bestimmen'!$B$2</f>
        <v>-67</v>
      </c>
      <c r="F113" s="11">
        <f t="shared" si="10"/>
        <v>-21.951262017459907</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-21.743297699896686</v>
      </c>
      <c r="E114" s="11">
        <f>A114-'Mastercurve bestimmen'!$B$2</f>
        <v>-66</v>
      </c>
      <c r="F114" s="11">
        <f t="shared" si="10"/>
        <v>-21.743297699896686</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-21.532423641282112</v>
      </c>
      <c r="E115" s="11">
        <f>A115-'Mastercurve bestimmen'!$B$2</f>
        <v>-65</v>
      </c>
      <c r="F115" s="11">
        <f t="shared" si="10"/>
        <v>-21.532423641282112</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-21.318541381501191</v>
      </c>
      <c r="E116" s="11">
        <f>A116-'Mastercurve bestimmen'!$B$2</f>
        <v>-64</v>
      </c>
      <c r="F116" s="11">
        <f t="shared" si="10"/>
        <v>-21.318541381501191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-21.101552460438938</v>
      </c>
      <c r="E117" s="11">
        <f>A117-'Mastercurve bestimmen'!$B$2</f>
        <v>-63</v>
      </c>
      <c r="F117" s="11">
        <f t="shared" si="10"/>
        <v>-21.101552460438938</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-20.881358417980358</v>
      </c>
      <c r="E118" s="11">
        <f>A118-'Mastercurve bestimmen'!$B$2</f>
        <v>-62</v>
      </c>
      <c r="F118" s="11">
        <f t="shared" si="10"/>
        <v>-20.881358417980358</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-20.657860794010467</v>
      </c>
      <c r="E119" s="11">
        <f>A119-'Mastercurve bestimmen'!$B$2</f>
        <v>-61</v>
      </c>
      <c r="F119" s="11">
        <f t="shared" si="10"/>
        <v>-20.657860794010467</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-20.43096112841426</v>
      </c>
      <c r="E120" s="11">
        <f>A120-'Mastercurve bestimmen'!$B$2</f>
        <v>-60</v>
      </c>
      <c r="F120" s="11">
        <f t="shared" si="10"/>
        <v>-20.43096112841426</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-20.200560961076761</v>
      </c>
      <c r="E121" s="11">
        <f>A121-'Mastercurve bestimmen'!$B$2</f>
        <v>-59</v>
      </c>
      <c r="F121" s="11">
        <f t="shared" si="10"/>
        <v>-20.200560961076761</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-19.966561831882974</v>
      </c>
      <c r="E122" s="11">
        <f>A122-'Mastercurve bestimmen'!$B$2</f>
        <v>-58</v>
      </c>
      <c r="F122" s="11">
        <f t="shared" si="10"/>
        <v>-19.966561831882974</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-19.728865280717901</v>
      </c>
      <c r="E123" s="11">
        <f>A123-'Mastercurve bestimmen'!$B$2</f>
        <v>-57</v>
      </c>
      <c r="F123" s="11">
        <f t="shared" si="10"/>
        <v>-19.728865280717901</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-19.487372847466563</v>
      </c>
      <c r="E124" s="11">
        <f>A124-'Mastercurve bestimmen'!$B$2</f>
        <v>-56</v>
      </c>
      <c r="F124" s="11">
        <f t="shared" si="10"/>
        <v>-19.487372847466563</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-19.241986072013965</v>
      </c>
      <c r="E125" s="11">
        <f>A125-'Mastercurve bestimmen'!$B$2</f>
        <v>-55</v>
      </c>
      <c r="F125" s="11">
        <f t="shared" si="10"/>
        <v>-19.241986072013965</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-18.992606494245109</v>
      </c>
      <c r="E126" s="11">
        <f>A126-'Mastercurve bestimmen'!$B$2</f>
        <v>-54</v>
      </c>
      <c r="F126" s="11">
        <f t="shared" si="10"/>
        <v>-18.992606494245109</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-18.739135654045015</v>
      </c>
      <c r="E127" s="11">
        <f>A127-'Mastercurve bestimmen'!$B$2</f>
        <v>-53</v>
      </c>
      <c r="F127" s="11">
        <f t="shared" si="10"/>
        <v>-18.739135654045015</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-18.481475091298684</v>
      </c>
      <c r="E128" s="11">
        <f>A128-'Mastercurve bestimmen'!$B$2</f>
        <v>-52</v>
      </c>
      <c r="F128" s="11">
        <f t="shared" si="10"/>
        <v>-18.481475091298684</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-18.219526345891133</v>
      </c>
      <c r="E129" s="11">
        <f>A129-'Mastercurve bestimmen'!$B$2</f>
        <v>-51</v>
      </c>
      <c r="F129" s="11">
        <f t="shared" si="10"/>
        <v>-18.219526345891133</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-17.953190957707363</v>
      </c>
      <c r="E130" s="11">
        <f>A130-'Mastercurve bestimmen'!$B$2</f>
        <v>-50</v>
      </c>
      <c r="F130" s="11">
        <f t="shared" si="10"/>
        <v>-17.953190957707363</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-17.682370466632388</v>
      </c>
      <c r="E131" s="11">
        <f>A131-'Mastercurve bestimmen'!$B$2</f>
        <v>-49</v>
      </c>
      <c r="F131" s="11">
        <f t="shared" si="10"/>
        <v>-17.682370466632388</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-17.40696641255122</v>
      </c>
      <c r="E132" s="11">
        <f>A132-'Mastercurve bestimmen'!$B$2</f>
        <v>-48</v>
      </c>
      <c r="F132" s="11">
        <f t="shared" si="10"/>
        <v>-17.40696641255122</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-17.126880335348861</v>
      </c>
      <c r="E133" s="11">
        <f>A133-'Mastercurve bestimmen'!$B$2</f>
        <v>-47</v>
      </c>
      <c r="F133" s="11">
        <f t="shared" si="10"/>
        <v>-17.126880335348861</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-16.842013774910324</v>
      </c>
      <c r="E134" s="11">
        <f>A134-'Mastercurve bestimmen'!$B$2</f>
        <v>-46</v>
      </c>
      <c r="F134" s="11">
        <f t="shared" si="10"/>
        <v>-16.842013774910324</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-16.552268271120617</v>
      </c>
      <c r="E135" s="11">
        <f>A135-'Mastercurve bestimmen'!$B$2</f>
        <v>-45</v>
      </c>
      <c r="F135" s="11">
        <f t="shared" si="10"/>
        <v>-16.552268271120617</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-16.25757973990352</v>
      </c>
      <c r="E136" s="11">
        <f>A136-'Mastercurve bestimmen'!$B$2</f>
        <v>-44</v>
      </c>
      <c r="F136" s="11">
        <f t="shared" si="10"/>
        <v>-16.25757973990352</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-15.958021601337856</v>
      </c>
      <c r="E137" s="11">
        <f>A137-'Mastercurve bestimmen'!$B$2</f>
        <v>-43</v>
      </c>
      <c r="F137" s="11">
        <f t="shared" si="10"/>
        <v>-15.958021601337856</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-15.653701651541231</v>
      </c>
      <c r="E138" s="11">
        <f>A138-'Mastercurve bestimmen'!$B$2</f>
        <v>-42</v>
      </c>
      <c r="F138" s="11">
        <f t="shared" si="10"/>
        <v>-15.653701651541231</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-15.344727686631245</v>
      </c>
      <c r="E139" s="11">
        <f>A139-'Mastercurve bestimmen'!$B$2</f>
        <v>-41</v>
      </c>
      <c r="F139" s="11">
        <f t="shared" si="10"/>
        <v>-15.344727686631245</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-15.03120750272549</v>
      </c>
      <c r="E140" s="11">
        <f>A140-'Mastercurve bestimmen'!$B$2</f>
        <v>-40</v>
      </c>
      <c r="F140" s="11">
        <f t="shared" si="10"/>
        <v>-15.03120750272549</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-14.713248895941572</v>
      </c>
      <c r="E141" s="11">
        <f>A141-'Mastercurve bestimmen'!$B$2</f>
        <v>-39</v>
      </c>
      <c r="F141" s="11">
        <f t="shared" si="10"/>
        <v>-14.713248895941572</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-14.390959662397083</v>
      </c>
      <c r="E142" s="11">
        <f>A142-'Mastercurve bestimmen'!$B$2</f>
        <v>-38</v>
      </c>
      <c r="F142" s="11">
        <f t="shared" si="10"/>
        <v>-14.390959662397083</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-14.064447598209625</v>
      </c>
      <c r="E143" s="11">
        <f>A143-'Mastercurve bestimmen'!$B$2</f>
        <v>-37</v>
      </c>
      <c r="F143" s="11">
        <f t="shared" si="10"/>
        <v>-14.064447598209625</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-13.733820499496797</v>
      </c>
      <c r="E144" s="11">
        <f>A144-'Mastercurve bestimmen'!$B$2</f>
        <v>-36</v>
      </c>
      <c r="F144" s="11">
        <f t="shared" ref="F144:F207" si="15">B144</f>
        <v>-13.733820499496797</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-13.399186162376198</v>
      </c>
      <c r="E145" s="11">
        <f>A145-'Mastercurve bestimmen'!$B$2</f>
        <v>-35</v>
      </c>
      <c r="F145" s="11">
        <f t="shared" si="15"/>
        <v>-13.399186162376198</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-13.060652382965424</v>
      </c>
      <c r="E146" s="11">
        <f>A146-'Mastercurve bestimmen'!$B$2</f>
        <v>-34</v>
      </c>
      <c r="F146" s="11">
        <f t="shared" si="15"/>
        <v>-13.060652382965424</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-12.718326957382075</v>
      </c>
      <c r="E147" s="11">
        <f>A147-'Mastercurve bestimmen'!$B$2</f>
        <v>-33</v>
      </c>
      <c r="F147" s="11">
        <f t="shared" si="15"/>
        <v>-12.718326957382075</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-12.372317681743748</v>
      </c>
      <c r="E148" s="11">
        <f>A148-'Mastercurve bestimmen'!$B$2</f>
        <v>-32</v>
      </c>
      <c r="F148" s="11">
        <f t="shared" si="15"/>
        <v>-12.372317681743748</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-12.022732352168045</v>
      </c>
      <c r="E149" s="11">
        <f>A149-'Mastercurve bestimmen'!$B$2</f>
        <v>-31</v>
      </c>
      <c r="F149" s="11">
        <f t="shared" si="15"/>
        <v>-12.022732352168045</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-11.669678764772565</v>
      </c>
      <c r="E150" s="11">
        <f>A150-'Mastercurve bestimmen'!$B$2</f>
        <v>-30</v>
      </c>
      <c r="F150" s="11">
        <f t="shared" si="15"/>
        <v>-11.669678764772565</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-11.313264715674903</v>
      </c>
      <c r="E151" s="11">
        <f>A151-'Mastercurve bestimmen'!$B$2</f>
        <v>-29</v>
      </c>
      <c r="F151" s="11">
        <f t="shared" si="15"/>
        <v>-11.313264715674903</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-10.953598000992658</v>
      </c>
      <c r="E152" s="11">
        <f>A152-'Mastercurve bestimmen'!$B$2</f>
        <v>-28</v>
      </c>
      <c r="F152" s="11">
        <f t="shared" si="15"/>
        <v>-10.953598000992658</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-10.590786416843432</v>
      </c>
      <c r="E153" s="11">
        <f>A153-'Mastercurve bestimmen'!$B$2</f>
        <v>-27</v>
      </c>
      <c r="F153" s="11">
        <f t="shared" si="15"/>
        <v>-10.590786416843432</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-10.224937759344819</v>
      </c>
      <c r="E154" s="11">
        <f>A154-'Mastercurve bestimmen'!$B$2</f>
        <v>-26</v>
      </c>
      <c r="F154" s="11">
        <f t="shared" si="15"/>
        <v>-10.224937759344819</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-9.8561598246144211</v>
      </c>
      <c r="E155" s="11">
        <f>A155-'Mastercurve bestimmen'!$B$2</f>
        <v>-25</v>
      </c>
      <c r="F155" s="11">
        <f t="shared" si="15"/>
        <v>-9.8561598246144211</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-9.4845604087698359</v>
      </c>
      <c r="E156" s="11">
        <f>A156-'Mastercurve bestimmen'!$B$2</f>
        <v>-24</v>
      </c>
      <c r="F156" s="11">
        <f t="shared" si="15"/>
        <v>-9.4845604087698359</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-9.1102473079286597</v>
      </c>
      <c r="E157" s="11">
        <f>A157-'Mastercurve bestimmen'!$B$2</f>
        <v>-23</v>
      </c>
      <c r="F157" s="11">
        <f t="shared" si="15"/>
        <v>-9.1102473079286597</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-8.733328318208498</v>
      </c>
      <c r="E158" s="11">
        <f>A158-'Mastercurve bestimmen'!$B$2</f>
        <v>-22</v>
      </c>
      <c r="F158" s="11">
        <f t="shared" si="15"/>
        <v>-8.733328318208498</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-8.3539112357269403</v>
      </c>
      <c r="E159" s="11">
        <f>A159-'Mastercurve bestimmen'!$B$2</f>
        <v>-21</v>
      </c>
      <c r="F159" s="11">
        <f t="shared" si="15"/>
        <v>-8.3539112357269403</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-7.972103856601592</v>
      </c>
      <c r="E160" s="11">
        <f>A160-'Mastercurve bestimmen'!$B$2</f>
        <v>-20</v>
      </c>
      <c r="F160" s="11">
        <f t="shared" si="15"/>
        <v>-7.972103856601592</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-7.5880139769500508</v>
      </c>
      <c r="E161" s="11">
        <f>A161-'Mastercurve bestimmen'!$B$2</f>
        <v>-19</v>
      </c>
      <c r="F161" s="11">
        <f t="shared" si="15"/>
        <v>-7.5880139769500508</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-7.2017493928899121</v>
      </c>
      <c r="E162" s="11">
        <f>A162-'Mastercurve bestimmen'!$B$2</f>
        <v>-18</v>
      </c>
      <c r="F162" s="11">
        <f t="shared" si="15"/>
        <v>-7.2017493928899121</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-6.8134179005387772</v>
      </c>
      <c r="E163" s="11">
        <f>A163-'Mastercurve bestimmen'!$B$2</f>
        <v>-17</v>
      </c>
      <c r="F163" s="11">
        <f t="shared" si="15"/>
        <v>-6.8134179005387772</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-6.4231272960142425</v>
      </c>
      <c r="E164" s="11">
        <f>A164-'Mastercurve bestimmen'!$B$2</f>
        <v>-16</v>
      </c>
      <c r="F164" s="11">
        <f t="shared" si="15"/>
        <v>-6.4231272960142425</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-6.0309853754339091</v>
      </c>
      <c r="E165" s="11">
        <f>A165-'Mastercurve bestimmen'!$B$2</f>
        <v>-15</v>
      </c>
      <c r="F165" s="11">
        <f t="shared" si="15"/>
        <v>-6.0309853754339091</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-5.6370999349153754</v>
      </c>
      <c r="E166" s="11">
        <f>A166-'Mastercurve bestimmen'!$B$2</f>
        <v>-14</v>
      </c>
      <c r="F166" s="11">
        <f t="shared" si="15"/>
        <v>-5.6370999349153754</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-5.241578770576238</v>
      </c>
      <c r="E167" s="11">
        <f>A167-'Mastercurve bestimmen'!$B$2</f>
        <v>-13</v>
      </c>
      <c r="F167" s="11">
        <f t="shared" si="15"/>
        <v>-5.241578770576238</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-4.844529678534097</v>
      </c>
      <c r="E168" s="11">
        <f>A168-'Mastercurve bestimmen'!$B$2</f>
        <v>-12</v>
      </c>
      <c r="F168" s="11">
        <f t="shared" si="15"/>
        <v>-4.844529678534097</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-4.4460604549065508</v>
      </c>
      <c r="E169" s="11">
        <f>A169-'Mastercurve bestimmen'!$B$2</f>
        <v>-11</v>
      </c>
      <c r="F169" s="11">
        <f t="shared" si="15"/>
        <v>-4.4460604549065508</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-4.0462788958111977</v>
      </c>
      <c r="E170" s="11">
        <f>A170-'Mastercurve bestimmen'!$B$2</f>
        <v>-10</v>
      </c>
      <c r="F170" s="11">
        <f t="shared" si="15"/>
        <v>-4.0462788958111977</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-3.6452927973656366</v>
      </c>
      <c r="E171" s="11">
        <f>A171-'Mastercurve bestimmen'!$B$2</f>
        <v>-9</v>
      </c>
      <c r="F171" s="11">
        <f t="shared" si="15"/>
        <v>-3.6452927973656366</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-3.2432099556874663</v>
      </c>
      <c r="E172" s="11">
        <f>A172-'Mastercurve bestimmen'!$B$2</f>
        <v>-8</v>
      </c>
      <c r="F172" s="11">
        <f t="shared" si="15"/>
        <v>-3.2432099556874663</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-2.8401381668942856</v>
      </c>
      <c r="E173" s="11">
        <f>A173-'Mastercurve bestimmen'!$B$2</f>
        <v>-7</v>
      </c>
      <c r="F173" s="11">
        <f t="shared" si="15"/>
        <v>-2.8401381668942856</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-2.4361852271036923</v>
      </c>
      <c r="E174" s="11">
        <f>A174-'Mastercurve bestimmen'!$B$2</f>
        <v>-6</v>
      </c>
      <c r="F174" s="11">
        <f t="shared" si="15"/>
        <v>-2.4361852271036923</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-2.031458932433285</v>
      </c>
      <c r="E175" s="11">
        <f>A175-'Mastercurve bestimmen'!$B$2</f>
        <v>-5</v>
      </c>
      <c r="F175" s="11">
        <f t="shared" si="15"/>
        <v>-2.031458932433285</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-1.6260670790006635</v>
      </c>
      <c r="E176" s="11">
        <f>A176-'Mastercurve bestimmen'!$B$2</f>
        <v>-4</v>
      </c>
      <c r="F176" s="11">
        <f t="shared" si="15"/>
        <v>-1.6260670790006635</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-1.2201174629234257</v>
      </c>
      <c r="E177" s="11">
        <f>A177-'Mastercurve bestimmen'!$B$2</f>
        <v>-3</v>
      </c>
      <c r="F177" s="11">
        <f t="shared" si="15"/>
        <v>-1.2201174629234257</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-0.81371788031916992</v>
      </c>
      <c r="E178" s="11">
        <f>A178-'Mastercurve bestimmen'!$B$2</f>
        <v>-2</v>
      </c>
      <c r="F178" s="11">
        <f t="shared" si="15"/>
        <v>-0.81371788031916992</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-0.40697612730549521</v>
      </c>
      <c r="E179" s="11">
        <f>A179-'Mastercurve bestimmen'!$B$2</f>
        <v>-1</v>
      </c>
      <c r="F179" s="11">
        <f t="shared" si="15"/>
        <v>-0.40697612730549521</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0.40712006874610612</v>
      </c>
      <c r="E181" s="11">
        <f>A181-'Mastercurve bestimmen'!$B$2</f>
        <v>1</v>
      </c>
      <c r="F181" s="11">
        <f t="shared" si="15"/>
        <v>0.40712006874610612</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0.81436309914717053</v>
      </c>
      <c r="E182" s="11">
        <f>A182-'Mastercurve bestimmen'!$B$2</f>
        <v>2</v>
      </c>
      <c r="F182" s="11">
        <f t="shared" si="15"/>
        <v>0.81436309914717053</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1.2217254746839299</v>
      </c>
      <c r="E183" s="11">
        <f>A183-'Mastercurve bestimmen'!$B$2</f>
        <v>3</v>
      </c>
      <c r="F183" s="11">
        <f t="shared" si="15"/>
        <v>1.2217254746839299</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1.6292035788371206</v>
      </c>
      <c r="E184" s="11">
        <f>A184-'Mastercurve bestimmen'!$B$2</f>
        <v>4</v>
      </c>
      <c r="F184" s="11">
        <f t="shared" si="15"/>
        <v>1.6292035788371206</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2.0367937950874793</v>
      </c>
      <c r="E185" s="11">
        <f>A185-'Mastercurve bestimmen'!$B$2</f>
        <v>5</v>
      </c>
      <c r="F185" s="11">
        <f t="shared" si="15"/>
        <v>2.0367937950874793</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2.4444925069157422</v>
      </c>
      <c r="E186" s="11">
        <f>A186-'Mastercurve bestimmen'!$B$2</f>
        <v>6</v>
      </c>
      <c r="F186" s="11">
        <f t="shared" si="15"/>
        <v>2.4444925069157422</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2.8522960978026459</v>
      </c>
      <c r="E187" s="11">
        <f>A187-'Mastercurve bestimmen'!$B$2</f>
        <v>7</v>
      </c>
      <c r="F187" s="11">
        <f t="shared" si="15"/>
        <v>2.8522960978026459</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3.2602009512289274</v>
      </c>
      <c r="E188" s="11">
        <f>A188-'Mastercurve bestimmen'!$B$2</f>
        <v>8</v>
      </c>
      <c r="F188" s="11">
        <f t="shared" si="15"/>
        <v>3.2602009512289274</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3.6682034506753229</v>
      </c>
      <c r="E189" s="11">
        <f>A189-'Mastercurve bestimmen'!$B$2</f>
        <v>9</v>
      </c>
      <c r="F189" s="11">
        <f t="shared" si="15"/>
        <v>3.6682034506753229</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4.0762999796225685</v>
      </c>
      <c r="E190" s="11">
        <f>A190-'Mastercurve bestimmen'!$B$2</f>
        <v>10</v>
      </c>
      <c r="F190" s="11">
        <f t="shared" si="15"/>
        <v>4.0762999796225685</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4.4844869215514009</v>
      </c>
      <c r="E191" s="11">
        <f>A191-'Mastercurve bestimmen'!$B$2</f>
        <v>11</v>
      </c>
      <c r="F191" s="11">
        <f t="shared" si="15"/>
        <v>4.4844869215514009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4.8927606599425575</v>
      </c>
      <c r="E192" s="11">
        <f>A192-'Mastercurve bestimmen'!$B$2</f>
        <v>12</v>
      </c>
      <c r="F192" s="11">
        <f t="shared" si="15"/>
        <v>4.8927606599425575</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5.3011175782767745</v>
      </c>
      <c r="E193" s="11">
        <f>A193-'Mastercurve bestimmen'!$B$2</f>
        <v>13</v>
      </c>
      <c r="F193" s="11">
        <f t="shared" si="15"/>
        <v>5.3011175782767745</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5.7095540600347867</v>
      </c>
      <c r="E194" s="11">
        <f>A194-'Mastercurve bestimmen'!$B$2</f>
        <v>14</v>
      </c>
      <c r="F194" s="11">
        <f t="shared" si="15"/>
        <v>5.7095540600347867</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6.118066488697333</v>
      </c>
      <c r="E195" s="11">
        <f>A195-'Mastercurve bestimmen'!$B$2</f>
        <v>15</v>
      </c>
      <c r="F195" s="11">
        <f t="shared" si="15"/>
        <v>6.118066488697333</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6.526651247745149</v>
      </c>
      <c r="E196" s="11">
        <f>A196-'Mastercurve bestimmen'!$B$2</f>
        <v>16</v>
      </c>
      <c r="F196" s="11">
        <f t="shared" si="15"/>
        <v>6.526651247745149</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6.9353047206589711</v>
      </c>
      <c r="E197" s="11">
        <f>A197-'Mastercurve bestimmen'!$B$2</f>
        <v>17</v>
      </c>
      <c r="F197" s="11">
        <f t="shared" si="15"/>
        <v>6.9353047206589711</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7.3440232909195355</v>
      </c>
      <c r="E198" s="11">
        <f>A198-'Mastercurve bestimmen'!$B$2</f>
        <v>18</v>
      </c>
      <c r="F198" s="11">
        <f t="shared" si="15"/>
        <v>7.3440232909195355</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7.7528033420075779</v>
      </c>
      <c r="E199" s="11">
        <f>A199-'Mastercurve bestimmen'!$B$2</f>
        <v>19</v>
      </c>
      <c r="F199" s="11">
        <f t="shared" si="15"/>
        <v>7.7528033420075779</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8.1616412574038382</v>
      </c>
      <c r="E200" s="11">
        <f>A200-'Mastercurve bestimmen'!$B$2</f>
        <v>20</v>
      </c>
      <c r="F200" s="11">
        <f t="shared" si="15"/>
        <v>8.1616412574038382</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8.5705334205890491</v>
      </c>
      <c r="E201" s="11">
        <f>A201-'Mastercurve bestimmen'!$B$2</f>
        <v>21</v>
      </c>
      <c r="F201" s="11">
        <f t="shared" si="15"/>
        <v>8.5705334205890491</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8.9794762150439489</v>
      </c>
      <c r="E202" s="11">
        <f>A202-'Mastercurve bestimmen'!$B$2</f>
        <v>22</v>
      </c>
      <c r="F202" s="11">
        <f t="shared" si="15"/>
        <v>8.9794762150439489</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9.3884660242492739</v>
      </c>
      <c r="E203" s="11">
        <f>A203-'Mastercurve bestimmen'!$B$2</f>
        <v>23</v>
      </c>
      <c r="F203" s="11">
        <f t="shared" si="15"/>
        <v>9.3884660242492739</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9.7974992316857623</v>
      </c>
      <c r="E204" s="11">
        <f>A204-'Mastercurve bestimmen'!$B$2</f>
        <v>24</v>
      </c>
      <c r="F204" s="11">
        <f t="shared" si="15"/>
        <v>9.7974992316857623</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10.206572220834147</v>
      </c>
      <c r="E205" s="11">
        <f>A205-'Mastercurve bestimmen'!$B$2</f>
        <v>25</v>
      </c>
      <c r="F205" s="11">
        <f t="shared" si="15"/>
        <v>10.206572220834147</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10.615681375175168</v>
      </c>
      <c r="E206" s="11">
        <f>A206-'Mastercurve bestimmen'!$B$2</f>
        <v>26</v>
      </c>
      <c r="F206" s="11">
        <f t="shared" si="15"/>
        <v>10.615681375175168</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11.024823078189559</v>
      </c>
      <c r="E207" s="11">
        <f>A207-'Mastercurve bestimmen'!$B$2</f>
        <v>27</v>
      </c>
      <c r="F207" s="11">
        <f t="shared" si="15"/>
        <v>11.024823078189559</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11.433993713358058</v>
      </c>
      <c r="E208" s="11">
        <f>A208-'Mastercurve bestimmen'!$B$2</f>
        <v>28</v>
      </c>
      <c r="F208" s="11">
        <f t="shared" ref="F208:F215" si="21">B208</f>
        <v>11.433993713358058</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11.843189664161402</v>
      </c>
      <c r="E209" s="11">
        <f>A209-'Mastercurve bestimmen'!$B$2</f>
        <v>29</v>
      </c>
      <c r="F209" s="11">
        <f t="shared" si="21"/>
        <v>11.843189664161402</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12.252407314080326</v>
      </c>
      <c r="E210" s="11">
        <f>A210-'Mastercurve bestimmen'!$B$2</f>
        <v>30</v>
      </c>
      <c r="F210" s="11">
        <f t="shared" si="21"/>
        <v>12.252407314080326</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12.66164304659557</v>
      </c>
      <c r="E211" s="11">
        <f>A211-'Mastercurve bestimmen'!$B$2</f>
        <v>31</v>
      </c>
      <c r="F211" s="11">
        <f t="shared" si="21"/>
        <v>12.66164304659557</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13.070893245187866</v>
      </c>
      <c r="E212" s="11">
        <f>A212-'Mastercurve bestimmen'!$B$2</f>
        <v>32</v>
      </c>
      <c r="F212" s="11">
        <f t="shared" si="21"/>
        <v>13.070893245187866</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13.480154293337952</v>
      </c>
      <c r="E213" s="11">
        <f>A213-'Mastercurve bestimmen'!$B$2</f>
        <v>33</v>
      </c>
      <c r="F213" s="11">
        <f t="shared" si="21"/>
        <v>13.480154293337952</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13.889422574526566</v>
      </c>
      <c r="E214" s="11">
        <f>A214-'Mastercurve bestimmen'!$B$2</f>
        <v>34</v>
      </c>
      <c r="F214" s="11">
        <f t="shared" si="21"/>
        <v>13.889422574526566</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14.298694472234443</v>
      </c>
      <c r="E215" s="11">
        <f>A215-'Mastercurve bestimmen'!$B$2</f>
        <v>35</v>
      </c>
      <c r="F215" s="11">
        <f t="shared" si="21"/>
        <v>14.298694472234443</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0.40773245545908676</v>
      </c>
      <c r="J217" s="99">
        <v>1.3928010678623489E-4</v>
      </c>
      <c r="K217" s="99">
        <v>-1.0937215997538119E-5</v>
      </c>
      <c r="L217" s="99">
        <v>2.3044161504863091E-7</v>
      </c>
      <c r="M217" s="99">
        <v>1.2707338755034813E-9</v>
      </c>
      <c r="N217" s="99">
        <v>-3.2645464244070649E-11</v>
      </c>
      <c r="O217" s="99">
        <v>-2.8515330603638812E-13</v>
      </c>
      <c r="P217" s="99">
        <v>-6.1847759481403441E-16</v>
      </c>
    </row>
    <row r="218" spans="1:16" x14ac:dyDescent="0.25">
      <c r="G218" s="11"/>
      <c r="H218" s="11">
        <v>0</v>
      </c>
      <c r="I218" s="11">
        <v>1.3339379151116959E-3</v>
      </c>
      <c r="J218" s="11">
        <v>5.4184062849130632E-5</v>
      </c>
      <c r="K218" s="3">
        <v>1.6700527117760497E-6</v>
      </c>
      <c r="L218" s="3">
        <v>4.2916100906171025E-8</v>
      </c>
      <c r="M218" s="3">
        <v>1.1952714575147437E-9</v>
      </c>
      <c r="N218" s="3">
        <v>1.417658958863815E-11</v>
      </c>
      <c r="O218" s="11">
        <v>7.4487693187304343E-14</v>
      </c>
      <c r="P218" s="11">
        <v>1.4541618680073585E-16</v>
      </c>
    </row>
    <row r="219" spans="1:16" x14ac:dyDescent="0.25">
      <c r="G219" s="11"/>
      <c r="H219" s="11">
        <v>0.99998120310383187</v>
      </c>
      <c r="I219" s="11">
        <v>0.11467899099725988</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-48.057913275995361</v>
      </c>
      <c r="G222">
        <f>F15</f>
        <v>-48.244719359200019</v>
      </c>
    </row>
    <row r="223" spans="1:16" x14ac:dyDescent="0.25">
      <c r="E223" s="11">
        <f t="shared" ref="E223:E286" si="25">E16</f>
        <v>-164</v>
      </c>
      <c r="F223" s="11">
        <f t="shared" ref="F223:F286" si="26">$H$217*0+E223*$I$217+E223^2*$J$217+E223^3*$K$217+E223^4*$L$217+E223^5*$M$217+E223^6*$N$217+E223^7*$O$217+E223^8*$P$217</f>
        <v>-47.864944376797837</v>
      </c>
      <c r="G223" s="11">
        <f t="shared" ref="G223:G286" si="27">F16</f>
        <v>-47.976357629063344</v>
      </c>
    </row>
    <row r="224" spans="1:16" x14ac:dyDescent="0.25">
      <c r="E224" s="11">
        <f t="shared" si="25"/>
        <v>-163</v>
      </c>
      <c r="F224" s="11">
        <f t="shared" si="26"/>
        <v>-47.660153879967709</v>
      </c>
      <c r="G224" s="11">
        <f t="shared" si="27"/>
        <v>-47.707734910698989</v>
      </c>
    </row>
    <row r="225" spans="5:7" x14ac:dyDescent="0.25">
      <c r="E225" s="11">
        <f t="shared" si="25"/>
        <v>-162</v>
      </c>
      <c r="F225" s="11">
        <f t="shared" si="26"/>
        <v>-47.443863423429946</v>
      </c>
      <c r="G225" s="11">
        <f t="shared" si="27"/>
        <v>-47.438590215879273</v>
      </c>
    </row>
    <row r="226" spans="5:7" x14ac:dyDescent="0.25">
      <c r="E226" s="11">
        <f t="shared" si="25"/>
        <v>-161</v>
      </c>
      <c r="F226" s="11">
        <f t="shared" si="26"/>
        <v>-47.216422372483123</v>
      </c>
      <c r="G226" s="11">
        <f t="shared" si="27"/>
        <v>-47.168662556376546</v>
      </c>
    </row>
    <row r="227" spans="5:7" x14ac:dyDescent="0.25">
      <c r="E227" s="11">
        <f t="shared" si="25"/>
        <v>-160</v>
      </c>
      <c r="F227" s="11">
        <f t="shared" si="26"/>
        <v>-46.978204988230857</v>
      </c>
      <c r="G227" s="11">
        <f t="shared" si="27"/>
        <v>-46.897690943963099</v>
      </c>
    </row>
    <row r="228" spans="5:7" x14ac:dyDescent="0.25">
      <c r="E228" s="11">
        <f t="shared" si="25"/>
        <v>-159</v>
      </c>
      <c r="F228" s="11">
        <f t="shared" si="26"/>
        <v>-46.72960771392323</v>
      </c>
      <c r="G228" s="11">
        <f t="shared" si="27"/>
        <v>-46.625414390411279</v>
      </c>
    </row>
    <row r="229" spans="5:7" x14ac:dyDescent="0.25">
      <c r="E229" s="11">
        <f t="shared" si="25"/>
        <v>-158</v>
      </c>
      <c r="F229" s="11">
        <f t="shared" si="26"/>
        <v>-46.471046576622371</v>
      </c>
      <c r="G229" s="11">
        <f t="shared" si="27"/>
        <v>-46.351571907493394</v>
      </c>
    </row>
    <row r="230" spans="5:7" x14ac:dyDescent="0.25">
      <c r="E230" s="11">
        <f t="shared" si="25"/>
        <v>-157</v>
      </c>
      <c r="F230" s="11">
        <f t="shared" si="26"/>
        <v>-46.202954701624549</v>
      </c>
      <c r="G230" s="11">
        <f t="shared" si="27"/>
        <v>-46.075902506981784</v>
      </c>
    </row>
    <row r="231" spans="5:7" x14ac:dyDescent="0.25">
      <c r="E231" s="11">
        <f t="shared" si="25"/>
        <v>-156</v>
      </c>
      <c r="F231" s="11">
        <f t="shared" si="26"/>
        <v>-45.925779937099207</v>
      </c>
      <c r="G231" s="11">
        <f t="shared" si="27"/>
        <v>-45.798145200648761</v>
      </c>
    </row>
    <row r="232" spans="5:7" x14ac:dyDescent="0.25">
      <c r="E232" s="11">
        <f t="shared" si="25"/>
        <v>-155</v>
      </c>
      <c r="F232" s="11">
        <f t="shared" si="26"/>
        <v>-45.639982586429539</v>
      </c>
      <c r="G232" s="11">
        <f t="shared" si="27"/>
        <v>-45.51803900026664</v>
      </c>
    </row>
    <row r="233" spans="5:7" x14ac:dyDescent="0.25">
      <c r="E233" s="11">
        <f t="shared" si="25"/>
        <v>-154</v>
      </c>
      <c r="F233" s="11">
        <f t="shared" si="26"/>
        <v>-45.346033245764403</v>
      </c>
      <c r="G233" s="11">
        <f t="shared" si="27"/>
        <v>-45.23532291760776</v>
      </c>
    </row>
    <row r="234" spans="5:7" x14ac:dyDescent="0.25">
      <c r="E234" s="11">
        <f t="shared" si="25"/>
        <v>-153</v>
      </c>
      <c r="F234" s="11">
        <f t="shared" si="26"/>
        <v>-45.044410744315002</v>
      </c>
      <c r="G234" s="11">
        <f t="shared" si="27"/>
        <v>-44.94973596444445</v>
      </c>
    </row>
    <row r="235" spans="5:7" x14ac:dyDescent="0.25">
      <c r="E235" s="11">
        <f t="shared" si="25"/>
        <v>-152</v>
      </c>
      <c r="F235" s="11">
        <f t="shared" si="26"/>
        <v>-44.735600184958543</v>
      </c>
      <c r="G235" s="11">
        <f t="shared" si="27"/>
        <v>-44.661017152549022</v>
      </c>
    </row>
    <row r="236" spans="5:7" x14ac:dyDescent="0.25">
      <c r="E236" s="11">
        <f t="shared" si="25"/>
        <v>-151</v>
      </c>
      <c r="F236" s="11">
        <f t="shared" si="26"/>
        <v>-44.420091082729073</v>
      </c>
      <c r="G236" s="11">
        <f t="shared" si="27"/>
        <v>-44.368905493693788</v>
      </c>
    </row>
    <row r="237" spans="5:7" x14ac:dyDescent="0.25">
      <c r="E237" s="11">
        <f t="shared" si="25"/>
        <v>-150</v>
      </c>
      <c r="F237" s="11">
        <f t="shared" si="26"/>
        <v>-44.098375598808758</v>
      </c>
      <c r="G237" s="11">
        <f t="shared" si="27"/>
        <v>-44.073139999651097</v>
      </c>
    </row>
    <row r="238" spans="5:7" x14ac:dyDescent="0.25">
      <c r="E238" s="11">
        <f t="shared" si="25"/>
        <v>-149</v>
      </c>
      <c r="F238" s="11">
        <f t="shared" si="26"/>
        <v>-43.770946867652157</v>
      </c>
      <c r="G238" s="11">
        <f t="shared" si="27"/>
        <v>-43.773459682193256</v>
      </c>
    </row>
    <row r="239" spans="5:7" x14ac:dyDescent="0.25">
      <c r="E239" s="11">
        <f t="shared" si="25"/>
        <v>-148</v>
      </c>
      <c r="F239" s="11">
        <f t="shared" si="26"/>
        <v>-43.438297414902252</v>
      </c>
      <c r="G239" s="11">
        <f t="shared" si="27"/>
        <v>-43.469603553092597</v>
      </c>
    </row>
    <row r="240" spans="5:7" x14ac:dyDescent="0.25">
      <c r="E240" s="11">
        <f t="shared" si="25"/>
        <v>-147</v>
      </c>
      <c r="F240" s="11">
        <f t="shared" si="26"/>
        <v>-43.100917663783321</v>
      </c>
      <c r="G240" s="11">
        <f t="shared" si="27"/>
        <v>-43.161310624121441</v>
      </c>
    </row>
    <row r="241" spans="5:7" x14ac:dyDescent="0.25">
      <c r="E241" s="11">
        <f t="shared" si="25"/>
        <v>-146</v>
      </c>
      <c r="F241" s="11">
        <f t="shared" si="26"/>
        <v>-42.759294527679543</v>
      </c>
      <c r="G241" s="11">
        <f t="shared" si="27"/>
        <v>-42.848319907052101</v>
      </c>
    </row>
    <row r="242" spans="5:7" x14ac:dyDescent="0.25">
      <c r="E242" s="11">
        <f t="shared" si="25"/>
        <v>-145</v>
      </c>
      <c r="F242" s="11">
        <f t="shared" si="26"/>
        <v>-42.413910086632981</v>
      </c>
      <c r="G242" s="11">
        <f t="shared" si="27"/>
        <v>-42.530370413656925</v>
      </c>
    </row>
    <row r="243" spans="5:7" x14ac:dyDescent="0.25">
      <c r="E243" s="11">
        <f t="shared" si="25"/>
        <v>-144</v>
      </c>
      <c r="F243" s="11">
        <f t="shared" si="26"/>
        <v>-42.065240345520081</v>
      </c>
      <c r="G243" s="11">
        <f t="shared" si="27"/>
        <v>-42.207201155708212</v>
      </c>
    </row>
    <row r="244" spans="5:7" x14ac:dyDescent="0.25">
      <c r="E244" s="11">
        <f t="shared" si="25"/>
        <v>-143</v>
      </c>
      <c r="F244" s="11">
        <f t="shared" si="26"/>
        <v>-41.713754071691355</v>
      </c>
      <c r="G244" s="11">
        <f t="shared" si="27"/>
        <v>-41.878551144978303</v>
      </c>
    </row>
    <row r="245" spans="5:7" x14ac:dyDescent="0.25">
      <c r="E245" s="11">
        <f t="shared" si="25"/>
        <v>-142</v>
      </c>
      <c r="F245" s="11">
        <f t="shared" si="26"/>
        <v>-41.359911709881032</v>
      </c>
      <c r="G245" s="11">
        <f t="shared" si="27"/>
        <v>-41.544159393239511</v>
      </c>
    </row>
    <row r="246" spans="5:7" x14ac:dyDescent="0.25">
      <c r="E246" s="11">
        <f t="shared" si="25"/>
        <v>-141</v>
      </c>
      <c r="F246" s="11">
        <f t="shared" si="26"/>
        <v>-41.004164372223485</v>
      </c>
      <c r="G246" s="11">
        <f t="shared" si="27"/>
        <v>-41.203764912264162</v>
      </c>
    </row>
    <row r="247" spans="5:7" x14ac:dyDescent="0.25">
      <c r="E247" s="11">
        <f t="shared" si="25"/>
        <v>-140</v>
      </c>
      <c r="F247" s="11">
        <f t="shared" si="26"/>
        <v>-40.646952901231629</v>
      </c>
      <c r="G247" s="11">
        <f t="shared" si="27"/>
        <v>-40.857106713824578</v>
      </c>
    </row>
    <row r="248" spans="5:7" x14ac:dyDescent="0.25">
      <c r="E248" s="11">
        <f t="shared" si="25"/>
        <v>-139</v>
      </c>
      <c r="F248" s="11">
        <f t="shared" si="26"/>
        <v>-40.288707003624722</v>
      </c>
      <c r="G248" s="11">
        <f t="shared" si="27"/>
        <v>-40.503923809693092</v>
      </c>
    </row>
    <row r="249" spans="5:7" x14ac:dyDescent="0.25">
      <c r="E249" s="11">
        <f t="shared" si="25"/>
        <v>-138</v>
      </c>
      <c r="F249" s="11">
        <f t="shared" si="26"/>
        <v>-39.929844452910501</v>
      </c>
      <c r="G249" s="11">
        <f t="shared" si="27"/>
        <v>-40.143955211642016</v>
      </c>
    </row>
    <row r="250" spans="5:7" x14ac:dyDescent="0.25">
      <c r="E250" s="11">
        <f t="shared" si="25"/>
        <v>-137</v>
      </c>
      <c r="F250" s="11">
        <f t="shared" si="26"/>
        <v>-39.570770358657811</v>
      </c>
      <c r="G250" s="11">
        <f t="shared" si="27"/>
        <v>-39.776939931443678</v>
      </c>
    </row>
    <row r="251" spans="5:7" x14ac:dyDescent="0.25">
      <c r="E251" s="11">
        <f t="shared" si="25"/>
        <v>-136</v>
      </c>
      <c r="F251" s="11">
        <f t="shared" si="26"/>
        <v>-39.211876500417105</v>
      </c>
      <c r="G251" s="11">
        <f t="shared" si="27"/>
        <v>-39.402616980870405</v>
      </c>
    </row>
    <row r="252" spans="5:7" x14ac:dyDescent="0.25">
      <c r="E252" s="11">
        <f t="shared" si="25"/>
        <v>-135</v>
      </c>
      <c r="F252" s="11">
        <f t="shared" si="26"/>
        <v>-38.853540724272278</v>
      </c>
      <c r="G252" s="11">
        <f t="shared" si="27"/>
        <v>-39.020725371694525</v>
      </c>
    </row>
    <row r="253" spans="5:7" x14ac:dyDescent="0.25">
      <c r="E253" s="11">
        <f t="shared" si="25"/>
        <v>-134</v>
      </c>
      <c r="F253" s="11">
        <f t="shared" si="26"/>
        <v>-38.496126400031983</v>
      </c>
      <c r="G253" s="11">
        <f t="shared" si="27"/>
        <v>-38.631004115688349</v>
      </c>
    </row>
    <row r="254" spans="5:7" x14ac:dyDescent="0.25">
      <c r="E254" s="11">
        <f t="shared" si="25"/>
        <v>-133</v>
      </c>
      <c r="F254" s="11">
        <f t="shared" si="26"/>
        <v>-38.139981937094625</v>
      </c>
      <c r="G254" s="11">
        <f t="shared" si="27"/>
        <v>-38.233192224624204</v>
      </c>
    </row>
    <row r="255" spans="5:7" x14ac:dyDescent="0.25">
      <c r="E255" s="11">
        <f t="shared" si="25"/>
        <v>-132</v>
      </c>
      <c r="F255" s="11">
        <f t="shared" si="26"/>
        <v>-37.78544035704396</v>
      </c>
      <c r="G255" s="11">
        <f t="shared" si="27"/>
        <v>-37.827028710274419</v>
      </c>
    </row>
    <row r="256" spans="5:7" x14ac:dyDescent="0.25">
      <c r="E256" s="11">
        <f t="shared" si="25"/>
        <v>-131</v>
      </c>
      <c r="F256" s="11">
        <f t="shared" si="26"/>
        <v>-37.432818921059159</v>
      </c>
      <c r="G256" s="11">
        <f t="shared" si="27"/>
        <v>-37.412252584411313</v>
      </c>
    </row>
    <row r="257" spans="5:7" x14ac:dyDescent="0.25">
      <c r="E257" s="11">
        <f t="shared" si="25"/>
        <v>-130</v>
      </c>
      <c r="F257" s="11">
        <f t="shared" si="26"/>
        <v>-37.082418810247773</v>
      </c>
      <c r="G257" s="11">
        <f t="shared" si="27"/>
        <v>-36.988602858807205</v>
      </c>
    </row>
    <row r="258" spans="5:7" x14ac:dyDescent="0.25">
      <c r="E258" s="11">
        <f t="shared" si="25"/>
        <v>-129</v>
      </c>
      <c r="F258" s="11">
        <f t="shared" si="26"/>
        <v>-36.734524857033591</v>
      </c>
      <c r="G258" s="11">
        <f t="shared" si="27"/>
        <v>-36.555818545234438</v>
      </c>
    </row>
    <row r="259" spans="5:7" x14ac:dyDescent="0.25">
      <c r="E259" s="11">
        <f t="shared" si="25"/>
        <v>-128</v>
      </c>
      <c r="F259" s="11">
        <f t="shared" si="26"/>
        <v>-36.38940532575824</v>
      </c>
      <c r="G259" s="11">
        <f t="shared" si="27"/>
        <v>-36.113638655465323</v>
      </c>
    </row>
    <row r="260" spans="5:7" x14ac:dyDescent="0.25">
      <c r="E260" s="11">
        <f t="shared" si="25"/>
        <v>-127</v>
      </c>
      <c r="F260" s="11">
        <f t="shared" si="26"/>
        <v>-36.047311740678921</v>
      </c>
      <c r="G260" s="11">
        <f t="shared" si="27"/>
        <v>-35.661802201272174</v>
      </c>
    </row>
    <row r="261" spans="5:7" x14ac:dyDescent="0.25">
      <c r="E261" s="11">
        <f t="shared" si="25"/>
        <v>-126</v>
      </c>
      <c r="F261" s="11">
        <f t="shared" si="26"/>
        <v>-35.708478759570653</v>
      </c>
      <c r="G261" s="11">
        <f t="shared" si="27"/>
        <v>-35.200048194427325</v>
      </c>
    </row>
    <row r="262" spans="5:7" x14ac:dyDescent="0.25">
      <c r="E262" s="11">
        <f t="shared" si="25"/>
        <v>-125</v>
      </c>
      <c r="F262" s="11">
        <f t="shared" si="26"/>
        <v>-35.373124091164833</v>
      </c>
      <c r="G262" s="11">
        <f t="shared" si="27"/>
        <v>-34.728115646703102</v>
      </c>
    </row>
    <row r="263" spans="5:7" x14ac:dyDescent="0.25">
      <c r="E263" s="11">
        <f t="shared" si="25"/>
        <v>-124</v>
      </c>
      <c r="F263" s="11">
        <f t="shared" si="26"/>
        <v>-35.041448454682914</v>
      </c>
      <c r="G263" s="11">
        <f t="shared" si="27"/>
        <v>-34.532100514283208</v>
      </c>
    </row>
    <row r="264" spans="5:7" x14ac:dyDescent="0.25">
      <c r="E264" s="11">
        <f t="shared" si="25"/>
        <v>-123</v>
      </c>
      <c r="F264" s="11">
        <f t="shared" si="26"/>
        <v>-34.713635579747191</v>
      </c>
      <c r="G264" s="11">
        <f t="shared" si="27"/>
        <v>-34.326318624108069</v>
      </c>
    </row>
    <row r="265" spans="5:7" x14ac:dyDescent="0.25">
      <c r="E265" s="11">
        <f t="shared" si="25"/>
        <v>-122</v>
      </c>
      <c r="F265" s="11">
        <f t="shared" si="26"/>
        <v>-34.389852244976225</v>
      </c>
      <c r="G265" s="11">
        <f t="shared" si="27"/>
        <v>-34.111442747529495</v>
      </c>
    </row>
    <row r="266" spans="5:7" x14ac:dyDescent="0.25">
      <c r="E266" s="11">
        <f t="shared" si="25"/>
        <v>-121</v>
      </c>
      <c r="F266" s="11">
        <f t="shared" si="26"/>
        <v>-34.070248353597812</v>
      </c>
      <c r="G266" s="11">
        <f t="shared" si="27"/>
        <v>-33.888145655899294</v>
      </c>
    </row>
    <row r="267" spans="5:7" x14ac:dyDescent="0.25">
      <c r="E267" s="11">
        <f t="shared" si="25"/>
        <v>-120</v>
      </c>
      <c r="F267" s="11">
        <f t="shared" si="26"/>
        <v>-33.754957044436857</v>
      </c>
      <c r="G267" s="11">
        <f t="shared" si="27"/>
        <v>-33.657100120569268</v>
      </c>
    </row>
    <row r="268" spans="5:7" x14ac:dyDescent="0.25">
      <c r="E268" s="11">
        <f t="shared" si="25"/>
        <v>-119</v>
      </c>
      <c r="F268" s="11">
        <f t="shared" si="26"/>
        <v>-33.44409483666</v>
      </c>
      <c r="G268" s="11">
        <f t="shared" si="27"/>
        <v>-33.418978912891234</v>
      </c>
    </row>
    <row r="269" spans="5:7" x14ac:dyDescent="0.25">
      <c r="E269" s="11">
        <f t="shared" si="25"/>
        <v>-118</v>
      </c>
      <c r="F269" s="11">
        <f t="shared" si="26"/>
        <v>-33.137761806685248</v>
      </c>
      <c r="G269" s="11">
        <f t="shared" si="27"/>
        <v>-33.174454804217</v>
      </c>
    </row>
    <row r="270" spans="5:7" x14ac:dyDescent="0.25">
      <c r="E270" s="11">
        <f t="shared" si="25"/>
        <v>-117</v>
      </c>
      <c r="F270" s="11">
        <f t="shared" si="26"/>
        <v>-32.836041795687919</v>
      </c>
      <c r="G270" s="11">
        <f t="shared" si="27"/>
        <v>-32.924200565898367</v>
      </c>
    </row>
    <row r="271" spans="5:7" x14ac:dyDescent="0.25">
      <c r="E271" s="11">
        <f t="shared" si="25"/>
        <v>-116</v>
      </c>
      <c r="F271" s="11">
        <f t="shared" si="26"/>
        <v>-32.539002646161023</v>
      </c>
      <c r="G271" s="11">
        <f t="shared" si="27"/>
        <v>-32.668888969287153</v>
      </c>
    </row>
    <row r="272" spans="5:7" x14ac:dyDescent="0.25">
      <c r="E272" s="11">
        <f t="shared" si="25"/>
        <v>-115</v>
      </c>
      <c r="F272" s="11">
        <f t="shared" si="26"/>
        <v>-32.246696466011286</v>
      </c>
      <c r="G272" s="11">
        <f t="shared" si="27"/>
        <v>-32.409192785735158</v>
      </c>
    </row>
    <row r="273" spans="5:7" x14ac:dyDescent="0.25">
      <c r="E273" s="11">
        <f t="shared" si="25"/>
        <v>-114</v>
      </c>
      <c r="F273" s="11">
        <f t="shared" si="26"/>
        <v>-31.959159918698727</v>
      </c>
      <c r="G273" s="11">
        <f t="shared" si="27"/>
        <v>-32.145784786594191</v>
      </c>
    </row>
    <row r="274" spans="5:7" x14ac:dyDescent="0.25">
      <c r="E274" s="11">
        <f t="shared" si="25"/>
        <v>-113</v>
      </c>
      <c r="F274" s="11">
        <f t="shared" si="26"/>
        <v>-31.67641453795116</v>
      </c>
      <c r="G274" s="11">
        <f t="shared" si="27"/>
        <v>-31.87933774321607</v>
      </c>
    </row>
    <row r="275" spans="5:7" x14ac:dyDescent="0.25">
      <c r="E275" s="11">
        <f t="shared" si="25"/>
        <v>-112</v>
      </c>
      <c r="F275" s="11">
        <f t="shared" si="26"/>
        <v>-31.39846706561098</v>
      </c>
      <c r="G275" s="11">
        <f t="shared" si="27"/>
        <v>-31.610524426952594</v>
      </c>
    </row>
    <row r="276" spans="5:7" x14ac:dyDescent="0.25">
      <c r="E276" s="11">
        <f t="shared" si="25"/>
        <v>-111</v>
      </c>
      <c r="F276" s="11">
        <f t="shared" si="26"/>
        <v>-31.125309811195855</v>
      </c>
      <c r="G276" s="11">
        <f t="shared" si="27"/>
        <v>-31.340017609155574</v>
      </c>
    </row>
    <row r="277" spans="5:7" x14ac:dyDescent="0.25">
      <c r="E277" s="11">
        <f t="shared" si="25"/>
        <v>-110</v>
      </c>
      <c r="F277" s="11">
        <f t="shared" si="26"/>
        <v>-30.856921031780473</v>
      </c>
      <c r="G277" s="11">
        <f t="shared" si="27"/>
        <v>-31.068490061176817</v>
      </c>
    </row>
    <row r="278" spans="5:7" x14ac:dyDescent="0.25">
      <c r="E278" s="11">
        <f t="shared" si="25"/>
        <v>-109</v>
      </c>
      <c r="F278" s="11">
        <f t="shared" si="26"/>
        <v>-30.593265330830587</v>
      </c>
      <c r="G278" s="11">
        <f t="shared" si="27"/>
        <v>-30.796614554368134</v>
      </c>
    </row>
    <row r="279" spans="5:7" x14ac:dyDescent="0.25">
      <c r="E279" s="11">
        <f t="shared" si="25"/>
        <v>-108</v>
      </c>
      <c r="F279" s="11">
        <f t="shared" si="26"/>
        <v>-30.334294074646529</v>
      </c>
      <c r="G279" s="11">
        <f t="shared" si="27"/>
        <v>-30.525063860081332</v>
      </c>
    </row>
    <row r="280" spans="5:7" x14ac:dyDescent="0.25">
      <c r="E280" s="11">
        <f t="shared" si="25"/>
        <v>-107</v>
      </c>
      <c r="F280" s="11">
        <f t="shared" si="26"/>
        <v>-30.07994582509771</v>
      </c>
      <c r="G280" s="11">
        <f t="shared" si="27"/>
        <v>-30.254510749668224</v>
      </c>
    </row>
    <row r="281" spans="5:7" x14ac:dyDescent="0.25">
      <c r="E281" s="11">
        <f t="shared" si="25"/>
        <v>-106</v>
      </c>
      <c r="F281" s="11">
        <f t="shared" si="26"/>
        <v>-29.830146787354511</v>
      </c>
      <c r="G281" s="11">
        <f t="shared" si="27"/>
        <v>-29.985627994480609</v>
      </c>
    </row>
    <row r="282" spans="5:7" x14ac:dyDescent="0.25">
      <c r="E282" s="11">
        <f t="shared" si="25"/>
        <v>-105</v>
      </c>
      <c r="F282" s="11">
        <f t="shared" si="26"/>
        <v>-29.584811271349075</v>
      </c>
      <c r="G282" s="11">
        <f t="shared" si="27"/>
        <v>-29.719088365870306</v>
      </c>
    </row>
    <row r="283" spans="5:7" x14ac:dyDescent="0.25">
      <c r="E283" s="11">
        <f t="shared" si="25"/>
        <v>-104</v>
      </c>
      <c r="F283" s="11">
        <f t="shared" si="26"/>
        <v>-29.343842165721853</v>
      </c>
      <c r="G283" s="11">
        <f t="shared" si="27"/>
        <v>-29.45556463518912</v>
      </c>
    </row>
    <row r="284" spans="5:7" x14ac:dyDescent="0.25">
      <c r="E284" s="11">
        <f t="shared" si="25"/>
        <v>-103</v>
      </c>
      <c r="F284" s="11">
        <f t="shared" si="26"/>
        <v>-29.10713142303463</v>
      </c>
      <c r="G284" s="11">
        <f t="shared" si="27"/>
        <v>-29.195729573788856</v>
      </c>
    </row>
    <row r="285" spans="5:7" x14ac:dyDescent="0.25">
      <c r="E285" s="11">
        <f t="shared" si="25"/>
        <v>-102</v>
      </c>
      <c r="F285" s="11">
        <f t="shared" si="26"/>
        <v>-28.874560555056981</v>
      </c>
      <c r="G285" s="11">
        <f t="shared" si="27"/>
        <v>-28.940255953021325</v>
      </c>
    </row>
    <row r="286" spans="5:7" x14ac:dyDescent="0.25">
      <c r="E286" s="11">
        <f t="shared" si="25"/>
        <v>-101</v>
      </c>
      <c r="F286" s="11">
        <f t="shared" si="26"/>
        <v>-28.64600113695688</v>
      </c>
      <c r="G286" s="11">
        <f t="shared" si="27"/>
        <v>-28.689816544238333</v>
      </c>
    </row>
    <row r="287" spans="5:7" x14ac:dyDescent="0.25">
      <c r="E287" s="11">
        <f t="shared" ref="E287:E350" si="28">E80</f>
        <v>-100</v>
      </c>
      <c r="F287" s="11">
        <f t="shared" ref="F287:F350" si="29">$H$217*0+E287*$I$217+E287^2*$J$217+E287^3*$K$217+E287^4*$L$217+E287^5*$M$217+E287^6*$N$217+E287^7*$O$217+E287^8*$P$217</f>
        <v>-28.421315319252116</v>
      </c>
      <c r="G287" s="11">
        <f t="shared" ref="G287:G350" si="30">F80</f>
        <v>-28.445084118791687</v>
      </c>
    </row>
    <row r="288" spans="5:7" x14ac:dyDescent="0.25">
      <c r="E288" s="11">
        <f t="shared" si="28"/>
        <v>-99</v>
      </c>
      <c r="F288" s="11">
        <f t="shared" si="29"/>
        <v>-28.20035634640324</v>
      </c>
      <c r="G288" s="11">
        <f t="shared" si="30"/>
        <v>-28.206563297109874</v>
      </c>
    </row>
    <row r="289" spans="5:7" x14ac:dyDescent="0.25">
      <c r="E289" s="11">
        <f t="shared" si="28"/>
        <v>-98</v>
      </c>
      <c r="F289" s="11">
        <f t="shared" si="29"/>
        <v>-27.982969080954465</v>
      </c>
      <c r="G289" s="11">
        <f t="shared" si="30"/>
        <v>-27.974086095928033</v>
      </c>
    </row>
    <row r="290" spans="5:7" x14ac:dyDescent="0.25">
      <c r="E290" s="11">
        <f t="shared" si="28"/>
        <v>-97</v>
      </c>
      <c r="F290" s="11">
        <f t="shared" si="29"/>
        <v>-27.768990532153204</v>
      </c>
      <c r="G290" s="11">
        <f t="shared" si="30"/>
        <v>-27.747316381057981</v>
      </c>
    </row>
    <row r="291" spans="5:7" x14ac:dyDescent="0.25">
      <c r="E291" s="11">
        <f t="shared" si="28"/>
        <v>-96</v>
      </c>
      <c r="F291" s="11">
        <f t="shared" si="29"/>
        <v>-27.558250388004392</v>
      </c>
      <c r="G291" s="11">
        <f t="shared" si="30"/>
        <v>-27.525918018311536</v>
      </c>
    </row>
    <row r="292" spans="5:7" x14ac:dyDescent="0.25">
      <c r="E292" s="11">
        <f t="shared" si="28"/>
        <v>-95</v>
      </c>
      <c r="F292" s="11">
        <f t="shared" si="29"/>
        <v>-27.35057154974049</v>
      </c>
      <c r="G292" s="11">
        <f t="shared" si="30"/>
        <v>-27.30955487350051</v>
      </c>
    </row>
    <row r="293" spans="5:7" x14ac:dyDescent="0.25">
      <c r="E293" s="11">
        <f t="shared" si="28"/>
        <v>-94</v>
      </c>
      <c r="F293" s="11">
        <f t="shared" si="29"/>
        <v>-27.145770667712707</v>
      </c>
      <c r="G293" s="11">
        <f t="shared" si="30"/>
        <v>-27.097890812436727</v>
      </c>
    </row>
    <row r="294" spans="5:7" x14ac:dyDescent="0.25">
      <c r="E294" s="11">
        <f t="shared" si="28"/>
        <v>-93</v>
      </c>
      <c r="F294" s="11">
        <f t="shared" si="29"/>
        <v>-26.943658677734629</v>
      </c>
      <c r="G294" s="11">
        <f t="shared" si="30"/>
        <v>-26.890589700932001</v>
      </c>
    </row>
    <row r="295" spans="5:7" x14ac:dyDescent="0.25">
      <c r="E295" s="11">
        <f t="shared" si="28"/>
        <v>-92</v>
      </c>
      <c r="F295" s="11">
        <f t="shared" si="29"/>
        <v>-26.744041336933488</v>
      </c>
      <c r="G295" s="11">
        <f t="shared" si="30"/>
        <v>-26.687315404798142</v>
      </c>
    </row>
    <row r="296" spans="5:7" x14ac:dyDescent="0.25">
      <c r="E296" s="11">
        <f t="shared" si="28"/>
        <v>-91</v>
      </c>
      <c r="F296" s="11">
        <f t="shared" si="29"/>
        <v>-26.546719758190065</v>
      </c>
      <c r="G296" s="11">
        <f t="shared" si="30"/>
        <v>-26.487731789846976</v>
      </c>
    </row>
    <row r="297" spans="5:7" x14ac:dyDescent="0.25">
      <c r="E297" s="11">
        <f t="shared" si="28"/>
        <v>-90</v>
      </c>
      <c r="F297" s="11">
        <f t="shared" si="29"/>
        <v>-26.351490942272509</v>
      </c>
      <c r="G297" s="11">
        <f t="shared" si="30"/>
        <v>-26.291502721890311</v>
      </c>
    </row>
    <row r="298" spans="5:7" x14ac:dyDescent="0.25">
      <c r="E298" s="11">
        <f t="shared" si="28"/>
        <v>-89</v>
      </c>
      <c r="F298" s="11">
        <f t="shared" si="29"/>
        <v>-26.1581483067948</v>
      </c>
      <c r="G298" s="11">
        <f t="shared" si="30"/>
        <v>-26.098292066739965</v>
      </c>
    </row>
    <row r="299" spans="5:7" x14ac:dyDescent="0.25">
      <c r="E299" s="11">
        <f t="shared" si="28"/>
        <v>-88</v>
      </c>
      <c r="F299" s="11">
        <f t="shared" si="29"/>
        <v>-25.966482211155121</v>
      </c>
      <c r="G299" s="11">
        <f t="shared" si="30"/>
        <v>-25.907763690207759</v>
      </c>
    </row>
    <row r="300" spans="5:7" x14ac:dyDescent="0.25">
      <c r="E300" s="11">
        <f t="shared" si="28"/>
        <v>-87</v>
      </c>
      <c r="F300" s="11">
        <f t="shared" si="29"/>
        <v>-25.776280476634593</v>
      </c>
      <c r="G300" s="11">
        <f t="shared" si="30"/>
        <v>-25.719581458105502</v>
      </c>
    </row>
    <row r="301" spans="5:7" x14ac:dyDescent="0.25">
      <c r="E301" s="11">
        <f t="shared" si="28"/>
        <v>-86</v>
      </c>
      <c r="F301" s="11">
        <f t="shared" si="29"/>
        <v>-25.587328900861642</v>
      </c>
      <c r="G301" s="11">
        <f t="shared" si="30"/>
        <v>-25.533409236245014</v>
      </c>
    </row>
    <row r="302" spans="5:7" x14ac:dyDescent="0.25">
      <c r="E302" s="11">
        <f t="shared" si="28"/>
        <v>-85</v>
      </c>
      <c r="F302" s="11">
        <f t="shared" si="29"/>
        <v>-25.399411765872358</v>
      </c>
      <c r="G302" s="11">
        <f t="shared" si="30"/>
        <v>-25.348910890438113</v>
      </c>
    </row>
    <row r="303" spans="5:7" x14ac:dyDescent="0.25">
      <c r="E303" s="11">
        <f t="shared" si="28"/>
        <v>-84</v>
      </c>
      <c r="F303" s="11">
        <f t="shared" si="29"/>
        <v>-25.212312339021782</v>
      </c>
      <c r="G303" s="11">
        <f t="shared" si="30"/>
        <v>-25.16575028649661</v>
      </c>
    </row>
    <row r="304" spans="5:7" x14ac:dyDescent="0.25">
      <c r="E304" s="11">
        <f t="shared" si="28"/>
        <v>-83</v>
      </c>
      <c r="F304" s="11">
        <f t="shared" si="29"/>
        <v>-25.025813366026604</v>
      </c>
      <c r="G304" s="11">
        <f t="shared" si="30"/>
        <v>-24.983591290232329</v>
      </c>
    </row>
    <row r="305" spans="5:7" x14ac:dyDescent="0.25">
      <c r="E305" s="11">
        <f t="shared" si="28"/>
        <v>-82</v>
      </c>
      <c r="F305" s="11">
        <f t="shared" si="29"/>
        <v>-24.839697555443898</v>
      </c>
      <c r="G305" s="11">
        <f t="shared" si="30"/>
        <v>-24.802097767457081</v>
      </c>
    </row>
    <row r="306" spans="5:7" x14ac:dyDescent="0.25">
      <c r="E306" s="11">
        <f t="shared" si="28"/>
        <v>-81</v>
      </c>
      <c r="F306" s="11">
        <f t="shared" si="29"/>
        <v>-24.653748053916328</v>
      </c>
      <c r="G306" s="11">
        <f t="shared" si="30"/>
        <v>-24.62093358398268</v>
      </c>
    </row>
    <row r="307" spans="5:7" x14ac:dyDescent="0.25">
      <c r="E307" s="11">
        <f t="shared" si="28"/>
        <v>-80</v>
      </c>
      <c r="F307" s="11">
        <f t="shared" si="29"/>
        <v>-24.467748911538379</v>
      </c>
      <c r="G307" s="11">
        <f t="shared" si="30"/>
        <v>-24.439762605620949</v>
      </c>
    </row>
    <row r="308" spans="5:7" x14ac:dyDescent="0.25">
      <c r="E308" s="11">
        <f t="shared" si="28"/>
        <v>-79</v>
      </c>
      <c r="F308" s="11">
        <f t="shared" si="29"/>
        <v>-24.281485536723803</v>
      </c>
      <c r="G308" s="11">
        <f t="shared" si="30"/>
        <v>-24.258248698183699</v>
      </c>
    </row>
    <row r="309" spans="5:7" x14ac:dyDescent="0.25">
      <c r="E309" s="11">
        <f t="shared" si="28"/>
        <v>-78</v>
      </c>
      <c r="F309" s="11">
        <f t="shared" si="29"/>
        <v>-24.094745139978741</v>
      </c>
      <c r="G309" s="11">
        <f t="shared" si="30"/>
        <v>-24.076055727482746</v>
      </c>
    </row>
    <row r="310" spans="5:7" x14ac:dyDescent="0.25">
      <c r="E310" s="11">
        <f t="shared" si="28"/>
        <v>-77</v>
      </c>
      <c r="F310" s="11">
        <f t="shared" si="29"/>
        <v>-23.907317166010664</v>
      </c>
      <c r="G310" s="11">
        <f t="shared" si="30"/>
        <v>-23.892847559329908</v>
      </c>
    </row>
    <row r="311" spans="5:7" x14ac:dyDescent="0.25">
      <c r="E311" s="11">
        <f t="shared" si="28"/>
        <v>-76</v>
      </c>
      <c r="F311" s="11">
        <f t="shared" si="29"/>
        <v>-23.718993713627427</v>
      </c>
      <c r="G311" s="11">
        <f t="shared" si="30"/>
        <v>-23.708288059537004</v>
      </c>
    </row>
    <row r="312" spans="5:7" x14ac:dyDescent="0.25">
      <c r="E312" s="11">
        <f t="shared" si="28"/>
        <v>-75</v>
      </c>
      <c r="F312" s="11">
        <f t="shared" si="29"/>
        <v>-23.529569942906321</v>
      </c>
      <c r="G312" s="11">
        <f t="shared" si="30"/>
        <v>-23.522041093915846</v>
      </c>
    </row>
    <row r="313" spans="5:7" x14ac:dyDescent="0.25">
      <c r="E313" s="11">
        <f t="shared" si="28"/>
        <v>-74</v>
      </c>
      <c r="F313" s="11">
        <f t="shared" si="29"/>
        <v>-23.338844469137587</v>
      </c>
      <c r="G313" s="11">
        <f t="shared" si="30"/>
        <v>-23.333810140623783</v>
      </c>
    </row>
    <row r="314" spans="5:7" x14ac:dyDescent="0.25">
      <c r="E314" s="11">
        <f t="shared" si="28"/>
        <v>-73</v>
      </c>
      <c r="F314" s="11">
        <f t="shared" si="29"/>
        <v>-23.14661974307181</v>
      </c>
      <c r="G314" s="11">
        <f t="shared" si="30"/>
        <v>-23.143457127200293</v>
      </c>
    </row>
    <row r="315" spans="5:7" x14ac:dyDescent="0.25">
      <c r="E315" s="11">
        <f t="shared" si="28"/>
        <v>-72</v>
      </c>
      <c r="F315" s="11">
        <f t="shared" si="29"/>
        <v>-22.952702417025801</v>
      </c>
      <c r="G315" s="11">
        <f t="shared" si="30"/>
        <v>-22.950883593530385</v>
      </c>
    </row>
    <row r="316" spans="5:7" x14ac:dyDescent="0.25">
      <c r="E316" s="11">
        <f t="shared" si="28"/>
        <v>-71</v>
      </c>
      <c r="F316" s="11">
        <f t="shared" si="29"/>
        <v>-22.756903696426093</v>
      </c>
      <c r="G316" s="11">
        <f t="shared" si="30"/>
        <v>-22.755991079499069</v>
      </c>
    </row>
    <row r="317" spans="5:7" x14ac:dyDescent="0.25">
      <c r="E317" s="11">
        <f t="shared" si="28"/>
        <v>-70</v>
      </c>
      <c r="F317" s="11">
        <f t="shared" si="29"/>
        <v>-22.55903967639459</v>
      </c>
      <c r="G317" s="11">
        <f t="shared" si="30"/>
        <v>-22.558681124991356</v>
      </c>
    </row>
    <row r="318" spans="5:7" x14ac:dyDescent="0.25">
      <c r="E318" s="11">
        <f t="shared" si="28"/>
        <v>-69</v>
      </c>
      <c r="F318" s="11">
        <f t="shared" si="29"/>
        <v>-22.358931663005439</v>
      </c>
      <c r="G318" s="11">
        <f t="shared" si="30"/>
        <v>-22.358855269892249</v>
      </c>
    </row>
    <row r="319" spans="5:7" x14ac:dyDescent="0.25">
      <c r="E319" s="11">
        <f t="shared" si="28"/>
        <v>-68</v>
      </c>
      <c r="F319" s="11">
        <f t="shared" si="29"/>
        <v>-22.156406478867375</v>
      </c>
      <c r="G319" s="11">
        <f t="shared" si="30"/>
        <v>-22.156415054086764</v>
      </c>
    </row>
    <row r="320" spans="5:7" x14ac:dyDescent="0.25">
      <c r="E320" s="11">
        <f t="shared" si="28"/>
        <v>-67</v>
      </c>
      <c r="F320" s="11">
        <f t="shared" si="29"/>
        <v>-21.951296752710689</v>
      </c>
      <c r="G320" s="11">
        <f t="shared" si="30"/>
        <v>-21.951262017459907</v>
      </c>
    </row>
    <row r="321" spans="5:7" x14ac:dyDescent="0.25">
      <c r="E321" s="11">
        <f t="shared" si="28"/>
        <v>-66</v>
      </c>
      <c r="F321" s="11">
        <f t="shared" si="29"/>
        <v>-21.743441192682706</v>
      </c>
      <c r="G321" s="11">
        <f t="shared" si="30"/>
        <v>-21.743297699896686</v>
      </c>
    </row>
    <row r="322" spans="5:7" x14ac:dyDescent="0.25">
      <c r="E322" s="11">
        <f t="shared" si="28"/>
        <v>-65</v>
      </c>
      <c r="F322" s="11">
        <f t="shared" si="29"/>
        <v>-21.532684843080997</v>
      </c>
      <c r="G322" s="11">
        <f t="shared" si="30"/>
        <v>-21.532423641282112</v>
      </c>
    </row>
    <row r="323" spans="5:7" x14ac:dyDescent="0.25">
      <c r="E323" s="11">
        <f t="shared" si="28"/>
        <v>-64</v>
      </c>
      <c r="F323" s="11">
        <f t="shared" si="29"/>
        <v>-21.31887932427804</v>
      </c>
      <c r="G323" s="11">
        <f t="shared" si="30"/>
        <v>-21.318541381501191</v>
      </c>
    </row>
    <row r="324" spans="5:7" x14ac:dyDescent="0.25">
      <c r="E324" s="11">
        <f t="shared" si="28"/>
        <v>-63</v>
      </c>
      <c r="F324" s="11">
        <f t="shared" si="29"/>
        <v>-21.101883055616302</v>
      </c>
      <c r="G324" s="11">
        <f t="shared" si="30"/>
        <v>-21.101552460438938</v>
      </c>
    </row>
    <row r="325" spans="5:7" x14ac:dyDescent="0.25">
      <c r="E325" s="11">
        <f t="shared" si="28"/>
        <v>-62</v>
      </c>
      <c r="F325" s="11">
        <f t="shared" si="29"/>
        <v>-20.881561461077546</v>
      </c>
      <c r="G325" s="11">
        <f t="shared" si="30"/>
        <v>-20.881358417980358</v>
      </c>
    </row>
    <row r="326" spans="5:7" x14ac:dyDescent="0.25">
      <c r="E326" s="11">
        <f t="shared" si="28"/>
        <v>-61</v>
      </c>
      <c r="F326" s="11">
        <f t="shared" si="29"/>
        <v>-20.65778715755501</v>
      </c>
      <c r="G326" s="11">
        <f t="shared" si="30"/>
        <v>-20.657860794010467</v>
      </c>
    </row>
    <row r="327" spans="5:7" x14ac:dyDescent="0.25">
      <c r="E327" s="11">
        <f t="shared" si="28"/>
        <v>-60</v>
      </c>
      <c r="F327" s="11">
        <f t="shared" si="29"/>
        <v>-20.43044012558223</v>
      </c>
      <c r="G327" s="11">
        <f t="shared" si="30"/>
        <v>-20.43096112841426</v>
      </c>
    </row>
    <row r="328" spans="5:7" x14ac:dyDescent="0.25">
      <c r="E328" s="11">
        <f t="shared" si="28"/>
        <v>-59</v>
      </c>
      <c r="F328" s="11">
        <f t="shared" si="29"/>
        <v>-20.199407862397035</v>
      </c>
      <c r="G328" s="11">
        <f t="shared" si="30"/>
        <v>-20.200560961076761</v>
      </c>
    </row>
    <row r="329" spans="5:7" x14ac:dyDescent="0.25">
      <c r="E329" s="11">
        <f t="shared" si="28"/>
        <v>-58</v>
      </c>
      <c r="F329" s="11">
        <f t="shared" si="29"/>
        <v>-19.964585517244331</v>
      </c>
      <c r="G329" s="11">
        <f t="shared" si="30"/>
        <v>-19.966561831882974</v>
      </c>
    </row>
    <row r="330" spans="5:7" x14ac:dyDescent="0.25">
      <c r="E330" s="11">
        <f t="shared" si="28"/>
        <v>-57</v>
      </c>
      <c r="F330" s="11">
        <f t="shared" si="29"/>
        <v>-19.725876008846139</v>
      </c>
      <c r="G330" s="11">
        <f t="shared" si="30"/>
        <v>-19.728865280717901</v>
      </c>
    </row>
    <row r="331" spans="5:7" x14ac:dyDescent="0.25">
      <c r="E331" s="11">
        <f t="shared" si="28"/>
        <v>-56</v>
      </c>
      <c r="F331" s="11">
        <f t="shared" si="29"/>
        <v>-19.483190124992198</v>
      </c>
      <c r="G331" s="11">
        <f t="shared" si="30"/>
        <v>-19.487372847466563</v>
      </c>
    </row>
    <row r="332" spans="5:7" x14ac:dyDescent="0.25">
      <c r="E332" s="11">
        <f t="shared" si="28"/>
        <v>-55</v>
      </c>
      <c r="F332" s="11">
        <f t="shared" si="29"/>
        <v>-19.23644660422972</v>
      </c>
      <c r="G332" s="11">
        <f t="shared" si="30"/>
        <v>-19.241986072013965</v>
      </c>
    </row>
    <row r="333" spans="5:7" x14ac:dyDescent="0.25">
      <c r="E333" s="11">
        <f t="shared" si="28"/>
        <v>-54</v>
      </c>
      <c r="F333" s="11">
        <f t="shared" si="29"/>
        <v>-18.985572199655337</v>
      </c>
      <c r="G333" s="11">
        <f t="shared" si="30"/>
        <v>-18.992606494245109</v>
      </c>
    </row>
    <row r="334" spans="5:7" x14ac:dyDescent="0.25">
      <c r="E334" s="11">
        <f t="shared" si="28"/>
        <v>-53</v>
      </c>
      <c r="F334" s="11">
        <f t="shared" si="29"/>
        <v>-18.730501724837659</v>
      </c>
      <c r="G334" s="11">
        <f t="shared" si="30"/>
        <v>-18.739135654045015</v>
      </c>
    </row>
    <row r="335" spans="5:7" x14ac:dyDescent="0.25">
      <c r="E335" s="11">
        <f t="shared" si="28"/>
        <v>-52</v>
      </c>
      <c r="F335" s="11">
        <f t="shared" si="29"/>
        <v>-18.471178081923515</v>
      </c>
      <c r="G335" s="11">
        <f t="shared" si="30"/>
        <v>-18.481475091298684</v>
      </c>
    </row>
    <row r="336" spans="5:7" x14ac:dyDescent="0.25">
      <c r="E336" s="11">
        <f t="shared" si="28"/>
        <v>-51</v>
      </c>
      <c r="F336" s="11">
        <f t="shared" si="29"/>
        <v>-18.207552272006016</v>
      </c>
      <c r="G336" s="11">
        <f t="shared" si="30"/>
        <v>-18.219526345891133</v>
      </c>
    </row>
    <row r="337" spans="5:7" x14ac:dyDescent="0.25">
      <c r="E337" s="11">
        <f t="shared" si="28"/>
        <v>-50</v>
      </c>
      <c r="F337" s="11">
        <f t="shared" si="29"/>
        <v>-17.939583387857482</v>
      </c>
      <c r="G337" s="11">
        <f t="shared" si="30"/>
        <v>-17.953190957707363</v>
      </c>
    </row>
    <row r="338" spans="5:7" x14ac:dyDescent="0.25">
      <c r="E338" s="11">
        <f t="shared" si="28"/>
        <v>-49</v>
      </c>
      <c r="F338" s="11">
        <f t="shared" si="29"/>
        <v>-17.667238589155179</v>
      </c>
      <c r="G338" s="11">
        <f t="shared" si="30"/>
        <v>-17.682370466632388</v>
      </c>
    </row>
    <row r="339" spans="5:7" x14ac:dyDescent="0.25">
      <c r="E339" s="11">
        <f t="shared" si="28"/>
        <v>-48</v>
      </c>
      <c r="F339" s="11">
        <f t="shared" si="29"/>
        <v>-17.390493060352828</v>
      </c>
      <c r="G339" s="11">
        <f t="shared" si="30"/>
        <v>-17.40696641255122</v>
      </c>
    </row>
    <row r="340" spans="5:7" x14ac:dyDescent="0.25">
      <c r="E340" s="11">
        <f t="shared" si="28"/>
        <v>-47</v>
      </c>
      <c r="F340" s="11">
        <f t="shared" si="29"/>
        <v>-17.109329951375752</v>
      </c>
      <c r="G340" s="11">
        <f t="shared" si="30"/>
        <v>-17.126880335348861</v>
      </c>
    </row>
    <row r="341" spans="5:7" x14ac:dyDescent="0.25">
      <c r="E341" s="11">
        <f t="shared" si="28"/>
        <v>-46</v>
      </c>
      <c r="F341" s="11">
        <f t="shared" si="29"/>
        <v>-16.823740301342347</v>
      </c>
      <c r="G341" s="11">
        <f t="shared" si="30"/>
        <v>-16.842013774910324</v>
      </c>
    </row>
    <row r="342" spans="5:7" x14ac:dyDescent="0.25">
      <c r="E342" s="11">
        <f t="shared" si="28"/>
        <v>-45</v>
      </c>
      <c r="F342" s="11">
        <f t="shared" si="29"/>
        <v>-16.533722945539736</v>
      </c>
      <c r="G342" s="11">
        <f t="shared" si="30"/>
        <v>-16.552268271120617</v>
      </c>
    </row>
    <row r="343" spans="5:7" x14ac:dyDescent="0.25">
      <c r="E343" s="11">
        <f t="shared" si="28"/>
        <v>-44</v>
      </c>
      <c r="F343" s="11">
        <f t="shared" si="29"/>
        <v>-16.239284405906172</v>
      </c>
      <c r="G343" s="11">
        <f t="shared" si="30"/>
        <v>-16.25757973990352</v>
      </c>
    </row>
    <row r="344" spans="5:7" x14ac:dyDescent="0.25">
      <c r="E344" s="11">
        <f t="shared" si="28"/>
        <v>-43</v>
      </c>
      <c r="F344" s="11">
        <f t="shared" si="29"/>
        <v>-15.940438765297902</v>
      </c>
      <c r="G344" s="11">
        <f t="shared" si="30"/>
        <v>-15.958021601337856</v>
      </c>
    </row>
    <row r="345" spans="5:7" x14ac:dyDescent="0.25">
      <c r="E345" s="11">
        <f t="shared" si="28"/>
        <v>-42</v>
      </c>
      <c r="F345" s="11">
        <f t="shared" si="29"/>
        <v>-15.637207525842834</v>
      </c>
      <c r="G345" s="11">
        <f t="shared" si="30"/>
        <v>-15.653701651541231</v>
      </c>
    </row>
    <row r="346" spans="5:7" x14ac:dyDescent="0.25">
      <c r="E346" s="11">
        <f t="shared" si="28"/>
        <v>-41</v>
      </c>
      <c r="F346" s="11">
        <f t="shared" si="29"/>
        <v>-15.329619451708743</v>
      </c>
      <c r="G346" s="11">
        <f t="shared" si="30"/>
        <v>-15.344727686631245</v>
      </c>
    </row>
    <row r="347" spans="5:7" x14ac:dyDescent="0.25">
      <c r="E347" s="11">
        <f t="shared" si="28"/>
        <v>-40</v>
      </c>
      <c r="F347" s="11">
        <f t="shared" si="29"/>
        <v>-15.017710396638202</v>
      </c>
      <c r="G347" s="11">
        <f t="shared" si="30"/>
        <v>-15.03120750272549</v>
      </c>
    </row>
    <row r="348" spans="5:7" x14ac:dyDescent="0.25">
      <c r="E348" s="11">
        <f t="shared" si="28"/>
        <v>-39</v>
      </c>
      <c r="F348" s="11">
        <f t="shared" si="29"/>
        <v>-14.701523116627701</v>
      </c>
      <c r="G348" s="11">
        <f t="shared" si="30"/>
        <v>-14.713248895941572</v>
      </c>
    </row>
    <row r="349" spans="5:7" x14ac:dyDescent="0.25">
      <c r="E349" s="11">
        <f t="shared" si="28"/>
        <v>-38</v>
      </c>
      <c r="F349" s="11">
        <f t="shared" si="29"/>
        <v>-14.381107068153254</v>
      </c>
      <c r="G349" s="11">
        <f t="shared" si="30"/>
        <v>-14.390959662397083</v>
      </c>
    </row>
    <row r="350" spans="5:7" x14ac:dyDescent="0.25">
      <c r="E350" s="11">
        <f t="shared" si="28"/>
        <v>-37</v>
      </c>
      <c r="F350" s="11">
        <f t="shared" si="29"/>
        <v>-14.056518192369614</v>
      </c>
      <c r="G350" s="11">
        <f t="shared" si="30"/>
        <v>-14.064447598209625</v>
      </c>
    </row>
    <row r="351" spans="5:7" x14ac:dyDescent="0.25">
      <c r="E351" s="11">
        <f t="shared" ref="E351:E414" si="31">E144</f>
        <v>-36</v>
      </c>
      <c r="F351" s="11">
        <f t="shared" ref="F351:F414" si="32">$H$217*0+E351*$I$217+E351^2*$J$217+E351^3*$K$217+E351^4*$L$217+E351^5*$M$217+E351^6*$N$217+E351^7*$O$217+E351^8*$P$217</f>
        <v>-13.727818685735386</v>
      </c>
      <c r="G351" s="11">
        <f t="shared" ref="G351:G414" si="33">F144</f>
        <v>-13.733820499496797</v>
      </c>
    </row>
    <row r="352" spans="5:7" x14ac:dyDescent="0.25">
      <c r="E352" s="11">
        <f t="shared" si="31"/>
        <v>-35</v>
      </c>
      <c r="F352" s="11">
        <f t="shared" si="32"/>
        <v>-13.395076757541053</v>
      </c>
      <c r="G352" s="11">
        <f t="shared" si="33"/>
        <v>-13.399186162376198</v>
      </c>
    </row>
    <row r="353" spans="5:7" x14ac:dyDescent="0.25">
      <c r="E353" s="11">
        <f t="shared" si="31"/>
        <v>-34</v>
      </c>
      <c r="F353" s="11">
        <f t="shared" si="32"/>
        <v>-13.058366374841935</v>
      </c>
      <c r="G353" s="11">
        <f t="shared" si="33"/>
        <v>-13.060652382965424</v>
      </c>
    </row>
    <row r="354" spans="5:7" x14ac:dyDescent="0.25">
      <c r="E354" s="11">
        <f t="shared" si="31"/>
        <v>-33</v>
      </c>
      <c r="F354" s="11">
        <f t="shared" si="32"/>
        <v>-12.717766995323153</v>
      </c>
      <c r="G354" s="11">
        <f t="shared" si="33"/>
        <v>-12.718326957382075</v>
      </c>
    </row>
    <row r="355" spans="5:7" x14ac:dyDescent="0.25">
      <c r="E355" s="11">
        <f t="shared" si="31"/>
        <v>-32</v>
      </c>
      <c r="F355" s="11">
        <f t="shared" si="32"/>
        <v>-12.373363288648381</v>
      </c>
      <c r="G355" s="11">
        <f t="shared" si="33"/>
        <v>-12.372317681743748</v>
      </c>
    </row>
    <row r="356" spans="5:7" x14ac:dyDescent="0.25">
      <c r="E356" s="11">
        <f t="shared" si="31"/>
        <v>-31</v>
      </c>
      <c r="F356" s="11">
        <f t="shared" si="32"/>
        <v>-12.025244846869327</v>
      </c>
      <c r="G356" s="11">
        <f t="shared" si="33"/>
        <v>-12.022732352168045</v>
      </c>
    </row>
    <row r="357" spans="5:7" x14ac:dyDescent="0.25">
      <c r="E357" s="11">
        <f t="shared" si="31"/>
        <v>-30</v>
      </c>
      <c r="F357" s="11">
        <f t="shared" si="32"/>
        <v>-11.673505884497674</v>
      </c>
      <c r="G357" s="11">
        <f t="shared" si="33"/>
        <v>-11.669678764772565</v>
      </c>
    </row>
    <row r="358" spans="5:7" x14ac:dyDescent="0.25">
      <c r="E358" s="11">
        <f t="shared" si="31"/>
        <v>-29</v>
      </c>
      <c r="F358" s="11">
        <f t="shared" si="32"/>
        <v>-11.318244928866241</v>
      </c>
      <c r="G358" s="11">
        <f t="shared" si="33"/>
        <v>-11.313264715674903</v>
      </c>
    </row>
    <row r="359" spans="5:7" x14ac:dyDescent="0.25">
      <c r="E359" s="11">
        <f t="shared" si="31"/>
        <v>-28</v>
      </c>
      <c r="F359" s="11">
        <f t="shared" si="32"/>
        <v>-10.959564501430949</v>
      </c>
      <c r="G359" s="11">
        <f t="shared" si="33"/>
        <v>-10.953598000992658</v>
      </c>
    </row>
    <row r="360" spans="5:7" x14ac:dyDescent="0.25">
      <c r="E360" s="11">
        <f t="shared" si="31"/>
        <v>-27</v>
      </c>
      <c r="F360" s="11">
        <f t="shared" si="32"/>
        <v>-10.597570790690277</v>
      </c>
      <c r="G360" s="11">
        <f t="shared" si="33"/>
        <v>-10.590786416843432</v>
      </c>
    </row>
    <row r="361" spans="5:7" x14ac:dyDescent="0.25">
      <c r="E361" s="11">
        <f t="shared" si="31"/>
        <v>-26</v>
      </c>
      <c r="F361" s="11">
        <f t="shared" si="32"/>
        <v>-10.232373317423686</v>
      </c>
      <c r="G361" s="11">
        <f t="shared" si="33"/>
        <v>-10.224937759344819</v>
      </c>
    </row>
    <row r="362" spans="5:7" x14ac:dyDescent="0.25">
      <c r="E362" s="11">
        <f t="shared" si="31"/>
        <v>-25</v>
      </c>
      <c r="F362" s="11">
        <f t="shared" si="32"/>
        <v>-9.864084592975475</v>
      </c>
      <c r="G362" s="11">
        <f t="shared" si="33"/>
        <v>-9.8561598246144211</v>
      </c>
    </row>
    <row r="363" spans="5:7" x14ac:dyDescent="0.25">
      <c r="E363" s="11">
        <f t="shared" si="31"/>
        <v>-24</v>
      </c>
      <c r="F363" s="11">
        <f t="shared" si="32"/>
        <v>-9.4928197713354745</v>
      </c>
      <c r="G363" s="11">
        <f t="shared" si="33"/>
        <v>-9.4845604087698359</v>
      </c>
    </row>
    <row r="364" spans="5:7" x14ac:dyDescent="0.25">
      <c r="E364" s="11">
        <f t="shared" si="31"/>
        <v>-23</v>
      </c>
      <c r="F364" s="11">
        <f t="shared" si="32"/>
        <v>-9.11869629579299</v>
      </c>
      <c r="G364" s="11">
        <f t="shared" si="33"/>
        <v>-9.1102473079286597</v>
      </c>
    </row>
    <row r="365" spans="5:7" x14ac:dyDescent="0.25">
      <c r="E365" s="11">
        <f t="shared" si="31"/>
        <v>-22</v>
      </c>
      <c r="F365" s="11">
        <f t="shared" si="32"/>
        <v>-8.7418335409651355</v>
      </c>
      <c r="G365" s="11">
        <f t="shared" si="33"/>
        <v>-8.733328318208498</v>
      </c>
    </row>
    <row r="366" spans="5:7" x14ac:dyDescent="0.25">
      <c r="E366" s="11">
        <f t="shared" si="31"/>
        <v>-21</v>
      </c>
      <c r="F366" s="11">
        <f t="shared" si="32"/>
        <v>-8.3623524510259131</v>
      </c>
      <c r="G366" s="11">
        <f t="shared" si="33"/>
        <v>-8.3539112357269403</v>
      </c>
    </row>
    <row r="367" spans="5:7" x14ac:dyDescent="0.25">
      <c r="E367" s="11">
        <f t="shared" si="31"/>
        <v>-20</v>
      </c>
      <c r="F367" s="11">
        <f t="shared" si="32"/>
        <v>-7.9803751749870866</v>
      </c>
      <c r="G367" s="11">
        <f t="shared" si="33"/>
        <v>-7.972103856601592</v>
      </c>
    </row>
    <row r="368" spans="5:7" x14ac:dyDescent="0.25">
      <c r="E368" s="11">
        <f t="shared" si="31"/>
        <v>-19</v>
      </c>
      <c r="F368" s="11">
        <f t="shared" si="32"/>
        <v>-7.5960246999070398</v>
      </c>
      <c r="G368" s="11">
        <f t="shared" si="33"/>
        <v>-7.5880139769500508</v>
      </c>
    </row>
    <row r="369" spans="5:7" x14ac:dyDescent="0.25">
      <c r="E369" s="11">
        <f t="shared" si="31"/>
        <v>-18</v>
      </c>
      <c r="F369" s="11">
        <f t="shared" si="32"/>
        <v>-7.2094244829285206</v>
      </c>
      <c r="G369" s="11">
        <f t="shared" si="33"/>
        <v>-7.2017493928899121</v>
      </c>
    </row>
    <row r="370" spans="5:7" x14ac:dyDescent="0.25">
      <c r="E370" s="11">
        <f t="shared" si="31"/>
        <v>-17</v>
      </c>
      <c r="F370" s="11">
        <f t="shared" si="32"/>
        <v>-6.8206980830713535</v>
      </c>
      <c r="G370" s="11">
        <f t="shared" si="33"/>
        <v>-6.8134179005387772</v>
      </c>
    </row>
    <row r="371" spans="5:7" x14ac:dyDescent="0.25">
      <c r="E371" s="11">
        <f t="shared" si="31"/>
        <v>-16</v>
      </c>
      <c r="F371" s="11">
        <f t="shared" si="32"/>
        <v>-6.4299687937309589</v>
      </c>
      <c r="G371" s="11">
        <f t="shared" si="33"/>
        <v>-6.4231272960142425</v>
      </c>
    </row>
    <row r="372" spans="5:7" x14ac:dyDescent="0.25">
      <c r="E372" s="11">
        <f t="shared" si="31"/>
        <v>-15</v>
      </c>
      <c r="F372" s="11">
        <f t="shared" si="32"/>
        <v>-6.0373592768585178</v>
      </c>
      <c r="G372" s="11">
        <f t="shared" si="33"/>
        <v>-6.0309853754339091</v>
      </c>
    </row>
    <row r="373" spans="5:7" x14ac:dyDescent="0.25">
      <c r="E373" s="11">
        <f t="shared" si="31"/>
        <v>-14</v>
      </c>
      <c r="F373" s="11">
        <f t="shared" si="32"/>
        <v>-5.6429911998235802</v>
      </c>
      <c r="G373" s="11">
        <f t="shared" si="33"/>
        <v>-5.6370999349153754</v>
      </c>
    </row>
    <row r="374" spans="5:7" x14ac:dyDescent="0.25">
      <c r="E374" s="11">
        <f t="shared" si="31"/>
        <v>-13</v>
      </c>
      <c r="F374" s="11">
        <f t="shared" si="32"/>
        <v>-5.2469848759848219</v>
      </c>
      <c r="G374" s="11">
        <f t="shared" si="33"/>
        <v>-5.241578770576238</v>
      </c>
    </row>
    <row r="375" spans="5:7" x14ac:dyDescent="0.25">
      <c r="E375" s="11">
        <f t="shared" si="31"/>
        <v>-12</v>
      </c>
      <c r="F375" s="11">
        <f t="shared" si="32"/>
        <v>-4.8494589100195773</v>
      </c>
      <c r="G375" s="11">
        <f t="shared" si="33"/>
        <v>-4.844529678534097</v>
      </c>
    </row>
    <row r="376" spans="5:7" x14ac:dyDescent="0.25">
      <c r="E376" s="11">
        <f t="shared" si="31"/>
        <v>-11</v>
      </c>
      <c r="F376" s="11">
        <f t="shared" si="32"/>
        <v>-4.4505298490877632</v>
      </c>
      <c r="G376" s="11">
        <f t="shared" si="33"/>
        <v>-4.4460604549065508</v>
      </c>
    </row>
    <row r="377" spans="5:7" x14ac:dyDescent="0.25">
      <c r="E377" s="11">
        <f t="shared" si="31"/>
        <v>-10</v>
      </c>
      <c r="F377" s="11">
        <f t="shared" si="32"/>
        <v>-4.0503118409307133</v>
      </c>
      <c r="G377" s="11">
        <f t="shared" si="33"/>
        <v>-4.0462788958111977</v>
      </c>
    </row>
    <row r="378" spans="5:7" x14ac:dyDescent="0.25">
      <c r="E378" s="11">
        <f t="shared" si="31"/>
        <v>-9</v>
      </c>
      <c r="F378" s="11">
        <f t="shared" si="32"/>
        <v>-3.6489163000303435</v>
      </c>
      <c r="G378" s="11">
        <f t="shared" si="33"/>
        <v>-3.6452927973656366</v>
      </c>
    </row>
    <row r="379" spans="5:7" x14ac:dyDescent="0.25">
      <c r="E379" s="11">
        <f t="shared" si="31"/>
        <v>-8</v>
      </c>
      <c r="F379" s="11">
        <f t="shared" si="32"/>
        <v>-3.2464515829791134</v>
      </c>
      <c r="G379" s="11">
        <f t="shared" si="33"/>
        <v>-3.2432099556874663</v>
      </c>
    </row>
    <row r="380" spans="5:7" x14ac:dyDescent="0.25">
      <c r="E380" s="11">
        <f t="shared" si="31"/>
        <v>-7</v>
      </c>
      <c r="F380" s="11">
        <f t="shared" si="32"/>
        <v>-2.843022674236054</v>
      </c>
      <c r="G380" s="11">
        <f t="shared" si="33"/>
        <v>-2.8401381668942856</v>
      </c>
    </row>
    <row r="381" spans="5:7" x14ac:dyDescent="0.25">
      <c r="E381" s="11">
        <f t="shared" si="31"/>
        <v>-6</v>
      </c>
      <c r="F381" s="11">
        <f t="shared" si="32"/>
        <v>-2.4387308834691703</v>
      </c>
      <c r="G381" s="11">
        <f t="shared" si="33"/>
        <v>-2.4361852271036923</v>
      </c>
    </row>
    <row r="382" spans="5:7" x14ac:dyDescent="0.25">
      <c r="E382" s="11">
        <f t="shared" si="31"/>
        <v>-5</v>
      </c>
      <c r="F382" s="11">
        <f t="shared" si="32"/>
        <v>-2.0336735557094108</v>
      </c>
      <c r="G382" s="11">
        <f t="shared" si="33"/>
        <v>-2.031458932433285</v>
      </c>
    </row>
    <row r="383" spans="5:7" x14ac:dyDescent="0.25">
      <c r="E383" s="11">
        <f t="shared" si="31"/>
        <v>-4</v>
      </c>
      <c r="F383" s="11">
        <f t="shared" si="32"/>
        <v>-1.6279437955663631</v>
      </c>
      <c r="G383" s="11">
        <f t="shared" si="33"/>
        <v>-1.6260670790006635</v>
      </c>
    </row>
    <row r="384" spans="5:7" x14ac:dyDescent="0.25">
      <c r="E384" s="11">
        <f t="shared" si="31"/>
        <v>-3</v>
      </c>
      <c r="F384" s="11">
        <f t="shared" si="32"/>
        <v>-1.2216302067807345</v>
      </c>
      <c r="G384" s="11">
        <f t="shared" si="33"/>
        <v>-1.2201174629234257</v>
      </c>
    </row>
    <row r="385" spans="5:7" x14ac:dyDescent="0.25">
      <c r="E385" s="11">
        <f t="shared" si="31"/>
        <v>-2</v>
      </c>
      <c r="F385" s="11">
        <f t="shared" si="32"/>
        <v>-0.81481664841365997</v>
      </c>
      <c r="G385" s="11">
        <f t="shared" si="33"/>
        <v>-0.81371788031916992</v>
      </c>
    </row>
    <row r="386" spans="5:7" x14ac:dyDescent="0.25">
      <c r="E386" s="11">
        <f t="shared" si="31"/>
        <v>-1</v>
      </c>
      <c r="F386" s="11">
        <f t="shared" si="32"/>
        <v>-0.40758200899778269</v>
      </c>
      <c r="G386" s="11">
        <f t="shared" si="33"/>
        <v>-0.40697612730549521</v>
      </c>
    </row>
    <row r="387" spans="5:7" x14ac:dyDescent="0.25">
      <c r="E387" s="11">
        <f t="shared" si="31"/>
        <v>0</v>
      </c>
      <c r="F387" s="11">
        <f t="shared" si="32"/>
        <v>0</v>
      </c>
      <c r="G387" s="11">
        <f t="shared" si="33"/>
        <v>0</v>
      </c>
    </row>
    <row r="388" spans="5:7" x14ac:dyDescent="0.25">
      <c r="E388" s="11">
        <f t="shared" si="31"/>
        <v>1</v>
      </c>
      <c r="F388" s="11">
        <f t="shared" si="32"/>
        <v>0.40786103002929314</v>
      </c>
      <c r="G388" s="11">
        <f t="shared" si="33"/>
        <v>0.40712006874610612</v>
      </c>
    </row>
    <row r="389" spans="5:7" x14ac:dyDescent="0.25">
      <c r="E389" s="11">
        <f t="shared" si="31"/>
        <v>2</v>
      </c>
      <c r="F389" s="11">
        <f t="shared" si="32"/>
        <v>0.81593825922069529</v>
      </c>
      <c r="G389" s="11">
        <f t="shared" si="33"/>
        <v>0.81436309914717053</v>
      </c>
    </row>
    <row r="390" spans="5:7" x14ac:dyDescent="0.25">
      <c r="E390" s="11">
        <f t="shared" si="31"/>
        <v>3</v>
      </c>
      <c r="F390" s="11">
        <f t="shared" si="32"/>
        <v>1.2241745326393221</v>
      </c>
      <c r="G390" s="11">
        <f t="shared" si="33"/>
        <v>1.2217254746839299</v>
      </c>
    </row>
    <row r="391" spans="5:7" x14ac:dyDescent="0.25">
      <c r="E391" s="11">
        <f t="shared" si="31"/>
        <v>4</v>
      </c>
      <c r="F391" s="11">
        <f t="shared" si="32"/>
        <v>1.6325184775777197</v>
      </c>
      <c r="G391" s="11">
        <f t="shared" si="33"/>
        <v>1.6292035788371206</v>
      </c>
    </row>
    <row r="392" spans="5:7" x14ac:dyDescent="0.25">
      <c r="E392" s="11">
        <f t="shared" si="31"/>
        <v>5</v>
      </c>
      <c r="F392" s="11">
        <f t="shared" si="32"/>
        <v>2.0409245924135901</v>
      </c>
      <c r="G392" s="11">
        <f t="shared" si="33"/>
        <v>2.0367937950874793</v>
      </c>
    </row>
    <row r="393" spans="5:7" x14ac:dyDescent="0.25">
      <c r="E393" s="11">
        <f t="shared" si="31"/>
        <v>6</v>
      </c>
      <c r="F393" s="11">
        <f t="shared" si="32"/>
        <v>2.4493533075328155</v>
      </c>
      <c r="G393" s="11">
        <f t="shared" si="33"/>
        <v>2.4444925069157422</v>
      </c>
    </row>
    <row r="394" spans="5:7" x14ac:dyDescent="0.25">
      <c r="E394" s="11">
        <f t="shared" si="31"/>
        <v>7</v>
      </c>
      <c r="F394" s="11">
        <f t="shared" si="32"/>
        <v>2.8577710167933219</v>
      </c>
      <c r="G394" s="11">
        <f t="shared" si="33"/>
        <v>2.8522960978026459</v>
      </c>
    </row>
    <row r="395" spans="5:7" x14ac:dyDescent="0.25">
      <c r="E395" s="11">
        <f t="shared" si="31"/>
        <v>8</v>
      </c>
      <c r="F395" s="11">
        <f t="shared" si="32"/>
        <v>3.2661500779804085</v>
      </c>
      <c r="G395" s="11">
        <f t="shared" si="33"/>
        <v>3.2602009512289274</v>
      </c>
    </row>
    <row r="396" spans="5:7" x14ac:dyDescent="0.25">
      <c r="E396" s="11">
        <f t="shared" si="31"/>
        <v>9</v>
      </c>
      <c r="F396" s="11">
        <f t="shared" si="32"/>
        <v>3.6744687806791907</v>
      </c>
      <c r="G396" s="11">
        <f t="shared" si="33"/>
        <v>3.6682034506753229</v>
      </c>
    </row>
    <row r="397" spans="5:7" x14ac:dyDescent="0.25">
      <c r="E397" s="11">
        <f t="shared" si="31"/>
        <v>10</v>
      </c>
      <c r="F397" s="11">
        <f t="shared" si="32"/>
        <v>4.0827112799649248</v>
      </c>
      <c r="G397" s="11">
        <f t="shared" si="33"/>
        <v>4.0762999796225685</v>
      </c>
    </row>
    <row r="398" spans="5:7" x14ac:dyDescent="0.25">
      <c r="E398" s="11">
        <f t="shared" si="31"/>
        <v>11</v>
      </c>
      <c r="F398" s="11">
        <f t="shared" si="32"/>
        <v>4.4908674942869933</v>
      </c>
      <c r="G398" s="11">
        <f t="shared" si="33"/>
        <v>4.4844869215514009</v>
      </c>
    </row>
    <row r="399" spans="5:7" x14ac:dyDescent="0.25">
      <c r="E399" s="11">
        <f t="shared" si="31"/>
        <v>12</v>
      </c>
      <c r="F399" s="11">
        <f t="shared" si="32"/>
        <v>4.8989329658974077</v>
      </c>
      <c r="G399" s="11">
        <f t="shared" si="33"/>
        <v>4.8927606599425575</v>
      </c>
    </row>
    <row r="400" spans="5:7" x14ac:dyDescent="0.25">
      <c r="E400" s="11">
        <f t="shared" si="31"/>
        <v>13</v>
      </c>
      <c r="F400" s="11">
        <f t="shared" si="32"/>
        <v>5.3069086821497837</v>
      </c>
      <c r="G400" s="11">
        <f t="shared" si="33"/>
        <v>5.3011175782767745</v>
      </c>
    </row>
    <row r="401" spans="5:7" x14ac:dyDescent="0.25">
      <c r="E401" s="11">
        <f t="shared" si="31"/>
        <v>14</v>
      </c>
      <c r="F401" s="11">
        <f t="shared" si="32"/>
        <v>5.7148008559697452</v>
      </c>
      <c r="G401" s="11">
        <f t="shared" si="33"/>
        <v>5.7095540600347867</v>
      </c>
    </row>
    <row r="402" spans="5:7" x14ac:dyDescent="0.25">
      <c r="E402" s="11">
        <f t="shared" si="31"/>
        <v>15</v>
      </c>
      <c r="F402" s="11">
        <f t="shared" si="32"/>
        <v>6.1226206637728273</v>
      </c>
      <c r="G402" s="11">
        <f t="shared" si="33"/>
        <v>6.118066488697333</v>
      </c>
    </row>
    <row r="403" spans="5:7" x14ac:dyDescent="0.25">
      <c r="E403" s="11">
        <f t="shared" si="31"/>
        <v>16</v>
      </c>
      <c r="F403" s="11">
        <f t="shared" si="32"/>
        <v>6.530383939080993</v>
      </c>
      <c r="G403" s="11">
        <f t="shared" si="33"/>
        <v>6.526651247745149</v>
      </c>
    </row>
    <row r="404" spans="5:7" x14ac:dyDescent="0.25">
      <c r="E404" s="11">
        <f t="shared" si="31"/>
        <v>17</v>
      </c>
      <c r="F404" s="11">
        <f t="shared" si="32"/>
        <v>6.938110820063927</v>
      </c>
      <c r="G404" s="11">
        <f t="shared" si="33"/>
        <v>6.9353047206589711</v>
      </c>
    </row>
    <row r="405" spans="5:7" x14ac:dyDescent="0.25">
      <c r="E405" s="11">
        <f t="shared" si="31"/>
        <v>18</v>
      </c>
      <c r="F405" s="11">
        <f t="shared" si="32"/>
        <v>7.3458253492063594</v>
      </c>
      <c r="G405" s="11">
        <f t="shared" si="33"/>
        <v>7.3440232909195355</v>
      </c>
    </row>
    <row r="406" spans="5:7" x14ac:dyDescent="0.25">
      <c r="E406" s="11">
        <f t="shared" si="31"/>
        <v>19</v>
      </c>
      <c r="F406" s="11">
        <f t="shared" si="32"/>
        <v>7.753555023277733</v>
      </c>
      <c r="G406" s="11">
        <f t="shared" si="33"/>
        <v>7.7528033420075779</v>
      </c>
    </row>
    <row r="407" spans="5:7" x14ac:dyDescent="0.25">
      <c r="E407" s="11">
        <f t="shared" si="31"/>
        <v>20</v>
      </c>
      <c r="F407" s="11">
        <f t="shared" si="32"/>
        <v>8.1613302917555437</v>
      </c>
      <c r="G407" s="11">
        <f t="shared" si="33"/>
        <v>8.1616412574038382</v>
      </c>
    </row>
    <row r="408" spans="5:7" x14ac:dyDescent="0.25">
      <c r="E408" s="11">
        <f t="shared" si="31"/>
        <v>21</v>
      </c>
      <c r="F408" s="11">
        <f t="shared" si="32"/>
        <v>8.5691840018288232</v>
      </c>
      <c r="G408" s="11">
        <f t="shared" si="33"/>
        <v>8.5705334205890491</v>
      </c>
    </row>
    <row r="409" spans="5:7" x14ac:dyDescent="0.25">
      <c r="E409" s="11">
        <f t="shared" si="31"/>
        <v>22</v>
      </c>
      <c r="F409" s="11">
        <f t="shared" si="32"/>
        <v>8.9771507880832644</v>
      </c>
      <c r="G409" s="11">
        <f t="shared" si="33"/>
        <v>8.9794762150439489</v>
      </c>
    </row>
    <row r="410" spans="5:7" x14ac:dyDescent="0.25">
      <c r="E410" s="11">
        <f t="shared" si="31"/>
        <v>23</v>
      </c>
      <c r="F410" s="11">
        <f t="shared" si="32"/>
        <v>9.3852664049444492</v>
      </c>
      <c r="G410" s="11">
        <f t="shared" si="33"/>
        <v>9.3884660242492739</v>
      </c>
    </row>
    <row r="411" spans="5:7" x14ac:dyDescent="0.25">
      <c r="E411" s="11">
        <f t="shared" si="31"/>
        <v>24</v>
      </c>
      <c r="F411" s="11">
        <f t="shared" si="32"/>
        <v>9.7935669999309614</v>
      </c>
      <c r="G411" s="11">
        <f t="shared" si="33"/>
        <v>9.7974992316857623</v>
      </c>
    </row>
    <row r="412" spans="5:7" x14ac:dyDescent="0.25">
      <c r="E412" s="11">
        <f t="shared" si="31"/>
        <v>25</v>
      </c>
      <c r="F412" s="11">
        <f t="shared" si="32"/>
        <v>10.202088325743899</v>
      </c>
      <c r="G412" s="11">
        <f t="shared" si="33"/>
        <v>10.206572220834147</v>
      </c>
    </row>
    <row r="413" spans="5:7" x14ac:dyDescent="0.25">
      <c r="E413" s="11">
        <f t="shared" si="31"/>
        <v>26</v>
      </c>
      <c r="F413" s="11">
        <f t="shared" si="32"/>
        <v>10.610864889194669</v>
      </c>
      <c r="G413" s="11">
        <f t="shared" si="33"/>
        <v>10.615681375175168</v>
      </c>
    </row>
    <row r="414" spans="5:7" x14ac:dyDescent="0.25">
      <c r="E414" s="11">
        <f t="shared" si="31"/>
        <v>27</v>
      </c>
      <c r="F414" s="11">
        <f t="shared" si="32"/>
        <v>11.019929034947733</v>
      </c>
      <c r="G414" s="11">
        <f t="shared" si="33"/>
        <v>11.024823078189559</v>
      </c>
    </row>
    <row r="415" spans="5:7" x14ac:dyDescent="0.25">
      <c r="E415" s="11">
        <f t="shared" ref="E415:E422" si="34">E208</f>
        <v>28</v>
      </c>
      <c r="F415" s="11">
        <f t="shared" ref="F415:F422" si="35">$H$217*0+E415*$I$217+E415^2*$J$217+E415^3*$K$217+E415^4*$L$217+E415^5*$M$217+E415^6*$N$217+E415^7*$O$217+E415^8*$P$217</f>
        <v>11.42930996203034</v>
      </c>
      <c r="G415" s="11">
        <f t="shared" ref="G415:G422" si="36">F208</f>
        <v>11.433993713358058</v>
      </c>
    </row>
    <row r="416" spans="5:7" x14ac:dyDescent="0.25">
      <c r="E416" s="11">
        <f t="shared" si="34"/>
        <v>29</v>
      </c>
      <c r="F416" s="11">
        <f t="shared" si="35"/>
        <v>11.839032671036014</v>
      </c>
      <c r="G416" s="11">
        <f t="shared" si="36"/>
        <v>11.843189664161402</v>
      </c>
    </row>
    <row r="417" spans="5:7" x14ac:dyDescent="0.25">
      <c r="E417" s="11">
        <f t="shared" si="34"/>
        <v>30</v>
      </c>
      <c r="F417" s="11">
        <f t="shared" si="35"/>
        <v>12.249116839923909</v>
      </c>
      <c r="G417" s="11">
        <f t="shared" si="36"/>
        <v>12.252407314080326</v>
      </c>
    </row>
    <row r="418" spans="5:7" x14ac:dyDescent="0.25">
      <c r="E418" s="11">
        <f t="shared" si="34"/>
        <v>31</v>
      </c>
      <c r="F418" s="11">
        <f t="shared" si="35"/>
        <v>12.659575626291037</v>
      </c>
      <c r="G418" s="11">
        <f t="shared" si="36"/>
        <v>12.66164304659557</v>
      </c>
    </row>
    <row r="419" spans="5:7" x14ac:dyDescent="0.25">
      <c r="E419" s="11">
        <f t="shared" si="34"/>
        <v>32</v>
      </c>
      <c r="F419" s="11">
        <f t="shared" si="35"/>
        <v>13.070414393969507</v>
      </c>
      <c r="G419" s="11">
        <f t="shared" si="36"/>
        <v>13.070893245187866</v>
      </c>
    </row>
    <row r="420" spans="5:7" x14ac:dyDescent="0.25">
      <c r="E420" s="11">
        <f t="shared" si="34"/>
        <v>33</v>
      </c>
      <c r="F420" s="11">
        <f t="shared" si="35"/>
        <v>13.481629361775973</v>
      </c>
      <c r="G420" s="11">
        <f t="shared" si="36"/>
        <v>13.480154293337952</v>
      </c>
    </row>
    <row r="421" spans="5:7" x14ac:dyDescent="0.25">
      <c r="E421" s="11">
        <f t="shared" si="34"/>
        <v>34</v>
      </c>
      <c r="F421" s="11">
        <f t="shared" si="35"/>
        <v>13.893206172215478</v>
      </c>
      <c r="G421" s="11">
        <f t="shared" si="36"/>
        <v>13.889422574526566</v>
      </c>
    </row>
    <row r="422" spans="5:7" x14ac:dyDescent="0.25">
      <c r="E422" s="11">
        <f t="shared" si="34"/>
        <v>35</v>
      </c>
      <c r="F422" s="11">
        <f t="shared" si="35"/>
        <v>14.305118377917116</v>
      </c>
      <c r="G422" s="11">
        <f t="shared" si="36"/>
        <v>14.298694472234443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2022-01-07T07:29:12Z</dcterms:modified>
</cp:coreProperties>
</file>