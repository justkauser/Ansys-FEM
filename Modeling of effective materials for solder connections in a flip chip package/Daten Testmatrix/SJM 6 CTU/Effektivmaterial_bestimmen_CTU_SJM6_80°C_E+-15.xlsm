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O33" i="11"/>
  <c r="N33" i="11"/>
  <c r="P33" i="11" s="1"/>
  <c r="O32" i="11"/>
  <c r="N32" i="11"/>
  <c r="P32" i="11" s="1"/>
  <c r="O31" i="11"/>
  <c r="N31" i="11"/>
  <c r="P31" i="11" s="1"/>
  <c r="O30" i="11"/>
  <c r="N30" i="11"/>
  <c r="P29" i="11"/>
  <c r="O29" i="11"/>
  <c r="N29" i="11"/>
  <c r="O28" i="11"/>
  <c r="N28" i="11"/>
  <c r="P28" i="11" s="1"/>
  <c r="O27" i="11"/>
  <c r="N27" i="11"/>
  <c r="P27" i="11" s="1"/>
  <c r="O26" i="11"/>
  <c r="N26" i="11"/>
  <c r="P26" i="11" s="1"/>
  <c r="P25" i="11"/>
  <c r="O25" i="11"/>
  <c r="N25" i="11"/>
  <c r="O24" i="11"/>
  <c r="N24" i="11"/>
  <c r="O23" i="11"/>
  <c r="P23" i="11" s="1"/>
  <c r="N23" i="11"/>
  <c r="O22" i="11"/>
  <c r="N22" i="11"/>
  <c r="O21" i="11"/>
  <c r="N21" i="11"/>
  <c r="P21" i="11" s="1"/>
  <c r="O20" i="11"/>
  <c r="N20" i="11"/>
  <c r="P20" i="11" s="1"/>
  <c r="O19" i="11"/>
  <c r="N19" i="11"/>
  <c r="P19" i="11" s="1"/>
  <c r="O18" i="11"/>
  <c r="N18" i="11"/>
  <c r="P17" i="11"/>
  <c r="O17" i="11"/>
  <c r="N17" i="11"/>
  <c r="O16" i="11"/>
  <c r="N16" i="11"/>
  <c r="P16" i="11" s="1"/>
  <c r="O15" i="11"/>
  <c r="N15" i="11"/>
  <c r="P15" i="11" s="1"/>
  <c r="O14" i="11"/>
  <c r="N14" i="11"/>
  <c r="P14" i="11" s="1"/>
  <c r="P13" i="11"/>
  <c r="O13" i="11"/>
  <c r="N13" i="11"/>
  <c r="O12" i="11"/>
  <c r="N12" i="11"/>
  <c r="O11" i="11"/>
  <c r="P11" i="11" s="1"/>
  <c r="N11" i="11"/>
  <c r="O10" i="11"/>
  <c r="N10" i="11"/>
  <c r="O9" i="11"/>
  <c r="N9" i="11"/>
  <c r="P9" i="11" s="1"/>
  <c r="O8" i="11"/>
  <c r="N8" i="11"/>
  <c r="P8" i="11" s="1"/>
  <c r="O7" i="11"/>
  <c r="N7" i="11"/>
  <c r="P7" i="11" s="1"/>
  <c r="O6" i="11"/>
  <c r="N6" i="11"/>
  <c r="P5" i="11"/>
  <c r="O5" i="11"/>
  <c r="N5" i="11"/>
  <c r="O4" i="11"/>
  <c r="N4" i="11"/>
  <c r="P4" i="11" s="1"/>
  <c r="O3" i="11"/>
  <c r="N3" i="11"/>
  <c r="P3" i="11" s="1"/>
  <c r="P6" i="11" l="1"/>
  <c r="P18" i="11"/>
  <c r="P30" i="11"/>
  <c r="P12" i="11"/>
  <c r="P24"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R14" i="37"/>
  <c r="R3" i="37"/>
  <c r="L4" i="37"/>
  <c r="L5" i="37"/>
  <c r="L6" i="37"/>
  <c r="L7" i="37"/>
  <c r="L8" i="37"/>
  <c r="L9" i="37"/>
  <c r="L10" i="37"/>
  <c r="L11" i="37"/>
  <c r="L12" i="37"/>
  <c r="L13" i="37"/>
  <c r="L14" i="37"/>
  <c r="L3" i="37"/>
  <c r="P6" i="37" l="1"/>
  <c r="B31" i="39" s="1"/>
  <c r="P9" i="37"/>
  <c r="B33"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<sst xmlns="http://schemas.openxmlformats.org/spreadsheetml/2006/main" count="309" uniqueCount="163">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</sst>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25011664"/>
        <c:axId val="1250148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50116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4800"/>
        <c:crossesAt val="-8.0000000000000019E-3"/>
        <c:crossBetween val="midCat"/>
      </c:valAx>
      <c:valAx>
        <c:axId val="125014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1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25012840"/>
        <c:axId val="1250132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50128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3232"/>
        <c:crosses val="autoZero"/>
        <c:crossBetween val="midCat"/>
      </c:valAx>
      <c:valAx>
        <c:axId val="12501323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284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125015976"/>
        <c:axId val="1250167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1250159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6760"/>
        <c:crosses val="autoZero"/>
        <c:crossBetween val="midCat"/>
        <c:majorUnit val="10000"/>
      </c:valAx>
      <c:valAx>
        <c:axId val="12501676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597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76095424"/>
        <c:axId val="6760938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760954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76093856"/>
        <c:crosses val="autoZero"/>
        <c:crossBetween val="midCat"/>
        <c:majorUnit val="10000"/>
      </c:valAx>
      <c:valAx>
        <c:axId val="67609385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7609542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76094248"/>
        <c:axId val="6760946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760942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6094640"/>
        <c:crosses val="autoZero"/>
        <c:crossBetween val="midCat"/>
        <c:majorUnit val="10000"/>
      </c:valAx>
      <c:valAx>
        <c:axId val="67609464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609424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1.0964584151695263E-2</c:v>
                </c:pt>
                <c:pt idx="1">
                  <c:v>1.4709242715060682E-2</c:v>
                </c:pt>
                <c:pt idx="2">
                  <c:v>3.9786417802180948E-3</c:v>
                </c:pt>
                <c:pt idx="3">
                  <c:v>6.6386146858078926E-4</c:v>
                </c:pt>
                <c:pt idx="4">
                  <c:v>9.4712132565863408E-5</c:v>
                </c:pt>
                <c:pt idx="5">
                  <c:v>1.2394509153387761E-5</c:v>
                </c:pt>
                <c:pt idx="6">
                  <c:v>3.0025597007927731E-6</c:v>
                </c:pt>
                <c:pt idx="7">
                  <c:v>3.8030849500334272E-6</c:v>
                </c:pt>
                <c:pt idx="8">
                  <c:v>1.0075252683283025E-5</c:v>
                </c:pt>
                <c:pt idx="9">
                  <c:v>2.0459604819198117E-5</c:v>
                </c:pt>
                <c:pt idx="10">
                  <c:v>3.5488018806502135E-5</c:v>
                </c:pt>
                <c:pt idx="11">
                  <c:v>5.5139923366271934E-5</c:v>
                </c:pt>
                <c:pt idx="12">
                  <c:v>7.1616940786157839E-5</c:v>
                </c:pt>
                <c:pt idx="13">
                  <c:v>7.9388306893395346E-5</c:v>
                </c:pt>
                <c:pt idx="14">
                  <c:v>7.4633996836289567E-5</c:v>
                </c:pt>
                <c:pt idx="15">
                  <c:v>6.007711449317218E-5</c:v>
                </c:pt>
                <c:pt idx="16">
                  <c:v>4.3126423520026016E-5</c:v>
                </c:pt>
                <c:pt idx="17">
                  <c:v>2.5426672752453938E-5</c:v>
                </c:pt>
                <c:pt idx="18">
                  <c:v>1.3375316355405686E-5</c:v>
                </c:pt>
                <c:pt idx="19">
                  <c:v>7.2477617286666492E-6</c:v>
                </c:pt>
                <c:pt idx="20">
                  <c:v>7.8464623673059565E-7</c:v>
                </c:pt>
                <c:pt idx="21">
                  <c:v>2.1470209644499322E-6</c:v>
                </c:pt>
                <c:pt idx="22">
                  <c:v>2.6830302622907109E-6</c:v>
                </c:pt>
                <c:pt idx="23">
                  <c:v>2.4480649506968142E-6</c:v>
                </c:pt>
                <c:pt idx="24">
                  <c:v>1.6752539115544526E-7</c:v>
                </c:pt>
                <c:pt idx="25">
                  <c:v>1.0870271842501632E-6</c:v>
                </c:pt>
                <c:pt idx="26">
                  <c:v>3.3152919046708608E-6</c:v>
                </c:pt>
                <c:pt idx="27">
                  <c:v>6.9019465310246235E-6</c:v>
                </c:pt>
                <c:pt idx="28">
                  <c:v>7.841326669802921E-6</c:v>
                </c:pt>
                <c:pt idx="29">
                  <c:v>4.7489031829131924E-6</c:v>
                </c:pt>
                <c:pt idx="30">
                  <c:v>1.7055228051661673E-5</c:v>
                </c:pt>
              </c:numCache>
            </c:numRef>
          </c:yVal>
          <c:smooth val="1"/>
        </c:ser>
        <c:dLbls>
          <c:showLegendKey val="0"/>
          <c:showVal val="0"/>
          <c:showCatName val="0"/>
          <c:showSerName val="0"/>
          <c:showPercent val="0"/>
          <c:showBubbleSize val="0"/>
        </c:dLbls>
        <c:axId val="676091504"/>
        <c:axId val="676092288"/>
      </c:scatterChart>
      <c:valAx>
        <c:axId val="6760915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6092288"/>
        <c:crossesAt val="-1.5000000000000005E-3"/>
        <c:crossBetween val="midCat"/>
      </c:valAx>
      <c:valAx>
        <c:axId val="67609228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609150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5480.575953422308</c:v>
                </c:pt>
                <c:pt idx="1">
                  <c:v>5421.785448120424</c:v>
                </c:pt>
                <c:pt idx="2">
                  <c:v>5209.6746002848349</c:v>
                </c:pt>
                <c:pt idx="3">
                  <c:v>5123.5436694295613</c:v>
                </c:pt>
                <c:pt idx="4">
                  <c:v>4997.8365851105464</c:v>
                </c:pt>
                <c:pt idx="5">
                  <c:v>4868.3503262507302</c:v>
                </c:pt>
                <c:pt idx="6">
                  <c:v>4722.7281882586667</c:v>
                </c:pt>
                <c:pt idx="7">
                  <c:v>4566.4821573051158</c:v>
                </c:pt>
                <c:pt idx="8">
                  <c:v>4408.3903656096436</c:v>
                </c:pt>
                <c:pt idx="9">
                  <c:v>4256.2872754874061</c:v>
                </c:pt>
                <c:pt idx="10">
                  <c:v>4088.5446081586424</c:v>
                </c:pt>
                <c:pt idx="11">
                  <c:v>3886.7596058818554</c:v>
                </c:pt>
                <c:pt idx="12">
                  <c:v>3673.784522382779</c:v>
                </c:pt>
                <c:pt idx="13">
                  <c:v>3490.7735996099409</c:v>
                </c:pt>
                <c:pt idx="14">
                  <c:v>3328.3991816653679</c:v>
                </c:pt>
                <c:pt idx="15">
                  <c:v>3162.8449113738484</c:v>
                </c:pt>
                <c:pt idx="16">
                  <c:v>2988.9304861253154</c:v>
                </c:pt>
                <c:pt idx="17">
                  <c:v>2798.2563575404602</c:v>
                </c:pt>
                <c:pt idx="18">
                  <c:v>2599.4683038748653</c:v>
                </c:pt>
                <c:pt idx="19">
                  <c:v>2390.0853580471808</c:v>
                </c:pt>
                <c:pt idx="20">
                  <c:v>2175.3986348021385</c:v>
                </c:pt>
                <c:pt idx="21">
                  <c:v>1944.7397163813425</c:v>
                </c:pt>
                <c:pt idx="22">
                  <c:v>1692.3120676805406</c:v>
                </c:pt>
                <c:pt idx="23">
                  <c:v>1404.854559776777</c:v>
                </c:pt>
                <c:pt idx="24">
                  <c:v>1091.4423439376674</c:v>
                </c:pt>
                <c:pt idx="25">
                  <c:v>790.55570042175134</c:v>
                </c:pt>
                <c:pt idx="26">
                  <c:v>554.44045010675757</c:v>
                </c:pt>
                <c:pt idx="27">
                  <c:v>402.30564102787349</c:v>
                </c:pt>
                <c:pt idx="28">
                  <c:v>323.52095415957342</c:v>
                </c:pt>
                <c:pt idx="29">
                  <c:v>284.35002182103159</c:v>
                </c:pt>
                <c:pt idx="30">
                  <c:v>264.93181674350376</c:v>
                </c:pt>
              </c:numCache>
            </c:numRef>
          </c:yVal>
          <c:smooth val="1"/>
        </c:ser>
        <c:dLbls>
          <c:showLegendKey val="0"/>
          <c:showVal val="0"/>
          <c:showCatName val="0"/>
          <c:showSerName val="0"/>
          <c:showPercent val="0"/>
          <c:showBubbleSize val="0"/>
        </c:dLbls>
        <c:axId val="719601696"/>
        <c:axId val="719603264"/>
      </c:scatterChart>
      <c:valAx>
        <c:axId val="7196016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3264"/>
        <c:crosses val="autoZero"/>
        <c:crossBetween val="midCat"/>
      </c:valAx>
      <c:valAx>
        <c:axId val="7196032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16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2.4243889674520373E-3</c:v>
                </c:pt>
                <c:pt idx="1">
                  <c:v>2.430219318401974E-3</c:v>
                </c:pt>
                <c:pt idx="2">
                  <c:v>2.4266291123100463E-3</c:v>
                </c:pt>
                <c:pt idx="3">
                  <c:v>2.4256342982992216E-3</c:v>
                </c:pt>
                <c:pt idx="4">
                  <c:v>2.4265519273105863E-3</c:v>
                </c:pt>
                <c:pt idx="5">
                  <c:v>2.4388972016416628E-3</c:v>
                </c:pt>
                <c:pt idx="6">
                  <c:v>2.5632712186129292E-3</c:v>
                </c:pt>
                <c:pt idx="7">
                  <c:v>3.7697568389797745E-3</c:v>
                </c:pt>
                <c:pt idx="8">
                  <c:v>1.276719003115326E-2</c:v>
                </c:pt>
                <c:pt idx="9">
                  <c:v>2.4802182227016203E-2</c:v>
                </c:pt>
                <c:pt idx="10">
                  <c:v>2.4846832943377601E-2</c:v>
                </c:pt>
                <c:pt idx="11">
                  <c:v>2.4831324337885242E-2</c:v>
                </c:pt>
                <c:pt idx="12">
                  <c:v>2.4677928308589996E-2</c:v>
                </c:pt>
                <c:pt idx="13">
                  <c:v>2.3237647070187196E-2</c:v>
                </c:pt>
                <c:pt idx="14">
                  <c:v>1.3106641400254849E-2</c:v>
                </c:pt>
                <c:pt idx="15">
                  <c:v>2.0419979040052789E-2</c:v>
                </c:pt>
                <c:pt idx="16">
                  <c:v>2.0661948122901168E-2</c:v>
                </c:pt>
                <c:pt idx="17">
                  <c:v>2.1469681997542518E-2</c:v>
                </c:pt>
                <c:pt idx="18">
                  <c:v>2.3291905063082975E-2</c:v>
                </c:pt>
                <c:pt idx="19">
                  <c:v>2.5241422875618102E-2</c:v>
                </c:pt>
                <c:pt idx="20">
                  <c:v>2.3635227371592352E-2</c:v>
                </c:pt>
                <c:pt idx="21">
                  <c:v>1.2779522491043124E-2</c:v>
                </c:pt>
                <c:pt idx="22">
                  <c:v>4.0983021899766983E-3</c:v>
                </c:pt>
                <c:pt idx="23">
                  <c:v>1.7362727409908605E-2</c:v>
                </c:pt>
                <c:pt idx="24">
                  <c:v>2.2252914437517868E-2</c:v>
                </c:pt>
                <c:pt idx="25">
                  <c:v>2.5875953567197834E-2</c:v>
                </c:pt>
                <c:pt idx="26">
                  <c:v>3.4891082079548462E-2</c:v>
                </c:pt>
                <c:pt idx="27">
                  <c:v>4.2298408397928026E-2</c:v>
                </c:pt>
                <c:pt idx="28">
                  <c:v>4.1069512015928185E-2</c:v>
                </c:pt>
                <c:pt idx="29">
                  <c:v>3.7005447957844773E-2</c:v>
                </c:pt>
                <c:pt idx="30">
                  <c:v>2.246829510436274E-2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2.1503390820501879E-2</c:v>
                </c:pt>
                <c:pt idx="1">
                  <c:v>2.1342358841314333E-2</c:v>
                </c:pt>
                <c:pt idx="2">
                  <c:v>1.9732991066253799E-2</c:v>
                </c:pt>
                <c:pt idx="3">
                  <c:v>6.5932860960490631E-3</c:v>
                </c:pt>
                <c:pt idx="4">
                  <c:v>1.1013582269092886E-2</c:v>
                </c:pt>
                <c:pt idx="5">
                  <c:v>8.0374573082897839E-3</c:v>
                </c:pt>
                <c:pt idx="6">
                  <c:v>3.0380834897870026E-3</c:v>
                </c:pt>
                <c:pt idx="7">
                  <c:v>4.3984929980316386E-3</c:v>
                </c:pt>
                <c:pt idx="8">
                  <c:v>4.6613199179421864E-3</c:v>
                </c:pt>
                <c:pt idx="9">
                  <c:v>5.2235625373458459E-3</c:v>
                </c:pt>
                <c:pt idx="10">
                  <c:v>5.606206983088521E-3</c:v>
                </c:pt>
                <c:pt idx="11">
                  <c:v>5.6461494439580713E-3</c:v>
                </c:pt>
                <c:pt idx="12">
                  <c:v>5.722812387888087E-3</c:v>
                </c:pt>
                <c:pt idx="13">
                  <c:v>6.9758845282297133E-3</c:v>
                </c:pt>
                <c:pt idx="14">
                  <c:v>8.1774369433309357E-3</c:v>
                </c:pt>
                <c:pt idx="15">
                  <c:v>7.8750748752234676E-3</c:v>
                </c:pt>
                <c:pt idx="16">
                  <c:v>4.3631073716848172E-3</c:v>
                </c:pt>
                <c:pt idx="17">
                  <c:v>3.0649315828955646E-3</c:v>
                </c:pt>
                <c:pt idx="18">
                  <c:v>1.5844544517335146E-2</c:v>
                </c:pt>
                <c:pt idx="19">
                  <c:v>2.2788204990649298E-2</c:v>
                </c:pt>
                <c:pt idx="20">
                  <c:v>2.1370630260731074E-2</c:v>
                </c:pt>
                <c:pt idx="21">
                  <c:v>1.4629129379527225E-2</c:v>
                </c:pt>
                <c:pt idx="22">
                  <c:v>9.0829145924143668E-3</c:v>
                </c:pt>
                <c:pt idx="23">
                  <c:v>1.9676054059383648E-3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1.0981558791101612E-2</c:v>
                </c:pt>
                <c:pt idx="1">
                  <c:v>1.4568930638575233E-2</c:v>
                </c:pt>
                <c:pt idx="2">
                  <c:v>4.1481031023853513E-3</c:v>
                </c:pt>
                <c:pt idx="3">
                  <c:v>5.6557654446404225E-4</c:v>
                </c:pt>
                <c:pt idx="4">
                  <c:v>2.4812783137867061E-4</c:v>
                </c:pt>
                <c:pt idx="5">
                  <c:v>1.5101271411536307E-4</c:v>
                </c:pt>
                <c:pt idx="6">
                  <c:v>1.9965562049137559E-4</c:v>
                </c:pt>
                <c:pt idx="7">
                  <c:v>2.1290504775130955E-4</c:v>
                </c:pt>
                <c:pt idx="8">
                  <c:v>2.3473431002958518E-4</c:v>
                </c:pt>
                <c:pt idx="9">
                  <c:v>2.0553411752692333E-4</c:v>
                </c:pt>
                <c:pt idx="10">
                  <c:v>3.1428396866074184E-4</c:v>
                </c:pt>
                <c:pt idx="11">
                  <c:v>2.9135923128859184E-4</c:v>
                </c:pt>
                <c:pt idx="12">
                  <c:v>4.1209823867087219E-4</c:v>
                </c:pt>
                <c:pt idx="13">
                  <c:v>1.8884816848966314E-4</c:v>
                </c:pt>
                <c:pt idx="14">
                  <c:v>3.6069750845664776E-4</c:v>
                </c:pt>
                <c:pt idx="15">
                  <c:v>2.259259897063835E-4</c:v>
                </c:pt>
                <c:pt idx="16">
                  <c:v>3.7895918750332526E-4</c:v>
                </c:pt>
                <c:pt idx="17">
                  <c:v>3.2542406233067805E-4</c:v>
                </c:pt>
                <c:pt idx="18">
                  <c:v>4.1712933943171106E-4</c:v>
                </c:pt>
                <c:pt idx="19">
                  <c:v>4.0002434798024089E-4</c:v>
                </c:pt>
                <c:pt idx="20">
                  <c:v>5.4946793230461132E-4</c:v>
                </c:pt>
                <c:pt idx="21">
                  <c:v>4.0875781206425849E-4</c:v>
                </c:pt>
                <c:pt idx="22">
                  <c:v>1.3345367841991363E-3</c:v>
                </c:pt>
                <c:pt idx="23">
                  <c:v>9.5784750726271876E-4</c:v>
                </c:pt>
                <c:pt idx="24">
                  <c:v>2.1101984737421334E-3</c:v>
                </c:pt>
                <c:pt idx="25">
                  <c:v>1.7542543927454844E-3</c:v>
                </c:pt>
                <c:pt idx="26">
                  <c:v>2.5072177841359475E-3</c:v>
                </c:pt>
                <c:pt idx="27">
                  <c:v>1.2310859346191293E-3</c:v>
                </c:pt>
                <c:pt idx="28">
                  <c:v>1.3296434439984614E-3</c:v>
                </c:pt>
                <c:pt idx="29">
                  <c:v>2.5902576871883009E-4</c:v>
                </c:pt>
                <c:pt idx="30">
                  <c:v>6.2360650389747959E-4</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9.7386255907246652E-4</c:v>
                </c:pt>
                <c:pt idx="1">
                  <c:v>1.4974420440877861E-2</c:v>
                </c:pt>
                <c:pt idx="2">
                  <c:v>1.3599936367027906E-2</c:v>
                </c:pt>
                <c:pt idx="3">
                  <c:v>6.9425074975171764E-3</c:v>
                </c:pt>
                <c:pt idx="4">
                  <c:v>4.7342191914186062E-3</c:v>
                </c:pt>
                <c:pt idx="5">
                  <c:v>1.3097708484936556E-2</c:v>
                </c:pt>
                <c:pt idx="6">
                  <c:v>1.8395180652181854E-2</c:v>
                </c:pt>
                <c:pt idx="7">
                  <c:v>2.222273201551727E-2</c:v>
                </c:pt>
                <c:pt idx="8">
                  <c:v>7.4560093378744476E-3</c:v>
                </c:pt>
                <c:pt idx="9">
                  <c:v>2.4602334752100361E-2</c:v>
                </c:pt>
                <c:pt idx="10">
                  <c:v>2.115974729482515E-2</c:v>
                </c:pt>
                <c:pt idx="11">
                  <c:v>1.712702851813935E-2</c:v>
                </c:pt>
                <c:pt idx="12">
                  <c:v>5.816669729958359E-2</c:v>
                </c:pt>
                <c:pt idx="13">
                  <c:v>2.992633097408447E-2</c:v>
                </c:pt>
                <c:pt idx="14">
                  <c:v>4.0345794024074302E-2</c:v>
                </c:pt>
                <c:pt idx="15">
                  <c:v>8.9656371895427306E-5</c:v>
                </c:pt>
                <c:pt idx="16">
                  <c:v>7.7378615171385789E-3</c:v>
                </c:pt>
                <c:pt idx="17">
                  <c:v>1.5583082024736803E-2</c:v>
                </c:pt>
                <c:pt idx="18">
                  <c:v>0.15800504735701776</c:v>
                </c:pt>
                <c:pt idx="19">
                  <c:v>0.18940684166328298</c:v>
                </c:pt>
                <c:pt idx="20">
                  <c:v>0.14116722006664284</c:v>
                </c:pt>
                <c:pt idx="21">
                  <c:v>0.12202948730615687</c:v>
                </c:pt>
                <c:pt idx="22">
                  <c:v>0.11880725182148678</c:v>
                </c:pt>
                <c:pt idx="23">
                  <c:v>0.11838752679750329</c:v>
                </c:pt>
                <c:pt idx="24">
                  <c:v>0.1170971596442397</c:v>
                </c:pt>
                <c:pt idx="25">
                  <c:v>0.11566833202769217</c:v>
                </c:pt>
                <c:pt idx="26">
                  <c:v>0.11521755172976977</c:v>
                </c:pt>
                <c:pt idx="27">
                  <c:v>0.11478581045808753</c:v>
                </c:pt>
                <c:pt idx="28">
                  <c:v>0.11442089958869214</c:v>
                </c:pt>
                <c:pt idx="29">
                  <c:v>0.11431444065035132</c:v>
                </c:pt>
                <c:pt idx="30">
                  <c:v>0.11425806461157471</c:v>
                </c:pt>
              </c:numCache>
            </c:numRef>
          </c:yVal>
          <c:smooth val="1"/>
        </c:ser>
        <c:dLbls>
          <c:showLegendKey val="0"/>
          <c:showVal val="0"/>
          <c:showCatName val="0"/>
          <c:showSerName val="0"/>
          <c:showPercent val="0"/>
          <c:showBubbleSize val="0"/>
        </c:dLbls>
        <c:axId val="719602480"/>
        <c:axId val="719602088"/>
      </c:scatterChart>
      <c:valAx>
        <c:axId val="719602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2088"/>
        <c:crossesAt val="1.0000000000000005E-9"/>
        <c:crossBetween val="midCat"/>
      </c:valAx>
      <c:valAx>
        <c:axId val="719602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248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-30.414147978912087</c:v>
                </c:pt>
                <c:pt idx="1">
                  <c:v>-17.975469980117239</c:v>
                </c:pt>
                <c:pt idx="2">
                  <c:v>-11.916805834805766</c:v>
                </c:pt>
                <c:pt idx="3">
                  <c:v>-6.7709490443524762</c:v>
                </c:pt>
                <c:pt idx="4">
                  <c:v>0</c:v>
                </c:pt>
                <c:pt idx="5">
                  <c:v>16.279090648122121</c:v>
                </c:pt>
                <c:pt idx="6">
                  <c:v>30.443786519300005</c:v>
                </c:pt>
              </c:numCache>
            </c:numRef>
          </c:yVal>
          <c:smooth val="0"/>
        </c:ser>
        <c:dLbls>
          <c:showLegendKey val="0"/>
          <c:showVal val="0"/>
          <c:showCatName val="0"/>
          <c:showSerName val="0"/>
          <c:showPercent val="0"/>
          <c:showBubbleSize val="0"/>
        </c:dLbls>
        <c:axId val="719603656"/>
        <c:axId val="719604048"/>
      </c:scatterChart>
      <c:valAx>
        <c:axId val="719603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4048"/>
        <c:crossesAt val="-100"/>
        <c:crossBetween val="midCat"/>
      </c:valAx>
      <c:valAx>
        <c:axId val="71960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960365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709384720"/>
        <c:axId val="709385504"/>
      </c:scatterChart>
      <c:valAx>
        <c:axId val="70938472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5504"/>
        <c:crosses val="autoZero"/>
        <c:crossBetween val="midCat"/>
      </c:valAx>
      <c:valAx>
        <c:axId val="70938550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472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-30.414147978912087</c:v>
                </c:pt>
                <c:pt idx="1">
                  <c:v>-30.165435328969728</c:v>
                </c:pt>
                <c:pt idx="2">
                  <c:v>-29.916489079402499</c:v>
                </c:pt>
                <c:pt idx="3">
                  <c:v>-29.667075630585533</c:v>
                </c:pt>
                <c:pt idx="4">
                  <c:v>-29.416961382893959</c:v>
                </c:pt>
                <c:pt idx="5">
                  <c:v>-29.165912736702911</c:v>
                </c:pt>
                <c:pt idx="6">
                  <c:v>-28.913696092387521</c:v>
                </c:pt>
                <c:pt idx="7">
                  <c:v>-28.660077850322914</c:v>
                </c:pt>
                <c:pt idx="8">
                  <c:v>-28.404824410884231</c:v>
                </c:pt>
                <c:pt idx="9">
                  <c:v>-28.1477021744466</c:v>
                </c:pt>
                <c:pt idx="10">
                  <c:v>-27.888477541385146</c:v>
                </c:pt>
                <c:pt idx="11">
                  <c:v>-27.626916912075011</c:v>
                </c:pt>
                <c:pt idx="12">
                  <c:v>-27.362786686891312</c:v>
                </c:pt>
                <c:pt idx="13">
                  <c:v>-27.09585326620919</c:v>
                </c:pt>
                <c:pt idx="14">
                  <c:v>-26.825883050403778</c:v>
                </c:pt>
                <c:pt idx="15">
                  <c:v>-26.552642439850203</c:v>
                </c:pt>
                <c:pt idx="16">
                  <c:v>-26.275897834923601</c:v>
                </c:pt>
                <c:pt idx="17">
                  <c:v>-25.995415635999095</c:v>
                </c:pt>
                <c:pt idx="18">
                  <c:v>-25.710962243451821</c:v>
                </c:pt>
                <c:pt idx="19">
                  <c:v>-25.422304057656913</c:v>
                </c:pt>
                <c:pt idx="20">
                  <c:v>-25.1292074789895</c:v>
                </c:pt>
                <c:pt idx="21">
                  <c:v>-24.831438907824708</c:v>
                </c:pt>
                <c:pt idx="22">
                  <c:v>-24.528764744537675</c:v>
                </c:pt>
                <c:pt idx="23">
                  <c:v>-24.220951389503533</c:v>
                </c:pt>
                <c:pt idx="24">
                  <c:v>-23.907765243097408</c:v>
                </c:pt>
                <c:pt idx="25">
                  <c:v>-23.588972705694438</c:v>
                </c:pt>
                <c:pt idx="26">
                  <c:v>-23.264340177669744</c:v>
                </c:pt>
                <c:pt idx="27">
                  <c:v>-22.933634059398468</c:v>
                </c:pt>
                <c:pt idx="28">
                  <c:v>-22.596620751255735</c:v>
                </c:pt>
                <c:pt idx="29">
                  <c:v>-22.253066653616681</c:v>
                </c:pt>
                <c:pt idx="30">
                  <c:v>-21.902738166856434</c:v>
                </c:pt>
                <c:pt idx="31">
                  <c:v>-21.545401691350122</c:v>
                </c:pt>
                <c:pt idx="32">
                  <c:v>-21.180823627472883</c:v>
                </c:pt>
                <c:pt idx="33">
                  <c:v>-20.808770375599845</c:v>
                </c:pt>
                <c:pt idx="34">
                  <c:v>-20.429008336106136</c:v>
                </c:pt>
                <c:pt idx="35">
                  <c:v>-20.041303909366896</c:v>
                </c:pt>
                <c:pt idx="36">
                  <c:v>-19.64542349575725</c:v>
                </c:pt>
                <c:pt idx="37">
                  <c:v>-19.241133495652331</c:v>
                </c:pt>
                <c:pt idx="38">
                  <c:v>-18.82820030942727</c:v>
                </c:pt>
                <c:pt idx="39">
                  <c:v>-18.406390337457193</c:v>
                </c:pt>
                <c:pt idx="40">
                  <c:v>-17.975469980117243</c:v>
                </c:pt>
                <c:pt idx="41">
                  <c:v>-17.786801477302291</c:v>
                </c:pt>
                <c:pt idx="42">
                  <c:v>-17.589351006386241</c:v>
                </c:pt>
                <c:pt idx="43">
                  <c:v>-17.383680584262745</c:v>
                </c:pt>
                <c:pt idx="44">
                  <c:v>-17.170352227825443</c:v>
                </c:pt>
                <c:pt idx="45">
                  <c:v>-16.94992795396799</c:v>
                </c:pt>
                <c:pt idx="46">
                  <c:v>-16.722969779584034</c:v>
                </c:pt>
                <c:pt idx="47">
                  <c:v>-16.490039721567218</c:v>
                </c:pt>
                <c:pt idx="48">
                  <c:v>-16.251699796811199</c:v>
                </c:pt>
                <c:pt idx="49">
                  <c:v>-16.008512022209615</c:v>
                </c:pt>
                <c:pt idx="50">
                  <c:v>-15.761038414656126</c:v>
                </c:pt>
                <c:pt idx="51">
                  <c:v>-15.509840991044376</c:v>
                </c:pt>
                <c:pt idx="52">
                  <c:v>-15.255481768268012</c:v>
                </c:pt>
                <c:pt idx="53">
                  <c:v>-14.998522763220688</c:v>
                </c:pt>
                <c:pt idx="54">
                  <c:v>-14.739525992796047</c:v>
                </c:pt>
                <c:pt idx="55">
                  <c:v>-14.479053473887738</c:v>
                </c:pt>
                <c:pt idx="56">
                  <c:v>-14.217667223389416</c:v>
                </c:pt>
                <c:pt idx="57">
                  <c:v>-13.955929258194722</c:v>
                </c:pt>
                <c:pt idx="58">
                  <c:v>-13.694401595197309</c:v>
                </c:pt>
                <c:pt idx="59">
                  <c:v>-13.433646251290828</c:v>
                </c:pt>
                <c:pt idx="60">
                  <c:v>-13.174225243368923</c:v>
                </c:pt>
                <c:pt idx="61">
                  <c:v>-12.916700588325243</c:v>
                </c:pt>
                <c:pt idx="62">
                  <c:v>-12.66163430305344</c:v>
                </c:pt>
                <c:pt idx="63">
                  <c:v>-12.409588404447158</c:v>
                </c:pt>
                <c:pt idx="64">
                  <c:v>-12.161124909400051</c:v>
                </c:pt>
                <c:pt idx="65">
                  <c:v>-11.916805834805766</c:v>
                </c:pt>
                <c:pt idx="66">
                  <c:v>-11.677063359734802</c:v>
                </c:pt>
                <c:pt idx="67">
                  <c:v>-11.441810311965069</c:v>
                </c:pt>
                <c:pt idx="68">
                  <c:v>-11.210829681451331</c:v>
                </c:pt>
                <c:pt idx="69">
                  <c:v>-10.983904458148348</c:v>
                </c:pt>
                <c:pt idx="70">
                  <c:v>-10.76081763201088</c:v>
                </c:pt>
                <c:pt idx="71">
                  <c:v>-10.541352192993688</c:v>
                </c:pt>
                <c:pt idx="72">
                  <c:v>-10.325291131051536</c:v>
                </c:pt>
                <c:pt idx="73">
                  <c:v>-10.112417436139184</c:v>
                </c:pt>
                <c:pt idx="74">
                  <c:v>-9.9025140982113946</c:v>
                </c:pt>
                <c:pt idx="75">
                  <c:v>-9.6953641072229289</c:v>
                </c:pt>
                <c:pt idx="76">
                  <c:v>-9.4907504531285447</c:v>
                </c:pt>
                <c:pt idx="77">
                  <c:v>-9.288456125883009</c:v>
                </c:pt>
                <c:pt idx="78">
                  <c:v>-9.0882641154410795</c:v>
                </c:pt>
                <c:pt idx="79">
                  <c:v>-8.8899574117575177</c:v>
                </c:pt>
                <c:pt idx="80">
                  <c:v>-8.6933190047870905</c:v>
                </c:pt>
                <c:pt idx="81">
                  <c:v>-8.4981318844845504</c:v>
                </c:pt>
                <c:pt idx="82">
                  <c:v>-8.3041790408046658</c:v>
                </c:pt>
                <c:pt idx="83">
                  <c:v>-8.1112434637021966</c:v>
                </c:pt>
                <c:pt idx="84">
                  <c:v>-7.9191081431319024</c:v>
                </c:pt>
                <c:pt idx="85">
                  <c:v>-7.7275560690485463</c:v>
                </c:pt>
                <c:pt idx="86">
                  <c:v>-7.5363702314068881</c:v>
                </c:pt>
                <c:pt idx="87">
                  <c:v>-7.3453336201616901</c:v>
                </c:pt>
                <c:pt idx="88">
                  <c:v>-7.1542292252677155</c:v>
                </c:pt>
                <c:pt idx="89">
                  <c:v>-6.9628400366797232</c:v>
                </c:pt>
                <c:pt idx="90">
                  <c:v>-6.7709490443524754</c:v>
                </c:pt>
                <c:pt idx="91">
                  <c:v>-6.5783501822884611</c:v>
                </c:pt>
                <c:pt idx="92">
                  <c:v>-6.3848811606810703</c:v>
                </c:pt>
                <c:pt idx="93">
                  <c:v>-6.1903906337714192</c:v>
                </c:pt>
                <c:pt idx="94">
                  <c:v>-5.9947272558006262</c:v>
                </c:pt>
                <c:pt idx="95">
                  <c:v>-5.7977396810098094</c:v>
                </c:pt>
                <c:pt idx="96">
                  <c:v>-5.5992765636400872</c:v>
                </c:pt>
                <c:pt idx="97">
                  <c:v>-5.3991865579325733</c:v>
                </c:pt>
                <c:pt idx="98">
                  <c:v>-5.1973183181283886</c:v>
                </c:pt>
                <c:pt idx="99">
                  <c:v>-4.9935204984686505</c:v>
                </c:pt>
                <c:pt idx="100">
                  <c:v>-4.7876417531944746</c:v>
                </c:pt>
                <c:pt idx="101">
                  <c:v>-4.5795307365469782</c:v>
                </c:pt>
                <c:pt idx="102">
                  <c:v>-4.3690361027672804</c:v>
                </c:pt>
                <c:pt idx="103">
                  <c:v>-4.1560065060964977</c:v>
                </c:pt>
                <c:pt idx="104">
                  <c:v>-3.9402906007757479</c:v>
                </c:pt>
                <c:pt idx="105">
                  <c:v>-3.7217370410461479</c:v>
                </c:pt>
                <c:pt idx="106">
                  <c:v>-3.5001944811488155</c:v>
                </c:pt>
                <c:pt idx="107">
                  <c:v>-3.2755115753248676</c:v>
                </c:pt>
                <c:pt idx="108">
                  <c:v>-3.0475369778154224</c:v>
                </c:pt>
                <c:pt idx="109">
                  <c:v>-2.8161193428615965</c:v>
                </c:pt>
                <c:pt idx="110">
                  <c:v>-2.581107324704508</c:v>
                </c:pt>
                <c:pt idx="111">
                  <c:v>-2.3423495775852743</c:v>
                </c:pt>
                <c:pt idx="112">
                  <c:v>-2.0996947557450127</c:v>
                </c:pt>
                <c:pt idx="113">
                  <c:v>-1.85299151342484</c:v>
                </c:pt>
                <c:pt idx="114">
                  <c:v>-1.6020885048658744</c:v>
                </c:pt>
                <c:pt idx="115">
                  <c:v>-1.346834384309233</c:v>
                </c:pt>
                <c:pt idx="116">
                  <c:v>-1.0870778059960333</c:v>
                </c:pt>
                <c:pt idx="117">
                  <c:v>-0.8226674241673928</c:v>
                </c:pt>
                <c:pt idx="118">
                  <c:v>-0.55345189306442866</c:v>
                </c:pt>
                <c:pt idx="119">
                  <c:v>-0.27927986692825862</c:v>
                </c:pt>
                <c:pt idx="120">
                  <c:v>-1.1102230246251565E-16</c:v>
                </c:pt>
                <c:pt idx="121">
                  <c:v>0.28449483740171261</c:v>
                </c:pt>
                <c:pt idx="122">
                  <c:v>0.57413491064817668</c:v>
                </c:pt>
                <c:pt idx="123">
                  <c:v>0.8688062690331726</c:v>
                </c:pt>
                <c:pt idx="124">
                  <c:v>1.1683949618504803</c:v>
                </c:pt>
                <c:pt idx="125">
                  <c:v>1.4727870383938801</c:v>
                </c:pt>
                <c:pt idx="126">
                  <c:v>1.7818685479571517</c:v>
                </c:pt>
                <c:pt idx="127">
                  <c:v>2.0955255398340764</c:v>
                </c:pt>
                <c:pt idx="128">
                  <c:v>2.4136440633184337</c:v>
                </c:pt>
                <c:pt idx="129">
                  <c:v>2.7361101677040036</c:v>
                </c:pt>
                <c:pt idx="130">
                  <c:v>3.0628099022845663</c:v>
                </c:pt>
                <c:pt idx="131">
                  <c:v>3.3936293163539029</c:v>
                </c:pt>
                <c:pt idx="132">
                  <c:v>3.7284544592057918</c:v>
                </c:pt>
                <c:pt idx="133">
                  <c:v>4.0671713801340159</c:v>
                </c:pt>
                <c:pt idx="134">
                  <c:v>4.4096661284323533</c:v>
                </c:pt>
                <c:pt idx="135">
                  <c:v>4.7558247533945845</c:v>
                </c:pt>
                <c:pt idx="136">
                  <c:v>5.1055333043144904</c:v>
                </c:pt>
                <c:pt idx="137">
                  <c:v>5.4586778304858505</c:v>
                </c:pt>
                <c:pt idx="138">
                  <c:v>5.8151443812024457</c:v>
                </c:pt>
                <c:pt idx="139">
                  <c:v>6.1748190057580548</c:v>
                </c:pt>
                <c:pt idx="140">
                  <c:v>6.537587753446461</c:v>
                </c:pt>
                <c:pt idx="141">
                  <c:v>6.9033366735614408</c:v>
                </c:pt>
                <c:pt idx="142">
                  <c:v>7.2719518153967773</c:v>
                </c:pt>
                <c:pt idx="143">
                  <c:v>7.6433192282462485</c:v>
                </c:pt>
                <c:pt idx="144">
                  <c:v>8.0173249614036362</c:v>
                </c:pt>
                <c:pt idx="145">
                  <c:v>8.3938550641627199</c:v>
                </c:pt>
                <c:pt idx="146">
                  <c:v>8.7727955858172812</c:v>
                </c:pt>
                <c:pt idx="147">
                  <c:v>9.1540325756610983</c:v>
                </c:pt>
                <c:pt idx="148">
                  <c:v>9.5374520829879508</c:v>
                </c:pt>
                <c:pt idx="149">
                  <c:v>9.922940157091622</c:v>
                </c:pt>
                <c:pt idx="150">
                  <c:v>10.310382847265892</c:v>
                </c:pt>
                <c:pt idx="151">
                  <c:v>10.699666202804536</c:v>
                </c:pt>
                <c:pt idx="152">
                  <c:v>11.090676273001339</c:v>
                </c:pt>
                <c:pt idx="153">
                  <c:v>11.48329910715008</c:v>
                </c:pt>
                <c:pt idx="154">
                  <c:v>11.877420754544538</c:v>
                </c:pt>
                <c:pt idx="155">
                  <c:v>12.272927264478497</c:v>
                </c:pt>
                <c:pt idx="156">
                  <c:v>12.669704686245733</c:v>
                </c:pt>
                <c:pt idx="157">
                  <c:v>13.067639069140027</c:v>
                </c:pt>
                <c:pt idx="158">
                  <c:v>13.466616462455159</c:v>
                </c:pt>
                <c:pt idx="159">
                  <c:v>13.866522915484913</c:v>
                </c:pt>
                <c:pt idx="160">
                  <c:v>14.267244477523064</c:v>
                </c:pt>
                <c:pt idx="161">
                  <c:v>14.668667197863396</c:v>
                </c:pt>
                <c:pt idx="162">
                  <c:v>15.070677125799687</c:v>
                </c:pt>
                <c:pt idx="163">
                  <c:v>15.473160310625717</c:v>
                </c:pt>
                <c:pt idx="164">
                  <c:v>15.87600280163527</c:v>
                </c:pt>
                <c:pt idx="165">
                  <c:v>16.279090648122118</c:v>
                </c:pt>
                <c:pt idx="166">
                  <c:v>16.682328265427419</c:v>
                </c:pt>
                <c:pt idx="167">
                  <c:v>17.085693533081766</c:v>
                </c:pt>
                <c:pt idx="168">
                  <c:v>17.489182696663129</c:v>
                </c:pt>
                <c:pt idx="169">
                  <c:v>17.892792001749484</c:v>
                </c:pt>
                <c:pt idx="170">
                  <c:v>18.296517693918794</c:v>
                </c:pt>
                <c:pt idx="171">
                  <c:v>18.70035601874903</c:v>
                </c:pt>
                <c:pt idx="172">
                  <c:v>19.104303221818164</c:v>
                </c:pt>
                <c:pt idx="173">
                  <c:v>19.508355548704159</c:v>
                </c:pt>
                <c:pt idx="174">
                  <c:v>19.912509244984989</c:v>
                </c:pt>
                <c:pt idx="175">
                  <c:v>20.31676055623862</c:v>
                </c:pt>
                <c:pt idx="176">
                  <c:v>20.721105728043025</c:v>
                </c:pt>
                <c:pt idx="177">
                  <c:v>21.125541005976171</c:v>
                </c:pt>
                <c:pt idx="178">
                  <c:v>21.530062635616027</c:v>
                </c:pt>
                <c:pt idx="179">
                  <c:v>21.93466686254056</c:v>
                </c:pt>
                <c:pt idx="180">
                  <c:v>22.339349932327742</c:v>
                </c:pt>
                <c:pt idx="181">
                  <c:v>22.744108090555542</c:v>
                </c:pt>
                <c:pt idx="182">
                  <c:v>23.148937582801931</c:v>
                </c:pt>
                <c:pt idx="183">
                  <c:v>23.553834654644874</c:v>
                </c:pt>
                <c:pt idx="184">
                  <c:v>23.958795551662341</c:v>
                </c:pt>
                <c:pt idx="185">
                  <c:v>24.363816519432305</c:v>
                </c:pt>
                <c:pt idx="186">
                  <c:v>24.768893803532727</c:v>
                </c:pt>
                <c:pt idx="187">
                  <c:v>25.174023649541581</c:v>
                </c:pt>
                <c:pt idx="188">
                  <c:v>25.579202303036841</c:v>
                </c:pt>
                <c:pt idx="189">
                  <c:v>25.984426009596472</c:v>
                </c:pt>
                <c:pt idx="190">
                  <c:v>26.389691014798441</c:v>
                </c:pt>
                <c:pt idx="191">
                  <c:v>26.794993564220714</c:v>
                </c:pt>
                <c:pt idx="192">
                  <c:v>27.200329903441268</c:v>
                </c:pt>
                <c:pt idx="193">
                  <c:v>27.605696278038071</c:v>
                </c:pt>
                <c:pt idx="194">
                  <c:v>28.01108893358909</c:v>
                </c:pt>
                <c:pt idx="195">
                  <c:v>28.416504115672289</c:v>
                </c:pt>
                <c:pt idx="196">
                  <c:v>28.821938069865649</c:v>
                </c:pt>
                <c:pt idx="197">
                  <c:v>29.227387041747132</c:v>
                </c:pt>
                <c:pt idx="198">
                  <c:v>29.632847276894704</c:v>
                </c:pt>
                <c:pt idx="199">
                  <c:v>30.038315020886341</c:v>
                </c:pt>
                <c:pt idx="200">
                  <c:v>30.443786519300005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-30.414147978912087</c:v>
                </c:pt>
                <c:pt idx="1">
                  <c:v>-17.975469980117239</c:v>
                </c:pt>
                <c:pt idx="2">
                  <c:v>-11.916805834805766</c:v>
                </c:pt>
                <c:pt idx="3">
                  <c:v>-6.7709490443524762</c:v>
                </c:pt>
                <c:pt idx="4">
                  <c:v>0</c:v>
                </c:pt>
                <c:pt idx="5">
                  <c:v>16.279090648122121</c:v>
                </c:pt>
                <c:pt idx="6">
                  <c:v>30.443786519300005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-30.264167581263866</c:v>
                </c:pt>
                <c:pt idx="1">
                  <c:v>-30.080081158095968</c:v>
                </c:pt>
                <c:pt idx="2">
                  <c:v>-29.885023947601873</c:v>
                </c:pt>
                <c:pt idx="3">
                  <c:v>-29.679456418819679</c:v>
                </c:pt>
                <c:pt idx="4">
                  <c:v>-29.463840110783867</c:v>
                </c:pt>
                <c:pt idx="5">
                  <c:v>-29.23863682239066</c:v>
                </c:pt>
                <c:pt idx="6">
                  <c:v>-29.004307832925409</c:v>
                </c:pt>
                <c:pt idx="7">
                  <c:v>-28.761313152804071</c:v>
                </c:pt>
                <c:pt idx="8">
                  <c:v>-28.510110804082998</c:v>
                </c:pt>
                <c:pt idx="9">
                  <c:v>-28.251156130291601</c:v>
                </c:pt>
                <c:pt idx="10">
                  <c:v>-27.98490113514454</c:v>
                </c:pt>
                <c:pt idx="11">
                  <c:v>-27.711793849690959</c:v>
                </c:pt>
                <c:pt idx="12">
                  <c:v>-27.432277727459368</c:v>
                </c:pt>
                <c:pt idx="13">
                  <c:v>-27.146791067158656</c:v>
                </c:pt>
                <c:pt idx="14">
                  <c:v>-26.855766462496309</c:v>
                </c:pt>
                <c:pt idx="15">
                  <c:v>-26.559630278676469</c:v>
                </c:pt>
                <c:pt idx="16">
                  <c:v>-26.258802155142089</c:v>
                </c:pt>
                <c:pt idx="17">
                  <c:v>-25.953694534125876</c:v>
                </c:pt>
                <c:pt idx="18">
                  <c:v>-25.644712214576831</c:v>
                </c:pt>
                <c:pt idx="19">
                  <c:v>-25.332251931029862</c:v>
                </c:pt>
                <c:pt idx="20">
                  <c:v>-25.016701956987657</c:v>
                </c:pt>
                <c:pt idx="21">
                  <c:v>-24.698441732384822</c:v>
                </c:pt>
                <c:pt idx="22">
                  <c:v>-24.377841514705942</c:v>
                </c:pt>
                <c:pt idx="23">
                  <c:v>-24.055262053330328</c:v>
                </c:pt>
                <c:pt idx="24">
                  <c:v>-23.731054286677502</c:v>
                </c:pt>
                <c:pt idx="25">
                  <c:v>-23.405559061728535</c:v>
                </c:pt>
                <c:pt idx="26">
                  <c:v>-23.079106875500155</c:v>
                </c:pt>
                <c:pt idx="27">
                  <c:v>-22.752017638049178</c:v>
                </c:pt>
                <c:pt idx="28">
                  <c:v>-22.42460045658645</c:v>
                </c:pt>
                <c:pt idx="29">
                  <c:v>-22.097153440280803</c:v>
                </c:pt>
                <c:pt idx="30">
                  <c:v>-21.769963525334433</c:v>
                </c:pt>
                <c:pt idx="31">
                  <c:v>-21.443306319912786</c:v>
                </c:pt>
                <c:pt idx="32">
                  <c:v>-21.117445968513127</c:v>
                </c:pt>
                <c:pt idx="33">
                  <c:v>-20.79263503535708</c:v>
                </c:pt>
                <c:pt idx="34">
                  <c:v>-20.469114406394024</c:v>
                </c:pt>
                <c:pt idx="35">
                  <c:v>-20.147113209503221</c:v>
                </c:pt>
                <c:pt idx="36">
                  <c:v>-19.826848752483905</c:v>
                </c:pt>
                <c:pt idx="37">
                  <c:v>-19.508526478423985</c:v>
                </c:pt>
                <c:pt idx="38">
                  <c:v>-19.192339938038884</c:v>
                </c:pt>
                <c:pt idx="39">
                  <c:v>-18.878470778573821</c:v>
                </c:pt>
                <c:pt idx="40">
                  <c:v>-18.567088748863647</c:v>
                </c:pt>
                <c:pt idx="41">
                  <c:v>-18.258351720145981</c:v>
                </c:pt>
                <c:pt idx="42">
                  <c:v>-17.952405722224267</c:v>
                </c:pt>
                <c:pt idx="43">
                  <c:v>-17.649384994579162</c:v>
                </c:pt>
                <c:pt idx="44">
                  <c:v>-17.349412052027301</c:v>
                </c:pt>
                <c:pt idx="45">
                  <c:v>-17.052597764528329</c:v>
                </c:pt>
                <c:pt idx="46">
                  <c:v>-16.759041450742053</c:v>
                </c:pt>
                <c:pt idx="47">
                  <c:v>-16.468830984938787</c:v>
                </c:pt>
                <c:pt idx="48">
                  <c:v>-16.182042916867442</c:v>
                </c:pt>
                <c:pt idx="49">
                  <c:v>-15.898742604187062</c:v>
                </c:pt>
                <c:pt idx="50">
                  <c:v>-15.618984357068742</c:v>
                </c:pt>
                <c:pt idx="51">
                  <c:v>-15.34281159457618</c:v>
                </c:pt>
                <c:pt idx="52">
                  <c:v>-15.070257012434396</c:v>
                </c:pt>
                <c:pt idx="53">
                  <c:v>-14.801342761797416</c:v>
                </c:pt>
                <c:pt idx="54">
                  <c:v>-14.53608063862686</c:v>
                </c:pt>
                <c:pt idx="55">
                  <c:v>-14.274472283294889</c:v>
                </c:pt>
                <c:pt idx="56">
                  <c:v>-14.016509390025996</c:v>
                </c:pt>
                <c:pt idx="57">
                  <c:v>-13.762173925793496</c:v>
                </c:pt>
                <c:pt idx="58">
                  <c:v>-13.511438358287851</c:v>
                </c:pt>
                <c:pt idx="59">
                  <c:v>-13.264265892575217</c:v>
                </c:pt>
                <c:pt idx="60">
                  <c:v>-13.020610716065795</c:v>
                </c:pt>
                <c:pt idx="61">
                  <c:v>-12.780418251412986</c:v>
                </c:pt>
                <c:pt idx="62">
                  <c:v>-12.543625416965472</c:v>
                </c:pt>
                <c:pt idx="63">
                  <c:v>-12.310160894395656</c:v>
                </c:pt>
                <c:pt idx="64">
                  <c:v>-12.079945403129228</c:v>
                </c:pt>
                <c:pt idx="65">
                  <c:v>-11.852891981201815</c:v>
                </c:pt>
                <c:pt idx="66">
                  <c:v>-11.628906272169923</c:v>
                </c:pt>
                <c:pt idx="67">
                  <c:v>-11.407886817704744</c:v>
                </c:pt>
                <c:pt idx="68">
                  <c:v>-11.189725355498537</c:v>
                </c:pt>
                <c:pt idx="69">
                  <c:v>-10.974307122114739</c:v>
                </c:pt>
                <c:pt idx="70">
                  <c:v>-10.761511160413992</c:v>
                </c:pt>
                <c:pt idx="71">
                  <c:v>-10.551210631189736</c:v>
                </c:pt>
                <c:pt idx="72">
                  <c:v>-10.34327312864823</c:v>
                </c:pt>
                <c:pt idx="73">
                  <c:v>-10.137560999369065</c:v>
                </c:pt>
                <c:pt idx="74">
                  <c:v>-9.9339316643835911</c:v>
                </c:pt>
                <c:pt idx="75">
                  <c:v>-9.7322379440098583</c:v>
                </c:pt>
                <c:pt idx="76">
                  <c:v>-9.5323283850840692</c:v>
                </c:pt>
                <c:pt idx="77">
                  <c:v>-9.3340475902296074</c:v>
                </c:pt>
                <c:pt idx="78">
                  <c:v>-9.1372365488062002</c:v>
                </c:pt>
                <c:pt idx="79">
                  <c:v>-8.9417329691828638</c:v>
                </c:pt>
                <c:pt idx="80">
                  <c:v>-8.7473716119796325</c:v>
                </c:pt>
                <c:pt idx="81">
                  <c:v>-8.55398462392432</c:v>
                </c:pt>
                <c:pt idx="82">
                  <c:v>-8.3614018719718359</c:v>
                </c:pt>
                <c:pt idx="83">
                  <c:v>-8.1694512773347974</c:v>
                </c:pt>
                <c:pt idx="84">
                  <c:v>-7.9779591490755708</c:v>
                </c:pt>
                <c:pt idx="85">
                  <c:v>-7.786750516910959</c:v>
                </c:pt>
                <c:pt idx="86">
                  <c:v>-7.5956494628821716</c:v>
                </c:pt>
                <c:pt idx="87">
                  <c:v>-7.404479451543942</c:v>
                </c:pt>
                <c:pt idx="88">
                  <c:v>-7.2130636583278536</c:v>
                </c:pt>
                <c:pt idx="89">
                  <c:v>-7.0212252957363033</c:v>
                </c:pt>
                <c:pt idx="90">
                  <c:v>-6.8287879370247255</c:v>
                </c:pt>
                <c:pt idx="91">
                  <c:v>-6.6355758370310189</c:v>
                </c:pt>
                <c:pt idx="92">
                  <c:v>-6.4414142498123246</c:v>
                </c:pt>
                <c:pt idx="93">
                  <c:v>-6.2461297427506306</c:v>
                </c:pt>
                <c:pt idx="94">
                  <c:v>-6.0495505067899211</c:v>
                </c:pt>
                <c:pt idx="95">
                  <c:v>-5.8515066624688226</c:v>
                </c:pt>
                <c:pt idx="96">
                  <c:v>-5.6518305614140507</c:v>
                </c:pt>
                <c:pt idx="97">
                  <c:v>-5.4503570829611139</c:v>
                </c:pt>
                <c:pt idx="98">
                  <c:v>-5.2469239255701021</c:v>
                </c:pt>
                <c:pt idx="99">
                  <c:v>-5.0413718927055999</c:v>
                </c:pt>
                <c:pt idx="100">
                  <c:v>-4.833545172851025</c:v>
                </c:pt>
                <c:pt idx="101">
                  <c:v>-4.623291613329001</c:v>
                </c:pt>
                <c:pt idx="102">
                  <c:v>-4.4104629876005914</c:v>
                </c:pt>
                <c:pt idx="103">
                  <c:v>-4.1949152557175395</c:v>
                </c:pt>
                <c:pt idx="104">
                  <c:v>-3.9765088176028773</c:v>
                </c:pt>
                <c:pt idx="105">
                  <c:v>-3.7551087588365473</c:v>
                </c:pt>
                <c:pt idx="106">
                  <c:v>-3.5305850886239964</c:v>
                </c:pt>
                <c:pt idx="107">
                  <c:v>-3.3028129696268831</c:v>
                </c:pt>
                <c:pt idx="108">
                  <c:v>-3.071672939336366</c:v>
                </c:pt>
                <c:pt idx="109">
                  <c:v>-2.8370511226707</c:v>
                </c:pt>
                <c:pt idx="110">
                  <c:v>-2.5988394354801145</c:v>
                </c:pt>
                <c:pt idx="111">
                  <c:v>-2.3569357786432321</c:v>
                </c:pt>
                <c:pt idx="112">
                  <c:v>-2.1112442224405412</c:v>
                </c:pt>
                <c:pt idx="113">
                  <c:v>-1.8616751808917171</c:v>
                </c:pt>
                <c:pt idx="114">
                  <c:v>-1.6081455757448309</c:v>
                </c:pt>
                <c:pt idx="115">
                  <c:v>-1.3505789898067813</c:v>
                </c:pt>
                <c:pt idx="116">
                  <c:v>-1.0889058093055233</c:v>
                </c:pt>
                <c:pt idx="117">
                  <c:v>-0.82306335497595196</c:v>
                </c:pt>
                <c:pt idx="118">
                  <c:v>-0.55299600156255946</c:v>
                </c:pt>
                <c:pt idx="119">
                  <c:v>-0.27865528543325596</c:v>
                </c:pt>
                <c:pt idx="120">
                  <c:v>0</c:v>
                </c:pt>
                <c:pt idx="121">
                  <c:v>0.28300372135683266</c:v>
                </c:pt>
                <c:pt idx="122">
                  <c:v>0.57038233516216219</c:v>
                </c:pt>
                <c:pt idx="123">
                  <c:v>0.86215483081853994</c:v>
                </c:pt>
                <c:pt idx="124">
                  <c:v>1.1583326869763904</c:v>
                </c:pt>
                <c:pt idx="125">
                  <c:v>1.4589198416001687</c:v>
                </c:pt>
                <c:pt idx="126">
                  <c:v>1.763912676027179</c:v>
                </c:pt>
                <c:pt idx="127">
                  <c:v>2.0733000133145398</c:v>
                </c:pt>
                <c:pt idx="128">
                  <c:v>2.3870631311684982</c:v>
                </c:pt>
                <c:pt idx="129">
                  <c:v>2.7051757897490414</c:v>
                </c:pt>
                <c:pt idx="130">
                  <c:v>3.027604274641496</c:v>
                </c:pt>
                <c:pt idx="131">
                  <c:v>3.3543074552855039</c:v>
                </c:pt>
                <c:pt idx="132">
                  <c:v>3.6852368591505411</c:v>
                </c:pt>
                <c:pt idx="133">
                  <c:v>4.0203367619458517</c:v>
                </c:pt>
                <c:pt idx="134">
                  <c:v>4.3595442941513873</c:v>
                </c:pt>
                <c:pt idx="135">
                  <c:v>4.7027895641551503</c:v>
                </c:pt>
                <c:pt idx="136">
                  <c:v>5.0499957982809383</c:v>
                </c:pt>
                <c:pt idx="137">
                  <c:v>5.4010794979893895</c:v>
                </c:pt>
                <c:pt idx="138">
                  <c:v>5.7559506145337958</c:v>
                </c:pt>
                <c:pt idx="139">
                  <c:v>6.1145127413510219</c:v>
                </c:pt>
                <c:pt idx="140">
                  <c:v>6.4766633244664824</c:v>
                </c:pt>
                <c:pt idx="141">
                  <c:v>6.8422938911909874</c:v>
                </c:pt>
                <c:pt idx="142">
                  <c:v>7.2112902973858786</c:v>
                </c:pt>
                <c:pt idx="143">
                  <c:v>7.5835329935716711</c:v>
                </c:pt>
                <c:pt idx="144">
                  <c:v>7.9588973101541995</c:v>
                </c:pt>
                <c:pt idx="145">
                  <c:v>8.3372537620408611</c:v>
                </c:pt>
                <c:pt idx="146">
                  <c:v>8.7184683729184478</c:v>
                </c:pt>
                <c:pt idx="147">
                  <c:v>9.1024030194626278</c:v>
                </c:pt>
                <c:pt idx="148">
                  <c:v>9.4889157957480403</c:v>
                </c:pt>
                <c:pt idx="149">
                  <c:v>9.8778613981265355</c:v>
                </c:pt>
                <c:pt idx="150">
                  <c:v>10.269091530839965</c:v>
                </c:pt>
                <c:pt idx="151">
                  <c:v>10.662455332632524</c:v>
                </c:pt>
                <c:pt idx="152">
                  <c:v>11.057799824626553</c:v>
                </c:pt>
                <c:pt idx="153">
                  <c:v>11.454970379724251</c:v>
                </c:pt>
                <c:pt idx="154">
                  <c:v>11.853811213796623</c:v>
                </c:pt>
                <c:pt idx="155">
                  <c:v>12.254165898919664</c:v>
                </c:pt>
                <c:pt idx="156">
                  <c:v>12.655877898916495</c:v>
                </c:pt>
                <c:pt idx="157">
                  <c:v>13.058791127462989</c:v>
                </c:pt>
                <c:pt idx="158">
                  <c:v>13.462750529012986</c:v>
                </c:pt>
                <c:pt idx="159">
                  <c:v>13.867602682798205</c:v>
                </c:pt>
                <c:pt idx="160">
                  <c:v>14.273196430156316</c:v>
                </c:pt>
                <c:pt idx="161">
                  <c:v>14.679383525439784</c:v>
                </c:pt>
                <c:pt idx="162">
                  <c:v>15.086019310756468</c:v>
                </c:pt>
                <c:pt idx="163">
                  <c:v>15.492963414791966</c:v>
                </c:pt>
                <c:pt idx="164">
                  <c:v>15.900080475962232</c:v>
                </c:pt>
                <c:pt idx="165">
                  <c:v>16.307240890143838</c:v>
                </c:pt>
                <c:pt idx="166">
                  <c:v>16.714321583227971</c:v>
                </c:pt>
                <c:pt idx="167">
                  <c:v>17.121206808742912</c:v>
                </c:pt>
                <c:pt idx="168">
                  <c:v>17.527788970788666</c:v>
                </c:pt>
                <c:pt idx="169">
                  <c:v>17.933969472525803</c:v>
                </c:pt>
                <c:pt idx="170">
                  <c:v>18.339659590459739</c:v>
                </c:pt>
                <c:pt idx="171">
                  <c:v>18.744781374760116</c:v>
                </c:pt>
                <c:pt idx="172">
                  <c:v>19.149268575853576</c:v>
                </c:pt>
                <c:pt idx="173">
                  <c:v>19.553067597527562</c:v>
                </c:pt>
                <c:pt idx="174">
                  <c:v>19.956138476780566</c:v>
                </c:pt>
                <c:pt idx="175">
                  <c:v>20.358455890653889</c:v>
                </c:pt>
                <c:pt idx="176">
                  <c:v>20.760010190278162</c:v>
                </c:pt>
                <c:pt idx="177">
                  <c:v>21.160808462366774</c:v>
                </c:pt>
                <c:pt idx="178">
                  <c:v>21.560875618387065</c:v>
                </c:pt>
                <c:pt idx="179">
                  <c:v>21.960255511638969</c:v>
                </c:pt>
                <c:pt idx="180">
                  <c:v>22.359012082469349</c:v>
                </c:pt>
                <c:pt idx="181">
                  <c:v>22.757230531849153</c:v>
                </c:pt>
                <c:pt idx="182">
                  <c:v>23.155018523539177</c:v>
                </c:pt>
                <c:pt idx="183">
                  <c:v>23.552507415069002</c:v>
                </c:pt>
                <c:pt idx="184">
                  <c:v>23.949853517752285</c:v>
                </c:pt>
                <c:pt idx="185">
                  <c:v>24.347239385960599</c:v>
                </c:pt>
                <c:pt idx="186">
                  <c:v>24.74487513587626</c:v>
                </c:pt>
                <c:pt idx="187">
                  <c:v>25.142999793943943</c:v>
                </c:pt>
                <c:pt idx="188">
                  <c:v>25.541882675239101</c:v>
                </c:pt>
                <c:pt idx="189">
                  <c:v>25.941824791970049</c:v>
                </c:pt>
                <c:pt idx="190">
                  <c:v>26.343160292329671</c:v>
                </c:pt>
                <c:pt idx="191">
                  <c:v>26.746257929910826</c:v>
                </c:pt>
                <c:pt idx="192">
                  <c:v>27.151522563898833</c:v>
                </c:pt>
                <c:pt idx="193">
                  <c:v>27.559396690252772</c:v>
                </c:pt>
                <c:pt idx="194">
                  <c:v>27.970362004086201</c:v>
                </c:pt>
                <c:pt idx="195">
                  <c:v>28.384940993456809</c:v>
                </c:pt>
                <c:pt idx="196">
                  <c:v>28.803698564772784</c:v>
                </c:pt>
                <c:pt idx="197">
                  <c:v>29.227243700022889</c:v>
                </c:pt>
                <c:pt idx="198">
                  <c:v>29.656231146035832</c:v>
                </c:pt>
                <c:pt idx="199">
                  <c:v>30.091363135973005</c:v>
                </c:pt>
                <c:pt idx="200">
                  <c:v>30.53339114325771</c:v>
                </c:pt>
              </c:numCache>
            </c:numRef>
          </c:yVal>
          <c:smooth val="1"/>
        </c:ser>
        <c:dLbls>
          <c:showLegendKey val="0"/>
          <c:showVal val="0"/>
          <c:showCatName val="0"/>
          <c:showSerName val="0"/>
          <c:showPercent val="0"/>
          <c:showBubbleSize val="0"/>
        </c:dLbls>
        <c:axId val="709382368"/>
        <c:axId val="709382760"/>
      </c:scatterChart>
      <c:valAx>
        <c:axId val="70938236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2760"/>
        <c:crossesAt val="-1000"/>
        <c:crossBetween val="midCat"/>
      </c:valAx>
      <c:valAx>
        <c:axId val="709382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236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130</v>
      </c>
    </row>
    <row r="22" spans="1:2" s="11" customFormat="1" x14ac:dyDescent="0.25">
      <c r="A22" s="61" t="s">
        <v>157</v>
      </c>
      <c r="B22" s="100">
        <f>CTE!N8-0.5</f>
        <v>140</v>
      </c>
    </row>
    <row r="23" spans="1:2" s="11" customFormat="1" x14ac:dyDescent="0.25">
      <c r="A23" s="61" t="s">
        <v>158</v>
      </c>
      <c r="B23" s="100">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0.2808244743449575</v>
      </c>
      <c r="D59" s="55">
        <v>1</v>
      </c>
    </row>
    <row r="60" spans="1:4" s="11" customFormat="1" x14ac:dyDescent="0.25">
      <c r="A60" s="54">
        <v>2</v>
      </c>
      <c r="B60" s="56">
        <f>'Shiftfunktion bestimmen'!N2</f>
        <v>2.1745267885057164E-3</v>
      </c>
      <c r="D60" s="55">
        <v>2</v>
      </c>
    </row>
    <row r="61" spans="1:4" s="11" customFormat="1" x14ac:dyDescent="0.25">
      <c r="A61" s="54">
        <v>3</v>
      </c>
      <c r="B61" s="56">
        <f>'Shiftfunktion bestimmen'!N3</f>
        <v>5.0295806685179444E-6</v>
      </c>
      <c r="D61" s="55">
        <v>3</v>
      </c>
    </row>
    <row r="62" spans="1:4" s="11" customFormat="1" x14ac:dyDescent="0.25">
      <c r="A62" s="54">
        <v>4</v>
      </c>
      <c r="B62" s="56">
        <f>'Shiftfunktion bestimmen'!N4</f>
        <v>-3.0884491024296243E-7</v>
      </c>
      <c r="D62" s="55">
        <v>4</v>
      </c>
    </row>
    <row r="63" spans="1:4" s="11" customFormat="1" x14ac:dyDescent="0.25">
      <c r="A63" s="54">
        <v>5</v>
      </c>
      <c r="B63" s="56">
        <f>'Shiftfunktion bestimmen'!N5</f>
        <v>-5.3064122336461039E-10</v>
      </c>
      <c r="D63" s="55">
        <v>5</v>
      </c>
    </row>
    <row r="64" spans="1:4" s="11" customFormat="1" x14ac:dyDescent="0.25">
      <c r="A64" s="54">
        <v>6</v>
      </c>
      <c r="B64" s="56">
        <f>'Shiftfunktion bestimmen'!N6</f>
        <v>1.8192974417610105E-11</v>
      </c>
      <c r="D64" s="55">
        <v>6</v>
      </c>
    </row>
    <row r="65" spans="1:5" s="11" customFormat="1" x14ac:dyDescent="0.25">
      <c r="A65" s="54">
        <v>7</v>
      </c>
      <c r="B65" s="56">
        <f>'Shiftfunktion bestimmen'!N7</f>
        <v>5.9506504864885704E-14</v>
      </c>
      <c r="D65" s="55">
        <v>7</v>
      </c>
    </row>
    <row r="66" spans="1:5" x14ac:dyDescent="0.25">
      <c r="A66" s="54">
        <v>8</v>
      </c>
      <c r="B66" s="56">
        <f>'Shiftfunktion bestimmen'!N8</f>
        <v>-3.1418687950252879E-17</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2.2478093185573218E-2</v>
      </c>
      <c r="D74" s="51">
        <v>1</v>
      </c>
      <c r="E74" s="56">
        <f>'Mastercurve bestimmen'!A18</f>
        <v>1.0000000000000001E-20</v>
      </c>
    </row>
    <row r="75" spans="1:5" x14ac:dyDescent="0.25">
      <c r="A75" s="50">
        <f>A74+1</f>
        <v>2</v>
      </c>
      <c r="B75" s="56">
        <f>'Mastercurve bestimmen'!C19</f>
        <v>5.0929923906181264E-2</v>
      </c>
      <c r="D75" s="51">
        <v>2</v>
      </c>
      <c r="E75" s="56">
        <f>'Mastercurve bestimmen'!A19</f>
        <v>3.9038946506297401E-14</v>
      </c>
    </row>
    <row r="76" spans="1:5" x14ac:dyDescent="0.25">
      <c r="A76" s="50">
        <f t="shared" ref="A76:A104" si="0">A75+1</f>
        <v>3</v>
      </c>
      <c r="B76" s="56">
        <f>'Mastercurve bestimmen'!C20</f>
        <v>9.6872855231009188E-3</v>
      </c>
      <c r="D76" s="51">
        <v>3</v>
      </c>
      <c r="E76" s="56">
        <f>'Mastercurve bestimmen'!A20</f>
        <v>4.3276437088188502E-13</v>
      </c>
    </row>
    <row r="77" spans="1:5" x14ac:dyDescent="0.25">
      <c r="A77" s="50">
        <f t="shared" si="0"/>
        <v>4</v>
      </c>
      <c r="B77" s="56">
        <f>'Mastercurve bestimmen'!C21</f>
        <v>2.5365400912727508E-2</v>
      </c>
      <c r="D77" s="51">
        <v>4</v>
      </c>
      <c r="E77" s="56">
        <f>'Mastercurve bestimmen'!A21</f>
        <v>4.7973886968128502E-12</v>
      </c>
    </row>
    <row r="78" spans="1:5" x14ac:dyDescent="0.25">
      <c r="A78" s="50">
        <f t="shared" si="0"/>
        <v>5</v>
      </c>
      <c r="B78" s="56">
        <f>'Mastercurve bestimmen'!C22</f>
        <v>2.3099378117218305E-2</v>
      </c>
      <c r="D78" s="51">
        <v>5</v>
      </c>
      <c r="E78" s="56">
        <f>'Mastercurve bestimmen'!A22</f>
        <v>5.31812225239524E-11</v>
      </c>
    </row>
    <row r="79" spans="1:5" x14ac:dyDescent="0.25">
      <c r="A79" s="50">
        <f t="shared" si="0"/>
        <v>6</v>
      </c>
      <c r="B79" s="56">
        <f>'Mastercurve bestimmen'!C23</f>
        <v>2.7649262864666301E-2</v>
      </c>
      <c r="D79" s="51">
        <v>6</v>
      </c>
      <c r="E79" s="56">
        <f>'Mastercurve bestimmen'!A23</f>
        <v>5.8953789402578301E-10</v>
      </c>
    </row>
    <row r="80" spans="1:5" x14ac:dyDescent="0.25">
      <c r="A80" s="50">
        <f t="shared" si="0"/>
        <v>7</v>
      </c>
      <c r="B80" s="56">
        <f>'Mastercurve bestimmen'!C24</f>
        <v>2.9567803961689888E-2</v>
      </c>
      <c r="D80" s="51">
        <v>7</v>
      </c>
      <c r="E80" s="56">
        <f>'Mastercurve bestimmen'!A24</f>
        <v>6.5352940755699598E-9</v>
      </c>
    </row>
    <row r="81" spans="1:5" x14ac:dyDescent="0.25">
      <c r="A81" s="50">
        <f t="shared" si="0"/>
        <v>8</v>
      </c>
      <c r="B81" s="56">
        <f>'Mastercurve bestimmen'!C25</f>
        <v>2.9957814581893651E-2</v>
      </c>
      <c r="D81" s="51">
        <v>8</v>
      </c>
      <c r="E81" s="56">
        <f>'Mastercurve bestimmen'!A25</f>
        <v>7.2446689325643296E-8</v>
      </c>
    </row>
    <row r="82" spans="1:5" x14ac:dyDescent="0.25">
      <c r="A82" s="50">
        <f t="shared" si="0"/>
        <v>9</v>
      </c>
      <c r="B82" s="56">
        <f>'Mastercurve bestimmen'!C26</f>
        <v>2.7071321334420872E-2</v>
      </c>
      <c r="D82" s="51">
        <f>A82</f>
        <v>9</v>
      </c>
      <c r="E82" s="56">
        <f>'Mastercurve bestimmen'!A26</f>
        <v>8.03104303120212E-7</v>
      </c>
    </row>
    <row r="83" spans="1:5" x14ac:dyDescent="0.25">
      <c r="A83" s="50">
        <f t="shared" si="0"/>
        <v>10</v>
      </c>
      <c r="B83" s="56">
        <f>'Mastercurve bestimmen'!C27</f>
        <v>3.2010538564501728E-2</v>
      </c>
      <c r="C83" s="11"/>
      <c r="D83" s="51">
        <f t="shared" ref="D83:D104" si="1">A83</f>
        <v>10</v>
      </c>
      <c r="E83" s="56">
        <f>'Mastercurve bestimmen'!A27</f>
        <v>8.9027742702096099E-6</v>
      </c>
    </row>
    <row r="84" spans="1:5" x14ac:dyDescent="0.25">
      <c r="A84" s="50">
        <f t="shared" si="0"/>
        <v>11</v>
      </c>
      <c r="B84" s="56">
        <f>'Mastercurve bestimmen'!C28</f>
        <v>4.0907961623415999E-2</v>
      </c>
      <c r="C84" s="11"/>
      <c r="D84" s="51">
        <f t="shared" si="1"/>
        <v>11</v>
      </c>
      <c r="E84" s="56">
        <f>'Mastercurve bestimmen'!A28</f>
        <v>9.86912775817142E-5</v>
      </c>
    </row>
    <row r="85" spans="1:5" x14ac:dyDescent="0.25">
      <c r="A85" s="50">
        <f t="shared" si="0"/>
        <v>12</v>
      </c>
      <c r="B85" s="56">
        <f>'Mastercurve bestimmen'!C29</f>
        <v>4.0610124346011141E-2</v>
      </c>
      <c r="C85" s="11"/>
      <c r="D85" s="51">
        <f t="shared" si="1"/>
        <v>12</v>
      </c>
      <c r="E85" s="56">
        <f>'Mastercurve bestimmen'!A29</f>
        <v>1.0940374286813801E-3</v>
      </c>
    </row>
    <row r="86" spans="1:5" x14ac:dyDescent="0.25">
      <c r="A86" s="50">
        <f t="shared" si="0"/>
        <v>13</v>
      </c>
      <c r="B86" s="56">
        <f>'Mastercurve bestimmen'!C30</f>
        <v>2.925116065031759E-2</v>
      </c>
      <c r="C86" s="11"/>
      <c r="D86" s="51">
        <f t="shared" si="1"/>
        <v>13</v>
      </c>
      <c r="E86" s="56">
        <f>'Mastercurve bestimmen'!A30</f>
        <v>1.2127899493091E-2</v>
      </c>
    </row>
    <row r="87" spans="1:5" x14ac:dyDescent="0.25">
      <c r="A87" s="50">
        <f t="shared" si="0"/>
        <v>14</v>
      </c>
      <c r="B87" s="56">
        <f>'Mastercurve bestimmen'!C31</f>
        <v>3.1259582937297976E-2</v>
      </c>
      <c r="C87" s="11"/>
      <c r="D87" s="51">
        <f t="shared" si="1"/>
        <v>14</v>
      </c>
      <c r="E87" s="56">
        <f>'Mastercurve bestimmen'!A31</f>
        <v>0.13444324870292301</v>
      </c>
    </row>
    <row r="88" spans="1:5" x14ac:dyDescent="0.25">
      <c r="A88" s="50">
        <f t="shared" si="0"/>
        <v>15</v>
      </c>
      <c r="B88" s="56">
        <f>'Mastercurve bestimmen'!C32</f>
        <v>2.9704645444291411E-2</v>
      </c>
      <c r="C88" s="11"/>
      <c r="D88" s="51">
        <f t="shared" si="1"/>
        <v>15</v>
      </c>
      <c r="E88" s="56">
        <f>'Mastercurve bestimmen'!A32</f>
        <v>1.49036419143257</v>
      </c>
    </row>
    <row r="89" spans="1:5" x14ac:dyDescent="0.25">
      <c r="A89" s="50">
        <f t="shared" si="0"/>
        <v>16</v>
      </c>
      <c r="B89" s="56">
        <f>'Mastercurve bestimmen'!C33</f>
        <v>3.5282603781975501E-2</v>
      </c>
      <c r="C89" s="11"/>
      <c r="D89" s="51">
        <f t="shared" si="1"/>
        <v>16</v>
      </c>
      <c r="E89" s="56">
        <f>'Mastercurve bestimmen'!A33</f>
        <v>16.521360830937301</v>
      </c>
    </row>
    <row r="90" spans="1:5" x14ac:dyDescent="0.25">
      <c r="A90" s="50">
        <f t="shared" si="0"/>
        <v>17</v>
      </c>
      <c r="B90" s="56">
        <f>'Mastercurve bestimmen'!C34</f>
        <v>3.4987985455608057E-2</v>
      </c>
      <c r="C90" s="11"/>
      <c r="D90" s="51">
        <f t="shared" si="1"/>
        <v>17</v>
      </c>
      <c r="E90" s="56">
        <f>'Mastercurve bestimmen'!A34</f>
        <v>183.146753843879</v>
      </c>
    </row>
    <row r="91" spans="1:5" x14ac:dyDescent="0.25">
      <c r="A91" s="50">
        <f t="shared" si="0"/>
        <v>18</v>
      </c>
      <c r="B91" s="56">
        <f>'Mastercurve bestimmen'!C35</f>
        <v>4.0020818076897231E-2</v>
      </c>
      <c r="C91" s="11"/>
      <c r="D91" s="51">
        <f t="shared" si="1"/>
        <v>18</v>
      </c>
      <c r="E91" s="56">
        <f>'Mastercurve bestimmen'!A35</f>
        <v>2030.26456396616</v>
      </c>
    </row>
    <row r="92" spans="1:5" x14ac:dyDescent="0.25">
      <c r="A92" s="50">
        <f t="shared" si="0"/>
        <v>19</v>
      </c>
      <c r="B92" s="56">
        <f>'Mastercurve bestimmen'!C36</f>
        <v>3.51305921997421E-2</v>
      </c>
      <c r="C92" s="11"/>
      <c r="D92" s="51">
        <f t="shared" si="1"/>
        <v>19</v>
      </c>
      <c r="E92" s="56">
        <f>'Mastercurve bestimmen'!A36</f>
        <v>22506.400540467101</v>
      </c>
    </row>
    <row r="93" spans="1:5" x14ac:dyDescent="0.25">
      <c r="A93" s="50">
        <f t="shared" si="0"/>
        <v>20</v>
      </c>
      <c r="B93" s="56">
        <f>'Mastercurve bestimmen'!C37</f>
        <v>5.1976552303921161E-2</v>
      </c>
      <c r="C93" s="11"/>
      <c r="D93" s="51">
        <f t="shared" si="1"/>
        <v>20</v>
      </c>
      <c r="E93" s="56">
        <f>'Mastercurve bestimmen'!A37</f>
        <v>249493.62476110301</v>
      </c>
    </row>
    <row r="94" spans="1:5" x14ac:dyDescent="0.25">
      <c r="A94" s="50">
        <f t="shared" si="0"/>
        <v>21</v>
      </c>
      <c r="B94" s="56">
        <f>'Mastercurve bestimmen'!C38</f>
        <v>2.3181635308382595E-6</v>
      </c>
      <c r="C94" s="11"/>
      <c r="D94" s="51">
        <f t="shared" si="1"/>
        <v>21</v>
      </c>
      <c r="E94" s="56">
        <f>'Mastercurve bestimmen'!A38</f>
        <v>2765749.6224023802</v>
      </c>
    </row>
    <row r="95" spans="1:5" x14ac:dyDescent="0.25">
      <c r="A95" s="50">
        <f t="shared" si="0"/>
        <v>22</v>
      </c>
      <c r="B95" s="56">
        <f>'Mastercurve bestimmen'!C39</f>
        <v>7.5767559561282297E-2</v>
      </c>
      <c r="C95" s="11"/>
      <c r="D95" s="51">
        <f t="shared" si="1"/>
        <v>22</v>
      </c>
      <c r="E95" s="56">
        <f>'Mastercurve bestimmen'!A39</f>
        <v>10000000</v>
      </c>
    </row>
    <row r="96" spans="1:5" x14ac:dyDescent="0.25">
      <c r="A96" s="50">
        <f t="shared" si="0"/>
        <v>23</v>
      </c>
      <c r="B96" s="56">
        <f>'Mastercurve bestimmen'!C40</f>
        <v>3.067875950056604E-2</v>
      </c>
      <c r="C96" s="11"/>
      <c r="D96" s="51">
        <f t="shared" si="1"/>
        <v>23</v>
      </c>
      <c r="E96" s="56">
        <f>'Mastercurve bestimmen'!A40</f>
        <v>100000000</v>
      </c>
    </row>
    <row r="97" spans="1:5" x14ac:dyDescent="0.25">
      <c r="A97" s="50">
        <f t="shared" si="0"/>
        <v>24</v>
      </c>
      <c r="B97" s="56">
        <f>'Mastercurve bestimmen'!C41</f>
        <v>7.5768782257570458E-2</v>
      </c>
      <c r="C97" s="11"/>
      <c r="D97" s="51">
        <f t="shared" si="1"/>
        <v>24</v>
      </c>
      <c r="E97" s="56">
        <f>'Mastercurve bestimmen'!A41</f>
        <v>1000000000</v>
      </c>
    </row>
    <row r="98" spans="1:5" x14ac:dyDescent="0.25">
      <c r="A98" s="50">
        <f t="shared" si="0"/>
        <v>25</v>
      </c>
      <c r="B98" s="56">
        <f>'Mastercurve bestimmen'!C42</f>
        <v>3.996144450245992E-2</v>
      </c>
      <c r="C98" s="11"/>
      <c r="D98" s="51">
        <f t="shared" si="1"/>
        <v>25</v>
      </c>
      <c r="E98" s="56">
        <f>'Mastercurve bestimmen'!A42</f>
        <v>10000000000</v>
      </c>
    </row>
    <row r="99" spans="1:5" x14ac:dyDescent="0.25">
      <c r="A99" s="50">
        <f t="shared" si="0"/>
        <v>26</v>
      </c>
      <c r="B99" s="56">
        <f>'Mastercurve bestimmen'!C43</f>
        <v>4.8323610204746917E-2</v>
      </c>
      <c r="C99" s="11"/>
      <c r="D99" s="51">
        <f t="shared" si="1"/>
        <v>26</v>
      </c>
      <c r="E99" s="56">
        <f>'Mastercurve bestimmen'!A43</f>
        <v>100000000000</v>
      </c>
    </row>
    <row r="100" spans="1:5" x14ac:dyDescent="0.25">
      <c r="A100" s="50">
        <f t="shared" si="0"/>
        <v>27</v>
      </c>
      <c r="B100" s="56">
        <f>'Mastercurve bestimmen'!C44</f>
        <v>1.4844365312015322E-2</v>
      </c>
      <c r="C100" s="11"/>
      <c r="D100" s="51">
        <f t="shared" si="1"/>
        <v>27</v>
      </c>
      <c r="E100" s="56">
        <f>'Mastercurve bestimmen'!A44</f>
        <v>1000000000000</v>
      </c>
    </row>
    <row r="101" spans="1:5" x14ac:dyDescent="0.25">
      <c r="A101" s="50">
        <f t="shared" si="0"/>
        <v>28</v>
      </c>
      <c r="B101" s="56">
        <f>'Mastercurve bestimmen'!C45</f>
        <v>1.5641900970231219E-2</v>
      </c>
      <c r="C101" s="11"/>
      <c r="D101" s="51">
        <f t="shared" si="1"/>
        <v>28</v>
      </c>
      <c r="E101" s="56">
        <f>'Mastercurve bestimmen'!A45</f>
        <v>10000000000000</v>
      </c>
    </row>
    <row r="102" spans="1:5" x14ac:dyDescent="0.25">
      <c r="A102" s="50">
        <f t="shared" si="0"/>
        <v>29</v>
      </c>
      <c r="B102" s="56">
        <f>'Mastercurve bestimmen'!C46</f>
        <v>1.5176002473828224E-3</v>
      </c>
      <c r="C102" s="11"/>
      <c r="D102" s="51">
        <f t="shared" si="1"/>
        <v>29</v>
      </c>
      <c r="E102" s="56">
        <f>'Mastercurve bestimmen'!A46</f>
        <v>100000000000000</v>
      </c>
    </row>
    <row r="103" spans="1:5" x14ac:dyDescent="0.25">
      <c r="A103" s="50">
        <f t="shared" si="0"/>
        <v>30</v>
      </c>
      <c r="B103" s="56">
        <f>'Mastercurve bestimmen'!C47</f>
        <v>3.5883218113444658E-3</v>
      </c>
      <c r="C103" s="11"/>
      <c r="D103" s="51">
        <f t="shared" si="1"/>
        <v>30</v>
      </c>
      <c r="E103" s="56">
        <f>'Mastercurve bestimmen'!A47</f>
        <v>1000000000000000</v>
      </c>
    </row>
    <row r="104" spans="1:5" x14ac:dyDescent="0.25">
      <c r="A104" s="50">
        <f t="shared" si="0"/>
        <v>31</v>
      </c>
      <c r="B104" s="56">
        <f>'Mastercurve bestimmen'!C48</f>
        <v>1.1419429769572463E-2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03">
        <f>STUTT!D8</f>
        <v>5614.1607000000004</v>
      </c>
      <c r="D113" s="103"/>
    </row>
    <row r="114" spans="1:4" s="11" customFormat="1" x14ac:dyDescent="0.25">
      <c r="A114" s="61" t="str">
        <f>STUTT!B9</f>
        <v>MP,GXY,</v>
      </c>
      <c r="B114" s="52" t="str">
        <f>STUTT!C9</f>
        <v>MatID,</v>
      </c>
      <c r="C114" s="103">
        <f>STUTT!D9</f>
        <v>6353.6364000000003</v>
      </c>
      <c r="D114" s="103"/>
    </row>
    <row r="115" spans="1:4" x14ac:dyDescent="0.25">
      <c r="A115" s="61" t="str">
        <f>STUTT!B10</f>
        <v>MP,GYZ,</v>
      </c>
      <c r="B115" s="52" t="str">
        <f>STUTT!C10</f>
        <v>MatID,</v>
      </c>
      <c r="C115" s="103">
        <f>STUTT!D10</f>
        <v>6353.6364000000003</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6"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90">
        <f>(INDEX(L:L,ROW(L2)*2+1)+INDEX(L:L,ROW(L2)*2+2))/2</f>
        <v>2.4226182285714289E-5</v>
      </c>
      <c r="P5" s="90">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90">
        <f t="shared" ref="O6:O7" si="2">(INDEX(L:L,ROW(L3)*2+1)+INDEX(L:L,ROW(L3)*2+2))/2</f>
        <v>2.6648912571428573E-5</v>
      </c>
      <c r="P6" s="90">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90">
        <f t="shared" si="2"/>
        <v>5.1568891714285722E-5</v>
      </c>
      <c r="P7" s="90">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90">
        <f t="shared" ref="O8:O9" si="4">(INDEX(L:L,ROW(L5)*2+1)+INDEX(L:L,ROW(L5)*2+2))/2</f>
        <v>7.4083502857142863E-5</v>
      </c>
      <c r="P8" s="90">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90">
        <f t="shared" si="4"/>
        <v>7.3900625714285717E-5</v>
      </c>
      <c r="P9" s="90">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N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C3" sqref="C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7" t="s">
        <v>26</v>
      </c>
      <c r="B15" s="107"/>
      <c r="C15" s="107"/>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5541.3343805505365</v>
      </c>
      <c r="G16" s="26">
        <f>INDEX(Comparison!$AM$3:$AS$33,G14,$B$3)</f>
        <v>5343.1911525840997</v>
      </c>
      <c r="H16" s="26">
        <f>INDEX(Comparison!$AM$3:$AS$33,H14,$B$3)</f>
        <v>5230.4848257433341</v>
      </c>
      <c r="I16" s="26">
        <f>INDEX(Comparison!$AM$3:$AS$33,I14,$B$3)</f>
        <v>5120.1446027142574</v>
      </c>
      <c r="J16" s="26">
        <f>INDEX(Comparison!$AM$3:$AS$33,J14,$B$3)</f>
        <v>4998.3099857085181</v>
      </c>
      <c r="K16" s="26">
        <f>INDEX(Comparison!$AM$3:$AS$33,K14,$B$3)</f>
        <v>4868.289986185935</v>
      </c>
      <c r="L16" s="26">
        <f>INDEX(Comparison!$AM$3:$AS$33,L14,$B$3)</f>
        <v>4722.7423685745798</v>
      </c>
      <c r="M16" s="26">
        <f>INDEX(Comparison!$AM$3:$AS$33,M14,$B$3)</f>
        <v>4566.4647906515956</v>
      </c>
      <c r="N16" s="26">
        <f>INDEX(Comparison!$AM$3:$AS$33,N14,$B$3)</f>
        <v>4408.434781704007</v>
      </c>
      <c r="O16" s="26">
        <f>INDEX(Comparison!$AM$3:$AS$33,O14,$B$3)</f>
        <v>4256.2001953133786</v>
      </c>
      <c r="P16" s="26">
        <f>INDEX(Comparison!$AM$3:$AS$33,P14,$B$3)</f>
        <v>4088.6897076558816</v>
      </c>
      <c r="Q16" s="26">
        <f>INDEX(Comparison!$AM$3:$AS$33,Q14,$B$3)</f>
        <v>3886.5453020717396</v>
      </c>
      <c r="R16" s="26">
        <f>INDEX(Comparison!$AM$3:$AS$33,R14,$B$3)</f>
        <v>3674.0476464355193</v>
      </c>
      <c r="S16" s="26">
        <f>INDEX(Comparison!$AM$3:$AS$33,S14,$B$3)</f>
        <v>3490.4964950029853</v>
      </c>
      <c r="T16" s="26">
        <f>INDEX(Comparison!$AM$3:$AS$33,T14,$B$3)</f>
        <v>3328.6476119407066</v>
      </c>
      <c r="U16" s="26">
        <f>INDEX(Comparison!$AM$3:$AS$33,U14,$B$3)</f>
        <v>3162.6549081928265</v>
      </c>
      <c r="V16" s="26">
        <f>INDEX(Comparison!$AM$3:$AS$33,V14,$B$3)</f>
        <v>2989.0593935666489</v>
      </c>
      <c r="W16" s="26">
        <f>INDEX(Comparison!$AM$3:$AS$33,W14,$B$3)</f>
        <v>2798.1852090008501</v>
      </c>
      <c r="X16" s="26">
        <f>INDEX(Comparison!$AM$3:$AS$33,X14,$B$3)</f>
        <v>2599.5030730508342</v>
      </c>
      <c r="Y16" s="26">
        <f>INDEX(Comparison!$AM$3:$AS$33,Y14,$B$3)</f>
        <v>2390.0680354035449</v>
      </c>
      <c r="Z16" s="26">
        <f>INDEX(Comparison!$AM$3:$AS$33,Z14,$B$3)</f>
        <v>2175.40034172183</v>
      </c>
      <c r="AA16" s="26">
        <f>INDEX(Comparison!$AM$3:$AS$33,AA14,$B$3)</f>
        <v>1944.7438917872487</v>
      </c>
      <c r="AB16" s="26">
        <f>INDEX(Comparison!$AM$3:$AS$33,AB14,$B$3)</f>
        <v>1692.3075271682321</v>
      </c>
      <c r="AC16" s="26">
        <f>INDEX(Comparison!$AM$3:$AS$33,AC14,$B$3)</f>
        <v>1404.857998960405</v>
      </c>
      <c r="AD16" s="26">
        <f>INDEX(Comparison!$AM$3:$AS$33,AD14,$B$3)</f>
        <v>1091.4425267820036</v>
      </c>
      <c r="AE16" s="26">
        <f>INDEX(Comparison!$AM$3:$AS$33,AE14,$B$3)</f>
        <v>790.55484106714846</v>
      </c>
      <c r="AF16" s="26">
        <f>INDEX(Comparison!$AM$3:$AS$33,AF14,$B$3)</f>
        <v>554.44228824478739</v>
      </c>
      <c r="AG16" s="26">
        <f>INDEX(Comparison!$AM$3:$AS$33,AG14,$B$3)</f>
        <v>402.30286435501444</v>
      </c>
      <c r="AH16" s="26">
        <f>INDEX(Comparison!$AM$3:$AS$33,AH14,$B$3)</f>
        <v>323.52349101295181</v>
      </c>
      <c r="AI16" s="26">
        <f>INDEX(Comparison!$AM$3:$AS$33,AI14,$B$3)</f>
        <v>284.35137217816799</v>
      </c>
      <c r="AJ16" s="26">
        <f>INDEX(Comparison!$AM$3:$AS$33,AJ14,$B$3)</f>
        <v>264.92729834801332</v>
      </c>
    </row>
    <row r="17" spans="1:36" x14ac:dyDescent="0.25">
      <c r="A17" s="14" t="s">
        <v>20</v>
      </c>
      <c r="B17" s="14">
        <v>7.3712304490359037E-2</v>
      </c>
      <c r="C17" s="18">
        <f t="shared" ref="C17:C48" si="3">ABS(B17/$B$49)</f>
        <v>3.5537057927845749E-2</v>
      </c>
      <c r="D17" s="67"/>
      <c r="E17" s="66" t="s">
        <v>22</v>
      </c>
      <c r="F17" s="27">
        <f>($C$17+SUM(F18:F48))*$B$51</f>
        <v>5480.575953422308</v>
      </c>
      <c r="G17" s="27">
        <f t="shared" ref="G17:M17" si="4">($C$17+SUM(G18:G48))*$B$51</f>
        <v>5421.785448120424</v>
      </c>
      <c r="H17" s="27">
        <f t="shared" si="4"/>
        <v>5209.6746002848349</v>
      </c>
      <c r="I17" s="27">
        <f t="shared" si="4"/>
        <v>5123.5436694295613</v>
      </c>
      <c r="J17" s="27">
        <f t="shared" si="4"/>
        <v>4997.8365851105464</v>
      </c>
      <c r="K17" s="27">
        <f t="shared" si="4"/>
        <v>4868.3503262507302</v>
      </c>
      <c r="L17" s="27">
        <f t="shared" si="4"/>
        <v>4722.7281882586667</v>
      </c>
      <c r="M17" s="27">
        <f t="shared" si="4"/>
        <v>4566.4821573051158</v>
      </c>
      <c r="N17" s="27">
        <f t="shared" ref="N17" si="5">($C$17+SUM(N18:N48))*$B$51</f>
        <v>4408.3903656096436</v>
      </c>
      <c r="O17" s="27">
        <f t="shared" ref="O17" si="6">($C$17+SUM(O18:O48))*$B$51</f>
        <v>4256.2872754874061</v>
      </c>
      <c r="P17" s="27">
        <f t="shared" ref="P17" si="7">($C$17+SUM(P18:P48))*$B$51</f>
        <v>4088.5446081586424</v>
      </c>
      <c r="Q17" s="27">
        <f t="shared" ref="Q17" si="8">($C$17+SUM(Q18:Q48))*$B$51</f>
        <v>3886.7596058818554</v>
      </c>
      <c r="R17" s="27">
        <f t="shared" ref="R17" si="9">($C$17+SUM(R18:R48))*$B$51</f>
        <v>3673.784522382779</v>
      </c>
      <c r="S17" s="27">
        <f t="shared" ref="S17:T17" si="10">($C$17+SUM(S18:S48))*$B$51</f>
        <v>3490.7735996099409</v>
      </c>
      <c r="T17" s="27">
        <f t="shared" si="10"/>
        <v>3328.3991816653679</v>
      </c>
      <c r="U17" s="27">
        <f t="shared" ref="U17" si="11">($C$17+SUM(U18:U48))*$B$51</f>
        <v>3162.8449113738484</v>
      </c>
      <c r="V17" s="27">
        <f t="shared" ref="V17" si="12">($C$17+SUM(V18:V48))*$B$51</f>
        <v>2988.9304861253154</v>
      </c>
      <c r="W17" s="27">
        <f t="shared" ref="W17" si="13">($C$17+SUM(W18:W48))*$B$51</f>
        <v>2798.2563575404602</v>
      </c>
      <c r="X17" s="27">
        <f t="shared" ref="X17" si="14">($C$17+SUM(X18:X48))*$B$51</f>
        <v>2599.4683038748653</v>
      </c>
      <c r="Y17" s="27">
        <f t="shared" ref="Y17" si="15">($C$17+SUM(Y18:Y48))*$B$51</f>
        <v>2390.0853580471808</v>
      </c>
      <c r="Z17" s="27">
        <f t="shared" ref="Z17:AA17" si="16">($C$17+SUM(Z18:Z48))*$B$51</f>
        <v>2175.3986348021385</v>
      </c>
      <c r="AA17" s="27">
        <f t="shared" si="16"/>
        <v>1944.7397163813425</v>
      </c>
      <c r="AB17" s="27">
        <f t="shared" ref="AB17" si="17">($C$17+SUM(AB18:AB48))*$B$51</f>
        <v>1692.3120676805406</v>
      </c>
      <c r="AC17" s="27">
        <f t="shared" ref="AC17" si="18">($C$17+SUM(AC18:AC48))*$B$51</f>
        <v>1404.854559776777</v>
      </c>
      <c r="AD17" s="27">
        <f t="shared" ref="AD17" si="19">($C$17+SUM(AD18:AD48))*$B$51</f>
        <v>1091.4423439376674</v>
      </c>
      <c r="AE17" s="27">
        <f t="shared" ref="AE17" si="20">($C$17+SUM(AE18:AE48))*$B$51</f>
        <v>790.55570042175134</v>
      </c>
      <c r="AF17" s="27">
        <f t="shared" ref="AF17" si="21">($C$17+SUM(AF18:AF48))*$B$51</f>
        <v>554.44045010675757</v>
      </c>
      <c r="AG17" s="27">
        <f t="shared" ref="AG17:AH17" si="22">($C$17+SUM(AG18:AG48))*$B$51</f>
        <v>402.30564102787349</v>
      </c>
      <c r="AH17" s="27">
        <f t="shared" si="22"/>
        <v>323.52095415957342</v>
      </c>
      <c r="AI17" s="27">
        <f t="shared" ref="AI17" si="23">($C$17+SUM(AI18:AI48))*$B$51</f>
        <v>284.35002182103159</v>
      </c>
      <c r="AJ17" s="27">
        <f t="shared" ref="AJ17" si="24">($C$17+SUM(AJ18:AJ48))*$B$51</f>
        <v>264.93181674350376</v>
      </c>
    </row>
    <row r="18" spans="1:36" x14ac:dyDescent="0.25">
      <c r="A18" s="3">
        <f>0.000000000000001/10^5</f>
        <v>1.0000000000000001E-20</v>
      </c>
      <c r="B18" s="17">
        <v>4.6624907796864415E-2</v>
      </c>
      <c r="C18" s="18">
        <f t="shared" si="3"/>
        <v>2.2478093185573218E-2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0.10564076706253173</v>
      </c>
      <c r="C19" s="18">
        <f t="shared" si="3"/>
        <v>5.0929923906181264E-2</v>
      </c>
      <c r="D19" s="17"/>
      <c r="F19" s="3">
        <f t="shared" si="25"/>
        <v>4.9641898326582112E-2</v>
      </c>
      <c r="G19" s="3">
        <f t="shared" si="25"/>
        <v>3.9420902404197884E-2</v>
      </c>
      <c r="H19" s="3">
        <f t="shared" si="25"/>
        <v>3.9310482230511942E-3</v>
      </c>
      <c r="I19" s="3">
        <f t="shared" si="25"/>
        <v>3.8223149466779923E-13</v>
      </c>
      <c r="J19" s="3">
        <f t="shared" si="25"/>
        <v>2.8874032511776556E-113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2.0093732621696208E-2</v>
      </c>
      <c r="C20" s="18">
        <f t="shared" si="3"/>
        <v>9.6872855231009188E-3</v>
      </c>
      <c r="D20" s="17"/>
      <c r="F20" s="3">
        <f t="shared" si="25"/>
        <v>9.6649267004773175E-3</v>
      </c>
      <c r="G20" s="3">
        <f t="shared" si="25"/>
        <v>9.4660053076955474E-3</v>
      </c>
      <c r="H20" s="3">
        <f t="shared" si="25"/>
        <v>7.688622417496958E-3</v>
      </c>
      <c r="I20" s="3">
        <f t="shared" si="25"/>
        <v>9.6087397896565984E-4</v>
      </c>
      <c r="J20" s="3">
        <f t="shared" si="25"/>
        <v>8.9298758906264993E-13</v>
      </c>
      <c r="K20" s="3">
        <f t="shared" si="25"/>
        <v>4.2917590064026241E-103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5.2613870270164613E-2</v>
      </c>
      <c r="C21" s="18">
        <f t="shared" si="3"/>
        <v>2.5365400912727508E-2</v>
      </c>
      <c r="D21" s="17"/>
      <c r="F21" s="3">
        <f t="shared" si="25"/>
        <v>2.5360114128805709E-2</v>
      </c>
      <c r="G21" s="3">
        <f t="shared" si="25"/>
        <v>2.5312582631369464E-2</v>
      </c>
      <c r="H21" s="3">
        <f t="shared" si="25"/>
        <v>2.4842139966016884E-2</v>
      </c>
      <c r="I21" s="3">
        <f t="shared" si="25"/>
        <v>2.0592755595050718E-2</v>
      </c>
      <c r="J21" s="3">
        <f t="shared" si="25"/>
        <v>3.1547799536026972E-3</v>
      </c>
      <c r="K21" s="3">
        <f t="shared" si="25"/>
        <v>2.2465451267050274E-11</v>
      </c>
      <c r="L21" s="3">
        <f t="shared" si="25"/>
        <v>7.5331374048010597E-93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4.7913600410351975E-2</v>
      </c>
      <c r="C22" s="18">
        <f t="shared" si="3"/>
        <v>2.3099378117218305E-2</v>
      </c>
      <c r="D22" s="17"/>
      <c r="F22" s="3">
        <f t="shared" si="25"/>
        <v>2.3098943769156222E-2</v>
      </c>
      <c r="G22" s="3">
        <f t="shared" si="25"/>
        <v>2.3095035004104987E-2</v>
      </c>
      <c r="H22" s="3">
        <f t="shared" si="25"/>
        <v>2.3055983714042508E-2</v>
      </c>
      <c r="I22" s="3">
        <f t="shared" si="25"/>
        <v>2.2669084193610373E-2</v>
      </c>
      <c r="J22" s="3">
        <f t="shared" si="25"/>
        <v>1.913978976148625E-2</v>
      </c>
      <c r="K22" s="3">
        <f t="shared" si="25"/>
        <v>3.523457509949706E-3</v>
      </c>
      <c r="L22" s="3">
        <f t="shared" si="25"/>
        <v>1.5750262441959997E-10</v>
      </c>
      <c r="M22" s="3">
        <f t="shared" si="25"/>
        <v>5.0173610671193855E-84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5.7351142780372753E-2</v>
      </c>
      <c r="C23" s="18">
        <f t="shared" si="3"/>
        <v>2.7649262864666301E-2</v>
      </c>
      <c r="D23" s="17"/>
      <c r="F23" s="3">
        <f t="shared" si="25"/>
        <v>2.7649215964815257E-2</v>
      </c>
      <c r="G23" s="3">
        <f t="shared" si="25"/>
        <v>2.764879386973575E-2</v>
      </c>
      <c r="H23" s="3">
        <f t="shared" si="25"/>
        <v>2.7644573273329958E-2</v>
      </c>
      <c r="I23" s="3">
        <f t="shared" si="25"/>
        <v>2.7602402728189021E-2</v>
      </c>
      <c r="J23" s="3">
        <f t="shared" si="25"/>
        <v>2.7184219243569788E-2</v>
      </c>
      <c r="K23" s="3">
        <f t="shared" si="25"/>
        <v>2.3335473898979064E-2</v>
      </c>
      <c r="L23" s="3">
        <f t="shared" si="25"/>
        <v>5.0700732439992648E-3</v>
      </c>
      <c r="M23" s="3">
        <f t="shared" si="25"/>
        <v>1.188475728285182E-9</v>
      </c>
      <c r="N23" s="3">
        <f t="shared" si="25"/>
        <v>5.9532092901448059E-76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6.1330653009053153E-2</v>
      </c>
      <c r="C24" s="18">
        <f t="shared" si="3"/>
        <v>2.9567803961689888E-2</v>
      </c>
      <c r="D24" s="17"/>
      <c r="F24" s="3">
        <f t="shared" si="25"/>
        <v>2.9567799437363766E-2</v>
      </c>
      <c r="G24" s="3">
        <f t="shared" si="25"/>
        <v>2.9567758718459822E-2</v>
      </c>
      <c r="H24" s="3">
        <f t="shared" si="25"/>
        <v>2.9567351532504536E-2</v>
      </c>
      <c r="I24" s="3">
        <f t="shared" si="25"/>
        <v>2.9563279981349912E-2</v>
      </c>
      <c r="J24" s="3">
        <f t="shared" si="25"/>
        <v>2.9522595293921487E-2</v>
      </c>
      <c r="K24" s="3">
        <f t="shared" si="25"/>
        <v>2.9118815182955407E-2</v>
      </c>
      <c r="L24" s="3">
        <f t="shared" si="25"/>
        <v>2.5372623120293706E-2</v>
      </c>
      <c r="M24" s="3">
        <f t="shared" si="25"/>
        <v>6.4015044957515298E-3</v>
      </c>
      <c r="N24" s="3">
        <f t="shared" si="25"/>
        <v>6.6903512184614108E-9</v>
      </c>
      <c r="O24" s="3">
        <f t="shared" si="25"/>
        <v>1.0402016562878958E-68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6.2139627731983359E-2</v>
      </c>
      <c r="C25" s="18">
        <f t="shared" si="3"/>
        <v>2.9957814581893651E-2</v>
      </c>
      <c r="D25" s="17"/>
      <c r="F25" s="3">
        <f t="shared" si="25"/>
        <v>2.9957814168378349E-2</v>
      </c>
      <c r="G25" s="3">
        <f t="shared" si="25"/>
        <v>2.995781044674092E-2</v>
      </c>
      <c r="H25" s="3">
        <f t="shared" si="25"/>
        <v>2.9957773230392039E-2</v>
      </c>
      <c r="I25" s="3">
        <f t="shared" si="25"/>
        <v>2.9957401069446027E-2</v>
      </c>
      <c r="J25" s="3">
        <f t="shared" si="25"/>
        <v>2.9953679714257966E-2</v>
      </c>
      <c r="K25" s="3">
        <f t="shared" si="25"/>
        <v>2.9916491577895409E-2</v>
      </c>
      <c r="L25" s="3">
        <f t="shared" si="25"/>
        <v>2.9547140122595072E-2</v>
      </c>
      <c r="M25" s="3">
        <f t="shared" si="25"/>
        <v>2.6095364128197011E-2</v>
      </c>
      <c r="N25" s="3">
        <f t="shared" si="25"/>
        <v>7.5342921518200094E-3</v>
      </c>
      <c r="O25" s="3">
        <f t="shared" si="25"/>
        <v>3.0327276371468257E-8</v>
      </c>
      <c r="P25" s="3">
        <f t="shared" si="25"/>
        <v>3.3864364789614106E-62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5.6152354683125856E-2</v>
      </c>
      <c r="C26" s="18">
        <f t="shared" si="3"/>
        <v>2.7071321334420872E-2</v>
      </c>
      <c r="D26" s="17"/>
      <c r="F26" s="3">
        <f t="shared" si="25"/>
        <v>2.707132130071252E-2</v>
      </c>
      <c r="G26" s="3">
        <f t="shared" si="25"/>
        <v>2.7071320997337368E-2</v>
      </c>
      <c r="H26" s="3">
        <f t="shared" si="25"/>
        <v>2.7071317963586031E-2</v>
      </c>
      <c r="I26" s="3">
        <f t="shared" si="25"/>
        <v>2.7071287626091362E-2</v>
      </c>
      <c r="J26" s="3">
        <f t="shared" si="25"/>
        <v>2.7070984253014532E-2</v>
      </c>
      <c r="K26" s="3">
        <f t="shared" si="25"/>
        <v>2.7067950709225404E-2</v>
      </c>
      <c r="L26" s="3">
        <f t="shared" si="25"/>
        <v>2.7037633961501422E-2</v>
      </c>
      <c r="M26" s="3">
        <f t="shared" si="25"/>
        <v>2.6736327774455906E-2</v>
      </c>
      <c r="N26" s="3">
        <f t="shared" si="25"/>
        <v>2.390190317853402E-2</v>
      </c>
      <c r="O26" s="3">
        <f t="shared" si="25"/>
        <v>7.7936292637013444E-3</v>
      </c>
      <c r="P26" s="3">
        <f t="shared" si="25"/>
        <v>1.0587961267373494E-7</v>
      </c>
      <c r="Q26" s="3">
        <f t="shared" si="25"/>
        <v>2.2674533129943454E-56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6.6397465157576954E-2</v>
      </c>
      <c r="C27" s="18">
        <f t="shared" si="3"/>
        <v>3.2010538564501728E-2</v>
      </c>
      <c r="D27" s="17"/>
      <c r="F27" s="3">
        <f t="shared" si="25"/>
        <v>3.201053856090616E-2</v>
      </c>
      <c r="G27" s="3">
        <f t="shared" si="25"/>
        <v>3.2010538528546038E-2</v>
      </c>
      <c r="H27" s="3">
        <f t="shared" si="25"/>
        <v>3.2010538204944837E-2</v>
      </c>
      <c r="I27" s="3">
        <f t="shared" si="25"/>
        <v>3.2010534968933003E-2</v>
      </c>
      <c r="J27" s="3">
        <f t="shared" si="25"/>
        <v>3.2010502608832613E-2</v>
      </c>
      <c r="K27" s="3">
        <f t="shared" si="25"/>
        <v>3.2010179009627986E-2</v>
      </c>
      <c r="L27" s="3">
        <f t="shared" si="25"/>
        <v>3.2006943197498611E-2</v>
      </c>
      <c r="M27" s="3">
        <f t="shared" si="25"/>
        <v>3.1974603061165216E-2</v>
      </c>
      <c r="N27" s="3">
        <f t="shared" si="25"/>
        <v>3.1652993484916667E-2</v>
      </c>
      <c r="O27" s="3">
        <f t="shared" si="25"/>
        <v>2.8609551811470634E-2</v>
      </c>
      <c r="P27" s="3">
        <f t="shared" si="25"/>
        <v>1.0410550950882398E-2</v>
      </c>
      <c r="Q27" s="3">
        <f t="shared" si="25"/>
        <v>4.2374082785821483E-7</v>
      </c>
      <c r="R27" s="3">
        <f t="shared" si="25"/>
        <v>5.2889112320720975E-51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8.4852835296260462E-2</v>
      </c>
      <c r="C28" s="18">
        <f t="shared" si="3"/>
        <v>4.0907961623415999E-2</v>
      </c>
      <c r="D28" s="17"/>
      <c r="F28" s="3">
        <f t="shared" si="25"/>
        <v>4.0907961623001497E-2</v>
      </c>
      <c r="G28" s="3">
        <f t="shared" si="25"/>
        <v>4.0907961619270954E-2</v>
      </c>
      <c r="H28" s="3">
        <f t="shared" si="25"/>
        <v>4.0907961581965566E-2</v>
      </c>
      <c r="I28" s="3">
        <f t="shared" si="25"/>
        <v>4.0907961208911672E-2</v>
      </c>
      <c r="J28" s="3">
        <f t="shared" si="25"/>
        <v>4.0907957478372933E-2</v>
      </c>
      <c r="K28" s="3">
        <f t="shared" si="25"/>
        <v>4.0907920173004271E-2</v>
      </c>
      <c r="L28" s="3">
        <f t="shared" si="25"/>
        <v>4.0907547121188707E-2</v>
      </c>
      <c r="M28" s="3">
        <f t="shared" si="25"/>
        <v>4.0903816790136494E-2</v>
      </c>
      <c r="N28" s="3">
        <f t="shared" si="25"/>
        <v>4.0866532183644645E-2</v>
      </c>
      <c r="O28" s="3">
        <f t="shared" si="25"/>
        <v>4.0495550226085857E-2</v>
      </c>
      <c r="P28" s="3">
        <f t="shared" si="25"/>
        <v>3.6966002087734248E-2</v>
      </c>
      <c r="Q28" s="3">
        <f t="shared" si="25"/>
        <v>1.4850951450842082E-2</v>
      </c>
      <c r="R28" s="3">
        <f t="shared" si="25"/>
        <v>1.626568002515712E-6</v>
      </c>
      <c r="S28" s="3">
        <f t="shared" si="25"/>
        <v>4.0406542307573145E-46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8.4235049993796135E-2</v>
      </c>
      <c r="C29" s="18">
        <f t="shared" si="3"/>
        <v>4.0610124346011141E-2</v>
      </c>
      <c r="D29" s="17"/>
      <c r="F29" s="3">
        <f t="shared" si="25"/>
        <v>4.0610124345974025E-2</v>
      </c>
      <c r="G29" s="3">
        <f t="shared" si="25"/>
        <v>4.0610124345639945E-2</v>
      </c>
      <c r="H29" s="3">
        <f t="shared" si="25"/>
        <v>4.0610124342299193E-2</v>
      </c>
      <c r="I29" s="3">
        <f t="shared" si="25"/>
        <v>4.0610124308891639E-2</v>
      </c>
      <c r="J29" s="3">
        <f t="shared" si="25"/>
        <v>4.0610123974816122E-2</v>
      </c>
      <c r="K29" s="3">
        <f t="shared" si="25"/>
        <v>4.061012063406113E-2</v>
      </c>
      <c r="L29" s="3">
        <f t="shared" si="25"/>
        <v>4.0610087226526266E-2</v>
      </c>
      <c r="M29" s="3">
        <f t="shared" si="25"/>
        <v>4.0609753152689193E-2</v>
      </c>
      <c r="N29" s="3">
        <f t="shared" si="25"/>
        <v>4.0606412565466626E-2</v>
      </c>
      <c r="O29" s="3">
        <f t="shared" si="25"/>
        <v>4.0573021803461437E-2</v>
      </c>
      <c r="P29" s="3">
        <f t="shared" si="25"/>
        <v>4.0240620616348005E-2</v>
      </c>
      <c r="Q29" s="3">
        <f t="shared" si="25"/>
        <v>3.7062765955580029E-2</v>
      </c>
      <c r="R29" s="3">
        <f t="shared" si="25"/>
        <v>1.6280562200098325E-2</v>
      </c>
      <c r="S29" s="3">
        <f t="shared" si="25"/>
        <v>4.3549693730214202E-6</v>
      </c>
      <c r="T29" s="3">
        <f t="shared" si="25"/>
        <v>8.1684974465742131E-42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6.0673859522375084E-2</v>
      </c>
      <c r="C30" s="18">
        <f t="shared" si="3"/>
        <v>2.925116065031759E-2</v>
      </c>
      <c r="D30" s="17"/>
      <c r="F30" s="3">
        <f t="shared" si="25"/>
        <v>2.9251160650315178E-2</v>
      </c>
      <c r="G30" s="3">
        <f t="shared" si="25"/>
        <v>2.925116065029347E-2</v>
      </c>
      <c r="H30" s="3">
        <f t="shared" si="25"/>
        <v>2.9251160650076401E-2</v>
      </c>
      <c r="I30" s="3">
        <f t="shared" si="25"/>
        <v>2.92511606479057E-2</v>
      </c>
      <c r="J30" s="3">
        <f t="shared" si="25"/>
        <v>2.9251160626198688E-2</v>
      </c>
      <c r="K30" s="3">
        <f t="shared" si="25"/>
        <v>2.925116040912858E-2</v>
      </c>
      <c r="L30" s="3">
        <f t="shared" si="25"/>
        <v>2.9251158238427596E-2</v>
      </c>
      <c r="M30" s="3">
        <f t="shared" si="25"/>
        <v>2.9251136531426591E-2</v>
      </c>
      <c r="N30" s="3">
        <f t="shared" si="25"/>
        <v>2.9250919462302526E-2</v>
      </c>
      <c r="O30" s="3">
        <f t="shared" si="25"/>
        <v>2.9248748859656306E-2</v>
      </c>
      <c r="P30" s="3">
        <f t="shared" si="25"/>
        <v>2.9227051690204307E-2</v>
      </c>
      <c r="Q30" s="3">
        <f t="shared" si="25"/>
        <v>2.9010963269624334E-2</v>
      </c>
      <c r="R30" s="3">
        <f t="shared" si="25"/>
        <v>2.693602861175157E-2</v>
      </c>
      <c r="S30" s="3">
        <f t="shared" si="25"/>
        <v>1.2824714909297933E-2</v>
      </c>
      <c r="T30" s="3">
        <f t="shared" si="25"/>
        <v>7.6769598424753517E-6</v>
      </c>
      <c r="U30" s="3">
        <f t="shared" si="25"/>
        <v>4.5352868553364341E-38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6.4839804701734394E-2</v>
      </c>
      <c r="C31" s="18">
        <f t="shared" si="3"/>
        <v>3.1259582937297976E-2</v>
      </c>
      <c r="D31" s="17"/>
      <c r="F31" s="3">
        <f t="shared" si="25"/>
        <v>3.125958293729774E-2</v>
      </c>
      <c r="G31" s="3">
        <f t="shared" si="25"/>
        <v>3.1259582937295652E-2</v>
      </c>
      <c r="H31" s="3">
        <f t="shared" si="25"/>
        <v>3.1259582937274724E-2</v>
      </c>
      <c r="I31" s="3">
        <f t="shared" si="25"/>
        <v>3.1259582937065468E-2</v>
      </c>
      <c r="J31" s="3">
        <f t="shared" si="25"/>
        <v>3.1259582934972864E-2</v>
      </c>
      <c r="K31" s="3">
        <f t="shared" si="25"/>
        <v>3.1259582914046839E-2</v>
      </c>
      <c r="L31" s="3">
        <f t="shared" si="25"/>
        <v>3.1259582704786612E-2</v>
      </c>
      <c r="M31" s="3">
        <f t="shared" si="25"/>
        <v>3.1259580612184437E-2</v>
      </c>
      <c r="N31" s="3">
        <f t="shared" si="25"/>
        <v>3.125955968617037E-2</v>
      </c>
      <c r="O31" s="3">
        <f t="shared" si="25"/>
        <v>3.1259350426800177E-2</v>
      </c>
      <c r="P31" s="3">
        <f t="shared" si="25"/>
        <v>3.125725791014259E-2</v>
      </c>
      <c r="Q31" s="3">
        <f t="shared" si="25"/>
        <v>3.1236340446096293E-2</v>
      </c>
      <c r="R31" s="3">
        <f t="shared" si="25"/>
        <v>3.102793415417868E-2</v>
      </c>
      <c r="S31" s="3">
        <f t="shared" si="25"/>
        <v>2.9018836579104038E-2</v>
      </c>
      <c r="T31" s="3">
        <f t="shared" si="25"/>
        <v>1.4857692058587146E-2</v>
      </c>
      <c r="U31" s="3">
        <f t="shared" si="25"/>
        <v>1.8393522770981369E-5</v>
      </c>
      <c r="V31" s="3">
        <f t="shared" si="26"/>
        <v>1.5552511404895937E-34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6.1614494768067539E-2</v>
      </c>
      <c r="C32" s="18">
        <f t="shared" si="3"/>
        <v>2.9704645444291411E-2</v>
      </c>
      <c r="D32" s="17"/>
      <c r="F32" s="3">
        <f t="shared" si="25"/>
        <v>2.970464544429139E-2</v>
      </c>
      <c r="G32" s="3">
        <f t="shared" si="25"/>
        <v>2.9704645444291213E-2</v>
      </c>
      <c r="H32" s="3">
        <f t="shared" si="25"/>
        <v>2.9704645444289419E-2</v>
      </c>
      <c r="I32" s="3">
        <f t="shared" si="25"/>
        <v>2.9704645444271479E-2</v>
      </c>
      <c r="J32" s="3">
        <f t="shared" si="25"/>
        <v>2.9704645444092102E-2</v>
      </c>
      <c r="K32" s="3">
        <f t="shared" si="25"/>
        <v>2.97046454422983E-2</v>
      </c>
      <c r="L32" s="3">
        <f t="shared" si="25"/>
        <v>2.9704645424360278E-2</v>
      </c>
      <c r="M32" s="3">
        <f t="shared" si="25"/>
        <v>2.9704645244980094E-2</v>
      </c>
      <c r="N32" s="3">
        <f t="shared" si="25"/>
        <v>2.9704643451178278E-2</v>
      </c>
      <c r="O32" s="3">
        <f t="shared" si="25"/>
        <v>2.9704625513166088E-2</v>
      </c>
      <c r="P32" s="3">
        <f t="shared" si="25"/>
        <v>2.9704446133639963E-2</v>
      </c>
      <c r="Q32" s="3">
        <f t="shared" si="25"/>
        <v>2.9702652397955439E-2</v>
      </c>
      <c r="R32" s="3">
        <f t="shared" si="25"/>
        <v>2.9684720997449825E-2</v>
      </c>
      <c r="S32" s="3">
        <f t="shared" si="25"/>
        <v>2.9506001297646776E-2</v>
      </c>
      <c r="T32" s="3">
        <f t="shared" si="25"/>
        <v>2.7776928113812025E-2</v>
      </c>
      <c r="U32" s="3">
        <f t="shared" si="25"/>
        <v>1.5185279565523641E-2</v>
      </c>
      <c r="V32" s="3">
        <f t="shared" si="26"/>
        <v>3.6208335546693868E-5</v>
      </c>
      <c r="W32" s="3">
        <f t="shared" si="26"/>
        <v>2.1511280132531456E-31</v>
      </c>
      <c r="X32" s="3">
        <f t="shared" si="26"/>
        <v>1.1782656111506921E-293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7.3184506113878209E-2</v>
      </c>
      <c r="C33" s="18">
        <f t="shared" si="3"/>
        <v>3.5282603781975501E-2</v>
      </c>
      <c r="D33" s="17"/>
      <c r="F33" s="3">
        <f t="shared" si="25"/>
        <v>3.5282603781975494E-2</v>
      </c>
      <c r="G33" s="3">
        <f t="shared" si="25"/>
        <v>3.528260378197548E-2</v>
      </c>
      <c r="H33" s="3">
        <f t="shared" si="25"/>
        <v>3.5282603781975286E-2</v>
      </c>
      <c r="I33" s="3">
        <f t="shared" si="25"/>
        <v>3.5282603781973364E-2</v>
      </c>
      <c r="J33" s="3">
        <f t="shared" si="25"/>
        <v>3.5282603781954143E-2</v>
      </c>
      <c r="K33" s="3">
        <f t="shared" si="25"/>
        <v>3.5282603781761943E-2</v>
      </c>
      <c r="L33" s="3">
        <f t="shared" si="25"/>
        <v>3.5282603779839924E-2</v>
      </c>
      <c r="M33" s="3">
        <f t="shared" si="25"/>
        <v>3.528260376061975E-2</v>
      </c>
      <c r="N33" s="3">
        <f t="shared" si="25"/>
        <v>3.528260356841801E-2</v>
      </c>
      <c r="O33" s="3">
        <f t="shared" si="25"/>
        <v>3.5282601646400652E-2</v>
      </c>
      <c r="P33" s="3">
        <f t="shared" si="25"/>
        <v>3.5282582426232799E-2</v>
      </c>
      <c r="Q33" s="3">
        <f t="shared" si="25"/>
        <v>3.5282390225130127E-2</v>
      </c>
      <c r="R33" s="3">
        <f t="shared" si="25"/>
        <v>3.5280468271688119E-2</v>
      </c>
      <c r="S33" s="3">
        <f t="shared" si="25"/>
        <v>3.5261254494575775E-2</v>
      </c>
      <c r="T33" s="3">
        <f t="shared" si="25"/>
        <v>3.5069691295490729E-2</v>
      </c>
      <c r="U33" s="3">
        <f t="shared" ref="P33:AE48" si="27">$C33*EXP(-U$15/$A33)</f>
        <v>3.3210375098234851E-2</v>
      </c>
      <c r="V33" s="3">
        <f t="shared" si="27"/>
        <v>1.9261591103913723E-2</v>
      </c>
      <c r="W33" s="3">
        <f t="shared" si="27"/>
        <v>8.296137525102621E-5</v>
      </c>
      <c r="X33" s="3">
        <f t="shared" si="27"/>
        <v>1.82269406087266E-28</v>
      </c>
      <c r="Y33" s="3">
        <f t="shared" si="27"/>
        <v>4.7763059231571368E-265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7.2573397680936721E-2</v>
      </c>
      <c r="C34" s="18">
        <f t="shared" si="3"/>
        <v>3.4987985455608057E-2</v>
      </c>
      <c r="D34" s="17"/>
      <c r="F34" s="3">
        <f t="shared" ref="F34:O48" si="28">$C34*EXP(-F$15/$A34)</f>
        <v>3.4987985455608057E-2</v>
      </c>
      <c r="G34" s="3">
        <f t="shared" si="28"/>
        <v>3.4987985455608057E-2</v>
      </c>
      <c r="H34" s="3">
        <f t="shared" si="28"/>
        <v>3.4987985455608037E-2</v>
      </c>
      <c r="I34" s="3">
        <f t="shared" si="28"/>
        <v>3.498798545560787E-2</v>
      </c>
      <c r="J34" s="3">
        <f t="shared" si="28"/>
        <v>3.4987985455606149E-2</v>
      </c>
      <c r="K34" s="3">
        <f t="shared" si="28"/>
        <v>3.4987985455588955E-2</v>
      </c>
      <c r="L34" s="3">
        <f t="shared" si="28"/>
        <v>3.4987985455417023E-2</v>
      </c>
      <c r="M34" s="3">
        <f t="shared" si="28"/>
        <v>3.4987985453697676E-2</v>
      </c>
      <c r="N34" s="3">
        <f t="shared" si="28"/>
        <v>3.4987985436504263E-2</v>
      </c>
      <c r="O34" s="3">
        <f t="shared" si="28"/>
        <v>3.498798526457008E-2</v>
      </c>
      <c r="P34" s="3">
        <f t="shared" si="27"/>
        <v>3.4987983545228335E-2</v>
      </c>
      <c r="Q34" s="3">
        <f t="shared" si="27"/>
        <v>3.498796635181551E-2</v>
      </c>
      <c r="R34" s="3">
        <f t="shared" si="27"/>
        <v>3.4987794418152016E-2</v>
      </c>
      <c r="S34" s="3">
        <f t="shared" si="27"/>
        <v>3.49860751279856E-2</v>
      </c>
      <c r="T34" s="3">
        <f t="shared" si="27"/>
        <v>3.4968886872334896E-2</v>
      </c>
      <c r="U34" s="3">
        <f t="shared" si="27"/>
        <v>3.4797468073534628E-2</v>
      </c>
      <c r="V34" s="3">
        <f t="shared" si="27"/>
        <v>3.312882361430626E-2</v>
      </c>
      <c r="W34" s="3">
        <f t="shared" si="27"/>
        <v>2.0267011325639708E-2</v>
      </c>
      <c r="X34" s="3">
        <f t="shared" si="27"/>
        <v>1.4880813235381704E-4</v>
      </c>
      <c r="Y34" s="3">
        <f t="shared" si="27"/>
        <v>6.776356163736713E-26</v>
      </c>
      <c r="Z34" s="3">
        <f t="shared" si="27"/>
        <v>2.5983150421895564E-239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8.3012688726996825E-2</v>
      </c>
      <c r="C35" s="18">
        <f t="shared" si="3"/>
        <v>4.0020818076897231E-2</v>
      </c>
      <c r="D35" s="17"/>
      <c r="F35" s="3">
        <f t="shared" si="28"/>
        <v>4.0020818076897231E-2</v>
      </c>
      <c r="G35" s="3">
        <f t="shared" si="28"/>
        <v>4.0020818076897231E-2</v>
      </c>
      <c r="H35" s="3">
        <f t="shared" si="28"/>
        <v>4.0020818076897231E-2</v>
      </c>
      <c r="I35" s="3">
        <f t="shared" si="28"/>
        <v>4.002081807689721E-2</v>
      </c>
      <c r="J35" s="3">
        <f t="shared" si="28"/>
        <v>4.0020818076897037E-2</v>
      </c>
      <c r="K35" s="3">
        <f t="shared" si="28"/>
        <v>4.0020818076895261E-2</v>
      </c>
      <c r="L35" s="3">
        <f t="shared" si="28"/>
        <v>4.0020818076877518E-2</v>
      </c>
      <c r="M35" s="3">
        <f t="shared" si="28"/>
        <v>4.0020818076700111E-2</v>
      </c>
      <c r="N35" s="3">
        <f t="shared" si="28"/>
        <v>4.0020818074926016E-2</v>
      </c>
      <c r="O35" s="3">
        <f t="shared" si="28"/>
        <v>4.002081805718511E-2</v>
      </c>
      <c r="P35" s="3">
        <f t="shared" si="27"/>
        <v>4.002081787977603E-2</v>
      </c>
      <c r="Q35" s="3">
        <f t="shared" si="27"/>
        <v>4.0020816105685308E-2</v>
      </c>
      <c r="R35" s="3">
        <f t="shared" si="27"/>
        <v>4.0020798364782402E-2</v>
      </c>
      <c r="S35" s="3">
        <f t="shared" si="27"/>
        <v>4.0020620956185839E-2</v>
      </c>
      <c r="T35" s="3">
        <f t="shared" si="27"/>
        <v>4.0018846913473641E-2</v>
      </c>
      <c r="U35" s="3">
        <f t="shared" si="27"/>
        <v>4.0001110810984612E-2</v>
      </c>
      <c r="V35" s="3">
        <f t="shared" si="27"/>
        <v>3.9824181540915958E-2</v>
      </c>
      <c r="W35" s="3">
        <f t="shared" si="27"/>
        <v>3.8097364485108441E-2</v>
      </c>
      <c r="X35" s="3">
        <f t="shared" si="27"/>
        <v>2.4455450743625727E-2</v>
      </c>
      <c r="Y35" s="3">
        <f t="shared" si="27"/>
        <v>2.9052469953411186E-4</v>
      </c>
      <c r="Z35" s="3">
        <f t="shared" si="27"/>
        <v>1.6265107938287027E-23</v>
      </c>
      <c r="AA35" s="3">
        <f t="shared" si="27"/>
        <v>4.9203482203061105E-216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7.2869197962640686E-2</v>
      </c>
      <c r="C36" s="18">
        <f t="shared" si="3"/>
        <v>3.51305921997421E-2</v>
      </c>
      <c r="D36" s="17"/>
      <c r="F36" s="3">
        <f t="shared" si="28"/>
        <v>3.51305921997421E-2</v>
      </c>
      <c r="G36" s="3">
        <f t="shared" si="28"/>
        <v>3.51305921997421E-2</v>
      </c>
      <c r="H36" s="3">
        <f t="shared" si="28"/>
        <v>3.51305921997421E-2</v>
      </c>
      <c r="I36" s="3">
        <f t="shared" si="28"/>
        <v>3.51305921997421E-2</v>
      </c>
      <c r="J36" s="3">
        <f t="shared" si="28"/>
        <v>3.5130592199742086E-2</v>
      </c>
      <c r="K36" s="3">
        <f t="shared" si="28"/>
        <v>3.5130592199741947E-2</v>
      </c>
      <c r="L36" s="3">
        <f t="shared" si="28"/>
        <v>3.5130592199740539E-2</v>
      </c>
      <c r="M36" s="3">
        <f t="shared" si="28"/>
        <v>3.5130592199726494E-2</v>
      </c>
      <c r="N36" s="3">
        <f t="shared" si="28"/>
        <v>3.513059219958601E-2</v>
      </c>
      <c r="O36" s="3">
        <f t="shared" si="28"/>
        <v>3.5130592198181182E-2</v>
      </c>
      <c r="P36" s="3">
        <f t="shared" si="27"/>
        <v>3.5130592184132947E-2</v>
      </c>
      <c r="Q36" s="3">
        <f t="shared" si="27"/>
        <v>3.5130592043650537E-2</v>
      </c>
      <c r="R36" s="3">
        <f t="shared" si="27"/>
        <v>3.5130590638826516E-2</v>
      </c>
      <c r="S36" s="3">
        <f t="shared" si="27"/>
        <v>3.5130576590589352E-2</v>
      </c>
      <c r="T36" s="3">
        <f t="shared" si="27"/>
        <v>3.5130436108526668E-2</v>
      </c>
      <c r="U36" s="3">
        <f t="shared" si="27"/>
        <v>3.5129031318796682E-2</v>
      </c>
      <c r="V36" s="3">
        <f t="shared" si="27"/>
        <v>3.5114986510722986E-2</v>
      </c>
      <c r="W36" s="3">
        <f t="shared" si="27"/>
        <v>3.4974846896010263E-2</v>
      </c>
      <c r="X36" s="3">
        <f t="shared" si="27"/>
        <v>3.3603845792118281E-2</v>
      </c>
      <c r="Y36" s="3">
        <f t="shared" si="27"/>
        <v>2.2527893973767893E-2</v>
      </c>
      <c r="Z36" s="3">
        <f t="shared" si="27"/>
        <v>4.1308240577956642E-4</v>
      </c>
      <c r="AA36" s="3">
        <f t="shared" si="27"/>
        <v>1.7749974749044368E-21</v>
      </c>
      <c r="AB36" s="3">
        <f t="shared" si="27"/>
        <v>3.8089753184030739E-195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0.10781172311913899</v>
      </c>
      <c r="C37" s="18">
        <f t="shared" si="3"/>
        <v>5.1976552303921161E-2</v>
      </c>
      <c r="D37" s="17"/>
      <c r="F37" s="3">
        <f t="shared" si="28"/>
        <v>5.1976552303921161E-2</v>
      </c>
      <c r="G37" s="3">
        <f t="shared" si="28"/>
        <v>5.1976552303921161E-2</v>
      </c>
      <c r="H37" s="3">
        <f t="shared" si="28"/>
        <v>5.1976552303921161E-2</v>
      </c>
      <c r="I37" s="3">
        <f t="shared" si="28"/>
        <v>5.1976552303921161E-2</v>
      </c>
      <c r="J37" s="3">
        <f t="shared" si="28"/>
        <v>5.1976552303921161E-2</v>
      </c>
      <c r="K37" s="3">
        <f t="shared" si="28"/>
        <v>5.1976552303921141E-2</v>
      </c>
      <c r="L37" s="3">
        <f t="shared" si="28"/>
        <v>5.1976552303920953E-2</v>
      </c>
      <c r="M37" s="3">
        <f t="shared" si="28"/>
        <v>5.197655230391908E-2</v>
      </c>
      <c r="N37" s="3">
        <f t="shared" si="28"/>
        <v>5.1976552303900331E-2</v>
      </c>
      <c r="O37" s="3">
        <f t="shared" si="28"/>
        <v>5.1976552303712835E-2</v>
      </c>
      <c r="P37" s="3">
        <f t="shared" si="27"/>
        <v>5.1976552301837883E-2</v>
      </c>
      <c r="Q37" s="3">
        <f t="shared" si="27"/>
        <v>5.1976552283088347E-2</v>
      </c>
      <c r="R37" s="3">
        <f t="shared" si="27"/>
        <v>5.1976552095592987E-2</v>
      </c>
      <c r="S37" s="3">
        <f t="shared" si="27"/>
        <v>5.197655022063942E-2</v>
      </c>
      <c r="T37" s="3">
        <f t="shared" si="27"/>
        <v>5.197653147110752E-2</v>
      </c>
      <c r="U37" s="3">
        <f t="shared" si="27"/>
        <v>5.1976343976160522E-2</v>
      </c>
      <c r="V37" s="3">
        <f t="shared" si="27"/>
        <v>5.197446906388941E-2</v>
      </c>
      <c r="W37" s="3">
        <f t="shared" si="27"/>
        <v>5.1955723660569525E-2</v>
      </c>
      <c r="X37" s="3">
        <f t="shared" si="27"/>
        <v>5.1768641070547891E-2</v>
      </c>
      <c r="Y37" s="3">
        <f t="shared" si="27"/>
        <v>4.9934468468864429E-2</v>
      </c>
      <c r="Z37" s="3">
        <f t="shared" si="27"/>
        <v>3.4812650988868862E-2</v>
      </c>
      <c r="AA37" s="3">
        <f t="shared" si="27"/>
        <v>9.4428641976286836E-4</v>
      </c>
      <c r="AB37" s="3">
        <f t="shared" si="27"/>
        <v>2.0359645971419415E-19</v>
      </c>
      <c r="AC37" s="3">
        <f t="shared" si="27"/>
        <v>4.4201295827467341E-176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4.8084221375484629E-6</v>
      </c>
      <c r="C38" s="18">
        <f t="shared" si="3"/>
        <v>2.3181635308382595E-6</v>
      </c>
      <c r="D38" s="17"/>
      <c r="F38" s="3">
        <f t="shared" si="28"/>
        <v>2.3181635308382595E-6</v>
      </c>
      <c r="G38" s="3">
        <f t="shared" si="28"/>
        <v>2.3181635308382595E-6</v>
      </c>
      <c r="H38" s="3">
        <f t="shared" si="28"/>
        <v>2.3181635308382595E-6</v>
      </c>
      <c r="I38" s="3">
        <f t="shared" si="28"/>
        <v>2.3181635308382595E-6</v>
      </c>
      <c r="J38" s="3">
        <f t="shared" si="28"/>
        <v>2.3181635308382595E-6</v>
      </c>
      <c r="K38" s="3">
        <f t="shared" si="28"/>
        <v>2.3181635308382595E-6</v>
      </c>
      <c r="L38" s="3">
        <f t="shared" si="28"/>
        <v>2.3181635308382587E-6</v>
      </c>
      <c r="M38" s="3">
        <f t="shared" si="28"/>
        <v>2.3181635308382511E-6</v>
      </c>
      <c r="N38" s="3">
        <f t="shared" si="28"/>
        <v>2.3181635308381757E-6</v>
      </c>
      <c r="O38" s="3">
        <f t="shared" si="28"/>
        <v>2.3181635308374214E-6</v>
      </c>
      <c r="P38" s="3">
        <f t="shared" si="27"/>
        <v>2.3181635308298777E-6</v>
      </c>
      <c r="Q38" s="3">
        <f t="shared" si="27"/>
        <v>2.3181635307544427E-6</v>
      </c>
      <c r="R38" s="3">
        <f t="shared" si="27"/>
        <v>2.3181635300000912E-6</v>
      </c>
      <c r="S38" s="3">
        <f t="shared" si="27"/>
        <v>2.3181635224565767E-6</v>
      </c>
      <c r="T38" s="3">
        <f t="shared" si="27"/>
        <v>2.3181634470214356E-6</v>
      </c>
      <c r="U38" s="3">
        <f t="shared" si="27"/>
        <v>2.3181626926701575E-6</v>
      </c>
      <c r="V38" s="3">
        <f t="shared" si="27"/>
        <v>2.3181551491708765E-6</v>
      </c>
      <c r="W38" s="3">
        <f t="shared" si="27"/>
        <v>2.318079715528148E-6</v>
      </c>
      <c r="X38" s="3">
        <f t="shared" si="27"/>
        <v>2.317325514092838E-6</v>
      </c>
      <c r="Y38" s="3">
        <f t="shared" si="27"/>
        <v>2.3097969826983068E-6</v>
      </c>
      <c r="Z38" s="3">
        <f t="shared" si="27"/>
        <v>2.2358438712774281E-6</v>
      </c>
      <c r="AA38" s="3">
        <f t="shared" si="27"/>
        <v>1.6147976623528436E-6</v>
      </c>
      <c r="AB38" s="3">
        <f t="shared" si="27"/>
        <v>6.2356897185054773E-8</v>
      </c>
      <c r="AC38" s="3">
        <f t="shared" si="27"/>
        <v>4.5977816932023864E-22</v>
      </c>
      <c r="AD38" s="3">
        <f t="shared" si="27"/>
        <v>2.1836691769216386E-163</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0.15715992675061655</v>
      </c>
      <c r="C39" s="18">
        <f t="shared" si="3"/>
        <v>7.5767559561282297E-2</v>
      </c>
      <c r="D39" s="17"/>
      <c r="F39" s="3">
        <f t="shared" si="28"/>
        <v>7.5767559561282297E-2</v>
      </c>
      <c r="G39" s="3">
        <f t="shared" si="28"/>
        <v>7.5767559561282297E-2</v>
      </c>
      <c r="H39" s="3">
        <f t="shared" si="28"/>
        <v>7.5767559561282297E-2</v>
      </c>
      <c r="I39" s="3">
        <f t="shared" si="28"/>
        <v>7.5767559561282297E-2</v>
      </c>
      <c r="J39" s="3">
        <f t="shared" si="28"/>
        <v>7.5767559561282297E-2</v>
      </c>
      <c r="K39" s="3">
        <f t="shared" si="28"/>
        <v>7.5767559561282297E-2</v>
      </c>
      <c r="L39" s="3">
        <f t="shared" si="28"/>
        <v>7.5767559561282283E-2</v>
      </c>
      <c r="M39" s="3">
        <f t="shared" si="28"/>
        <v>7.5767559561282227E-2</v>
      </c>
      <c r="N39" s="3">
        <f t="shared" si="28"/>
        <v>7.5767559561281533E-2</v>
      </c>
      <c r="O39" s="3">
        <f t="shared" si="28"/>
        <v>7.5767559561274719E-2</v>
      </c>
      <c r="P39" s="3">
        <f t="shared" si="27"/>
        <v>7.5767559561206524E-2</v>
      </c>
      <c r="Q39" s="3">
        <f t="shared" si="27"/>
        <v>7.5767559560524625E-2</v>
      </c>
      <c r="R39" s="3">
        <f t="shared" si="27"/>
        <v>7.5767559553705538E-2</v>
      </c>
      <c r="S39" s="3">
        <f t="shared" si="27"/>
        <v>7.5767559485514738E-2</v>
      </c>
      <c r="T39" s="3">
        <f t="shared" si="27"/>
        <v>7.5767558803606708E-2</v>
      </c>
      <c r="U39" s="3">
        <f t="shared" si="27"/>
        <v>7.5767551984526726E-2</v>
      </c>
      <c r="V39" s="3">
        <f t="shared" si="27"/>
        <v>7.5767483793760623E-2</v>
      </c>
      <c r="W39" s="3">
        <f t="shared" si="27"/>
        <v>7.5766801889475044E-2</v>
      </c>
      <c r="X39" s="3">
        <f t="shared" si="27"/>
        <v>7.5759983184151336E-2</v>
      </c>
      <c r="Y39" s="3">
        <f t="shared" si="27"/>
        <v>7.5691829872876024E-2</v>
      </c>
      <c r="Z39" s="3">
        <f t="shared" si="27"/>
        <v>7.5013659747227734E-2</v>
      </c>
      <c r="AA39" s="3">
        <f t="shared" si="27"/>
        <v>6.855732296431645E-2</v>
      </c>
      <c r="AB39" s="3">
        <f t="shared" si="27"/>
        <v>2.7873327470328505E-2</v>
      </c>
      <c r="AC39" s="3">
        <f t="shared" si="27"/>
        <v>3.4398418823571042E-6</v>
      </c>
      <c r="AD39" s="3">
        <f t="shared" si="27"/>
        <v>2.8186107808565407E-45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6.3635038845471045E-2</v>
      </c>
      <c r="C40" s="18">
        <f t="shared" si="3"/>
        <v>3.067875950056604E-2</v>
      </c>
      <c r="D40" s="17"/>
      <c r="F40" s="3">
        <f t="shared" si="28"/>
        <v>3.067875950056604E-2</v>
      </c>
      <c r="G40" s="3">
        <f t="shared" si="28"/>
        <v>3.067875950056604E-2</v>
      </c>
      <c r="H40" s="3">
        <f t="shared" si="28"/>
        <v>3.067875950056604E-2</v>
      </c>
      <c r="I40" s="3">
        <f t="shared" si="28"/>
        <v>3.067875950056604E-2</v>
      </c>
      <c r="J40" s="3">
        <f t="shared" si="28"/>
        <v>3.067875950056604E-2</v>
      </c>
      <c r="K40" s="3">
        <f t="shared" si="28"/>
        <v>3.067875950056604E-2</v>
      </c>
      <c r="L40" s="3">
        <f t="shared" si="28"/>
        <v>3.067875950056604E-2</v>
      </c>
      <c r="M40" s="3">
        <f t="shared" si="28"/>
        <v>3.0678759500566036E-2</v>
      </c>
      <c r="N40" s="3">
        <f t="shared" si="28"/>
        <v>3.0678759500566009E-2</v>
      </c>
      <c r="O40" s="3">
        <f t="shared" si="28"/>
        <v>3.0678759500565735E-2</v>
      </c>
      <c r="P40" s="3">
        <f t="shared" si="27"/>
        <v>3.0678759500562969E-2</v>
      </c>
      <c r="Q40" s="3">
        <f t="shared" si="27"/>
        <v>3.0678759500535363E-2</v>
      </c>
      <c r="R40" s="3">
        <f t="shared" si="27"/>
        <v>3.0678759500259251E-2</v>
      </c>
      <c r="S40" s="3">
        <f t="shared" si="27"/>
        <v>3.0678759497498164E-2</v>
      </c>
      <c r="T40" s="3">
        <f t="shared" si="27"/>
        <v>3.0678759469887282E-2</v>
      </c>
      <c r="U40" s="3">
        <f t="shared" si="27"/>
        <v>3.0678759193778448E-2</v>
      </c>
      <c r="V40" s="3">
        <f t="shared" si="27"/>
        <v>3.0678756432690246E-2</v>
      </c>
      <c r="W40" s="3">
        <f t="shared" si="27"/>
        <v>3.067872882182188E-2</v>
      </c>
      <c r="X40" s="3">
        <f t="shared" si="27"/>
        <v>3.0678452714504967E-2</v>
      </c>
      <c r="Y40" s="3">
        <f t="shared" si="27"/>
        <v>3.0675691778004669E-2</v>
      </c>
      <c r="Z40" s="3">
        <f t="shared" si="27"/>
        <v>3.0648096075333378E-2</v>
      </c>
      <c r="AA40" s="3">
        <f t="shared" si="27"/>
        <v>3.037350074316612E-2</v>
      </c>
      <c r="AB40" s="3">
        <f t="shared" si="27"/>
        <v>2.775928953503834E-2</v>
      </c>
      <c r="AC40" s="3">
        <f t="shared" si="27"/>
        <v>1.1286084900901312E-2</v>
      </c>
      <c r="AD40" s="3">
        <f t="shared" si="27"/>
        <v>1.3928135265258632E-6</v>
      </c>
      <c r="AE40" s="3">
        <f t="shared" si="27"/>
        <v>1.141273161921767E-45</v>
      </c>
      <c r="AF40" s="3">
        <f t="shared" si="29"/>
        <v>0</v>
      </c>
      <c r="AG40" s="3">
        <f t="shared" si="29"/>
        <v>0</v>
      </c>
      <c r="AH40" s="3">
        <f t="shared" si="29"/>
        <v>0</v>
      </c>
      <c r="AI40" s="3">
        <f t="shared" si="29"/>
        <v>0</v>
      </c>
      <c r="AJ40" s="3">
        <f t="shared" si="29"/>
        <v>0</v>
      </c>
    </row>
    <row r="41" spans="1:36" x14ac:dyDescent="0.25">
      <c r="A41" s="3">
        <f t="shared" si="30"/>
        <v>1000000000</v>
      </c>
      <c r="B41" s="17">
        <v>0.1571624629133252</v>
      </c>
      <c r="C41" s="18">
        <f t="shared" si="3"/>
        <v>7.5768782257570458E-2</v>
      </c>
      <c r="D41" s="17"/>
      <c r="F41" s="3">
        <f t="shared" si="28"/>
        <v>7.5768782257570458E-2</v>
      </c>
      <c r="G41" s="3">
        <f t="shared" si="28"/>
        <v>7.5768782257570458E-2</v>
      </c>
      <c r="H41" s="3">
        <f t="shared" si="28"/>
        <v>7.5768782257570458E-2</v>
      </c>
      <c r="I41" s="3">
        <f t="shared" si="28"/>
        <v>7.5768782257570458E-2</v>
      </c>
      <c r="J41" s="3">
        <f t="shared" si="28"/>
        <v>7.5768782257570458E-2</v>
      </c>
      <c r="K41" s="3">
        <f t="shared" si="28"/>
        <v>7.5768782257570458E-2</v>
      </c>
      <c r="L41" s="3">
        <f t="shared" si="28"/>
        <v>7.5768782257570458E-2</v>
      </c>
      <c r="M41" s="3">
        <f t="shared" si="28"/>
        <v>7.5768782257570458E-2</v>
      </c>
      <c r="N41" s="3">
        <f t="shared" si="28"/>
        <v>7.5768782257570444E-2</v>
      </c>
      <c r="O41" s="3">
        <f t="shared" si="28"/>
        <v>7.5768782257570388E-2</v>
      </c>
      <c r="P41" s="3">
        <f t="shared" si="27"/>
        <v>7.5768782257569695E-2</v>
      </c>
      <c r="Q41" s="3">
        <f t="shared" si="27"/>
        <v>7.5768782257562881E-2</v>
      </c>
      <c r="R41" s="3">
        <f t="shared" si="27"/>
        <v>7.5768782257494685E-2</v>
      </c>
      <c r="S41" s="3">
        <f t="shared" si="27"/>
        <v>7.5768782256812772E-2</v>
      </c>
      <c r="T41" s="3">
        <f t="shared" si="27"/>
        <v>7.5768782249993574E-2</v>
      </c>
      <c r="U41" s="3">
        <f t="shared" si="27"/>
        <v>7.5768782181801678E-2</v>
      </c>
      <c r="V41" s="3">
        <f t="shared" si="27"/>
        <v>7.5768781499882643E-2</v>
      </c>
      <c r="W41" s="3">
        <f t="shared" si="27"/>
        <v>7.576877468069261E-2</v>
      </c>
      <c r="X41" s="3">
        <f t="shared" si="27"/>
        <v>7.5768706488826082E-2</v>
      </c>
      <c r="Y41" s="3">
        <f t="shared" si="27"/>
        <v>7.5768024573536305E-2</v>
      </c>
      <c r="Z41" s="3">
        <f t="shared" si="27"/>
        <v>7.5761205758175978E-2</v>
      </c>
      <c r="AA41" s="3">
        <f t="shared" si="27"/>
        <v>7.5693051347079043E-2</v>
      </c>
      <c r="AB41" s="3">
        <f t="shared" si="27"/>
        <v>7.5014870277484547E-2</v>
      </c>
      <c r="AC41" s="3">
        <f t="shared" si="27"/>
        <v>6.8558429305668869E-2</v>
      </c>
      <c r="AD41" s="3">
        <f t="shared" si="27"/>
        <v>2.7873777275155717E-2</v>
      </c>
      <c r="AE41" s="3">
        <f t="shared" si="27"/>
        <v>3.4398973926827074E-6</v>
      </c>
      <c r="AF41" s="3">
        <f t="shared" si="29"/>
        <v>2.8186562660874164E-45</v>
      </c>
      <c r="AG41" s="3">
        <f t="shared" si="29"/>
        <v>0</v>
      </c>
      <c r="AH41" s="3">
        <f t="shared" si="29"/>
        <v>0</v>
      </c>
      <c r="AI41" s="3">
        <f t="shared" si="29"/>
        <v>0</v>
      </c>
      <c r="AJ41" s="3">
        <f t="shared" si="29"/>
        <v>0</v>
      </c>
    </row>
    <row r="42" spans="1:36" x14ac:dyDescent="0.25">
      <c r="A42" s="3">
        <f t="shared" si="30"/>
        <v>10000000000</v>
      </c>
      <c r="B42" s="17">
        <v>8.2889533821869615E-2</v>
      </c>
      <c r="C42" s="18">
        <f t="shared" si="3"/>
        <v>3.996144450245992E-2</v>
      </c>
      <c r="D42" s="17"/>
      <c r="F42" s="3">
        <f t="shared" si="28"/>
        <v>3.996144450245992E-2</v>
      </c>
      <c r="G42" s="3">
        <f t="shared" si="28"/>
        <v>3.996144450245992E-2</v>
      </c>
      <c r="H42" s="3">
        <f t="shared" si="28"/>
        <v>3.996144450245992E-2</v>
      </c>
      <c r="I42" s="3">
        <f t="shared" si="28"/>
        <v>3.996144450245992E-2</v>
      </c>
      <c r="J42" s="3">
        <f t="shared" si="28"/>
        <v>3.996144450245992E-2</v>
      </c>
      <c r="K42" s="3">
        <f t="shared" si="28"/>
        <v>3.996144450245992E-2</v>
      </c>
      <c r="L42" s="3">
        <f t="shared" si="28"/>
        <v>3.996144450245992E-2</v>
      </c>
      <c r="M42" s="3">
        <f t="shared" si="28"/>
        <v>3.996144450245992E-2</v>
      </c>
      <c r="N42" s="3">
        <f t="shared" si="28"/>
        <v>3.996144450245992E-2</v>
      </c>
      <c r="O42" s="3">
        <f t="shared" si="28"/>
        <v>3.9961444502459913E-2</v>
      </c>
      <c r="P42" s="3">
        <f t="shared" si="27"/>
        <v>3.9961444502459878E-2</v>
      </c>
      <c r="Q42" s="3">
        <f t="shared" si="27"/>
        <v>3.9961444502459517E-2</v>
      </c>
      <c r="R42" s="3">
        <f t="shared" si="27"/>
        <v>3.9961444502455923E-2</v>
      </c>
      <c r="S42" s="3">
        <f t="shared" si="27"/>
        <v>3.9961444502419959E-2</v>
      </c>
      <c r="T42" s="3">
        <f t="shared" si="27"/>
        <v>3.9961444502060302E-2</v>
      </c>
      <c r="U42" s="3">
        <f t="shared" si="27"/>
        <v>3.9961444498463776E-2</v>
      </c>
      <c r="V42" s="3">
        <f t="shared" si="27"/>
        <v>3.9961444462498476E-2</v>
      </c>
      <c r="W42" s="3">
        <f t="shared" si="27"/>
        <v>3.9961444102845474E-2</v>
      </c>
      <c r="X42" s="3">
        <f t="shared" si="27"/>
        <v>3.9961440506315671E-2</v>
      </c>
      <c r="Y42" s="3">
        <f t="shared" si="27"/>
        <v>3.9961404541035396E-2</v>
      </c>
      <c r="Z42" s="3">
        <f t="shared" si="27"/>
        <v>3.996104489001296E-2</v>
      </c>
      <c r="AA42" s="3">
        <f t="shared" si="27"/>
        <v>3.9957448557810235E-2</v>
      </c>
      <c r="AB42" s="3">
        <f t="shared" si="27"/>
        <v>3.9921503032021133E-2</v>
      </c>
      <c r="AC42" s="3">
        <f t="shared" si="27"/>
        <v>3.956382148603705E-2</v>
      </c>
      <c r="AD42" s="3">
        <f t="shared" si="27"/>
        <v>3.6158610264593126E-2</v>
      </c>
      <c r="AE42" s="3">
        <f t="shared" si="27"/>
        <v>1.4700993871968562E-2</v>
      </c>
      <c r="AF42" s="3">
        <f t="shared" si="29"/>
        <v>1.8142467736191168E-6</v>
      </c>
      <c r="AG42" s="3">
        <f t="shared" si="29"/>
        <v>1.4865960966069107E-45</v>
      </c>
      <c r="AH42" s="3">
        <f t="shared" si="29"/>
        <v>0</v>
      </c>
      <c r="AI42" s="3">
        <f t="shared" si="29"/>
        <v>0</v>
      </c>
      <c r="AJ42" s="3">
        <f t="shared" si="29"/>
        <v>0</v>
      </c>
    </row>
    <row r="43" spans="1:36" x14ac:dyDescent="0.25">
      <c r="A43" s="3">
        <f t="shared" si="30"/>
        <v>100000000000</v>
      </c>
      <c r="B43" s="17">
        <v>0.10023465298444464</v>
      </c>
      <c r="C43" s="18">
        <f t="shared" si="3"/>
        <v>4.8323610204746917E-2</v>
      </c>
      <c r="D43" s="17"/>
      <c r="F43" s="3">
        <f t="shared" si="28"/>
        <v>4.8323610204746917E-2</v>
      </c>
      <c r="G43" s="3">
        <f t="shared" si="28"/>
        <v>4.8323610204746917E-2</v>
      </c>
      <c r="H43" s="3">
        <f t="shared" si="28"/>
        <v>4.8323610204746917E-2</v>
      </c>
      <c r="I43" s="3">
        <f t="shared" si="28"/>
        <v>4.8323610204746917E-2</v>
      </c>
      <c r="J43" s="3">
        <f t="shared" si="28"/>
        <v>4.8323610204746917E-2</v>
      </c>
      <c r="K43" s="3">
        <f t="shared" si="28"/>
        <v>4.8323610204746917E-2</v>
      </c>
      <c r="L43" s="3">
        <f t="shared" si="28"/>
        <v>4.8323610204746917E-2</v>
      </c>
      <c r="M43" s="3">
        <f t="shared" si="28"/>
        <v>4.8323610204746917E-2</v>
      </c>
      <c r="N43" s="3">
        <f t="shared" si="28"/>
        <v>4.8323610204746917E-2</v>
      </c>
      <c r="O43" s="3">
        <f t="shared" si="28"/>
        <v>4.8323610204746917E-2</v>
      </c>
      <c r="P43" s="3">
        <f t="shared" si="27"/>
        <v>4.832361020474691E-2</v>
      </c>
      <c r="Q43" s="3">
        <f t="shared" si="27"/>
        <v>4.8323610204746868E-2</v>
      </c>
      <c r="R43" s="3">
        <f t="shared" si="27"/>
        <v>4.8323610204746431E-2</v>
      </c>
      <c r="S43" s="3">
        <f t="shared" si="27"/>
        <v>4.832361020474208E-2</v>
      </c>
      <c r="T43" s="3">
        <f t="shared" si="27"/>
        <v>4.8323610204698594E-2</v>
      </c>
      <c r="U43" s="3">
        <f t="shared" si="27"/>
        <v>4.8323610204263678E-2</v>
      </c>
      <c r="V43" s="3">
        <f t="shared" si="27"/>
        <v>4.8323610199914553E-2</v>
      </c>
      <c r="W43" s="3">
        <f t="shared" si="27"/>
        <v>4.8323610156423308E-2</v>
      </c>
      <c r="X43" s="3">
        <f t="shared" si="27"/>
        <v>4.832360972151082E-2</v>
      </c>
      <c r="Y43" s="3">
        <f t="shared" si="27"/>
        <v>4.8323605372386141E-2</v>
      </c>
      <c r="Z43" s="3">
        <f t="shared" si="27"/>
        <v>4.8323561881160874E-2</v>
      </c>
      <c r="AA43" s="3">
        <f t="shared" si="27"/>
        <v>4.8323126971061038E-2</v>
      </c>
      <c r="AB43" s="3">
        <f t="shared" si="27"/>
        <v>4.8318778085336439E-2</v>
      </c>
      <c r="AC43" s="3">
        <f t="shared" si="27"/>
        <v>4.8275310748295351E-2</v>
      </c>
      <c r="AD43" s="3">
        <f t="shared" si="27"/>
        <v>4.7842782249369289E-2</v>
      </c>
      <c r="AE43" s="3">
        <f t="shared" si="27"/>
        <v>4.3725010687839343E-2</v>
      </c>
      <c r="AF43" s="3">
        <f t="shared" si="29"/>
        <v>1.7777262717508905E-2</v>
      </c>
      <c r="AG43" s="3">
        <f t="shared" si="29"/>
        <v>2.1938885091652062E-6</v>
      </c>
      <c r="AH43" s="3">
        <f t="shared" si="29"/>
        <v>1.7976750139727432E-45</v>
      </c>
      <c r="AI43" s="3">
        <f t="shared" si="29"/>
        <v>0</v>
      </c>
      <c r="AJ43" s="3">
        <f t="shared" si="29"/>
        <v>0</v>
      </c>
    </row>
    <row r="44" spans="1:36" x14ac:dyDescent="0.25">
      <c r="A44" s="3">
        <f t="shared" si="30"/>
        <v>1000000000000</v>
      </c>
      <c r="B44" s="17">
        <v>3.0790741824128488E-2</v>
      </c>
      <c r="C44" s="18">
        <f t="shared" si="3"/>
        <v>1.4844365312015322E-2</v>
      </c>
      <c r="D44" s="17"/>
      <c r="F44" s="3">
        <f t="shared" si="28"/>
        <v>1.4844365312015322E-2</v>
      </c>
      <c r="G44" s="3">
        <f t="shared" si="28"/>
        <v>1.4844365312015322E-2</v>
      </c>
      <c r="H44" s="3">
        <f t="shared" si="28"/>
        <v>1.4844365312015322E-2</v>
      </c>
      <c r="I44" s="3">
        <f t="shared" si="28"/>
        <v>1.4844365312015322E-2</v>
      </c>
      <c r="J44" s="3">
        <f t="shared" si="28"/>
        <v>1.4844365312015322E-2</v>
      </c>
      <c r="K44" s="3">
        <f t="shared" si="28"/>
        <v>1.4844365312015322E-2</v>
      </c>
      <c r="L44" s="3">
        <f t="shared" si="28"/>
        <v>1.4844365312015322E-2</v>
      </c>
      <c r="M44" s="3">
        <f t="shared" si="28"/>
        <v>1.4844365312015322E-2</v>
      </c>
      <c r="N44" s="3">
        <f t="shared" si="28"/>
        <v>1.4844365312015322E-2</v>
      </c>
      <c r="O44" s="3">
        <f t="shared" si="28"/>
        <v>1.4844365312015322E-2</v>
      </c>
      <c r="P44" s="3">
        <f t="shared" si="27"/>
        <v>1.4844365312015322E-2</v>
      </c>
      <c r="Q44" s="3">
        <f t="shared" si="27"/>
        <v>1.484436531201532E-2</v>
      </c>
      <c r="R44" s="3">
        <f t="shared" si="27"/>
        <v>1.4844365312015306E-2</v>
      </c>
      <c r="S44" s="3">
        <f t="shared" si="27"/>
        <v>1.4844365312015172E-2</v>
      </c>
      <c r="T44" s="3">
        <f t="shared" si="27"/>
        <v>1.4844365312013837E-2</v>
      </c>
      <c r="U44" s="3">
        <f t="shared" si="27"/>
        <v>1.4844365312000478E-2</v>
      </c>
      <c r="V44" s="3">
        <f t="shared" si="27"/>
        <v>1.4844365311866878E-2</v>
      </c>
      <c r="W44" s="3">
        <f t="shared" si="27"/>
        <v>1.4844365310530886E-2</v>
      </c>
      <c r="X44" s="3">
        <f t="shared" si="27"/>
        <v>1.4844365297170956E-2</v>
      </c>
      <c r="Y44" s="3">
        <f t="shared" si="27"/>
        <v>1.484436516357167E-2</v>
      </c>
      <c r="Z44" s="3">
        <f t="shared" si="27"/>
        <v>1.4844363827578866E-2</v>
      </c>
      <c r="AA44" s="3">
        <f t="shared" si="27"/>
        <v>1.4844350467657433E-2</v>
      </c>
      <c r="AB44" s="3">
        <f t="shared" si="27"/>
        <v>1.4844216869104417E-2</v>
      </c>
      <c r="AC44" s="3">
        <f t="shared" si="27"/>
        <v>1.4842880949703473E-2</v>
      </c>
      <c r="AD44" s="3">
        <f t="shared" si="27"/>
        <v>1.482952836641252E-2</v>
      </c>
      <c r="AE44" s="3">
        <f t="shared" si="27"/>
        <v>1.4696661409272687E-2</v>
      </c>
      <c r="AF44" s="3">
        <f t="shared" si="29"/>
        <v>1.3431737181306504E-2</v>
      </c>
      <c r="AG44" s="3">
        <f t="shared" si="29"/>
        <v>5.46093681552894E-3</v>
      </c>
      <c r="AH44" s="3">
        <f t="shared" si="29"/>
        <v>6.7393314253416213E-7</v>
      </c>
      <c r="AI44" s="3">
        <f t="shared" si="29"/>
        <v>5.5222166776505243E-46</v>
      </c>
      <c r="AJ44" s="3">
        <f t="shared" si="29"/>
        <v>0</v>
      </c>
    </row>
    <row r="45" spans="1:36" x14ac:dyDescent="0.25">
      <c r="A45" s="3">
        <f t="shared" si="30"/>
        <v>10000000000000</v>
      </c>
      <c r="B45" s="17">
        <v>3.2445020335301028E-2</v>
      </c>
      <c r="C45" s="18">
        <f t="shared" si="3"/>
        <v>1.5641900970231219E-2</v>
      </c>
      <c r="D45" s="17"/>
      <c r="F45" s="3">
        <f t="shared" si="28"/>
        <v>1.5641900970231219E-2</v>
      </c>
      <c r="G45" s="3">
        <f t="shared" si="28"/>
        <v>1.5641900970231219E-2</v>
      </c>
      <c r="H45" s="3">
        <f t="shared" si="28"/>
        <v>1.5641900970231219E-2</v>
      </c>
      <c r="I45" s="3">
        <f t="shared" si="28"/>
        <v>1.5641900970231219E-2</v>
      </c>
      <c r="J45" s="3">
        <f t="shared" si="28"/>
        <v>1.5641900970231219E-2</v>
      </c>
      <c r="K45" s="3">
        <f t="shared" si="28"/>
        <v>1.5641900970231219E-2</v>
      </c>
      <c r="L45" s="3">
        <f t="shared" si="28"/>
        <v>1.5641900970231219E-2</v>
      </c>
      <c r="M45" s="3">
        <f t="shared" si="28"/>
        <v>1.5641900970231219E-2</v>
      </c>
      <c r="N45" s="3">
        <f t="shared" si="28"/>
        <v>1.5641900970231219E-2</v>
      </c>
      <c r="O45" s="3">
        <f t="shared" si="28"/>
        <v>1.5641900970231219E-2</v>
      </c>
      <c r="P45" s="3">
        <f t="shared" si="27"/>
        <v>1.5641900970231219E-2</v>
      </c>
      <c r="Q45" s="3">
        <f t="shared" si="27"/>
        <v>1.5641900970231219E-2</v>
      </c>
      <c r="R45" s="3">
        <f t="shared" si="27"/>
        <v>1.5641900970231215E-2</v>
      </c>
      <c r="S45" s="3">
        <f t="shared" si="27"/>
        <v>1.5641900970231201E-2</v>
      </c>
      <c r="T45" s="3">
        <f t="shared" si="27"/>
        <v>1.5641900970231062E-2</v>
      </c>
      <c r="U45" s="3">
        <f t="shared" si="27"/>
        <v>1.5641900970229654E-2</v>
      </c>
      <c r="V45" s="3">
        <f t="shared" si="27"/>
        <v>1.5641900970215578E-2</v>
      </c>
      <c r="W45" s="3">
        <f t="shared" si="27"/>
        <v>1.5641900970074799E-2</v>
      </c>
      <c r="X45" s="3">
        <f t="shared" si="27"/>
        <v>1.5641900968667029E-2</v>
      </c>
      <c r="Y45" s="3">
        <f t="shared" si="27"/>
        <v>1.5641900954589318E-2</v>
      </c>
      <c r="Z45" s="3">
        <f t="shared" si="27"/>
        <v>1.5641900813812209E-2</v>
      </c>
      <c r="AA45" s="3">
        <f t="shared" si="27"/>
        <v>1.5641899406041201E-2</v>
      </c>
      <c r="AB45" s="3">
        <f t="shared" si="27"/>
        <v>1.564188532833807E-2</v>
      </c>
      <c r="AC45" s="3">
        <f t="shared" si="27"/>
        <v>1.5641744552003609E-2</v>
      </c>
      <c r="AD45" s="3">
        <f t="shared" si="27"/>
        <v>1.5640336858341094E-2</v>
      </c>
      <c r="AE45" s="3">
        <f t="shared" si="27"/>
        <v>1.5626266887605142E-2</v>
      </c>
      <c r="AF45" s="3">
        <f t="shared" si="29"/>
        <v>1.548626145509837E-2</v>
      </c>
      <c r="AG45" s="3">
        <f t="shared" si="29"/>
        <v>1.4153377287078186E-2</v>
      </c>
      <c r="AH45" s="3">
        <f t="shared" si="29"/>
        <v>5.7543337877877026E-3</v>
      </c>
      <c r="AI45" s="3">
        <f t="shared" si="29"/>
        <v>7.1014120540024102E-7</v>
      </c>
      <c r="AJ45" s="3">
        <f t="shared" si="29"/>
        <v>5.8189060018654163E-46</v>
      </c>
    </row>
    <row r="46" spans="1:36" x14ac:dyDescent="0.25">
      <c r="A46" s="3">
        <f t="shared" si="30"/>
        <v>100000000000000</v>
      </c>
      <c r="B46" s="17">
        <v>3.1478636120316583E-3</v>
      </c>
      <c r="C46" s="18">
        <f t="shared" si="3"/>
        <v>1.5176002473828224E-3</v>
      </c>
      <c r="D46" s="17"/>
      <c r="F46" s="3">
        <f t="shared" si="28"/>
        <v>1.5176002473828224E-3</v>
      </c>
      <c r="G46" s="3">
        <f t="shared" si="28"/>
        <v>1.5176002473828224E-3</v>
      </c>
      <c r="H46" s="3">
        <f t="shared" si="28"/>
        <v>1.5176002473828224E-3</v>
      </c>
      <c r="I46" s="3">
        <f t="shared" si="28"/>
        <v>1.5176002473828224E-3</v>
      </c>
      <c r="J46" s="3">
        <f t="shared" si="28"/>
        <v>1.5176002473828224E-3</v>
      </c>
      <c r="K46" s="3">
        <f t="shared" si="28"/>
        <v>1.5176002473828224E-3</v>
      </c>
      <c r="L46" s="3">
        <f t="shared" si="28"/>
        <v>1.5176002473828224E-3</v>
      </c>
      <c r="M46" s="3">
        <f t="shared" si="28"/>
        <v>1.5176002473828224E-3</v>
      </c>
      <c r="N46" s="3">
        <f t="shared" si="28"/>
        <v>1.5176002473828224E-3</v>
      </c>
      <c r="O46" s="3">
        <f t="shared" si="28"/>
        <v>1.5176002473828224E-3</v>
      </c>
      <c r="P46" s="3">
        <f t="shared" si="27"/>
        <v>1.5176002473828224E-3</v>
      </c>
      <c r="Q46" s="3">
        <f t="shared" si="27"/>
        <v>1.5176002473828224E-3</v>
      </c>
      <c r="R46" s="3">
        <f t="shared" si="27"/>
        <v>1.5176002473828224E-3</v>
      </c>
      <c r="S46" s="3">
        <f t="shared" si="27"/>
        <v>1.5176002473828222E-3</v>
      </c>
      <c r="T46" s="3">
        <f t="shared" si="27"/>
        <v>1.5176002473828209E-3</v>
      </c>
      <c r="U46" s="3">
        <f t="shared" si="27"/>
        <v>1.5176002473828072E-3</v>
      </c>
      <c r="V46" s="3">
        <f t="shared" si="27"/>
        <v>1.5176002473826706E-3</v>
      </c>
      <c r="W46" s="3">
        <f t="shared" si="27"/>
        <v>1.5176002473813047E-3</v>
      </c>
      <c r="X46" s="3">
        <f t="shared" si="27"/>
        <v>1.5176002473676464E-3</v>
      </c>
      <c r="Y46" s="3">
        <f t="shared" si="27"/>
        <v>1.5176002472310623E-3</v>
      </c>
      <c r="Z46" s="3">
        <f t="shared" si="27"/>
        <v>1.5176002458652221E-3</v>
      </c>
      <c r="AA46" s="3">
        <f t="shared" si="27"/>
        <v>1.51760023220682E-3</v>
      </c>
      <c r="AB46" s="3">
        <f t="shared" si="27"/>
        <v>1.5176000956228053E-3</v>
      </c>
      <c r="AC46" s="3">
        <f t="shared" si="27"/>
        <v>1.5175987297833338E-3</v>
      </c>
      <c r="AD46" s="3">
        <f t="shared" si="27"/>
        <v>1.5175850714562282E-3</v>
      </c>
      <c r="AE46" s="3">
        <f t="shared" si="27"/>
        <v>1.5174484949458324E-3</v>
      </c>
      <c r="AF46" s="3">
        <f t="shared" si="29"/>
        <v>1.5160834056826931E-3</v>
      </c>
      <c r="AG46" s="3">
        <f t="shared" si="29"/>
        <v>1.5024998726190597E-3</v>
      </c>
      <c r="AH46" s="3">
        <f t="shared" si="29"/>
        <v>1.3731814894526065E-3</v>
      </c>
      <c r="AI46" s="3">
        <f t="shared" si="29"/>
        <v>5.5829393092883528E-4</v>
      </c>
      <c r="AJ46" s="3">
        <f t="shared" si="29"/>
        <v>6.8898944638709769E-8</v>
      </c>
    </row>
    <row r="47" spans="1:36" x14ac:dyDescent="0.25">
      <c r="A47" s="3">
        <f t="shared" si="30"/>
        <v>1000000000000000</v>
      </c>
      <c r="B47" s="17">
        <v>7.4430322989670773E-3</v>
      </c>
      <c r="C47" s="18">
        <f t="shared" si="3"/>
        <v>3.5883218113444658E-3</v>
      </c>
      <c r="D47" s="17"/>
      <c r="F47" s="3">
        <f t="shared" si="28"/>
        <v>3.5883218113444658E-3</v>
      </c>
      <c r="G47" s="3">
        <f t="shared" si="28"/>
        <v>3.5883218113444658E-3</v>
      </c>
      <c r="H47" s="3">
        <f t="shared" si="28"/>
        <v>3.5883218113444658E-3</v>
      </c>
      <c r="I47" s="3">
        <f t="shared" si="28"/>
        <v>3.5883218113444658E-3</v>
      </c>
      <c r="J47" s="3">
        <f t="shared" si="28"/>
        <v>3.5883218113444658E-3</v>
      </c>
      <c r="K47" s="3">
        <f t="shared" si="28"/>
        <v>3.5883218113444658E-3</v>
      </c>
      <c r="L47" s="3">
        <f t="shared" si="28"/>
        <v>3.5883218113444658E-3</v>
      </c>
      <c r="M47" s="3">
        <f t="shared" si="28"/>
        <v>3.5883218113444658E-3</v>
      </c>
      <c r="N47" s="3">
        <f t="shared" si="28"/>
        <v>3.5883218113444658E-3</v>
      </c>
      <c r="O47" s="3">
        <f t="shared" si="28"/>
        <v>3.5883218113444658E-3</v>
      </c>
      <c r="P47" s="3">
        <f t="shared" si="27"/>
        <v>3.5883218113444658E-3</v>
      </c>
      <c r="Q47" s="3">
        <f t="shared" si="27"/>
        <v>3.5883218113444658E-3</v>
      </c>
      <c r="R47" s="3">
        <f t="shared" si="27"/>
        <v>3.5883218113444658E-3</v>
      </c>
      <c r="S47" s="3">
        <f t="shared" si="27"/>
        <v>3.5883218113444658E-3</v>
      </c>
      <c r="T47" s="3">
        <f t="shared" si="27"/>
        <v>3.5883218113444654E-3</v>
      </c>
      <c r="U47" s="3">
        <f t="shared" si="27"/>
        <v>3.5883218113444623E-3</v>
      </c>
      <c r="V47" s="3">
        <f t="shared" si="27"/>
        <v>3.5883218113444298E-3</v>
      </c>
      <c r="W47" s="3">
        <f t="shared" si="27"/>
        <v>3.5883218113441067E-3</v>
      </c>
      <c r="X47" s="3">
        <f t="shared" si="27"/>
        <v>3.5883218113408775E-3</v>
      </c>
      <c r="Y47" s="3">
        <f t="shared" si="27"/>
        <v>3.5883218113085826E-3</v>
      </c>
      <c r="Z47" s="3">
        <f t="shared" si="27"/>
        <v>3.5883218109856335E-3</v>
      </c>
      <c r="AA47" s="3">
        <f t="shared" si="27"/>
        <v>3.5883218077561439E-3</v>
      </c>
      <c r="AB47" s="3">
        <f t="shared" si="27"/>
        <v>3.588321775461248E-3</v>
      </c>
      <c r="AC47" s="3">
        <f t="shared" si="27"/>
        <v>3.5883214525123026E-3</v>
      </c>
      <c r="AD47" s="3">
        <f t="shared" si="27"/>
        <v>3.5883182230244488E-3</v>
      </c>
      <c r="AE47" s="3">
        <f t="shared" si="27"/>
        <v>3.5882859283057678E-3</v>
      </c>
      <c r="AF47" s="3">
        <f t="shared" si="29"/>
        <v>3.5879629971043423E-3</v>
      </c>
      <c r="AG47" s="3">
        <f t="shared" si="29"/>
        <v>3.5847352830961229E-3</v>
      </c>
      <c r="AH47" s="3">
        <f t="shared" si="29"/>
        <v>3.5526174127601022E-3</v>
      </c>
      <c r="AI47" s="3">
        <f t="shared" si="29"/>
        <v>3.246847842859044E-3</v>
      </c>
      <c r="AJ47" s="3">
        <f t="shared" si="29"/>
        <v>1.3200698227006998E-3</v>
      </c>
    </row>
    <row r="48" spans="1:36" x14ac:dyDescent="0.25">
      <c r="A48" s="3">
        <f t="shared" si="30"/>
        <v>1E+16</v>
      </c>
      <c r="B48" s="17">
        <v>2.3686611480052334E-2</v>
      </c>
      <c r="C48" s="18">
        <f t="shared" si="3"/>
        <v>1.1419429769572463E-2</v>
      </c>
      <c r="D48" s="17"/>
      <c r="F48" s="3">
        <f t="shared" si="28"/>
        <v>1.1419429769572463E-2</v>
      </c>
      <c r="G48" s="3">
        <f t="shared" si="28"/>
        <v>1.1419429769572463E-2</v>
      </c>
      <c r="H48" s="3">
        <f t="shared" si="28"/>
        <v>1.1419429769572463E-2</v>
      </c>
      <c r="I48" s="3">
        <f t="shared" si="28"/>
        <v>1.1419429769572463E-2</v>
      </c>
      <c r="J48" s="3">
        <f t="shared" si="28"/>
        <v>1.1419429769572463E-2</v>
      </c>
      <c r="K48" s="3">
        <f t="shared" si="28"/>
        <v>1.1419429769572463E-2</v>
      </c>
      <c r="L48" s="3">
        <f t="shared" si="28"/>
        <v>1.1419429769572463E-2</v>
      </c>
      <c r="M48" s="3">
        <f t="shared" si="28"/>
        <v>1.1419429769572463E-2</v>
      </c>
      <c r="N48" s="3">
        <f t="shared" si="28"/>
        <v>1.1419429769572463E-2</v>
      </c>
      <c r="O48" s="3">
        <f t="shared" si="28"/>
        <v>1.1419429769572463E-2</v>
      </c>
      <c r="P48" s="3">
        <f t="shared" si="27"/>
        <v>1.1419429769572463E-2</v>
      </c>
      <c r="Q48" s="3">
        <f t="shared" si="27"/>
        <v>1.1419429769572463E-2</v>
      </c>
      <c r="R48" s="3">
        <f t="shared" si="27"/>
        <v>1.1419429769572463E-2</v>
      </c>
      <c r="S48" s="3">
        <f t="shared" si="27"/>
        <v>1.1419429769572463E-2</v>
      </c>
      <c r="T48" s="3">
        <f t="shared" si="27"/>
        <v>1.1419429769572463E-2</v>
      </c>
      <c r="U48" s="3">
        <f t="shared" si="27"/>
        <v>1.1419429769572461E-2</v>
      </c>
      <c r="V48" s="3">
        <f t="shared" si="27"/>
        <v>1.1419429769572451E-2</v>
      </c>
      <c r="W48" s="3">
        <f t="shared" si="27"/>
        <v>1.1419429769572349E-2</v>
      </c>
      <c r="X48" s="3">
        <f t="shared" si="27"/>
        <v>1.1419429769571322E-2</v>
      </c>
      <c r="Y48" s="3">
        <f t="shared" si="27"/>
        <v>1.1419429769561043E-2</v>
      </c>
      <c r="Z48" s="3">
        <f t="shared" si="27"/>
        <v>1.1419429769458268E-2</v>
      </c>
      <c r="AA48" s="3">
        <f t="shared" si="27"/>
        <v>1.1419429768430521E-2</v>
      </c>
      <c r="AB48" s="3">
        <f t="shared" si="27"/>
        <v>1.1419429758153033E-2</v>
      </c>
      <c r="AC48" s="3">
        <f t="shared" si="27"/>
        <v>1.1419429655378167E-2</v>
      </c>
      <c r="AD48" s="3">
        <f t="shared" si="27"/>
        <v>1.1419428627629544E-2</v>
      </c>
      <c r="AE48" s="3">
        <f t="shared" si="27"/>
        <v>1.1419418350148404E-2</v>
      </c>
      <c r="AF48" s="3">
        <f t="shared" si="29"/>
        <v>1.1419315575845737E-2</v>
      </c>
      <c r="AG48" s="3">
        <f t="shared" si="29"/>
        <v>1.1418287883690752E-2</v>
      </c>
      <c r="AH48" s="3">
        <f t="shared" si="29"/>
        <v>1.1408016047615013E-2</v>
      </c>
      <c r="AI48" s="3">
        <f t="shared" si="29"/>
        <v>1.1305804544875519E-2</v>
      </c>
      <c r="AJ48" s="3">
        <f t="shared" si="29"/>
        <v>1.0332727348142919E-2</v>
      </c>
    </row>
    <row r="49" spans="1:36" x14ac:dyDescent="0.25">
      <c r="B49" s="16">
        <f>SUM(B17:B48)</f>
        <v>2.0742376771882496</v>
      </c>
      <c r="C49" s="18">
        <f>SUM(C17:C48)</f>
        <v>1.0000000000000004</v>
      </c>
      <c r="F49" s="3">
        <f t="shared" ref="F49:AJ49" si="31">F16-F17</f>
        <v>60.758427128228504</v>
      </c>
      <c r="G49" s="3">
        <f t="shared" si="31"/>
        <v>-78.594295536324353</v>
      </c>
      <c r="H49" s="3">
        <f t="shared" si="31"/>
        <v>20.81022545849919</v>
      </c>
      <c r="I49" s="3">
        <f t="shared" si="31"/>
        <v>-3.3990667153038885</v>
      </c>
      <c r="J49" s="3">
        <f t="shared" si="31"/>
        <v>0.47340059797170397</v>
      </c>
      <c r="K49" s="3">
        <f t="shared" si="31"/>
        <v>-6.0340064795127546E-2</v>
      </c>
      <c r="L49" s="3">
        <f t="shared" si="31"/>
        <v>1.4180315913108643E-2</v>
      </c>
      <c r="M49" s="3">
        <f t="shared" si="31"/>
        <v>-1.7366653520184627E-2</v>
      </c>
      <c r="N49" s="3">
        <f t="shared" si="31"/>
        <v>4.4416094363441516E-2</v>
      </c>
      <c r="O49" s="3">
        <f t="shared" si="31"/>
        <v>-8.7080174027505564E-2</v>
      </c>
      <c r="P49" s="3">
        <f t="shared" si="31"/>
        <v>0.14509949723924365</v>
      </c>
      <c r="Q49" s="3">
        <f t="shared" si="31"/>
        <v>-0.21430381011577992</v>
      </c>
      <c r="R49" s="3">
        <f t="shared" si="31"/>
        <v>0.26312405274029516</v>
      </c>
      <c r="S49" s="3">
        <f t="shared" si="31"/>
        <v>-0.27710460695561778</v>
      </c>
      <c r="T49" s="3">
        <f t="shared" si="31"/>
        <v>0.24843027533870554</v>
      </c>
      <c r="U49" s="3">
        <f t="shared" si="31"/>
        <v>-0.1900031810218934</v>
      </c>
      <c r="V49" s="3">
        <f t="shared" si="31"/>
        <v>0.12890744133346743</v>
      </c>
      <c r="W49" s="3">
        <f t="shared" si="31"/>
        <v>-7.1148539610021544E-2</v>
      </c>
      <c r="X49" s="3">
        <f t="shared" si="31"/>
        <v>3.4769175968904165E-2</v>
      </c>
      <c r="Y49" s="3">
        <f t="shared" si="31"/>
        <v>-1.7322643635907298E-2</v>
      </c>
      <c r="Z49" s="3">
        <f t="shared" si="31"/>
        <v>1.7069196915144857E-3</v>
      </c>
      <c r="AA49" s="3">
        <f t="shared" si="31"/>
        <v>4.1754059061531734E-3</v>
      </c>
      <c r="AB49" s="3">
        <f t="shared" si="31"/>
        <v>-4.5405123084947263E-3</v>
      </c>
      <c r="AC49" s="3">
        <f t="shared" si="31"/>
        <v>3.4391836279610288E-3</v>
      </c>
      <c r="AD49" s="3">
        <f t="shared" si="31"/>
        <v>1.8284433622284268E-4</v>
      </c>
      <c r="AE49" s="3">
        <f t="shared" si="31"/>
        <v>-8.5935460288055765E-4</v>
      </c>
      <c r="AF49" s="3">
        <f t="shared" si="31"/>
        <v>1.8381380298251315E-3</v>
      </c>
      <c r="AG49" s="3">
        <f t="shared" si="31"/>
        <v>-2.7766728590563616E-3</v>
      </c>
      <c r="AH49" s="3">
        <f t="shared" si="31"/>
        <v>2.5368533783876046E-3</v>
      </c>
      <c r="AI49" s="3">
        <f t="shared" si="31"/>
        <v>1.3503571364026357E-3</v>
      </c>
      <c r="AJ49" s="3">
        <f t="shared" si="31"/>
        <v>-4.518395490435978E-3</v>
      </c>
    </row>
    <row r="50" spans="1:36" x14ac:dyDescent="0.25">
      <c r="F50" s="57">
        <f t="shared" ref="F50:AJ50" si="32">F49/F17</f>
        <v>1.1086139056295411E-2</v>
      </c>
      <c r="G50" s="57">
        <f t="shared" si="32"/>
        <v>-1.4496017278509373E-2</v>
      </c>
      <c r="H50" s="57">
        <f t="shared" si="32"/>
        <v>3.9945346024800486E-3</v>
      </c>
      <c r="I50" s="57">
        <f t="shared" si="32"/>
        <v>-6.6342104890897309E-4</v>
      </c>
      <c r="J50" s="57">
        <f t="shared" si="32"/>
        <v>9.4721103803603628E-5</v>
      </c>
      <c r="K50" s="57">
        <f t="shared" si="32"/>
        <v>-1.2394355531434676E-5</v>
      </c>
      <c r="L50" s="57">
        <f t="shared" si="32"/>
        <v>3.0025687161845993E-6</v>
      </c>
      <c r="M50" s="57">
        <f t="shared" si="32"/>
        <v>-3.8030704866332956E-6</v>
      </c>
      <c r="N50" s="57">
        <f t="shared" si="32"/>
        <v>1.0075354195022413E-5</v>
      </c>
      <c r="O50" s="57">
        <f t="shared" si="32"/>
        <v>-2.0459186232332881E-5</v>
      </c>
      <c r="P50" s="57">
        <f t="shared" si="32"/>
        <v>3.5489278250676127E-5</v>
      </c>
      <c r="Q50" s="57">
        <f t="shared" si="32"/>
        <v>-5.5136883122761892E-5</v>
      </c>
      <c r="R50" s="57">
        <f t="shared" si="32"/>
        <v>7.1622070139714023E-5</v>
      </c>
      <c r="S50" s="57">
        <f t="shared" si="32"/>
        <v>-7.9382004890429295E-5</v>
      </c>
      <c r="T50" s="57">
        <f t="shared" si="32"/>
        <v>7.4639567485533149E-5</v>
      </c>
      <c r="U50" s="57">
        <f t="shared" si="32"/>
        <v>-6.0073505450307238E-5</v>
      </c>
      <c r="V50" s="57">
        <f t="shared" si="32"/>
        <v>4.3128283488645439E-5</v>
      </c>
      <c r="W50" s="57">
        <f t="shared" si="32"/>
        <v>-2.5426026253205004E-5</v>
      </c>
      <c r="X50" s="57">
        <f t="shared" si="32"/>
        <v>1.3375495256886157E-5</v>
      </c>
      <c r="Y50" s="57">
        <f t="shared" si="32"/>
        <v>-7.2477091989972955E-6</v>
      </c>
      <c r="Z50" s="57">
        <f t="shared" si="32"/>
        <v>7.8464685240079555E-7</v>
      </c>
      <c r="AA50" s="57">
        <f t="shared" si="32"/>
        <v>2.147025574158851E-6</v>
      </c>
      <c r="AB50" s="57">
        <f t="shared" si="32"/>
        <v>-2.6830230636586366E-6</v>
      </c>
      <c r="AC50" s="57">
        <f t="shared" si="32"/>
        <v>2.4480709437334882E-6</v>
      </c>
      <c r="AD50" s="57">
        <f t="shared" si="32"/>
        <v>1.6752541922020665E-7</v>
      </c>
      <c r="AE50" s="57">
        <f t="shared" si="32"/>
        <v>-1.0870260026233483E-6</v>
      </c>
      <c r="AF50" s="57">
        <f t="shared" si="32"/>
        <v>3.3153028958677127E-6</v>
      </c>
      <c r="AG50" s="57">
        <f t="shared" si="32"/>
        <v>-6.9018988944874915E-6</v>
      </c>
      <c r="AH50" s="57">
        <f t="shared" si="32"/>
        <v>7.8413881566890027E-6</v>
      </c>
      <c r="AI50" s="57">
        <f t="shared" si="32"/>
        <v>4.7489257351017306E-6</v>
      </c>
      <c r="AJ50" s="57">
        <f t="shared" si="32"/>
        <v>-1.7054937175818733E-5</v>
      </c>
    </row>
    <row r="51" spans="1:36" x14ac:dyDescent="0.25">
      <c r="A51" s="13" t="s">
        <v>21</v>
      </c>
      <c r="B51" s="3">
        <f>STUTT!D8</f>
        <v>5614.1607000000004</v>
      </c>
      <c r="E51" s="11" t="s">
        <v>24</v>
      </c>
      <c r="F51" s="20">
        <f t="shared" ref="F51:AJ51" si="33">(F16-F17)^2</f>
        <v>3691.5864670962533</v>
      </c>
      <c r="G51" s="20">
        <f t="shared" si="33"/>
        <v>6177.0632908510943</v>
      </c>
      <c r="H51" s="20">
        <f t="shared" si="33"/>
        <v>433.06548363356779</v>
      </c>
      <c r="I51" s="20">
        <f t="shared" si="33"/>
        <v>11.553654535086766</v>
      </c>
      <c r="J51" s="20">
        <f t="shared" si="33"/>
        <v>0.22410812615996689</v>
      </c>
      <c r="K51" s="20">
        <f t="shared" si="33"/>
        <v>3.6409234194801905E-3</v>
      </c>
      <c r="L51" s="20">
        <f t="shared" si="33"/>
        <v>2.010813593955622E-4</v>
      </c>
      <c r="M51" s="20">
        <f t="shared" si="33"/>
        <v>3.0160065449014113E-4</v>
      </c>
      <c r="N51" s="20">
        <f t="shared" si="33"/>
        <v>1.9727894385021412E-3</v>
      </c>
      <c r="O51" s="20">
        <f t="shared" si="33"/>
        <v>7.5829567086606545E-3</v>
      </c>
      <c r="P51" s="20">
        <f t="shared" si="33"/>
        <v>2.1053864099081273E-2</v>
      </c>
      <c r="Q51" s="20">
        <f t="shared" si="33"/>
        <v>4.5926123030140258E-2</v>
      </c>
      <c r="R51" s="20">
        <f t="shared" si="33"/>
        <v>6.9234267130477631E-2</v>
      </c>
      <c r="S51" s="20">
        <f t="shared" si="33"/>
        <v>7.6786963196027416E-2</v>
      </c>
      <c r="T51" s="20">
        <f t="shared" si="33"/>
        <v>6.1717601704865045E-2</v>
      </c>
      <c r="U51" s="20">
        <f t="shared" si="33"/>
        <v>3.6101208798438394E-2</v>
      </c>
      <c r="V51" s="20">
        <f t="shared" si="33"/>
        <v>1.6617128431141347E-2</v>
      </c>
      <c r="W51" s="20">
        <f t="shared" si="33"/>
        <v>5.0621146886388043E-3</v>
      </c>
      <c r="X51" s="20">
        <f t="shared" si="33"/>
        <v>1.2088955975566229E-3</v>
      </c>
      <c r="Y51" s="20">
        <f t="shared" si="33"/>
        <v>3.000739825366396E-4</v>
      </c>
      <c r="Z51" s="20">
        <f t="shared" si="33"/>
        <v>2.9135748332799071E-6</v>
      </c>
      <c r="AA51" s="20">
        <f t="shared" si="33"/>
        <v>1.7434014481138805E-5</v>
      </c>
      <c r="AB51" s="20">
        <f t="shared" si="33"/>
        <v>2.061625202359211E-5</v>
      </c>
      <c r="AC51" s="20">
        <f t="shared" si="33"/>
        <v>1.1827984026835185E-5</v>
      </c>
      <c r="AD51" s="20">
        <f t="shared" si="33"/>
        <v>3.3432051288771939E-8</v>
      </c>
      <c r="AE51" s="20">
        <f t="shared" si="33"/>
        <v>7.3849033349200097E-7</v>
      </c>
      <c r="AF51" s="20">
        <f t="shared" si="33"/>
        <v>3.3787514166894163E-6</v>
      </c>
      <c r="AG51" s="20">
        <f t="shared" si="33"/>
        <v>7.7099121662202294E-6</v>
      </c>
      <c r="AH51" s="20">
        <f t="shared" si="33"/>
        <v>6.4356250634366029E-6</v>
      </c>
      <c r="AI51" s="20">
        <f t="shared" si="33"/>
        <v>1.8234643958335263E-6</v>
      </c>
      <c r="AJ51" s="20">
        <f t="shared" si="33"/>
        <v>2.0415897807992183E-5</v>
      </c>
    </row>
    <row r="52" spans="1:36" x14ac:dyDescent="0.25">
      <c r="A52" s="13"/>
    </row>
    <row r="53" spans="1:36" x14ac:dyDescent="0.25">
      <c r="E53" s="108" t="s">
        <v>25</v>
      </c>
      <c r="F53" s="108"/>
      <c r="G53" s="21">
        <f>SUM(F51:AJ51)</f>
        <v>10313.840805161792</v>
      </c>
      <c r="I53" s="3">
        <f>G53+C123</f>
        <v>10313.840805161792</v>
      </c>
      <c r="K53" s="3">
        <f>SUM(Z51:AJ51)</f>
        <v>9.3327398599798739E-5</v>
      </c>
    </row>
    <row r="55" spans="1:36" x14ac:dyDescent="0.25">
      <c r="E55" s="30" t="s">
        <v>30</v>
      </c>
      <c r="F55" s="31">
        <f t="shared" ref="F55:AJ55" si="34">ABS(F17-F16)/F16</f>
        <v>1.0964584151695263E-2</v>
      </c>
      <c r="G55" s="31">
        <f t="shared" si="34"/>
        <v>1.4709242715060682E-2</v>
      </c>
      <c r="H55" s="31">
        <f t="shared" si="34"/>
        <v>3.9786417802180948E-3</v>
      </c>
      <c r="I55" s="31">
        <f t="shared" si="34"/>
        <v>6.6386146858078926E-4</v>
      </c>
      <c r="J55" s="31">
        <f t="shared" si="34"/>
        <v>9.4712132565863408E-5</v>
      </c>
      <c r="K55" s="31">
        <f t="shared" si="34"/>
        <v>1.2394509153387761E-5</v>
      </c>
      <c r="L55" s="31">
        <f t="shared" si="34"/>
        <v>3.0025597007927731E-6</v>
      </c>
      <c r="M55" s="31">
        <f t="shared" si="34"/>
        <v>3.8030849500334272E-6</v>
      </c>
      <c r="N55" s="31">
        <f t="shared" si="34"/>
        <v>1.0075252683283025E-5</v>
      </c>
      <c r="O55" s="31">
        <f t="shared" si="34"/>
        <v>2.0459604819198117E-5</v>
      </c>
      <c r="P55" s="31">
        <f t="shared" si="34"/>
        <v>3.5488018806502135E-5</v>
      </c>
      <c r="Q55" s="31">
        <f t="shared" si="34"/>
        <v>5.5139923366271934E-5</v>
      </c>
      <c r="R55" s="31">
        <f t="shared" si="34"/>
        <v>7.1616940786157839E-5</v>
      </c>
      <c r="S55" s="31">
        <f t="shared" si="34"/>
        <v>7.9388306893395346E-5</v>
      </c>
      <c r="T55" s="31">
        <f t="shared" si="34"/>
        <v>7.4633996836289567E-5</v>
      </c>
      <c r="U55" s="31">
        <f t="shared" si="34"/>
        <v>6.007711449317218E-5</v>
      </c>
      <c r="V55" s="31">
        <f t="shared" si="34"/>
        <v>4.3126423520026016E-5</v>
      </c>
      <c r="W55" s="31">
        <f t="shared" si="34"/>
        <v>2.5426672752453938E-5</v>
      </c>
      <c r="X55" s="31">
        <f t="shared" si="34"/>
        <v>1.3375316355405686E-5</v>
      </c>
      <c r="Y55" s="31">
        <f t="shared" si="34"/>
        <v>7.2477617286666492E-6</v>
      </c>
      <c r="Z55" s="31">
        <f t="shared" si="34"/>
        <v>7.8464623673059565E-7</v>
      </c>
      <c r="AA55" s="31">
        <f t="shared" si="34"/>
        <v>2.1470209644499322E-6</v>
      </c>
      <c r="AB55" s="31">
        <f t="shared" si="34"/>
        <v>2.6830302622907109E-6</v>
      </c>
      <c r="AC55" s="31">
        <f t="shared" si="34"/>
        <v>2.4480649506968142E-6</v>
      </c>
      <c r="AD55" s="31">
        <f t="shared" si="34"/>
        <v>1.6752539115544526E-7</v>
      </c>
      <c r="AE55" s="31">
        <f t="shared" si="34"/>
        <v>1.0870271842501632E-6</v>
      </c>
      <c r="AF55" s="31">
        <f t="shared" si="34"/>
        <v>3.3152919046708608E-6</v>
      </c>
      <c r="AG55" s="31">
        <f t="shared" si="34"/>
        <v>6.9019465310246235E-6</v>
      </c>
      <c r="AH55" s="31">
        <f t="shared" si="34"/>
        <v>7.841326669802921E-6</v>
      </c>
      <c r="AI55" s="31">
        <f t="shared" si="34"/>
        <v>4.7489031829131924E-6</v>
      </c>
      <c r="AJ55" s="31">
        <f t="shared" si="34"/>
        <v>1.7055228051661673E-5</v>
      </c>
    </row>
    <row r="56" spans="1:36" x14ac:dyDescent="0.25">
      <c r="E56" s="13" t="s">
        <v>31</v>
      </c>
      <c r="F56" s="32">
        <f>AVERAGE(F55:AJ55)</f>
        <v>9.9920895955791524E-4</v>
      </c>
    </row>
    <row r="57" spans="1:36" x14ac:dyDescent="0.25">
      <c r="A57" s="42"/>
      <c r="B57" s="15"/>
      <c r="C57" s="15"/>
      <c r="D57" s="15"/>
      <c r="F57" s="60">
        <f>AVERAGE(S55:X55)</f>
        <v>4.9337971808457124E-5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09"/>
      <c r="D63" s="109"/>
      <c r="E63" s="109"/>
      <c r="F63" s="109"/>
      <c r="G63" s="109"/>
      <c r="H63" s="109"/>
      <c r="I63" s="109"/>
    </row>
    <row r="64" spans="1:36" x14ac:dyDescent="0.25">
      <c r="A64" s="42">
        <f>10^A65</f>
        <v>1.0000000000000001E-15</v>
      </c>
      <c r="B64" s="42">
        <f>10^B65</f>
        <v>1000000000000000</v>
      </c>
      <c r="C64" s="15"/>
      <c r="D64" s="15"/>
      <c r="E64" s="15"/>
      <c r="F64" s="15"/>
      <c r="G64" s="15"/>
      <c r="H64" s="15"/>
      <c r="I64" s="15"/>
    </row>
    <row r="65" spans="1:13" x14ac:dyDescent="0.25">
      <c r="A65" s="15">
        <v>-15</v>
      </c>
      <c r="B65" s="43">
        <v>15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0"/>
    </row>
    <row r="101" spans="1:9" x14ac:dyDescent="0.25">
      <c r="A101" s="11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-30.414147978912087</v>
      </c>
    </row>
    <row r="119" spans="1:14" x14ac:dyDescent="0.25">
      <c r="L119" s="11">
        <f>L118+1</f>
        <v>2</v>
      </c>
      <c r="M119" s="11">
        <f t="shared" ref="M119:M124" si="35">INDEX($B$125:$K$126,1,L119)</f>
        <v>0</v>
      </c>
      <c r="N119" s="11">
        <f t="shared" ref="N119:N124" si="36">IF(L119=$B$3,0,INDEX($B$125:$K$126,2,L119))</f>
        <v>-17.975469980117239</v>
      </c>
    </row>
    <row r="120" spans="1:14" x14ac:dyDescent="0.25">
      <c r="L120" s="11">
        <f t="shared" ref="L120:L124" si="37">L119+1</f>
        <v>3</v>
      </c>
      <c r="M120" s="11">
        <f t="shared" si="35"/>
        <v>25</v>
      </c>
      <c r="N120" s="11">
        <f t="shared" si="36"/>
        <v>-11.916805834805766</v>
      </c>
    </row>
    <row r="121" spans="1:14" x14ac:dyDescent="0.25">
      <c r="A121" s="3">
        <f>(A165+A204+A243+A282+A321+A360+A399)*10^9</f>
        <v>739835415383869.25</v>
      </c>
      <c r="L121" s="11">
        <f t="shared" si="37"/>
        <v>4</v>
      </c>
      <c r="M121" s="11">
        <f t="shared" si="35"/>
        <v>50</v>
      </c>
      <c r="N121" s="11">
        <f t="shared" si="36"/>
        <v>-6.7709490443524762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08"/>
      <c r="B123" s="108"/>
      <c r="C123" s="3"/>
      <c r="D123" s="3"/>
      <c r="E123" s="3"/>
      <c r="F123" s="3"/>
      <c r="G123" s="3"/>
      <c r="H123" s="3"/>
      <c r="I123" s="3"/>
      <c r="J123" s="3"/>
      <c r="K123" s="3"/>
      <c r="L123" s="11">
        <f t="shared" si="37"/>
        <v>6</v>
      </c>
      <c r="M123" s="11">
        <f t="shared" si="35"/>
        <v>125</v>
      </c>
      <c r="N123" s="11">
        <f t="shared" si="36"/>
        <v>16.279090648122121</v>
      </c>
    </row>
    <row r="124" spans="1:14" x14ac:dyDescent="0.25">
      <c r="B124" s="3"/>
      <c r="C124" s="3"/>
      <c r="D124" s="3"/>
      <c r="E124" s="3"/>
      <c r="F124" s="3"/>
      <c r="G124" s="3"/>
      <c r="H124" s="3"/>
      <c r="I124" s="3"/>
      <c r="J124" s="3"/>
      <c r="K124" s="3"/>
      <c r="L124" s="11">
        <f t="shared" si="37"/>
        <v>7</v>
      </c>
      <c r="M124" s="11">
        <f t="shared" si="35"/>
        <v>160</v>
      </c>
      <c r="N124" s="11">
        <f t="shared" si="36"/>
        <v>30.443786519300005</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-30.414147978912087</v>
      </c>
      <c r="C126" s="3">
        <v>-17.975469980117239</v>
      </c>
      <c r="D126" s="3">
        <v>-11.916805834805766</v>
      </c>
      <c r="E126" s="3">
        <v>-6.7709490443524762</v>
      </c>
      <c r="F126" s="3">
        <v>1.2810641215552076E-2</v>
      </c>
      <c r="G126" s="3">
        <v>16.279090648122121</v>
      </c>
      <c r="H126" s="3">
        <v>30.443786519300005</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9" t="s">
        <v>22</v>
      </c>
      <c r="B131" s="27">
        <f>($C$17+SUM(B132:B162))*$B$51</f>
        <v>5614.1606992195475</v>
      </c>
      <c r="C131" s="27">
        <f t="shared" ref="C131:AF131" si="40">($C$17+SUM(C132:C162))*$B$51</f>
        <v>5614.1606921954517</v>
      </c>
      <c r="D131" s="27">
        <f t="shared" si="40"/>
        <v>5614.1606219545156</v>
      </c>
      <c r="E131" s="27">
        <f t="shared" si="40"/>
        <v>5614.1599195473118</v>
      </c>
      <c r="F131" s="27">
        <f t="shared" si="40"/>
        <v>5614.1528956902866</v>
      </c>
      <c r="G131" s="27">
        <f t="shared" si="40"/>
        <v>5614.0826786181033</v>
      </c>
      <c r="H131" s="27">
        <f t="shared" si="40"/>
        <v>5613.3826532819348</v>
      </c>
      <c r="I131" s="27">
        <f t="shared" si="40"/>
        <v>5606.5925852194141</v>
      </c>
      <c r="J131" s="27">
        <f t="shared" si="40"/>
        <v>5555.9566867737367</v>
      </c>
      <c r="K131" s="27">
        <f t="shared" si="40"/>
        <v>5488.2247202817607</v>
      </c>
      <c r="L131" s="27">
        <f t="shared" si="40"/>
        <v>5487.9604452610001</v>
      </c>
      <c r="M131" s="27">
        <f t="shared" si="40"/>
        <v>5487.9188022044364</v>
      </c>
      <c r="N131" s="27">
        <f t="shared" si="40"/>
        <v>5487.5026916373799</v>
      </c>
      <c r="O131" s="27">
        <f t="shared" si="40"/>
        <v>5483.3734178990135</v>
      </c>
      <c r="P131" s="27">
        <f t="shared" si="40"/>
        <v>5445.1023973031279</v>
      </c>
      <c r="Q131" s="27">
        <f t="shared" si="40"/>
        <v>5251.4496299427956</v>
      </c>
      <c r="R131" s="27">
        <f t="shared" si="40"/>
        <v>5141.7742512414388</v>
      </c>
      <c r="S131" s="27">
        <f t="shared" si="40"/>
        <v>5028.449184711727</v>
      </c>
      <c r="T131" s="27">
        <f t="shared" si="40"/>
        <v>4898.9186000775371</v>
      </c>
      <c r="U131" s="27">
        <f t="shared" si="40"/>
        <v>4758.1580752713244</v>
      </c>
      <c r="V131" s="27">
        <f t="shared" si="40"/>
        <v>4603.7065825591098</v>
      </c>
      <c r="W131" s="27">
        <f t="shared" si="40"/>
        <v>4445.1175622259152</v>
      </c>
      <c r="X131" s="27">
        <f t="shared" si="40"/>
        <v>4290.9295280831766</v>
      </c>
      <c r="Y131" s="27">
        <f t="shared" si="40"/>
        <v>4128.9127266621554</v>
      </c>
      <c r="Z131" s="27">
        <f t="shared" si="40"/>
        <v>3934.2346405007024</v>
      </c>
      <c r="AA131" s="27">
        <f t="shared" si="40"/>
        <v>3717.7296653702829</v>
      </c>
      <c r="AB131" s="27">
        <f t="shared" si="40"/>
        <v>3523.3333976096078</v>
      </c>
      <c r="AC131" s="27">
        <f t="shared" si="40"/>
        <v>3361.276270447675</v>
      </c>
      <c r="AD131" s="27">
        <f t="shared" si="40"/>
        <v>3194.1890942524064</v>
      </c>
      <c r="AE131" s="27">
        <f t="shared" si="40"/>
        <v>3023.8241666793911</v>
      </c>
      <c r="AF131" s="27">
        <f t="shared" si="40"/>
        <v>2833.2716687144202</v>
      </c>
    </row>
    <row r="132" spans="1:33" x14ac:dyDescent="0.25">
      <c r="B132" s="3">
        <f t="shared" ref="B132:Z133" si="41">$C18*EXP(-B$129/$A18/EXP(-$B$126))</f>
        <v>2.2478093046557845E-2</v>
      </c>
      <c r="C132" s="3">
        <f t="shared" ref="C132:AF132" si="42">$C18*EXP(-C$129/$A18/EXP(-$B$126))</f>
        <v>2.2478091795419534E-2</v>
      </c>
      <c r="D132" s="3">
        <f t="shared" si="42"/>
        <v>2.2478079284040251E-2</v>
      </c>
      <c r="E132" s="3">
        <f t="shared" si="42"/>
        <v>2.2477954170630421E-2</v>
      </c>
      <c r="F132" s="3">
        <f t="shared" si="42"/>
        <v>2.2476703074832589E-2</v>
      </c>
      <c r="G132" s="3">
        <f t="shared" si="42"/>
        <v>2.2464195946111355E-2</v>
      </c>
      <c r="H132" s="3">
        <f t="shared" si="42"/>
        <v>2.2339506797170054E-2</v>
      </c>
      <c r="I132" s="3">
        <f t="shared" si="42"/>
        <v>2.1130053726498399E-2</v>
      </c>
      <c r="J132" s="3">
        <f t="shared" si="42"/>
        <v>1.2110743538411559E-2</v>
      </c>
      <c r="K132" s="3">
        <f t="shared" si="42"/>
        <v>4.6331127453562584E-5</v>
      </c>
      <c r="L132" s="3">
        <f t="shared" si="42"/>
        <v>3.1109532287791721E-29</v>
      </c>
      <c r="M132" s="3">
        <f t="shared" si="42"/>
        <v>5.7956161296310421E-271</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5.0929923906181188E-2</v>
      </c>
      <c r="C133" s="3">
        <f t="shared" si="41"/>
        <v>5.0929923906180452E-2</v>
      </c>
      <c r="D133" s="3">
        <f t="shared" si="41"/>
        <v>5.0929923906173194E-2</v>
      </c>
      <c r="E133" s="3">
        <f t="shared" si="41"/>
        <v>5.0929923906100578E-2</v>
      </c>
      <c r="F133" s="3">
        <f t="shared" si="41"/>
        <v>5.0929923905374444E-2</v>
      </c>
      <c r="G133" s="3">
        <f t="shared" si="41"/>
        <v>5.092992389811303E-2</v>
      </c>
      <c r="H133" s="3">
        <f t="shared" si="41"/>
        <v>5.0929923825498963E-2</v>
      </c>
      <c r="I133" s="3">
        <f t="shared" si="41"/>
        <v>5.0929923099358218E-2</v>
      </c>
      <c r="J133" s="3">
        <f t="shared" si="41"/>
        <v>5.0929915837951367E-2</v>
      </c>
      <c r="K133" s="3">
        <f t="shared" si="41"/>
        <v>5.0929843223939827E-2</v>
      </c>
      <c r="L133" s="3">
        <f t="shared" si="41"/>
        <v>5.0929117089518555E-2</v>
      </c>
      <c r="M133" s="3">
        <f t="shared" si="41"/>
        <v>5.0921856314690608E-2</v>
      </c>
      <c r="N133" s="3">
        <f t="shared" si="41"/>
        <v>5.0849305474859607E-2</v>
      </c>
      <c r="O133" s="3">
        <f t="shared" si="41"/>
        <v>5.0129458014471266E-2</v>
      </c>
      <c r="P133" s="3">
        <f t="shared" si="41"/>
        <v>4.3468319042540268E-2</v>
      </c>
      <c r="Q133" s="3">
        <f t="shared" si="41"/>
        <v>1.0446509751616392E-2</v>
      </c>
      <c r="R133" s="3">
        <f t="shared" si="41"/>
        <v>6.7135912220904077E-9</v>
      </c>
      <c r="S133" s="3">
        <f t="shared" si="41"/>
        <v>8.0684794595897854E-71</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9.6872855231009171E-3</v>
      </c>
      <c r="C134" s="3">
        <f t="shared" si="44"/>
        <v>9.6872855231009049E-3</v>
      </c>
      <c r="D134" s="3">
        <f t="shared" si="44"/>
        <v>9.68728552310078E-3</v>
      </c>
      <c r="E134" s="3">
        <f t="shared" si="44"/>
        <v>9.6872855230995345E-3</v>
      </c>
      <c r="F134" s="3">
        <f t="shared" si="44"/>
        <v>9.6872855230870757E-3</v>
      </c>
      <c r="G134" s="3">
        <f t="shared" si="44"/>
        <v>9.687285522962481E-3</v>
      </c>
      <c r="H134" s="3">
        <f t="shared" si="44"/>
        <v>9.6872855217165436E-3</v>
      </c>
      <c r="I134" s="3">
        <f t="shared" si="44"/>
        <v>9.6872855092571611E-3</v>
      </c>
      <c r="J134" s="3">
        <f t="shared" si="44"/>
        <v>9.6872853846633519E-3</v>
      </c>
      <c r="K134" s="3">
        <f t="shared" si="44"/>
        <v>9.6872841387253324E-3</v>
      </c>
      <c r="L134" s="3">
        <f t="shared" si="44"/>
        <v>9.687271679353961E-3</v>
      </c>
      <c r="M134" s="3">
        <f t="shared" si="44"/>
        <v>9.6871470865215904E-3</v>
      </c>
      <c r="N134" s="3">
        <f t="shared" si="44"/>
        <v>9.6859012463292662E-3</v>
      </c>
      <c r="O134" s="3">
        <f t="shared" si="44"/>
        <v>9.6734516533514767E-3</v>
      </c>
      <c r="P134" s="3">
        <f t="shared" si="44"/>
        <v>9.5498324405142842E-3</v>
      </c>
      <c r="Q134" s="3">
        <f t="shared" si="44"/>
        <v>8.3972795850809061E-3</v>
      </c>
      <c r="R134" s="3">
        <f t="shared" si="44"/>
        <v>2.3204233577412176E-3</v>
      </c>
      <c r="S134" s="3">
        <f t="shared" si="44"/>
        <v>6.0235619607046304E-9</v>
      </c>
      <c r="T134" s="3">
        <f t="shared" si="44"/>
        <v>8.369796855928745E-65</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2.5365400912727508E-2</v>
      </c>
      <c r="C135" s="3">
        <f t="shared" si="47"/>
        <v>2.5365400912727504E-2</v>
      </c>
      <c r="D135" s="3">
        <f t="shared" si="47"/>
        <v>2.5365400912727473E-2</v>
      </c>
      <c r="E135" s="3">
        <f t="shared" si="47"/>
        <v>2.5365400912727182E-2</v>
      </c>
      <c r="F135" s="3">
        <f t="shared" si="47"/>
        <v>2.536540091272424E-2</v>
      </c>
      <c r="G135" s="3">
        <f t="shared" si="47"/>
        <v>2.5365400912694808E-2</v>
      </c>
      <c r="H135" s="3">
        <f t="shared" si="47"/>
        <v>2.5365400912400513E-2</v>
      </c>
      <c r="I135" s="3">
        <f t="shared" si="47"/>
        <v>2.5365400909457565E-2</v>
      </c>
      <c r="J135" s="3">
        <f t="shared" si="47"/>
        <v>2.5365400880028078E-2</v>
      </c>
      <c r="K135" s="3">
        <f t="shared" si="47"/>
        <v>2.5365400585733208E-2</v>
      </c>
      <c r="L135" s="3">
        <f t="shared" si="47"/>
        <v>2.5365397642784702E-2</v>
      </c>
      <c r="M135" s="3">
        <f t="shared" si="47"/>
        <v>2.5365368213318432E-2</v>
      </c>
      <c r="N135" s="3">
        <f t="shared" si="47"/>
        <v>2.5365073920533662E-2</v>
      </c>
      <c r="O135" s="3">
        <f t="shared" si="47"/>
        <v>2.5362131180473001E-2</v>
      </c>
      <c r="P135" s="3">
        <f t="shared" si="47"/>
        <v>2.5332722550512207E-2</v>
      </c>
      <c r="Q135" s="3">
        <f t="shared" si="47"/>
        <v>2.5040505282529074E-2</v>
      </c>
      <c r="R135" s="3">
        <f t="shared" si="47"/>
        <v>2.2297455318564707E-2</v>
      </c>
      <c r="S135" s="3">
        <f t="shared" si="47"/>
        <v>6.9883950062922797E-3</v>
      </c>
      <c r="T135" s="3">
        <f t="shared" si="47"/>
        <v>6.3914422406778369E-8</v>
      </c>
      <c r="U135" s="3">
        <f t="shared" si="47"/>
        <v>2.6170565502136985E-58</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2.3099378117218305E-2</v>
      </c>
      <c r="C136" s="3">
        <f t="shared" si="49"/>
        <v>2.3099378117218305E-2</v>
      </c>
      <c r="D136" s="3">
        <f t="shared" si="49"/>
        <v>2.3099378117218301E-2</v>
      </c>
      <c r="E136" s="3">
        <f t="shared" si="49"/>
        <v>2.309937811721828E-2</v>
      </c>
      <c r="F136" s="3">
        <f t="shared" si="49"/>
        <v>2.3099378117218034E-2</v>
      </c>
      <c r="G136" s="3">
        <f t="shared" si="49"/>
        <v>2.3099378117215619E-2</v>
      </c>
      <c r="H136" s="3">
        <f t="shared" si="49"/>
        <v>2.3099378117191441E-2</v>
      </c>
      <c r="I136" s="3">
        <f t="shared" si="49"/>
        <v>2.3099378116949683E-2</v>
      </c>
      <c r="J136" s="3">
        <f t="shared" si="49"/>
        <v>2.3099378114532061E-2</v>
      </c>
      <c r="K136" s="3">
        <f t="shared" si="49"/>
        <v>2.3099378090355872E-2</v>
      </c>
      <c r="L136" s="3">
        <f t="shared" si="49"/>
        <v>2.3099377848593984E-2</v>
      </c>
      <c r="M136" s="3">
        <f t="shared" si="49"/>
        <v>2.3099375430975243E-2</v>
      </c>
      <c r="N136" s="3">
        <f t="shared" si="49"/>
        <v>2.3099351254801729E-2</v>
      </c>
      <c r="O136" s="3">
        <f t="shared" si="49"/>
        <v>2.3099109494458262E-2</v>
      </c>
      <c r="P136" s="3">
        <f t="shared" si="49"/>
        <v>2.309669203018519E-2</v>
      </c>
      <c r="Q136" s="3">
        <f t="shared" si="49"/>
        <v>2.3072531298226496E-2</v>
      </c>
      <c r="R136" s="3">
        <f t="shared" si="49"/>
        <v>2.2832309683970511E-2</v>
      </c>
      <c r="S136" s="3">
        <f t="shared" si="49"/>
        <v>2.0563444896150661E-2</v>
      </c>
      <c r="T136" s="3">
        <f t="shared" si="49"/>
        <v>7.2203146780077474E-3</v>
      </c>
      <c r="U136" s="3">
        <f t="shared" si="49"/>
        <v>2.0566418261854732E-7</v>
      </c>
      <c r="V136" s="3">
        <f t="shared" si="49"/>
        <v>7.2307616681225623E-53</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2.7649262864666301E-2</v>
      </c>
      <c r="C137" s="3">
        <f t="shared" si="51"/>
        <v>2.7649262864666301E-2</v>
      </c>
      <c r="D137" s="3">
        <f t="shared" si="51"/>
        <v>2.7649262864666301E-2</v>
      </c>
      <c r="E137" s="3">
        <f t="shared" si="51"/>
        <v>2.7649262864666298E-2</v>
      </c>
      <c r="F137" s="3">
        <f t="shared" si="51"/>
        <v>2.7649262864666273E-2</v>
      </c>
      <c r="G137" s="3">
        <f t="shared" si="51"/>
        <v>2.7649262864666013E-2</v>
      </c>
      <c r="H137" s="3">
        <f t="shared" si="51"/>
        <v>2.7649262864663401E-2</v>
      </c>
      <c r="I137" s="3">
        <f t="shared" si="51"/>
        <v>2.7649262864637297E-2</v>
      </c>
      <c r="J137" s="3">
        <f t="shared" si="51"/>
        <v>2.7649262864376248E-2</v>
      </c>
      <c r="K137" s="3">
        <f t="shared" si="51"/>
        <v>2.7649262861765788E-2</v>
      </c>
      <c r="L137" s="3">
        <f t="shared" si="51"/>
        <v>2.7649262835661149E-2</v>
      </c>
      <c r="M137" s="3">
        <f t="shared" si="51"/>
        <v>2.7649262574614749E-2</v>
      </c>
      <c r="N137" s="3">
        <f t="shared" si="51"/>
        <v>2.7649259964150939E-2</v>
      </c>
      <c r="O137" s="3">
        <f t="shared" si="51"/>
        <v>2.7649233859526379E-2</v>
      </c>
      <c r="P137" s="3">
        <f t="shared" si="51"/>
        <v>2.76489728146363E-2</v>
      </c>
      <c r="Q137" s="3">
        <f t="shared" si="51"/>
        <v>2.7646362501284927E-2</v>
      </c>
      <c r="R137" s="3">
        <f t="shared" si="51"/>
        <v>2.762027291797977E-2</v>
      </c>
      <c r="S137" s="3">
        <f t="shared" si="51"/>
        <v>2.7360727384219154E-2</v>
      </c>
      <c r="T137" s="3">
        <f t="shared" si="51"/>
        <v>2.4895701744065128E-2</v>
      </c>
      <c r="U137" s="3">
        <f t="shared" si="51"/>
        <v>9.6848234312083992E-3</v>
      </c>
      <c r="V137" s="3">
        <f t="shared" si="51"/>
        <v>7.6871447011774554E-7</v>
      </c>
      <c r="W137" s="3">
        <f t="shared" si="51"/>
        <v>7.6295433583501748E-48</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2.9567803961689888E-2</v>
      </c>
      <c r="C138" s="3">
        <f t="shared" si="53"/>
        <v>2.9567803961689888E-2</v>
      </c>
      <c r="D138" s="3">
        <f t="shared" si="53"/>
        <v>2.9567803961689888E-2</v>
      </c>
      <c r="E138" s="3">
        <f t="shared" si="53"/>
        <v>2.9567803961689888E-2</v>
      </c>
      <c r="F138" s="3">
        <f t="shared" si="53"/>
        <v>2.9567803961689884E-2</v>
      </c>
      <c r="G138" s="3">
        <f t="shared" si="53"/>
        <v>2.9567803961689856E-2</v>
      </c>
      <c r="H138" s="3">
        <f t="shared" si="53"/>
        <v>2.956780396168961E-2</v>
      </c>
      <c r="I138" s="3">
        <f t="shared" si="53"/>
        <v>2.9567803961687091E-2</v>
      </c>
      <c r="J138" s="3">
        <f t="shared" si="53"/>
        <v>2.9567803961661906E-2</v>
      </c>
      <c r="K138" s="3">
        <f t="shared" si="53"/>
        <v>2.956780396141008E-2</v>
      </c>
      <c r="L138" s="3">
        <f t="shared" si="53"/>
        <v>2.9567803958891824E-2</v>
      </c>
      <c r="M138" s="3">
        <f t="shared" si="53"/>
        <v>2.956780393370927E-2</v>
      </c>
      <c r="N138" s="3">
        <f t="shared" si="53"/>
        <v>2.9567803681883713E-2</v>
      </c>
      <c r="O138" s="3">
        <f t="shared" si="53"/>
        <v>2.9567801163628258E-2</v>
      </c>
      <c r="P138" s="3">
        <f t="shared" si="53"/>
        <v>2.9567775981085516E-2</v>
      </c>
      <c r="Q138" s="3">
        <f t="shared" si="53"/>
        <v>2.9567524156837732E-2</v>
      </c>
      <c r="R138" s="3">
        <f t="shared" si="53"/>
        <v>2.9565006032318011E-2</v>
      </c>
      <c r="S138" s="3">
        <f t="shared" si="53"/>
        <v>2.9539836579221497E-2</v>
      </c>
      <c r="T138" s="3">
        <f t="shared" si="53"/>
        <v>2.9289317550789565E-2</v>
      </c>
      <c r="U138" s="3">
        <f t="shared" si="53"/>
        <v>2.6898056102731622E-2</v>
      </c>
      <c r="V138" s="3">
        <f t="shared" si="53"/>
        <v>1.1477236207059253E-2</v>
      </c>
      <c r="W138" s="3">
        <f t="shared" si="53"/>
        <v>2.2961569283973361E-6</v>
      </c>
      <c r="X138" s="3">
        <f t="shared" si="53"/>
        <v>2.3585442583333379E-43</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2.9957814581893651E-2</v>
      </c>
      <c r="C139" s="3">
        <f t="shared" si="55"/>
        <v>2.9957814581893651E-2</v>
      </c>
      <c r="D139" s="3">
        <f t="shared" si="55"/>
        <v>2.9957814581893651E-2</v>
      </c>
      <c r="E139" s="3">
        <f t="shared" si="55"/>
        <v>2.9957814581893651E-2</v>
      </c>
      <c r="F139" s="3">
        <f t="shared" si="55"/>
        <v>2.9957814581893651E-2</v>
      </c>
      <c r="G139" s="3">
        <f t="shared" si="55"/>
        <v>2.9957814581893647E-2</v>
      </c>
      <c r="H139" s="3">
        <f t="shared" si="55"/>
        <v>2.9957814581893623E-2</v>
      </c>
      <c r="I139" s="3">
        <f t="shared" si="55"/>
        <v>2.9957814581893394E-2</v>
      </c>
      <c r="J139" s="3">
        <f t="shared" si="55"/>
        <v>2.9957814581891094E-2</v>
      </c>
      <c r="K139" s="3">
        <f t="shared" si="55"/>
        <v>2.9957814581868077E-2</v>
      </c>
      <c r="L139" s="3">
        <f t="shared" si="55"/>
        <v>2.9957814581637911E-2</v>
      </c>
      <c r="M139" s="3">
        <f t="shared" si="55"/>
        <v>2.9957814579336273E-2</v>
      </c>
      <c r="N139" s="3">
        <f t="shared" si="55"/>
        <v>2.9957814556319868E-2</v>
      </c>
      <c r="O139" s="3">
        <f t="shared" si="55"/>
        <v>2.9957814326155841E-2</v>
      </c>
      <c r="P139" s="3">
        <f t="shared" si="55"/>
        <v>2.9957812024515636E-2</v>
      </c>
      <c r="Q139" s="3">
        <f t="shared" si="55"/>
        <v>2.9957789008123341E-2</v>
      </c>
      <c r="R139" s="3">
        <f t="shared" si="55"/>
        <v>2.9957558845172972E-2</v>
      </c>
      <c r="S139" s="3">
        <f t="shared" si="55"/>
        <v>2.9955257312924696E-2</v>
      </c>
      <c r="T139" s="3">
        <f t="shared" si="55"/>
        <v>2.9932251713218463E-2</v>
      </c>
      <c r="U139" s="3">
        <f t="shared" si="55"/>
        <v>2.9703165235602038E-2</v>
      </c>
      <c r="V139" s="3">
        <f t="shared" si="55"/>
        <v>2.7506552088689903E-2</v>
      </c>
      <c r="W139" s="3">
        <f t="shared" si="55"/>
        <v>1.2757641654405436E-2</v>
      </c>
      <c r="X139" s="3">
        <f t="shared" si="55"/>
        <v>5.8764201059068485E-6</v>
      </c>
      <c r="Y139" s="3">
        <f t="shared" si="55"/>
        <v>2.5266041415316299E-39</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2.7071321334420872E-2</v>
      </c>
      <c r="C140" s="3">
        <f t="shared" si="57"/>
        <v>2.7071321334420872E-2</v>
      </c>
      <c r="D140" s="3">
        <f t="shared" si="57"/>
        <v>2.7071321334420872E-2</v>
      </c>
      <c r="E140" s="3">
        <f t="shared" si="57"/>
        <v>2.7071321334420872E-2</v>
      </c>
      <c r="F140" s="3">
        <f t="shared" si="57"/>
        <v>2.7071321334420872E-2</v>
      </c>
      <c r="G140" s="3">
        <f t="shared" si="57"/>
        <v>2.7071321334420872E-2</v>
      </c>
      <c r="H140" s="3">
        <f t="shared" si="57"/>
        <v>2.7071321334420868E-2</v>
      </c>
      <c r="I140" s="3">
        <f t="shared" si="57"/>
        <v>2.7071321334420851E-2</v>
      </c>
      <c r="J140" s="3">
        <f t="shared" si="57"/>
        <v>2.7071321334420664E-2</v>
      </c>
      <c r="K140" s="3">
        <f t="shared" si="57"/>
        <v>2.7071321334418787E-2</v>
      </c>
      <c r="L140" s="3">
        <f t="shared" si="57"/>
        <v>2.7071321334400024E-2</v>
      </c>
      <c r="M140" s="3">
        <f t="shared" si="57"/>
        <v>2.7071321334212403E-2</v>
      </c>
      <c r="N140" s="3">
        <f t="shared" si="57"/>
        <v>2.7071321332336185E-2</v>
      </c>
      <c r="O140" s="3">
        <f t="shared" si="57"/>
        <v>2.7071321313574002E-2</v>
      </c>
      <c r="P140" s="3">
        <f t="shared" si="57"/>
        <v>2.7071321125952171E-2</v>
      </c>
      <c r="Q140" s="3">
        <f t="shared" si="57"/>
        <v>2.7071319249733935E-2</v>
      </c>
      <c r="R140" s="3">
        <f t="shared" si="57"/>
        <v>2.7071300487558715E-2</v>
      </c>
      <c r="S140" s="3">
        <f t="shared" si="57"/>
        <v>2.7071112866521717E-2</v>
      </c>
      <c r="T140" s="3">
        <f t="shared" si="57"/>
        <v>2.7069236727668432E-2</v>
      </c>
      <c r="U140" s="3">
        <f t="shared" si="57"/>
        <v>2.7050482488974289E-2</v>
      </c>
      <c r="V140" s="3">
        <f t="shared" si="57"/>
        <v>2.6863653255832631E-2</v>
      </c>
      <c r="W140" s="3">
        <f t="shared" si="57"/>
        <v>2.5064880944218989E-2</v>
      </c>
      <c r="X140" s="3">
        <f t="shared" si="57"/>
        <v>1.253347143536258E-2</v>
      </c>
      <c r="Y140" s="3">
        <f t="shared" si="57"/>
        <v>1.2249790755502047E-5</v>
      </c>
      <c r="Z140" s="3">
        <f t="shared" si="57"/>
        <v>9.7432000197241268E-36</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3.2010538564501728E-2</v>
      </c>
      <c r="C141" s="3">
        <f t="shared" si="59"/>
        <v>3.2010538564501728E-2</v>
      </c>
      <c r="D141" s="3">
        <f t="shared" si="59"/>
        <v>3.2010538564501728E-2</v>
      </c>
      <c r="E141" s="3">
        <f t="shared" si="59"/>
        <v>3.2010538564501728E-2</v>
      </c>
      <c r="F141" s="3">
        <f t="shared" si="59"/>
        <v>3.2010538564501728E-2</v>
      </c>
      <c r="G141" s="3">
        <f t="shared" si="59"/>
        <v>3.2010538564501728E-2</v>
      </c>
      <c r="H141" s="3">
        <f t="shared" si="59"/>
        <v>3.2010538564501728E-2</v>
      </c>
      <c r="I141" s="3">
        <f t="shared" si="59"/>
        <v>3.2010538564501721E-2</v>
      </c>
      <c r="J141" s="3">
        <f t="shared" si="59"/>
        <v>3.2010538564501707E-2</v>
      </c>
      <c r="K141" s="3">
        <f t="shared" si="59"/>
        <v>3.2010538564501506E-2</v>
      </c>
      <c r="L141" s="3">
        <f t="shared" si="59"/>
        <v>3.2010538564499501E-2</v>
      </c>
      <c r="M141" s="3">
        <f t="shared" si="59"/>
        <v>3.2010538564479489E-2</v>
      </c>
      <c r="N141" s="3">
        <f t="shared" si="59"/>
        <v>3.2010538564279364E-2</v>
      </c>
      <c r="O141" s="3">
        <f t="shared" si="59"/>
        <v>3.2010538562278056E-2</v>
      </c>
      <c r="P141" s="3">
        <f t="shared" si="59"/>
        <v>3.2010538542264995E-2</v>
      </c>
      <c r="Q141" s="3">
        <f t="shared" si="59"/>
        <v>3.2010538342134402E-2</v>
      </c>
      <c r="R141" s="3">
        <f t="shared" si="59"/>
        <v>3.201053634082851E-2</v>
      </c>
      <c r="S141" s="3">
        <f t="shared" si="59"/>
        <v>3.2010516327776524E-2</v>
      </c>
      <c r="T141" s="3">
        <f t="shared" si="59"/>
        <v>3.2010316197944817E-2</v>
      </c>
      <c r="U141" s="3">
        <f t="shared" si="59"/>
        <v>3.2008314968443141E-2</v>
      </c>
      <c r="V141" s="3">
        <f t="shared" si="59"/>
        <v>3.1988309553372937E-2</v>
      </c>
      <c r="W141" s="3">
        <f t="shared" si="59"/>
        <v>3.1788941808485918E-2</v>
      </c>
      <c r="X141" s="3">
        <f t="shared" si="59"/>
        <v>2.9862343318555865E-2</v>
      </c>
      <c r="Y141" s="3">
        <f t="shared" si="59"/>
        <v>1.5980928623352365E-2</v>
      </c>
      <c r="Z141" s="3">
        <f t="shared" si="59"/>
        <v>3.0788128364343159E-5</v>
      </c>
      <c r="AA141" s="3">
        <f t="shared" ref="AA141" si="60">$C27*EXP(-AA$129/$A27/EXP(-$B$126))</f>
        <v>2.1686829072806857E-32</v>
      </c>
      <c r="AB141" s="3">
        <f t="shared" si="46"/>
        <v>6.5211431839403276E-304</v>
      </c>
      <c r="AC141" s="3">
        <f t="shared" si="46"/>
        <v>0</v>
      </c>
      <c r="AD141" s="3">
        <f t="shared" si="46"/>
        <v>0</v>
      </c>
      <c r="AE141" s="3">
        <f t="shared" si="46"/>
        <v>0</v>
      </c>
      <c r="AF141" s="3">
        <f t="shared" si="46"/>
        <v>0</v>
      </c>
    </row>
    <row r="142" spans="1:33" x14ac:dyDescent="0.25">
      <c r="B142" s="3">
        <f t="shared" ref="B142:Z142" si="61">$C28*EXP(-B$129/$A28/EXP(-$B$126))</f>
        <v>4.0907961623415999E-2</v>
      </c>
      <c r="C142" s="3">
        <f t="shared" si="61"/>
        <v>4.0907961623415999E-2</v>
      </c>
      <c r="D142" s="3">
        <f t="shared" si="61"/>
        <v>4.0907961623415999E-2</v>
      </c>
      <c r="E142" s="3">
        <f t="shared" si="61"/>
        <v>4.0907961623415999E-2</v>
      </c>
      <c r="F142" s="3">
        <f t="shared" si="61"/>
        <v>4.0907961623415999E-2</v>
      </c>
      <c r="G142" s="3">
        <f t="shared" si="61"/>
        <v>4.0907961623415999E-2</v>
      </c>
      <c r="H142" s="3">
        <f t="shared" si="61"/>
        <v>4.0907961623415999E-2</v>
      </c>
      <c r="I142" s="3">
        <f t="shared" si="61"/>
        <v>4.0907961623415999E-2</v>
      </c>
      <c r="J142" s="3">
        <f t="shared" si="61"/>
        <v>4.0907961623415992E-2</v>
      </c>
      <c r="K142" s="3">
        <f t="shared" si="61"/>
        <v>4.0907961623415971E-2</v>
      </c>
      <c r="L142" s="3">
        <f t="shared" si="61"/>
        <v>4.0907961623415742E-2</v>
      </c>
      <c r="M142" s="3">
        <f t="shared" si="61"/>
        <v>4.0907961623413439E-2</v>
      </c>
      <c r="N142" s="3">
        <f t="shared" si="61"/>
        <v>4.0907961623390367E-2</v>
      </c>
      <c r="O142" s="3">
        <f t="shared" si="61"/>
        <v>4.0907961623159649E-2</v>
      </c>
      <c r="P142" s="3">
        <f t="shared" si="61"/>
        <v>4.0907961620852501E-2</v>
      </c>
      <c r="Q142" s="3">
        <f t="shared" si="61"/>
        <v>4.0907961597781047E-2</v>
      </c>
      <c r="R142" s="3">
        <f t="shared" si="61"/>
        <v>4.0907961367066523E-2</v>
      </c>
      <c r="S142" s="3">
        <f t="shared" si="61"/>
        <v>4.0907959059921346E-2</v>
      </c>
      <c r="T142" s="3">
        <f t="shared" si="61"/>
        <v>4.0907935988476682E-2</v>
      </c>
      <c r="U142" s="3">
        <f t="shared" si="61"/>
        <v>4.0907705274745729E-2</v>
      </c>
      <c r="V142" s="3">
        <f t="shared" si="61"/>
        <v>4.0905398209000146E-2</v>
      </c>
      <c r="W142" s="3">
        <f t="shared" si="61"/>
        <v>4.0882334706452042E-2</v>
      </c>
      <c r="X142" s="3">
        <f t="shared" si="61"/>
        <v>4.0652413680947658E-2</v>
      </c>
      <c r="Y142" s="3">
        <f t="shared" si="61"/>
        <v>3.8423135699599098E-2</v>
      </c>
      <c r="Z142" s="3">
        <f t="shared" si="61"/>
        <v>2.186036894061311E-2</v>
      </c>
      <c r="AA142" s="3">
        <f t="shared" ref="AA142" si="62">$C28*EXP(-AA$129/$A28/EXP(-$B$126))</f>
        <v>7.7679123148401686E-5</v>
      </c>
      <c r="AB142" s="3">
        <f t="shared" si="46"/>
        <v>2.493288804079081E-29</v>
      </c>
      <c r="AC142" s="3">
        <f t="shared" si="46"/>
        <v>2.893712031320801E-274</v>
      </c>
      <c r="AD142" s="3">
        <f t="shared" si="46"/>
        <v>0</v>
      </c>
      <c r="AE142" s="3">
        <f t="shared" si="46"/>
        <v>0</v>
      </c>
      <c r="AF142" s="3">
        <f t="shared" si="46"/>
        <v>0</v>
      </c>
    </row>
    <row r="143" spans="1:33" x14ac:dyDescent="0.25">
      <c r="B143" s="3">
        <f t="shared" ref="B143:Z143" si="63">$C29*EXP(-B$129/$A29/EXP(-$B$126))</f>
        <v>4.0610124346011141E-2</v>
      </c>
      <c r="C143" s="3">
        <f t="shared" si="63"/>
        <v>4.0610124346011141E-2</v>
      </c>
      <c r="D143" s="3">
        <f t="shared" si="63"/>
        <v>4.0610124346011141E-2</v>
      </c>
      <c r="E143" s="3">
        <f t="shared" si="63"/>
        <v>4.0610124346011141E-2</v>
      </c>
      <c r="F143" s="3">
        <f t="shared" si="63"/>
        <v>4.0610124346011141E-2</v>
      </c>
      <c r="G143" s="3">
        <f t="shared" si="63"/>
        <v>4.0610124346011141E-2</v>
      </c>
      <c r="H143" s="3">
        <f t="shared" si="63"/>
        <v>4.0610124346011141E-2</v>
      </c>
      <c r="I143" s="3">
        <f t="shared" si="63"/>
        <v>4.0610124346011141E-2</v>
      </c>
      <c r="J143" s="3">
        <f t="shared" si="63"/>
        <v>4.0610124346011141E-2</v>
      </c>
      <c r="K143" s="3">
        <f t="shared" si="63"/>
        <v>4.0610124346011134E-2</v>
      </c>
      <c r="L143" s="3">
        <f t="shared" si="63"/>
        <v>4.061012434601112E-2</v>
      </c>
      <c r="M143" s="3">
        <f t="shared" si="63"/>
        <v>4.0610124346010912E-2</v>
      </c>
      <c r="N143" s="3">
        <f t="shared" si="63"/>
        <v>4.0610124346008844E-2</v>
      </c>
      <c r="O143" s="3">
        <f t="shared" si="63"/>
        <v>4.061012434598818E-2</v>
      </c>
      <c r="P143" s="3">
        <f t="shared" si="63"/>
        <v>4.0610124345781574E-2</v>
      </c>
      <c r="Q143" s="3">
        <f t="shared" si="63"/>
        <v>4.0610124343715491E-2</v>
      </c>
      <c r="R143" s="3">
        <f t="shared" si="63"/>
        <v>4.061012432305465E-2</v>
      </c>
      <c r="S143" s="3">
        <f t="shared" si="63"/>
        <v>4.0610124116446232E-2</v>
      </c>
      <c r="T143" s="3">
        <f t="shared" si="63"/>
        <v>4.061012205036213E-2</v>
      </c>
      <c r="U143" s="3">
        <f t="shared" si="63"/>
        <v>4.0610101389526886E-2</v>
      </c>
      <c r="V143" s="3">
        <f t="shared" si="63"/>
        <v>4.0609894781752566E-2</v>
      </c>
      <c r="W143" s="3">
        <f t="shared" si="63"/>
        <v>4.0607828761820994E-2</v>
      </c>
      <c r="X143" s="3">
        <f t="shared" si="63"/>
        <v>4.0587174342581404E-2</v>
      </c>
      <c r="Y143" s="3">
        <f t="shared" si="63"/>
        <v>4.0381207071225195E-2</v>
      </c>
      <c r="Z143" s="3">
        <f t="shared" si="63"/>
        <v>3.8378155077412601E-2</v>
      </c>
      <c r="AA143" s="3">
        <f t="shared" ref="AA143" si="64">$C29*EXP(-AA$129/$A29/EXP(-$B$126))</f>
        <v>2.3074487326669398E-2</v>
      </c>
      <c r="AB143" s="3">
        <f t="shared" si="46"/>
        <v>1.4243336418759625E-4</v>
      </c>
      <c r="AC143" s="3">
        <f t="shared" si="46"/>
        <v>1.1439537024407478E-26</v>
      </c>
      <c r="AD143" s="3">
        <f t="shared" si="46"/>
        <v>1.2775432420914994E-247</v>
      </c>
      <c r="AE143" s="3">
        <f t="shared" si="46"/>
        <v>0</v>
      </c>
      <c r="AF143" s="3">
        <f t="shared" si="46"/>
        <v>0</v>
      </c>
    </row>
    <row r="144" spans="1:33" x14ac:dyDescent="0.25">
      <c r="B144" s="3">
        <f t="shared" ref="B144:Z144" si="65">$C30*EXP(-B$129/$A30/EXP(-$B$126))</f>
        <v>2.925116065031759E-2</v>
      </c>
      <c r="C144" s="3">
        <f t="shared" si="65"/>
        <v>2.925116065031759E-2</v>
      </c>
      <c r="D144" s="3">
        <f t="shared" si="65"/>
        <v>2.925116065031759E-2</v>
      </c>
      <c r="E144" s="3">
        <f t="shared" si="65"/>
        <v>2.925116065031759E-2</v>
      </c>
      <c r="F144" s="3">
        <f t="shared" si="65"/>
        <v>2.925116065031759E-2</v>
      </c>
      <c r="G144" s="3">
        <f t="shared" si="65"/>
        <v>2.925116065031759E-2</v>
      </c>
      <c r="H144" s="3">
        <f t="shared" si="65"/>
        <v>2.925116065031759E-2</v>
      </c>
      <c r="I144" s="3">
        <f t="shared" si="65"/>
        <v>2.925116065031759E-2</v>
      </c>
      <c r="J144" s="3">
        <f t="shared" si="65"/>
        <v>2.925116065031759E-2</v>
      </c>
      <c r="K144" s="3">
        <f t="shared" si="65"/>
        <v>2.925116065031759E-2</v>
      </c>
      <c r="L144" s="3">
        <f t="shared" si="65"/>
        <v>2.925116065031759E-2</v>
      </c>
      <c r="M144" s="3">
        <f t="shared" si="65"/>
        <v>2.9251160650317572E-2</v>
      </c>
      <c r="N144" s="3">
        <f t="shared" si="65"/>
        <v>2.9251160650317441E-2</v>
      </c>
      <c r="O144" s="3">
        <f t="shared" si="65"/>
        <v>2.9251160650316098E-2</v>
      </c>
      <c r="P144" s="3">
        <f t="shared" si="65"/>
        <v>2.9251160650302675E-2</v>
      </c>
      <c r="Q144" s="3">
        <f t="shared" si="65"/>
        <v>2.9251160650168428E-2</v>
      </c>
      <c r="R144" s="3">
        <f t="shared" si="65"/>
        <v>2.925116064882596E-2</v>
      </c>
      <c r="S144" s="3">
        <f t="shared" si="65"/>
        <v>2.9251160635401299E-2</v>
      </c>
      <c r="T144" s="3">
        <f t="shared" si="65"/>
        <v>2.9251160501154672E-2</v>
      </c>
      <c r="U144" s="3">
        <f t="shared" si="65"/>
        <v>2.9251159158688433E-2</v>
      </c>
      <c r="V144" s="3">
        <f t="shared" si="65"/>
        <v>2.9251145734029451E-2</v>
      </c>
      <c r="W144" s="3">
        <f t="shared" si="65"/>
        <v>2.9251011487778485E-2</v>
      </c>
      <c r="X144" s="3">
        <f t="shared" si="65"/>
        <v>2.9249669059154652E-2</v>
      </c>
      <c r="Y144" s="3">
        <f t="shared" si="65"/>
        <v>2.9236248160924252E-2</v>
      </c>
      <c r="Z144" s="3">
        <f t="shared" si="65"/>
        <v>2.9102377404801406E-2</v>
      </c>
      <c r="AA144" s="3">
        <f t="shared" ref="AA144" si="66">$C30*EXP(-AA$129/$A30/EXP(-$B$126))</f>
        <v>2.7796925103975016E-2</v>
      </c>
      <c r="AB144" s="3">
        <f t="shared" ref="AB144:AF153" si="67">$C30*EXP(-AB$129/$A30/EXP(-$B$126))</f>
        <v>1.7566273564457374E-2</v>
      </c>
      <c r="AC144" s="3">
        <f t="shared" si="67"/>
        <v>1.7844668778374431E-4</v>
      </c>
      <c r="AD144" s="3">
        <f t="shared" si="67"/>
        <v>2.0883196996878364E-24</v>
      </c>
      <c r="AE144" s="3">
        <f t="shared" si="67"/>
        <v>1.0061944693829942E-223</v>
      </c>
      <c r="AF144" s="3">
        <f t="shared" si="67"/>
        <v>0</v>
      </c>
    </row>
    <row r="145" spans="1:32" x14ac:dyDescent="0.25">
      <c r="B145" s="3">
        <f t="shared" ref="B145:Z145" si="68">$C31*EXP(-B$129/$A31/EXP(-$B$126))</f>
        <v>3.1259582937297976E-2</v>
      </c>
      <c r="C145" s="3">
        <f t="shared" si="68"/>
        <v>3.1259582937297976E-2</v>
      </c>
      <c r="D145" s="3">
        <f t="shared" si="68"/>
        <v>3.1259582937297976E-2</v>
      </c>
      <c r="E145" s="3">
        <f t="shared" si="68"/>
        <v>3.1259582937297976E-2</v>
      </c>
      <c r="F145" s="3">
        <f t="shared" si="68"/>
        <v>3.1259582937297976E-2</v>
      </c>
      <c r="G145" s="3">
        <f t="shared" si="68"/>
        <v>3.1259582937297976E-2</v>
      </c>
      <c r="H145" s="3">
        <f t="shared" si="68"/>
        <v>3.1259582937297976E-2</v>
      </c>
      <c r="I145" s="3">
        <f t="shared" si="68"/>
        <v>3.1259582937297976E-2</v>
      </c>
      <c r="J145" s="3">
        <f t="shared" si="68"/>
        <v>3.1259582937297976E-2</v>
      </c>
      <c r="K145" s="3">
        <f t="shared" si="68"/>
        <v>3.1259582937297976E-2</v>
      </c>
      <c r="L145" s="3">
        <f t="shared" si="68"/>
        <v>3.1259582937297976E-2</v>
      </c>
      <c r="M145" s="3">
        <f t="shared" si="68"/>
        <v>3.1259582937297976E-2</v>
      </c>
      <c r="N145" s="3">
        <f t="shared" si="68"/>
        <v>3.1259582937297963E-2</v>
      </c>
      <c r="O145" s="3">
        <f t="shared" si="68"/>
        <v>3.1259582937297831E-2</v>
      </c>
      <c r="P145" s="3">
        <f t="shared" si="68"/>
        <v>3.125958293729654E-2</v>
      </c>
      <c r="Q145" s="3">
        <f t="shared" si="68"/>
        <v>3.1259582937283599E-2</v>
      </c>
      <c r="R145" s="3">
        <f t="shared" si="68"/>
        <v>3.1259582937154182E-2</v>
      </c>
      <c r="S145" s="3">
        <f t="shared" si="68"/>
        <v>3.1259582935860016E-2</v>
      </c>
      <c r="T145" s="3">
        <f t="shared" si="68"/>
        <v>3.1259582922918354E-2</v>
      </c>
      <c r="U145" s="3">
        <f t="shared" si="68"/>
        <v>3.1259582793501731E-2</v>
      </c>
      <c r="V145" s="3">
        <f t="shared" si="68"/>
        <v>3.1259581499335568E-2</v>
      </c>
      <c r="W145" s="3">
        <f t="shared" si="68"/>
        <v>3.1259568557676892E-2</v>
      </c>
      <c r="X145" s="3">
        <f t="shared" si="68"/>
        <v>3.1259439141384779E-2</v>
      </c>
      <c r="Y145" s="3">
        <f t="shared" si="68"/>
        <v>3.1258145007931747E-2</v>
      </c>
      <c r="Z145" s="3">
        <f t="shared" si="68"/>
        <v>3.1245206619760647E-2</v>
      </c>
      <c r="AA145" s="3">
        <f t="shared" ref="AA145" si="69">$C31*EXP(-AA$129/$A31/EXP(-$B$126))</f>
        <v>3.1116116923142704E-2</v>
      </c>
      <c r="AB145" s="3">
        <f t="shared" si="67"/>
        <v>2.9854192773647061E-2</v>
      </c>
      <c r="AC145" s="3">
        <f t="shared" si="67"/>
        <v>1.9733526963839228E-2</v>
      </c>
      <c r="AD145" s="3">
        <f t="shared" si="67"/>
        <v>3.1419445754828789E-4</v>
      </c>
      <c r="AE145" s="3">
        <f t="shared" si="67"/>
        <v>3.2895506877397457E-22</v>
      </c>
      <c r="AF145" s="3">
        <f t="shared" si="67"/>
        <v>5.2061564198331548E-202</v>
      </c>
    </row>
    <row r="146" spans="1:32" x14ac:dyDescent="0.25">
      <c r="B146" s="3">
        <f t="shared" ref="B146:Z146" si="70">$C32*EXP(-B$129/$A32/EXP(-$B$126))</f>
        <v>2.9704645444291411E-2</v>
      </c>
      <c r="C146" s="3">
        <f t="shared" si="70"/>
        <v>2.9704645444291411E-2</v>
      </c>
      <c r="D146" s="3">
        <f t="shared" si="70"/>
        <v>2.9704645444291411E-2</v>
      </c>
      <c r="E146" s="3">
        <f t="shared" si="70"/>
        <v>2.9704645444291411E-2</v>
      </c>
      <c r="F146" s="3">
        <f t="shared" si="70"/>
        <v>2.9704645444291411E-2</v>
      </c>
      <c r="G146" s="3">
        <f t="shared" si="70"/>
        <v>2.9704645444291411E-2</v>
      </c>
      <c r="H146" s="3">
        <f t="shared" si="70"/>
        <v>2.9704645444291411E-2</v>
      </c>
      <c r="I146" s="3">
        <f t="shared" si="70"/>
        <v>2.9704645444291411E-2</v>
      </c>
      <c r="J146" s="3">
        <f t="shared" si="70"/>
        <v>2.9704645444291411E-2</v>
      </c>
      <c r="K146" s="3">
        <f t="shared" si="70"/>
        <v>2.9704645444291411E-2</v>
      </c>
      <c r="L146" s="3">
        <f t="shared" si="70"/>
        <v>2.9704645444291411E-2</v>
      </c>
      <c r="M146" s="3">
        <f t="shared" si="70"/>
        <v>2.9704645444291411E-2</v>
      </c>
      <c r="N146" s="3">
        <f t="shared" si="70"/>
        <v>2.9704645444291411E-2</v>
      </c>
      <c r="O146" s="3">
        <f t="shared" si="70"/>
        <v>2.9704645444291397E-2</v>
      </c>
      <c r="P146" s="3">
        <f t="shared" si="70"/>
        <v>2.970464544429129E-2</v>
      </c>
      <c r="Q146" s="3">
        <f t="shared" si="70"/>
        <v>2.9704645444290176E-2</v>
      </c>
      <c r="R146" s="3">
        <f t="shared" si="70"/>
        <v>2.9704645444279084E-2</v>
      </c>
      <c r="S146" s="3">
        <f t="shared" si="70"/>
        <v>2.9704645444168145E-2</v>
      </c>
      <c r="T146" s="3">
        <f t="shared" si="70"/>
        <v>2.9704645443058772E-2</v>
      </c>
      <c r="U146" s="3">
        <f t="shared" si="70"/>
        <v>2.9704645431965038E-2</v>
      </c>
      <c r="V146" s="3">
        <f t="shared" si="70"/>
        <v>2.9704645321027675E-2</v>
      </c>
      <c r="W146" s="3">
        <f t="shared" si="70"/>
        <v>2.9704644211654075E-2</v>
      </c>
      <c r="X146" s="3">
        <f t="shared" si="70"/>
        <v>2.9704633117920369E-2</v>
      </c>
      <c r="Y146" s="3">
        <f t="shared" si="70"/>
        <v>2.9704522180811162E-2</v>
      </c>
      <c r="Z146" s="3">
        <f t="shared" si="70"/>
        <v>2.9703412832506108E-2</v>
      </c>
      <c r="AA146" s="3">
        <f t="shared" ref="AA146" si="71">$C32*EXP(-AA$129/$A32/EXP(-$B$126))</f>
        <v>2.969232162784162E-2</v>
      </c>
      <c r="AB146" s="3">
        <f t="shared" si="67"/>
        <v>2.9581637105279987E-2</v>
      </c>
      <c r="AC146" s="3">
        <f t="shared" si="67"/>
        <v>2.849723300403233E-2</v>
      </c>
      <c r="AD146" s="3">
        <f t="shared" si="67"/>
        <v>1.9615870093312504E-2</v>
      </c>
      <c r="AE146" s="3">
        <f t="shared" si="67"/>
        <v>4.684426296781066E-4</v>
      </c>
      <c r="AF146" s="3">
        <f t="shared" si="67"/>
        <v>2.8258216362312572E-20</v>
      </c>
    </row>
    <row r="147" spans="1:32" x14ac:dyDescent="0.25">
      <c r="B147" s="3">
        <f t="shared" ref="B147:Z147" si="72">$C33*EXP(-B$129/$A33/EXP(-$B$126))</f>
        <v>3.5282603781975501E-2</v>
      </c>
      <c r="C147" s="3">
        <f t="shared" si="72"/>
        <v>3.5282603781975501E-2</v>
      </c>
      <c r="D147" s="3">
        <f t="shared" si="72"/>
        <v>3.5282603781975501E-2</v>
      </c>
      <c r="E147" s="3">
        <f t="shared" si="72"/>
        <v>3.5282603781975501E-2</v>
      </c>
      <c r="F147" s="3">
        <f t="shared" si="72"/>
        <v>3.5282603781975501E-2</v>
      </c>
      <c r="G147" s="3">
        <f t="shared" si="72"/>
        <v>3.5282603781975501E-2</v>
      </c>
      <c r="H147" s="3">
        <f t="shared" si="72"/>
        <v>3.5282603781975501E-2</v>
      </c>
      <c r="I147" s="3">
        <f t="shared" si="72"/>
        <v>3.5282603781975501E-2</v>
      </c>
      <c r="J147" s="3">
        <f t="shared" si="72"/>
        <v>3.5282603781975501E-2</v>
      </c>
      <c r="K147" s="3">
        <f t="shared" si="72"/>
        <v>3.5282603781975501E-2</v>
      </c>
      <c r="L147" s="3">
        <f t="shared" si="72"/>
        <v>3.5282603781975501E-2</v>
      </c>
      <c r="M147" s="3">
        <f t="shared" si="72"/>
        <v>3.5282603781975501E-2</v>
      </c>
      <c r="N147" s="3">
        <f t="shared" si="72"/>
        <v>3.5282603781975501E-2</v>
      </c>
      <c r="O147" s="3">
        <f t="shared" si="72"/>
        <v>3.5282603781975501E-2</v>
      </c>
      <c r="P147" s="3">
        <f t="shared" si="72"/>
        <v>3.5282603781975487E-2</v>
      </c>
      <c r="Q147" s="3">
        <f t="shared" si="72"/>
        <v>3.5282603781975369E-2</v>
      </c>
      <c r="R147" s="3">
        <f t="shared" si="72"/>
        <v>3.5282603781974183E-2</v>
      </c>
      <c r="S147" s="3">
        <f t="shared" si="72"/>
        <v>3.5282603781962289E-2</v>
      </c>
      <c r="T147" s="3">
        <f t="shared" si="72"/>
        <v>3.5282603781843426E-2</v>
      </c>
      <c r="U147" s="3">
        <f t="shared" si="72"/>
        <v>3.5282603780654759E-2</v>
      </c>
      <c r="V147" s="3">
        <f t="shared" si="72"/>
        <v>3.528260376876808E-2</v>
      </c>
      <c r="W147" s="3">
        <f t="shared" si="72"/>
        <v>3.5282603649901247E-2</v>
      </c>
      <c r="X147" s="3">
        <f t="shared" si="72"/>
        <v>3.5282602461232965E-2</v>
      </c>
      <c r="Y147" s="3">
        <f t="shared" si="72"/>
        <v>3.5282590574552394E-2</v>
      </c>
      <c r="Z147" s="3">
        <f t="shared" si="72"/>
        <v>3.528247170796691E-2</v>
      </c>
      <c r="AA147" s="3">
        <f t="shared" ref="AA147" si="73">$C33*EXP(-AA$129/$A33/EXP(-$B$126))</f>
        <v>3.5281283064137109E-2</v>
      </c>
      <c r="AB147" s="3">
        <f t="shared" si="67"/>
        <v>3.5269398828072167E-2</v>
      </c>
      <c r="AC147" s="3">
        <f t="shared" si="67"/>
        <v>3.5150776416460375E-2</v>
      </c>
      <c r="AD147" s="3">
        <f t="shared" si="67"/>
        <v>3.3986275484823983E-2</v>
      </c>
      <c r="AE147" s="3">
        <f t="shared" si="67"/>
        <v>2.4265546949589305E-2</v>
      </c>
      <c r="AF147" s="3">
        <f t="shared" si="67"/>
        <v>8.3532446146220127E-4</v>
      </c>
    </row>
    <row r="148" spans="1:32" x14ac:dyDescent="0.25">
      <c r="B148" s="3">
        <f t="shared" ref="B148:Z148" si="74">$C34*EXP(-B$129/$A34/EXP(-$B$126))</f>
        <v>3.4987985455608057E-2</v>
      </c>
      <c r="C148" s="3">
        <f t="shared" si="74"/>
        <v>3.4987985455608057E-2</v>
      </c>
      <c r="D148" s="3">
        <f t="shared" si="74"/>
        <v>3.4987985455608057E-2</v>
      </c>
      <c r="E148" s="3">
        <f t="shared" si="74"/>
        <v>3.4987985455608057E-2</v>
      </c>
      <c r="F148" s="3">
        <f t="shared" si="74"/>
        <v>3.4987985455608057E-2</v>
      </c>
      <c r="G148" s="3">
        <f t="shared" si="74"/>
        <v>3.4987985455608057E-2</v>
      </c>
      <c r="H148" s="3">
        <f t="shared" si="74"/>
        <v>3.4987985455608057E-2</v>
      </c>
      <c r="I148" s="3">
        <f t="shared" si="74"/>
        <v>3.4987985455608057E-2</v>
      </c>
      <c r="J148" s="3">
        <f t="shared" si="74"/>
        <v>3.4987985455608057E-2</v>
      </c>
      <c r="K148" s="3">
        <f t="shared" si="74"/>
        <v>3.4987985455608057E-2</v>
      </c>
      <c r="L148" s="3">
        <f t="shared" si="74"/>
        <v>3.4987985455608057E-2</v>
      </c>
      <c r="M148" s="3">
        <f t="shared" si="74"/>
        <v>3.4987985455608057E-2</v>
      </c>
      <c r="N148" s="3">
        <f t="shared" si="74"/>
        <v>3.4987985455608057E-2</v>
      </c>
      <c r="O148" s="3">
        <f t="shared" si="74"/>
        <v>3.4987985455608057E-2</v>
      </c>
      <c r="P148" s="3">
        <f t="shared" si="74"/>
        <v>3.4987985455608057E-2</v>
      </c>
      <c r="Q148" s="3">
        <f t="shared" si="74"/>
        <v>3.4987985455608044E-2</v>
      </c>
      <c r="R148" s="3">
        <f t="shared" si="74"/>
        <v>3.4987985455607939E-2</v>
      </c>
      <c r="S148" s="3">
        <f t="shared" si="74"/>
        <v>3.4987985455606878E-2</v>
      </c>
      <c r="T148" s="3">
        <f t="shared" si="74"/>
        <v>3.4987985455596241E-2</v>
      </c>
      <c r="U148" s="3">
        <f t="shared" si="74"/>
        <v>3.4987985455489909E-2</v>
      </c>
      <c r="V148" s="3">
        <f t="shared" si="74"/>
        <v>3.4987985454426586E-2</v>
      </c>
      <c r="W148" s="3">
        <f t="shared" si="74"/>
        <v>3.4987985443793349E-2</v>
      </c>
      <c r="X148" s="3">
        <f t="shared" si="74"/>
        <v>3.4987985337460954E-2</v>
      </c>
      <c r="Y148" s="3">
        <f t="shared" si="74"/>
        <v>3.498798427413706E-2</v>
      </c>
      <c r="Z148" s="3">
        <f t="shared" si="74"/>
        <v>3.4987973640899867E-2</v>
      </c>
      <c r="AA148" s="3">
        <f>$C34*EXP(-AA$129/$A34/EXP(-$B$126))</f>
        <v>3.4987867308705699E-2</v>
      </c>
      <c r="AB148" s="3">
        <f t="shared" si="67"/>
        <v>3.498680400453736E-2</v>
      </c>
      <c r="AC148" s="3">
        <f t="shared" si="67"/>
        <v>3.4976172739989916E-2</v>
      </c>
      <c r="AD148" s="3">
        <f t="shared" si="67"/>
        <v>3.4870037608440728E-2</v>
      </c>
      <c r="AE148" s="3">
        <f t="shared" si="67"/>
        <v>3.3826239688435789E-2</v>
      </c>
      <c r="AF148" s="3">
        <f t="shared" si="67"/>
        <v>2.4961276043953002E-2</v>
      </c>
    </row>
    <row r="149" spans="1:32" x14ac:dyDescent="0.25">
      <c r="B149" s="3">
        <f t="shared" ref="B149:Z149" si="75">$C35*EXP(-B$129/$A35/EXP(-$B$126))</f>
        <v>4.0020818076897231E-2</v>
      </c>
      <c r="C149" s="3">
        <f t="shared" si="75"/>
        <v>4.0020818076897231E-2</v>
      </c>
      <c r="D149" s="3">
        <f t="shared" si="75"/>
        <v>4.0020818076897231E-2</v>
      </c>
      <c r="E149" s="3">
        <f t="shared" si="75"/>
        <v>4.0020818076897231E-2</v>
      </c>
      <c r="F149" s="3">
        <f t="shared" si="75"/>
        <v>4.0020818076897231E-2</v>
      </c>
      <c r="G149" s="3">
        <f t="shared" si="75"/>
        <v>4.0020818076897231E-2</v>
      </c>
      <c r="H149" s="3">
        <f t="shared" si="75"/>
        <v>4.0020818076897231E-2</v>
      </c>
      <c r="I149" s="3">
        <f t="shared" si="75"/>
        <v>4.0020818076897231E-2</v>
      </c>
      <c r="J149" s="3">
        <f t="shared" si="75"/>
        <v>4.0020818076897231E-2</v>
      </c>
      <c r="K149" s="3">
        <f t="shared" si="75"/>
        <v>4.0020818076897231E-2</v>
      </c>
      <c r="L149" s="3">
        <f t="shared" si="75"/>
        <v>4.0020818076897231E-2</v>
      </c>
      <c r="M149" s="3">
        <f t="shared" si="75"/>
        <v>4.0020818076897231E-2</v>
      </c>
      <c r="N149" s="3">
        <f t="shared" si="75"/>
        <v>4.0020818076897231E-2</v>
      </c>
      <c r="O149" s="3">
        <f t="shared" si="75"/>
        <v>4.0020818076897231E-2</v>
      </c>
      <c r="P149" s="3">
        <f t="shared" si="75"/>
        <v>4.0020818076897231E-2</v>
      </c>
      <c r="Q149" s="3">
        <f t="shared" si="75"/>
        <v>4.0020818076897231E-2</v>
      </c>
      <c r="R149" s="3">
        <f t="shared" si="75"/>
        <v>4.0020818076897217E-2</v>
      </c>
      <c r="S149" s="3">
        <f t="shared" si="75"/>
        <v>4.0020818076897113E-2</v>
      </c>
      <c r="T149" s="3">
        <f t="shared" si="75"/>
        <v>4.0020818076896017E-2</v>
      </c>
      <c r="U149" s="3">
        <f t="shared" si="75"/>
        <v>4.002081807688504E-2</v>
      </c>
      <c r="V149" s="3">
        <f t="shared" si="75"/>
        <v>4.0020818076775322E-2</v>
      </c>
      <c r="W149" s="3">
        <f t="shared" si="75"/>
        <v>4.0020818075678144E-2</v>
      </c>
      <c r="X149" s="3">
        <f t="shared" si="75"/>
        <v>4.0020818064706309E-2</v>
      </c>
      <c r="Y149" s="3">
        <f t="shared" si="75"/>
        <v>4.0020817954987971E-2</v>
      </c>
      <c r="Z149" s="3">
        <f t="shared" si="75"/>
        <v>4.0020816857804668E-2</v>
      </c>
      <c r="AA149" s="3">
        <f t="shared" ref="AA149" si="76">$C35*EXP(-AA$129/$A35/EXP(-$B$126))</f>
        <v>4.002080588597328E-2</v>
      </c>
      <c r="AB149" s="3">
        <f t="shared" si="67"/>
        <v>4.0020696167824797E-2</v>
      </c>
      <c r="AC149" s="3">
        <f t="shared" si="67"/>
        <v>4.0019599002883599E-2</v>
      </c>
      <c r="AD149" s="3">
        <f t="shared" si="67"/>
        <v>4.000862900766463E-2</v>
      </c>
      <c r="AE149" s="3">
        <f t="shared" si="67"/>
        <v>3.9899094307101028E-2</v>
      </c>
      <c r="AF149" s="3">
        <f t="shared" si="67"/>
        <v>3.8820106060476214E-2</v>
      </c>
    </row>
    <row r="150" spans="1:32" x14ac:dyDescent="0.25">
      <c r="B150" s="3">
        <f t="shared" ref="B150:Z150" si="77">$C36*EXP(-B$129/$A36/EXP(-$B$126))</f>
        <v>3.51305921997421E-2</v>
      </c>
      <c r="C150" s="3">
        <f t="shared" si="77"/>
        <v>3.51305921997421E-2</v>
      </c>
      <c r="D150" s="3">
        <f t="shared" si="77"/>
        <v>3.51305921997421E-2</v>
      </c>
      <c r="E150" s="3">
        <f t="shared" si="77"/>
        <v>3.51305921997421E-2</v>
      </c>
      <c r="F150" s="3">
        <f t="shared" si="77"/>
        <v>3.51305921997421E-2</v>
      </c>
      <c r="G150" s="3">
        <f t="shared" si="77"/>
        <v>3.51305921997421E-2</v>
      </c>
      <c r="H150" s="3">
        <f t="shared" si="77"/>
        <v>3.51305921997421E-2</v>
      </c>
      <c r="I150" s="3">
        <f t="shared" si="77"/>
        <v>3.51305921997421E-2</v>
      </c>
      <c r="J150" s="3">
        <f t="shared" si="77"/>
        <v>3.51305921997421E-2</v>
      </c>
      <c r="K150" s="3">
        <f t="shared" si="77"/>
        <v>3.51305921997421E-2</v>
      </c>
      <c r="L150" s="3">
        <f t="shared" si="77"/>
        <v>3.51305921997421E-2</v>
      </c>
      <c r="M150" s="3">
        <f t="shared" si="77"/>
        <v>3.51305921997421E-2</v>
      </c>
      <c r="N150" s="3">
        <f t="shared" si="77"/>
        <v>3.51305921997421E-2</v>
      </c>
      <c r="O150" s="3">
        <f t="shared" si="77"/>
        <v>3.51305921997421E-2</v>
      </c>
      <c r="P150" s="3">
        <f t="shared" si="77"/>
        <v>3.51305921997421E-2</v>
      </c>
      <c r="Q150" s="3">
        <f t="shared" si="77"/>
        <v>3.51305921997421E-2</v>
      </c>
      <c r="R150" s="3">
        <f t="shared" si="77"/>
        <v>3.51305921997421E-2</v>
      </c>
      <c r="S150" s="3">
        <f t="shared" si="77"/>
        <v>3.5130592199742093E-2</v>
      </c>
      <c r="T150" s="3">
        <f t="shared" si="77"/>
        <v>3.5130592199742003E-2</v>
      </c>
      <c r="U150" s="3">
        <f t="shared" si="77"/>
        <v>3.5130592199741136E-2</v>
      </c>
      <c r="V150" s="3">
        <f t="shared" si="77"/>
        <v>3.5130592199732448E-2</v>
      </c>
      <c r="W150" s="3">
        <f t="shared" si="77"/>
        <v>3.5130592199645566E-2</v>
      </c>
      <c r="X150" s="3">
        <f t="shared" si="77"/>
        <v>3.5130592198776754E-2</v>
      </c>
      <c r="Y150" s="3">
        <f t="shared" si="77"/>
        <v>3.5130592190088641E-2</v>
      </c>
      <c r="Z150" s="3">
        <f t="shared" si="77"/>
        <v>3.5130592103207549E-2</v>
      </c>
      <c r="AA150" s="3">
        <f t="shared" ref="AA150" si="78">$C36*EXP(-AA$129/$A36/EXP(-$B$126))</f>
        <v>3.5130591234396588E-2</v>
      </c>
      <c r="AB150" s="3">
        <f t="shared" si="67"/>
        <v>3.5130582546288168E-2</v>
      </c>
      <c r="AC150" s="3">
        <f t="shared" si="67"/>
        <v>3.5130495665322135E-2</v>
      </c>
      <c r="AD150" s="3">
        <f t="shared" si="67"/>
        <v>3.5129626867479231E-2</v>
      </c>
      <c r="AE150" s="3">
        <f t="shared" si="67"/>
        <v>3.5120940070686064E-2</v>
      </c>
      <c r="AF150" s="3">
        <f t="shared" si="67"/>
        <v>3.503419015828628E-2</v>
      </c>
    </row>
    <row r="151" spans="1:32" x14ac:dyDescent="0.25">
      <c r="B151" s="3">
        <f t="shared" ref="B151:Z151" si="79">$C37*EXP(-B$129/$A37/EXP(-$B$126))</f>
        <v>5.1976552303921161E-2</v>
      </c>
      <c r="C151" s="3">
        <f t="shared" si="79"/>
        <v>5.1976552303921161E-2</v>
      </c>
      <c r="D151" s="3">
        <f t="shared" si="79"/>
        <v>5.1976552303921161E-2</v>
      </c>
      <c r="E151" s="3">
        <f t="shared" si="79"/>
        <v>5.1976552303921161E-2</v>
      </c>
      <c r="F151" s="3">
        <f t="shared" si="79"/>
        <v>5.1976552303921161E-2</v>
      </c>
      <c r="G151" s="3">
        <f t="shared" si="79"/>
        <v>5.1976552303921161E-2</v>
      </c>
      <c r="H151" s="3">
        <f t="shared" si="79"/>
        <v>5.1976552303921161E-2</v>
      </c>
      <c r="I151" s="3">
        <f t="shared" si="79"/>
        <v>5.1976552303921161E-2</v>
      </c>
      <c r="J151" s="3">
        <f t="shared" si="79"/>
        <v>5.1976552303921161E-2</v>
      </c>
      <c r="K151" s="3">
        <f t="shared" si="79"/>
        <v>5.1976552303921161E-2</v>
      </c>
      <c r="L151" s="3">
        <f t="shared" si="79"/>
        <v>5.1976552303921161E-2</v>
      </c>
      <c r="M151" s="3">
        <f t="shared" si="79"/>
        <v>5.1976552303921161E-2</v>
      </c>
      <c r="N151" s="3">
        <f t="shared" si="79"/>
        <v>5.1976552303921161E-2</v>
      </c>
      <c r="O151" s="3">
        <f t="shared" si="79"/>
        <v>5.1976552303921161E-2</v>
      </c>
      <c r="P151" s="3">
        <f t="shared" si="79"/>
        <v>5.1976552303921161E-2</v>
      </c>
      <c r="Q151" s="3">
        <f t="shared" si="79"/>
        <v>5.1976552303921161E-2</v>
      </c>
      <c r="R151" s="3">
        <f t="shared" si="79"/>
        <v>5.1976552303921161E-2</v>
      </c>
      <c r="S151" s="3">
        <f t="shared" si="79"/>
        <v>5.1976552303921161E-2</v>
      </c>
      <c r="T151" s="3">
        <f t="shared" si="79"/>
        <v>5.1976552303921147E-2</v>
      </c>
      <c r="U151" s="3">
        <f t="shared" si="79"/>
        <v>5.1976552303921036E-2</v>
      </c>
      <c r="V151" s="3">
        <f t="shared" si="79"/>
        <v>5.1976552303919878E-2</v>
      </c>
      <c r="W151" s="3">
        <f t="shared" si="79"/>
        <v>5.1976552303908276E-2</v>
      </c>
      <c r="X151" s="3">
        <f t="shared" si="79"/>
        <v>5.197655230379232E-2</v>
      </c>
      <c r="Y151" s="3">
        <f t="shared" si="79"/>
        <v>5.1976552302632754E-2</v>
      </c>
      <c r="Z151" s="3">
        <f t="shared" si="79"/>
        <v>5.1976552291037141E-2</v>
      </c>
      <c r="AA151" s="3">
        <f t="shared" ref="AA151" si="80">$C37*EXP(-AA$129/$A37/EXP(-$B$126))</f>
        <v>5.1976552175080966E-2</v>
      </c>
      <c r="AB151" s="3">
        <f t="shared" si="67"/>
        <v>5.1976551015519214E-2</v>
      </c>
      <c r="AC151" s="3">
        <f t="shared" si="67"/>
        <v>5.1976539419903156E-2</v>
      </c>
      <c r="AD151" s="3">
        <f t="shared" si="67"/>
        <v>5.1976423463884834E-2</v>
      </c>
      <c r="AE151" s="3">
        <f t="shared" si="67"/>
        <v>5.1975263917929421E-2</v>
      </c>
      <c r="AF151" s="3">
        <f t="shared" si="67"/>
        <v>5.1963669881042049E-2</v>
      </c>
    </row>
    <row r="152" spans="1:32" x14ac:dyDescent="0.25">
      <c r="B152" s="3">
        <f t="shared" ref="B152:Z152" si="81">$C38*EXP(-B$129/$A38/EXP(-$B$126))</f>
        <v>2.3181635308382595E-6</v>
      </c>
      <c r="C152" s="3">
        <f t="shared" si="81"/>
        <v>2.3181635308382595E-6</v>
      </c>
      <c r="D152" s="3">
        <f t="shared" si="81"/>
        <v>2.3181635308382595E-6</v>
      </c>
      <c r="E152" s="3">
        <f t="shared" si="81"/>
        <v>2.3181635308382595E-6</v>
      </c>
      <c r="F152" s="3">
        <f t="shared" si="81"/>
        <v>2.3181635308382595E-6</v>
      </c>
      <c r="G152" s="3">
        <f t="shared" si="81"/>
        <v>2.3181635308382595E-6</v>
      </c>
      <c r="H152" s="3">
        <f t="shared" si="81"/>
        <v>2.3181635308382595E-6</v>
      </c>
      <c r="I152" s="3">
        <f t="shared" si="81"/>
        <v>2.3181635308382595E-6</v>
      </c>
      <c r="J152" s="3">
        <f t="shared" si="81"/>
        <v>2.3181635308382595E-6</v>
      </c>
      <c r="K152" s="3">
        <f t="shared" si="81"/>
        <v>2.3181635308382595E-6</v>
      </c>
      <c r="L152" s="3">
        <f t="shared" si="81"/>
        <v>2.3181635308382595E-6</v>
      </c>
      <c r="M152" s="3">
        <f t="shared" si="81"/>
        <v>2.3181635308382595E-6</v>
      </c>
      <c r="N152" s="3">
        <f t="shared" si="81"/>
        <v>2.3181635308382595E-6</v>
      </c>
      <c r="O152" s="3">
        <f t="shared" si="81"/>
        <v>2.3181635308382595E-6</v>
      </c>
      <c r="P152" s="3">
        <f t="shared" si="81"/>
        <v>2.3181635308382595E-6</v>
      </c>
      <c r="Q152" s="3">
        <f t="shared" si="81"/>
        <v>2.3181635308382595E-6</v>
      </c>
      <c r="R152" s="3">
        <f t="shared" si="81"/>
        <v>2.3181635308382595E-6</v>
      </c>
      <c r="S152" s="3">
        <f t="shared" si="81"/>
        <v>2.3181635308382595E-6</v>
      </c>
      <c r="T152" s="3">
        <f t="shared" si="81"/>
        <v>2.3181635308382595E-6</v>
      </c>
      <c r="U152" s="3">
        <f t="shared" si="81"/>
        <v>2.3181635308382591E-6</v>
      </c>
      <c r="V152" s="3">
        <f t="shared" si="81"/>
        <v>2.3181635308382545E-6</v>
      </c>
      <c r="W152" s="3">
        <f t="shared" si="81"/>
        <v>2.3181635308382079E-6</v>
      </c>
      <c r="X152" s="3">
        <f t="shared" si="81"/>
        <v>2.3181635308377411E-6</v>
      </c>
      <c r="Y152" s="3">
        <f t="shared" si="81"/>
        <v>2.3181635308330757E-6</v>
      </c>
      <c r="Z152" s="3">
        <f t="shared" si="81"/>
        <v>2.3181635307864232E-6</v>
      </c>
      <c r="AA152" s="3">
        <f t="shared" ref="AA152" si="82">$C38*EXP(-AA$129/$A38/EXP(-$B$126))</f>
        <v>2.3181635303198961E-6</v>
      </c>
      <c r="AB152" s="3">
        <f t="shared" si="67"/>
        <v>2.3181635256546225E-6</v>
      </c>
      <c r="AC152" s="3">
        <f t="shared" si="67"/>
        <v>2.3181634790018917E-6</v>
      </c>
      <c r="AD152" s="3">
        <f t="shared" si="67"/>
        <v>2.3181630124746326E-6</v>
      </c>
      <c r="AE152" s="3">
        <f t="shared" si="67"/>
        <v>2.3181583472072062E-6</v>
      </c>
      <c r="AF152" s="3">
        <f t="shared" si="67"/>
        <v>2.3181116950493232E-6</v>
      </c>
    </row>
    <row r="153" spans="1:32" x14ac:dyDescent="0.25">
      <c r="B153" s="3">
        <f t="shared" ref="B153:Z153" si="83">$C39*EXP(-B$129/$A39/EXP(-$B$126))</f>
        <v>7.5767559561282297E-2</v>
      </c>
      <c r="C153" s="3">
        <f t="shared" si="83"/>
        <v>7.5767559561282297E-2</v>
      </c>
      <c r="D153" s="3">
        <f t="shared" si="83"/>
        <v>7.5767559561282297E-2</v>
      </c>
      <c r="E153" s="3">
        <f t="shared" si="83"/>
        <v>7.5767559561282297E-2</v>
      </c>
      <c r="F153" s="3">
        <f t="shared" si="83"/>
        <v>7.5767559561282297E-2</v>
      </c>
      <c r="G153" s="3">
        <f t="shared" si="83"/>
        <v>7.5767559561282297E-2</v>
      </c>
      <c r="H153" s="3">
        <f t="shared" si="83"/>
        <v>7.5767559561282297E-2</v>
      </c>
      <c r="I153" s="3">
        <f t="shared" si="83"/>
        <v>7.5767559561282297E-2</v>
      </c>
      <c r="J153" s="3">
        <f t="shared" si="83"/>
        <v>7.5767559561282297E-2</v>
      </c>
      <c r="K153" s="3">
        <f t="shared" si="83"/>
        <v>7.5767559561282297E-2</v>
      </c>
      <c r="L153" s="3">
        <f t="shared" si="83"/>
        <v>7.5767559561282297E-2</v>
      </c>
      <c r="M153" s="3">
        <f t="shared" si="83"/>
        <v>7.5767559561282297E-2</v>
      </c>
      <c r="N153" s="3">
        <f t="shared" si="83"/>
        <v>7.5767559561282297E-2</v>
      </c>
      <c r="O153" s="3">
        <f t="shared" si="83"/>
        <v>7.5767559561282297E-2</v>
      </c>
      <c r="P153" s="3">
        <f t="shared" si="83"/>
        <v>7.5767559561282297E-2</v>
      </c>
      <c r="Q153" s="3">
        <f t="shared" si="83"/>
        <v>7.5767559561282297E-2</v>
      </c>
      <c r="R153" s="3">
        <f t="shared" si="83"/>
        <v>7.5767559561282297E-2</v>
      </c>
      <c r="S153" s="3">
        <f t="shared" si="83"/>
        <v>7.5767559561282297E-2</v>
      </c>
      <c r="T153" s="3">
        <f t="shared" si="83"/>
        <v>7.5767559561282297E-2</v>
      </c>
      <c r="U153" s="3">
        <f t="shared" si="83"/>
        <v>7.5767559561282283E-2</v>
      </c>
      <c r="V153" s="3">
        <f t="shared" si="83"/>
        <v>7.5767559561282241E-2</v>
      </c>
      <c r="W153" s="3">
        <f t="shared" si="83"/>
        <v>7.5767559561281825E-2</v>
      </c>
      <c r="X153" s="3">
        <f t="shared" si="83"/>
        <v>7.5767559561277606E-2</v>
      </c>
      <c r="Y153" s="3">
        <f t="shared" si="83"/>
        <v>7.5767559561235445E-2</v>
      </c>
      <c r="Z153" s="3">
        <f t="shared" si="83"/>
        <v>7.5767559560813713E-2</v>
      </c>
      <c r="AA153" s="3">
        <f t="shared" ref="AA153" si="84">$C39*EXP(-AA$129/$A39/EXP(-$B$126))</f>
        <v>7.5767559556596462E-2</v>
      </c>
      <c r="AB153" s="3">
        <f t="shared" si="67"/>
        <v>7.5767559514423974E-2</v>
      </c>
      <c r="AC153" s="3">
        <f t="shared" si="67"/>
        <v>7.5767559092699166E-2</v>
      </c>
      <c r="AD153" s="3">
        <f t="shared" si="67"/>
        <v>7.5767554875451032E-2</v>
      </c>
      <c r="AE153" s="3">
        <f t="shared" si="67"/>
        <v>7.5767512702982598E-2</v>
      </c>
      <c r="AF153" s="3">
        <f t="shared" si="67"/>
        <v>7.5767090979589391E-2</v>
      </c>
    </row>
    <row r="154" spans="1:32" x14ac:dyDescent="0.25">
      <c r="B154" s="3">
        <f t="shared" ref="B154:Z154" si="85">$C40*EXP(-B$129/$A40/EXP(-$B$126))</f>
        <v>3.067875950056604E-2</v>
      </c>
      <c r="C154" s="3">
        <f t="shared" si="85"/>
        <v>3.067875950056604E-2</v>
      </c>
      <c r="D154" s="3">
        <f t="shared" si="85"/>
        <v>3.067875950056604E-2</v>
      </c>
      <c r="E154" s="3">
        <f t="shared" si="85"/>
        <v>3.067875950056604E-2</v>
      </c>
      <c r="F154" s="3">
        <f t="shared" si="85"/>
        <v>3.067875950056604E-2</v>
      </c>
      <c r="G154" s="3">
        <f t="shared" si="85"/>
        <v>3.067875950056604E-2</v>
      </c>
      <c r="H154" s="3">
        <f t="shared" si="85"/>
        <v>3.067875950056604E-2</v>
      </c>
      <c r="I154" s="3">
        <f t="shared" si="85"/>
        <v>3.067875950056604E-2</v>
      </c>
      <c r="J154" s="3">
        <f t="shared" si="85"/>
        <v>3.067875950056604E-2</v>
      </c>
      <c r="K154" s="3">
        <f t="shared" si="85"/>
        <v>3.067875950056604E-2</v>
      </c>
      <c r="L154" s="3">
        <f t="shared" si="85"/>
        <v>3.067875950056604E-2</v>
      </c>
      <c r="M154" s="3">
        <f t="shared" si="85"/>
        <v>3.067875950056604E-2</v>
      </c>
      <c r="N154" s="3">
        <f t="shared" si="85"/>
        <v>3.067875950056604E-2</v>
      </c>
      <c r="O154" s="3">
        <f t="shared" si="85"/>
        <v>3.067875950056604E-2</v>
      </c>
      <c r="P154" s="3">
        <f t="shared" si="85"/>
        <v>3.067875950056604E-2</v>
      </c>
      <c r="Q154" s="3">
        <f t="shared" si="85"/>
        <v>3.067875950056604E-2</v>
      </c>
      <c r="R154" s="3">
        <f t="shared" si="85"/>
        <v>3.067875950056604E-2</v>
      </c>
      <c r="S154" s="3">
        <f t="shared" si="85"/>
        <v>3.067875950056604E-2</v>
      </c>
      <c r="T154" s="3">
        <f t="shared" si="85"/>
        <v>3.067875950056604E-2</v>
      </c>
      <c r="U154" s="3">
        <f t="shared" si="85"/>
        <v>3.067875950056604E-2</v>
      </c>
      <c r="V154" s="3">
        <f t="shared" si="85"/>
        <v>3.0678759500566036E-2</v>
      </c>
      <c r="W154" s="3">
        <f t="shared" si="85"/>
        <v>3.0678759500566019E-2</v>
      </c>
      <c r="X154" s="3">
        <f t="shared" si="85"/>
        <v>3.0678759500565849E-2</v>
      </c>
      <c r="Y154" s="3">
        <f t="shared" si="85"/>
        <v>3.0678759500564142E-2</v>
      </c>
      <c r="Z154" s="3">
        <f t="shared" si="85"/>
        <v>3.0678759500547069E-2</v>
      </c>
      <c r="AA154" s="3">
        <f t="shared" ref="AA154:AF154" si="86">$C40*EXP(-AA$129/$A40/EXP(-$B$126))</f>
        <v>3.0678759500376306E-2</v>
      </c>
      <c r="AB154" s="3">
        <f t="shared" si="86"/>
        <v>3.0678759498668717E-2</v>
      </c>
      <c r="AC154" s="3">
        <f t="shared" si="86"/>
        <v>3.0678759481592814E-2</v>
      </c>
      <c r="AD154" s="3">
        <f t="shared" si="86"/>
        <v>3.0678759310833793E-2</v>
      </c>
      <c r="AE154" s="3">
        <f t="shared" si="86"/>
        <v>3.0678757603243605E-2</v>
      </c>
      <c r="AF154" s="3">
        <f t="shared" si="86"/>
        <v>3.0678740527346954E-2</v>
      </c>
    </row>
    <row r="155" spans="1:32" x14ac:dyDescent="0.25">
      <c r="B155" s="3">
        <f t="shared" ref="B155:Z155" si="87">$C41*EXP(-B$129/$A41/EXP(-$B$126))</f>
        <v>7.5768782257570458E-2</v>
      </c>
      <c r="C155" s="3">
        <f t="shared" si="87"/>
        <v>7.5768782257570458E-2</v>
      </c>
      <c r="D155" s="3">
        <f t="shared" si="87"/>
        <v>7.5768782257570458E-2</v>
      </c>
      <c r="E155" s="3">
        <f t="shared" si="87"/>
        <v>7.5768782257570458E-2</v>
      </c>
      <c r="F155" s="3">
        <f t="shared" si="87"/>
        <v>7.5768782257570458E-2</v>
      </c>
      <c r="G155" s="3">
        <f t="shared" si="87"/>
        <v>7.5768782257570458E-2</v>
      </c>
      <c r="H155" s="3">
        <f t="shared" si="87"/>
        <v>7.5768782257570458E-2</v>
      </c>
      <c r="I155" s="3">
        <f t="shared" si="87"/>
        <v>7.5768782257570458E-2</v>
      </c>
      <c r="J155" s="3">
        <f t="shared" si="87"/>
        <v>7.5768782257570458E-2</v>
      </c>
      <c r="K155" s="3">
        <f t="shared" si="87"/>
        <v>7.5768782257570458E-2</v>
      </c>
      <c r="L155" s="3">
        <f t="shared" si="87"/>
        <v>7.5768782257570458E-2</v>
      </c>
      <c r="M155" s="3">
        <f t="shared" si="87"/>
        <v>7.5768782257570458E-2</v>
      </c>
      <c r="N155" s="3">
        <f t="shared" si="87"/>
        <v>7.5768782257570458E-2</v>
      </c>
      <c r="O155" s="3">
        <f t="shared" si="87"/>
        <v>7.5768782257570458E-2</v>
      </c>
      <c r="P155" s="3">
        <f t="shared" si="87"/>
        <v>7.5768782257570458E-2</v>
      </c>
      <c r="Q155" s="3">
        <f t="shared" si="87"/>
        <v>7.5768782257570458E-2</v>
      </c>
      <c r="R155" s="3">
        <f t="shared" si="87"/>
        <v>7.5768782257570458E-2</v>
      </c>
      <c r="S155" s="3">
        <f t="shared" si="87"/>
        <v>7.5768782257570458E-2</v>
      </c>
      <c r="T155" s="3">
        <f t="shared" si="87"/>
        <v>7.5768782257570458E-2</v>
      </c>
      <c r="U155" s="3">
        <f t="shared" si="87"/>
        <v>7.5768782257570458E-2</v>
      </c>
      <c r="V155" s="3">
        <f t="shared" si="87"/>
        <v>7.5768782257570458E-2</v>
      </c>
      <c r="W155" s="3">
        <f t="shared" si="87"/>
        <v>7.5768782257570444E-2</v>
      </c>
      <c r="X155" s="3">
        <f t="shared" si="87"/>
        <v>7.5768782257570402E-2</v>
      </c>
      <c r="Y155" s="3">
        <f t="shared" si="87"/>
        <v>7.5768782257569986E-2</v>
      </c>
      <c r="Z155" s="3">
        <f t="shared" si="87"/>
        <v>7.5768782257565767E-2</v>
      </c>
      <c r="AA155" s="3">
        <f t="shared" ref="AA155:AF155" si="88">$C41*EXP(-AA$129/$A41/EXP(-$B$126))</f>
        <v>7.5768782257523606E-2</v>
      </c>
      <c r="AB155" s="3">
        <f t="shared" si="88"/>
        <v>7.576878225710186E-2</v>
      </c>
      <c r="AC155" s="3">
        <f t="shared" si="88"/>
        <v>7.5768782252884553E-2</v>
      </c>
      <c r="AD155" s="3">
        <f t="shared" si="88"/>
        <v>7.5768782210711386E-2</v>
      </c>
      <c r="AE155" s="3">
        <f t="shared" si="88"/>
        <v>7.5768781788979764E-2</v>
      </c>
      <c r="AF155" s="3">
        <f t="shared" si="88"/>
        <v>7.5768777571663573E-2</v>
      </c>
    </row>
    <row r="156" spans="1:32" x14ac:dyDescent="0.25">
      <c r="B156" s="3">
        <f t="shared" ref="B156:Z156" si="89">$C42*EXP(-B$129/$A42/EXP(-$B$126))</f>
        <v>3.996144450245992E-2</v>
      </c>
      <c r="C156" s="3">
        <f t="shared" si="89"/>
        <v>3.996144450245992E-2</v>
      </c>
      <c r="D156" s="3">
        <f t="shared" si="89"/>
        <v>3.996144450245992E-2</v>
      </c>
      <c r="E156" s="3">
        <f t="shared" si="89"/>
        <v>3.996144450245992E-2</v>
      </c>
      <c r="F156" s="3">
        <f t="shared" si="89"/>
        <v>3.996144450245992E-2</v>
      </c>
      <c r="G156" s="3">
        <f t="shared" si="89"/>
        <v>3.996144450245992E-2</v>
      </c>
      <c r="H156" s="3">
        <f t="shared" si="89"/>
        <v>3.996144450245992E-2</v>
      </c>
      <c r="I156" s="3">
        <f t="shared" si="89"/>
        <v>3.996144450245992E-2</v>
      </c>
      <c r="J156" s="3">
        <f t="shared" si="89"/>
        <v>3.996144450245992E-2</v>
      </c>
      <c r="K156" s="3">
        <f t="shared" si="89"/>
        <v>3.996144450245992E-2</v>
      </c>
      <c r="L156" s="3">
        <f t="shared" si="89"/>
        <v>3.996144450245992E-2</v>
      </c>
      <c r="M156" s="3">
        <f t="shared" si="89"/>
        <v>3.996144450245992E-2</v>
      </c>
      <c r="N156" s="3">
        <f t="shared" si="89"/>
        <v>3.996144450245992E-2</v>
      </c>
      <c r="O156" s="3">
        <f t="shared" si="89"/>
        <v>3.996144450245992E-2</v>
      </c>
      <c r="P156" s="3">
        <f t="shared" si="89"/>
        <v>3.996144450245992E-2</v>
      </c>
      <c r="Q156" s="3">
        <f t="shared" si="89"/>
        <v>3.996144450245992E-2</v>
      </c>
      <c r="R156" s="3">
        <f t="shared" si="89"/>
        <v>3.996144450245992E-2</v>
      </c>
      <c r="S156" s="3">
        <f t="shared" si="89"/>
        <v>3.996144450245992E-2</v>
      </c>
      <c r="T156" s="3">
        <f t="shared" si="89"/>
        <v>3.996144450245992E-2</v>
      </c>
      <c r="U156" s="3">
        <f t="shared" si="89"/>
        <v>3.996144450245992E-2</v>
      </c>
      <c r="V156" s="3">
        <f t="shared" si="89"/>
        <v>3.996144450245992E-2</v>
      </c>
      <c r="W156" s="3">
        <f t="shared" si="89"/>
        <v>3.996144450245992E-2</v>
      </c>
      <c r="X156" s="3">
        <f t="shared" si="89"/>
        <v>3.9961444502459913E-2</v>
      </c>
      <c r="Y156" s="3">
        <f t="shared" si="89"/>
        <v>3.9961444502459892E-2</v>
      </c>
      <c r="Z156" s="3">
        <f t="shared" si="89"/>
        <v>3.996144450245967E-2</v>
      </c>
      <c r="AA156" s="3">
        <f t="shared" ref="AA156:AF156" si="90">$C42*EXP(-AA$129/$A42/EXP(-$B$126))</f>
        <v>3.9961444502457449E-2</v>
      </c>
      <c r="AB156" s="3">
        <f t="shared" si="90"/>
        <v>3.996144450243521E-2</v>
      </c>
      <c r="AC156" s="3">
        <f t="shared" si="90"/>
        <v>3.9961444502212777E-2</v>
      </c>
      <c r="AD156" s="3">
        <f t="shared" si="90"/>
        <v>3.9961444499988508E-2</v>
      </c>
      <c r="AE156" s="3">
        <f t="shared" si="90"/>
        <v>3.9961444477745835E-2</v>
      </c>
      <c r="AF156" s="3">
        <f t="shared" si="90"/>
        <v>3.996144425531907E-2</v>
      </c>
    </row>
    <row r="157" spans="1:32" x14ac:dyDescent="0.25">
      <c r="B157" s="3">
        <f t="shared" ref="B157:Z157" si="91">$C43*EXP(-B$129/$A43/EXP(-$B$126))</f>
        <v>4.8323610204746917E-2</v>
      </c>
      <c r="C157" s="3">
        <f t="shared" si="91"/>
        <v>4.8323610204746917E-2</v>
      </c>
      <c r="D157" s="3">
        <f t="shared" si="91"/>
        <v>4.8323610204746917E-2</v>
      </c>
      <c r="E157" s="3">
        <f t="shared" si="91"/>
        <v>4.8323610204746917E-2</v>
      </c>
      <c r="F157" s="3">
        <f t="shared" si="91"/>
        <v>4.8323610204746917E-2</v>
      </c>
      <c r="G157" s="3">
        <f t="shared" si="91"/>
        <v>4.8323610204746917E-2</v>
      </c>
      <c r="H157" s="3">
        <f t="shared" si="91"/>
        <v>4.8323610204746917E-2</v>
      </c>
      <c r="I157" s="3">
        <f t="shared" si="91"/>
        <v>4.8323610204746917E-2</v>
      </c>
      <c r="J157" s="3">
        <f t="shared" si="91"/>
        <v>4.8323610204746917E-2</v>
      </c>
      <c r="K157" s="3">
        <f t="shared" si="91"/>
        <v>4.8323610204746917E-2</v>
      </c>
      <c r="L157" s="3">
        <f t="shared" si="91"/>
        <v>4.8323610204746917E-2</v>
      </c>
      <c r="M157" s="3">
        <f t="shared" si="91"/>
        <v>4.8323610204746917E-2</v>
      </c>
      <c r="N157" s="3">
        <f t="shared" si="91"/>
        <v>4.8323610204746917E-2</v>
      </c>
      <c r="O157" s="3">
        <f t="shared" si="91"/>
        <v>4.8323610204746917E-2</v>
      </c>
      <c r="P157" s="3">
        <f t="shared" si="91"/>
        <v>4.8323610204746917E-2</v>
      </c>
      <c r="Q157" s="3">
        <f t="shared" si="91"/>
        <v>4.8323610204746917E-2</v>
      </c>
      <c r="R157" s="3">
        <f t="shared" si="91"/>
        <v>4.8323610204746917E-2</v>
      </c>
      <c r="S157" s="3">
        <f t="shared" si="91"/>
        <v>4.8323610204746917E-2</v>
      </c>
      <c r="T157" s="3">
        <f t="shared" si="91"/>
        <v>4.8323610204746917E-2</v>
      </c>
      <c r="U157" s="3">
        <f t="shared" si="91"/>
        <v>4.8323610204746917E-2</v>
      </c>
      <c r="V157" s="3">
        <f t="shared" si="91"/>
        <v>4.8323610204746917E-2</v>
      </c>
      <c r="W157" s="3">
        <f t="shared" si="91"/>
        <v>4.8323610204746917E-2</v>
      </c>
      <c r="X157" s="3">
        <f t="shared" si="91"/>
        <v>4.8323610204746917E-2</v>
      </c>
      <c r="Y157" s="3">
        <f t="shared" si="91"/>
        <v>4.832361020474691E-2</v>
      </c>
      <c r="Z157" s="3">
        <f t="shared" si="91"/>
        <v>4.8323610204746882E-2</v>
      </c>
      <c r="AA157" s="3">
        <f t="shared" ref="AA157:AF157" si="92">$C43*EXP(-AA$129/$A43/EXP(-$B$126))</f>
        <v>4.8323610204746618E-2</v>
      </c>
      <c r="AB157" s="3">
        <f t="shared" si="92"/>
        <v>4.8323610204743926E-2</v>
      </c>
      <c r="AC157" s="3">
        <f t="shared" si="92"/>
        <v>4.8323610204717031E-2</v>
      </c>
      <c r="AD157" s="3">
        <f t="shared" si="92"/>
        <v>4.8323610204448059E-2</v>
      </c>
      <c r="AE157" s="3">
        <f t="shared" si="92"/>
        <v>4.8323610201758349E-2</v>
      </c>
      <c r="AF157" s="3">
        <f t="shared" si="92"/>
        <v>4.832361017486126E-2</v>
      </c>
    </row>
    <row r="158" spans="1:32" x14ac:dyDescent="0.25">
      <c r="B158" s="3">
        <f t="shared" ref="B158:Z158" si="93">$C44*EXP(-B$129/$A44/EXP(-$B$126))</f>
        <v>1.4844365312015322E-2</v>
      </c>
      <c r="C158" s="3">
        <f t="shared" si="93"/>
        <v>1.4844365312015322E-2</v>
      </c>
      <c r="D158" s="3">
        <f t="shared" si="93"/>
        <v>1.4844365312015322E-2</v>
      </c>
      <c r="E158" s="3">
        <f t="shared" si="93"/>
        <v>1.4844365312015322E-2</v>
      </c>
      <c r="F158" s="3">
        <f t="shared" si="93"/>
        <v>1.4844365312015322E-2</v>
      </c>
      <c r="G158" s="3">
        <f t="shared" si="93"/>
        <v>1.4844365312015322E-2</v>
      </c>
      <c r="H158" s="3">
        <f t="shared" si="93"/>
        <v>1.4844365312015322E-2</v>
      </c>
      <c r="I158" s="3">
        <f t="shared" si="93"/>
        <v>1.4844365312015322E-2</v>
      </c>
      <c r="J158" s="3">
        <f t="shared" si="93"/>
        <v>1.4844365312015322E-2</v>
      </c>
      <c r="K158" s="3">
        <f t="shared" si="93"/>
        <v>1.4844365312015322E-2</v>
      </c>
      <c r="L158" s="3">
        <f t="shared" si="93"/>
        <v>1.4844365312015322E-2</v>
      </c>
      <c r="M158" s="3">
        <f t="shared" si="93"/>
        <v>1.4844365312015322E-2</v>
      </c>
      <c r="N158" s="3">
        <f t="shared" si="93"/>
        <v>1.4844365312015322E-2</v>
      </c>
      <c r="O158" s="3">
        <f t="shared" si="93"/>
        <v>1.4844365312015322E-2</v>
      </c>
      <c r="P158" s="3">
        <f t="shared" si="93"/>
        <v>1.4844365312015322E-2</v>
      </c>
      <c r="Q158" s="3">
        <f t="shared" si="93"/>
        <v>1.4844365312015322E-2</v>
      </c>
      <c r="R158" s="3">
        <f t="shared" si="93"/>
        <v>1.4844365312015322E-2</v>
      </c>
      <c r="S158" s="3">
        <f t="shared" si="93"/>
        <v>1.4844365312015322E-2</v>
      </c>
      <c r="T158" s="3">
        <f t="shared" si="93"/>
        <v>1.4844365312015322E-2</v>
      </c>
      <c r="U158" s="3">
        <f t="shared" si="93"/>
        <v>1.4844365312015322E-2</v>
      </c>
      <c r="V158" s="3">
        <f t="shared" si="93"/>
        <v>1.4844365312015322E-2</v>
      </c>
      <c r="W158" s="3">
        <f t="shared" si="93"/>
        <v>1.4844365312015322E-2</v>
      </c>
      <c r="X158" s="3">
        <f t="shared" si="93"/>
        <v>1.4844365312015322E-2</v>
      </c>
      <c r="Y158" s="3">
        <f t="shared" si="93"/>
        <v>1.4844365312015322E-2</v>
      </c>
      <c r="Z158" s="3">
        <f t="shared" si="93"/>
        <v>1.484436531201532E-2</v>
      </c>
      <c r="AA158" s="3">
        <f t="shared" ref="AA158:AF158" si="94">$C44*EXP(-AA$129/$A44/EXP(-$B$126))</f>
        <v>1.4844365312015311E-2</v>
      </c>
      <c r="AB158" s="3">
        <f t="shared" si="94"/>
        <v>1.484436531201523E-2</v>
      </c>
      <c r="AC158" s="3">
        <f t="shared" si="94"/>
        <v>1.4844365312014404E-2</v>
      </c>
      <c r="AD158" s="3">
        <f t="shared" si="94"/>
        <v>1.4844365312006141E-2</v>
      </c>
      <c r="AE158" s="3">
        <f t="shared" si="94"/>
        <v>1.4844365311923517E-2</v>
      </c>
      <c r="AF158" s="3">
        <f t="shared" si="94"/>
        <v>1.4844365311097275E-2</v>
      </c>
    </row>
    <row r="159" spans="1:32" x14ac:dyDescent="0.25">
      <c r="A159" s="11" t="s">
        <v>75</v>
      </c>
      <c r="B159" s="3">
        <f t="shared" ref="B159:Z159" si="95">$C45*EXP(-B$129/$A45/EXP(-$B$126))</f>
        <v>1.5641900970231219E-2</v>
      </c>
      <c r="C159" s="3">
        <f t="shared" si="95"/>
        <v>1.5641900970231219E-2</v>
      </c>
      <c r="D159" s="3">
        <f t="shared" si="95"/>
        <v>1.5641900970231219E-2</v>
      </c>
      <c r="E159" s="3">
        <f t="shared" si="95"/>
        <v>1.5641900970231219E-2</v>
      </c>
      <c r="F159" s="3">
        <f t="shared" si="95"/>
        <v>1.5641900970231219E-2</v>
      </c>
      <c r="G159" s="3">
        <f t="shared" si="95"/>
        <v>1.5641900970231219E-2</v>
      </c>
      <c r="H159" s="3">
        <f t="shared" si="95"/>
        <v>1.5641900970231219E-2</v>
      </c>
      <c r="I159" s="3">
        <f t="shared" si="95"/>
        <v>1.5641900970231219E-2</v>
      </c>
      <c r="J159" s="3">
        <f t="shared" si="95"/>
        <v>1.5641900970231219E-2</v>
      </c>
      <c r="K159" s="3">
        <f t="shared" si="95"/>
        <v>1.5641900970231219E-2</v>
      </c>
      <c r="L159" s="3">
        <f t="shared" si="95"/>
        <v>1.5641900970231219E-2</v>
      </c>
      <c r="M159" s="3">
        <f t="shared" si="95"/>
        <v>1.5641900970231219E-2</v>
      </c>
      <c r="N159" s="3">
        <f t="shared" si="95"/>
        <v>1.5641900970231219E-2</v>
      </c>
      <c r="O159" s="3">
        <f t="shared" si="95"/>
        <v>1.5641900970231219E-2</v>
      </c>
      <c r="P159" s="3">
        <f t="shared" si="95"/>
        <v>1.5641900970231219E-2</v>
      </c>
      <c r="Q159" s="3">
        <f t="shared" si="95"/>
        <v>1.5641900970231219E-2</v>
      </c>
      <c r="R159" s="3">
        <f t="shared" si="95"/>
        <v>1.5641900970231219E-2</v>
      </c>
      <c r="S159" s="3">
        <f t="shared" si="95"/>
        <v>1.5641900970231219E-2</v>
      </c>
      <c r="T159" s="3">
        <f t="shared" si="95"/>
        <v>1.5641900970231219E-2</v>
      </c>
      <c r="U159" s="3">
        <f t="shared" si="95"/>
        <v>1.5641900970231219E-2</v>
      </c>
      <c r="V159" s="3">
        <f t="shared" si="95"/>
        <v>1.5641900970231219E-2</v>
      </c>
      <c r="W159" s="3">
        <f t="shared" si="95"/>
        <v>1.5641900970231219E-2</v>
      </c>
      <c r="X159" s="3">
        <f t="shared" si="95"/>
        <v>1.5641900970231219E-2</v>
      </c>
      <c r="Y159" s="3">
        <f t="shared" si="95"/>
        <v>1.5641900970231219E-2</v>
      </c>
      <c r="Z159" s="3">
        <f t="shared" si="95"/>
        <v>1.5641900970231219E-2</v>
      </c>
      <c r="AA159" s="3">
        <f t="shared" ref="AA159:AF159" si="96">$C45*EXP(-AA$129/$A45/EXP(-$B$126))</f>
        <v>1.5641900970231215E-2</v>
      </c>
      <c r="AB159" s="3">
        <f t="shared" si="96"/>
        <v>1.5641900970231208E-2</v>
      </c>
      <c r="AC159" s="3">
        <f t="shared" si="96"/>
        <v>1.5641900970231121E-2</v>
      </c>
      <c r="AD159" s="3">
        <f t="shared" si="96"/>
        <v>1.5641900970230251E-2</v>
      </c>
      <c r="AE159" s="3">
        <f t="shared" si="96"/>
        <v>1.5641900970221546E-2</v>
      </c>
      <c r="AF159" s="3">
        <f t="shared" si="96"/>
        <v>1.564190097013448E-2</v>
      </c>
    </row>
    <row r="160" spans="1:32" x14ac:dyDescent="0.25">
      <c r="B160" s="3">
        <f t="shared" ref="B160:Z160" si="97">$C46*EXP(-B$129/$A46/EXP(-$B$126))</f>
        <v>1.5176002473828224E-3</v>
      </c>
      <c r="C160" s="3">
        <f t="shared" si="97"/>
        <v>1.5176002473828224E-3</v>
      </c>
      <c r="D160" s="3">
        <f t="shared" si="97"/>
        <v>1.5176002473828224E-3</v>
      </c>
      <c r="E160" s="3">
        <f t="shared" si="97"/>
        <v>1.5176002473828224E-3</v>
      </c>
      <c r="F160" s="3">
        <f t="shared" si="97"/>
        <v>1.5176002473828224E-3</v>
      </c>
      <c r="G160" s="3">
        <f t="shared" si="97"/>
        <v>1.5176002473828224E-3</v>
      </c>
      <c r="H160" s="3">
        <f t="shared" si="97"/>
        <v>1.5176002473828224E-3</v>
      </c>
      <c r="I160" s="3">
        <f t="shared" si="97"/>
        <v>1.5176002473828224E-3</v>
      </c>
      <c r="J160" s="3">
        <f t="shared" si="97"/>
        <v>1.5176002473828224E-3</v>
      </c>
      <c r="K160" s="3">
        <f t="shared" si="97"/>
        <v>1.5176002473828224E-3</v>
      </c>
      <c r="L160" s="3">
        <f t="shared" si="97"/>
        <v>1.5176002473828224E-3</v>
      </c>
      <c r="M160" s="3">
        <f t="shared" si="97"/>
        <v>1.5176002473828224E-3</v>
      </c>
      <c r="N160" s="3">
        <f t="shared" si="97"/>
        <v>1.5176002473828224E-3</v>
      </c>
      <c r="O160" s="3">
        <f t="shared" si="97"/>
        <v>1.5176002473828224E-3</v>
      </c>
      <c r="P160" s="3">
        <f t="shared" si="97"/>
        <v>1.5176002473828224E-3</v>
      </c>
      <c r="Q160" s="3">
        <f t="shared" si="97"/>
        <v>1.5176002473828224E-3</v>
      </c>
      <c r="R160" s="3">
        <f t="shared" si="97"/>
        <v>1.5176002473828224E-3</v>
      </c>
      <c r="S160" s="3">
        <f t="shared" si="97"/>
        <v>1.5176002473828224E-3</v>
      </c>
      <c r="T160" s="3">
        <f t="shared" si="97"/>
        <v>1.5176002473828224E-3</v>
      </c>
      <c r="U160" s="3">
        <f t="shared" si="97"/>
        <v>1.5176002473828224E-3</v>
      </c>
      <c r="V160" s="3">
        <f t="shared" si="97"/>
        <v>1.5176002473828224E-3</v>
      </c>
      <c r="W160" s="3">
        <f t="shared" si="97"/>
        <v>1.5176002473828224E-3</v>
      </c>
      <c r="X160" s="3">
        <f t="shared" si="97"/>
        <v>1.5176002473828224E-3</v>
      </c>
      <c r="Y160" s="3">
        <f t="shared" si="97"/>
        <v>1.5176002473828224E-3</v>
      </c>
      <c r="Z160" s="3">
        <f t="shared" si="97"/>
        <v>1.5176002473828224E-3</v>
      </c>
      <c r="AA160" s="3">
        <f t="shared" ref="AA160:AF160" si="98">$C46*EXP(-AA$129/$A46/EXP(-$B$126))</f>
        <v>1.5176002473828224E-3</v>
      </c>
      <c r="AB160" s="3">
        <f t="shared" si="98"/>
        <v>1.5176002473828222E-3</v>
      </c>
      <c r="AC160" s="3">
        <f t="shared" si="98"/>
        <v>1.5176002473828213E-3</v>
      </c>
      <c r="AD160" s="3">
        <f t="shared" si="98"/>
        <v>1.5176002473828128E-3</v>
      </c>
      <c r="AE160" s="3">
        <f t="shared" si="98"/>
        <v>1.5176002473827285E-3</v>
      </c>
      <c r="AF160" s="3">
        <f t="shared" si="98"/>
        <v>1.5176002473818839E-3</v>
      </c>
    </row>
    <row r="161" spans="1:34" x14ac:dyDescent="0.25">
      <c r="A161" s="11" t="s">
        <v>75</v>
      </c>
      <c r="B161" s="3">
        <f t="shared" ref="B161:Z161" si="99">$C47*EXP(-B$129/$A47/EXP(-$B$126))</f>
        <v>3.5883218113444658E-3</v>
      </c>
      <c r="C161" s="3">
        <f t="shared" si="99"/>
        <v>3.5883218113444658E-3</v>
      </c>
      <c r="D161" s="3">
        <f t="shared" si="99"/>
        <v>3.5883218113444658E-3</v>
      </c>
      <c r="E161" s="3">
        <f t="shared" si="99"/>
        <v>3.5883218113444658E-3</v>
      </c>
      <c r="F161" s="3">
        <f t="shared" si="99"/>
        <v>3.5883218113444658E-3</v>
      </c>
      <c r="G161" s="3">
        <f t="shared" si="99"/>
        <v>3.5883218113444658E-3</v>
      </c>
      <c r="H161" s="3">
        <f t="shared" si="99"/>
        <v>3.5883218113444658E-3</v>
      </c>
      <c r="I161" s="3">
        <f t="shared" si="99"/>
        <v>3.5883218113444658E-3</v>
      </c>
      <c r="J161" s="3">
        <f t="shared" si="99"/>
        <v>3.5883218113444658E-3</v>
      </c>
      <c r="K161" s="3">
        <f t="shared" si="99"/>
        <v>3.5883218113444658E-3</v>
      </c>
      <c r="L161" s="3">
        <f t="shared" si="99"/>
        <v>3.5883218113444658E-3</v>
      </c>
      <c r="M161" s="3">
        <f t="shared" si="99"/>
        <v>3.5883218113444658E-3</v>
      </c>
      <c r="N161" s="3">
        <f t="shared" si="99"/>
        <v>3.5883218113444658E-3</v>
      </c>
      <c r="O161" s="3">
        <f t="shared" si="99"/>
        <v>3.5883218113444658E-3</v>
      </c>
      <c r="P161" s="3">
        <f t="shared" si="99"/>
        <v>3.5883218113444658E-3</v>
      </c>
      <c r="Q161" s="3">
        <f t="shared" si="99"/>
        <v>3.5883218113444658E-3</v>
      </c>
      <c r="R161" s="3">
        <f t="shared" si="99"/>
        <v>3.5883218113444658E-3</v>
      </c>
      <c r="S161" s="3">
        <f t="shared" si="99"/>
        <v>3.5883218113444658E-3</v>
      </c>
      <c r="T161" s="3">
        <f t="shared" si="99"/>
        <v>3.5883218113444658E-3</v>
      </c>
      <c r="U161" s="3">
        <f t="shared" si="99"/>
        <v>3.5883218113444658E-3</v>
      </c>
      <c r="V161" s="3">
        <f t="shared" si="99"/>
        <v>3.5883218113444658E-3</v>
      </c>
      <c r="W161" s="3">
        <f t="shared" si="99"/>
        <v>3.5883218113444658E-3</v>
      </c>
      <c r="X161" s="3">
        <f t="shared" si="99"/>
        <v>3.5883218113444658E-3</v>
      </c>
      <c r="Y161" s="3">
        <f t="shared" si="99"/>
        <v>3.5883218113444658E-3</v>
      </c>
      <c r="Z161" s="3">
        <f t="shared" si="99"/>
        <v>3.5883218113444658E-3</v>
      </c>
      <c r="AA161" s="3">
        <f t="shared" ref="AA161:AF161" si="100">$C47*EXP(-AA$129/$A47/EXP(-$B$126))</f>
        <v>3.5883218113444658E-3</v>
      </c>
      <c r="AB161" s="3">
        <f t="shared" si="100"/>
        <v>3.5883218113444658E-3</v>
      </c>
      <c r="AC161" s="3">
        <f t="shared" si="100"/>
        <v>3.5883218113444654E-3</v>
      </c>
      <c r="AD161" s="3">
        <f t="shared" si="100"/>
        <v>3.5883218113444632E-3</v>
      </c>
      <c r="AE161" s="3">
        <f t="shared" si="100"/>
        <v>3.5883218113444437E-3</v>
      </c>
      <c r="AF161" s="3">
        <f t="shared" si="100"/>
        <v>3.5883218113442437E-3</v>
      </c>
    </row>
    <row r="162" spans="1:34" x14ac:dyDescent="0.25">
      <c r="B162" s="3">
        <f t="shared" ref="B162:Z162" si="101">$C48*EXP(-B$129/$A48/EXP(-$B$126))</f>
        <v>1.1419429769572463E-2</v>
      </c>
      <c r="C162" s="3">
        <f t="shared" si="101"/>
        <v>1.1419429769572463E-2</v>
      </c>
      <c r="D162" s="3">
        <f t="shared" si="101"/>
        <v>1.1419429769572463E-2</v>
      </c>
      <c r="E162" s="3">
        <f t="shared" si="101"/>
        <v>1.1419429769572463E-2</v>
      </c>
      <c r="F162" s="3">
        <f t="shared" si="101"/>
        <v>1.1419429769572463E-2</v>
      </c>
      <c r="G162" s="3">
        <f t="shared" si="101"/>
        <v>1.1419429769572463E-2</v>
      </c>
      <c r="H162" s="3">
        <f t="shared" si="101"/>
        <v>1.1419429769572463E-2</v>
      </c>
      <c r="I162" s="3">
        <f t="shared" si="101"/>
        <v>1.1419429769572463E-2</v>
      </c>
      <c r="J162" s="3">
        <f t="shared" si="101"/>
        <v>1.1419429769572463E-2</v>
      </c>
      <c r="K162" s="3">
        <f t="shared" si="101"/>
        <v>1.1419429769572463E-2</v>
      </c>
      <c r="L162" s="3">
        <f t="shared" si="101"/>
        <v>1.1419429769572463E-2</v>
      </c>
      <c r="M162" s="3">
        <f t="shared" si="101"/>
        <v>1.1419429769572463E-2</v>
      </c>
      <c r="N162" s="3">
        <f t="shared" si="101"/>
        <v>1.1419429769572463E-2</v>
      </c>
      <c r="O162" s="3">
        <f t="shared" si="101"/>
        <v>1.1419429769572463E-2</v>
      </c>
      <c r="P162" s="3">
        <f t="shared" si="101"/>
        <v>1.1419429769572463E-2</v>
      </c>
      <c r="Q162" s="3">
        <f t="shared" si="101"/>
        <v>1.1419429769572463E-2</v>
      </c>
      <c r="R162" s="3">
        <f t="shared" si="101"/>
        <v>1.1419429769572463E-2</v>
      </c>
      <c r="S162" s="3">
        <f t="shared" si="101"/>
        <v>1.1419429769572463E-2</v>
      </c>
      <c r="T162" s="3">
        <f t="shared" si="101"/>
        <v>1.1419429769572463E-2</v>
      </c>
      <c r="U162" s="3">
        <f t="shared" si="101"/>
        <v>1.1419429769572463E-2</v>
      </c>
      <c r="V162" s="3">
        <f t="shared" si="101"/>
        <v>1.1419429769572463E-2</v>
      </c>
      <c r="W162" s="3">
        <f t="shared" si="101"/>
        <v>1.1419429769572463E-2</v>
      </c>
      <c r="X162" s="3">
        <f t="shared" si="101"/>
        <v>1.1419429769572463E-2</v>
      </c>
      <c r="Y162" s="3">
        <f t="shared" si="101"/>
        <v>1.1419429769572463E-2</v>
      </c>
      <c r="Z162" s="3">
        <f t="shared" si="101"/>
        <v>1.1419429769572463E-2</v>
      </c>
      <c r="AA162" s="3">
        <f t="shared" ref="AA162:AF162" si="102">$C48*EXP(-AA$129/$A48/EXP(-$B$126))</f>
        <v>1.1419429769572463E-2</v>
      </c>
      <c r="AB162" s="3">
        <f t="shared" si="102"/>
        <v>1.1419429769572463E-2</v>
      </c>
      <c r="AC162" s="3">
        <f t="shared" si="102"/>
        <v>1.1419429769572463E-2</v>
      </c>
      <c r="AD162" s="3">
        <f t="shared" si="102"/>
        <v>1.1419429769572461E-2</v>
      </c>
      <c r="AE162" s="3">
        <f t="shared" si="102"/>
        <v>1.1419429769572456E-2</v>
      </c>
      <c r="AF162" s="3">
        <f t="shared" si="102"/>
        <v>1.1419429769572392E-2</v>
      </c>
    </row>
    <row r="163" spans="1:34" x14ac:dyDescent="0.25">
      <c r="A163" s="80">
        <f>AVERAGE(B163:AF163)</f>
        <v>1.8193465333016738E-2</v>
      </c>
      <c r="B163" s="81">
        <f>IF($A$64&lt;=B129,IF($B$64&gt;=B129,ABS((B131-B130)/B130),0),0)</f>
        <v>2.4243889674520373E-3</v>
      </c>
      <c r="C163" s="81">
        <f t="shared" ref="C163:AF163" si="103">IF($A$64&lt;=C129,IF($B$64&gt;=C129,ABS((C131-C130)/C130),0),0)</f>
        <v>2.430219318401974E-3</v>
      </c>
      <c r="D163" s="81">
        <f t="shared" si="103"/>
        <v>2.4266291123100463E-3</v>
      </c>
      <c r="E163" s="81">
        <f t="shared" si="103"/>
        <v>2.4256342982992216E-3</v>
      </c>
      <c r="F163" s="81">
        <f t="shared" si="103"/>
        <v>2.4265519273105863E-3</v>
      </c>
      <c r="G163" s="81">
        <f t="shared" si="103"/>
        <v>2.4388972016416628E-3</v>
      </c>
      <c r="H163" s="81">
        <f t="shared" si="103"/>
        <v>2.5632712186129292E-3</v>
      </c>
      <c r="I163" s="81">
        <f t="shared" si="103"/>
        <v>3.7697568389797745E-3</v>
      </c>
      <c r="J163" s="81">
        <f t="shared" si="103"/>
        <v>1.276719003115326E-2</v>
      </c>
      <c r="K163" s="81">
        <f t="shared" si="103"/>
        <v>2.4802182227016203E-2</v>
      </c>
      <c r="L163" s="81">
        <f t="shared" si="103"/>
        <v>2.4846832943377601E-2</v>
      </c>
      <c r="M163" s="81">
        <f t="shared" si="103"/>
        <v>2.4831324337885242E-2</v>
      </c>
      <c r="N163" s="81">
        <f t="shared" si="103"/>
        <v>2.4677928308589996E-2</v>
      </c>
      <c r="O163" s="81">
        <f t="shared" si="103"/>
        <v>2.3237647070187196E-2</v>
      </c>
      <c r="P163" s="81">
        <f t="shared" si="103"/>
        <v>1.3106641400254849E-2</v>
      </c>
      <c r="Q163" s="81">
        <f t="shared" si="103"/>
        <v>2.0419979040052789E-2</v>
      </c>
      <c r="R163" s="81">
        <f t="shared" si="103"/>
        <v>2.0661948122901168E-2</v>
      </c>
      <c r="S163" s="81">
        <f t="shared" si="103"/>
        <v>2.1469681997542518E-2</v>
      </c>
      <c r="T163" s="81">
        <f t="shared" si="103"/>
        <v>2.3291905063082975E-2</v>
      </c>
      <c r="U163" s="81">
        <f t="shared" si="103"/>
        <v>2.5241422875618102E-2</v>
      </c>
      <c r="V163" s="81">
        <f t="shared" si="103"/>
        <v>2.3635227371592352E-2</v>
      </c>
      <c r="W163" s="81">
        <f t="shared" si="103"/>
        <v>1.2779522491043124E-2</v>
      </c>
      <c r="X163" s="81">
        <f t="shared" si="103"/>
        <v>4.0983021899766983E-3</v>
      </c>
      <c r="Y163" s="81">
        <f t="shared" si="103"/>
        <v>1.7362727409908605E-2</v>
      </c>
      <c r="Z163" s="81">
        <f t="shared" si="103"/>
        <v>2.2252914437517868E-2</v>
      </c>
      <c r="AA163" s="81">
        <f t="shared" si="103"/>
        <v>2.5875953567197834E-2</v>
      </c>
      <c r="AB163" s="81">
        <f t="shared" si="103"/>
        <v>3.4891082079548462E-2</v>
      </c>
      <c r="AC163" s="81">
        <f t="shared" si="103"/>
        <v>4.2298408397928026E-2</v>
      </c>
      <c r="AD163" s="81">
        <f t="shared" si="103"/>
        <v>4.1069512015928185E-2</v>
      </c>
      <c r="AE163" s="81">
        <f t="shared" si="103"/>
        <v>3.7005447957844773E-2</v>
      </c>
      <c r="AF163" s="81">
        <f t="shared" si="103"/>
        <v>2.246829510436274E-2</v>
      </c>
    </row>
    <row r="164" spans="1:34" x14ac:dyDescent="0.25">
      <c r="B164" s="21">
        <f>(B131-B130)^2</f>
        <v>186.15839745662663</v>
      </c>
      <c r="C164" s="21">
        <f t="shared" ref="C164:AF164" si="104">(C131-C130)^2</f>
        <v>187.05703525852536</v>
      </c>
      <c r="D164" s="21">
        <f t="shared" si="104"/>
        <v>186.50341105120697</v>
      </c>
      <c r="E164" s="21">
        <f t="shared" si="104"/>
        <v>186.35010727417003</v>
      </c>
      <c r="F164" s="21">
        <f t="shared" si="104"/>
        <v>186.49100466495591</v>
      </c>
      <c r="G164" s="21">
        <f t="shared" si="104"/>
        <v>188.39335740972822</v>
      </c>
      <c r="H164" s="21">
        <f t="shared" si="104"/>
        <v>208.09790410645346</v>
      </c>
      <c r="I164" s="21">
        <f t="shared" si="104"/>
        <v>450.09607807590493</v>
      </c>
      <c r="J164" s="21">
        <f t="shared" si="104"/>
        <v>5162.6084421060223</v>
      </c>
      <c r="K164" s="21">
        <f t="shared" si="104"/>
        <v>19483.102609448015</v>
      </c>
      <c r="L164" s="21">
        <f t="shared" si="104"/>
        <v>19553.223027388278</v>
      </c>
      <c r="M164" s="21">
        <f t="shared" si="104"/>
        <v>19527.904130583964</v>
      </c>
      <c r="N164" s="21">
        <f t="shared" si="104"/>
        <v>19278.390989653311</v>
      </c>
      <c r="O164" s="21">
        <f t="shared" si="104"/>
        <v>17017.749352288381</v>
      </c>
      <c r="P164" s="21">
        <f t="shared" si="104"/>
        <v>5229.431568261838</v>
      </c>
      <c r="Q164" s="21">
        <f t="shared" si="104"/>
        <v>11983.651057512334</v>
      </c>
      <c r="R164" s="21">
        <f t="shared" si="104"/>
        <v>11768.016953345717</v>
      </c>
      <c r="S164" s="21">
        <f t="shared" si="104"/>
        <v>12172.247742943879</v>
      </c>
      <c r="T164" s="21">
        <f t="shared" si="104"/>
        <v>13648.373375314655</v>
      </c>
      <c r="U164" s="21">
        <f t="shared" si="104"/>
        <v>15181.380552472514</v>
      </c>
      <c r="V164" s="21">
        <f t="shared" si="104"/>
        <v>12419.686631718243</v>
      </c>
      <c r="W164" s="21">
        <f t="shared" si="104"/>
        <v>3311.063012552132</v>
      </c>
      <c r="X164" s="21">
        <f t="shared" si="104"/>
        <v>306.73141261999893</v>
      </c>
      <c r="Y164" s="21">
        <f t="shared" si="104"/>
        <v>4965.4161829984969</v>
      </c>
      <c r="Z164" s="21">
        <f t="shared" si="104"/>
        <v>7334.6196444003717</v>
      </c>
      <c r="AA164" s="21">
        <f t="shared" si="104"/>
        <v>8793.4366630872009</v>
      </c>
      <c r="AB164" s="21">
        <f t="shared" si="104"/>
        <v>14110.651595332582</v>
      </c>
      <c r="AC164" s="21">
        <f t="shared" si="104"/>
        <v>18606.82709786007</v>
      </c>
      <c r="AD164" s="21">
        <f t="shared" si="104"/>
        <v>15878.185593190652</v>
      </c>
      <c r="AE164" s="21">
        <f t="shared" si="104"/>
        <v>11643.467167721028</v>
      </c>
      <c r="AF164" s="21">
        <f t="shared" si="104"/>
        <v>3876.2963849822049</v>
      </c>
    </row>
    <row r="165" spans="1:34" x14ac:dyDescent="0.25">
      <c r="A165" s="72">
        <f>SUM(B165:AF165)</f>
        <v>273031.60848307947</v>
      </c>
      <c r="B165" s="60">
        <f>IF($A$64&lt;=B129,IF($B$64&gt;=B129,ABS(B164),0),0)</f>
        <v>186.15839745662663</v>
      </c>
      <c r="C165" s="60">
        <f t="shared" ref="C165:AF165" si="105">IF($A$64&lt;=C129,IF($B$64&gt;=C129,ABS(C164),0),0)</f>
        <v>187.05703525852536</v>
      </c>
      <c r="D165" s="60">
        <f t="shared" si="105"/>
        <v>186.50341105120697</v>
      </c>
      <c r="E165" s="60">
        <f t="shared" si="105"/>
        <v>186.35010727417003</v>
      </c>
      <c r="F165" s="60">
        <f t="shared" si="105"/>
        <v>186.49100466495591</v>
      </c>
      <c r="G165" s="60">
        <f t="shared" si="105"/>
        <v>188.39335740972822</v>
      </c>
      <c r="H165" s="60">
        <f t="shared" si="105"/>
        <v>208.09790410645346</v>
      </c>
      <c r="I165" s="60">
        <f t="shared" si="105"/>
        <v>450.09607807590493</v>
      </c>
      <c r="J165" s="60">
        <f t="shared" si="105"/>
        <v>5162.6084421060223</v>
      </c>
      <c r="K165" s="60">
        <f t="shared" si="105"/>
        <v>19483.102609448015</v>
      </c>
      <c r="L165" s="60">
        <f t="shared" si="105"/>
        <v>19553.223027388278</v>
      </c>
      <c r="M165" s="60">
        <f t="shared" si="105"/>
        <v>19527.904130583964</v>
      </c>
      <c r="N165" s="60">
        <f t="shared" si="105"/>
        <v>19278.390989653311</v>
      </c>
      <c r="O165" s="60">
        <f t="shared" si="105"/>
        <v>17017.749352288381</v>
      </c>
      <c r="P165" s="60">
        <f t="shared" si="105"/>
        <v>5229.431568261838</v>
      </c>
      <c r="Q165" s="60">
        <f t="shared" si="105"/>
        <v>11983.651057512334</v>
      </c>
      <c r="R165" s="60">
        <f t="shared" si="105"/>
        <v>11768.016953345717</v>
      </c>
      <c r="S165" s="60">
        <f t="shared" si="105"/>
        <v>12172.247742943879</v>
      </c>
      <c r="T165" s="60">
        <f t="shared" si="105"/>
        <v>13648.373375314655</v>
      </c>
      <c r="U165" s="60">
        <f t="shared" si="105"/>
        <v>15181.380552472514</v>
      </c>
      <c r="V165" s="60">
        <f t="shared" si="105"/>
        <v>12419.686631718243</v>
      </c>
      <c r="W165" s="60">
        <f t="shared" si="105"/>
        <v>3311.063012552132</v>
      </c>
      <c r="X165" s="60">
        <f t="shared" si="105"/>
        <v>306.73141261999893</v>
      </c>
      <c r="Y165" s="60">
        <f t="shared" si="105"/>
        <v>4965.4161829984969</v>
      </c>
      <c r="Z165" s="60">
        <f t="shared" si="105"/>
        <v>7334.6196444003717</v>
      </c>
      <c r="AA165" s="60">
        <f t="shared" si="105"/>
        <v>8793.4366630872009</v>
      </c>
      <c r="AB165" s="60">
        <f t="shared" si="105"/>
        <v>14110.651595332582</v>
      </c>
      <c r="AC165" s="60">
        <f t="shared" si="105"/>
        <v>18606.82709786007</v>
      </c>
      <c r="AD165" s="60">
        <f t="shared" si="105"/>
        <v>15878.185593190652</v>
      </c>
      <c r="AE165" s="60">
        <f t="shared" si="105"/>
        <v>11643.467167721028</v>
      </c>
      <c r="AF165" s="60">
        <f t="shared" si="105"/>
        <v>3876.2963849822049</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1" t="s">
        <v>22</v>
      </c>
      <c r="B170" s="27">
        <f>($C$17+SUM(B171:B201))*$B$51</f>
        <v>5613.9638849706689</v>
      </c>
      <c r="C170" s="27">
        <f t="shared" ref="C170:AF170" si="106">($C$17+SUM(C171:C201))*$B$51</f>
        <v>5612.206305295329</v>
      </c>
      <c r="D170" s="27">
        <f t="shared" si="106"/>
        <v>5595.924046175257</v>
      </c>
      <c r="E170" s="27">
        <f t="shared" si="106"/>
        <v>5514.4614963000904</v>
      </c>
      <c r="F170" s="27">
        <f t="shared" si="106"/>
        <v>5487.9639257939207</v>
      </c>
      <c r="G170" s="27">
        <f t="shared" si="106"/>
        <v>5487.9533943732476</v>
      </c>
      <c r="H170" s="27">
        <f t="shared" si="106"/>
        <v>5487.8483106898047</v>
      </c>
      <c r="I170" s="27">
        <f t="shared" si="106"/>
        <v>5486.7995102375971</v>
      </c>
      <c r="J170" s="27">
        <f t="shared" si="106"/>
        <v>5476.5124625238195</v>
      </c>
      <c r="K170" s="27">
        <f t="shared" si="106"/>
        <v>5391.3046495185199</v>
      </c>
      <c r="L170" s="27">
        <f t="shared" si="106"/>
        <v>5185.8318100285351</v>
      </c>
      <c r="M170" s="27">
        <f t="shared" si="106"/>
        <v>5105.3723510513082</v>
      </c>
      <c r="N170" s="27">
        <f t="shared" si="106"/>
        <v>4973.2718657281994</v>
      </c>
      <c r="O170" s="27">
        <f t="shared" si="106"/>
        <v>4842.0328911482229</v>
      </c>
      <c r="P170" s="27">
        <f t="shared" si="106"/>
        <v>4692.1461939480878</v>
      </c>
      <c r="Q170" s="27">
        <f t="shared" si="106"/>
        <v>4533.694399152304</v>
      </c>
      <c r="R170" s="27">
        <f t="shared" si="106"/>
        <v>4375.2863845220072</v>
      </c>
      <c r="S170" s="27">
        <f t="shared" si="106"/>
        <v>4223.0777523204169</v>
      </c>
      <c r="T170" s="27">
        <f t="shared" si="106"/>
        <v>4048.5242105239686</v>
      </c>
      <c r="U170" s="27">
        <f t="shared" si="106"/>
        <v>3839.38586129649</v>
      </c>
      <c r="V170" s="27">
        <f t="shared" si="106"/>
        <v>3629.4878681246</v>
      </c>
      <c r="W170" s="27">
        <f t="shared" si="106"/>
        <v>3456.7396411327022</v>
      </c>
      <c r="X170" s="27">
        <f t="shared" si="106"/>
        <v>3293.4132920462889</v>
      </c>
      <c r="Y170" s="27">
        <f t="shared" si="106"/>
        <v>3129.1201979603475</v>
      </c>
      <c r="Z170" s="27">
        <f t="shared" si="106"/>
        <v>2951.3240896242828</v>
      </c>
      <c r="AA170" s="27">
        <f t="shared" si="106"/>
        <v>2761.4098472467467</v>
      </c>
      <c r="AB170" s="27">
        <f t="shared" si="106"/>
        <v>2560.2132632345538</v>
      </c>
      <c r="AC170" s="27">
        <f t="shared" si="106"/>
        <v>2354.1799473211445</v>
      </c>
      <c r="AD170" s="27">
        <f t="shared" si="106"/>
        <v>2131.4493640977726</v>
      </c>
      <c r="AE170" s="27">
        <f t="shared" si="106"/>
        <v>1917.7992507321953</v>
      </c>
      <c r="AF170" s="27">
        <f t="shared" si="106"/>
        <v>1614.1429076554871</v>
      </c>
      <c r="AG170" s="27"/>
      <c r="AH170" s="27"/>
    </row>
    <row r="171" spans="1:34" x14ac:dyDescent="0.25">
      <c r="B171" s="3">
        <f t="shared" ref="B171:AF171" si="107">$C18*EXP(-B$168/$A18/EXP(-$C$126))</f>
        <v>2.2443036313661888E-2</v>
      </c>
      <c r="C171" s="3">
        <f t="shared" si="107"/>
        <v>2.2129974625870182E-2</v>
      </c>
      <c r="D171" s="3">
        <f t="shared" si="107"/>
        <v>1.9229763983620848E-2</v>
      </c>
      <c r="E171" s="3">
        <f t="shared" si="107"/>
        <v>4.7195906697629301E-3</v>
      </c>
      <c r="F171" s="3">
        <f t="shared" si="107"/>
        <v>3.7428992167165179E-9</v>
      </c>
      <c r="G171" s="3">
        <f t="shared" si="107"/>
        <v>3.6833766154235471E-70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5.0929923885818934E-2</v>
      </c>
      <c r="C172" s="3">
        <f t="shared" si="108"/>
        <v>5.0929923702557944E-2</v>
      </c>
      <c r="D172" s="3">
        <f t="shared" si="108"/>
        <v>5.0929921869948096E-2</v>
      </c>
      <c r="E172" s="3">
        <f t="shared" si="108"/>
        <v>5.0929903543853253E-2</v>
      </c>
      <c r="F172" s="3">
        <f t="shared" si="108"/>
        <v>5.0929720283267504E-2</v>
      </c>
      <c r="G172" s="3">
        <f t="shared" si="108"/>
        <v>5.0927887713677962E-2</v>
      </c>
      <c r="H172" s="3">
        <f t="shared" si="108"/>
        <v>5.0909565644097099E-2</v>
      </c>
      <c r="I172" s="3">
        <f t="shared" si="108"/>
        <v>5.0726707097408688E-2</v>
      </c>
      <c r="J172" s="3">
        <f t="shared" si="108"/>
        <v>4.8933858993638737E-2</v>
      </c>
      <c r="K172" s="3">
        <f t="shared" si="108"/>
        <v>3.4145809745297455E-2</v>
      </c>
      <c r="L172" s="3">
        <f t="shared" si="108"/>
        <v>9.3458093226471233E-4</v>
      </c>
      <c r="M172" s="3">
        <f t="shared" si="108"/>
        <v>2.2050168643590979E-19</v>
      </c>
      <c r="N172" s="3">
        <f t="shared" si="108"/>
        <v>1.17858770994795E-175</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9.6872855227515351E-3</v>
      </c>
      <c r="C173" s="3">
        <f t="shared" si="109"/>
        <v>9.6872855196070765E-3</v>
      </c>
      <c r="D173" s="3">
        <f t="shared" si="109"/>
        <v>9.6872854881625056E-3</v>
      </c>
      <c r="E173" s="3">
        <f t="shared" si="109"/>
        <v>9.6872851737167913E-3</v>
      </c>
      <c r="F173" s="3">
        <f t="shared" si="109"/>
        <v>9.6872820292602038E-3</v>
      </c>
      <c r="G173" s="3">
        <f t="shared" si="109"/>
        <v>9.6872505847504699E-3</v>
      </c>
      <c r="H173" s="3">
        <f t="shared" si="109"/>
        <v>9.6869361452668022E-3</v>
      </c>
      <c r="I173" s="3">
        <f t="shared" si="109"/>
        <v>9.6837923117287887E-3</v>
      </c>
      <c r="J173" s="3">
        <f t="shared" si="109"/>
        <v>9.6524100388620249E-3</v>
      </c>
      <c r="K173" s="3">
        <f t="shared" si="109"/>
        <v>9.344126810701181E-3</v>
      </c>
      <c r="L173" s="3">
        <f t="shared" si="109"/>
        <v>6.7541131813066953E-3</v>
      </c>
      <c r="M173" s="3">
        <f t="shared" si="109"/>
        <v>2.6294470948083897E-4</v>
      </c>
      <c r="N173" s="3">
        <f t="shared" si="109"/>
        <v>2.1029331552548534E-18</v>
      </c>
      <c r="O173" s="3">
        <f t="shared" si="109"/>
        <v>2.2513124830182359E-159</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2.536540091264498E-2</v>
      </c>
      <c r="C174" s="3">
        <f t="shared" si="110"/>
        <v>2.5365400911902251E-2</v>
      </c>
      <c r="D174" s="3">
        <f t="shared" si="110"/>
        <v>2.5365400904474936E-2</v>
      </c>
      <c r="E174" s="3">
        <f t="shared" si="110"/>
        <v>2.5365400830201772E-2</v>
      </c>
      <c r="F174" s="3">
        <f t="shared" si="110"/>
        <v>2.536540008747017E-2</v>
      </c>
      <c r="G174" s="3">
        <f t="shared" si="110"/>
        <v>2.5365392660155341E-2</v>
      </c>
      <c r="H174" s="3">
        <f t="shared" si="110"/>
        <v>2.5365318387126676E-2</v>
      </c>
      <c r="I174" s="3">
        <f t="shared" si="110"/>
        <v>2.536457566880132E-2</v>
      </c>
      <c r="J174" s="3">
        <f t="shared" si="110"/>
        <v>2.5357149681551418E-2</v>
      </c>
      <c r="K174" s="3">
        <f t="shared" si="110"/>
        <v>2.5283009279941943E-2</v>
      </c>
      <c r="L174" s="3">
        <f t="shared" si="110"/>
        <v>2.4553423924653626E-2</v>
      </c>
      <c r="M174" s="3">
        <f t="shared" si="110"/>
        <v>1.8320825703851004E-2</v>
      </c>
      <c r="N174" s="3">
        <f t="shared" si="110"/>
        <v>9.8011007152845955E-4</v>
      </c>
      <c r="O174" s="3">
        <f t="shared" si="110"/>
        <v>1.8817977346834029E-16</v>
      </c>
      <c r="P174" s="3">
        <f t="shared" si="110"/>
        <v>1.2810138798928654E-143</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2.3099378117211525E-2</v>
      </c>
      <c r="C175" s="3">
        <f t="shared" si="111"/>
        <v>2.3099378117150512E-2</v>
      </c>
      <c r="D175" s="3">
        <f t="shared" si="111"/>
        <v>2.3099378116540361E-2</v>
      </c>
      <c r="E175" s="3">
        <f t="shared" si="111"/>
        <v>2.3099378110438853E-2</v>
      </c>
      <c r="F175" s="3">
        <f t="shared" si="111"/>
        <v>2.3099378049423792E-2</v>
      </c>
      <c r="G175" s="3">
        <f t="shared" si="111"/>
        <v>2.3099377439273178E-2</v>
      </c>
      <c r="H175" s="3">
        <f t="shared" si="111"/>
        <v>2.3099371337767939E-2</v>
      </c>
      <c r="I175" s="3">
        <f t="shared" si="111"/>
        <v>2.3099310322804163E-2</v>
      </c>
      <c r="J175" s="3">
        <f t="shared" si="111"/>
        <v>2.3098700182030484E-2</v>
      </c>
      <c r="K175" s="3">
        <f t="shared" si="111"/>
        <v>2.3092599660611241E-2</v>
      </c>
      <c r="L175" s="3">
        <f t="shared" si="111"/>
        <v>2.3031682991615191E-2</v>
      </c>
      <c r="M175" s="3">
        <f t="shared" si="111"/>
        <v>2.2431284891982369E-2</v>
      </c>
      <c r="N175" s="3">
        <f t="shared" si="111"/>
        <v>1.7224194488397956E-2</v>
      </c>
      <c r="O175" s="3">
        <f t="shared" si="111"/>
        <v>1.227401403662932E-3</v>
      </c>
      <c r="P175" s="3">
        <f t="shared" si="111"/>
        <v>4.144418126929549E-15</v>
      </c>
      <c r="Q175" s="3">
        <f t="shared" si="111"/>
        <v>7.9842302753061102E-130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2.7649262864665569E-2</v>
      </c>
      <c r="C176" s="3">
        <f t="shared" si="112"/>
        <v>2.7649262864658981E-2</v>
      </c>
      <c r="D176" s="3">
        <f t="shared" si="112"/>
        <v>2.7649262864593099E-2</v>
      </c>
      <c r="E176" s="3">
        <f t="shared" si="112"/>
        <v>2.7649262863934279E-2</v>
      </c>
      <c r="F176" s="3">
        <f t="shared" si="112"/>
        <v>2.7649262857346077E-2</v>
      </c>
      <c r="G176" s="3">
        <f t="shared" si="112"/>
        <v>2.7649262791464055E-2</v>
      </c>
      <c r="H176" s="3">
        <f t="shared" si="112"/>
        <v>2.7649262132643845E-2</v>
      </c>
      <c r="I176" s="3">
        <f t="shared" si="112"/>
        <v>2.7649255544442614E-2</v>
      </c>
      <c r="J176" s="3">
        <f t="shared" si="112"/>
        <v>2.7649189662516633E-2</v>
      </c>
      <c r="K176" s="3">
        <f t="shared" si="112"/>
        <v>2.7648530851890746E-2</v>
      </c>
      <c r="L176" s="3">
        <f t="shared" si="112"/>
        <v>2.7641943608949195E-2</v>
      </c>
      <c r="M176" s="3">
        <f t="shared" si="112"/>
        <v>2.757615743519664E-2</v>
      </c>
      <c r="N176" s="3">
        <f t="shared" si="112"/>
        <v>2.6926845700864673E-2</v>
      </c>
      <c r="O176" s="3">
        <f t="shared" si="112"/>
        <v>2.1217919647575061E-2</v>
      </c>
      <c r="P176" s="3">
        <f t="shared" si="112"/>
        <v>1.9582854057449465E-3</v>
      </c>
      <c r="Q176" s="3">
        <f t="shared" si="112"/>
        <v>8.7822916711749844E-14</v>
      </c>
      <c r="R176" s="3">
        <f t="shared" si="112"/>
        <v>2.8901910255681429E-117</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2.9567803961689815E-2</v>
      </c>
      <c r="C177" s="3">
        <f t="shared" si="113"/>
        <v>2.9567803961689183E-2</v>
      </c>
      <c r="D177" s="3">
        <f t="shared" si="113"/>
        <v>2.9567803961682827E-2</v>
      </c>
      <c r="E177" s="3">
        <f t="shared" si="113"/>
        <v>2.956780396161927E-2</v>
      </c>
      <c r="F177" s="3">
        <f t="shared" si="113"/>
        <v>2.9567803960983723E-2</v>
      </c>
      <c r="G177" s="3">
        <f t="shared" si="113"/>
        <v>2.9567803954628234E-2</v>
      </c>
      <c r="H177" s="3">
        <f t="shared" si="113"/>
        <v>2.9567803891073333E-2</v>
      </c>
      <c r="I177" s="3">
        <f t="shared" si="113"/>
        <v>2.9567803255524369E-2</v>
      </c>
      <c r="J177" s="3">
        <f t="shared" si="113"/>
        <v>2.9567796900035449E-2</v>
      </c>
      <c r="K177" s="3">
        <f t="shared" si="113"/>
        <v>2.9567733345221406E-2</v>
      </c>
      <c r="L177" s="3">
        <f t="shared" si="113"/>
        <v>2.9567097804594402E-2</v>
      </c>
      <c r="M177" s="3">
        <f t="shared" si="113"/>
        <v>2.9560743149606897E-2</v>
      </c>
      <c r="N177" s="3">
        <f t="shared" si="113"/>
        <v>2.94972716682693E-2</v>
      </c>
      <c r="O177" s="3">
        <f t="shared" si="113"/>
        <v>2.887000434824203E-2</v>
      </c>
      <c r="P177" s="3">
        <f t="shared" si="113"/>
        <v>2.3286105557894055E-2</v>
      </c>
      <c r="Q177" s="3">
        <f t="shared" si="113"/>
        <v>2.7139196600143522E-3</v>
      </c>
      <c r="R177" s="3">
        <f t="shared" si="113"/>
        <v>1.2548685648888456E-12</v>
      </c>
      <c r="S177" s="3">
        <f t="shared" si="113"/>
        <v>5.6054537065955146E-106</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2.9957814581893644E-2</v>
      </c>
      <c r="C178" s="3">
        <f t="shared" si="114"/>
        <v>2.9957814581893588E-2</v>
      </c>
      <c r="D178" s="3">
        <f t="shared" si="114"/>
        <v>2.9957814581893005E-2</v>
      </c>
      <c r="E178" s="3">
        <f t="shared" si="114"/>
        <v>2.9957814581887194E-2</v>
      </c>
      <c r="F178" s="3">
        <f t="shared" si="114"/>
        <v>2.9957814581829108E-2</v>
      </c>
      <c r="G178" s="3">
        <f t="shared" si="114"/>
        <v>2.9957814581248226E-2</v>
      </c>
      <c r="H178" s="3">
        <f t="shared" si="114"/>
        <v>2.9957814575439425E-2</v>
      </c>
      <c r="I178" s="3">
        <f t="shared" si="114"/>
        <v>2.995781451735139E-2</v>
      </c>
      <c r="J178" s="3">
        <f t="shared" si="114"/>
        <v>2.9957813936471067E-2</v>
      </c>
      <c r="K178" s="3">
        <f t="shared" si="114"/>
        <v>2.9957808127668434E-2</v>
      </c>
      <c r="L178" s="3">
        <f t="shared" si="114"/>
        <v>2.9957750039704051E-2</v>
      </c>
      <c r="M178" s="3">
        <f t="shared" si="114"/>
        <v>2.9957169166254932E-2</v>
      </c>
      <c r="N178" s="3">
        <f t="shared" si="114"/>
        <v>2.9951361051192432E-2</v>
      </c>
      <c r="O178" s="3">
        <f t="shared" si="114"/>
        <v>2.9893341799015566E-2</v>
      </c>
      <c r="P178" s="3">
        <f t="shared" si="114"/>
        <v>2.9319294943772948E-2</v>
      </c>
      <c r="Q178" s="3">
        <f t="shared" si="114"/>
        <v>2.4151497701039974E-2</v>
      </c>
      <c r="R178" s="3">
        <f t="shared" si="114"/>
        <v>3.4741576428224236E-3</v>
      </c>
      <c r="S178" s="3">
        <f t="shared" si="114"/>
        <v>1.3179655368986412E-11</v>
      </c>
      <c r="T178" s="3">
        <f t="shared" si="114"/>
        <v>8.1367202643456116E-96</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2.7071321334420872E-2</v>
      </c>
      <c r="C179" s="3">
        <f t="shared" si="115"/>
        <v>2.7071321334420865E-2</v>
      </c>
      <c r="D179" s="3">
        <f t="shared" si="115"/>
        <v>2.7071321334420816E-2</v>
      </c>
      <c r="E179" s="3">
        <f t="shared" si="115"/>
        <v>2.7071321334420344E-2</v>
      </c>
      <c r="F179" s="3">
        <f t="shared" si="115"/>
        <v>2.7071321334415609E-2</v>
      </c>
      <c r="G179" s="3">
        <f t="shared" si="115"/>
        <v>2.7071321334368261E-2</v>
      </c>
      <c r="H179" s="3">
        <f t="shared" si="115"/>
        <v>2.7071321333894748E-2</v>
      </c>
      <c r="I179" s="3">
        <f t="shared" si="115"/>
        <v>2.7071321329159608E-2</v>
      </c>
      <c r="J179" s="3">
        <f t="shared" si="115"/>
        <v>2.7071321281808232E-2</v>
      </c>
      <c r="K179" s="3">
        <f t="shared" si="115"/>
        <v>2.7071320808294493E-2</v>
      </c>
      <c r="L179" s="3">
        <f t="shared" si="115"/>
        <v>2.7071316073157568E-2</v>
      </c>
      <c r="M179" s="3">
        <f t="shared" si="115"/>
        <v>2.7071268721833859E-2</v>
      </c>
      <c r="N179" s="3">
        <f t="shared" si="115"/>
        <v>2.7070795213152029E-2</v>
      </c>
      <c r="O179" s="3">
        <f t="shared" si="115"/>
        <v>2.7066060581832488E-2</v>
      </c>
      <c r="P179" s="3">
        <f t="shared" si="115"/>
        <v>2.7018759789046266E-2</v>
      </c>
      <c r="Q179" s="3">
        <f t="shared" si="115"/>
        <v>2.6550274579547433E-2</v>
      </c>
      <c r="R179" s="3">
        <f t="shared" si="115"/>
        <v>2.2289744133630964E-2</v>
      </c>
      <c r="S179" s="3">
        <f t="shared" si="115"/>
        <v>3.8767317096106654E-3</v>
      </c>
      <c r="T179" s="3">
        <f t="shared" si="115"/>
        <v>9.8191157646985935E-11</v>
      </c>
      <c r="U179" s="3">
        <f t="shared" si="115"/>
        <v>1.0669368554460098E-86</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3.2010538564501728E-2</v>
      </c>
      <c r="C180" s="3">
        <f t="shared" si="116"/>
        <v>3.2010538564501728E-2</v>
      </c>
      <c r="D180" s="3">
        <f t="shared" si="116"/>
        <v>3.2010538564501721E-2</v>
      </c>
      <c r="E180" s="3">
        <f t="shared" si="116"/>
        <v>3.2010538564501673E-2</v>
      </c>
      <c r="F180" s="3">
        <f t="shared" si="116"/>
        <v>3.2010538564501166E-2</v>
      </c>
      <c r="G180" s="3">
        <f t="shared" si="116"/>
        <v>3.2010538564496115E-2</v>
      </c>
      <c r="H180" s="3">
        <f t="shared" si="116"/>
        <v>3.2010538564445606E-2</v>
      </c>
      <c r="I180" s="3">
        <f t="shared" si="116"/>
        <v>3.2010538563940524E-2</v>
      </c>
      <c r="J180" s="3">
        <f t="shared" si="116"/>
        <v>3.2010538558889697E-2</v>
      </c>
      <c r="K180" s="3">
        <f t="shared" si="116"/>
        <v>3.2010538508381405E-2</v>
      </c>
      <c r="L180" s="3">
        <f t="shared" si="116"/>
        <v>3.2010538003298457E-2</v>
      </c>
      <c r="M180" s="3">
        <f t="shared" si="116"/>
        <v>3.2010532952469466E-2</v>
      </c>
      <c r="N180" s="3">
        <f t="shared" si="116"/>
        <v>3.2010482444223387E-2</v>
      </c>
      <c r="O180" s="3">
        <f t="shared" si="116"/>
        <v>3.2009977366145762E-2</v>
      </c>
      <c r="P180" s="3">
        <f t="shared" si="116"/>
        <v>3.2004927023664996E-2</v>
      </c>
      <c r="Q180" s="3">
        <f t="shared" si="116"/>
        <v>3.1954467402823754E-2</v>
      </c>
      <c r="R180" s="3">
        <f t="shared" si="116"/>
        <v>3.1454226125444101E-2</v>
      </c>
      <c r="S180" s="3">
        <f t="shared" si="116"/>
        <v>2.6862919885344911E-2</v>
      </c>
      <c r="T180" s="3">
        <f t="shared" si="116"/>
        <v>5.5449206974377604E-3</v>
      </c>
      <c r="U180" s="3">
        <f t="shared" si="116"/>
        <v>7.7860388048926916E-10</v>
      </c>
      <c r="V180" s="3">
        <f t="shared" si="116"/>
        <v>2.3202180945653037E-78</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4.0907961623415999E-2</v>
      </c>
      <c r="C181" s="3">
        <f t="shared" si="117"/>
        <v>4.0907961623415999E-2</v>
      </c>
      <c r="D181" s="3">
        <f t="shared" si="117"/>
        <v>4.0907961623415999E-2</v>
      </c>
      <c r="E181" s="3">
        <f t="shared" si="117"/>
        <v>4.0907961623415992E-2</v>
      </c>
      <c r="F181" s="3">
        <f t="shared" si="117"/>
        <v>4.0907961623415937E-2</v>
      </c>
      <c r="G181" s="3">
        <f t="shared" si="117"/>
        <v>4.0907961623415354E-2</v>
      </c>
      <c r="H181" s="3">
        <f t="shared" si="117"/>
        <v>4.0907961623409525E-2</v>
      </c>
      <c r="I181" s="3">
        <f t="shared" si="117"/>
        <v>4.0907961623351301E-2</v>
      </c>
      <c r="J181" s="3">
        <f t="shared" si="117"/>
        <v>4.0907961622769037E-2</v>
      </c>
      <c r="K181" s="3">
        <f t="shared" si="117"/>
        <v>4.0907961616946334E-2</v>
      </c>
      <c r="L181" s="3">
        <f t="shared" si="117"/>
        <v>4.0907961558719369E-2</v>
      </c>
      <c r="M181" s="3">
        <f t="shared" si="117"/>
        <v>4.0907960976449727E-2</v>
      </c>
      <c r="N181" s="3">
        <f t="shared" si="117"/>
        <v>4.0907955153753693E-2</v>
      </c>
      <c r="O181" s="3">
        <f t="shared" si="117"/>
        <v>4.0907896926839001E-2</v>
      </c>
      <c r="P181" s="3">
        <f t="shared" si="117"/>
        <v>4.0907314662250317E-2</v>
      </c>
      <c r="Q181" s="3">
        <f t="shared" si="117"/>
        <v>4.0901492472167122E-2</v>
      </c>
      <c r="R181" s="3">
        <f t="shared" si="117"/>
        <v>4.0843316127699425E-2</v>
      </c>
      <c r="S181" s="3">
        <f t="shared" si="117"/>
        <v>4.0266084418487391E-2</v>
      </c>
      <c r="T181" s="3">
        <f t="shared" si="117"/>
        <v>3.4923956479762965E-2</v>
      </c>
      <c r="U181" s="3">
        <f t="shared" si="117"/>
        <v>8.4132505940261223E-3</v>
      </c>
      <c r="V181" s="3">
        <f t="shared" si="117"/>
        <v>5.5381879423603808E-9</v>
      </c>
      <c r="W181" s="3">
        <f t="shared" si="117"/>
        <v>8.460700832592342E-71</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4.0610124346011141E-2</v>
      </c>
      <c r="C182" s="3">
        <f t="shared" si="118"/>
        <v>4.0610124346011141E-2</v>
      </c>
      <c r="D182" s="3">
        <f t="shared" si="118"/>
        <v>4.0610124346011141E-2</v>
      </c>
      <c r="E182" s="3">
        <f t="shared" si="118"/>
        <v>4.0610124346011141E-2</v>
      </c>
      <c r="F182" s="3">
        <f t="shared" si="118"/>
        <v>4.0610124346011134E-2</v>
      </c>
      <c r="G182" s="3">
        <f t="shared" si="118"/>
        <v>4.0610124346011085E-2</v>
      </c>
      <c r="H182" s="3">
        <f t="shared" si="118"/>
        <v>4.0610124346010558E-2</v>
      </c>
      <c r="I182" s="3">
        <f t="shared" si="118"/>
        <v>4.0610124346005347E-2</v>
      </c>
      <c r="J182" s="3">
        <f t="shared" si="118"/>
        <v>4.0610124345953208E-2</v>
      </c>
      <c r="K182" s="3">
        <f t="shared" si="118"/>
        <v>4.0610124345431771E-2</v>
      </c>
      <c r="L182" s="3">
        <f t="shared" si="118"/>
        <v>4.0610124340217456E-2</v>
      </c>
      <c r="M182" s="3">
        <f t="shared" si="118"/>
        <v>4.0610124288074312E-2</v>
      </c>
      <c r="N182" s="3">
        <f t="shared" si="118"/>
        <v>4.0610123766642865E-2</v>
      </c>
      <c r="O182" s="3">
        <f t="shared" si="118"/>
        <v>4.0610118552328711E-2</v>
      </c>
      <c r="P182" s="3">
        <f t="shared" si="118"/>
        <v>4.0610066409224072E-2</v>
      </c>
      <c r="Q182" s="3">
        <f t="shared" si="118"/>
        <v>4.0609544981859973E-2</v>
      </c>
      <c r="R182" s="3">
        <f t="shared" si="118"/>
        <v>4.0604331076432625E-2</v>
      </c>
      <c r="S182" s="3">
        <f t="shared" si="118"/>
        <v>4.05522288260384E-2</v>
      </c>
      <c r="T182" s="3">
        <f t="shared" si="118"/>
        <v>4.003486928520867E-2</v>
      </c>
      <c r="U182" s="3">
        <f t="shared" si="118"/>
        <v>3.5210749947746589E-2</v>
      </c>
      <c r="V182" s="3">
        <f t="shared" si="118"/>
        <v>9.7508814825354589E-3</v>
      </c>
      <c r="W182" s="3">
        <f t="shared" si="118"/>
        <v>2.586603760954717E-8</v>
      </c>
      <c r="X182" s="3">
        <f t="shared" si="118"/>
        <v>4.4626227343411605E-64</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2.925116065031759E-2</v>
      </c>
      <c r="C183" s="3">
        <f t="shared" si="119"/>
        <v>2.925116065031759E-2</v>
      </c>
      <c r="D183" s="3">
        <f t="shared" si="119"/>
        <v>2.925116065031759E-2</v>
      </c>
      <c r="E183" s="3">
        <f t="shared" si="119"/>
        <v>2.925116065031759E-2</v>
      </c>
      <c r="F183" s="3">
        <f t="shared" si="119"/>
        <v>2.925116065031759E-2</v>
      </c>
      <c r="G183" s="3">
        <f t="shared" si="119"/>
        <v>2.9251160650317586E-2</v>
      </c>
      <c r="H183" s="3">
        <f t="shared" si="119"/>
        <v>2.9251160650317552E-2</v>
      </c>
      <c r="I183" s="3">
        <f t="shared" si="119"/>
        <v>2.9251160650317212E-2</v>
      </c>
      <c r="J183" s="3">
        <f t="shared" si="119"/>
        <v>2.9251160650313825E-2</v>
      </c>
      <c r="K183" s="3">
        <f t="shared" si="119"/>
        <v>2.9251160650279943E-2</v>
      </c>
      <c r="L183" s="3">
        <f t="shared" si="119"/>
        <v>2.9251160649941137E-2</v>
      </c>
      <c r="M183" s="3">
        <f t="shared" si="119"/>
        <v>2.9251160646553063E-2</v>
      </c>
      <c r="N183" s="3">
        <f t="shared" si="119"/>
        <v>2.9251160612672349E-2</v>
      </c>
      <c r="O183" s="3">
        <f t="shared" si="119"/>
        <v>2.9251160273865172E-2</v>
      </c>
      <c r="P183" s="3">
        <f t="shared" si="119"/>
        <v>2.9251156885793644E-2</v>
      </c>
      <c r="Q183" s="3">
        <f t="shared" si="119"/>
        <v>2.9251123005099942E-2</v>
      </c>
      <c r="R183" s="3">
        <f t="shared" si="119"/>
        <v>2.9250784200321255E-2</v>
      </c>
      <c r="S183" s="3">
        <f t="shared" si="119"/>
        <v>2.9247396368360577E-2</v>
      </c>
      <c r="T183" s="3">
        <f t="shared" si="119"/>
        <v>2.921353962212447E-2</v>
      </c>
      <c r="U183" s="3">
        <f t="shared" si="119"/>
        <v>2.8877120279932198E-2</v>
      </c>
      <c r="V183" s="3">
        <f t="shared" si="119"/>
        <v>2.5718811222893649E-2</v>
      </c>
      <c r="W183" s="3">
        <f t="shared" si="119"/>
        <v>8.0764587611207549E-3</v>
      </c>
      <c r="X183" s="3">
        <f t="shared" si="119"/>
        <v>7.5322004912285354E-8</v>
      </c>
      <c r="Y183" s="3">
        <f t="shared" si="119"/>
        <v>3.7491324857928565E-58</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3.1259582937297976E-2</v>
      </c>
      <c r="C184" s="3">
        <f t="shared" si="120"/>
        <v>3.1259582937297976E-2</v>
      </c>
      <c r="D184" s="3">
        <f t="shared" si="120"/>
        <v>3.1259582937297976E-2</v>
      </c>
      <c r="E184" s="3">
        <f t="shared" si="120"/>
        <v>3.1259582937297976E-2</v>
      </c>
      <c r="F184" s="3">
        <f t="shared" si="120"/>
        <v>3.1259582937297976E-2</v>
      </c>
      <c r="G184" s="3">
        <f t="shared" si="120"/>
        <v>3.1259582937297976E-2</v>
      </c>
      <c r="H184" s="3">
        <f t="shared" si="120"/>
        <v>3.1259582937297969E-2</v>
      </c>
      <c r="I184" s="3">
        <f t="shared" si="120"/>
        <v>3.1259582937297942E-2</v>
      </c>
      <c r="J184" s="3">
        <f t="shared" si="120"/>
        <v>3.1259582937297609E-2</v>
      </c>
      <c r="K184" s="3">
        <f t="shared" si="120"/>
        <v>3.1259582937294347E-2</v>
      </c>
      <c r="L184" s="3">
        <f t="shared" si="120"/>
        <v>3.1259582937261686E-2</v>
      </c>
      <c r="M184" s="3">
        <f t="shared" si="120"/>
        <v>3.1259582936935065E-2</v>
      </c>
      <c r="N184" s="3">
        <f t="shared" si="120"/>
        <v>3.1259582933668893E-2</v>
      </c>
      <c r="O184" s="3">
        <f t="shared" si="120"/>
        <v>3.1259582901007159E-2</v>
      </c>
      <c r="P184" s="3">
        <f t="shared" si="120"/>
        <v>3.1259582574389794E-2</v>
      </c>
      <c r="Q184" s="3">
        <f t="shared" si="120"/>
        <v>3.1259579308216372E-2</v>
      </c>
      <c r="R184" s="3">
        <f t="shared" si="120"/>
        <v>3.1259546646500894E-2</v>
      </c>
      <c r="S184" s="3">
        <f t="shared" si="120"/>
        <v>3.125922003122307E-2</v>
      </c>
      <c r="T184" s="3">
        <f t="shared" si="120"/>
        <v>3.1255954066134087E-2</v>
      </c>
      <c r="U184" s="3">
        <f t="shared" si="120"/>
        <v>3.1223313176914978E-2</v>
      </c>
      <c r="V184" s="3">
        <f t="shared" si="120"/>
        <v>3.0898773218830933E-2</v>
      </c>
      <c r="W184" s="3">
        <f t="shared" si="120"/>
        <v>2.78332393376098E-2</v>
      </c>
      <c r="X184" s="3">
        <f t="shared" si="120"/>
        <v>9.7901405449168349E-3</v>
      </c>
      <c r="Y184" s="3">
        <f t="shared" si="120"/>
        <v>2.8381846712539551E-7</v>
      </c>
      <c r="Z184" s="3">
        <f t="shared" si="120"/>
        <v>1.1900299368095469E-52</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2.9704645444291411E-2</v>
      </c>
      <c r="C185" s="3">
        <f t="shared" si="121"/>
        <v>2.9704645444291411E-2</v>
      </c>
      <c r="D185" s="3">
        <f t="shared" si="121"/>
        <v>2.9704645444291411E-2</v>
      </c>
      <c r="E185" s="3">
        <f t="shared" si="121"/>
        <v>2.9704645444291411E-2</v>
      </c>
      <c r="F185" s="3">
        <f t="shared" si="121"/>
        <v>2.9704645444291411E-2</v>
      </c>
      <c r="G185" s="3">
        <f t="shared" si="121"/>
        <v>2.9704645444291411E-2</v>
      </c>
      <c r="H185" s="3">
        <f t="shared" si="121"/>
        <v>2.9704645444291411E-2</v>
      </c>
      <c r="I185" s="3">
        <f t="shared" si="121"/>
        <v>2.9704645444291407E-2</v>
      </c>
      <c r="J185" s="3">
        <f t="shared" si="121"/>
        <v>2.970464544429138E-2</v>
      </c>
      <c r="K185" s="3">
        <f t="shared" si="121"/>
        <v>2.9704645444291102E-2</v>
      </c>
      <c r="L185" s="3">
        <f t="shared" si="121"/>
        <v>2.9704645444288302E-2</v>
      </c>
      <c r="M185" s="3">
        <f t="shared" si="121"/>
        <v>2.97046454442603E-2</v>
      </c>
      <c r="N185" s="3">
        <f t="shared" si="121"/>
        <v>2.9704645443980323E-2</v>
      </c>
      <c r="O185" s="3">
        <f t="shared" si="121"/>
        <v>2.9704645441180521E-2</v>
      </c>
      <c r="P185" s="3">
        <f t="shared" si="121"/>
        <v>2.9704645413182521E-2</v>
      </c>
      <c r="Q185" s="3">
        <f t="shared" si="121"/>
        <v>2.9704645133202492E-2</v>
      </c>
      <c r="R185" s="3">
        <f t="shared" si="121"/>
        <v>2.9704642333402368E-2</v>
      </c>
      <c r="S185" s="3">
        <f t="shared" si="121"/>
        <v>2.9704614335415668E-2</v>
      </c>
      <c r="T185" s="3">
        <f t="shared" si="121"/>
        <v>2.9704334357000043E-2</v>
      </c>
      <c r="U185" s="3">
        <f t="shared" si="121"/>
        <v>2.9701534717979948E-2</v>
      </c>
      <c r="V185" s="3">
        <f t="shared" si="121"/>
        <v>2.9673552836333616E-2</v>
      </c>
      <c r="W185" s="3">
        <f t="shared" si="121"/>
        <v>2.9395179828320638E-2</v>
      </c>
      <c r="X185" s="3">
        <f t="shared" si="121"/>
        <v>2.6751113061861374E-2</v>
      </c>
      <c r="Y185" s="3">
        <f t="shared" si="121"/>
        <v>1.0423155380043231E-2</v>
      </c>
      <c r="Z185" s="3">
        <f t="shared" si="121"/>
        <v>8.4056782536401168E-7</v>
      </c>
      <c r="AA185" s="3">
        <f t="shared" si="121"/>
        <v>9.779311207668201E-48</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3.5282603781975501E-2</v>
      </c>
      <c r="C186" s="3">
        <f t="shared" si="122"/>
        <v>3.5282603781975501E-2</v>
      </c>
      <c r="D186" s="3">
        <f t="shared" si="122"/>
        <v>3.5282603781975501E-2</v>
      </c>
      <c r="E186" s="3">
        <f t="shared" si="122"/>
        <v>3.5282603781975501E-2</v>
      </c>
      <c r="F186" s="3">
        <f t="shared" si="122"/>
        <v>3.5282603781975501E-2</v>
      </c>
      <c r="G186" s="3">
        <f t="shared" si="122"/>
        <v>3.5282603781975501E-2</v>
      </c>
      <c r="H186" s="3">
        <f t="shared" si="122"/>
        <v>3.5282603781975501E-2</v>
      </c>
      <c r="I186" s="3">
        <f t="shared" si="122"/>
        <v>3.5282603781975501E-2</v>
      </c>
      <c r="J186" s="3">
        <f t="shared" si="122"/>
        <v>3.5282603781975494E-2</v>
      </c>
      <c r="K186" s="3">
        <f t="shared" si="122"/>
        <v>3.5282603781975466E-2</v>
      </c>
      <c r="L186" s="3">
        <f t="shared" si="122"/>
        <v>3.5282603781975168E-2</v>
      </c>
      <c r="M186" s="3">
        <f t="shared" si="122"/>
        <v>3.528260378197217E-2</v>
      </c>
      <c r="N186" s="3">
        <f t="shared" si="122"/>
        <v>3.5282603781942166E-2</v>
      </c>
      <c r="O186" s="3">
        <f t="shared" si="122"/>
        <v>3.5282603781642177E-2</v>
      </c>
      <c r="P186" s="3">
        <f t="shared" si="122"/>
        <v>3.5282603778642257E-2</v>
      </c>
      <c r="Q186" s="3">
        <f t="shared" si="122"/>
        <v>3.5282603748643039E-2</v>
      </c>
      <c r="R186" s="3">
        <f t="shared" si="122"/>
        <v>3.5282603448650883E-2</v>
      </c>
      <c r="S186" s="3">
        <f t="shared" si="122"/>
        <v>3.5282600448729488E-2</v>
      </c>
      <c r="T186" s="3">
        <f t="shared" si="122"/>
        <v>3.528257044952951E-2</v>
      </c>
      <c r="U186" s="3">
        <f t="shared" si="122"/>
        <v>3.5282270458932619E-2</v>
      </c>
      <c r="V186" s="3">
        <f t="shared" si="122"/>
        <v>3.5279270693247232E-2</v>
      </c>
      <c r="W186" s="3">
        <f t="shared" si="122"/>
        <v>3.5249287060333902E-2</v>
      </c>
      <c r="X186" s="3">
        <f t="shared" si="122"/>
        <v>3.4950848723417173E-2</v>
      </c>
      <c r="Y186" s="3">
        <f t="shared" si="122"/>
        <v>3.2101964811212157E-2</v>
      </c>
      <c r="Z186" s="3">
        <f t="shared" si="122"/>
        <v>1.3717358677060868E-2</v>
      </c>
      <c r="AA186" s="3">
        <f t="shared" si="122"/>
        <v>2.7839363190274857E-6</v>
      </c>
      <c r="AB186" s="3">
        <f t="shared" si="122"/>
        <v>3.3002536431771203E-43</v>
      </c>
      <c r="AC186" s="3">
        <f t="shared" si="122"/>
        <v>0</v>
      </c>
      <c r="AD186" s="3">
        <f t="shared" si="122"/>
        <v>0</v>
      </c>
      <c r="AE186" s="3">
        <f t="shared" si="122"/>
        <v>0</v>
      </c>
      <c r="AF186" s="3">
        <f t="shared" si="122"/>
        <v>0</v>
      </c>
      <c r="AG186" s="3"/>
      <c r="AH186" s="3"/>
    </row>
    <row r="187" spans="2:34" x14ac:dyDescent="0.25">
      <c r="B187" s="3">
        <f t="shared" ref="B187:AF187" si="123">$C34*EXP(-B$168/$A34/EXP(-$C$126))</f>
        <v>3.4987985455608057E-2</v>
      </c>
      <c r="C187" s="3">
        <f t="shared" si="123"/>
        <v>3.4987985455608057E-2</v>
      </c>
      <c r="D187" s="3">
        <f t="shared" si="123"/>
        <v>3.4987985455608057E-2</v>
      </c>
      <c r="E187" s="3">
        <f t="shared" si="123"/>
        <v>3.4987985455608057E-2</v>
      </c>
      <c r="F187" s="3">
        <f t="shared" si="123"/>
        <v>3.4987985455608057E-2</v>
      </c>
      <c r="G187" s="3">
        <f t="shared" si="123"/>
        <v>3.4987985455608057E-2</v>
      </c>
      <c r="H187" s="3">
        <f t="shared" si="123"/>
        <v>3.4987985455608057E-2</v>
      </c>
      <c r="I187" s="3">
        <f t="shared" si="123"/>
        <v>3.4987985455608057E-2</v>
      </c>
      <c r="J187" s="3">
        <f t="shared" si="123"/>
        <v>3.4987985455608057E-2</v>
      </c>
      <c r="K187" s="3">
        <f t="shared" si="123"/>
        <v>3.4987985455608051E-2</v>
      </c>
      <c r="L187" s="3">
        <f t="shared" si="123"/>
        <v>3.498798545560803E-2</v>
      </c>
      <c r="M187" s="3">
        <f t="shared" si="123"/>
        <v>3.4987985455607759E-2</v>
      </c>
      <c r="N187" s="3">
        <f t="shared" si="123"/>
        <v>3.4987985455605074E-2</v>
      </c>
      <c r="O187" s="3">
        <f t="shared" si="123"/>
        <v>3.4987985455578241E-2</v>
      </c>
      <c r="P187" s="3">
        <f t="shared" si="123"/>
        <v>3.4987985455309886E-2</v>
      </c>
      <c r="Q187" s="3">
        <f t="shared" si="123"/>
        <v>3.4987985452626304E-2</v>
      </c>
      <c r="R187" s="3">
        <f t="shared" si="123"/>
        <v>3.4987985425790485E-2</v>
      </c>
      <c r="S187" s="3">
        <f t="shared" si="123"/>
        <v>3.498798515743233E-2</v>
      </c>
      <c r="T187" s="3">
        <f t="shared" si="123"/>
        <v>3.4987982473850897E-2</v>
      </c>
      <c r="U187" s="3">
        <f t="shared" si="123"/>
        <v>3.4987955638047852E-2</v>
      </c>
      <c r="V187" s="3">
        <f t="shared" si="123"/>
        <v>3.4987687281149524E-2</v>
      </c>
      <c r="W187" s="3">
        <f t="shared" si="123"/>
        <v>3.4985003825369669E-2</v>
      </c>
      <c r="X187" s="3">
        <f t="shared" si="123"/>
        <v>3.4958180584704061E-2</v>
      </c>
      <c r="Y187" s="3">
        <f t="shared" si="123"/>
        <v>3.4691076686223385E-2</v>
      </c>
      <c r="Z187" s="3">
        <f t="shared" si="123"/>
        <v>3.2129750568804009E-2</v>
      </c>
      <c r="AA187" s="3">
        <f t="shared" si="123"/>
        <v>1.4921177765380973E-2</v>
      </c>
      <c r="AB187" s="3">
        <f t="shared" si="123"/>
        <v>6.9624262575314262E-6</v>
      </c>
      <c r="AC187" s="3">
        <f t="shared" si="123"/>
        <v>3.4067137856299481E-39</v>
      </c>
      <c r="AD187" s="3">
        <f t="shared" si="123"/>
        <v>0</v>
      </c>
      <c r="AE187" s="3">
        <f t="shared" si="123"/>
        <v>0</v>
      </c>
      <c r="AF187" s="3">
        <f t="shared" si="123"/>
        <v>0</v>
      </c>
      <c r="AG187" s="3"/>
      <c r="AH187" s="3"/>
    </row>
    <row r="188" spans="2:34" x14ac:dyDescent="0.25">
      <c r="B188" s="3">
        <f t="shared" ref="B188:AF188" si="124">$C35*EXP(-B$168/$A35/EXP(-$C$126))</f>
        <v>4.0020818076897231E-2</v>
      </c>
      <c r="C188" s="3">
        <f t="shared" si="124"/>
        <v>4.0020818076897231E-2</v>
      </c>
      <c r="D188" s="3">
        <f t="shared" si="124"/>
        <v>4.0020818076897231E-2</v>
      </c>
      <c r="E188" s="3">
        <f t="shared" si="124"/>
        <v>4.0020818076897231E-2</v>
      </c>
      <c r="F188" s="3">
        <f t="shared" si="124"/>
        <v>4.0020818076897231E-2</v>
      </c>
      <c r="G188" s="3">
        <f t="shared" si="124"/>
        <v>4.0020818076897231E-2</v>
      </c>
      <c r="H188" s="3">
        <f t="shared" si="124"/>
        <v>4.0020818076897231E-2</v>
      </c>
      <c r="I188" s="3">
        <f t="shared" si="124"/>
        <v>4.0020818076897231E-2</v>
      </c>
      <c r="J188" s="3">
        <f t="shared" si="124"/>
        <v>4.0020818076897231E-2</v>
      </c>
      <c r="K188" s="3">
        <f t="shared" si="124"/>
        <v>4.0020818076897231E-2</v>
      </c>
      <c r="L188" s="3">
        <f t="shared" si="124"/>
        <v>4.0020818076897224E-2</v>
      </c>
      <c r="M188" s="3">
        <f t="shared" si="124"/>
        <v>4.0020818076897204E-2</v>
      </c>
      <c r="N188" s="3">
        <f t="shared" si="124"/>
        <v>4.0020818076896926E-2</v>
      </c>
      <c r="O188" s="3">
        <f t="shared" si="124"/>
        <v>4.0020818076894157E-2</v>
      </c>
      <c r="P188" s="3">
        <f t="shared" si="124"/>
        <v>4.0020818076866464E-2</v>
      </c>
      <c r="Q188" s="3">
        <f t="shared" si="124"/>
        <v>4.0020818076589561E-2</v>
      </c>
      <c r="R188" s="3">
        <f t="shared" si="124"/>
        <v>4.0020818073820526E-2</v>
      </c>
      <c r="S188" s="3">
        <f t="shared" si="124"/>
        <v>4.0020818046130176E-2</v>
      </c>
      <c r="T188" s="3">
        <f t="shared" si="124"/>
        <v>4.0020817769226696E-2</v>
      </c>
      <c r="U188" s="3">
        <f t="shared" si="124"/>
        <v>4.0020815000192007E-2</v>
      </c>
      <c r="V188" s="3">
        <f t="shared" si="124"/>
        <v>4.002078730985565E-2</v>
      </c>
      <c r="W188" s="3">
        <f t="shared" si="124"/>
        <v>4.0020510407545819E-2</v>
      </c>
      <c r="X188" s="3">
        <f t="shared" si="124"/>
        <v>4.0017741489818473E-2</v>
      </c>
      <c r="Y188" s="3">
        <f t="shared" si="124"/>
        <v>3.999006284695053E-2</v>
      </c>
      <c r="Z188" s="3">
        <f t="shared" si="124"/>
        <v>3.9714327166966705E-2</v>
      </c>
      <c r="AA188" s="3">
        <f t="shared" si="124"/>
        <v>3.7059404353558464E-2</v>
      </c>
      <c r="AB188" s="3">
        <f t="shared" si="124"/>
        <v>1.8552852420967884E-2</v>
      </c>
      <c r="AC188" s="3">
        <f t="shared" si="124"/>
        <v>1.8345655862102029E-5</v>
      </c>
      <c r="AD188" s="3">
        <f t="shared" si="124"/>
        <v>1.6396787480137315E-35</v>
      </c>
      <c r="AE188" s="3">
        <f t="shared" si="124"/>
        <v>0</v>
      </c>
      <c r="AF188" s="3">
        <f t="shared" si="124"/>
        <v>0</v>
      </c>
      <c r="AG188" s="3"/>
      <c r="AH188" s="3"/>
    </row>
    <row r="189" spans="2:34" x14ac:dyDescent="0.25">
      <c r="B189" s="3">
        <f t="shared" ref="B189:AF189" si="125">$C36*EXP(-B$168/$A36/EXP(-$C$126))</f>
        <v>3.51305921997421E-2</v>
      </c>
      <c r="C189" s="3">
        <f t="shared" si="125"/>
        <v>3.51305921997421E-2</v>
      </c>
      <c r="D189" s="3">
        <f t="shared" si="125"/>
        <v>3.51305921997421E-2</v>
      </c>
      <c r="E189" s="3">
        <f t="shared" si="125"/>
        <v>3.51305921997421E-2</v>
      </c>
      <c r="F189" s="3">
        <f t="shared" si="125"/>
        <v>3.51305921997421E-2</v>
      </c>
      <c r="G189" s="3">
        <f t="shared" si="125"/>
        <v>3.51305921997421E-2</v>
      </c>
      <c r="H189" s="3">
        <f t="shared" si="125"/>
        <v>3.51305921997421E-2</v>
      </c>
      <c r="I189" s="3">
        <f t="shared" si="125"/>
        <v>3.51305921997421E-2</v>
      </c>
      <c r="J189" s="3">
        <f t="shared" si="125"/>
        <v>3.51305921997421E-2</v>
      </c>
      <c r="K189" s="3">
        <f t="shared" si="125"/>
        <v>3.51305921997421E-2</v>
      </c>
      <c r="L189" s="3">
        <f t="shared" si="125"/>
        <v>3.51305921997421E-2</v>
      </c>
      <c r="M189" s="3">
        <f t="shared" si="125"/>
        <v>3.5130592199742093E-2</v>
      </c>
      <c r="N189" s="3">
        <f t="shared" si="125"/>
        <v>3.5130592199742079E-2</v>
      </c>
      <c r="O189" s="3">
        <f t="shared" si="125"/>
        <v>3.5130592199741857E-2</v>
      </c>
      <c r="P189" s="3">
        <f t="shared" si="125"/>
        <v>3.5130592199739664E-2</v>
      </c>
      <c r="Q189" s="3">
        <f t="shared" si="125"/>
        <v>3.5130592199717738E-2</v>
      </c>
      <c r="R189" s="3">
        <f t="shared" si="125"/>
        <v>3.5130592199498469E-2</v>
      </c>
      <c r="S189" s="3">
        <f t="shared" si="125"/>
        <v>3.5130592197305792E-2</v>
      </c>
      <c r="T189" s="3">
        <f t="shared" si="125"/>
        <v>3.5130592175379026E-2</v>
      </c>
      <c r="U189" s="3">
        <f t="shared" si="125"/>
        <v>3.5130591956111401E-2</v>
      </c>
      <c r="V189" s="3">
        <f t="shared" si="125"/>
        <v>3.5130589763435228E-2</v>
      </c>
      <c r="W189" s="3">
        <f t="shared" si="125"/>
        <v>3.513056783668099E-2</v>
      </c>
      <c r="X189" s="3">
        <f t="shared" si="125"/>
        <v>3.5130348569891286E-2</v>
      </c>
      <c r="Y189" s="3">
        <f t="shared" si="125"/>
        <v>3.5128155977263084E-2</v>
      </c>
      <c r="Z189" s="3">
        <f t="shared" si="125"/>
        <v>3.510623757612507E-2</v>
      </c>
      <c r="AA189" s="3">
        <f t="shared" si="125"/>
        <v>3.4887804344220057E-2</v>
      </c>
      <c r="AB189" s="3">
        <f t="shared" si="125"/>
        <v>3.2776844722329057E-2</v>
      </c>
      <c r="AC189" s="3">
        <f t="shared" si="125"/>
        <v>1.7559097880922764E-2</v>
      </c>
      <c r="AD189" s="3">
        <f t="shared" si="125"/>
        <v>3.4186352030338434E-5</v>
      </c>
      <c r="AE189" s="3">
        <f t="shared" si="125"/>
        <v>2.6752130049087474E-32</v>
      </c>
      <c r="AF189" s="3">
        <f t="shared" si="125"/>
        <v>2.3036390543321755E-303</v>
      </c>
      <c r="AG189" s="3"/>
      <c r="AH189" s="3"/>
    </row>
    <row r="190" spans="2:34" x14ac:dyDescent="0.25">
      <c r="B190" s="3">
        <f t="shared" ref="B190:AF190" si="126">$C37*EXP(-B$168/$A37/EXP(-$C$126))</f>
        <v>5.1976552303921161E-2</v>
      </c>
      <c r="C190" s="3">
        <f t="shared" si="126"/>
        <v>5.1976552303921161E-2</v>
      </c>
      <c r="D190" s="3">
        <f t="shared" si="126"/>
        <v>5.1976552303921161E-2</v>
      </c>
      <c r="E190" s="3">
        <f t="shared" si="126"/>
        <v>5.1976552303921161E-2</v>
      </c>
      <c r="F190" s="3">
        <f t="shared" si="126"/>
        <v>5.1976552303921161E-2</v>
      </c>
      <c r="G190" s="3">
        <f t="shared" si="126"/>
        <v>5.1976552303921161E-2</v>
      </c>
      <c r="H190" s="3">
        <f t="shared" si="126"/>
        <v>5.1976552303921161E-2</v>
      </c>
      <c r="I190" s="3">
        <f t="shared" si="126"/>
        <v>5.1976552303921161E-2</v>
      </c>
      <c r="J190" s="3">
        <f t="shared" si="126"/>
        <v>5.1976552303921161E-2</v>
      </c>
      <c r="K190" s="3">
        <f t="shared" si="126"/>
        <v>5.1976552303921161E-2</v>
      </c>
      <c r="L190" s="3">
        <f t="shared" si="126"/>
        <v>5.1976552303921161E-2</v>
      </c>
      <c r="M190" s="3">
        <f t="shared" si="126"/>
        <v>5.1976552303921161E-2</v>
      </c>
      <c r="N190" s="3">
        <f t="shared" si="126"/>
        <v>5.1976552303921154E-2</v>
      </c>
      <c r="O190" s="3">
        <f t="shared" si="126"/>
        <v>5.1976552303921127E-2</v>
      </c>
      <c r="P190" s="3">
        <f t="shared" si="126"/>
        <v>5.1976552303920835E-2</v>
      </c>
      <c r="Q190" s="3">
        <f t="shared" si="126"/>
        <v>5.1976552303917914E-2</v>
      </c>
      <c r="R190" s="3">
        <f t="shared" si="126"/>
        <v>5.1976552303888646E-2</v>
      </c>
      <c r="S190" s="3">
        <f t="shared" si="126"/>
        <v>5.1976552303595998E-2</v>
      </c>
      <c r="T190" s="3">
        <f t="shared" si="126"/>
        <v>5.1976552300669533E-2</v>
      </c>
      <c r="U190" s="3">
        <f t="shared" si="126"/>
        <v>5.1976552271404901E-2</v>
      </c>
      <c r="V190" s="3">
        <f t="shared" si="126"/>
        <v>5.1976551978758556E-2</v>
      </c>
      <c r="W190" s="3">
        <f t="shared" si="126"/>
        <v>5.1976549052295214E-2</v>
      </c>
      <c r="X190" s="3">
        <f t="shared" si="126"/>
        <v>5.1976519787670851E-2</v>
      </c>
      <c r="Y190" s="3">
        <f t="shared" si="126"/>
        <v>5.1976227142333464E-2</v>
      </c>
      <c r="Z190" s="3">
        <f t="shared" si="126"/>
        <v>5.1973300779581073E-2</v>
      </c>
      <c r="AA190" s="3">
        <f t="shared" si="126"/>
        <v>5.1944046212322285E-2</v>
      </c>
      <c r="AB190" s="3">
        <f t="shared" si="126"/>
        <v>5.1652404681622646E-2</v>
      </c>
      <c r="AC190" s="3">
        <f t="shared" si="126"/>
        <v>4.8824548057962623E-2</v>
      </c>
      <c r="AD190" s="3">
        <f t="shared" si="126"/>
        <v>2.7804500793722927E-2</v>
      </c>
      <c r="AE190" s="3">
        <f t="shared" si="126"/>
        <v>9.9743316254231702E-5</v>
      </c>
      <c r="AF190" s="3">
        <f t="shared" si="126"/>
        <v>3.520228198663913E-29</v>
      </c>
      <c r="AG190" s="3"/>
      <c r="AH190" s="3"/>
    </row>
    <row r="191" spans="2:34" x14ac:dyDescent="0.25">
      <c r="B191" s="3">
        <f t="shared" ref="B191:AF191" si="127">$C38*EXP(-B$168/$A38/EXP(-$C$126))</f>
        <v>2.3181635308382595E-6</v>
      </c>
      <c r="C191" s="3">
        <f t="shared" si="127"/>
        <v>2.3181635308382595E-6</v>
      </c>
      <c r="D191" s="3">
        <f t="shared" si="127"/>
        <v>2.3181635308382595E-6</v>
      </c>
      <c r="E191" s="3">
        <f t="shared" si="127"/>
        <v>2.3181635308382595E-6</v>
      </c>
      <c r="F191" s="3">
        <f t="shared" si="127"/>
        <v>2.3181635308382595E-6</v>
      </c>
      <c r="G191" s="3">
        <f t="shared" si="127"/>
        <v>2.3181635308382595E-6</v>
      </c>
      <c r="H191" s="3">
        <f t="shared" si="127"/>
        <v>2.3181635308382595E-6</v>
      </c>
      <c r="I191" s="3">
        <f t="shared" si="127"/>
        <v>2.3181635308382595E-6</v>
      </c>
      <c r="J191" s="3">
        <f t="shared" si="127"/>
        <v>2.3181635308382595E-6</v>
      </c>
      <c r="K191" s="3">
        <f t="shared" si="127"/>
        <v>2.3181635308382595E-6</v>
      </c>
      <c r="L191" s="3">
        <f t="shared" si="127"/>
        <v>2.3181635308382595E-6</v>
      </c>
      <c r="M191" s="3">
        <f t="shared" si="127"/>
        <v>2.3181635308382595E-6</v>
      </c>
      <c r="N191" s="3">
        <f t="shared" si="127"/>
        <v>2.3181635308382595E-6</v>
      </c>
      <c r="O191" s="3">
        <f t="shared" si="127"/>
        <v>2.3181635308382591E-6</v>
      </c>
      <c r="P191" s="3">
        <f t="shared" si="127"/>
        <v>2.3181635308382583E-6</v>
      </c>
      <c r="Q191" s="3">
        <f t="shared" si="127"/>
        <v>2.3181635308382464E-6</v>
      </c>
      <c r="R191" s="3">
        <f t="shared" si="127"/>
        <v>2.3181635308381287E-6</v>
      </c>
      <c r="S191" s="3">
        <f t="shared" si="127"/>
        <v>2.3181635308369513E-6</v>
      </c>
      <c r="T191" s="3">
        <f t="shared" si="127"/>
        <v>2.3181635308251771E-6</v>
      </c>
      <c r="U191" s="3">
        <f t="shared" si="127"/>
        <v>2.3181635307074366E-6</v>
      </c>
      <c r="V191" s="3">
        <f t="shared" si="127"/>
        <v>2.3181635295300303E-6</v>
      </c>
      <c r="W191" s="3">
        <f t="shared" si="127"/>
        <v>2.3181635177559691E-6</v>
      </c>
      <c r="X191" s="3">
        <f t="shared" si="127"/>
        <v>2.3181634000153591E-6</v>
      </c>
      <c r="Y191" s="3">
        <f t="shared" si="127"/>
        <v>2.3181622226095881E-6</v>
      </c>
      <c r="Z191" s="3">
        <f t="shared" si="127"/>
        <v>2.318150448584769E-6</v>
      </c>
      <c r="AA191" s="3">
        <f t="shared" si="127"/>
        <v>2.3180327116255625E-6</v>
      </c>
      <c r="AB191" s="3">
        <f t="shared" si="127"/>
        <v>2.3168556708703883E-6</v>
      </c>
      <c r="AC191" s="3">
        <f t="shared" si="127"/>
        <v>2.3051180852948094E-6</v>
      </c>
      <c r="AD191" s="3">
        <f t="shared" si="127"/>
        <v>2.1909635755563342E-6</v>
      </c>
      <c r="AE191" s="3">
        <f t="shared" si="127"/>
        <v>1.3184235504428733E-6</v>
      </c>
      <c r="AF191" s="3">
        <f t="shared" si="127"/>
        <v>8.20829388090606E-9</v>
      </c>
      <c r="AG191" s="3"/>
      <c r="AH191" s="3"/>
    </row>
    <row r="192" spans="2:34" x14ac:dyDescent="0.25">
      <c r="B192" s="3">
        <f t="shared" ref="B192:AF192" si="128">$C39*EXP(-B$168/$A39/EXP(-$C$126))</f>
        <v>7.5767559561282297E-2</v>
      </c>
      <c r="C192" s="3">
        <f t="shared" si="128"/>
        <v>7.5767559561282297E-2</v>
      </c>
      <c r="D192" s="3">
        <f t="shared" si="128"/>
        <v>7.5767559561282297E-2</v>
      </c>
      <c r="E192" s="3">
        <f t="shared" si="128"/>
        <v>7.5767559561282297E-2</v>
      </c>
      <c r="F192" s="3">
        <f t="shared" si="128"/>
        <v>7.5767559561282297E-2</v>
      </c>
      <c r="G192" s="3">
        <f t="shared" si="128"/>
        <v>7.5767559561282297E-2</v>
      </c>
      <c r="H192" s="3">
        <f t="shared" si="128"/>
        <v>7.5767559561282297E-2</v>
      </c>
      <c r="I192" s="3">
        <f t="shared" si="128"/>
        <v>7.5767559561282297E-2</v>
      </c>
      <c r="J192" s="3">
        <f t="shared" si="128"/>
        <v>7.5767559561282297E-2</v>
      </c>
      <c r="K192" s="3">
        <f t="shared" si="128"/>
        <v>7.5767559561282297E-2</v>
      </c>
      <c r="L192" s="3">
        <f t="shared" si="128"/>
        <v>7.5767559561282297E-2</v>
      </c>
      <c r="M192" s="3">
        <f t="shared" si="128"/>
        <v>7.5767559561282297E-2</v>
      </c>
      <c r="N192" s="3">
        <f t="shared" si="128"/>
        <v>7.5767559561282297E-2</v>
      </c>
      <c r="O192" s="3">
        <f t="shared" si="128"/>
        <v>7.5767559561282297E-2</v>
      </c>
      <c r="P192" s="3">
        <f t="shared" si="128"/>
        <v>7.5767559561282283E-2</v>
      </c>
      <c r="Q192" s="3">
        <f t="shared" si="128"/>
        <v>7.5767559561282186E-2</v>
      </c>
      <c r="R192" s="3">
        <f t="shared" si="128"/>
        <v>7.5767559561281117E-2</v>
      </c>
      <c r="S192" s="3">
        <f t="shared" si="128"/>
        <v>7.5767559561270473E-2</v>
      </c>
      <c r="T192" s="3">
        <f t="shared" si="128"/>
        <v>7.576755956116403E-2</v>
      </c>
      <c r="U192" s="3">
        <f t="shared" si="128"/>
        <v>7.5767559560099701E-2</v>
      </c>
      <c r="V192" s="3">
        <f t="shared" si="128"/>
        <v>7.5767559549456354E-2</v>
      </c>
      <c r="W192" s="3">
        <f t="shared" si="128"/>
        <v>7.5767559443022839E-2</v>
      </c>
      <c r="X192" s="3">
        <f t="shared" si="128"/>
        <v>7.5767558378687747E-2</v>
      </c>
      <c r="Y192" s="3">
        <f t="shared" si="128"/>
        <v>7.5767547735337615E-2</v>
      </c>
      <c r="Z192" s="3">
        <f t="shared" si="128"/>
        <v>7.5767441301918537E-2</v>
      </c>
      <c r="AA192" s="3">
        <f t="shared" si="128"/>
        <v>7.5766376975950844E-2</v>
      </c>
      <c r="AB192" s="3">
        <f t="shared" si="128"/>
        <v>7.5755734538537622E-2</v>
      </c>
      <c r="AC192" s="3">
        <f t="shared" si="128"/>
        <v>7.5649392348047378E-2</v>
      </c>
      <c r="AD192" s="3">
        <f t="shared" si="128"/>
        <v>7.4594146252202495E-2</v>
      </c>
      <c r="AE192" s="3">
        <f t="shared" si="128"/>
        <v>6.4818322263808098E-2</v>
      </c>
      <c r="AF192" s="3">
        <f t="shared" si="128"/>
        <v>1.59084609278888E-2</v>
      </c>
      <c r="AG192" s="3"/>
      <c r="AH192" s="3"/>
    </row>
    <row r="193" spans="1:34" x14ac:dyDescent="0.25">
      <c r="B193" s="3">
        <f t="shared" ref="B193:AF193" si="129">$C40*EXP(-B$168/$A40/EXP(-$C$126))</f>
        <v>3.067875950056604E-2</v>
      </c>
      <c r="C193" s="3">
        <f t="shared" si="129"/>
        <v>3.067875950056604E-2</v>
      </c>
      <c r="D193" s="3">
        <f t="shared" si="129"/>
        <v>3.067875950056604E-2</v>
      </c>
      <c r="E193" s="3">
        <f t="shared" si="129"/>
        <v>3.067875950056604E-2</v>
      </c>
      <c r="F193" s="3">
        <f t="shared" si="129"/>
        <v>3.067875950056604E-2</v>
      </c>
      <c r="G193" s="3">
        <f t="shared" si="129"/>
        <v>3.067875950056604E-2</v>
      </c>
      <c r="H193" s="3">
        <f t="shared" si="129"/>
        <v>3.067875950056604E-2</v>
      </c>
      <c r="I193" s="3">
        <f t="shared" si="129"/>
        <v>3.067875950056604E-2</v>
      </c>
      <c r="J193" s="3">
        <f t="shared" si="129"/>
        <v>3.067875950056604E-2</v>
      </c>
      <c r="K193" s="3">
        <f t="shared" si="129"/>
        <v>3.067875950056604E-2</v>
      </c>
      <c r="L193" s="3">
        <f t="shared" si="129"/>
        <v>3.067875950056604E-2</v>
      </c>
      <c r="M193" s="3">
        <f t="shared" si="129"/>
        <v>3.067875950056604E-2</v>
      </c>
      <c r="N193" s="3">
        <f t="shared" si="129"/>
        <v>3.067875950056604E-2</v>
      </c>
      <c r="O193" s="3">
        <f t="shared" si="129"/>
        <v>3.067875950056604E-2</v>
      </c>
      <c r="P193" s="3">
        <f t="shared" si="129"/>
        <v>3.067875950056604E-2</v>
      </c>
      <c r="Q193" s="3">
        <f t="shared" si="129"/>
        <v>3.0678759500566036E-2</v>
      </c>
      <c r="R193" s="3">
        <f t="shared" si="129"/>
        <v>3.0678759500565991E-2</v>
      </c>
      <c r="S193" s="3">
        <f t="shared" si="129"/>
        <v>3.0678759500565561E-2</v>
      </c>
      <c r="T193" s="3">
        <f t="shared" si="129"/>
        <v>3.0678759500561252E-2</v>
      </c>
      <c r="U193" s="3">
        <f t="shared" si="129"/>
        <v>3.0678759500518155E-2</v>
      </c>
      <c r="V193" s="3">
        <f t="shared" si="129"/>
        <v>3.0678759500087201E-2</v>
      </c>
      <c r="W193" s="3">
        <f t="shared" si="129"/>
        <v>3.0678759495777641E-2</v>
      </c>
      <c r="X193" s="3">
        <f t="shared" si="129"/>
        <v>3.0678759452682045E-2</v>
      </c>
      <c r="Y193" s="3">
        <f t="shared" si="129"/>
        <v>3.0678759021726097E-2</v>
      </c>
      <c r="Z193" s="3">
        <f t="shared" si="129"/>
        <v>3.0678754712166956E-2</v>
      </c>
      <c r="AA193" s="3">
        <f t="shared" si="129"/>
        <v>3.0678711616608834E-2</v>
      </c>
      <c r="AB193" s="3">
        <f t="shared" si="129"/>
        <v>3.0678280664357214E-2</v>
      </c>
      <c r="AC193" s="3">
        <f t="shared" si="129"/>
        <v>3.0673971474780688E-2</v>
      </c>
      <c r="AD193" s="3">
        <f t="shared" si="129"/>
        <v>3.063091285568692E-2</v>
      </c>
      <c r="AE193" s="3">
        <f t="shared" si="129"/>
        <v>3.0203637101052751E-2</v>
      </c>
      <c r="AF193" s="3">
        <f t="shared" si="129"/>
        <v>2.6245344729008715E-2</v>
      </c>
      <c r="AG193" s="3"/>
      <c r="AH193" s="3"/>
    </row>
    <row r="194" spans="1:34" x14ac:dyDescent="0.25">
      <c r="B194" s="3">
        <f t="shared" ref="B194:AF194" si="130">$C41*EXP(-B$168/$A41/EXP(-$C$126))</f>
        <v>7.5768782257570458E-2</v>
      </c>
      <c r="C194" s="3">
        <f t="shared" si="130"/>
        <v>7.5768782257570458E-2</v>
      </c>
      <c r="D194" s="3">
        <f t="shared" si="130"/>
        <v>7.5768782257570458E-2</v>
      </c>
      <c r="E194" s="3">
        <f t="shared" si="130"/>
        <v>7.5768782257570458E-2</v>
      </c>
      <c r="F194" s="3">
        <f t="shared" si="130"/>
        <v>7.5768782257570458E-2</v>
      </c>
      <c r="G194" s="3">
        <f t="shared" si="130"/>
        <v>7.5768782257570458E-2</v>
      </c>
      <c r="H194" s="3">
        <f t="shared" si="130"/>
        <v>7.5768782257570458E-2</v>
      </c>
      <c r="I194" s="3">
        <f t="shared" si="130"/>
        <v>7.5768782257570458E-2</v>
      </c>
      <c r="J194" s="3">
        <f t="shared" si="130"/>
        <v>7.5768782257570458E-2</v>
      </c>
      <c r="K194" s="3">
        <f t="shared" si="130"/>
        <v>7.5768782257570458E-2</v>
      </c>
      <c r="L194" s="3">
        <f t="shared" si="130"/>
        <v>7.5768782257570458E-2</v>
      </c>
      <c r="M194" s="3">
        <f t="shared" si="130"/>
        <v>7.5768782257570458E-2</v>
      </c>
      <c r="N194" s="3">
        <f t="shared" si="130"/>
        <v>7.5768782257570458E-2</v>
      </c>
      <c r="O194" s="3">
        <f t="shared" si="130"/>
        <v>7.5768782257570458E-2</v>
      </c>
      <c r="P194" s="3">
        <f t="shared" si="130"/>
        <v>7.5768782257570458E-2</v>
      </c>
      <c r="Q194" s="3">
        <f t="shared" si="130"/>
        <v>7.5768782257570458E-2</v>
      </c>
      <c r="R194" s="3">
        <f t="shared" si="130"/>
        <v>7.5768782257570444E-2</v>
      </c>
      <c r="S194" s="3">
        <f t="shared" si="130"/>
        <v>7.5768782257570347E-2</v>
      </c>
      <c r="T194" s="3">
        <f t="shared" si="130"/>
        <v>7.5768782257569278E-2</v>
      </c>
      <c r="U194" s="3">
        <f t="shared" si="130"/>
        <v>7.5768782257558634E-2</v>
      </c>
      <c r="V194" s="3">
        <f t="shared" si="130"/>
        <v>7.5768782257452191E-2</v>
      </c>
      <c r="W194" s="3">
        <f t="shared" si="130"/>
        <v>7.5768782256387848E-2</v>
      </c>
      <c r="X194" s="3">
        <f t="shared" si="130"/>
        <v>7.5768782245744321E-2</v>
      </c>
      <c r="Y194" s="3">
        <f t="shared" si="130"/>
        <v>7.5768782139309099E-2</v>
      </c>
      <c r="Z194" s="3">
        <f t="shared" si="130"/>
        <v>7.5768781074956812E-2</v>
      </c>
      <c r="AA194" s="3">
        <f t="shared" si="130"/>
        <v>7.5768770431434929E-2</v>
      </c>
      <c r="AB194" s="3">
        <f t="shared" si="130"/>
        <v>7.5768663996298294E-2</v>
      </c>
      <c r="AC194" s="3">
        <f t="shared" si="130"/>
        <v>7.576759965315509E-2</v>
      </c>
      <c r="AD194" s="3">
        <f t="shared" si="130"/>
        <v>7.5756957043999901E-2</v>
      </c>
      <c r="AE194" s="3">
        <f t="shared" si="130"/>
        <v>7.5650613137416348E-2</v>
      </c>
      <c r="AF194" s="3">
        <f t="shared" si="130"/>
        <v>7.4595350012575265E-2</v>
      </c>
      <c r="AG194" s="3"/>
      <c r="AH194" s="3"/>
    </row>
    <row r="195" spans="1:34" x14ac:dyDescent="0.25">
      <c r="B195" s="3">
        <f t="shared" ref="B195:AF195" si="131">$C42*EXP(-B$168/$A42/EXP(-$C$126))</f>
        <v>3.996144450245992E-2</v>
      </c>
      <c r="C195" s="3">
        <f t="shared" si="131"/>
        <v>3.996144450245992E-2</v>
      </c>
      <c r="D195" s="3">
        <f t="shared" si="131"/>
        <v>3.996144450245992E-2</v>
      </c>
      <c r="E195" s="3">
        <f t="shared" si="131"/>
        <v>3.996144450245992E-2</v>
      </c>
      <c r="F195" s="3">
        <f t="shared" si="131"/>
        <v>3.996144450245992E-2</v>
      </c>
      <c r="G195" s="3">
        <f t="shared" si="131"/>
        <v>3.996144450245992E-2</v>
      </c>
      <c r="H195" s="3">
        <f t="shared" si="131"/>
        <v>3.996144450245992E-2</v>
      </c>
      <c r="I195" s="3">
        <f t="shared" si="131"/>
        <v>3.996144450245992E-2</v>
      </c>
      <c r="J195" s="3">
        <f t="shared" si="131"/>
        <v>3.996144450245992E-2</v>
      </c>
      <c r="K195" s="3">
        <f t="shared" si="131"/>
        <v>3.996144450245992E-2</v>
      </c>
      <c r="L195" s="3">
        <f t="shared" si="131"/>
        <v>3.996144450245992E-2</v>
      </c>
      <c r="M195" s="3">
        <f t="shared" si="131"/>
        <v>3.996144450245992E-2</v>
      </c>
      <c r="N195" s="3">
        <f t="shared" si="131"/>
        <v>3.996144450245992E-2</v>
      </c>
      <c r="O195" s="3">
        <f t="shared" si="131"/>
        <v>3.996144450245992E-2</v>
      </c>
      <c r="P195" s="3">
        <f t="shared" si="131"/>
        <v>3.996144450245992E-2</v>
      </c>
      <c r="Q195" s="3">
        <f t="shared" si="131"/>
        <v>3.996144450245992E-2</v>
      </c>
      <c r="R195" s="3">
        <f t="shared" si="131"/>
        <v>3.996144450245992E-2</v>
      </c>
      <c r="S195" s="3">
        <f t="shared" si="131"/>
        <v>3.9961444502459913E-2</v>
      </c>
      <c r="T195" s="3">
        <f t="shared" si="131"/>
        <v>3.9961444502459857E-2</v>
      </c>
      <c r="U195" s="3">
        <f t="shared" si="131"/>
        <v>3.9961444502459295E-2</v>
      </c>
      <c r="V195" s="3">
        <f t="shared" si="131"/>
        <v>3.9961444502453682E-2</v>
      </c>
      <c r="W195" s="3">
        <f t="shared" si="131"/>
        <v>3.9961444502397546E-2</v>
      </c>
      <c r="X195" s="3">
        <f t="shared" si="131"/>
        <v>3.9961444501836196E-2</v>
      </c>
      <c r="Y195" s="3">
        <f t="shared" si="131"/>
        <v>3.9961444496222659E-2</v>
      </c>
      <c r="Z195" s="3">
        <f t="shared" si="131"/>
        <v>3.9961444440087333E-2</v>
      </c>
      <c r="AA195" s="3">
        <f t="shared" si="131"/>
        <v>3.9961443878734057E-2</v>
      </c>
      <c r="AB195" s="3">
        <f t="shared" si="131"/>
        <v>3.9961438265201717E-2</v>
      </c>
      <c r="AC195" s="3">
        <f t="shared" si="131"/>
        <v>3.9961382129921737E-2</v>
      </c>
      <c r="AD195" s="3">
        <f t="shared" si="131"/>
        <v>3.9960820781458933E-2</v>
      </c>
      <c r="AE195" s="3">
        <f t="shared" si="131"/>
        <v>3.995520773051045E-2</v>
      </c>
      <c r="AF195" s="3">
        <f t="shared" si="131"/>
        <v>3.9899120566450362E-2</v>
      </c>
      <c r="AG195" s="3"/>
      <c r="AH195" s="3"/>
    </row>
    <row r="196" spans="1:34" x14ac:dyDescent="0.25">
      <c r="B196" s="3">
        <f t="shared" ref="B196:AF196" si="132">$C43*EXP(-B$168/$A43/EXP(-$C$126))</f>
        <v>4.8323610204746917E-2</v>
      </c>
      <c r="C196" s="3">
        <f t="shared" si="132"/>
        <v>4.8323610204746917E-2</v>
      </c>
      <c r="D196" s="3">
        <f t="shared" si="132"/>
        <v>4.8323610204746917E-2</v>
      </c>
      <c r="E196" s="3">
        <f t="shared" si="132"/>
        <v>4.8323610204746917E-2</v>
      </c>
      <c r="F196" s="3">
        <f t="shared" si="132"/>
        <v>4.8323610204746917E-2</v>
      </c>
      <c r="G196" s="3">
        <f t="shared" si="132"/>
        <v>4.8323610204746917E-2</v>
      </c>
      <c r="H196" s="3">
        <f t="shared" si="132"/>
        <v>4.8323610204746917E-2</v>
      </c>
      <c r="I196" s="3">
        <f t="shared" si="132"/>
        <v>4.8323610204746917E-2</v>
      </c>
      <c r="J196" s="3">
        <f t="shared" si="132"/>
        <v>4.8323610204746917E-2</v>
      </c>
      <c r="K196" s="3">
        <f t="shared" si="132"/>
        <v>4.8323610204746917E-2</v>
      </c>
      <c r="L196" s="3">
        <f t="shared" si="132"/>
        <v>4.8323610204746917E-2</v>
      </c>
      <c r="M196" s="3">
        <f t="shared" si="132"/>
        <v>4.8323610204746917E-2</v>
      </c>
      <c r="N196" s="3">
        <f t="shared" si="132"/>
        <v>4.8323610204746917E-2</v>
      </c>
      <c r="O196" s="3">
        <f t="shared" si="132"/>
        <v>4.8323610204746917E-2</v>
      </c>
      <c r="P196" s="3">
        <f t="shared" si="132"/>
        <v>4.8323610204746917E-2</v>
      </c>
      <c r="Q196" s="3">
        <f t="shared" si="132"/>
        <v>4.8323610204746917E-2</v>
      </c>
      <c r="R196" s="3">
        <f t="shared" si="132"/>
        <v>4.8323610204746917E-2</v>
      </c>
      <c r="S196" s="3">
        <f t="shared" si="132"/>
        <v>4.8323610204746917E-2</v>
      </c>
      <c r="T196" s="3">
        <f t="shared" si="132"/>
        <v>4.832361020474691E-2</v>
      </c>
      <c r="U196" s="3">
        <f t="shared" si="132"/>
        <v>4.832361020474684E-2</v>
      </c>
      <c r="V196" s="3">
        <f t="shared" si="132"/>
        <v>4.832361020474616E-2</v>
      </c>
      <c r="W196" s="3">
        <f t="shared" si="132"/>
        <v>4.8323610204739374E-2</v>
      </c>
      <c r="X196" s="3">
        <f t="shared" si="132"/>
        <v>4.8323610204671491E-2</v>
      </c>
      <c r="Y196" s="3">
        <f t="shared" si="132"/>
        <v>4.8323610203992673E-2</v>
      </c>
      <c r="Z196" s="3">
        <f t="shared" si="132"/>
        <v>4.8323610197204478E-2</v>
      </c>
      <c r="AA196" s="3">
        <f t="shared" si="132"/>
        <v>4.83236101293225E-2</v>
      </c>
      <c r="AB196" s="3">
        <f t="shared" si="132"/>
        <v>4.8323609450502771E-2</v>
      </c>
      <c r="AC196" s="3">
        <f t="shared" si="132"/>
        <v>4.8323602662306002E-2</v>
      </c>
      <c r="AD196" s="3">
        <f t="shared" si="132"/>
        <v>4.832353478039076E-2</v>
      </c>
      <c r="AE196" s="3">
        <f t="shared" si="132"/>
        <v>4.8322855966482919E-2</v>
      </c>
      <c r="AF196" s="3">
        <f t="shared" si="132"/>
        <v>4.8316068351834079E-2</v>
      </c>
      <c r="AG196" s="3"/>
      <c r="AH196" s="3"/>
    </row>
    <row r="197" spans="1:34" x14ac:dyDescent="0.25">
      <c r="B197" s="3">
        <f t="shared" ref="B197:AF197" si="133">$C44*EXP(-B$168/$A44/EXP(-$C$126))</f>
        <v>1.4844365312015322E-2</v>
      </c>
      <c r="C197" s="3">
        <f t="shared" si="133"/>
        <v>1.4844365312015322E-2</v>
      </c>
      <c r="D197" s="3">
        <f t="shared" si="133"/>
        <v>1.4844365312015322E-2</v>
      </c>
      <c r="E197" s="3">
        <f t="shared" si="133"/>
        <v>1.4844365312015322E-2</v>
      </c>
      <c r="F197" s="3">
        <f t="shared" si="133"/>
        <v>1.4844365312015322E-2</v>
      </c>
      <c r="G197" s="3">
        <f t="shared" si="133"/>
        <v>1.4844365312015322E-2</v>
      </c>
      <c r="H197" s="3">
        <f t="shared" si="133"/>
        <v>1.4844365312015322E-2</v>
      </c>
      <c r="I197" s="3">
        <f t="shared" si="133"/>
        <v>1.4844365312015322E-2</v>
      </c>
      <c r="J197" s="3">
        <f t="shared" si="133"/>
        <v>1.4844365312015322E-2</v>
      </c>
      <c r="K197" s="3">
        <f t="shared" si="133"/>
        <v>1.4844365312015322E-2</v>
      </c>
      <c r="L197" s="3">
        <f t="shared" si="133"/>
        <v>1.4844365312015322E-2</v>
      </c>
      <c r="M197" s="3">
        <f t="shared" si="133"/>
        <v>1.4844365312015322E-2</v>
      </c>
      <c r="N197" s="3">
        <f t="shared" si="133"/>
        <v>1.4844365312015322E-2</v>
      </c>
      <c r="O197" s="3">
        <f t="shared" si="133"/>
        <v>1.4844365312015322E-2</v>
      </c>
      <c r="P197" s="3">
        <f t="shared" si="133"/>
        <v>1.4844365312015322E-2</v>
      </c>
      <c r="Q197" s="3">
        <f t="shared" si="133"/>
        <v>1.4844365312015322E-2</v>
      </c>
      <c r="R197" s="3">
        <f t="shared" si="133"/>
        <v>1.4844365312015322E-2</v>
      </c>
      <c r="S197" s="3">
        <f t="shared" si="133"/>
        <v>1.4844365312015322E-2</v>
      </c>
      <c r="T197" s="3">
        <f t="shared" si="133"/>
        <v>1.4844365312015322E-2</v>
      </c>
      <c r="U197" s="3">
        <f t="shared" si="133"/>
        <v>1.484436531201532E-2</v>
      </c>
      <c r="V197" s="3">
        <f t="shared" si="133"/>
        <v>1.4844365312015299E-2</v>
      </c>
      <c r="W197" s="3">
        <f t="shared" si="133"/>
        <v>1.4844365312015089E-2</v>
      </c>
      <c r="X197" s="3">
        <f t="shared" si="133"/>
        <v>1.4844365312013004E-2</v>
      </c>
      <c r="Y197" s="3">
        <f t="shared" si="133"/>
        <v>1.4844365311992151E-2</v>
      </c>
      <c r="Z197" s="3">
        <f t="shared" si="133"/>
        <v>1.4844365311783628E-2</v>
      </c>
      <c r="AA197" s="3">
        <f t="shared" si="133"/>
        <v>1.4844365309698385E-2</v>
      </c>
      <c r="AB197" s="3">
        <f t="shared" si="133"/>
        <v>1.4844365288845952E-2</v>
      </c>
      <c r="AC197" s="3">
        <f t="shared" si="133"/>
        <v>1.484436508032163E-2</v>
      </c>
      <c r="AD197" s="3">
        <f t="shared" si="133"/>
        <v>1.4844362995078573E-2</v>
      </c>
      <c r="AE197" s="3">
        <f t="shared" si="133"/>
        <v>1.4844342142664118E-2</v>
      </c>
      <c r="AF197" s="3">
        <f t="shared" si="133"/>
        <v>1.4844133620130638E-2</v>
      </c>
      <c r="AG197" s="3"/>
      <c r="AH197" s="3"/>
    </row>
    <row r="198" spans="1:34" x14ac:dyDescent="0.25">
      <c r="B198" s="3">
        <f t="shared" ref="B198:AF198" si="134">$C45*EXP(-B$168/$A45/EXP(-$C$126))</f>
        <v>1.5641900970231219E-2</v>
      </c>
      <c r="C198" s="3">
        <f t="shared" si="134"/>
        <v>1.5641900970231219E-2</v>
      </c>
      <c r="D198" s="3">
        <f t="shared" si="134"/>
        <v>1.5641900970231219E-2</v>
      </c>
      <c r="E198" s="3">
        <f t="shared" si="134"/>
        <v>1.5641900970231219E-2</v>
      </c>
      <c r="F198" s="3">
        <f t="shared" si="134"/>
        <v>1.5641900970231219E-2</v>
      </c>
      <c r="G198" s="3">
        <f t="shared" si="134"/>
        <v>1.5641900970231219E-2</v>
      </c>
      <c r="H198" s="3">
        <f t="shared" si="134"/>
        <v>1.5641900970231219E-2</v>
      </c>
      <c r="I198" s="3">
        <f t="shared" si="134"/>
        <v>1.5641900970231219E-2</v>
      </c>
      <c r="J198" s="3">
        <f t="shared" si="134"/>
        <v>1.5641900970231219E-2</v>
      </c>
      <c r="K198" s="3">
        <f t="shared" si="134"/>
        <v>1.5641900970231219E-2</v>
      </c>
      <c r="L198" s="3">
        <f t="shared" si="134"/>
        <v>1.5641900970231219E-2</v>
      </c>
      <c r="M198" s="3">
        <f t="shared" si="134"/>
        <v>1.5641900970231219E-2</v>
      </c>
      <c r="N198" s="3">
        <f t="shared" si="134"/>
        <v>1.5641900970231219E-2</v>
      </c>
      <c r="O198" s="3">
        <f t="shared" si="134"/>
        <v>1.5641900970231219E-2</v>
      </c>
      <c r="P198" s="3">
        <f t="shared" si="134"/>
        <v>1.5641900970231219E-2</v>
      </c>
      <c r="Q198" s="3">
        <f t="shared" si="134"/>
        <v>1.5641900970231219E-2</v>
      </c>
      <c r="R198" s="3">
        <f t="shared" si="134"/>
        <v>1.5641900970231219E-2</v>
      </c>
      <c r="S198" s="3">
        <f t="shared" si="134"/>
        <v>1.5641900970231219E-2</v>
      </c>
      <c r="T198" s="3">
        <f t="shared" si="134"/>
        <v>1.5641900970231219E-2</v>
      </c>
      <c r="U198" s="3">
        <f t="shared" si="134"/>
        <v>1.5641900970231219E-2</v>
      </c>
      <c r="V198" s="3">
        <f t="shared" si="134"/>
        <v>1.5641900970231215E-2</v>
      </c>
      <c r="W198" s="3">
        <f t="shared" si="134"/>
        <v>1.5641900970231194E-2</v>
      </c>
      <c r="X198" s="3">
        <f t="shared" si="134"/>
        <v>1.5641900970230972E-2</v>
      </c>
      <c r="Y198" s="3">
        <f t="shared" si="134"/>
        <v>1.5641900970228776E-2</v>
      </c>
      <c r="Z198" s="3">
        <f t="shared" si="134"/>
        <v>1.5641900970206804E-2</v>
      </c>
      <c r="AA198" s="3">
        <f t="shared" si="134"/>
        <v>1.5641900969987077E-2</v>
      </c>
      <c r="AB198" s="3">
        <f t="shared" si="134"/>
        <v>1.56419009677898E-2</v>
      </c>
      <c r="AC198" s="3">
        <f t="shared" si="134"/>
        <v>1.564190094581704E-2</v>
      </c>
      <c r="AD198" s="3">
        <f t="shared" si="134"/>
        <v>1.5641900726089439E-2</v>
      </c>
      <c r="AE198" s="3">
        <f t="shared" si="134"/>
        <v>1.5641898528813588E-2</v>
      </c>
      <c r="AF198" s="3">
        <f t="shared" si="134"/>
        <v>1.564187655607208E-2</v>
      </c>
      <c r="AG198" s="3"/>
      <c r="AH198" s="3"/>
    </row>
    <row r="199" spans="1:34" x14ac:dyDescent="0.25">
      <c r="B199" s="3">
        <f t="shared" ref="B199:AF199" si="135">$C46*EXP(-B$168/$A46/EXP(-$C$126))</f>
        <v>1.5176002473828224E-3</v>
      </c>
      <c r="C199" s="3">
        <f t="shared" si="135"/>
        <v>1.5176002473828224E-3</v>
      </c>
      <c r="D199" s="3">
        <f t="shared" si="135"/>
        <v>1.5176002473828224E-3</v>
      </c>
      <c r="E199" s="3">
        <f t="shared" si="135"/>
        <v>1.5176002473828224E-3</v>
      </c>
      <c r="F199" s="3">
        <f t="shared" si="135"/>
        <v>1.5176002473828224E-3</v>
      </c>
      <c r="G199" s="3">
        <f t="shared" si="135"/>
        <v>1.5176002473828224E-3</v>
      </c>
      <c r="H199" s="3">
        <f t="shared" si="135"/>
        <v>1.5176002473828224E-3</v>
      </c>
      <c r="I199" s="3">
        <f t="shared" si="135"/>
        <v>1.5176002473828224E-3</v>
      </c>
      <c r="J199" s="3">
        <f t="shared" si="135"/>
        <v>1.5176002473828224E-3</v>
      </c>
      <c r="K199" s="3">
        <f t="shared" si="135"/>
        <v>1.5176002473828224E-3</v>
      </c>
      <c r="L199" s="3">
        <f t="shared" si="135"/>
        <v>1.5176002473828224E-3</v>
      </c>
      <c r="M199" s="3">
        <f t="shared" si="135"/>
        <v>1.5176002473828224E-3</v>
      </c>
      <c r="N199" s="3">
        <f t="shared" si="135"/>
        <v>1.5176002473828224E-3</v>
      </c>
      <c r="O199" s="3">
        <f t="shared" si="135"/>
        <v>1.5176002473828224E-3</v>
      </c>
      <c r="P199" s="3">
        <f t="shared" si="135"/>
        <v>1.5176002473828224E-3</v>
      </c>
      <c r="Q199" s="3">
        <f t="shared" si="135"/>
        <v>1.5176002473828224E-3</v>
      </c>
      <c r="R199" s="3">
        <f t="shared" si="135"/>
        <v>1.5176002473828224E-3</v>
      </c>
      <c r="S199" s="3">
        <f t="shared" si="135"/>
        <v>1.5176002473828224E-3</v>
      </c>
      <c r="T199" s="3">
        <f t="shared" si="135"/>
        <v>1.5176002473828224E-3</v>
      </c>
      <c r="U199" s="3">
        <f t="shared" si="135"/>
        <v>1.5176002473828224E-3</v>
      </c>
      <c r="V199" s="3">
        <f t="shared" si="135"/>
        <v>1.5176002473828224E-3</v>
      </c>
      <c r="W199" s="3">
        <f t="shared" si="135"/>
        <v>1.5176002473828222E-3</v>
      </c>
      <c r="X199" s="3">
        <f t="shared" si="135"/>
        <v>1.51760024738282E-3</v>
      </c>
      <c r="Y199" s="3">
        <f t="shared" si="135"/>
        <v>1.5176002473827985E-3</v>
      </c>
      <c r="Z199" s="3">
        <f t="shared" si="135"/>
        <v>1.5176002473825856E-3</v>
      </c>
      <c r="AA199" s="3">
        <f t="shared" si="135"/>
        <v>1.5176002473804536E-3</v>
      </c>
      <c r="AB199" s="3">
        <f t="shared" si="135"/>
        <v>1.5176002473591354E-3</v>
      </c>
      <c r="AC199" s="3">
        <f t="shared" si="135"/>
        <v>1.5176002471459524E-3</v>
      </c>
      <c r="AD199" s="3">
        <f t="shared" si="135"/>
        <v>1.5176002450141229E-3</v>
      </c>
      <c r="AE199" s="3">
        <f t="shared" si="135"/>
        <v>1.5176002236958275E-3</v>
      </c>
      <c r="AF199" s="3">
        <f t="shared" si="135"/>
        <v>1.5176000105128918E-3</v>
      </c>
      <c r="AG199" s="3"/>
      <c r="AH199" s="3"/>
    </row>
    <row r="200" spans="1:34" x14ac:dyDescent="0.25">
      <c r="B200" s="3">
        <f t="shared" ref="B200:AF200" si="136">$C47*EXP(-B$168/$A47/EXP(-$C$126))</f>
        <v>3.5883218113444658E-3</v>
      </c>
      <c r="C200" s="3">
        <f t="shared" si="136"/>
        <v>3.5883218113444658E-3</v>
      </c>
      <c r="D200" s="3">
        <f t="shared" si="136"/>
        <v>3.5883218113444658E-3</v>
      </c>
      <c r="E200" s="3">
        <f t="shared" si="136"/>
        <v>3.5883218113444658E-3</v>
      </c>
      <c r="F200" s="3">
        <f t="shared" si="136"/>
        <v>3.5883218113444658E-3</v>
      </c>
      <c r="G200" s="3">
        <f t="shared" si="136"/>
        <v>3.5883218113444658E-3</v>
      </c>
      <c r="H200" s="3">
        <f t="shared" si="136"/>
        <v>3.5883218113444658E-3</v>
      </c>
      <c r="I200" s="3">
        <f t="shared" si="136"/>
        <v>3.5883218113444658E-3</v>
      </c>
      <c r="J200" s="3">
        <f t="shared" si="136"/>
        <v>3.5883218113444658E-3</v>
      </c>
      <c r="K200" s="3">
        <f t="shared" si="136"/>
        <v>3.5883218113444658E-3</v>
      </c>
      <c r="L200" s="3">
        <f t="shared" si="136"/>
        <v>3.5883218113444658E-3</v>
      </c>
      <c r="M200" s="3">
        <f t="shared" si="136"/>
        <v>3.5883218113444658E-3</v>
      </c>
      <c r="N200" s="3">
        <f t="shared" si="136"/>
        <v>3.5883218113444658E-3</v>
      </c>
      <c r="O200" s="3">
        <f t="shared" si="136"/>
        <v>3.5883218113444658E-3</v>
      </c>
      <c r="P200" s="3">
        <f t="shared" si="136"/>
        <v>3.5883218113444658E-3</v>
      </c>
      <c r="Q200" s="3">
        <f t="shared" si="136"/>
        <v>3.5883218113444658E-3</v>
      </c>
      <c r="R200" s="3">
        <f t="shared" si="136"/>
        <v>3.5883218113444658E-3</v>
      </c>
      <c r="S200" s="3">
        <f t="shared" si="136"/>
        <v>3.5883218113444658E-3</v>
      </c>
      <c r="T200" s="3">
        <f t="shared" si="136"/>
        <v>3.5883218113444658E-3</v>
      </c>
      <c r="U200" s="3">
        <f t="shared" si="136"/>
        <v>3.5883218113444658E-3</v>
      </c>
      <c r="V200" s="3">
        <f t="shared" si="136"/>
        <v>3.5883218113444658E-3</v>
      </c>
      <c r="W200" s="3">
        <f t="shared" si="136"/>
        <v>3.5883218113444658E-3</v>
      </c>
      <c r="X200" s="3">
        <f t="shared" si="136"/>
        <v>3.5883218113444654E-3</v>
      </c>
      <c r="Y200" s="3">
        <f t="shared" si="136"/>
        <v>3.5883218113444602E-3</v>
      </c>
      <c r="Z200" s="3">
        <f t="shared" si="136"/>
        <v>3.5883218113444094E-3</v>
      </c>
      <c r="AA200" s="3">
        <f t="shared" si="136"/>
        <v>3.5883218113439055E-3</v>
      </c>
      <c r="AB200" s="3">
        <f t="shared" si="136"/>
        <v>3.5883218113388648E-3</v>
      </c>
      <c r="AC200" s="3">
        <f t="shared" si="136"/>
        <v>3.5883218112884585E-3</v>
      </c>
      <c r="AD200" s="3">
        <f t="shared" si="136"/>
        <v>3.5883218107843934E-3</v>
      </c>
      <c r="AE200" s="3">
        <f t="shared" si="136"/>
        <v>3.5883218057437445E-3</v>
      </c>
      <c r="AF200" s="3">
        <f t="shared" si="136"/>
        <v>3.588321755337253E-3</v>
      </c>
      <c r="AG200" s="3"/>
      <c r="AH200" s="3"/>
    </row>
    <row r="201" spans="1:34" x14ac:dyDescent="0.25">
      <c r="B201" s="3">
        <f t="shared" ref="B201:AF201" si="137">$C48*EXP(-B$168/$A48/EXP(-$C$126))</f>
        <v>1.1419429769572463E-2</v>
      </c>
      <c r="C201" s="3">
        <f t="shared" si="137"/>
        <v>1.1419429769572463E-2</v>
      </c>
      <c r="D201" s="3">
        <f t="shared" si="137"/>
        <v>1.1419429769572463E-2</v>
      </c>
      <c r="E201" s="3">
        <f t="shared" si="137"/>
        <v>1.1419429769572463E-2</v>
      </c>
      <c r="F201" s="3">
        <f t="shared" si="137"/>
        <v>1.1419429769572463E-2</v>
      </c>
      <c r="G201" s="3">
        <f t="shared" si="137"/>
        <v>1.1419429769572463E-2</v>
      </c>
      <c r="H201" s="3">
        <f t="shared" si="137"/>
        <v>1.1419429769572463E-2</v>
      </c>
      <c r="I201" s="3">
        <f t="shared" si="137"/>
        <v>1.1419429769572463E-2</v>
      </c>
      <c r="J201" s="3">
        <f t="shared" si="137"/>
        <v>1.1419429769572463E-2</v>
      </c>
      <c r="K201" s="3">
        <f t="shared" si="137"/>
        <v>1.1419429769572463E-2</v>
      </c>
      <c r="L201" s="3">
        <f t="shared" si="137"/>
        <v>1.1419429769572463E-2</v>
      </c>
      <c r="M201" s="3">
        <f t="shared" si="137"/>
        <v>1.1419429769572463E-2</v>
      </c>
      <c r="N201" s="3">
        <f t="shared" si="137"/>
        <v>1.1419429769572463E-2</v>
      </c>
      <c r="O201" s="3">
        <f t="shared" si="137"/>
        <v>1.1419429769572463E-2</v>
      </c>
      <c r="P201" s="3">
        <f t="shared" si="137"/>
        <v>1.1419429769572463E-2</v>
      </c>
      <c r="Q201" s="3">
        <f t="shared" si="137"/>
        <v>1.1419429769572463E-2</v>
      </c>
      <c r="R201" s="3">
        <f t="shared" si="137"/>
        <v>1.1419429769572463E-2</v>
      </c>
      <c r="S201" s="3">
        <f t="shared" si="137"/>
        <v>1.1419429769572463E-2</v>
      </c>
      <c r="T201" s="3">
        <f t="shared" si="137"/>
        <v>1.1419429769572463E-2</v>
      </c>
      <c r="U201" s="3">
        <f t="shared" si="137"/>
        <v>1.1419429769572463E-2</v>
      </c>
      <c r="V201" s="3">
        <f t="shared" si="137"/>
        <v>1.1419429769572463E-2</v>
      </c>
      <c r="W201" s="3">
        <f t="shared" si="137"/>
        <v>1.1419429769572463E-2</v>
      </c>
      <c r="X201" s="3">
        <f t="shared" si="137"/>
        <v>1.1419429769572463E-2</v>
      </c>
      <c r="Y201" s="3">
        <f t="shared" si="137"/>
        <v>1.1419429769572461E-2</v>
      </c>
      <c r="Z201" s="3">
        <f t="shared" si="137"/>
        <v>1.1419429769572446E-2</v>
      </c>
      <c r="AA201" s="3">
        <f t="shared" si="137"/>
        <v>1.1419429769572284E-2</v>
      </c>
      <c r="AB201" s="3">
        <f t="shared" si="137"/>
        <v>1.141942976957068E-2</v>
      </c>
      <c r="AC201" s="3">
        <f t="shared" si="137"/>
        <v>1.1419429769554639E-2</v>
      </c>
      <c r="AD201" s="3">
        <f t="shared" si="137"/>
        <v>1.1419429769394227E-2</v>
      </c>
      <c r="AE201" s="3">
        <f t="shared" si="137"/>
        <v>1.1419429767790097E-2</v>
      </c>
      <c r="AF201" s="3">
        <f t="shared" si="137"/>
        <v>1.1419429751748799E-2</v>
      </c>
      <c r="AG201" s="3"/>
      <c r="AH201" s="3"/>
    </row>
    <row r="202" spans="1:34" x14ac:dyDescent="0.25">
      <c r="A202" s="80">
        <f>AVERAGE(B202:AF202)</f>
        <v>1.7785270522187847E-2</v>
      </c>
      <c r="B202" s="81">
        <f>IF($A$64&lt;=B168,IF($B$64&gt;=B168,ABS((B170-B169)/B169),0),0)</f>
        <v>9.9102687184360696E-4</v>
      </c>
      <c r="C202" s="81">
        <f t="shared" ref="C202:AF202" si="138">IF($A$64&lt;=C168,IF($B$64&gt;=C168,ABS((C170-C169)/C169),0),0)</f>
        <v>1.309632567113265E-3</v>
      </c>
      <c r="D202" s="81">
        <f t="shared" si="138"/>
        <v>4.2034229619500605E-3</v>
      </c>
      <c r="E202" s="81">
        <f t="shared" si="138"/>
        <v>1.8698457123752288E-2</v>
      </c>
      <c r="F202" s="81">
        <f t="shared" si="138"/>
        <v>2.3411773614139517E-2</v>
      </c>
      <c r="G202" s="81">
        <f t="shared" si="138"/>
        <v>2.3397384532243496E-2</v>
      </c>
      <c r="H202" s="81">
        <f t="shared" si="138"/>
        <v>2.3255510140166514E-2</v>
      </c>
      <c r="I202" s="81">
        <f t="shared" si="138"/>
        <v>2.1891963689769714E-2</v>
      </c>
      <c r="J202" s="81">
        <f t="shared" si="138"/>
        <v>1.0510018436938967E-2</v>
      </c>
      <c r="K202" s="81">
        <f t="shared" si="138"/>
        <v>3.8926759036158713E-3</v>
      </c>
      <c r="L202" s="81">
        <f t="shared" si="138"/>
        <v>1.3690812001991234E-2</v>
      </c>
      <c r="M202" s="81">
        <f t="shared" si="138"/>
        <v>8.4638868161098311E-3</v>
      </c>
      <c r="N202" s="81">
        <f t="shared" si="138"/>
        <v>1.0672370465607832E-2</v>
      </c>
      <c r="O202" s="81">
        <f t="shared" si="138"/>
        <v>1.1465370496321846E-2</v>
      </c>
      <c r="P202" s="81">
        <f t="shared" si="138"/>
        <v>1.2871136736978888E-2</v>
      </c>
      <c r="Q202" s="81">
        <f t="shared" si="138"/>
        <v>1.3843877243085632E-2</v>
      </c>
      <c r="R202" s="81">
        <f t="shared" si="138"/>
        <v>1.4015662360991794E-2</v>
      </c>
      <c r="S202" s="81">
        <f t="shared" si="138"/>
        <v>1.3921118241695117E-2</v>
      </c>
      <c r="T202" s="81">
        <f t="shared" si="138"/>
        <v>1.367872876515518E-2</v>
      </c>
      <c r="U202" s="81">
        <f t="shared" si="138"/>
        <v>6.2737188077561165E-3</v>
      </c>
      <c r="V202" s="81">
        <f t="shared" si="138"/>
        <v>1.0118931690582667E-2</v>
      </c>
      <c r="W202" s="81">
        <f t="shared" si="138"/>
        <v>2.8648226974737061E-2</v>
      </c>
      <c r="X202" s="81">
        <f t="shared" si="138"/>
        <v>3.9180576279241749E-2</v>
      </c>
      <c r="Y202" s="81">
        <f t="shared" si="138"/>
        <v>4.6938389491919884E-2</v>
      </c>
      <c r="Z202" s="81">
        <f t="shared" si="138"/>
        <v>4.3807287526851188E-2</v>
      </c>
      <c r="AA202" s="81">
        <f t="shared" si="138"/>
        <v>3.4169779262472728E-2</v>
      </c>
      <c r="AB202" s="81">
        <f t="shared" si="138"/>
        <v>1.7750313595273959E-2</v>
      </c>
      <c r="AC202" s="81">
        <f t="shared" si="138"/>
        <v>7.476393484770057E-3</v>
      </c>
      <c r="AD202" s="81">
        <f t="shared" si="138"/>
        <v>8.798144265205499E-3</v>
      </c>
      <c r="AE202" s="81">
        <f t="shared" si="138"/>
        <v>1.1707229896981655E-2</v>
      </c>
      <c r="AF202" s="81">
        <f t="shared" si="138"/>
        <v>5.2289565942560082E-2</v>
      </c>
    </row>
    <row r="203" spans="1:34" x14ac:dyDescent="0.25">
      <c r="B203" s="21">
        <f>(B170-B169)^2</f>
        <v>31.014966181703855</v>
      </c>
      <c r="C203" s="21">
        <f t="shared" ref="C203:AF203" si="139">(C170-C169)^2</f>
        <v>54.163218754603896</v>
      </c>
      <c r="D203" s="21">
        <f t="shared" si="139"/>
        <v>557.96704451847825</v>
      </c>
      <c r="E203" s="21">
        <f t="shared" si="139"/>
        <v>11041.11160197046</v>
      </c>
      <c r="F203" s="21">
        <f t="shared" si="139"/>
        <v>17308.84781223107</v>
      </c>
      <c r="G203" s="21">
        <f t="shared" si="139"/>
        <v>17287.002242454742</v>
      </c>
      <c r="H203" s="21">
        <f t="shared" si="139"/>
        <v>17072.377250436693</v>
      </c>
      <c r="I203" s="21">
        <f t="shared" si="139"/>
        <v>15081.132874036743</v>
      </c>
      <c r="J203" s="21">
        <f t="shared" si="139"/>
        <v>3383.7036010153788</v>
      </c>
      <c r="K203" s="21">
        <f t="shared" si="139"/>
        <v>437.02840867002226</v>
      </c>
      <c r="L203" s="21">
        <f t="shared" si="139"/>
        <v>5181.6623621027147</v>
      </c>
      <c r="M203" s="21">
        <f t="shared" si="139"/>
        <v>1899.2295786658967</v>
      </c>
      <c r="N203" s="21">
        <f t="shared" si="139"/>
        <v>2878.2327469912739</v>
      </c>
      <c r="O203" s="21">
        <f t="shared" si="139"/>
        <v>3153.8997260662732</v>
      </c>
      <c r="P203" s="21">
        <f t="shared" si="139"/>
        <v>3743.0805821482209</v>
      </c>
      <c r="Q203" s="21">
        <f t="shared" si="139"/>
        <v>4050.6863201557644</v>
      </c>
      <c r="R203" s="21">
        <f t="shared" si="139"/>
        <v>3868.1222486470051</v>
      </c>
      <c r="S203" s="21">
        <f t="shared" si="139"/>
        <v>3554.5373626848141</v>
      </c>
      <c r="T203" s="21">
        <f t="shared" si="139"/>
        <v>3152.4496501694016</v>
      </c>
      <c r="U203" s="21">
        <f t="shared" si="139"/>
        <v>587.54355914175085</v>
      </c>
      <c r="V203" s="21">
        <f t="shared" si="139"/>
        <v>1321.9499262378622</v>
      </c>
      <c r="W203" s="21">
        <f t="shared" si="139"/>
        <v>9268.1931110302448</v>
      </c>
      <c r="X203" s="21">
        <f t="shared" si="139"/>
        <v>15418.85291636371</v>
      </c>
      <c r="Y203" s="21">
        <f t="shared" si="139"/>
        <v>19681.518857624145</v>
      </c>
      <c r="Z203" s="21">
        <f t="shared" si="139"/>
        <v>15342.137920176259</v>
      </c>
      <c r="AA203" s="21">
        <f t="shared" si="139"/>
        <v>8324.581313697634</v>
      </c>
      <c r="AB203" s="21">
        <f t="shared" si="139"/>
        <v>1993.8012172400568</v>
      </c>
      <c r="AC203" s="21">
        <f t="shared" si="139"/>
        <v>305.20655388239533</v>
      </c>
      <c r="AD203" s="21">
        <f t="shared" si="139"/>
        <v>357.93814616388653</v>
      </c>
      <c r="AE203" s="21">
        <f t="shared" si="139"/>
        <v>516.11127428024713</v>
      </c>
      <c r="AF203" s="21">
        <f t="shared" si="139"/>
        <v>7931.6348752738195</v>
      </c>
      <c r="AG203" s="3"/>
      <c r="AH203" s="3"/>
    </row>
    <row r="204" spans="1:34" x14ac:dyDescent="0.25">
      <c r="A204" s="72">
        <f>SUM(B204:AF204)</f>
        <v>194785.71926901327</v>
      </c>
      <c r="B204" s="60">
        <f>IF($A$64&lt;=B168,IF($B$64&gt;=B168,ABS(B203),0),0)</f>
        <v>31.014966181703855</v>
      </c>
      <c r="C204" s="60">
        <f t="shared" ref="C204" si="140">IF($A$64&lt;=C168,IF($B$64&gt;=C168,ABS(C203),0),0)</f>
        <v>54.163218754603896</v>
      </c>
      <c r="D204" s="60">
        <f t="shared" ref="D204" si="141">IF($A$64&lt;=D168,IF($B$64&gt;=D168,ABS(D203),0),0)</f>
        <v>557.96704451847825</v>
      </c>
      <c r="E204" s="60">
        <f t="shared" ref="E204" si="142">IF($A$64&lt;=E168,IF($B$64&gt;=E168,ABS(E203),0),0)</f>
        <v>11041.11160197046</v>
      </c>
      <c r="F204" s="60">
        <f t="shared" ref="F204" si="143">IF($A$64&lt;=F168,IF($B$64&gt;=F168,ABS(F203),0),0)</f>
        <v>17308.84781223107</v>
      </c>
      <c r="G204" s="60">
        <f t="shared" ref="G204" si="144">IF($A$64&lt;=G168,IF($B$64&gt;=G168,ABS(G203),0),0)</f>
        <v>17287.002242454742</v>
      </c>
      <c r="H204" s="60">
        <f t="shared" ref="H204" si="145">IF($A$64&lt;=H168,IF($B$64&gt;=H168,ABS(H203),0),0)</f>
        <v>17072.377250436693</v>
      </c>
      <c r="I204" s="60">
        <f t="shared" ref="I204" si="146">IF($A$64&lt;=I168,IF($B$64&gt;=I168,ABS(I203),0),0)</f>
        <v>15081.132874036743</v>
      </c>
      <c r="J204" s="60">
        <f t="shared" ref="J204" si="147">IF($A$64&lt;=J168,IF($B$64&gt;=J168,ABS(J203),0),0)</f>
        <v>3383.7036010153788</v>
      </c>
      <c r="K204" s="60">
        <f t="shared" ref="K204" si="148">IF($A$64&lt;=K168,IF($B$64&gt;=K168,ABS(K203),0),0)</f>
        <v>437.02840867002226</v>
      </c>
      <c r="L204" s="60">
        <f t="shared" ref="L204" si="149">IF($A$64&lt;=L168,IF($B$64&gt;=L168,ABS(L203),0),0)</f>
        <v>5181.6623621027147</v>
      </c>
      <c r="M204" s="60">
        <f t="shared" ref="M204" si="150">IF($A$64&lt;=M168,IF($B$64&gt;=M168,ABS(M203),0),0)</f>
        <v>1899.2295786658967</v>
      </c>
      <c r="N204" s="60">
        <f t="shared" ref="N204" si="151">IF($A$64&lt;=N168,IF($B$64&gt;=N168,ABS(N203),0),0)</f>
        <v>2878.2327469912739</v>
      </c>
      <c r="O204" s="60">
        <f t="shared" ref="O204" si="152">IF($A$64&lt;=O168,IF($B$64&gt;=O168,ABS(O203),0),0)</f>
        <v>3153.8997260662732</v>
      </c>
      <c r="P204" s="60">
        <f t="shared" ref="P204" si="153">IF($A$64&lt;=P168,IF($B$64&gt;=P168,ABS(P203),0),0)</f>
        <v>3743.0805821482209</v>
      </c>
      <c r="Q204" s="60">
        <f t="shared" ref="Q204" si="154">IF($A$64&lt;=Q168,IF($B$64&gt;=Q168,ABS(Q203),0),0)</f>
        <v>4050.6863201557644</v>
      </c>
      <c r="R204" s="60">
        <f t="shared" ref="R204" si="155">IF($A$64&lt;=R168,IF($B$64&gt;=R168,ABS(R203),0),0)</f>
        <v>3868.1222486470051</v>
      </c>
      <c r="S204" s="60">
        <f t="shared" ref="S204" si="156">IF($A$64&lt;=S168,IF($B$64&gt;=S168,ABS(S203),0),0)</f>
        <v>3554.5373626848141</v>
      </c>
      <c r="T204" s="60">
        <f t="shared" ref="T204" si="157">IF($A$64&lt;=T168,IF($B$64&gt;=T168,ABS(T203),0),0)</f>
        <v>3152.4496501694016</v>
      </c>
      <c r="U204" s="60">
        <f t="shared" ref="U204" si="158">IF($A$64&lt;=U168,IF($B$64&gt;=U168,ABS(U203),0),0)</f>
        <v>587.54355914175085</v>
      </c>
      <c r="V204" s="60">
        <f t="shared" ref="V204" si="159">IF($A$64&lt;=V168,IF($B$64&gt;=V168,ABS(V203),0),0)</f>
        <v>1321.9499262378622</v>
      </c>
      <c r="W204" s="60">
        <f t="shared" ref="W204" si="160">IF($A$64&lt;=W168,IF($B$64&gt;=W168,ABS(W203),0),0)</f>
        <v>9268.1931110302448</v>
      </c>
      <c r="X204" s="60">
        <f t="shared" ref="X204" si="161">IF($A$64&lt;=X168,IF($B$64&gt;=X168,ABS(X203),0),0)</f>
        <v>15418.85291636371</v>
      </c>
      <c r="Y204" s="60">
        <f t="shared" ref="Y204" si="162">IF($A$64&lt;=Y168,IF($B$64&gt;=Y168,ABS(Y203),0),0)</f>
        <v>19681.518857624145</v>
      </c>
      <c r="Z204" s="60">
        <f t="shared" ref="Z204" si="163">IF($A$64&lt;=Z168,IF($B$64&gt;=Z168,ABS(Z203),0),0)</f>
        <v>15342.137920176259</v>
      </c>
      <c r="AA204" s="60">
        <f t="shared" ref="AA204" si="164">IF($A$64&lt;=AA168,IF($B$64&gt;=AA168,ABS(AA203),0),0)</f>
        <v>8324.581313697634</v>
      </c>
      <c r="AB204" s="60">
        <f t="shared" ref="AB204" si="165">IF($A$64&lt;=AB168,IF($B$64&gt;=AB168,ABS(AB203),0),0)</f>
        <v>1993.8012172400568</v>
      </c>
      <c r="AC204" s="60">
        <f t="shared" ref="AC204" si="166">IF($A$64&lt;=AC168,IF($B$64&gt;=AC168,ABS(AC203),0),0)</f>
        <v>305.20655388239533</v>
      </c>
      <c r="AD204" s="60">
        <f t="shared" ref="AD204" si="167">IF($A$64&lt;=AD168,IF($B$64&gt;=AD168,ABS(AD203),0),0)</f>
        <v>357.93814616388653</v>
      </c>
      <c r="AE204" s="60">
        <f t="shared" ref="AE204" si="168">IF($A$64&lt;=AE168,IF($B$64&gt;=AE168,ABS(AE203),0),0)</f>
        <v>516.11127428024713</v>
      </c>
      <c r="AF204" s="60">
        <f t="shared" ref="AF204" si="169">IF($A$64&lt;=AF168,IF($B$64&gt;=AF168,ABS(AF203),0),0)</f>
        <v>7931.6348752738195</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1" t="s">
        <v>22</v>
      </c>
      <c r="B209" s="27">
        <f>($C$17+SUM(B210:B240))*$B$51</f>
        <v>5552.6875488624792</v>
      </c>
      <c r="C209" s="27">
        <f t="shared" ref="C209:AF209" si="170">($C$17+SUM(C210:C240))*$B$51</f>
        <v>5488.1234847037031</v>
      </c>
      <c r="D209" s="27">
        <f t="shared" si="170"/>
        <v>5487.9600765720888</v>
      </c>
      <c r="E209" s="27">
        <f t="shared" si="170"/>
        <v>5487.915115851195</v>
      </c>
      <c r="F209" s="27">
        <f t="shared" si="170"/>
        <v>5487.4658816475921</v>
      </c>
      <c r="G209" s="27">
        <f t="shared" si="170"/>
        <v>5483.0106288713341</v>
      </c>
      <c r="H209" s="27">
        <f t="shared" si="170"/>
        <v>5441.9644926290985</v>
      </c>
      <c r="I209" s="27">
        <f t="shared" si="170"/>
        <v>5243.8035477298854</v>
      </c>
      <c r="J209" s="27">
        <f t="shared" si="170"/>
        <v>5138.9599820079011</v>
      </c>
      <c r="K209" s="27">
        <f t="shared" si="170"/>
        <v>5023.4125156264909</v>
      </c>
      <c r="L209" s="27">
        <f t="shared" si="170"/>
        <v>4894.0314281165911</v>
      </c>
      <c r="M209" s="27">
        <f t="shared" si="170"/>
        <v>4752.5393498598405</v>
      </c>
      <c r="N209" s="27">
        <f t="shared" si="170"/>
        <v>4597.8739181754154</v>
      </c>
      <c r="O209" s="27">
        <f t="shared" si="170"/>
        <v>4439.4290670257678</v>
      </c>
      <c r="P209" s="27">
        <f t="shared" si="170"/>
        <v>4285.6753818712168</v>
      </c>
      <c r="Q209" s="27">
        <f t="shared" si="170"/>
        <v>4122.8664357409334</v>
      </c>
      <c r="R209" s="27">
        <f t="shared" si="170"/>
        <v>3927.1422632239437</v>
      </c>
      <c r="S209" s="27">
        <f t="shared" si="170"/>
        <v>3711.1500658071764</v>
      </c>
      <c r="T209" s="27">
        <f t="shared" si="170"/>
        <v>3518.4422247309326</v>
      </c>
      <c r="U209" s="27">
        <f t="shared" si="170"/>
        <v>3356.3619212981598</v>
      </c>
      <c r="V209" s="27">
        <f t="shared" si="170"/>
        <v>3189.4394064579042</v>
      </c>
      <c r="W209" s="27">
        <f t="shared" si="170"/>
        <v>3018.5110900273389</v>
      </c>
      <c r="X209" s="27">
        <f t="shared" si="170"/>
        <v>2827.7647929466884</v>
      </c>
      <c r="Y209" s="27">
        <f t="shared" si="170"/>
        <v>2631.381152484561</v>
      </c>
      <c r="Z209" s="27">
        <f t="shared" si="170"/>
        <v>2420.8623327978648</v>
      </c>
      <c r="AA209" s="27">
        <f t="shared" si="170"/>
        <v>2212.5463411641967</v>
      </c>
      <c r="AB209" s="27">
        <f t="shared" si="170"/>
        <v>1973.2414098713693</v>
      </c>
      <c r="AC209" s="27">
        <f t="shared" si="170"/>
        <v>1760.7404844050882</v>
      </c>
      <c r="AD209" s="27">
        <f t="shared" si="170"/>
        <v>1444.1806949358984</v>
      </c>
      <c r="AE209" s="27">
        <f t="shared" si="170"/>
        <v>1161.1122780098472</v>
      </c>
      <c r="AF209" s="27">
        <f t="shared" si="170"/>
        <v>832.19954888986138</v>
      </c>
      <c r="AG209" s="27"/>
      <c r="AH209" s="27"/>
    </row>
    <row r="210" spans="1:34" x14ac:dyDescent="0.25">
      <c r="B210" s="3">
        <f t="shared" ref="B210:AF210" si="171">$C18*EXP(-B$207/$A18/EXP(-$D$126))</f>
        <v>1.1528442033520688E-2</v>
      </c>
      <c r="C210" s="3">
        <f t="shared" si="171"/>
        <v>2.8305510796342107E-5</v>
      </c>
      <c r="D210" s="3">
        <f t="shared" si="171"/>
        <v>2.2535892339363239E-31</v>
      </c>
      <c r="E210" s="3">
        <f t="shared" si="171"/>
        <v>2.3062818785738116E-292</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5.0929915195103613E-2</v>
      </c>
      <c r="C211" s="3">
        <f t="shared" si="172"/>
        <v>5.0929836795471861E-2</v>
      </c>
      <c r="D211" s="3">
        <f t="shared" si="172"/>
        <v>5.0929052805791949E-2</v>
      </c>
      <c r="E211" s="3">
        <f t="shared" si="172"/>
        <v>5.0921213572722231E-2</v>
      </c>
      <c r="F211" s="3">
        <f t="shared" si="172"/>
        <v>5.084288757717477E-2</v>
      </c>
      <c r="G211" s="3">
        <f t="shared" si="172"/>
        <v>5.006622350957337E-2</v>
      </c>
      <c r="H211" s="3">
        <f t="shared" si="172"/>
        <v>4.2923101244401844E-2</v>
      </c>
      <c r="I211" s="3">
        <f t="shared" si="172"/>
        <v>9.2077534384180405E-3</v>
      </c>
      <c r="J211" s="3">
        <f t="shared" si="172"/>
        <v>1.9001136086606797E-9</v>
      </c>
      <c r="K211" s="3">
        <f t="shared" si="172"/>
        <v>2.6609605637750026E-76</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9.6872853736331404E-3</v>
      </c>
      <c r="C212" s="3">
        <f t="shared" si="173"/>
        <v>9.6872840284232282E-3</v>
      </c>
      <c r="D212" s="3">
        <f t="shared" si="173"/>
        <v>9.6872705763343895E-3</v>
      </c>
      <c r="E212" s="3">
        <f t="shared" si="173"/>
        <v>9.6871360564733996E-3</v>
      </c>
      <c r="F212" s="3">
        <f t="shared" si="173"/>
        <v>9.6857909605979255E-3</v>
      </c>
      <c r="G212" s="3">
        <f t="shared" si="173"/>
        <v>9.67235027000902E-3</v>
      </c>
      <c r="H212" s="3">
        <f t="shared" si="173"/>
        <v>9.5389649245126527E-3</v>
      </c>
      <c r="I212" s="3">
        <f t="shared" si="173"/>
        <v>8.3022081118982842E-3</v>
      </c>
      <c r="J212" s="3">
        <f t="shared" si="173"/>
        <v>2.0707003347782763E-3</v>
      </c>
      <c r="K212" s="3">
        <f t="shared" si="173"/>
        <v>1.9290950836542369E-9</v>
      </c>
      <c r="L212" s="3">
        <f t="shared" si="173"/>
        <v>9.4998651228683695E-70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2.5365400877422704E-2</v>
      </c>
      <c r="C213" s="3">
        <f t="shared" si="174"/>
        <v>2.5365400559679469E-2</v>
      </c>
      <c r="D213" s="3">
        <f t="shared" si="174"/>
        <v>2.5365397382247332E-2</v>
      </c>
      <c r="E213" s="3">
        <f t="shared" si="174"/>
        <v>2.5365365607947863E-2</v>
      </c>
      <c r="F213" s="3">
        <f t="shared" si="174"/>
        <v>2.5365047867142297E-2</v>
      </c>
      <c r="G213" s="3">
        <f t="shared" si="174"/>
        <v>2.5361870677989388E-2</v>
      </c>
      <c r="H213" s="3">
        <f t="shared" si="174"/>
        <v>2.5330120666593375E-2</v>
      </c>
      <c r="I213" s="3">
        <f t="shared" si="174"/>
        <v>2.5014798458701068E-2</v>
      </c>
      <c r="J213" s="3">
        <f t="shared" si="174"/>
        <v>2.2069602100889381E-2</v>
      </c>
      <c r="K213" s="3">
        <f t="shared" si="174"/>
        <v>6.3062248797800119E-3</v>
      </c>
      <c r="L213" s="3">
        <f t="shared" si="174"/>
        <v>2.2883315986374005E-8</v>
      </c>
      <c r="M213" s="3">
        <f t="shared" si="174"/>
        <v>9.0576179412785084E-63</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2.3099378114318031E-2</v>
      </c>
      <c r="C214" s="3">
        <f t="shared" si="175"/>
        <v>2.3099378088215571E-2</v>
      </c>
      <c r="D214" s="3">
        <f t="shared" si="175"/>
        <v>2.3099377827190955E-2</v>
      </c>
      <c r="E214" s="3">
        <f t="shared" si="175"/>
        <v>2.3099375216944981E-2</v>
      </c>
      <c r="F214" s="3">
        <f t="shared" si="175"/>
        <v>2.3099349114501448E-2</v>
      </c>
      <c r="G214" s="3">
        <f t="shared" si="175"/>
        <v>2.3099088091688414E-2</v>
      </c>
      <c r="H214" s="3">
        <f t="shared" si="175"/>
        <v>2.3096478025778366E-2</v>
      </c>
      <c r="I214" s="3">
        <f t="shared" si="175"/>
        <v>2.3070393581925773E-2</v>
      </c>
      <c r="J214" s="3">
        <f t="shared" si="175"/>
        <v>2.2811163908997664E-2</v>
      </c>
      <c r="K214" s="3">
        <f t="shared" si="175"/>
        <v>2.0373791613447489E-2</v>
      </c>
      <c r="L214" s="3">
        <f t="shared" si="175"/>
        <v>6.5813654435850581E-3</v>
      </c>
      <c r="M214" s="3">
        <f t="shared" si="175"/>
        <v>8.1424945007560062E-8</v>
      </c>
      <c r="N214" s="3">
        <f t="shared" si="175"/>
        <v>6.8418279316920586E-57</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2.7649262864353139E-2</v>
      </c>
      <c r="C215" s="3">
        <f t="shared" si="176"/>
        <v>2.7649262861534681E-2</v>
      </c>
      <c r="D215" s="3">
        <f t="shared" si="176"/>
        <v>2.7649262833350119E-2</v>
      </c>
      <c r="E215" s="3">
        <f t="shared" si="176"/>
        <v>2.7649262551504478E-2</v>
      </c>
      <c r="F215" s="3">
        <f t="shared" si="176"/>
        <v>2.7649259733048225E-2</v>
      </c>
      <c r="G215" s="3">
        <f t="shared" si="176"/>
        <v>2.7649231548501504E-2</v>
      </c>
      <c r="H215" s="3">
        <f t="shared" si="176"/>
        <v>2.7648949704614456E-2</v>
      </c>
      <c r="I215" s="3">
        <f t="shared" si="176"/>
        <v>2.764613142375362E-2</v>
      </c>
      <c r="J215" s="3">
        <f t="shared" si="176"/>
        <v>2.7617964410151297E-2</v>
      </c>
      <c r="K215" s="3">
        <f t="shared" si="176"/>
        <v>2.7337867833643906E-2</v>
      </c>
      <c r="L215" s="3">
        <f t="shared" si="176"/>
        <v>2.4688481502437531E-2</v>
      </c>
      <c r="M215" s="3">
        <f t="shared" si="176"/>
        <v>8.9082371960987027E-3</v>
      </c>
      <c r="N215" s="3">
        <f t="shared" si="176"/>
        <v>3.3324658402851446E-7</v>
      </c>
      <c r="O215" s="3">
        <f t="shared" si="176"/>
        <v>1.7885663128741685E-51</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2.9567803961659676E-2</v>
      </c>
      <c r="C216" s="3">
        <f t="shared" si="177"/>
        <v>2.9567803961387789E-2</v>
      </c>
      <c r="D216" s="3">
        <f t="shared" si="177"/>
        <v>2.9567803958668887E-2</v>
      </c>
      <c r="E216" s="3">
        <f t="shared" si="177"/>
        <v>2.9567803931479873E-2</v>
      </c>
      <c r="F216" s="3">
        <f t="shared" si="177"/>
        <v>2.9567803659589754E-2</v>
      </c>
      <c r="G216" s="3">
        <f t="shared" si="177"/>
        <v>2.9567800940688692E-2</v>
      </c>
      <c r="H216" s="3">
        <f t="shared" si="177"/>
        <v>2.9567773751691818E-2</v>
      </c>
      <c r="I216" s="3">
        <f t="shared" si="177"/>
        <v>2.9567501863098162E-2</v>
      </c>
      <c r="J216" s="3">
        <f t="shared" si="177"/>
        <v>2.9564783114665216E-2</v>
      </c>
      <c r="K216" s="3">
        <f t="shared" si="177"/>
        <v>2.9537609376018268E-2</v>
      </c>
      <c r="L216" s="3">
        <f t="shared" si="177"/>
        <v>2.9267241892552035E-2</v>
      </c>
      <c r="M216" s="3">
        <f t="shared" si="177"/>
        <v>2.6696008932358427E-2</v>
      </c>
      <c r="N216" s="3">
        <f t="shared" si="177"/>
        <v>1.0643678759824889E-2</v>
      </c>
      <c r="O216" s="3">
        <f t="shared" si="177"/>
        <v>1.0803039248017771E-6</v>
      </c>
      <c r="P216" s="3">
        <f t="shared" si="177"/>
        <v>1.2533948559789135E-46</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2.9957814581890889E-2</v>
      </c>
      <c r="C217" s="3">
        <f t="shared" si="178"/>
        <v>2.9957814581866037E-2</v>
      </c>
      <c r="D217" s="3">
        <f t="shared" si="178"/>
        <v>2.9957814581617538E-2</v>
      </c>
      <c r="E217" s="3">
        <f t="shared" si="178"/>
        <v>2.9957814579132512E-2</v>
      </c>
      <c r="F217" s="3">
        <f t="shared" si="178"/>
        <v>2.9957814554282244E-2</v>
      </c>
      <c r="G217" s="3">
        <f t="shared" si="178"/>
        <v>2.9957814305779564E-2</v>
      </c>
      <c r="H217" s="3">
        <f t="shared" si="178"/>
        <v>2.995781182075288E-2</v>
      </c>
      <c r="I217" s="3">
        <f t="shared" si="178"/>
        <v>2.9957786970497405E-2</v>
      </c>
      <c r="J217" s="3">
        <f t="shared" si="178"/>
        <v>2.995753846907636E-2</v>
      </c>
      <c r="K217" s="3">
        <f t="shared" si="178"/>
        <v>2.9955053568236408E-2</v>
      </c>
      <c r="L217" s="3">
        <f t="shared" si="178"/>
        <v>2.9930215893404052E-2</v>
      </c>
      <c r="M217" s="3">
        <f t="shared" si="178"/>
        <v>2.9682969031025002E-2</v>
      </c>
      <c r="N217" s="3">
        <f t="shared" si="178"/>
        <v>2.73200967815041E-2</v>
      </c>
      <c r="O217" s="3">
        <f t="shared" si="178"/>
        <v>1.1918762855747007E-2</v>
      </c>
      <c r="P217" s="3">
        <f t="shared" si="178"/>
        <v>2.9766010600073392E-6</v>
      </c>
      <c r="Q217" s="3">
        <f t="shared" si="178"/>
        <v>2.8094102629403997E-42</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2.7071321334420646E-2</v>
      </c>
      <c r="C218" s="3">
        <f t="shared" si="179"/>
        <v>2.707132133441862E-2</v>
      </c>
      <c r="D218" s="3">
        <f t="shared" si="179"/>
        <v>2.7071321334398362E-2</v>
      </c>
      <c r="E218" s="3">
        <f t="shared" si="179"/>
        <v>2.7071321334195795E-2</v>
      </c>
      <c r="F218" s="3">
        <f t="shared" si="179"/>
        <v>2.7071321332170085E-2</v>
      </c>
      <c r="G218" s="3">
        <f t="shared" si="179"/>
        <v>2.7071321311912998E-2</v>
      </c>
      <c r="H218" s="3">
        <f t="shared" si="179"/>
        <v>2.7071321109342128E-2</v>
      </c>
      <c r="I218" s="3">
        <f t="shared" si="179"/>
        <v>2.7071319083633513E-2</v>
      </c>
      <c r="J218" s="3">
        <f t="shared" si="179"/>
        <v>2.7071298826555724E-2</v>
      </c>
      <c r="K218" s="3">
        <f t="shared" si="179"/>
        <v>2.7071096256611492E-2</v>
      </c>
      <c r="L218" s="3">
        <f t="shared" si="179"/>
        <v>2.7069070640536146E-2</v>
      </c>
      <c r="M218" s="3">
        <f t="shared" si="179"/>
        <v>2.7048822814169062E-2</v>
      </c>
      <c r="N218" s="3">
        <f t="shared" si="179"/>
        <v>2.6847175686241891E-2</v>
      </c>
      <c r="O218" s="3">
        <f t="shared" si="179"/>
        <v>2.4911562185565696E-2</v>
      </c>
      <c r="P218" s="3">
        <f t="shared" si="179"/>
        <v>1.1787576963645645E-2</v>
      </c>
      <c r="Q218" s="3">
        <f t="shared" si="179"/>
        <v>6.6322414446477919E-6</v>
      </c>
      <c r="R218" s="3">
        <f t="shared" si="179"/>
        <v>2.1087165008723668E-38</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3.20105385645017E-2</v>
      </c>
      <c r="C219" s="3">
        <f t="shared" si="180"/>
        <v>3.2010538564501485E-2</v>
      </c>
      <c r="D219" s="3">
        <f t="shared" si="180"/>
        <v>3.2010538564499327E-2</v>
      </c>
      <c r="E219" s="3">
        <f t="shared" si="180"/>
        <v>3.201053856447772E-2</v>
      </c>
      <c r="F219" s="3">
        <f t="shared" si="180"/>
        <v>3.2010538564261642E-2</v>
      </c>
      <c r="G219" s="3">
        <f t="shared" si="180"/>
        <v>3.2010538562100878E-2</v>
      </c>
      <c r="H219" s="3">
        <f t="shared" si="180"/>
        <v>3.2010538540493252E-2</v>
      </c>
      <c r="I219" s="3">
        <f t="shared" si="180"/>
        <v>3.2010538324416964E-2</v>
      </c>
      <c r="J219" s="3">
        <f t="shared" si="180"/>
        <v>3.2010536163654159E-2</v>
      </c>
      <c r="K219" s="3">
        <f t="shared" si="180"/>
        <v>3.2010514556034174E-2</v>
      </c>
      <c r="L219" s="3">
        <f t="shared" si="180"/>
        <v>3.2010298480636475E-2</v>
      </c>
      <c r="M219" s="3">
        <f t="shared" si="180"/>
        <v>3.2008137806877481E-2</v>
      </c>
      <c r="N219" s="3">
        <f t="shared" si="180"/>
        <v>3.1986539089085379E-2</v>
      </c>
      <c r="O219" s="3">
        <f t="shared" si="180"/>
        <v>3.1771351891565984E-2</v>
      </c>
      <c r="P219" s="3">
        <f t="shared" si="180"/>
        <v>2.9697515521205795E-2</v>
      </c>
      <c r="Q219" s="3">
        <f t="shared" si="180"/>
        <v>1.5120437261447336E-2</v>
      </c>
      <c r="R219" s="3">
        <f t="shared" si="180"/>
        <v>1.7701361683379622E-5</v>
      </c>
      <c r="S219" s="3">
        <f t="shared" si="180"/>
        <v>8.5591360500792727E-35</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4.0907961623415992E-2</v>
      </c>
      <c r="C220" s="3">
        <f t="shared" si="181"/>
        <v>4.0907961623415971E-2</v>
      </c>
      <c r="D220" s="3">
        <f t="shared" si="181"/>
        <v>4.0907961623415721E-2</v>
      </c>
      <c r="E220" s="3">
        <f t="shared" si="181"/>
        <v>4.090796162341323E-2</v>
      </c>
      <c r="F220" s="3">
        <f t="shared" si="181"/>
        <v>4.090796162338832E-2</v>
      </c>
      <c r="G220" s="3">
        <f t="shared" si="181"/>
        <v>4.090796162313922E-2</v>
      </c>
      <c r="H220" s="3">
        <f t="shared" si="181"/>
        <v>4.0907961620648255E-2</v>
      </c>
      <c r="I220" s="3">
        <f t="shared" si="181"/>
        <v>4.0907961595738548E-2</v>
      </c>
      <c r="J220" s="3">
        <f t="shared" si="181"/>
        <v>4.0907961346641514E-2</v>
      </c>
      <c r="K220" s="3">
        <f t="shared" si="181"/>
        <v>4.090795885567123E-2</v>
      </c>
      <c r="L220" s="3">
        <f t="shared" si="181"/>
        <v>4.0907933945976763E-2</v>
      </c>
      <c r="M220" s="3">
        <f t="shared" si="181"/>
        <v>4.0907684849866344E-2</v>
      </c>
      <c r="N220" s="3">
        <f t="shared" si="181"/>
        <v>4.0905193972184201E-2</v>
      </c>
      <c r="O220" s="3">
        <f t="shared" si="181"/>
        <v>4.0880293535693252E-2</v>
      </c>
      <c r="P220" s="3">
        <f t="shared" si="181"/>
        <v>4.0632121327808329E-2</v>
      </c>
      <c r="Q220" s="3">
        <f t="shared" si="181"/>
        <v>3.8231770242206906E-2</v>
      </c>
      <c r="R220" s="3">
        <f t="shared" si="181"/>
        <v>2.0795698729761079E-2</v>
      </c>
      <c r="S220" s="3">
        <f t="shared" si="181"/>
        <v>4.7148145218247952E-5</v>
      </c>
      <c r="T220" s="3">
        <f t="shared" si="181"/>
        <v>1.6919034124295669E-31</v>
      </c>
      <c r="U220" s="3">
        <f t="shared" si="181"/>
        <v>5.9908039143386533E-296</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4.0610124346011141E-2</v>
      </c>
      <c r="C221" s="3">
        <f t="shared" si="182"/>
        <v>4.0610124346011134E-2</v>
      </c>
      <c r="D221" s="3">
        <f t="shared" si="182"/>
        <v>4.061012434601112E-2</v>
      </c>
      <c r="E221" s="3">
        <f t="shared" si="182"/>
        <v>4.0610124346010891E-2</v>
      </c>
      <c r="F221" s="3">
        <f t="shared" si="182"/>
        <v>4.0610124346008664E-2</v>
      </c>
      <c r="G221" s="3">
        <f t="shared" si="182"/>
        <v>4.0610124345986355E-2</v>
      </c>
      <c r="H221" s="3">
        <f t="shared" si="182"/>
        <v>4.0610124345763284E-2</v>
      </c>
      <c r="I221" s="3">
        <f t="shared" si="182"/>
        <v>4.0610124343532582E-2</v>
      </c>
      <c r="J221" s="3">
        <f t="shared" si="182"/>
        <v>4.0610124321225557E-2</v>
      </c>
      <c r="K221" s="3">
        <f t="shared" si="182"/>
        <v>4.0610124098155322E-2</v>
      </c>
      <c r="L221" s="3">
        <f t="shared" si="182"/>
        <v>4.0610121867453004E-2</v>
      </c>
      <c r="M221" s="3">
        <f t="shared" si="182"/>
        <v>4.061009956043659E-2</v>
      </c>
      <c r="N221" s="3">
        <f t="shared" si="182"/>
        <v>4.0609876490946377E-2</v>
      </c>
      <c r="O221" s="3">
        <f t="shared" si="182"/>
        <v>4.0607645863435217E-2</v>
      </c>
      <c r="P221" s="3">
        <f t="shared" si="182"/>
        <v>4.0585346326053019E-2</v>
      </c>
      <c r="Q221" s="3">
        <f t="shared" si="182"/>
        <v>4.0363023357807198E-2</v>
      </c>
      <c r="R221" s="3">
        <f t="shared" si="182"/>
        <v>3.8205687483438687E-2</v>
      </c>
      <c r="S221" s="3">
        <f t="shared" si="182"/>
        <v>2.2058263254646507E-2</v>
      </c>
      <c r="T221" s="3">
        <f t="shared" si="182"/>
        <v>9.0782948019650791E-5</v>
      </c>
      <c r="U221" s="3">
        <f t="shared" si="182"/>
        <v>1.2657092164561742E-28</v>
      </c>
      <c r="V221" s="3">
        <f t="shared" si="182"/>
        <v>3.5126149989563531E-267</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2.925116065031759E-2</v>
      </c>
      <c r="C222" s="3">
        <f t="shared" si="183"/>
        <v>2.925116065031759E-2</v>
      </c>
      <c r="D222" s="3">
        <f t="shared" si="183"/>
        <v>2.925116065031759E-2</v>
      </c>
      <c r="E222" s="3">
        <f t="shared" si="183"/>
        <v>2.9251160650317572E-2</v>
      </c>
      <c r="F222" s="3">
        <f t="shared" si="183"/>
        <v>2.9251160650317427E-2</v>
      </c>
      <c r="G222" s="3">
        <f t="shared" si="183"/>
        <v>2.925116065031598E-2</v>
      </c>
      <c r="H222" s="3">
        <f t="shared" si="183"/>
        <v>2.9251160650301485E-2</v>
      </c>
      <c r="I222" s="3">
        <f t="shared" si="183"/>
        <v>2.9251160650156541E-2</v>
      </c>
      <c r="J222" s="3">
        <f t="shared" si="183"/>
        <v>2.9251160648707114E-2</v>
      </c>
      <c r="K222" s="3">
        <f t="shared" si="183"/>
        <v>2.9251160634212819E-2</v>
      </c>
      <c r="L222" s="3">
        <f t="shared" si="183"/>
        <v>2.9251160489269901E-2</v>
      </c>
      <c r="M222" s="3">
        <f t="shared" si="183"/>
        <v>2.9251159039840741E-2</v>
      </c>
      <c r="N222" s="3">
        <f t="shared" si="183"/>
        <v>2.9251144545553096E-2</v>
      </c>
      <c r="O222" s="3">
        <f t="shared" si="183"/>
        <v>2.9250999603071665E-2</v>
      </c>
      <c r="P222" s="3">
        <f t="shared" si="183"/>
        <v>2.9249550217758071E-2</v>
      </c>
      <c r="Q222" s="3">
        <f t="shared" si="183"/>
        <v>2.9235060313967637E-2</v>
      </c>
      <c r="R222" s="3">
        <f t="shared" si="183"/>
        <v>2.9090555487506567E-2</v>
      </c>
      <c r="S222" s="3">
        <f t="shared" si="183"/>
        <v>2.7684215102077549E-2</v>
      </c>
      <c r="T222" s="3">
        <f t="shared" si="183"/>
        <v>1.6866859314426514E-2</v>
      </c>
      <c r="U222" s="3">
        <f t="shared" si="183"/>
        <v>1.1886508297753653E-4</v>
      </c>
      <c r="V222" s="3">
        <f t="shared" si="183"/>
        <v>3.591327833507857E-26</v>
      </c>
      <c r="W222" s="3">
        <f t="shared" si="183"/>
        <v>2.2764734349927069E-241</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3.1259582937297976E-2</v>
      </c>
      <c r="C223" s="3">
        <f t="shared" si="184"/>
        <v>3.1259582937297976E-2</v>
      </c>
      <c r="D223" s="3">
        <f t="shared" si="184"/>
        <v>3.1259582937297976E-2</v>
      </c>
      <c r="E223" s="3">
        <f t="shared" si="184"/>
        <v>3.1259582937297976E-2</v>
      </c>
      <c r="F223" s="3">
        <f t="shared" si="184"/>
        <v>3.1259582937297963E-2</v>
      </c>
      <c r="G223" s="3">
        <f t="shared" si="184"/>
        <v>3.1259582937297817E-2</v>
      </c>
      <c r="H223" s="3">
        <f t="shared" si="184"/>
        <v>3.1259582937296422E-2</v>
      </c>
      <c r="I223" s="3">
        <f t="shared" si="184"/>
        <v>3.1259582937282447E-2</v>
      </c>
      <c r="J223" s="3">
        <f t="shared" si="184"/>
        <v>3.1259582937142726E-2</v>
      </c>
      <c r="K223" s="3">
        <f t="shared" si="184"/>
        <v>3.1259582935745441E-2</v>
      </c>
      <c r="L223" s="3">
        <f t="shared" si="184"/>
        <v>3.1259582921772638E-2</v>
      </c>
      <c r="M223" s="3">
        <f t="shared" si="184"/>
        <v>3.1259582782044562E-2</v>
      </c>
      <c r="N223" s="3">
        <f t="shared" si="184"/>
        <v>3.1259581384763854E-2</v>
      </c>
      <c r="O223" s="3">
        <f t="shared" si="184"/>
        <v>3.1259567411960211E-2</v>
      </c>
      <c r="P223" s="3">
        <f t="shared" si="184"/>
        <v>3.1259427684267323E-2</v>
      </c>
      <c r="Q223" s="3">
        <f t="shared" si="184"/>
        <v>3.1258030441689372E-2</v>
      </c>
      <c r="R223" s="3">
        <f t="shared" si="184"/>
        <v>3.1244061450437791E-2</v>
      </c>
      <c r="S223" s="3">
        <f t="shared" si="184"/>
        <v>3.1104714423367742E-2</v>
      </c>
      <c r="T223" s="3">
        <f t="shared" si="184"/>
        <v>2.974497232468103E-2</v>
      </c>
      <c r="U223" s="3">
        <f t="shared" si="184"/>
        <v>1.9023353456547855E-2</v>
      </c>
      <c r="V223" s="3">
        <f t="shared" si="184"/>
        <v>2.177820882008401E-4</v>
      </c>
      <c r="W223" s="3">
        <f t="shared" si="184"/>
        <v>8.421180236718472E-24</v>
      </c>
      <c r="X223" s="3">
        <f t="shared" si="184"/>
        <v>6.2933373298844521E-218</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2.9704645444291411E-2</v>
      </c>
      <c r="C224" s="3">
        <f t="shared" si="185"/>
        <v>2.9704645444291411E-2</v>
      </c>
      <c r="D224" s="3">
        <f t="shared" si="185"/>
        <v>2.9704645444291411E-2</v>
      </c>
      <c r="E224" s="3">
        <f t="shared" si="185"/>
        <v>2.9704645444291411E-2</v>
      </c>
      <c r="F224" s="3">
        <f t="shared" si="185"/>
        <v>2.9704645444291411E-2</v>
      </c>
      <c r="G224" s="3">
        <f t="shared" si="185"/>
        <v>2.9704645444291397E-2</v>
      </c>
      <c r="H224" s="3">
        <f t="shared" si="185"/>
        <v>2.9704645444291279E-2</v>
      </c>
      <c r="I224" s="3">
        <f t="shared" si="185"/>
        <v>2.9704645444290079E-2</v>
      </c>
      <c r="J224" s="3">
        <f t="shared" si="185"/>
        <v>2.9704645444278106E-2</v>
      </c>
      <c r="K224" s="3">
        <f t="shared" si="185"/>
        <v>2.9704645444158326E-2</v>
      </c>
      <c r="L224" s="3">
        <f t="shared" si="185"/>
        <v>2.9704645442960562E-2</v>
      </c>
      <c r="M224" s="3">
        <f t="shared" si="185"/>
        <v>2.9704645430982918E-2</v>
      </c>
      <c r="N224" s="3">
        <f t="shared" si="185"/>
        <v>2.9704645311206458E-2</v>
      </c>
      <c r="O224" s="3">
        <f t="shared" si="185"/>
        <v>2.9704644113441928E-2</v>
      </c>
      <c r="P224" s="3">
        <f t="shared" si="185"/>
        <v>2.9704632135799273E-2</v>
      </c>
      <c r="Q224" s="3">
        <f t="shared" si="185"/>
        <v>2.9704512359638342E-2</v>
      </c>
      <c r="R224" s="3">
        <f t="shared" si="185"/>
        <v>2.9703314624591838E-2</v>
      </c>
      <c r="S224" s="3">
        <f t="shared" si="185"/>
        <v>2.969133993001169E-2</v>
      </c>
      <c r="T224" s="3">
        <f t="shared" si="185"/>
        <v>2.9571858176883858E-2</v>
      </c>
      <c r="U224" s="3">
        <f t="shared" si="185"/>
        <v>2.8403168494825975E-2</v>
      </c>
      <c r="V224" s="3">
        <f t="shared" si="185"/>
        <v>1.8977917075660832E-2</v>
      </c>
      <c r="W224" s="3">
        <f t="shared" si="185"/>
        <v>3.3656278253736791E-4</v>
      </c>
      <c r="X224" s="3">
        <f t="shared" si="185"/>
        <v>1.0357180349768243E-21</v>
      </c>
      <c r="Y224" s="3">
        <f t="shared" si="185"/>
        <v>7.8885290647237361E-197</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3.5282603781975501E-2</v>
      </c>
      <c r="C225" s="3">
        <f t="shared" si="186"/>
        <v>3.5282603781975501E-2</v>
      </c>
      <c r="D225" s="3">
        <f t="shared" si="186"/>
        <v>3.5282603781975501E-2</v>
      </c>
      <c r="E225" s="3">
        <f t="shared" si="186"/>
        <v>3.5282603781975501E-2</v>
      </c>
      <c r="F225" s="3">
        <f t="shared" si="186"/>
        <v>3.5282603781975501E-2</v>
      </c>
      <c r="G225" s="3">
        <f t="shared" si="186"/>
        <v>3.5282603781975501E-2</v>
      </c>
      <c r="H225" s="3">
        <f t="shared" si="186"/>
        <v>3.5282603781975487E-2</v>
      </c>
      <c r="I225" s="3">
        <f t="shared" si="186"/>
        <v>3.5282603781975362E-2</v>
      </c>
      <c r="J225" s="3">
        <f t="shared" si="186"/>
        <v>3.5282603781974078E-2</v>
      </c>
      <c r="K225" s="3">
        <f t="shared" si="186"/>
        <v>3.5282603781961241E-2</v>
      </c>
      <c r="L225" s="3">
        <f t="shared" si="186"/>
        <v>3.5282603781832907E-2</v>
      </c>
      <c r="M225" s="3">
        <f t="shared" si="186"/>
        <v>3.5282603780549524E-2</v>
      </c>
      <c r="N225" s="3">
        <f t="shared" si="186"/>
        <v>3.5282603767715755E-2</v>
      </c>
      <c r="O225" s="3">
        <f t="shared" si="186"/>
        <v>3.5282603639378039E-2</v>
      </c>
      <c r="P225" s="3">
        <f t="shared" si="186"/>
        <v>3.5282602356000912E-2</v>
      </c>
      <c r="Q225" s="3">
        <f t="shared" si="186"/>
        <v>3.5282589522232205E-2</v>
      </c>
      <c r="R225" s="3">
        <f t="shared" si="186"/>
        <v>3.5282461184801849E-2</v>
      </c>
      <c r="S225" s="3">
        <f t="shared" si="186"/>
        <v>3.5281177836172954E-2</v>
      </c>
      <c r="T225" s="3">
        <f t="shared" si="186"/>
        <v>3.5268346917001439E-2</v>
      </c>
      <c r="U225" s="3">
        <f t="shared" si="186"/>
        <v>3.514029409186701E-2</v>
      </c>
      <c r="V225" s="3">
        <f t="shared" si="186"/>
        <v>3.3885060799906747E-2</v>
      </c>
      <c r="W225" s="3">
        <f t="shared" si="186"/>
        <v>2.355250167472395E-2</v>
      </c>
      <c r="X225" s="3">
        <f t="shared" si="186"/>
        <v>6.1990449361431685E-4</v>
      </c>
      <c r="Y225" s="3">
        <f t="shared" si="186"/>
        <v>9.8901344630574053E-20</v>
      </c>
      <c r="Z225" s="3">
        <f t="shared" si="186"/>
        <v>1.0567598697765587E-177</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3.4987985455608057E-2</v>
      </c>
      <c r="C226" s="3">
        <f t="shared" si="187"/>
        <v>3.4987985455608057E-2</v>
      </c>
      <c r="D226" s="3">
        <f t="shared" si="187"/>
        <v>3.4987985455608057E-2</v>
      </c>
      <c r="E226" s="3">
        <f t="shared" si="187"/>
        <v>3.4987985455608057E-2</v>
      </c>
      <c r="F226" s="3">
        <f t="shared" si="187"/>
        <v>3.4987985455608057E-2</v>
      </c>
      <c r="G226" s="3">
        <f t="shared" si="187"/>
        <v>3.4987985455608057E-2</v>
      </c>
      <c r="H226" s="3">
        <f t="shared" si="187"/>
        <v>3.4987985455608057E-2</v>
      </c>
      <c r="I226" s="3">
        <f t="shared" si="187"/>
        <v>3.4987985455608044E-2</v>
      </c>
      <c r="J226" s="3">
        <f t="shared" si="187"/>
        <v>3.4987985455607933E-2</v>
      </c>
      <c r="K226" s="3">
        <f t="shared" si="187"/>
        <v>3.4987985455606781E-2</v>
      </c>
      <c r="L226" s="3">
        <f t="shared" si="187"/>
        <v>3.4987985455595304E-2</v>
      </c>
      <c r="M226" s="3">
        <f t="shared" si="187"/>
        <v>3.4987985455480493E-2</v>
      </c>
      <c r="N226" s="3">
        <f t="shared" si="187"/>
        <v>3.4987985454332453E-2</v>
      </c>
      <c r="O226" s="3">
        <f t="shared" si="187"/>
        <v>3.498798544285199E-2</v>
      </c>
      <c r="P226" s="3">
        <f t="shared" si="187"/>
        <v>3.4987985328047415E-2</v>
      </c>
      <c r="Q226" s="3">
        <f t="shared" si="187"/>
        <v>3.4987984180001659E-2</v>
      </c>
      <c r="R226" s="3">
        <f t="shared" si="187"/>
        <v>3.4987972699546198E-2</v>
      </c>
      <c r="S226" s="3">
        <f t="shared" si="187"/>
        <v>3.4987857895198725E-2</v>
      </c>
      <c r="T226" s="3">
        <f t="shared" si="187"/>
        <v>3.4986709872442449E-2</v>
      </c>
      <c r="U226" s="3">
        <f t="shared" si="187"/>
        <v>3.4975231716468602E-2</v>
      </c>
      <c r="V226" s="3">
        <f t="shared" si="187"/>
        <v>3.4860657064338357E-2</v>
      </c>
      <c r="W226" s="3">
        <f t="shared" si="187"/>
        <v>3.373535229405282E-2</v>
      </c>
      <c r="X226" s="3">
        <f t="shared" si="187"/>
        <v>2.4298645336816645E-2</v>
      </c>
      <c r="Y226" s="3">
        <f t="shared" si="187"/>
        <v>9.1316695092435454E-4</v>
      </c>
      <c r="Z226" s="3">
        <f t="shared" si="187"/>
        <v>5.1313473823194293E-18</v>
      </c>
      <c r="AA226" s="3">
        <f t="shared" si="187"/>
        <v>1.6108078211604613E-160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4.0020818076897231E-2</v>
      </c>
      <c r="C227" s="3">
        <f t="shared" si="188"/>
        <v>4.0020818076897231E-2</v>
      </c>
      <c r="D227" s="3">
        <f t="shared" si="188"/>
        <v>4.0020818076897231E-2</v>
      </c>
      <c r="E227" s="3">
        <f t="shared" si="188"/>
        <v>4.0020818076897231E-2</v>
      </c>
      <c r="F227" s="3">
        <f t="shared" si="188"/>
        <v>4.0020818076897231E-2</v>
      </c>
      <c r="G227" s="3">
        <f t="shared" si="188"/>
        <v>4.0020818076897231E-2</v>
      </c>
      <c r="H227" s="3">
        <f t="shared" si="188"/>
        <v>4.0020818076897231E-2</v>
      </c>
      <c r="I227" s="3">
        <f t="shared" si="188"/>
        <v>4.0020818076897231E-2</v>
      </c>
      <c r="J227" s="3">
        <f t="shared" si="188"/>
        <v>4.0020818076897217E-2</v>
      </c>
      <c r="K227" s="3">
        <f t="shared" si="188"/>
        <v>4.0020818076897099E-2</v>
      </c>
      <c r="L227" s="3">
        <f t="shared" si="188"/>
        <v>4.0020818076895913E-2</v>
      </c>
      <c r="M227" s="3">
        <f t="shared" si="188"/>
        <v>4.0020818076884068E-2</v>
      </c>
      <c r="N227" s="3">
        <f t="shared" si="188"/>
        <v>4.0020818076765607E-2</v>
      </c>
      <c r="O227" s="3">
        <f t="shared" si="188"/>
        <v>4.0020818075581006E-2</v>
      </c>
      <c r="P227" s="3">
        <f t="shared" si="188"/>
        <v>4.0020818063734975E-2</v>
      </c>
      <c r="Q227" s="3">
        <f t="shared" si="188"/>
        <v>4.0020817945274678E-2</v>
      </c>
      <c r="R227" s="3">
        <f t="shared" si="188"/>
        <v>4.0020816760671721E-2</v>
      </c>
      <c r="S227" s="3">
        <f t="shared" si="188"/>
        <v>4.0020804914644062E-2</v>
      </c>
      <c r="T227" s="3">
        <f t="shared" si="188"/>
        <v>4.0020686454560334E-2</v>
      </c>
      <c r="U227" s="3">
        <f t="shared" si="188"/>
        <v>4.0019501873007957E-2</v>
      </c>
      <c r="V227" s="3">
        <f t="shared" si="188"/>
        <v>4.0007657985761592E-2</v>
      </c>
      <c r="W227" s="3">
        <f t="shared" si="188"/>
        <v>3.9889411730027392E-2</v>
      </c>
      <c r="X227" s="3">
        <f t="shared" si="188"/>
        <v>3.872600155393302E-2</v>
      </c>
      <c r="Y227" s="3">
        <f t="shared" si="188"/>
        <v>2.8804008348978491E-2</v>
      </c>
      <c r="Z227" s="3">
        <f t="shared" si="188"/>
        <v>1.4926418842344149E-3</v>
      </c>
      <c r="AA227" s="3">
        <f t="shared" si="188"/>
        <v>2.0844072846463488E-16</v>
      </c>
      <c r="AB227" s="3">
        <f t="shared" si="188"/>
        <v>5.8783056696769738E-145</v>
      </c>
      <c r="AC227" s="3">
        <f t="shared" si="188"/>
        <v>0</v>
      </c>
      <c r="AD227" s="3">
        <f t="shared" si="188"/>
        <v>0</v>
      </c>
      <c r="AE227" s="3">
        <f t="shared" si="188"/>
        <v>0</v>
      </c>
      <c r="AF227" s="3">
        <f t="shared" si="188"/>
        <v>0</v>
      </c>
      <c r="AG227" s="3"/>
      <c r="AH227" s="3"/>
    </row>
    <row r="228" spans="2:34" x14ac:dyDescent="0.25">
      <c r="B228" s="3">
        <f t="shared" ref="B228:AF228" si="189">$C36*EXP(-B$207/$A36/EXP(-$D$126))</f>
        <v>3.51305921997421E-2</v>
      </c>
      <c r="C228" s="3">
        <f t="shared" si="189"/>
        <v>3.51305921997421E-2</v>
      </c>
      <c r="D228" s="3">
        <f t="shared" si="189"/>
        <v>3.51305921997421E-2</v>
      </c>
      <c r="E228" s="3">
        <f t="shared" si="189"/>
        <v>3.51305921997421E-2</v>
      </c>
      <c r="F228" s="3">
        <f t="shared" si="189"/>
        <v>3.51305921997421E-2</v>
      </c>
      <c r="G228" s="3">
        <f t="shared" si="189"/>
        <v>3.51305921997421E-2</v>
      </c>
      <c r="H228" s="3">
        <f t="shared" si="189"/>
        <v>3.51305921997421E-2</v>
      </c>
      <c r="I228" s="3">
        <f t="shared" si="189"/>
        <v>3.51305921997421E-2</v>
      </c>
      <c r="J228" s="3">
        <f t="shared" si="189"/>
        <v>3.51305921997421E-2</v>
      </c>
      <c r="K228" s="3">
        <f t="shared" si="189"/>
        <v>3.5130592199742086E-2</v>
      </c>
      <c r="L228" s="3">
        <f t="shared" si="189"/>
        <v>3.5130592199741996E-2</v>
      </c>
      <c r="M228" s="3">
        <f t="shared" si="189"/>
        <v>3.5130592199741059E-2</v>
      </c>
      <c r="N228" s="3">
        <f t="shared" si="189"/>
        <v>3.5130592199731678E-2</v>
      </c>
      <c r="O228" s="3">
        <f t="shared" si="189"/>
        <v>3.5130592199637871E-2</v>
      </c>
      <c r="P228" s="3">
        <f t="shared" si="189"/>
        <v>3.5130592198699843E-2</v>
      </c>
      <c r="Q228" s="3">
        <f t="shared" si="189"/>
        <v>3.5130592189319493E-2</v>
      </c>
      <c r="R228" s="3">
        <f t="shared" si="189"/>
        <v>3.5130592095516021E-2</v>
      </c>
      <c r="S228" s="3">
        <f t="shared" si="189"/>
        <v>3.5130591157481302E-2</v>
      </c>
      <c r="T228" s="3">
        <f t="shared" si="189"/>
        <v>3.5130581777135475E-2</v>
      </c>
      <c r="U228" s="3">
        <f t="shared" si="189"/>
        <v>3.5130487973814989E-2</v>
      </c>
      <c r="V228" s="3">
        <f t="shared" si="189"/>
        <v>3.5129549954385705E-2</v>
      </c>
      <c r="W228" s="3">
        <f t="shared" si="189"/>
        <v>3.5120171137516074E-2</v>
      </c>
      <c r="X228" s="3">
        <f t="shared" si="189"/>
        <v>3.5026520575152369E-2</v>
      </c>
      <c r="Y228" s="3">
        <f t="shared" si="189"/>
        <v>3.4103640602050907E-2</v>
      </c>
      <c r="Z228" s="3">
        <f t="shared" si="189"/>
        <v>2.6111883037415528E-2</v>
      </c>
      <c r="AA228" s="3">
        <f t="shared" si="189"/>
        <v>1.808059342162307E-3</v>
      </c>
      <c r="AB228" s="3">
        <f t="shared" si="189"/>
        <v>4.5809712480178376E-15</v>
      </c>
      <c r="AC228" s="3">
        <f t="shared" si="189"/>
        <v>4.9935157341148382E-131</v>
      </c>
      <c r="AD228" s="3">
        <f t="shared" si="189"/>
        <v>0</v>
      </c>
      <c r="AE228" s="3">
        <f t="shared" si="189"/>
        <v>0</v>
      </c>
      <c r="AF228" s="3">
        <f t="shared" si="189"/>
        <v>0</v>
      </c>
      <c r="AG228" s="3"/>
      <c r="AH228" s="3"/>
    </row>
    <row r="229" spans="2:34" x14ac:dyDescent="0.25">
      <c r="B229" s="3">
        <f t="shared" ref="B229:AF229" si="190">$C37*EXP(-B$207/$A37/EXP(-$D$126))</f>
        <v>5.1976552303921161E-2</v>
      </c>
      <c r="C229" s="3">
        <f t="shared" si="190"/>
        <v>5.1976552303921161E-2</v>
      </c>
      <c r="D229" s="3">
        <f t="shared" si="190"/>
        <v>5.1976552303921161E-2</v>
      </c>
      <c r="E229" s="3">
        <f t="shared" si="190"/>
        <v>5.1976552303921161E-2</v>
      </c>
      <c r="F229" s="3">
        <f t="shared" si="190"/>
        <v>5.1976552303921161E-2</v>
      </c>
      <c r="G229" s="3">
        <f t="shared" si="190"/>
        <v>5.1976552303921161E-2</v>
      </c>
      <c r="H229" s="3">
        <f t="shared" si="190"/>
        <v>5.1976552303921161E-2</v>
      </c>
      <c r="I229" s="3">
        <f t="shared" si="190"/>
        <v>5.1976552303921161E-2</v>
      </c>
      <c r="J229" s="3">
        <f t="shared" si="190"/>
        <v>5.1976552303921161E-2</v>
      </c>
      <c r="K229" s="3">
        <f t="shared" si="190"/>
        <v>5.1976552303921161E-2</v>
      </c>
      <c r="L229" s="3">
        <f t="shared" si="190"/>
        <v>5.1976552303921147E-2</v>
      </c>
      <c r="M229" s="3">
        <f t="shared" si="190"/>
        <v>5.1976552303921023E-2</v>
      </c>
      <c r="N229" s="3">
        <f t="shared" si="190"/>
        <v>5.1976552303919774E-2</v>
      </c>
      <c r="O229" s="3">
        <f t="shared" si="190"/>
        <v>5.1976552303907249E-2</v>
      </c>
      <c r="P229" s="3">
        <f t="shared" si="190"/>
        <v>5.1976552303782057E-2</v>
      </c>
      <c r="Q229" s="3">
        <f t="shared" si="190"/>
        <v>5.1976552302530107E-2</v>
      </c>
      <c r="R229" s="3">
        <f t="shared" si="190"/>
        <v>5.1976552290010587E-2</v>
      </c>
      <c r="S229" s="3">
        <f t="shared" si="190"/>
        <v>5.1976552164815441E-2</v>
      </c>
      <c r="T229" s="3">
        <f t="shared" si="190"/>
        <v>5.1976550912863941E-2</v>
      </c>
      <c r="U229" s="3">
        <f t="shared" si="190"/>
        <v>5.197653839335066E-2</v>
      </c>
      <c r="V229" s="3">
        <f t="shared" si="190"/>
        <v>5.1976413198383628E-2</v>
      </c>
      <c r="W229" s="3">
        <f t="shared" si="190"/>
        <v>5.1975161265298796E-2</v>
      </c>
      <c r="X229" s="3">
        <f t="shared" si="190"/>
        <v>5.1962643592842604E-2</v>
      </c>
      <c r="Y229" s="3">
        <f t="shared" si="190"/>
        <v>5.1837632559793324E-2</v>
      </c>
      <c r="Z229" s="3">
        <f t="shared" si="190"/>
        <v>5.0603944660625899E-2</v>
      </c>
      <c r="AA229" s="3">
        <f t="shared" si="190"/>
        <v>3.9771915115950088E-2</v>
      </c>
      <c r="AB229" s="3">
        <f t="shared" si="190"/>
        <v>3.5768260594208415E-3</v>
      </c>
      <c r="AC229" s="3">
        <f t="shared" si="190"/>
        <v>1.2379724853746449E-13</v>
      </c>
      <c r="AD229" s="3">
        <f t="shared" si="190"/>
        <v>3.0538148744559567E-118</v>
      </c>
      <c r="AE229" s="3">
        <f t="shared" si="190"/>
        <v>0</v>
      </c>
      <c r="AF229" s="3">
        <f t="shared" si="190"/>
        <v>0</v>
      </c>
      <c r="AG229" s="3"/>
      <c r="AH229" s="3"/>
    </row>
    <row r="230" spans="2:34" x14ac:dyDescent="0.25">
      <c r="B230" s="3">
        <f t="shared" ref="B230:AF230" si="191">$C38*EXP(-B$207/$A38/EXP(-$D$126))</f>
        <v>2.3181635308382595E-6</v>
      </c>
      <c r="C230" s="3">
        <f t="shared" si="191"/>
        <v>2.3181635308382595E-6</v>
      </c>
      <c r="D230" s="3">
        <f t="shared" si="191"/>
        <v>2.3181635308382595E-6</v>
      </c>
      <c r="E230" s="3">
        <f t="shared" si="191"/>
        <v>2.3181635308382595E-6</v>
      </c>
      <c r="F230" s="3">
        <f t="shared" si="191"/>
        <v>2.3181635308382595E-6</v>
      </c>
      <c r="G230" s="3">
        <f t="shared" si="191"/>
        <v>2.3181635308382595E-6</v>
      </c>
      <c r="H230" s="3">
        <f t="shared" si="191"/>
        <v>2.3181635308382595E-6</v>
      </c>
      <c r="I230" s="3">
        <f t="shared" si="191"/>
        <v>2.3181635308382595E-6</v>
      </c>
      <c r="J230" s="3">
        <f t="shared" si="191"/>
        <v>2.3181635308382595E-6</v>
      </c>
      <c r="K230" s="3">
        <f t="shared" si="191"/>
        <v>2.3181635308382595E-6</v>
      </c>
      <c r="L230" s="3">
        <f t="shared" si="191"/>
        <v>2.3181635308382595E-6</v>
      </c>
      <c r="M230" s="3">
        <f t="shared" si="191"/>
        <v>2.3181635308382591E-6</v>
      </c>
      <c r="N230" s="3">
        <f t="shared" si="191"/>
        <v>2.318163530838254E-6</v>
      </c>
      <c r="O230" s="3">
        <f t="shared" si="191"/>
        <v>2.3181635308382036E-6</v>
      </c>
      <c r="P230" s="3">
        <f t="shared" si="191"/>
        <v>2.3181635308376996E-6</v>
      </c>
      <c r="Q230" s="3">
        <f t="shared" si="191"/>
        <v>2.3181635308326628E-6</v>
      </c>
      <c r="R230" s="3">
        <f t="shared" si="191"/>
        <v>2.3181635307822931E-6</v>
      </c>
      <c r="S230" s="3">
        <f t="shared" si="191"/>
        <v>2.3181635302785944E-6</v>
      </c>
      <c r="T230" s="3">
        <f t="shared" si="191"/>
        <v>2.3181635252416092E-6</v>
      </c>
      <c r="U230" s="3">
        <f t="shared" si="191"/>
        <v>2.3181634748717544E-6</v>
      </c>
      <c r="V230" s="3">
        <f t="shared" si="191"/>
        <v>2.3181629711732713E-6</v>
      </c>
      <c r="W230" s="3">
        <f t="shared" si="191"/>
        <v>2.3181579341944561E-6</v>
      </c>
      <c r="X230" s="3">
        <f t="shared" si="191"/>
        <v>2.3181075650082472E-6</v>
      </c>
      <c r="Y230" s="3">
        <f t="shared" si="191"/>
        <v>2.3176039333357315E-6</v>
      </c>
      <c r="Z230" s="3">
        <f t="shared" si="191"/>
        <v>2.3125736307312774E-6</v>
      </c>
      <c r="AA230" s="3">
        <f t="shared" si="191"/>
        <v>2.2628672096856587E-6</v>
      </c>
      <c r="AB230" s="3">
        <f t="shared" si="191"/>
        <v>1.8209334320496255E-6</v>
      </c>
      <c r="AC230" s="3">
        <f t="shared" si="191"/>
        <v>2.0732137105897192E-7</v>
      </c>
      <c r="AD230" s="3">
        <f t="shared" si="191"/>
        <v>7.5882931334700774E-17</v>
      </c>
      <c r="AE230" s="3">
        <f t="shared" si="191"/>
        <v>3.2744952795767813E-111</v>
      </c>
      <c r="AF230" s="3">
        <f t="shared" si="191"/>
        <v>0</v>
      </c>
      <c r="AG230" s="3"/>
      <c r="AH230" s="3"/>
    </row>
    <row r="231" spans="2:34" x14ac:dyDescent="0.25">
      <c r="B231" s="3">
        <f t="shared" ref="B231:AF231" si="192">$C39*EXP(-B$207/$A39/EXP(-$D$126))</f>
        <v>7.5767559561282297E-2</v>
      </c>
      <c r="C231" s="3">
        <f t="shared" si="192"/>
        <v>7.5767559561282297E-2</v>
      </c>
      <c r="D231" s="3">
        <f t="shared" si="192"/>
        <v>7.5767559561282297E-2</v>
      </c>
      <c r="E231" s="3">
        <f t="shared" si="192"/>
        <v>7.5767559561282297E-2</v>
      </c>
      <c r="F231" s="3">
        <f t="shared" si="192"/>
        <v>7.5767559561282297E-2</v>
      </c>
      <c r="G231" s="3">
        <f t="shared" si="192"/>
        <v>7.5767559561282297E-2</v>
      </c>
      <c r="H231" s="3">
        <f t="shared" si="192"/>
        <v>7.5767559561282297E-2</v>
      </c>
      <c r="I231" s="3">
        <f t="shared" si="192"/>
        <v>7.5767559561282297E-2</v>
      </c>
      <c r="J231" s="3">
        <f t="shared" si="192"/>
        <v>7.5767559561282297E-2</v>
      </c>
      <c r="K231" s="3">
        <f t="shared" si="192"/>
        <v>7.5767559561282297E-2</v>
      </c>
      <c r="L231" s="3">
        <f t="shared" si="192"/>
        <v>7.5767559561282297E-2</v>
      </c>
      <c r="M231" s="3">
        <f t="shared" si="192"/>
        <v>7.5767559561282283E-2</v>
      </c>
      <c r="N231" s="3">
        <f t="shared" si="192"/>
        <v>7.5767559561282241E-2</v>
      </c>
      <c r="O231" s="3">
        <f t="shared" si="192"/>
        <v>7.5767559561281797E-2</v>
      </c>
      <c r="P231" s="3">
        <f t="shared" si="192"/>
        <v>7.5767559561277245E-2</v>
      </c>
      <c r="Q231" s="3">
        <f t="shared" si="192"/>
        <v>7.5767559561231712E-2</v>
      </c>
      <c r="R231" s="3">
        <f t="shared" si="192"/>
        <v>7.5767559560776382E-2</v>
      </c>
      <c r="S231" s="3">
        <f t="shared" si="192"/>
        <v>7.5767559556223121E-2</v>
      </c>
      <c r="T231" s="3">
        <f t="shared" si="192"/>
        <v>7.5767559510690474E-2</v>
      </c>
      <c r="U231" s="3">
        <f t="shared" si="192"/>
        <v>7.5767559055364114E-2</v>
      </c>
      <c r="V231" s="3">
        <f t="shared" si="192"/>
        <v>7.5767554502100695E-2</v>
      </c>
      <c r="W231" s="3">
        <f t="shared" si="192"/>
        <v>7.576750896948152E-2</v>
      </c>
      <c r="X231" s="3">
        <f t="shared" si="192"/>
        <v>7.5767053644794663E-2</v>
      </c>
      <c r="Y231" s="3">
        <f t="shared" si="192"/>
        <v>7.5762500548418446E-2</v>
      </c>
      <c r="Z231" s="3">
        <f t="shared" si="192"/>
        <v>7.5716984630539386E-2</v>
      </c>
      <c r="AA231" s="3">
        <f t="shared" si="192"/>
        <v>7.526332669995052E-2</v>
      </c>
      <c r="AB231" s="3">
        <f t="shared" si="192"/>
        <v>7.0873587136941488E-2</v>
      </c>
      <c r="AC231" s="3">
        <f t="shared" si="192"/>
        <v>3.8859253372264826E-2</v>
      </c>
      <c r="AD231" s="3">
        <f t="shared" si="192"/>
        <v>9.5410204836717652E-5</v>
      </c>
      <c r="AE231" s="3">
        <f t="shared" si="192"/>
        <v>7.5962384842556057E-31</v>
      </c>
      <c r="AF231" s="3">
        <f t="shared" si="192"/>
        <v>7.7738511072673687E-292</v>
      </c>
      <c r="AG231" s="3"/>
      <c r="AH231" s="3"/>
    </row>
    <row r="232" spans="2:34" x14ac:dyDescent="0.25">
      <c r="B232" s="3">
        <f t="shared" ref="B232:AF232" si="193">$C40*EXP(-B$207/$A40/EXP(-$D$126))</f>
        <v>3.067875950056604E-2</v>
      </c>
      <c r="C232" s="3">
        <f t="shared" si="193"/>
        <v>3.067875950056604E-2</v>
      </c>
      <c r="D232" s="3">
        <f t="shared" si="193"/>
        <v>3.067875950056604E-2</v>
      </c>
      <c r="E232" s="3">
        <f t="shared" si="193"/>
        <v>3.067875950056604E-2</v>
      </c>
      <c r="F232" s="3">
        <f t="shared" si="193"/>
        <v>3.067875950056604E-2</v>
      </c>
      <c r="G232" s="3">
        <f t="shared" si="193"/>
        <v>3.067875950056604E-2</v>
      </c>
      <c r="H232" s="3">
        <f t="shared" si="193"/>
        <v>3.067875950056604E-2</v>
      </c>
      <c r="I232" s="3">
        <f t="shared" si="193"/>
        <v>3.067875950056604E-2</v>
      </c>
      <c r="J232" s="3">
        <f t="shared" si="193"/>
        <v>3.067875950056604E-2</v>
      </c>
      <c r="K232" s="3">
        <f t="shared" si="193"/>
        <v>3.067875950056604E-2</v>
      </c>
      <c r="L232" s="3">
        <f t="shared" si="193"/>
        <v>3.067875950056604E-2</v>
      </c>
      <c r="M232" s="3">
        <f t="shared" si="193"/>
        <v>3.067875950056604E-2</v>
      </c>
      <c r="N232" s="3">
        <f t="shared" si="193"/>
        <v>3.0678759500566036E-2</v>
      </c>
      <c r="O232" s="3">
        <f t="shared" si="193"/>
        <v>3.0678759500566019E-2</v>
      </c>
      <c r="P232" s="3">
        <f t="shared" si="193"/>
        <v>3.0678759500565835E-2</v>
      </c>
      <c r="Q232" s="3">
        <f t="shared" si="193"/>
        <v>3.0678759500563993E-2</v>
      </c>
      <c r="R232" s="3">
        <f t="shared" si="193"/>
        <v>3.0678759500545556E-2</v>
      </c>
      <c r="S232" s="3">
        <f t="shared" si="193"/>
        <v>3.067875950036119E-2</v>
      </c>
      <c r="T232" s="3">
        <f t="shared" si="193"/>
        <v>3.0678759498517547E-2</v>
      </c>
      <c r="U232" s="3">
        <f t="shared" si="193"/>
        <v>3.0678759480081096E-2</v>
      </c>
      <c r="V232" s="3">
        <f t="shared" si="193"/>
        <v>3.06787592957166E-2</v>
      </c>
      <c r="W232" s="3">
        <f t="shared" si="193"/>
        <v>3.0678757452071718E-2</v>
      </c>
      <c r="X232" s="3">
        <f t="shared" si="193"/>
        <v>3.0678739015628981E-2</v>
      </c>
      <c r="Y232" s="3">
        <f t="shared" si="193"/>
        <v>3.067855465181096E-2</v>
      </c>
      <c r="Z232" s="3">
        <f t="shared" si="193"/>
        <v>3.0676711074566061E-2</v>
      </c>
      <c r="AA232" s="3">
        <f t="shared" si="193"/>
        <v>3.0658281394289371E-2</v>
      </c>
      <c r="AB232" s="3">
        <f t="shared" si="193"/>
        <v>3.0474592456323734E-2</v>
      </c>
      <c r="AC232" s="3">
        <f t="shared" si="193"/>
        <v>2.8697159408414243E-2</v>
      </c>
      <c r="AD232" s="3">
        <f t="shared" si="193"/>
        <v>1.5734355118235465E-2</v>
      </c>
      <c r="AE232" s="3">
        <f t="shared" si="193"/>
        <v>3.8632189620914665E-5</v>
      </c>
      <c r="AF232" s="3">
        <f t="shared" si="193"/>
        <v>3.0757645477406742E-31</v>
      </c>
      <c r="AG232" s="3"/>
      <c r="AH232" s="3"/>
    </row>
    <row r="233" spans="2:34" x14ac:dyDescent="0.25">
      <c r="B233" s="3">
        <f t="shared" ref="B233:AF233" si="194">$C41*EXP(-B$207/$A41/EXP(-$D$126))</f>
        <v>7.5768782257570458E-2</v>
      </c>
      <c r="C233" s="3">
        <f t="shared" si="194"/>
        <v>7.5768782257570458E-2</v>
      </c>
      <c r="D233" s="3">
        <f t="shared" si="194"/>
        <v>7.5768782257570458E-2</v>
      </c>
      <c r="E233" s="3">
        <f t="shared" si="194"/>
        <v>7.5768782257570458E-2</v>
      </c>
      <c r="F233" s="3">
        <f t="shared" si="194"/>
        <v>7.5768782257570458E-2</v>
      </c>
      <c r="G233" s="3">
        <f t="shared" si="194"/>
        <v>7.5768782257570458E-2</v>
      </c>
      <c r="H233" s="3">
        <f t="shared" si="194"/>
        <v>7.5768782257570458E-2</v>
      </c>
      <c r="I233" s="3">
        <f t="shared" si="194"/>
        <v>7.5768782257570458E-2</v>
      </c>
      <c r="J233" s="3">
        <f t="shared" si="194"/>
        <v>7.5768782257570458E-2</v>
      </c>
      <c r="K233" s="3">
        <f t="shared" si="194"/>
        <v>7.5768782257570458E-2</v>
      </c>
      <c r="L233" s="3">
        <f t="shared" si="194"/>
        <v>7.5768782257570458E-2</v>
      </c>
      <c r="M233" s="3">
        <f t="shared" si="194"/>
        <v>7.5768782257570458E-2</v>
      </c>
      <c r="N233" s="3">
        <f t="shared" si="194"/>
        <v>7.5768782257570458E-2</v>
      </c>
      <c r="O233" s="3">
        <f t="shared" si="194"/>
        <v>7.5768782257570444E-2</v>
      </c>
      <c r="P233" s="3">
        <f t="shared" si="194"/>
        <v>7.5768782257570402E-2</v>
      </c>
      <c r="Q233" s="3">
        <f t="shared" si="194"/>
        <v>7.5768782257569958E-2</v>
      </c>
      <c r="R233" s="3">
        <f t="shared" si="194"/>
        <v>7.5768782257565406E-2</v>
      </c>
      <c r="S233" s="3">
        <f t="shared" si="194"/>
        <v>7.5768782257519873E-2</v>
      </c>
      <c r="T233" s="3">
        <f t="shared" si="194"/>
        <v>7.5768782257064529E-2</v>
      </c>
      <c r="U233" s="3">
        <f t="shared" si="194"/>
        <v>7.5768782252511199E-2</v>
      </c>
      <c r="V233" s="3">
        <f t="shared" si="194"/>
        <v>7.5768782206977831E-2</v>
      </c>
      <c r="W233" s="3">
        <f t="shared" si="194"/>
        <v>7.5768781751644115E-2</v>
      </c>
      <c r="X233" s="3">
        <f t="shared" si="194"/>
        <v>7.5768777198307213E-2</v>
      </c>
      <c r="Y233" s="3">
        <f t="shared" si="194"/>
        <v>7.5768731664953251E-2</v>
      </c>
      <c r="Z233" s="3">
        <f t="shared" si="194"/>
        <v>7.5768276332918619E-2</v>
      </c>
      <c r="AA233" s="3">
        <f t="shared" si="194"/>
        <v>7.5763723163066968E-2</v>
      </c>
      <c r="AB233" s="3">
        <f t="shared" si="194"/>
        <v>7.57182065106764E-2</v>
      </c>
      <c r="AC233" s="3">
        <f t="shared" si="194"/>
        <v>7.5264541259198875E-2</v>
      </c>
      <c r="AD233" s="3">
        <f t="shared" si="194"/>
        <v>7.087473085692432E-2</v>
      </c>
      <c r="AE233" s="3">
        <f t="shared" si="194"/>
        <v>3.885988046207918E-2</v>
      </c>
      <c r="AF233" s="3">
        <f t="shared" si="194"/>
        <v>9.5411744515492875E-5</v>
      </c>
      <c r="AG233" s="3"/>
      <c r="AH233" s="3"/>
    </row>
    <row r="234" spans="2:34" x14ac:dyDescent="0.25">
      <c r="B234" s="3">
        <f t="shared" ref="B234:AF234" si="195">$C42*EXP(-B$207/$A42/EXP(-$D$126))</f>
        <v>3.996144450245992E-2</v>
      </c>
      <c r="C234" s="3">
        <f t="shared" si="195"/>
        <v>3.996144450245992E-2</v>
      </c>
      <c r="D234" s="3">
        <f t="shared" si="195"/>
        <v>3.996144450245992E-2</v>
      </c>
      <c r="E234" s="3">
        <f t="shared" si="195"/>
        <v>3.996144450245992E-2</v>
      </c>
      <c r="F234" s="3">
        <f t="shared" si="195"/>
        <v>3.996144450245992E-2</v>
      </c>
      <c r="G234" s="3">
        <f t="shared" si="195"/>
        <v>3.996144450245992E-2</v>
      </c>
      <c r="H234" s="3">
        <f t="shared" si="195"/>
        <v>3.996144450245992E-2</v>
      </c>
      <c r="I234" s="3">
        <f t="shared" si="195"/>
        <v>3.996144450245992E-2</v>
      </c>
      <c r="J234" s="3">
        <f t="shared" si="195"/>
        <v>3.996144450245992E-2</v>
      </c>
      <c r="K234" s="3">
        <f t="shared" si="195"/>
        <v>3.996144450245992E-2</v>
      </c>
      <c r="L234" s="3">
        <f t="shared" si="195"/>
        <v>3.996144450245992E-2</v>
      </c>
      <c r="M234" s="3">
        <f t="shared" si="195"/>
        <v>3.996144450245992E-2</v>
      </c>
      <c r="N234" s="3">
        <f t="shared" si="195"/>
        <v>3.996144450245992E-2</v>
      </c>
      <c r="O234" s="3">
        <f t="shared" si="195"/>
        <v>3.996144450245992E-2</v>
      </c>
      <c r="P234" s="3">
        <f t="shared" si="195"/>
        <v>3.9961444502459913E-2</v>
      </c>
      <c r="Q234" s="3">
        <f t="shared" si="195"/>
        <v>3.9961444502459892E-2</v>
      </c>
      <c r="R234" s="3">
        <f t="shared" si="195"/>
        <v>3.9961444502459656E-2</v>
      </c>
      <c r="S234" s="3">
        <f t="shared" si="195"/>
        <v>3.9961444502457255E-2</v>
      </c>
      <c r="T234" s="3">
        <f t="shared" si="195"/>
        <v>3.996144450243324E-2</v>
      </c>
      <c r="U234" s="3">
        <f t="shared" si="195"/>
        <v>3.9961444502193091E-2</v>
      </c>
      <c r="V234" s="3">
        <f t="shared" si="195"/>
        <v>3.9961444499791603E-2</v>
      </c>
      <c r="W234" s="3">
        <f t="shared" si="195"/>
        <v>3.9961444475776702E-2</v>
      </c>
      <c r="X234" s="3">
        <f t="shared" si="195"/>
        <v>3.9961444235627766E-2</v>
      </c>
      <c r="Y234" s="3">
        <f t="shared" si="195"/>
        <v>3.9961441834138467E-2</v>
      </c>
      <c r="Z234" s="3">
        <f t="shared" si="195"/>
        <v>3.99614178192534E-2</v>
      </c>
      <c r="AA234" s="3">
        <f t="shared" si="195"/>
        <v>3.9961177671196509E-2</v>
      </c>
      <c r="AB234" s="3">
        <f t="shared" si="195"/>
        <v>3.9958776270000454E-2</v>
      </c>
      <c r="AC234" s="3">
        <f t="shared" si="195"/>
        <v>3.9934770193563063E-2</v>
      </c>
      <c r="AD234" s="3">
        <f t="shared" si="195"/>
        <v>3.9695501219858494E-2</v>
      </c>
      <c r="AE234" s="3">
        <f t="shared" si="195"/>
        <v>3.7380257929152338E-2</v>
      </c>
      <c r="AF234" s="3">
        <f t="shared" si="195"/>
        <v>2.0495208055194072E-2</v>
      </c>
      <c r="AG234" s="3"/>
      <c r="AH234" s="3"/>
    </row>
    <row r="235" spans="2:34" x14ac:dyDescent="0.25">
      <c r="B235" s="3">
        <f t="shared" ref="B235:AF235" si="196">$C43*EXP(-B$207/$A43/EXP(-$D$126))</f>
        <v>4.8323610204746917E-2</v>
      </c>
      <c r="C235" s="3">
        <f t="shared" si="196"/>
        <v>4.8323610204746917E-2</v>
      </c>
      <c r="D235" s="3">
        <f t="shared" si="196"/>
        <v>4.8323610204746917E-2</v>
      </c>
      <c r="E235" s="3">
        <f t="shared" si="196"/>
        <v>4.8323610204746917E-2</v>
      </c>
      <c r="F235" s="3">
        <f t="shared" si="196"/>
        <v>4.8323610204746917E-2</v>
      </c>
      <c r="G235" s="3">
        <f t="shared" si="196"/>
        <v>4.8323610204746917E-2</v>
      </c>
      <c r="H235" s="3">
        <f t="shared" si="196"/>
        <v>4.8323610204746917E-2</v>
      </c>
      <c r="I235" s="3">
        <f t="shared" si="196"/>
        <v>4.8323610204746917E-2</v>
      </c>
      <c r="J235" s="3">
        <f t="shared" si="196"/>
        <v>4.8323610204746917E-2</v>
      </c>
      <c r="K235" s="3">
        <f t="shared" si="196"/>
        <v>4.8323610204746917E-2</v>
      </c>
      <c r="L235" s="3">
        <f t="shared" si="196"/>
        <v>4.8323610204746917E-2</v>
      </c>
      <c r="M235" s="3">
        <f t="shared" si="196"/>
        <v>4.8323610204746917E-2</v>
      </c>
      <c r="N235" s="3">
        <f t="shared" si="196"/>
        <v>4.8323610204746917E-2</v>
      </c>
      <c r="O235" s="3">
        <f t="shared" si="196"/>
        <v>4.8323610204746917E-2</v>
      </c>
      <c r="P235" s="3">
        <f t="shared" si="196"/>
        <v>4.8323610204746917E-2</v>
      </c>
      <c r="Q235" s="3">
        <f t="shared" si="196"/>
        <v>4.832361020474691E-2</v>
      </c>
      <c r="R235" s="3">
        <f t="shared" si="196"/>
        <v>4.8323610204746882E-2</v>
      </c>
      <c r="S235" s="3">
        <f t="shared" si="196"/>
        <v>4.8323610204746598E-2</v>
      </c>
      <c r="T235" s="3">
        <f t="shared" si="196"/>
        <v>4.832361020474369E-2</v>
      </c>
      <c r="U235" s="3">
        <f t="shared" si="196"/>
        <v>4.8323610204714651E-2</v>
      </c>
      <c r="V235" s="3">
        <f t="shared" si="196"/>
        <v>4.8323610204424251E-2</v>
      </c>
      <c r="W235" s="3">
        <f t="shared" si="196"/>
        <v>4.8323610201520234E-2</v>
      </c>
      <c r="X235" s="3">
        <f t="shared" si="196"/>
        <v>4.8323610172480082E-2</v>
      </c>
      <c r="Y235" s="3">
        <f t="shared" si="196"/>
        <v>4.8323609882078573E-2</v>
      </c>
      <c r="Z235" s="3">
        <f t="shared" si="196"/>
        <v>4.8323606978063614E-2</v>
      </c>
      <c r="AA235" s="3">
        <f t="shared" si="196"/>
        <v>4.8323577937923565E-2</v>
      </c>
      <c r="AB235" s="3">
        <f t="shared" si="196"/>
        <v>4.8323287537482905E-2</v>
      </c>
      <c r="AC235" s="3">
        <f t="shared" si="196"/>
        <v>4.8320383629058467E-2</v>
      </c>
      <c r="AD235" s="3">
        <f t="shared" si="196"/>
        <v>4.8291354140891828E-2</v>
      </c>
      <c r="AE235" s="3">
        <f t="shared" si="196"/>
        <v>4.8002016736717723E-2</v>
      </c>
      <c r="AF235" s="3">
        <f t="shared" si="196"/>
        <v>4.5202295262626549E-2</v>
      </c>
      <c r="AG235" s="3"/>
      <c r="AH235" s="3"/>
    </row>
    <row r="236" spans="2:34" x14ac:dyDescent="0.25">
      <c r="B236" s="3">
        <f t="shared" ref="B236:AF236" si="197">$C44*EXP(-B$207/$A44/EXP(-$D$126))</f>
        <v>1.4844365312015322E-2</v>
      </c>
      <c r="C236" s="3">
        <f t="shared" si="197"/>
        <v>1.4844365312015322E-2</v>
      </c>
      <c r="D236" s="3">
        <f t="shared" si="197"/>
        <v>1.4844365312015322E-2</v>
      </c>
      <c r="E236" s="3">
        <f t="shared" si="197"/>
        <v>1.4844365312015322E-2</v>
      </c>
      <c r="F236" s="3">
        <f t="shared" si="197"/>
        <v>1.4844365312015322E-2</v>
      </c>
      <c r="G236" s="3">
        <f t="shared" si="197"/>
        <v>1.4844365312015322E-2</v>
      </c>
      <c r="H236" s="3">
        <f t="shared" si="197"/>
        <v>1.4844365312015322E-2</v>
      </c>
      <c r="I236" s="3">
        <f t="shared" si="197"/>
        <v>1.4844365312015322E-2</v>
      </c>
      <c r="J236" s="3">
        <f t="shared" si="197"/>
        <v>1.4844365312015322E-2</v>
      </c>
      <c r="K236" s="3">
        <f t="shared" si="197"/>
        <v>1.4844365312015322E-2</v>
      </c>
      <c r="L236" s="3">
        <f t="shared" si="197"/>
        <v>1.4844365312015322E-2</v>
      </c>
      <c r="M236" s="3">
        <f t="shared" si="197"/>
        <v>1.4844365312015322E-2</v>
      </c>
      <c r="N236" s="3">
        <f t="shared" si="197"/>
        <v>1.4844365312015322E-2</v>
      </c>
      <c r="O236" s="3">
        <f t="shared" si="197"/>
        <v>1.4844365312015322E-2</v>
      </c>
      <c r="P236" s="3">
        <f t="shared" si="197"/>
        <v>1.4844365312015322E-2</v>
      </c>
      <c r="Q236" s="3">
        <f t="shared" si="197"/>
        <v>1.4844365312015322E-2</v>
      </c>
      <c r="R236" s="3">
        <f t="shared" si="197"/>
        <v>1.484436531201532E-2</v>
      </c>
      <c r="S236" s="3">
        <f t="shared" si="197"/>
        <v>1.4844365312015311E-2</v>
      </c>
      <c r="T236" s="3">
        <f t="shared" si="197"/>
        <v>1.4844365312015223E-2</v>
      </c>
      <c r="U236" s="3">
        <f t="shared" si="197"/>
        <v>1.4844365312014331E-2</v>
      </c>
      <c r="V236" s="3">
        <f t="shared" si="197"/>
        <v>1.4844365312005409E-2</v>
      </c>
      <c r="W236" s="3">
        <f t="shared" si="197"/>
        <v>1.4844365311916203E-2</v>
      </c>
      <c r="X236" s="3">
        <f t="shared" si="197"/>
        <v>1.4844365311024128E-2</v>
      </c>
      <c r="Y236" s="3">
        <f t="shared" si="197"/>
        <v>1.4844365302103382E-2</v>
      </c>
      <c r="Z236" s="3">
        <f t="shared" si="197"/>
        <v>1.4844365212895932E-2</v>
      </c>
      <c r="AA236" s="3">
        <f t="shared" si="197"/>
        <v>1.4844364320821462E-2</v>
      </c>
      <c r="AB236" s="3">
        <f t="shared" si="197"/>
        <v>1.48443554000797E-2</v>
      </c>
      <c r="AC236" s="3">
        <f t="shared" si="197"/>
        <v>1.4844266192956937E-2</v>
      </c>
      <c r="AD236" s="3">
        <f t="shared" si="197"/>
        <v>1.4843374151213732E-2</v>
      </c>
      <c r="AE236" s="3">
        <f t="shared" si="197"/>
        <v>1.4834456681568138E-2</v>
      </c>
      <c r="AF236" s="3">
        <f t="shared" si="197"/>
        <v>1.4745576109363523E-2</v>
      </c>
      <c r="AG236" s="3"/>
      <c r="AH236" s="3"/>
    </row>
    <row r="237" spans="2:34" x14ac:dyDescent="0.25">
      <c r="B237" s="3">
        <f t="shared" ref="B237:AF237" si="198">$C45*EXP(-B$207/$A45/EXP(-$D$126))</f>
        <v>1.5641900970231219E-2</v>
      </c>
      <c r="C237" s="3">
        <f t="shared" si="198"/>
        <v>1.5641900970231219E-2</v>
      </c>
      <c r="D237" s="3">
        <f t="shared" si="198"/>
        <v>1.5641900970231219E-2</v>
      </c>
      <c r="E237" s="3">
        <f t="shared" si="198"/>
        <v>1.5641900970231219E-2</v>
      </c>
      <c r="F237" s="3">
        <f t="shared" si="198"/>
        <v>1.5641900970231219E-2</v>
      </c>
      <c r="G237" s="3">
        <f t="shared" si="198"/>
        <v>1.5641900970231219E-2</v>
      </c>
      <c r="H237" s="3">
        <f t="shared" si="198"/>
        <v>1.5641900970231219E-2</v>
      </c>
      <c r="I237" s="3">
        <f t="shared" si="198"/>
        <v>1.5641900970231219E-2</v>
      </c>
      <c r="J237" s="3">
        <f t="shared" si="198"/>
        <v>1.5641900970231219E-2</v>
      </c>
      <c r="K237" s="3">
        <f t="shared" si="198"/>
        <v>1.5641900970231219E-2</v>
      </c>
      <c r="L237" s="3">
        <f t="shared" si="198"/>
        <v>1.5641900970231219E-2</v>
      </c>
      <c r="M237" s="3">
        <f t="shared" si="198"/>
        <v>1.5641900970231219E-2</v>
      </c>
      <c r="N237" s="3">
        <f t="shared" si="198"/>
        <v>1.5641900970231219E-2</v>
      </c>
      <c r="O237" s="3">
        <f t="shared" si="198"/>
        <v>1.5641900970231219E-2</v>
      </c>
      <c r="P237" s="3">
        <f t="shared" si="198"/>
        <v>1.5641900970231219E-2</v>
      </c>
      <c r="Q237" s="3">
        <f t="shared" si="198"/>
        <v>1.5641900970231219E-2</v>
      </c>
      <c r="R237" s="3">
        <f t="shared" si="198"/>
        <v>1.5641900970231219E-2</v>
      </c>
      <c r="S237" s="3">
        <f t="shared" si="198"/>
        <v>1.5641900970231215E-2</v>
      </c>
      <c r="T237" s="3">
        <f t="shared" si="198"/>
        <v>1.5641900970231208E-2</v>
      </c>
      <c r="U237" s="3">
        <f t="shared" si="198"/>
        <v>1.5641900970231114E-2</v>
      </c>
      <c r="V237" s="3">
        <f t="shared" si="198"/>
        <v>1.5641900970230174E-2</v>
      </c>
      <c r="W237" s="3">
        <f t="shared" si="198"/>
        <v>1.5641900970220775E-2</v>
      </c>
      <c r="X237" s="3">
        <f t="shared" si="198"/>
        <v>1.5641900970126774E-2</v>
      </c>
      <c r="Y237" s="3">
        <f t="shared" si="198"/>
        <v>1.5641900969186773E-2</v>
      </c>
      <c r="Z237" s="3">
        <f t="shared" si="198"/>
        <v>1.5641900959786747E-2</v>
      </c>
      <c r="AA237" s="3">
        <f t="shared" si="198"/>
        <v>1.5641900865786491E-2</v>
      </c>
      <c r="AB237" s="3">
        <f t="shared" si="198"/>
        <v>1.5641899925783992E-2</v>
      </c>
      <c r="AC237" s="3">
        <f t="shared" si="198"/>
        <v>1.5641890525762078E-2</v>
      </c>
      <c r="AD237" s="3">
        <f t="shared" si="198"/>
        <v>1.5641796525853645E-2</v>
      </c>
      <c r="AE237" s="3">
        <f t="shared" si="198"/>
        <v>1.5640856557837819E-2</v>
      </c>
      <c r="AF237" s="3">
        <f t="shared" si="198"/>
        <v>1.5631459983840239E-2</v>
      </c>
      <c r="AG237" s="3"/>
      <c r="AH237" s="3"/>
    </row>
    <row r="238" spans="2:34" x14ac:dyDescent="0.25">
      <c r="B238" s="3">
        <f t="shared" ref="B238:AF238" si="199">$C46*EXP(-B$207/$A46/EXP(-$D$126))</f>
        <v>1.5176002473828224E-3</v>
      </c>
      <c r="C238" s="3">
        <f t="shared" si="199"/>
        <v>1.5176002473828224E-3</v>
      </c>
      <c r="D238" s="3">
        <f t="shared" si="199"/>
        <v>1.5176002473828224E-3</v>
      </c>
      <c r="E238" s="3">
        <f t="shared" si="199"/>
        <v>1.5176002473828224E-3</v>
      </c>
      <c r="F238" s="3">
        <f t="shared" si="199"/>
        <v>1.5176002473828224E-3</v>
      </c>
      <c r="G238" s="3">
        <f t="shared" si="199"/>
        <v>1.5176002473828224E-3</v>
      </c>
      <c r="H238" s="3">
        <f t="shared" si="199"/>
        <v>1.5176002473828224E-3</v>
      </c>
      <c r="I238" s="3">
        <f t="shared" si="199"/>
        <v>1.5176002473828224E-3</v>
      </c>
      <c r="J238" s="3">
        <f t="shared" si="199"/>
        <v>1.5176002473828224E-3</v>
      </c>
      <c r="K238" s="3">
        <f t="shared" si="199"/>
        <v>1.5176002473828224E-3</v>
      </c>
      <c r="L238" s="3">
        <f t="shared" si="199"/>
        <v>1.5176002473828224E-3</v>
      </c>
      <c r="M238" s="3">
        <f t="shared" si="199"/>
        <v>1.5176002473828224E-3</v>
      </c>
      <c r="N238" s="3">
        <f t="shared" si="199"/>
        <v>1.5176002473828224E-3</v>
      </c>
      <c r="O238" s="3">
        <f t="shared" si="199"/>
        <v>1.5176002473828224E-3</v>
      </c>
      <c r="P238" s="3">
        <f t="shared" si="199"/>
        <v>1.5176002473828224E-3</v>
      </c>
      <c r="Q238" s="3">
        <f t="shared" si="199"/>
        <v>1.5176002473828224E-3</v>
      </c>
      <c r="R238" s="3">
        <f t="shared" si="199"/>
        <v>1.5176002473828224E-3</v>
      </c>
      <c r="S238" s="3">
        <f t="shared" si="199"/>
        <v>1.5176002473828224E-3</v>
      </c>
      <c r="T238" s="3">
        <f t="shared" si="199"/>
        <v>1.5176002473828222E-3</v>
      </c>
      <c r="U238" s="3">
        <f t="shared" si="199"/>
        <v>1.5176002473828213E-3</v>
      </c>
      <c r="V238" s="3">
        <f t="shared" si="199"/>
        <v>1.5176002473828122E-3</v>
      </c>
      <c r="W238" s="3">
        <f t="shared" si="199"/>
        <v>1.5176002473827211E-3</v>
      </c>
      <c r="X238" s="3">
        <f t="shared" si="199"/>
        <v>1.5176002473818091E-3</v>
      </c>
      <c r="Y238" s="3">
        <f t="shared" si="199"/>
        <v>1.517600247372689E-3</v>
      </c>
      <c r="Z238" s="3">
        <f t="shared" si="199"/>
        <v>1.5176002472814887E-3</v>
      </c>
      <c r="AA238" s="3">
        <f t="shared" si="199"/>
        <v>1.5176002463694843E-3</v>
      </c>
      <c r="AB238" s="3">
        <f t="shared" si="199"/>
        <v>1.5176002372494413E-3</v>
      </c>
      <c r="AC238" s="3">
        <f t="shared" si="199"/>
        <v>1.5176001460490156E-3</v>
      </c>
      <c r="AD238" s="3">
        <f t="shared" si="199"/>
        <v>1.5175992340450586E-3</v>
      </c>
      <c r="AE238" s="3">
        <f t="shared" si="199"/>
        <v>1.5175901140356322E-3</v>
      </c>
      <c r="AF238" s="3">
        <f t="shared" si="199"/>
        <v>1.5174989169556823E-3</v>
      </c>
      <c r="AG238" s="3"/>
      <c r="AH238" s="3"/>
    </row>
    <row r="239" spans="2:34" x14ac:dyDescent="0.25">
      <c r="B239" s="3">
        <f t="shared" ref="B239:AF239" si="200">$C47*EXP(-B$207/$A47/EXP(-$D$126))</f>
        <v>3.5883218113444658E-3</v>
      </c>
      <c r="C239" s="3">
        <f t="shared" si="200"/>
        <v>3.5883218113444658E-3</v>
      </c>
      <c r="D239" s="3">
        <f t="shared" si="200"/>
        <v>3.5883218113444658E-3</v>
      </c>
      <c r="E239" s="3">
        <f t="shared" si="200"/>
        <v>3.5883218113444658E-3</v>
      </c>
      <c r="F239" s="3">
        <f t="shared" si="200"/>
        <v>3.5883218113444658E-3</v>
      </c>
      <c r="G239" s="3">
        <f t="shared" si="200"/>
        <v>3.5883218113444658E-3</v>
      </c>
      <c r="H239" s="3">
        <f t="shared" si="200"/>
        <v>3.5883218113444658E-3</v>
      </c>
      <c r="I239" s="3">
        <f t="shared" si="200"/>
        <v>3.5883218113444658E-3</v>
      </c>
      <c r="J239" s="3">
        <f t="shared" si="200"/>
        <v>3.5883218113444658E-3</v>
      </c>
      <c r="K239" s="3">
        <f t="shared" si="200"/>
        <v>3.5883218113444658E-3</v>
      </c>
      <c r="L239" s="3">
        <f t="shared" si="200"/>
        <v>3.5883218113444658E-3</v>
      </c>
      <c r="M239" s="3">
        <f t="shared" si="200"/>
        <v>3.5883218113444658E-3</v>
      </c>
      <c r="N239" s="3">
        <f t="shared" si="200"/>
        <v>3.5883218113444658E-3</v>
      </c>
      <c r="O239" s="3">
        <f t="shared" si="200"/>
        <v>3.5883218113444658E-3</v>
      </c>
      <c r="P239" s="3">
        <f t="shared" si="200"/>
        <v>3.5883218113444658E-3</v>
      </c>
      <c r="Q239" s="3">
        <f t="shared" si="200"/>
        <v>3.5883218113444658E-3</v>
      </c>
      <c r="R239" s="3">
        <f t="shared" si="200"/>
        <v>3.5883218113444658E-3</v>
      </c>
      <c r="S239" s="3">
        <f t="shared" si="200"/>
        <v>3.5883218113444658E-3</v>
      </c>
      <c r="T239" s="3">
        <f t="shared" si="200"/>
        <v>3.5883218113444658E-3</v>
      </c>
      <c r="U239" s="3">
        <f t="shared" si="200"/>
        <v>3.5883218113444654E-3</v>
      </c>
      <c r="V239" s="3">
        <f t="shared" si="200"/>
        <v>3.5883218113444632E-3</v>
      </c>
      <c r="W239" s="3">
        <f t="shared" si="200"/>
        <v>3.5883218113444419E-3</v>
      </c>
      <c r="X239" s="3">
        <f t="shared" si="200"/>
        <v>3.5883218113442264E-3</v>
      </c>
      <c r="Y239" s="3">
        <f t="shared" si="200"/>
        <v>3.5883218113420697E-3</v>
      </c>
      <c r="Z239" s="3">
        <f t="shared" si="200"/>
        <v>3.5883218113205058E-3</v>
      </c>
      <c r="AA239" s="3">
        <f t="shared" si="200"/>
        <v>3.5883218111048649E-3</v>
      </c>
      <c r="AB239" s="3">
        <f t="shared" si="200"/>
        <v>3.5883218089484571E-3</v>
      </c>
      <c r="AC239" s="3">
        <f t="shared" si="200"/>
        <v>3.5883217873843797E-3</v>
      </c>
      <c r="AD239" s="3">
        <f t="shared" si="200"/>
        <v>3.5883215717436158E-3</v>
      </c>
      <c r="AE239" s="3">
        <f t="shared" si="200"/>
        <v>3.5883194153366856E-3</v>
      </c>
      <c r="AF239" s="3">
        <f t="shared" si="200"/>
        <v>3.5882978513386557E-3</v>
      </c>
      <c r="AG239" s="3"/>
      <c r="AH239" s="3"/>
    </row>
    <row r="240" spans="2:34" x14ac:dyDescent="0.25">
      <c r="B240" s="3">
        <f t="shared" ref="B240:AF240" si="201">$C48*EXP(-B$207/$A48/EXP(-$D$126))</f>
        <v>1.1419429769572463E-2</v>
      </c>
      <c r="C240" s="3">
        <f t="shared" si="201"/>
        <v>1.1419429769572463E-2</v>
      </c>
      <c r="D240" s="3">
        <f t="shared" si="201"/>
        <v>1.1419429769572463E-2</v>
      </c>
      <c r="E240" s="3">
        <f t="shared" si="201"/>
        <v>1.1419429769572463E-2</v>
      </c>
      <c r="F240" s="3">
        <f t="shared" si="201"/>
        <v>1.1419429769572463E-2</v>
      </c>
      <c r="G240" s="3">
        <f t="shared" si="201"/>
        <v>1.1419429769572463E-2</v>
      </c>
      <c r="H240" s="3">
        <f t="shared" si="201"/>
        <v>1.1419429769572463E-2</v>
      </c>
      <c r="I240" s="3">
        <f t="shared" si="201"/>
        <v>1.1419429769572463E-2</v>
      </c>
      <c r="J240" s="3">
        <f t="shared" si="201"/>
        <v>1.1419429769572463E-2</v>
      </c>
      <c r="K240" s="3">
        <f t="shared" si="201"/>
        <v>1.1419429769572463E-2</v>
      </c>
      <c r="L240" s="3">
        <f t="shared" si="201"/>
        <v>1.1419429769572463E-2</v>
      </c>
      <c r="M240" s="3">
        <f t="shared" si="201"/>
        <v>1.1419429769572463E-2</v>
      </c>
      <c r="N240" s="3">
        <f t="shared" si="201"/>
        <v>1.1419429769572463E-2</v>
      </c>
      <c r="O240" s="3">
        <f t="shared" si="201"/>
        <v>1.1419429769572463E-2</v>
      </c>
      <c r="P240" s="3">
        <f t="shared" si="201"/>
        <v>1.1419429769572463E-2</v>
      </c>
      <c r="Q240" s="3">
        <f t="shared" si="201"/>
        <v>1.1419429769572463E-2</v>
      </c>
      <c r="R240" s="3">
        <f t="shared" si="201"/>
        <v>1.1419429769572463E-2</v>
      </c>
      <c r="S240" s="3">
        <f t="shared" si="201"/>
        <v>1.1419429769572463E-2</v>
      </c>
      <c r="T240" s="3">
        <f t="shared" si="201"/>
        <v>1.1419429769572463E-2</v>
      </c>
      <c r="U240" s="3">
        <f t="shared" si="201"/>
        <v>1.1419429769572463E-2</v>
      </c>
      <c r="V240" s="3">
        <f t="shared" si="201"/>
        <v>1.1419429769572461E-2</v>
      </c>
      <c r="W240" s="3">
        <f t="shared" si="201"/>
        <v>1.1419429769572456E-2</v>
      </c>
      <c r="X240" s="3">
        <f t="shared" si="201"/>
        <v>1.1419429769572387E-2</v>
      </c>
      <c r="Y240" s="3">
        <f t="shared" si="201"/>
        <v>1.1419429769571702E-2</v>
      </c>
      <c r="Z240" s="3">
        <f t="shared" si="201"/>
        <v>1.1419429769564839E-2</v>
      </c>
      <c r="AA240" s="3">
        <f t="shared" si="201"/>
        <v>1.1419429769496213E-2</v>
      </c>
      <c r="AB240" s="3">
        <f t="shared" si="201"/>
        <v>1.141942976880996E-2</v>
      </c>
      <c r="AC240" s="3">
        <f t="shared" si="201"/>
        <v>1.1419429761947436E-2</v>
      </c>
      <c r="AD240" s="3">
        <f t="shared" si="201"/>
        <v>1.141942969332219E-2</v>
      </c>
      <c r="AE240" s="3">
        <f t="shared" si="201"/>
        <v>1.141942900706976E-2</v>
      </c>
      <c r="AF240" s="3">
        <f t="shared" si="201"/>
        <v>1.1419422144547726E-2</v>
      </c>
      <c r="AG240" s="3"/>
      <c r="AH240" s="3"/>
    </row>
    <row r="241" spans="1:34" x14ac:dyDescent="0.25">
      <c r="A241" s="80">
        <f>AVERAGE(B241:AF241)</f>
        <v>1.5427630703509347E-2</v>
      </c>
      <c r="B241" s="81">
        <f>IF($A$64&lt;=B207,IF($B$64&gt;=B207,ABS((B209-B208)/B208),0),0)</f>
        <v>1.0949477753028194E-2</v>
      </c>
      <c r="C241" s="81">
        <f t="shared" ref="C241:AF241" si="202">IF($A$64&lt;=C207,IF($B$64&gt;=C207,ABS((C209-C208)/C208),0),0)</f>
        <v>2.2454435089855059E-2</v>
      </c>
      <c r="D241" s="81">
        <f t="shared" si="202"/>
        <v>2.2470172705578932E-2</v>
      </c>
      <c r="E241" s="81">
        <f t="shared" si="202"/>
        <v>2.2379615135549338E-2</v>
      </c>
      <c r="F241" s="81">
        <f t="shared" si="202"/>
        <v>2.1508513626752213E-2</v>
      </c>
      <c r="G241" s="81">
        <f t="shared" si="202"/>
        <v>1.4035300288926572E-2</v>
      </c>
      <c r="H241" s="81">
        <f t="shared" si="202"/>
        <v>9.3223485704133028E-3</v>
      </c>
      <c r="I241" s="81">
        <f t="shared" si="202"/>
        <v>5.6841804888437793E-3</v>
      </c>
      <c r="J241" s="81">
        <f t="shared" si="202"/>
        <v>5.4537093973597538E-3</v>
      </c>
      <c r="K241" s="81">
        <f t="shared" si="202"/>
        <v>4.5678297111270486E-3</v>
      </c>
      <c r="L241" s="81">
        <f t="shared" si="202"/>
        <v>5.4089444729682641E-3</v>
      </c>
      <c r="M241" s="81">
        <f t="shared" si="202"/>
        <v>5.458033407943424E-3</v>
      </c>
      <c r="N241" s="81">
        <f t="shared" si="202"/>
        <v>5.8280487853070492E-3</v>
      </c>
      <c r="O241" s="81">
        <f t="shared" si="202"/>
        <v>5.6029477917742699E-3</v>
      </c>
      <c r="P241" s="81">
        <f t="shared" si="202"/>
        <v>5.959048041454129E-3</v>
      </c>
      <c r="Q241" s="81">
        <f t="shared" si="202"/>
        <v>7.1815332376742045E-3</v>
      </c>
      <c r="R241" s="81">
        <f t="shared" si="202"/>
        <v>7.787175819953431E-3</v>
      </c>
      <c r="S241" s="81">
        <f t="shared" si="202"/>
        <v>5.2109137155434805E-3</v>
      </c>
      <c r="T241" s="81">
        <f t="shared" si="202"/>
        <v>5.2490212603029064E-3</v>
      </c>
      <c r="U241" s="81">
        <f t="shared" si="202"/>
        <v>2.0367146572001314E-2</v>
      </c>
      <c r="V241" s="81">
        <f t="shared" si="202"/>
        <v>3.3765693213881169E-2</v>
      </c>
      <c r="W241" s="81">
        <f t="shared" si="202"/>
        <v>3.8940745622926765E-2</v>
      </c>
      <c r="X241" s="81">
        <f t="shared" si="202"/>
        <v>3.4702260775871789E-2</v>
      </c>
      <c r="Y241" s="81">
        <f t="shared" si="202"/>
        <v>2.4604937684879011E-2</v>
      </c>
      <c r="Z241" s="81">
        <f t="shared" si="202"/>
        <v>1.4563414269465879E-2</v>
      </c>
      <c r="AA241" s="81">
        <f t="shared" si="202"/>
        <v>7.1825126559868294E-3</v>
      </c>
      <c r="AB241" s="81">
        <f t="shared" si="202"/>
        <v>7.1264876847148178E-3</v>
      </c>
      <c r="AC241" s="81">
        <f t="shared" si="202"/>
        <v>2.4521495806937091E-3</v>
      </c>
      <c r="AD241" s="81">
        <f t="shared" si="202"/>
        <v>2.9739834625282114E-2</v>
      </c>
      <c r="AE241" s="81">
        <f t="shared" si="202"/>
        <v>2.0715874438740178E-2</v>
      </c>
      <c r="AF241" s="81">
        <f t="shared" si="202"/>
        <v>5.1584245383990736E-2</v>
      </c>
    </row>
    <row r="242" spans="1:34" x14ac:dyDescent="0.25">
      <c r="B242" s="21">
        <f>(B209-B208)^2</f>
        <v>3778.8210893176683</v>
      </c>
      <c r="C242" s="21">
        <f t="shared" ref="C242:AF242" si="203">(C209-C208)^2</f>
        <v>15891.979526073103</v>
      </c>
      <c r="D242" s="21">
        <f t="shared" si="203"/>
        <v>15913.828438536968</v>
      </c>
      <c r="E242" s="21">
        <f t="shared" si="203"/>
        <v>15782.634553388605</v>
      </c>
      <c r="F242" s="21">
        <f t="shared" si="203"/>
        <v>14549.576801450903</v>
      </c>
      <c r="G242" s="21">
        <f t="shared" si="203"/>
        <v>6091.9854981513499</v>
      </c>
      <c r="H242" s="21">
        <f t="shared" si="203"/>
        <v>2526.4011102145805</v>
      </c>
      <c r="I242" s="21">
        <f t="shared" si="203"/>
        <v>898.62779428014437</v>
      </c>
      <c r="J242" s="21">
        <f t="shared" si="203"/>
        <v>794.1169265805047</v>
      </c>
      <c r="K242" s="21">
        <f t="shared" si="203"/>
        <v>531.36647738487147</v>
      </c>
      <c r="L242" s="21">
        <f t="shared" si="203"/>
        <v>708.38516165473141</v>
      </c>
      <c r="M242" s="21">
        <f t="shared" si="203"/>
        <v>680.2641662337569</v>
      </c>
      <c r="N242" s="21">
        <f t="shared" si="203"/>
        <v>726.50308142578899</v>
      </c>
      <c r="O242" s="21">
        <f t="shared" si="203"/>
        <v>625.70228003302168</v>
      </c>
      <c r="P242" s="21">
        <f t="shared" si="203"/>
        <v>660.06053169836036</v>
      </c>
      <c r="Q242" s="21">
        <f t="shared" si="203"/>
        <v>889.3919366168135</v>
      </c>
      <c r="R242" s="21">
        <f t="shared" si="203"/>
        <v>949.95614670293628</v>
      </c>
      <c r="S242" s="21">
        <f t="shared" si="203"/>
        <v>377.90511658651752</v>
      </c>
      <c r="T242" s="21">
        <f t="shared" si="203"/>
        <v>337.52830134160922</v>
      </c>
      <c r="U242" s="21">
        <f t="shared" si="203"/>
        <v>4488.3324169343878</v>
      </c>
      <c r="V242" s="21">
        <f t="shared" si="203"/>
        <v>10852.650598486582</v>
      </c>
      <c r="W242" s="21">
        <f t="shared" si="203"/>
        <v>12800.07515612034</v>
      </c>
      <c r="X242" s="21">
        <f t="shared" si="203"/>
        <v>8994.3815765275667</v>
      </c>
      <c r="Y242" s="21">
        <f t="shared" si="203"/>
        <v>3992.9987054566982</v>
      </c>
      <c r="Z242" s="21">
        <f t="shared" si="203"/>
        <v>1207.5585539937713</v>
      </c>
      <c r="AA242" s="21">
        <f t="shared" si="203"/>
        <v>248.95519761337536</v>
      </c>
      <c r="AB242" s="21">
        <f t="shared" si="203"/>
        <v>200.59664725903721</v>
      </c>
      <c r="AC242" s="21">
        <f t="shared" si="203"/>
        <v>18.55057237308856</v>
      </c>
      <c r="AD242" s="21">
        <f t="shared" si="203"/>
        <v>1959.4932235634551</v>
      </c>
      <c r="AE242" s="21">
        <f t="shared" si="203"/>
        <v>603.30586310823389</v>
      </c>
      <c r="AF242" s="21">
        <f t="shared" si="203"/>
        <v>2048.7624050734571</v>
      </c>
      <c r="AG242" s="3"/>
      <c r="AH242" s="3"/>
    </row>
    <row r="243" spans="1:34" x14ac:dyDescent="0.25">
      <c r="A243" s="72">
        <f>SUM(B243:AF243)</f>
        <v>130130.69585418224</v>
      </c>
      <c r="B243" s="60">
        <f>IF($A$64&lt;=B207,IF($B$64&gt;=B207,ABS(B242),0),0)</f>
        <v>3778.8210893176683</v>
      </c>
      <c r="C243" s="60">
        <f t="shared" ref="C243" si="204">IF($A$64&lt;=C207,IF($B$64&gt;=C207,ABS(C242),0),0)</f>
        <v>15891.979526073103</v>
      </c>
      <c r="D243" s="60">
        <f t="shared" ref="D243" si="205">IF($A$64&lt;=D207,IF($B$64&gt;=D207,ABS(D242),0),0)</f>
        <v>15913.828438536968</v>
      </c>
      <c r="E243" s="60">
        <f t="shared" ref="E243" si="206">IF($A$64&lt;=E207,IF($B$64&gt;=E207,ABS(E242),0),0)</f>
        <v>15782.634553388605</v>
      </c>
      <c r="F243" s="60">
        <f t="shared" ref="F243" si="207">IF($A$64&lt;=F207,IF($B$64&gt;=F207,ABS(F242),0),0)</f>
        <v>14549.576801450903</v>
      </c>
      <c r="G243" s="60">
        <f t="shared" ref="G243" si="208">IF($A$64&lt;=G207,IF($B$64&gt;=G207,ABS(G242),0),0)</f>
        <v>6091.9854981513499</v>
      </c>
      <c r="H243" s="60">
        <f t="shared" ref="H243" si="209">IF($A$64&lt;=H207,IF($B$64&gt;=H207,ABS(H242),0),0)</f>
        <v>2526.4011102145805</v>
      </c>
      <c r="I243" s="60">
        <f t="shared" ref="I243" si="210">IF($A$64&lt;=I207,IF($B$64&gt;=I207,ABS(I242),0),0)</f>
        <v>898.62779428014437</v>
      </c>
      <c r="J243" s="60">
        <f t="shared" ref="J243" si="211">IF($A$64&lt;=J207,IF($B$64&gt;=J207,ABS(J242),0),0)</f>
        <v>794.1169265805047</v>
      </c>
      <c r="K243" s="60">
        <f t="shared" ref="K243" si="212">IF($A$64&lt;=K207,IF($B$64&gt;=K207,ABS(K242),0),0)</f>
        <v>531.36647738487147</v>
      </c>
      <c r="L243" s="60">
        <f t="shared" ref="L243" si="213">IF($A$64&lt;=L207,IF($B$64&gt;=L207,ABS(L242),0),0)</f>
        <v>708.38516165473141</v>
      </c>
      <c r="M243" s="60">
        <f t="shared" ref="M243" si="214">IF($A$64&lt;=M207,IF($B$64&gt;=M207,ABS(M242),0),0)</f>
        <v>680.2641662337569</v>
      </c>
      <c r="N243" s="60">
        <f t="shared" ref="N243" si="215">IF($A$64&lt;=N207,IF($B$64&gt;=N207,ABS(N242),0),0)</f>
        <v>726.50308142578899</v>
      </c>
      <c r="O243" s="60">
        <f t="shared" ref="O243" si="216">IF($A$64&lt;=O207,IF($B$64&gt;=O207,ABS(O242),0),0)</f>
        <v>625.70228003302168</v>
      </c>
      <c r="P243" s="60">
        <f t="shared" ref="P243" si="217">IF($A$64&lt;=P207,IF($B$64&gt;=P207,ABS(P242),0),0)</f>
        <v>660.06053169836036</v>
      </c>
      <c r="Q243" s="60">
        <f t="shared" ref="Q243" si="218">IF($A$64&lt;=Q207,IF($B$64&gt;=Q207,ABS(Q242),0),0)</f>
        <v>889.3919366168135</v>
      </c>
      <c r="R243" s="60">
        <f t="shared" ref="R243" si="219">IF($A$64&lt;=R207,IF($B$64&gt;=R207,ABS(R242),0),0)</f>
        <v>949.95614670293628</v>
      </c>
      <c r="S243" s="60">
        <f t="shared" ref="S243" si="220">IF($A$64&lt;=S207,IF($B$64&gt;=S207,ABS(S242),0),0)</f>
        <v>377.90511658651752</v>
      </c>
      <c r="T243" s="60">
        <f t="shared" ref="T243" si="221">IF($A$64&lt;=T207,IF($B$64&gt;=T207,ABS(T242),0),0)</f>
        <v>337.52830134160922</v>
      </c>
      <c r="U243" s="60">
        <f t="shared" ref="U243" si="222">IF($A$64&lt;=U207,IF($B$64&gt;=U207,ABS(U242),0),0)</f>
        <v>4488.3324169343878</v>
      </c>
      <c r="V243" s="60">
        <f t="shared" ref="V243" si="223">IF($A$64&lt;=V207,IF($B$64&gt;=V207,ABS(V242),0),0)</f>
        <v>10852.650598486582</v>
      </c>
      <c r="W243" s="60">
        <f t="shared" ref="W243" si="224">IF($A$64&lt;=W207,IF($B$64&gt;=W207,ABS(W242),0),0)</f>
        <v>12800.07515612034</v>
      </c>
      <c r="X243" s="60">
        <f t="shared" ref="X243" si="225">IF($A$64&lt;=X207,IF($B$64&gt;=X207,ABS(X242),0),0)</f>
        <v>8994.3815765275667</v>
      </c>
      <c r="Y243" s="60">
        <f t="shared" ref="Y243" si="226">IF($A$64&lt;=Y207,IF($B$64&gt;=Y207,ABS(Y242),0),0)</f>
        <v>3992.9987054566982</v>
      </c>
      <c r="Z243" s="60">
        <f t="shared" ref="Z243" si="227">IF($A$64&lt;=Z207,IF($B$64&gt;=Z207,ABS(Z242),0),0)</f>
        <v>1207.5585539937713</v>
      </c>
      <c r="AA243" s="60">
        <f t="shared" ref="AA243" si="228">IF($A$64&lt;=AA207,IF($B$64&gt;=AA207,ABS(AA242),0),0)</f>
        <v>248.95519761337536</v>
      </c>
      <c r="AB243" s="60">
        <f t="shared" ref="AB243" si="229">IF($A$64&lt;=AB207,IF($B$64&gt;=AB207,ABS(AB242),0),0)</f>
        <v>200.59664725903721</v>
      </c>
      <c r="AC243" s="60">
        <f t="shared" ref="AC243" si="230">IF($A$64&lt;=AC207,IF($B$64&gt;=AC207,ABS(AC242),0),0)</f>
        <v>18.55057237308856</v>
      </c>
      <c r="AD243" s="60">
        <f t="shared" ref="AD243" si="231">IF($A$64&lt;=AD207,IF($B$64&gt;=AD207,ABS(AD242),0),0)</f>
        <v>1959.4932235634551</v>
      </c>
      <c r="AE243" s="60">
        <f t="shared" ref="AE243" si="232">IF($A$64&lt;=AE207,IF($B$64&gt;=AE207,ABS(AE242),0),0)</f>
        <v>603.30586310823389</v>
      </c>
      <c r="AF243" s="60">
        <f t="shared" ref="AF243" si="233">IF($A$64&lt;=AF207,IF($B$64&gt;=AF207,ABS(AF242),0),0)</f>
        <v>2048.7624050734571</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1" t="s">
        <v>22</v>
      </c>
      <c r="B248" s="27">
        <f>($C$17+SUM(B249:B279))*$B$51</f>
        <v>5487.9564935258886</v>
      </c>
      <c r="C248" s="27">
        <f t="shared" ref="C248:AF248" si="234">($C$17+SUM(C249:C279))*$B$51</f>
        <v>5487.8792927351396</v>
      </c>
      <c r="D248" s="27">
        <f t="shared" si="234"/>
        <v>5487.1083842199632</v>
      </c>
      <c r="E248" s="27">
        <f t="shared" si="234"/>
        <v>5479.5081721386796</v>
      </c>
      <c r="F248" s="27">
        <f t="shared" si="234"/>
        <v>5413.4011982446173</v>
      </c>
      <c r="G248" s="27">
        <f t="shared" si="234"/>
        <v>5200.8617641357487</v>
      </c>
      <c r="H248" s="27">
        <f t="shared" si="234"/>
        <v>5118.1209874470414</v>
      </c>
      <c r="I248" s="27">
        <f t="shared" si="234"/>
        <v>4989.8311966501942</v>
      </c>
      <c r="J248" s="27">
        <f t="shared" si="234"/>
        <v>4859.9630992352913</v>
      </c>
      <c r="K248" s="27">
        <f t="shared" si="234"/>
        <v>4712.9349251684262</v>
      </c>
      <c r="L248" s="27">
        <f t="shared" si="234"/>
        <v>4556.0182931470617</v>
      </c>
      <c r="M248" s="27">
        <f t="shared" si="234"/>
        <v>4397.8839703718013</v>
      </c>
      <c r="N248" s="27">
        <f t="shared" si="234"/>
        <v>4245.9928728719451</v>
      </c>
      <c r="O248" s="27">
        <f t="shared" si="234"/>
        <v>4076.2855758272917</v>
      </c>
      <c r="P248" s="27">
        <f t="shared" si="234"/>
        <v>3872.2608119860656</v>
      </c>
      <c r="Q248" s="27">
        <f t="shared" si="234"/>
        <v>3660.2892098549955</v>
      </c>
      <c r="R248" s="27">
        <f t="shared" si="234"/>
        <v>3480.6083623467539</v>
      </c>
      <c r="S248" s="27">
        <f t="shared" si="234"/>
        <v>3318.0327727077533</v>
      </c>
      <c r="T248" s="27">
        <f t="shared" si="234"/>
        <v>3152.9682243465882</v>
      </c>
      <c r="U248" s="27">
        <f t="shared" si="234"/>
        <v>2977.9619270583012</v>
      </c>
      <c r="V248" s="27">
        <f t="shared" si="234"/>
        <v>2787.5447322307755</v>
      </c>
      <c r="W248" s="27">
        <f t="shared" si="234"/>
        <v>2588.0411233243371</v>
      </c>
      <c r="X248" s="27">
        <f t="shared" si="234"/>
        <v>2379.5626232599748</v>
      </c>
      <c r="Y248" s="27">
        <f t="shared" si="234"/>
        <v>2162.4860164094175</v>
      </c>
      <c r="Z248" s="27">
        <f t="shared" si="234"/>
        <v>1936.4662001614256</v>
      </c>
      <c r="AA248" s="27">
        <f t="shared" si="234"/>
        <v>1668.0506229501432</v>
      </c>
      <c r="AB248" s="27">
        <f t="shared" si="234"/>
        <v>1390.231157356563</v>
      </c>
      <c r="AC248" s="27">
        <f t="shared" si="234"/>
        <v>1066.7353456256765</v>
      </c>
      <c r="AD248" s="27">
        <f t="shared" si="234"/>
        <v>775.57954928160086</v>
      </c>
      <c r="AE248" s="27">
        <f t="shared" si="234"/>
        <v>539.59624262210332</v>
      </c>
      <c r="AF248" s="27">
        <f t="shared" si="234"/>
        <v>396.94271548489724</v>
      </c>
      <c r="AG248" s="27"/>
      <c r="AH248" s="27"/>
    </row>
    <row r="249" spans="1:34" x14ac:dyDescent="0.25">
      <c r="B249" s="3">
        <f t="shared" ref="B249:AF249" si="235">$C18*EXP(-B$246/$A18/EXP(-$E$126))</f>
        <v>3.5916629364171625E-52</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5.0928428074411503E-2</v>
      </c>
      <c r="C250" s="3">
        <f t="shared" si="236"/>
        <v>5.0914967565321122E-2</v>
      </c>
      <c r="D250" s="3">
        <f t="shared" si="236"/>
        <v>5.0780557989866248E-2</v>
      </c>
      <c r="E250" s="3">
        <f t="shared" si="236"/>
        <v>4.9455823901185497E-2</v>
      </c>
      <c r="F250" s="3">
        <f t="shared" si="236"/>
        <v>3.7967951617053269E-2</v>
      </c>
      <c r="G250" s="3">
        <f t="shared" si="236"/>
        <v>2.7003149991557513E-3</v>
      </c>
      <c r="H250" s="3">
        <f t="shared" si="236"/>
        <v>8.9410194957542547E-15</v>
      </c>
      <c r="I250" s="3">
        <f t="shared" si="236"/>
        <v>1.4161627697921524E-129</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9.6872598567445904E-3</v>
      </c>
      <c r="C251" s="3">
        <f t="shared" si="237"/>
        <v>9.687028862597747E-3</v>
      </c>
      <c r="D251" s="3">
        <f t="shared" si="237"/>
        <v>9.6847192240525661E-3</v>
      </c>
      <c r="E251" s="3">
        <f t="shared" si="237"/>
        <v>9.6616531042175574E-3</v>
      </c>
      <c r="F251" s="3">
        <f t="shared" si="237"/>
        <v>9.4339919342342014E-3</v>
      </c>
      <c r="G251" s="3">
        <f t="shared" si="237"/>
        <v>7.432520284047079E-3</v>
      </c>
      <c r="H251" s="3">
        <f t="shared" si="237"/>
        <v>6.8476590471308705E-4</v>
      </c>
      <c r="I251" s="3">
        <f t="shared" si="237"/>
        <v>3.0171880496830759E-14</v>
      </c>
      <c r="J251" s="3">
        <f t="shared" si="237"/>
        <v>8.3215626325138238E-118</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2.5365394850238501E-2</v>
      </c>
      <c r="C252" s="3">
        <f t="shared" si="238"/>
        <v>2.5365340287902619E-2</v>
      </c>
      <c r="D252" s="3">
        <f t="shared" si="238"/>
        <v>2.5364794670998926E-2</v>
      </c>
      <c r="E252" s="3">
        <f t="shared" si="238"/>
        <v>2.5359339147422402E-2</v>
      </c>
      <c r="F252" s="3">
        <f t="shared" si="238"/>
        <v>2.5304848406355416E-2</v>
      </c>
      <c r="G252" s="3">
        <f t="shared" si="238"/>
        <v>2.4766339428777515E-2</v>
      </c>
      <c r="H252" s="3">
        <f t="shared" si="238"/>
        <v>1.9972969043787332E-2</v>
      </c>
      <c r="I252" s="3">
        <f t="shared" si="238"/>
        <v>2.3240780576103421E-3</v>
      </c>
      <c r="J252" s="3">
        <f t="shared" si="238"/>
        <v>1.0576245550673915E-12</v>
      </c>
      <c r="K252" s="3">
        <f t="shared" si="238"/>
        <v>4.0284657444320244E-106</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2.3099377619187556E-2</v>
      </c>
      <c r="C253" s="3">
        <f t="shared" si="239"/>
        <v>2.3099373136911273E-2</v>
      </c>
      <c r="D253" s="3">
        <f t="shared" si="239"/>
        <v>2.3099328314196328E-2</v>
      </c>
      <c r="E253" s="3">
        <f t="shared" si="239"/>
        <v>2.3098880091830466E-2</v>
      </c>
      <c r="F253" s="3">
        <f t="shared" si="239"/>
        <v>2.3094398346499082E-2</v>
      </c>
      <c r="G253" s="3">
        <f t="shared" si="239"/>
        <v>2.3049628691584008E-2</v>
      </c>
      <c r="H253" s="3">
        <f t="shared" si="239"/>
        <v>2.2606677842375179E-2</v>
      </c>
      <c r="I253" s="3">
        <f t="shared" si="239"/>
        <v>1.8619364873206624E-2</v>
      </c>
      <c r="J253" s="3">
        <f t="shared" si="239"/>
        <v>2.6745211391778112E-3</v>
      </c>
      <c r="K253" s="3">
        <f t="shared" si="239"/>
        <v>1.0001329996175178E-11</v>
      </c>
      <c r="L253" s="3">
        <f t="shared" si="239"/>
        <v>5.3477978222858555E-96</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2.7649262810890609E-2</v>
      </c>
      <c r="C254" s="3">
        <f t="shared" si="240"/>
        <v>2.7649262326909368E-2</v>
      </c>
      <c r="D254" s="3">
        <f t="shared" si="240"/>
        <v>2.7649257487097414E-2</v>
      </c>
      <c r="E254" s="3">
        <f t="shared" si="240"/>
        <v>2.7649209089024514E-2</v>
      </c>
      <c r="F254" s="3">
        <f t="shared" si="240"/>
        <v>2.7648725112954957E-2</v>
      </c>
      <c r="G254" s="3">
        <f t="shared" si="240"/>
        <v>2.7643885818172464E-2</v>
      </c>
      <c r="H254" s="3">
        <f t="shared" si="240"/>
        <v>2.7595539431499162E-2</v>
      </c>
      <c r="I254" s="3">
        <f t="shared" si="240"/>
        <v>2.7116701664833095E-2</v>
      </c>
      <c r="J254" s="3">
        <f t="shared" si="240"/>
        <v>2.2762324694306776E-2</v>
      </c>
      <c r="K254" s="3">
        <f t="shared" si="240"/>
        <v>3.9537947824279341E-3</v>
      </c>
      <c r="L254" s="3">
        <f t="shared" si="240"/>
        <v>9.885285639159191E-11</v>
      </c>
      <c r="M254" s="3">
        <f t="shared" si="240"/>
        <v>9.4349632457108453E-87</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2.956780395650227E-2</v>
      </c>
      <c r="C255" s="3">
        <f t="shared" si="241"/>
        <v>2.956780390981369E-2</v>
      </c>
      <c r="D255" s="3">
        <f t="shared" si="241"/>
        <v>2.9567803442927924E-2</v>
      </c>
      <c r="E255" s="3">
        <f t="shared" si="241"/>
        <v>2.9567798774070675E-2</v>
      </c>
      <c r="F255" s="3">
        <f t="shared" si="241"/>
        <v>2.9567752085538714E-2</v>
      </c>
      <c r="G255" s="3">
        <f t="shared" si="241"/>
        <v>2.956728520427385E-2</v>
      </c>
      <c r="H255" s="3">
        <f t="shared" si="241"/>
        <v>2.9562616797074628E-2</v>
      </c>
      <c r="I255" s="3">
        <f t="shared" si="241"/>
        <v>2.9515973246348089E-2</v>
      </c>
      <c r="J255" s="3">
        <f t="shared" si="241"/>
        <v>2.9053566291057955E-2</v>
      </c>
      <c r="K255" s="3">
        <f t="shared" si="241"/>
        <v>2.4809776975511871E-2</v>
      </c>
      <c r="L255" s="3">
        <f t="shared" si="241"/>
        <v>5.1151334831078272E-3</v>
      </c>
      <c r="M255" s="3">
        <f t="shared" si="241"/>
        <v>7.0990148255017557E-10</v>
      </c>
      <c r="N255" s="3">
        <f t="shared" si="241"/>
        <v>1.8819548515567939E-78</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2.9957814581419513E-2</v>
      </c>
      <c r="C256" s="3">
        <f t="shared" si="242"/>
        <v>2.9957814577152259E-2</v>
      </c>
      <c r="D256" s="3">
        <f t="shared" si="242"/>
        <v>2.9957814534479741E-2</v>
      </c>
      <c r="E256" s="3">
        <f t="shared" si="242"/>
        <v>2.9957814107754548E-2</v>
      </c>
      <c r="F256" s="3">
        <f t="shared" si="242"/>
        <v>2.9957809840502954E-2</v>
      </c>
      <c r="G256" s="3">
        <f t="shared" si="242"/>
        <v>2.9957767168020472E-2</v>
      </c>
      <c r="H256" s="3">
        <f t="shared" si="242"/>
        <v>2.9957340446538701E-2</v>
      </c>
      <c r="I256" s="3">
        <f t="shared" si="242"/>
        <v>2.9953073566011224E-2</v>
      </c>
      <c r="J256" s="3">
        <f t="shared" si="242"/>
        <v>2.9910438172149376E-2</v>
      </c>
      <c r="K256" s="3">
        <f t="shared" si="242"/>
        <v>2.9487407832710363E-2</v>
      </c>
      <c r="L256" s="3">
        <f t="shared" si="242"/>
        <v>2.5572595447414977E-2</v>
      </c>
      <c r="M256" s="3">
        <f t="shared" si="242"/>
        <v>6.153991985232238E-3</v>
      </c>
      <c r="N256" s="3">
        <f t="shared" si="242"/>
        <v>4.0084651007548739E-9</v>
      </c>
      <c r="O256" s="3">
        <f t="shared" si="242"/>
        <v>5.5104861091448524E-71</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2.7071321334382222E-2</v>
      </c>
      <c r="C257" s="3">
        <f t="shared" si="243"/>
        <v>2.7071321334034372E-2</v>
      </c>
      <c r="D257" s="3">
        <f t="shared" si="243"/>
        <v>2.7071321330555852E-2</v>
      </c>
      <c r="E257" s="3">
        <f t="shared" si="243"/>
        <v>2.7071321295770674E-2</v>
      </c>
      <c r="F257" s="3">
        <f t="shared" si="243"/>
        <v>2.7071320947918923E-2</v>
      </c>
      <c r="G257" s="3">
        <f t="shared" si="243"/>
        <v>2.7071317469401609E-2</v>
      </c>
      <c r="H257" s="3">
        <f t="shared" si="243"/>
        <v>2.7071282684253069E-2</v>
      </c>
      <c r="I257" s="3">
        <f t="shared" si="243"/>
        <v>2.7070934835225997E-2</v>
      </c>
      <c r="J257" s="3">
        <f t="shared" si="243"/>
        <v>2.7067456590776119E-2</v>
      </c>
      <c r="K257" s="3">
        <f t="shared" si="243"/>
        <v>2.7032698716678419E-2</v>
      </c>
      <c r="L257" s="3">
        <f t="shared" si="243"/>
        <v>2.6687565374348219E-2</v>
      </c>
      <c r="M257" s="3">
        <f t="shared" si="243"/>
        <v>2.3469534558323915E-2</v>
      </c>
      <c r="N257" s="3">
        <f t="shared" si="243"/>
        <v>6.4932135057019381E-3</v>
      </c>
      <c r="O257" s="3">
        <f t="shared" si="243"/>
        <v>1.7061285389884251E-8</v>
      </c>
      <c r="P257" s="3">
        <f t="shared" si="243"/>
        <v>2.6762851902340085E-64</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3.2010538564497606E-2</v>
      </c>
      <c r="C258" s="3">
        <f t="shared" si="244"/>
        <v>3.2010538564460497E-2</v>
      </c>
      <c r="D258" s="3">
        <f t="shared" si="244"/>
        <v>3.2010538564089454E-2</v>
      </c>
      <c r="E258" s="3">
        <f t="shared" si="244"/>
        <v>3.2010538560379026E-2</v>
      </c>
      <c r="F258" s="3">
        <f t="shared" si="244"/>
        <v>3.201053852327472E-2</v>
      </c>
      <c r="G258" s="3">
        <f t="shared" si="244"/>
        <v>3.2010538152231656E-2</v>
      </c>
      <c r="H258" s="3">
        <f t="shared" si="244"/>
        <v>3.2010534441801249E-2</v>
      </c>
      <c r="I258" s="3">
        <f t="shared" si="244"/>
        <v>3.2010497337520816E-2</v>
      </c>
      <c r="J258" s="3">
        <f t="shared" si="244"/>
        <v>3.2010126297081984E-2</v>
      </c>
      <c r="K258" s="3">
        <f t="shared" si="244"/>
        <v>3.2006416129229907E-2</v>
      </c>
      <c r="L258" s="3">
        <f t="shared" si="244"/>
        <v>3.1969338094189899E-2</v>
      </c>
      <c r="M258" s="3">
        <f t="shared" si="244"/>
        <v>3.1600911983084588E-2</v>
      </c>
      <c r="N258" s="3">
        <f t="shared" si="244"/>
        <v>2.814228347950383E-2</v>
      </c>
      <c r="O258" s="3">
        <f t="shared" si="244"/>
        <v>8.8299146306911568E-3</v>
      </c>
      <c r="P258" s="3">
        <f t="shared" si="244"/>
        <v>8.1644741480425482E-8</v>
      </c>
      <c r="Q258" s="3">
        <f t="shared" si="244"/>
        <v>3.7294548425263928E-58</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4.090796162341552E-2</v>
      </c>
      <c r="C259" s="3">
        <f t="shared" si="245"/>
        <v>4.0907961623411246E-2</v>
      </c>
      <c r="D259" s="3">
        <f t="shared" si="245"/>
        <v>4.0907961623368468E-2</v>
      </c>
      <c r="E259" s="3">
        <f t="shared" si="245"/>
        <v>4.0907961622940726E-2</v>
      </c>
      <c r="F259" s="3">
        <f t="shared" si="245"/>
        <v>4.0907961618663266E-2</v>
      </c>
      <c r="G259" s="3">
        <f t="shared" si="245"/>
        <v>4.0907961575888684E-2</v>
      </c>
      <c r="H259" s="3">
        <f t="shared" si="245"/>
        <v>4.0907961148142873E-2</v>
      </c>
      <c r="I259" s="3">
        <f t="shared" si="245"/>
        <v>4.0907956870684978E-2</v>
      </c>
      <c r="J259" s="3">
        <f t="shared" si="245"/>
        <v>4.0907914096130628E-2</v>
      </c>
      <c r="K259" s="3">
        <f t="shared" si="245"/>
        <v>4.090748635304705E-2</v>
      </c>
      <c r="L259" s="3">
        <f t="shared" si="245"/>
        <v>4.0903209168195807E-2</v>
      </c>
      <c r="M259" s="3">
        <f t="shared" si="245"/>
        <v>4.0860461908618237E-2</v>
      </c>
      <c r="N259" s="3">
        <f t="shared" si="245"/>
        <v>4.0435438719835133E-2</v>
      </c>
      <c r="O259" s="3">
        <f t="shared" si="245"/>
        <v>3.6420930440709848E-2</v>
      </c>
      <c r="P259" s="3">
        <f t="shared" si="245"/>
        <v>1.2800879397862281E-2</v>
      </c>
      <c r="Q259" s="3">
        <f t="shared" si="245"/>
        <v>3.6823706524023523E-7</v>
      </c>
      <c r="R259" s="3">
        <f t="shared" si="245"/>
        <v>1.4289085934279843E-52</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4.0610124346011099E-2</v>
      </c>
      <c r="C260" s="3">
        <f t="shared" si="246"/>
        <v>4.0610124346010718E-2</v>
      </c>
      <c r="D260" s="3">
        <f t="shared" si="246"/>
        <v>4.0610124346006887E-2</v>
      </c>
      <c r="E260" s="3">
        <f t="shared" si="246"/>
        <v>4.0610124345968578E-2</v>
      </c>
      <c r="F260" s="3">
        <f t="shared" si="246"/>
        <v>4.0610124345585523E-2</v>
      </c>
      <c r="G260" s="3">
        <f t="shared" si="246"/>
        <v>4.0610124341754997E-2</v>
      </c>
      <c r="H260" s="3">
        <f t="shared" si="246"/>
        <v>4.06101243034497E-2</v>
      </c>
      <c r="I260" s="3">
        <f t="shared" si="246"/>
        <v>4.0610123920396722E-2</v>
      </c>
      <c r="J260" s="3">
        <f t="shared" si="246"/>
        <v>4.0610120089867183E-2</v>
      </c>
      <c r="K260" s="3">
        <f t="shared" si="246"/>
        <v>4.0610081784591606E-2</v>
      </c>
      <c r="L260" s="3">
        <f t="shared" si="246"/>
        <v>4.0609698733823106E-2</v>
      </c>
      <c r="M260" s="3">
        <f t="shared" si="246"/>
        <v>4.0605868424852393E-2</v>
      </c>
      <c r="N260" s="3">
        <f t="shared" si="246"/>
        <v>4.0567585199646039E-2</v>
      </c>
      <c r="O260" s="3">
        <f t="shared" si="246"/>
        <v>4.018673248239249E-2</v>
      </c>
      <c r="P260" s="3">
        <f t="shared" si="246"/>
        <v>3.6569421064507467E-2</v>
      </c>
      <c r="Q260" s="3">
        <f t="shared" si="246"/>
        <v>1.4238753665472616E-2</v>
      </c>
      <c r="R260" s="3">
        <f t="shared" si="246"/>
        <v>1.1402783881827313E-6</v>
      </c>
      <c r="S260" s="3">
        <f t="shared" si="246"/>
        <v>1.2370864732960804E-47</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2.9251160650317586E-2</v>
      </c>
      <c r="C261" s="3">
        <f t="shared" si="247"/>
        <v>2.9251160650317562E-2</v>
      </c>
      <c r="D261" s="3">
        <f t="shared" si="247"/>
        <v>2.9251160650317312E-2</v>
      </c>
      <c r="E261" s="3">
        <f t="shared" si="247"/>
        <v>2.9251160650314821E-2</v>
      </c>
      <c r="F261" s="3">
        <f t="shared" si="247"/>
        <v>2.9251160650289935E-2</v>
      </c>
      <c r="G261" s="3">
        <f t="shared" si="247"/>
        <v>2.925116065004104E-2</v>
      </c>
      <c r="H261" s="3">
        <f t="shared" si="247"/>
        <v>2.9251160647552104E-2</v>
      </c>
      <c r="I261" s="3">
        <f t="shared" si="247"/>
        <v>2.9251160622662715E-2</v>
      </c>
      <c r="J261" s="3">
        <f t="shared" si="247"/>
        <v>2.9251160373768837E-2</v>
      </c>
      <c r="K261" s="3">
        <f t="shared" si="247"/>
        <v>2.9251157884830178E-2</v>
      </c>
      <c r="L261" s="3">
        <f t="shared" si="247"/>
        <v>2.9251132995455228E-2</v>
      </c>
      <c r="M261" s="3">
        <f t="shared" si="247"/>
        <v>2.9250884102870522E-2</v>
      </c>
      <c r="N261" s="3">
        <f t="shared" si="247"/>
        <v>2.92483952934985E-2</v>
      </c>
      <c r="O261" s="3">
        <f t="shared" si="247"/>
        <v>2.9223518843615046E-2</v>
      </c>
      <c r="P261" s="3">
        <f t="shared" si="247"/>
        <v>2.8975915070984053E-2</v>
      </c>
      <c r="Q261" s="3">
        <f t="shared" si="247"/>
        <v>2.6612377365453382E-2</v>
      </c>
      <c r="R261" s="3">
        <f t="shared" si="247"/>
        <v>1.1364459993909119E-2</v>
      </c>
      <c r="S261" s="3">
        <f t="shared" si="247"/>
        <v>2.2919234813758734E-6</v>
      </c>
      <c r="T261" s="3">
        <f t="shared" si="247"/>
        <v>2.5510161827074766E-43</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3.1259582937297976E-2</v>
      </c>
      <c r="C262" s="3">
        <f t="shared" si="248"/>
        <v>3.1259582937297969E-2</v>
      </c>
      <c r="D262" s="3">
        <f t="shared" si="248"/>
        <v>3.1259582937297949E-2</v>
      </c>
      <c r="E262" s="3">
        <f t="shared" si="248"/>
        <v>3.1259582937297706E-2</v>
      </c>
      <c r="F262" s="3">
        <f t="shared" si="248"/>
        <v>3.1259582937295312E-2</v>
      </c>
      <c r="G262" s="3">
        <f t="shared" si="248"/>
        <v>3.1259582937271317E-2</v>
      </c>
      <c r="H262" s="3">
        <f t="shared" si="248"/>
        <v>3.1259582937031377E-2</v>
      </c>
      <c r="I262" s="3">
        <f t="shared" si="248"/>
        <v>3.1259582934631991E-2</v>
      </c>
      <c r="J262" s="3">
        <f t="shared" si="248"/>
        <v>3.1259582910638087E-2</v>
      </c>
      <c r="K262" s="3">
        <f t="shared" si="248"/>
        <v>3.1259582670699067E-2</v>
      </c>
      <c r="L262" s="3">
        <f t="shared" si="248"/>
        <v>3.1259580271308963E-2</v>
      </c>
      <c r="M262" s="3">
        <f t="shared" si="248"/>
        <v>3.1259556277418069E-2</v>
      </c>
      <c r="N262" s="3">
        <f t="shared" si="248"/>
        <v>3.1259316339522079E-2</v>
      </c>
      <c r="O262" s="3">
        <f t="shared" si="248"/>
        <v>3.1256917061852407E-2</v>
      </c>
      <c r="P262" s="3">
        <f t="shared" si="248"/>
        <v>3.1232934411302947E-2</v>
      </c>
      <c r="Q262" s="3">
        <f t="shared" si="248"/>
        <v>3.099411765059993E-2</v>
      </c>
      <c r="R262" s="3">
        <f t="shared" si="248"/>
        <v>2.8704114768907576E-2</v>
      </c>
      <c r="S262" s="3">
        <f t="shared" si="248"/>
        <v>1.332272193583282E-2</v>
      </c>
      <c r="T262" s="3">
        <f t="shared" si="248"/>
        <v>6.1813170781482908E-6</v>
      </c>
      <c r="U262" s="3">
        <f t="shared" si="248"/>
        <v>2.8573379123838243E-39</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2.9704645444291411E-2</v>
      </c>
      <c r="C263" s="3">
        <f t="shared" si="249"/>
        <v>2.9704645444291411E-2</v>
      </c>
      <c r="D263" s="3">
        <f t="shared" si="249"/>
        <v>2.9704645444291407E-2</v>
      </c>
      <c r="E263" s="3">
        <f t="shared" si="249"/>
        <v>2.9704645444291387E-2</v>
      </c>
      <c r="F263" s="3">
        <f t="shared" si="249"/>
        <v>2.9704645444291182E-2</v>
      </c>
      <c r="G263" s="3">
        <f t="shared" si="249"/>
        <v>2.9704645444289125E-2</v>
      </c>
      <c r="H263" s="3">
        <f t="shared" si="249"/>
        <v>2.9704645444268558E-2</v>
      </c>
      <c r="I263" s="3">
        <f t="shared" si="249"/>
        <v>2.9704645444062878E-2</v>
      </c>
      <c r="J263" s="3">
        <f t="shared" si="249"/>
        <v>2.9704645442006097E-2</v>
      </c>
      <c r="K263" s="3">
        <f t="shared" si="249"/>
        <v>2.9704645421438258E-2</v>
      </c>
      <c r="L263" s="3">
        <f t="shared" si="249"/>
        <v>2.9704645215759863E-2</v>
      </c>
      <c r="M263" s="3">
        <f t="shared" si="249"/>
        <v>2.9704643158976037E-2</v>
      </c>
      <c r="N263" s="3">
        <f t="shared" si="249"/>
        <v>2.970462259114556E-2</v>
      </c>
      <c r="O263" s="3">
        <f t="shared" si="249"/>
        <v>2.9704416913624073E-2</v>
      </c>
      <c r="P263" s="3">
        <f t="shared" si="249"/>
        <v>2.9702360216734752E-2</v>
      </c>
      <c r="Q263" s="3">
        <f t="shared" si="249"/>
        <v>2.9681801078387318E-2</v>
      </c>
      <c r="R263" s="3">
        <f t="shared" si="249"/>
        <v>2.9476990747076489E-2</v>
      </c>
      <c r="S263" s="3">
        <f t="shared" si="249"/>
        <v>2.7505028176202165E-2</v>
      </c>
      <c r="T263" s="3">
        <f t="shared" si="249"/>
        <v>1.376263477214589E-2</v>
      </c>
      <c r="U263" s="3">
        <f t="shared" si="249"/>
        <v>1.3539308746470564E-5</v>
      </c>
      <c r="V263" s="3">
        <f t="shared" si="249"/>
        <v>1.1495968414166725E-35</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3.5282603781975501E-2</v>
      </c>
      <c r="C264" s="3">
        <f t="shared" si="250"/>
        <v>3.5282603781975501E-2</v>
      </c>
      <c r="D264" s="3">
        <f t="shared" si="250"/>
        <v>3.5282603781975501E-2</v>
      </c>
      <c r="E264" s="3">
        <f t="shared" si="250"/>
        <v>3.5282603781975494E-2</v>
      </c>
      <c r="F264" s="3">
        <f t="shared" si="250"/>
        <v>3.528260378197548E-2</v>
      </c>
      <c r="G264" s="3">
        <f t="shared" si="250"/>
        <v>3.5282603781975251E-2</v>
      </c>
      <c r="H264" s="3">
        <f t="shared" si="250"/>
        <v>3.5282603781973051E-2</v>
      </c>
      <c r="I264" s="3">
        <f t="shared" si="250"/>
        <v>3.5282603781951014E-2</v>
      </c>
      <c r="J264" s="3">
        <f t="shared" si="250"/>
        <v>3.5282603781730634E-2</v>
      </c>
      <c r="K264" s="3">
        <f t="shared" si="250"/>
        <v>3.5282603779526842E-2</v>
      </c>
      <c r="L264" s="3">
        <f t="shared" si="250"/>
        <v>3.5282603757488873E-2</v>
      </c>
      <c r="M264" s="3">
        <f t="shared" si="250"/>
        <v>3.5282603537109214E-2</v>
      </c>
      <c r="N264" s="3">
        <f t="shared" si="250"/>
        <v>3.5282601333312673E-2</v>
      </c>
      <c r="O264" s="3">
        <f t="shared" si="250"/>
        <v>3.5282579295354839E-2</v>
      </c>
      <c r="P264" s="3">
        <f t="shared" si="250"/>
        <v>3.528235891653362E-2</v>
      </c>
      <c r="Q264" s="3">
        <f t="shared" si="250"/>
        <v>3.5280155204028066E-2</v>
      </c>
      <c r="R264" s="3">
        <f t="shared" si="250"/>
        <v>3.5258125647886565E-2</v>
      </c>
      <c r="S264" s="3">
        <f t="shared" si="250"/>
        <v>3.5038585231568373E-2</v>
      </c>
      <c r="T264" s="3">
        <f t="shared" si="250"/>
        <v>3.2916979161549849E-2</v>
      </c>
      <c r="U264" s="3">
        <f t="shared" si="250"/>
        <v>1.7626012608312192E-2</v>
      </c>
      <c r="V264" s="3">
        <f t="shared" si="250"/>
        <v>3.415821089113893E-5</v>
      </c>
      <c r="W264" s="3">
        <f t="shared" si="250"/>
        <v>2.5521459463320384E-32</v>
      </c>
      <c r="X264" s="3">
        <f t="shared" si="250"/>
        <v>1.383596367384217E-303</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3.4987985455608057E-2</v>
      </c>
      <c r="C265" s="3">
        <f t="shared" si="251"/>
        <v>3.4987985455608057E-2</v>
      </c>
      <c r="D265" s="3">
        <f t="shared" si="251"/>
        <v>3.4987985455608057E-2</v>
      </c>
      <c r="E265" s="3">
        <f t="shared" si="251"/>
        <v>3.4987985455608057E-2</v>
      </c>
      <c r="F265" s="3">
        <f t="shared" si="251"/>
        <v>3.4987985455608051E-2</v>
      </c>
      <c r="G265" s="3">
        <f t="shared" si="251"/>
        <v>3.4987985455608037E-2</v>
      </c>
      <c r="H265" s="3">
        <f t="shared" si="251"/>
        <v>3.4987985455607842E-2</v>
      </c>
      <c r="I265" s="3">
        <f t="shared" si="251"/>
        <v>3.4987985455605865E-2</v>
      </c>
      <c r="J265" s="3">
        <f t="shared" si="251"/>
        <v>3.4987985455586151E-2</v>
      </c>
      <c r="K265" s="3">
        <f t="shared" si="251"/>
        <v>3.498798545538901E-2</v>
      </c>
      <c r="L265" s="3">
        <f t="shared" si="251"/>
        <v>3.4987985453417608E-2</v>
      </c>
      <c r="M265" s="3">
        <f t="shared" si="251"/>
        <v>3.4987985433703531E-2</v>
      </c>
      <c r="N265" s="3">
        <f t="shared" si="251"/>
        <v>3.4987985236562776E-2</v>
      </c>
      <c r="O265" s="3">
        <f t="shared" si="251"/>
        <v>3.4987983265155301E-2</v>
      </c>
      <c r="P265" s="3">
        <f t="shared" si="251"/>
        <v>3.4987963551086652E-2</v>
      </c>
      <c r="Q265" s="3">
        <f t="shared" si="251"/>
        <v>3.4987766411011104E-2</v>
      </c>
      <c r="R265" s="3">
        <f t="shared" si="251"/>
        <v>3.4985795071347935E-2</v>
      </c>
      <c r="S265" s="3">
        <f t="shared" si="251"/>
        <v>3.4966087782673391E-2</v>
      </c>
      <c r="T265" s="3">
        <f t="shared" si="251"/>
        <v>3.4769624420191408E-2</v>
      </c>
      <c r="U265" s="3">
        <f t="shared" si="251"/>
        <v>3.2864691425346509E-2</v>
      </c>
      <c r="V265" s="3">
        <f t="shared" si="251"/>
        <v>1.870790489868214E-2</v>
      </c>
      <c r="W265" s="3">
        <f t="shared" si="251"/>
        <v>6.6831483150960928E-5</v>
      </c>
      <c r="X265" s="3">
        <f t="shared" si="251"/>
        <v>2.2622497912208671E-29</v>
      </c>
      <c r="Y265" s="3">
        <f t="shared" si="251"/>
        <v>4.4682260087168025E-274</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4.0020818076897231E-2</v>
      </c>
      <c r="C266" s="3">
        <f t="shared" si="252"/>
        <v>4.0020818076897231E-2</v>
      </c>
      <c r="D266" s="3">
        <f t="shared" si="252"/>
        <v>4.0020818076897231E-2</v>
      </c>
      <c r="E266" s="3">
        <f t="shared" si="252"/>
        <v>4.0020818076897231E-2</v>
      </c>
      <c r="F266" s="3">
        <f t="shared" si="252"/>
        <v>4.0020818076897231E-2</v>
      </c>
      <c r="G266" s="3">
        <f t="shared" si="252"/>
        <v>4.0020818076897224E-2</v>
      </c>
      <c r="H266" s="3">
        <f t="shared" si="252"/>
        <v>4.002081807689721E-2</v>
      </c>
      <c r="I266" s="3">
        <f t="shared" si="252"/>
        <v>4.0020818076897002E-2</v>
      </c>
      <c r="J266" s="3">
        <f t="shared" si="252"/>
        <v>4.0020818076894969E-2</v>
      </c>
      <c r="K266" s="3">
        <f t="shared" si="252"/>
        <v>4.0020818076874631E-2</v>
      </c>
      <c r="L266" s="3">
        <f t="shared" si="252"/>
        <v>4.0020818076671211E-2</v>
      </c>
      <c r="M266" s="3">
        <f t="shared" si="252"/>
        <v>4.0020818074637025E-2</v>
      </c>
      <c r="N266" s="3">
        <f t="shared" si="252"/>
        <v>4.00208180542952E-2</v>
      </c>
      <c r="O266" s="3">
        <f t="shared" si="252"/>
        <v>4.002081785087689E-2</v>
      </c>
      <c r="P266" s="3">
        <f t="shared" si="252"/>
        <v>4.0020815816693915E-2</v>
      </c>
      <c r="Q266" s="3">
        <f t="shared" si="252"/>
        <v>4.0020795474869808E-2</v>
      </c>
      <c r="R266" s="3">
        <f t="shared" si="252"/>
        <v>4.0020592057197407E-2</v>
      </c>
      <c r="S266" s="3">
        <f t="shared" si="252"/>
        <v>4.0018557937338717E-2</v>
      </c>
      <c r="T266" s="3">
        <f t="shared" si="252"/>
        <v>3.9998222424217508E-2</v>
      </c>
      <c r="U266" s="3">
        <f t="shared" si="252"/>
        <v>3.9795434771790941E-2</v>
      </c>
      <c r="V266" s="3">
        <f t="shared" si="252"/>
        <v>3.7823253256923255E-2</v>
      </c>
      <c r="W266" s="3">
        <f t="shared" si="252"/>
        <v>2.2751767946792741E-2</v>
      </c>
      <c r="X266" s="3">
        <f t="shared" si="252"/>
        <v>1.411165135512964E-4</v>
      </c>
      <c r="Y266" s="3">
        <f t="shared" si="252"/>
        <v>1.1890626137065818E-26</v>
      </c>
      <c r="Z266" s="3">
        <f t="shared" si="252"/>
        <v>2.1452286371230754E-247</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3.51305921997421E-2</v>
      </c>
      <c r="C267" s="3">
        <f t="shared" si="253"/>
        <v>3.51305921997421E-2</v>
      </c>
      <c r="D267" s="3">
        <f t="shared" si="253"/>
        <v>3.51305921997421E-2</v>
      </c>
      <c r="E267" s="3">
        <f t="shared" si="253"/>
        <v>3.51305921997421E-2</v>
      </c>
      <c r="F267" s="3">
        <f t="shared" si="253"/>
        <v>3.51305921997421E-2</v>
      </c>
      <c r="G267" s="3">
        <f t="shared" si="253"/>
        <v>3.51305921997421E-2</v>
      </c>
      <c r="H267" s="3">
        <f t="shared" si="253"/>
        <v>3.51305921997421E-2</v>
      </c>
      <c r="I267" s="3">
        <f t="shared" si="253"/>
        <v>3.5130592199742079E-2</v>
      </c>
      <c r="J267" s="3">
        <f t="shared" si="253"/>
        <v>3.513059219974192E-2</v>
      </c>
      <c r="K267" s="3">
        <f t="shared" si="253"/>
        <v>3.513059219974031E-2</v>
      </c>
      <c r="L267" s="3">
        <f t="shared" si="253"/>
        <v>3.5130592199724205E-2</v>
      </c>
      <c r="M267" s="3">
        <f t="shared" si="253"/>
        <v>3.5130592199563125E-2</v>
      </c>
      <c r="N267" s="3">
        <f t="shared" si="253"/>
        <v>3.5130592197952344E-2</v>
      </c>
      <c r="O267" s="3">
        <f t="shared" si="253"/>
        <v>3.5130592181844549E-2</v>
      </c>
      <c r="P267" s="3">
        <f t="shared" si="253"/>
        <v>3.5130592020766585E-2</v>
      </c>
      <c r="Q267" s="3">
        <f t="shared" si="253"/>
        <v>3.5130590409986999E-2</v>
      </c>
      <c r="R267" s="3">
        <f t="shared" si="253"/>
        <v>3.513057430219519E-2</v>
      </c>
      <c r="S267" s="3">
        <f t="shared" si="253"/>
        <v>3.5130413224683334E-2</v>
      </c>
      <c r="T267" s="3">
        <f t="shared" si="253"/>
        <v>3.5128802490184893E-2</v>
      </c>
      <c r="U267" s="3">
        <f t="shared" si="253"/>
        <v>3.5112699206524253E-2</v>
      </c>
      <c r="V267" s="3">
        <f t="shared" si="253"/>
        <v>3.495207181414077E-2</v>
      </c>
      <c r="W267" s="3">
        <f t="shared" si="253"/>
        <v>3.3385662833303784E-2</v>
      </c>
      <c r="X267" s="3">
        <f t="shared" si="253"/>
        <v>2.1107208173523649E-2</v>
      </c>
      <c r="Y267" s="3">
        <f t="shared" si="253"/>
        <v>2.1534693629369521E-4</v>
      </c>
      <c r="Z267" s="3">
        <f t="shared" si="253"/>
        <v>2.6315870336266405E-24</v>
      </c>
      <c r="AA267" s="3">
        <f t="shared" si="253"/>
        <v>1.954376093326861E-223</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5.1976552303921161E-2</v>
      </c>
      <c r="C268" s="3">
        <f t="shared" si="254"/>
        <v>5.1976552303921161E-2</v>
      </c>
      <c r="D268" s="3">
        <f t="shared" si="254"/>
        <v>5.1976552303921161E-2</v>
      </c>
      <c r="E268" s="3">
        <f t="shared" si="254"/>
        <v>5.1976552303921161E-2</v>
      </c>
      <c r="F268" s="3">
        <f t="shared" si="254"/>
        <v>5.1976552303921161E-2</v>
      </c>
      <c r="G268" s="3">
        <f t="shared" si="254"/>
        <v>5.1976552303921161E-2</v>
      </c>
      <c r="H268" s="3">
        <f t="shared" si="254"/>
        <v>5.1976552303921161E-2</v>
      </c>
      <c r="I268" s="3">
        <f t="shared" si="254"/>
        <v>5.1976552303921161E-2</v>
      </c>
      <c r="J268" s="3">
        <f t="shared" si="254"/>
        <v>5.1976552303921141E-2</v>
      </c>
      <c r="K268" s="3">
        <f t="shared" si="254"/>
        <v>5.1976552303920925E-2</v>
      </c>
      <c r="L268" s="3">
        <f t="shared" si="254"/>
        <v>5.1976552303918774E-2</v>
      </c>
      <c r="M268" s="3">
        <f t="shared" si="254"/>
        <v>5.1976552303897278E-2</v>
      </c>
      <c r="N268" s="3">
        <f t="shared" si="254"/>
        <v>5.197655230368229E-2</v>
      </c>
      <c r="O268" s="3">
        <f t="shared" si="254"/>
        <v>5.1976552301532454E-2</v>
      </c>
      <c r="P268" s="3">
        <f t="shared" si="254"/>
        <v>5.197655228003413E-2</v>
      </c>
      <c r="Q268" s="3">
        <f t="shared" si="254"/>
        <v>5.1976552065050835E-2</v>
      </c>
      <c r="R268" s="3">
        <f t="shared" si="254"/>
        <v>5.1976549915217919E-2</v>
      </c>
      <c r="S268" s="3">
        <f t="shared" si="254"/>
        <v>5.1976528416893701E-2</v>
      </c>
      <c r="T268" s="3">
        <f t="shared" si="254"/>
        <v>5.1976313434140518E-2</v>
      </c>
      <c r="U268" s="3">
        <f t="shared" si="254"/>
        <v>5.1974163655514147E-2</v>
      </c>
      <c r="V268" s="3">
        <f t="shared" si="254"/>
        <v>5.1952670759047255E-2</v>
      </c>
      <c r="W268" s="3">
        <f t="shared" si="254"/>
        <v>5.1738230026560354E-2</v>
      </c>
      <c r="X268" s="3">
        <f t="shared" si="254"/>
        <v>4.9641906934146413E-2</v>
      </c>
      <c r="Y268" s="3">
        <f t="shared" si="254"/>
        <v>3.2825952976992707E-2</v>
      </c>
      <c r="Z268" s="3">
        <f t="shared" si="254"/>
        <v>5.2469413889788606E-4</v>
      </c>
      <c r="AA268" s="3">
        <f t="shared" si="254"/>
        <v>5.7120882942729795E-22</v>
      </c>
      <c r="AB268" s="3">
        <f t="shared" si="254"/>
        <v>1.3356168873704642E-201</v>
      </c>
      <c r="AC268" s="3">
        <f t="shared" si="254"/>
        <v>0</v>
      </c>
      <c r="AD268" s="3">
        <f t="shared" si="254"/>
        <v>0</v>
      </c>
      <c r="AE268" s="3">
        <f t="shared" si="254"/>
        <v>0</v>
      </c>
      <c r="AF268" s="3">
        <f t="shared" si="254"/>
        <v>0</v>
      </c>
      <c r="AG268" s="3"/>
      <c r="AH268" s="3"/>
    </row>
    <row r="269" spans="2:34" x14ac:dyDescent="0.25">
      <c r="B269" s="3">
        <f t="shared" ref="B269:AF269" si="255">$C38*EXP(-B$246/$A38/EXP(-$E$126))</f>
        <v>2.3181635308382595E-6</v>
      </c>
      <c r="C269" s="3">
        <f t="shared" si="255"/>
        <v>2.3181635308382595E-6</v>
      </c>
      <c r="D269" s="3">
        <f t="shared" si="255"/>
        <v>2.3181635308382595E-6</v>
      </c>
      <c r="E269" s="3">
        <f t="shared" si="255"/>
        <v>2.3181635308382595E-6</v>
      </c>
      <c r="F269" s="3">
        <f t="shared" si="255"/>
        <v>2.3181635308382595E-6</v>
      </c>
      <c r="G269" s="3">
        <f t="shared" si="255"/>
        <v>2.3181635308382595E-6</v>
      </c>
      <c r="H269" s="3">
        <f t="shared" si="255"/>
        <v>2.3181635308382595E-6</v>
      </c>
      <c r="I269" s="3">
        <f t="shared" si="255"/>
        <v>2.3181635308382595E-6</v>
      </c>
      <c r="J269" s="3">
        <f t="shared" si="255"/>
        <v>2.3181635308382595E-6</v>
      </c>
      <c r="K269" s="3">
        <f t="shared" si="255"/>
        <v>2.3181635308382587E-6</v>
      </c>
      <c r="L269" s="3">
        <f t="shared" si="255"/>
        <v>2.3181635308382502E-6</v>
      </c>
      <c r="M269" s="3">
        <f t="shared" si="255"/>
        <v>2.3181635308381634E-6</v>
      </c>
      <c r="N269" s="3">
        <f t="shared" si="255"/>
        <v>2.3181635308372986E-6</v>
      </c>
      <c r="O269" s="3">
        <f t="shared" si="255"/>
        <v>2.3181635308286491E-6</v>
      </c>
      <c r="P269" s="3">
        <f t="shared" si="255"/>
        <v>2.3181635307421548E-6</v>
      </c>
      <c r="Q269" s="3">
        <f t="shared" si="255"/>
        <v>2.3181635298772109E-6</v>
      </c>
      <c r="R269" s="3">
        <f t="shared" si="255"/>
        <v>2.3181635212277725E-6</v>
      </c>
      <c r="S269" s="3">
        <f t="shared" si="255"/>
        <v>2.3181634347333906E-6</v>
      </c>
      <c r="T269" s="3">
        <f t="shared" si="255"/>
        <v>2.3181625697897483E-6</v>
      </c>
      <c r="U269" s="3">
        <f t="shared" si="255"/>
        <v>2.3181539203710769E-6</v>
      </c>
      <c r="V269" s="3">
        <f t="shared" si="255"/>
        <v>2.3180674279593182E-6</v>
      </c>
      <c r="W269" s="3">
        <f t="shared" si="255"/>
        <v>2.3172026813129062E-6</v>
      </c>
      <c r="X269" s="3">
        <f t="shared" si="255"/>
        <v>2.308572937490287E-6</v>
      </c>
      <c r="Y269" s="3">
        <f t="shared" si="255"/>
        <v>2.2240235390569106E-6</v>
      </c>
      <c r="Z269" s="3">
        <f t="shared" si="255"/>
        <v>1.5314300748742986E-6</v>
      </c>
      <c r="AA269" s="3">
        <f t="shared" si="255"/>
        <v>3.6700763036693546E-8</v>
      </c>
      <c r="AB269" s="3">
        <f t="shared" si="255"/>
        <v>2.2932653715258469E-24</v>
      </c>
      <c r="AC269" s="3">
        <f t="shared" si="255"/>
        <v>2.0808774738819968E-186</v>
      </c>
      <c r="AD269" s="3">
        <f t="shared" si="255"/>
        <v>0</v>
      </c>
      <c r="AE269" s="3">
        <f t="shared" si="255"/>
        <v>0</v>
      </c>
      <c r="AF269" s="3">
        <f t="shared" si="255"/>
        <v>0</v>
      </c>
      <c r="AG269" s="3"/>
      <c r="AH269" s="3"/>
    </row>
    <row r="270" spans="2:34" x14ac:dyDescent="0.25">
      <c r="B270" s="3">
        <f t="shared" ref="B270:AF270" si="256">$C39*EXP(-B$246/$A39/EXP(-$E$126))</f>
        <v>7.5767559561282297E-2</v>
      </c>
      <c r="C270" s="3">
        <f t="shared" si="256"/>
        <v>7.5767559561282297E-2</v>
      </c>
      <c r="D270" s="3">
        <f t="shared" si="256"/>
        <v>7.5767559561282297E-2</v>
      </c>
      <c r="E270" s="3">
        <f t="shared" si="256"/>
        <v>7.5767559561282297E-2</v>
      </c>
      <c r="F270" s="3">
        <f t="shared" si="256"/>
        <v>7.5767559561282297E-2</v>
      </c>
      <c r="G270" s="3">
        <f t="shared" si="256"/>
        <v>7.5767559561282297E-2</v>
      </c>
      <c r="H270" s="3">
        <f t="shared" si="256"/>
        <v>7.5767559561282297E-2</v>
      </c>
      <c r="I270" s="3">
        <f t="shared" si="256"/>
        <v>7.5767559561282297E-2</v>
      </c>
      <c r="J270" s="3">
        <f t="shared" si="256"/>
        <v>7.5767559561282297E-2</v>
      </c>
      <c r="K270" s="3">
        <f t="shared" si="256"/>
        <v>7.5767559561282283E-2</v>
      </c>
      <c r="L270" s="3">
        <f t="shared" si="256"/>
        <v>7.5767559561282213E-2</v>
      </c>
      <c r="M270" s="3">
        <f t="shared" si="256"/>
        <v>7.5767559561281436E-2</v>
      </c>
      <c r="N270" s="3">
        <f t="shared" si="256"/>
        <v>7.5767559561273609E-2</v>
      </c>
      <c r="O270" s="3">
        <f t="shared" si="256"/>
        <v>7.5767559561195422E-2</v>
      </c>
      <c r="P270" s="3">
        <f t="shared" si="256"/>
        <v>7.5767559560413547E-2</v>
      </c>
      <c r="Q270" s="3">
        <f t="shared" si="256"/>
        <v>7.5767559552594746E-2</v>
      </c>
      <c r="R270" s="3">
        <f t="shared" si="256"/>
        <v>7.5767559474406762E-2</v>
      </c>
      <c r="S270" s="3">
        <f t="shared" si="256"/>
        <v>7.5767558692526951E-2</v>
      </c>
      <c r="T270" s="3">
        <f t="shared" si="256"/>
        <v>7.57675508737293E-2</v>
      </c>
      <c r="U270" s="3">
        <f t="shared" si="256"/>
        <v>7.5767472685797158E-2</v>
      </c>
      <c r="V270" s="3">
        <f t="shared" si="256"/>
        <v>7.576669081091339E-2</v>
      </c>
      <c r="W270" s="3">
        <f t="shared" si="256"/>
        <v>7.5758872505828453E-2</v>
      </c>
      <c r="X270" s="3">
        <f t="shared" si="256"/>
        <v>7.5680733813306242E-2</v>
      </c>
      <c r="Y270" s="3">
        <f t="shared" si="256"/>
        <v>7.4903765830570623E-2</v>
      </c>
      <c r="Z270" s="3">
        <f t="shared" si="256"/>
        <v>6.7559563532016545E-2</v>
      </c>
      <c r="AA270" s="3">
        <f t="shared" si="256"/>
        <v>2.4072359472773162E-2</v>
      </c>
      <c r="AB270" s="3">
        <f t="shared" si="256"/>
        <v>7.9402999706362203E-7</v>
      </c>
      <c r="AC270" s="3">
        <f t="shared" si="256"/>
        <v>1.210652225757724E-51</v>
      </c>
      <c r="AD270" s="3">
        <f t="shared" si="256"/>
        <v>0</v>
      </c>
      <c r="AE270" s="3">
        <f t="shared" si="256"/>
        <v>0</v>
      </c>
      <c r="AF270" s="3">
        <f t="shared" si="256"/>
        <v>0</v>
      </c>
      <c r="AG270" s="3"/>
      <c r="AH270" s="3"/>
    </row>
    <row r="271" spans="2:34" x14ac:dyDescent="0.25">
      <c r="B271" s="3">
        <f t="shared" ref="B271:AF271" si="257">$C40*EXP(-B$246/$A40/EXP(-$E$126))</f>
        <v>3.067875950056604E-2</v>
      </c>
      <c r="C271" s="3">
        <f t="shared" si="257"/>
        <v>3.067875950056604E-2</v>
      </c>
      <c r="D271" s="3">
        <f t="shared" si="257"/>
        <v>3.067875950056604E-2</v>
      </c>
      <c r="E271" s="3">
        <f t="shared" si="257"/>
        <v>3.067875950056604E-2</v>
      </c>
      <c r="F271" s="3">
        <f t="shared" si="257"/>
        <v>3.067875950056604E-2</v>
      </c>
      <c r="G271" s="3">
        <f t="shared" si="257"/>
        <v>3.067875950056604E-2</v>
      </c>
      <c r="H271" s="3">
        <f t="shared" si="257"/>
        <v>3.067875950056604E-2</v>
      </c>
      <c r="I271" s="3">
        <f t="shared" si="257"/>
        <v>3.067875950056604E-2</v>
      </c>
      <c r="J271" s="3">
        <f t="shared" si="257"/>
        <v>3.067875950056604E-2</v>
      </c>
      <c r="K271" s="3">
        <f t="shared" si="257"/>
        <v>3.067875950056604E-2</v>
      </c>
      <c r="L271" s="3">
        <f t="shared" si="257"/>
        <v>3.0678759500566036E-2</v>
      </c>
      <c r="M271" s="3">
        <f t="shared" si="257"/>
        <v>3.0678759500566005E-2</v>
      </c>
      <c r="N271" s="3">
        <f t="shared" si="257"/>
        <v>3.0678759500565689E-2</v>
      </c>
      <c r="O271" s="3">
        <f t="shared" si="257"/>
        <v>3.0678759500562522E-2</v>
      </c>
      <c r="P271" s="3">
        <f t="shared" si="257"/>
        <v>3.0678759500530863E-2</v>
      </c>
      <c r="Q271" s="3">
        <f t="shared" si="257"/>
        <v>3.0678759500214276E-2</v>
      </c>
      <c r="R271" s="3">
        <f t="shared" si="257"/>
        <v>3.0678759497048395E-2</v>
      </c>
      <c r="S271" s="3">
        <f t="shared" si="257"/>
        <v>3.0678759465389591E-2</v>
      </c>
      <c r="T271" s="3">
        <f t="shared" si="257"/>
        <v>3.0678759148801561E-2</v>
      </c>
      <c r="U271" s="3">
        <f t="shared" si="257"/>
        <v>3.0678755982921409E-2</v>
      </c>
      <c r="V271" s="3">
        <f t="shared" si="257"/>
        <v>3.0678724324137888E-2</v>
      </c>
      <c r="W271" s="3">
        <f t="shared" si="257"/>
        <v>3.067840773809952E-2</v>
      </c>
      <c r="X271" s="3">
        <f t="shared" si="257"/>
        <v>3.0675242057394057E-2</v>
      </c>
      <c r="Y271" s="3">
        <f t="shared" si="257"/>
        <v>3.0643603211304014E-2</v>
      </c>
      <c r="Z271" s="3">
        <f t="shared" si="257"/>
        <v>3.0329004007898151E-2</v>
      </c>
      <c r="AA271" s="3">
        <f t="shared" si="257"/>
        <v>2.7355290490589872E-2</v>
      </c>
      <c r="AB271" s="3">
        <f t="shared" si="257"/>
        <v>9.7470491481127762E-3</v>
      </c>
      <c r="AC271" s="3">
        <f t="shared" si="257"/>
        <v>3.2150771988963548E-7</v>
      </c>
      <c r="AD271" s="3">
        <f t="shared" si="257"/>
        <v>4.9020067015363715E-52</v>
      </c>
      <c r="AE271" s="3">
        <f t="shared" si="257"/>
        <v>0</v>
      </c>
      <c r="AF271" s="3">
        <f t="shared" si="257"/>
        <v>0</v>
      </c>
      <c r="AG271" s="3"/>
      <c r="AH271" s="3"/>
    </row>
    <row r="272" spans="2:34" x14ac:dyDescent="0.25">
      <c r="B272" s="3">
        <f t="shared" ref="B272:AF272" si="258">$C41*EXP(-B$246/$A41/EXP(-$E$126))</f>
        <v>7.5768782257570458E-2</v>
      </c>
      <c r="C272" s="3">
        <f t="shared" si="258"/>
        <v>7.5768782257570458E-2</v>
      </c>
      <c r="D272" s="3">
        <f t="shared" si="258"/>
        <v>7.5768782257570458E-2</v>
      </c>
      <c r="E272" s="3">
        <f t="shared" si="258"/>
        <v>7.5768782257570458E-2</v>
      </c>
      <c r="F272" s="3">
        <f t="shared" si="258"/>
        <v>7.5768782257570458E-2</v>
      </c>
      <c r="G272" s="3">
        <f t="shared" si="258"/>
        <v>7.5768782257570458E-2</v>
      </c>
      <c r="H272" s="3">
        <f t="shared" si="258"/>
        <v>7.5768782257570458E-2</v>
      </c>
      <c r="I272" s="3">
        <f t="shared" si="258"/>
        <v>7.5768782257570458E-2</v>
      </c>
      <c r="J272" s="3">
        <f t="shared" si="258"/>
        <v>7.5768782257570458E-2</v>
      </c>
      <c r="K272" s="3">
        <f t="shared" si="258"/>
        <v>7.5768782257570458E-2</v>
      </c>
      <c r="L272" s="3">
        <f t="shared" si="258"/>
        <v>7.5768782257570458E-2</v>
      </c>
      <c r="M272" s="3">
        <f t="shared" si="258"/>
        <v>7.5768782257570444E-2</v>
      </c>
      <c r="N272" s="3">
        <f t="shared" si="258"/>
        <v>7.5768782257570375E-2</v>
      </c>
      <c r="O272" s="3">
        <f t="shared" si="258"/>
        <v>7.5768782257569597E-2</v>
      </c>
      <c r="P272" s="3">
        <f t="shared" si="258"/>
        <v>7.576878225756177E-2</v>
      </c>
      <c r="Q272" s="3">
        <f t="shared" si="258"/>
        <v>7.5768782257483583E-2</v>
      </c>
      <c r="R272" s="3">
        <f t="shared" si="258"/>
        <v>7.5768782256701694E-2</v>
      </c>
      <c r="S272" s="3">
        <f t="shared" si="258"/>
        <v>7.5768782248882768E-2</v>
      </c>
      <c r="T272" s="3">
        <f t="shared" si="258"/>
        <v>7.5768782170693522E-2</v>
      </c>
      <c r="U272" s="3">
        <f t="shared" si="258"/>
        <v>7.5768781388801096E-2</v>
      </c>
      <c r="V272" s="3">
        <f t="shared" si="258"/>
        <v>7.5768773569877268E-2</v>
      </c>
      <c r="W272" s="3">
        <f t="shared" si="258"/>
        <v>7.5768695380683357E-2</v>
      </c>
      <c r="X272" s="3">
        <f t="shared" si="258"/>
        <v>7.5767913493182126E-2</v>
      </c>
      <c r="Y272" s="3">
        <f t="shared" si="258"/>
        <v>7.5760095061929572E-2</v>
      </c>
      <c r="Z272" s="3">
        <f t="shared" si="258"/>
        <v>7.5681955108446997E-2</v>
      </c>
      <c r="AA272" s="3">
        <f t="shared" si="258"/>
        <v>7.4904974587418294E-2</v>
      </c>
      <c r="AB272" s="3">
        <f t="shared" si="258"/>
        <v>6.7560653772061732E-2</v>
      </c>
      <c r="AC272" s="3">
        <f t="shared" si="258"/>
        <v>2.4072747939614978E-2</v>
      </c>
      <c r="AD272" s="3">
        <f t="shared" si="258"/>
        <v>7.940428106943595E-7</v>
      </c>
      <c r="AE272" s="3">
        <f t="shared" si="258"/>
        <v>1.2106717626148071E-51</v>
      </c>
      <c r="AF272" s="3">
        <f t="shared" si="258"/>
        <v>0</v>
      </c>
      <c r="AG272" s="3"/>
      <c r="AH272" s="3"/>
    </row>
    <row r="273" spans="1:34" x14ac:dyDescent="0.25">
      <c r="B273" s="3">
        <f t="shared" ref="B273:AF273" si="259">$C42*EXP(-B$246/$A42/EXP(-$E$126))</f>
        <v>3.996144450245992E-2</v>
      </c>
      <c r="C273" s="3">
        <f t="shared" si="259"/>
        <v>3.996144450245992E-2</v>
      </c>
      <c r="D273" s="3">
        <f t="shared" si="259"/>
        <v>3.996144450245992E-2</v>
      </c>
      <c r="E273" s="3">
        <f t="shared" si="259"/>
        <v>3.996144450245992E-2</v>
      </c>
      <c r="F273" s="3">
        <f t="shared" si="259"/>
        <v>3.996144450245992E-2</v>
      </c>
      <c r="G273" s="3">
        <f t="shared" si="259"/>
        <v>3.996144450245992E-2</v>
      </c>
      <c r="H273" s="3">
        <f t="shared" si="259"/>
        <v>3.996144450245992E-2</v>
      </c>
      <c r="I273" s="3">
        <f t="shared" si="259"/>
        <v>3.996144450245992E-2</v>
      </c>
      <c r="J273" s="3">
        <f t="shared" si="259"/>
        <v>3.996144450245992E-2</v>
      </c>
      <c r="K273" s="3">
        <f t="shared" si="259"/>
        <v>3.996144450245992E-2</v>
      </c>
      <c r="L273" s="3">
        <f t="shared" si="259"/>
        <v>3.996144450245992E-2</v>
      </c>
      <c r="M273" s="3">
        <f t="shared" si="259"/>
        <v>3.996144450245992E-2</v>
      </c>
      <c r="N273" s="3">
        <f t="shared" si="259"/>
        <v>3.9961444502459913E-2</v>
      </c>
      <c r="O273" s="3">
        <f t="shared" si="259"/>
        <v>3.9961444502459878E-2</v>
      </c>
      <c r="P273" s="3">
        <f t="shared" si="259"/>
        <v>3.9961444502459462E-2</v>
      </c>
      <c r="Q273" s="3">
        <f t="shared" si="259"/>
        <v>3.996144450245534E-2</v>
      </c>
      <c r="R273" s="3">
        <f t="shared" si="259"/>
        <v>3.9961444502414095E-2</v>
      </c>
      <c r="S273" s="3">
        <f t="shared" si="259"/>
        <v>3.9961444502001717E-2</v>
      </c>
      <c r="T273" s="3">
        <f t="shared" si="259"/>
        <v>3.9961444497877918E-2</v>
      </c>
      <c r="U273" s="3">
        <f t="shared" si="259"/>
        <v>3.9961444456639891E-2</v>
      </c>
      <c r="V273" s="3">
        <f t="shared" si="259"/>
        <v>3.9961444044259622E-2</v>
      </c>
      <c r="W273" s="3">
        <f t="shared" si="259"/>
        <v>3.9961439920457156E-2</v>
      </c>
      <c r="X273" s="3">
        <f t="shared" si="259"/>
        <v>3.9961398682455969E-2</v>
      </c>
      <c r="Y273" s="3">
        <f t="shared" si="259"/>
        <v>3.9960986304784632E-2</v>
      </c>
      <c r="Z273" s="3">
        <f t="shared" si="259"/>
        <v>3.9956862762115915E-2</v>
      </c>
      <c r="AA273" s="3">
        <f t="shared" si="259"/>
        <v>3.9915650730966944E-2</v>
      </c>
      <c r="AB273" s="3">
        <f t="shared" si="259"/>
        <v>3.9505861065019417E-2</v>
      </c>
      <c r="AC273" s="3">
        <f t="shared" si="259"/>
        <v>3.563237042776151E-2</v>
      </c>
      <c r="AD273" s="3">
        <f t="shared" si="259"/>
        <v>1.2696281399118218E-2</v>
      </c>
      <c r="AE273" s="3">
        <f t="shared" si="259"/>
        <v>4.1878854017044093E-7</v>
      </c>
      <c r="AF273" s="3">
        <f t="shared" si="259"/>
        <v>6.3852408618581207E-52</v>
      </c>
      <c r="AG273" s="3"/>
      <c r="AH273" s="3"/>
    </row>
    <row r="274" spans="1:34" x14ac:dyDescent="0.25">
      <c r="B274" s="3">
        <f t="shared" ref="B274:AF274" si="260">$C43*EXP(-B$246/$A43/EXP(-$E$126))</f>
        <v>4.8323610204746917E-2</v>
      </c>
      <c r="C274" s="3">
        <f t="shared" si="260"/>
        <v>4.8323610204746917E-2</v>
      </c>
      <c r="D274" s="3">
        <f t="shared" si="260"/>
        <v>4.8323610204746917E-2</v>
      </c>
      <c r="E274" s="3">
        <f t="shared" si="260"/>
        <v>4.8323610204746917E-2</v>
      </c>
      <c r="F274" s="3">
        <f t="shared" si="260"/>
        <v>4.8323610204746917E-2</v>
      </c>
      <c r="G274" s="3">
        <f t="shared" si="260"/>
        <v>4.8323610204746917E-2</v>
      </c>
      <c r="H274" s="3">
        <f t="shared" si="260"/>
        <v>4.8323610204746917E-2</v>
      </c>
      <c r="I274" s="3">
        <f t="shared" si="260"/>
        <v>4.8323610204746917E-2</v>
      </c>
      <c r="J274" s="3">
        <f t="shared" si="260"/>
        <v>4.8323610204746917E-2</v>
      </c>
      <c r="K274" s="3">
        <f t="shared" si="260"/>
        <v>4.8323610204746917E-2</v>
      </c>
      <c r="L274" s="3">
        <f t="shared" si="260"/>
        <v>4.8323610204746917E-2</v>
      </c>
      <c r="M274" s="3">
        <f t="shared" si="260"/>
        <v>4.8323610204746917E-2</v>
      </c>
      <c r="N274" s="3">
        <f t="shared" si="260"/>
        <v>4.8323610204746917E-2</v>
      </c>
      <c r="O274" s="3">
        <f t="shared" si="260"/>
        <v>4.832361020474691E-2</v>
      </c>
      <c r="P274" s="3">
        <f t="shared" si="260"/>
        <v>4.8323610204746861E-2</v>
      </c>
      <c r="Q274" s="3">
        <f t="shared" si="260"/>
        <v>4.8323610204746362E-2</v>
      </c>
      <c r="R274" s="3">
        <f t="shared" si="260"/>
        <v>4.8323610204741373E-2</v>
      </c>
      <c r="S274" s="3">
        <f t="shared" si="260"/>
        <v>4.832361020469151E-2</v>
      </c>
      <c r="T274" s="3">
        <f t="shared" si="260"/>
        <v>4.8323610204192839E-2</v>
      </c>
      <c r="U274" s="3">
        <f t="shared" si="260"/>
        <v>4.8323610199206099E-2</v>
      </c>
      <c r="V274" s="3">
        <f t="shared" si="260"/>
        <v>4.832361014933878E-2</v>
      </c>
      <c r="W274" s="3">
        <f t="shared" si="260"/>
        <v>4.8323609650665532E-2</v>
      </c>
      <c r="X274" s="3">
        <f t="shared" si="260"/>
        <v>4.832360466393331E-2</v>
      </c>
      <c r="Y274" s="3">
        <f t="shared" si="260"/>
        <v>4.8323554796639481E-2</v>
      </c>
      <c r="Z274" s="3">
        <f t="shared" si="260"/>
        <v>4.8323056126531448E-2</v>
      </c>
      <c r="AA274" s="3">
        <f t="shared" si="260"/>
        <v>4.8318069708471079E-2</v>
      </c>
      <c r="AB274" s="3">
        <f t="shared" si="260"/>
        <v>4.8268233819058565E-2</v>
      </c>
      <c r="AC274" s="3">
        <f t="shared" si="260"/>
        <v>4.7772693271670129E-2</v>
      </c>
      <c r="AD274" s="3">
        <f t="shared" si="260"/>
        <v>4.3088652091050006E-2</v>
      </c>
      <c r="AE274" s="3">
        <f t="shared" si="260"/>
        <v>1.5353052448917364E-2</v>
      </c>
      <c r="AF274" s="3">
        <f t="shared" si="260"/>
        <v>5.0642248861063132E-7</v>
      </c>
      <c r="AG274" s="3"/>
      <c r="AH274" s="3"/>
    </row>
    <row r="275" spans="1:34" x14ac:dyDescent="0.25">
      <c r="B275" s="3">
        <f t="shared" ref="B275:AF275" si="261">$C44*EXP(-B$246/$A44/EXP(-$E$126))</f>
        <v>1.4844365312015322E-2</v>
      </c>
      <c r="C275" s="3">
        <f t="shared" si="261"/>
        <v>1.4844365312015322E-2</v>
      </c>
      <c r="D275" s="3">
        <f t="shared" si="261"/>
        <v>1.4844365312015322E-2</v>
      </c>
      <c r="E275" s="3">
        <f t="shared" si="261"/>
        <v>1.4844365312015322E-2</v>
      </c>
      <c r="F275" s="3">
        <f t="shared" si="261"/>
        <v>1.4844365312015322E-2</v>
      </c>
      <c r="G275" s="3">
        <f t="shared" si="261"/>
        <v>1.4844365312015322E-2</v>
      </c>
      <c r="H275" s="3">
        <f t="shared" si="261"/>
        <v>1.4844365312015322E-2</v>
      </c>
      <c r="I275" s="3">
        <f t="shared" si="261"/>
        <v>1.4844365312015322E-2</v>
      </c>
      <c r="J275" s="3">
        <f t="shared" si="261"/>
        <v>1.4844365312015322E-2</v>
      </c>
      <c r="K275" s="3">
        <f t="shared" si="261"/>
        <v>1.4844365312015322E-2</v>
      </c>
      <c r="L275" s="3">
        <f t="shared" si="261"/>
        <v>1.4844365312015322E-2</v>
      </c>
      <c r="M275" s="3">
        <f t="shared" si="261"/>
        <v>1.4844365312015322E-2</v>
      </c>
      <c r="N275" s="3">
        <f t="shared" si="261"/>
        <v>1.4844365312015322E-2</v>
      </c>
      <c r="O275" s="3">
        <f t="shared" si="261"/>
        <v>1.4844365312015322E-2</v>
      </c>
      <c r="P275" s="3">
        <f t="shared" si="261"/>
        <v>1.484436531201532E-2</v>
      </c>
      <c r="Q275" s="3">
        <f t="shared" si="261"/>
        <v>1.4844365312015304E-2</v>
      </c>
      <c r="R275" s="3">
        <f t="shared" si="261"/>
        <v>1.4844365312015152E-2</v>
      </c>
      <c r="S275" s="3">
        <f t="shared" si="261"/>
        <v>1.484436531201362E-2</v>
      </c>
      <c r="T275" s="3">
        <f t="shared" si="261"/>
        <v>1.48443653119983E-2</v>
      </c>
      <c r="U275" s="3">
        <f t="shared" si="261"/>
        <v>1.4844365311845116E-2</v>
      </c>
      <c r="V275" s="3">
        <f t="shared" si="261"/>
        <v>1.4844365310313258E-2</v>
      </c>
      <c r="W275" s="3">
        <f t="shared" si="261"/>
        <v>1.4844365294994685E-2</v>
      </c>
      <c r="X275" s="3">
        <f t="shared" si="261"/>
        <v>1.4844365141808947E-2</v>
      </c>
      <c r="Y275" s="3">
        <f t="shared" si="261"/>
        <v>1.4844363609951653E-2</v>
      </c>
      <c r="Z275" s="3">
        <f t="shared" si="261"/>
        <v>1.4844348291387421E-2</v>
      </c>
      <c r="AA275" s="3">
        <f t="shared" si="261"/>
        <v>1.4844195106614546E-2</v>
      </c>
      <c r="AB275" s="3">
        <f t="shared" si="261"/>
        <v>1.4842663345825711E-2</v>
      </c>
      <c r="AC275" s="3">
        <f t="shared" si="261"/>
        <v>1.4827354428612074E-2</v>
      </c>
      <c r="AD275" s="3">
        <f t="shared" si="261"/>
        <v>1.4675131014815324E-2</v>
      </c>
      <c r="AE275" s="3">
        <f t="shared" si="261"/>
        <v>1.3236256350297432E-2</v>
      </c>
      <c r="AF275" s="3">
        <f t="shared" si="261"/>
        <v>4.7162519157948413E-3</v>
      </c>
      <c r="AG275" s="3"/>
      <c r="AH275" s="3"/>
    </row>
    <row r="276" spans="1:34" x14ac:dyDescent="0.25">
      <c r="B276" s="3">
        <f t="shared" ref="B276:AF276" si="262">$C45*EXP(-B$246/$A45/EXP(-$E$126))</f>
        <v>1.5641900970231219E-2</v>
      </c>
      <c r="C276" s="3">
        <f t="shared" si="262"/>
        <v>1.5641900970231219E-2</v>
      </c>
      <c r="D276" s="3">
        <f t="shared" si="262"/>
        <v>1.5641900970231219E-2</v>
      </c>
      <c r="E276" s="3">
        <f t="shared" si="262"/>
        <v>1.5641900970231219E-2</v>
      </c>
      <c r="F276" s="3">
        <f t="shared" si="262"/>
        <v>1.5641900970231219E-2</v>
      </c>
      <c r="G276" s="3">
        <f t="shared" si="262"/>
        <v>1.5641900970231219E-2</v>
      </c>
      <c r="H276" s="3">
        <f t="shared" si="262"/>
        <v>1.5641900970231219E-2</v>
      </c>
      <c r="I276" s="3">
        <f t="shared" si="262"/>
        <v>1.5641900970231219E-2</v>
      </c>
      <c r="J276" s="3">
        <f t="shared" si="262"/>
        <v>1.5641900970231219E-2</v>
      </c>
      <c r="K276" s="3">
        <f t="shared" si="262"/>
        <v>1.5641900970231219E-2</v>
      </c>
      <c r="L276" s="3">
        <f t="shared" si="262"/>
        <v>1.5641900970231219E-2</v>
      </c>
      <c r="M276" s="3">
        <f t="shared" si="262"/>
        <v>1.5641900970231219E-2</v>
      </c>
      <c r="N276" s="3">
        <f t="shared" si="262"/>
        <v>1.5641900970231219E-2</v>
      </c>
      <c r="O276" s="3">
        <f t="shared" si="262"/>
        <v>1.5641900970231219E-2</v>
      </c>
      <c r="P276" s="3">
        <f t="shared" si="262"/>
        <v>1.5641900970231219E-2</v>
      </c>
      <c r="Q276" s="3">
        <f t="shared" si="262"/>
        <v>1.5641900970231215E-2</v>
      </c>
      <c r="R276" s="3">
        <f t="shared" si="262"/>
        <v>1.5641900970231201E-2</v>
      </c>
      <c r="S276" s="3">
        <f t="shared" si="262"/>
        <v>1.5641900970231038E-2</v>
      </c>
      <c r="T276" s="3">
        <f t="shared" si="262"/>
        <v>1.5641900970229425E-2</v>
      </c>
      <c r="U276" s="3">
        <f t="shared" si="262"/>
        <v>1.5641900970213281E-2</v>
      </c>
      <c r="V276" s="3">
        <f t="shared" si="262"/>
        <v>1.5641900970051869E-2</v>
      </c>
      <c r="W276" s="3">
        <f t="shared" si="262"/>
        <v>1.5641900968437709E-2</v>
      </c>
      <c r="X276" s="3">
        <f t="shared" si="262"/>
        <v>1.5641900952296121E-2</v>
      </c>
      <c r="Y276" s="3">
        <f t="shared" si="262"/>
        <v>1.5641900790880254E-2</v>
      </c>
      <c r="Z276" s="3">
        <f t="shared" si="262"/>
        <v>1.5641899176721642E-2</v>
      </c>
      <c r="AA276" s="3">
        <f t="shared" si="262"/>
        <v>1.5641883035144709E-2</v>
      </c>
      <c r="AB276" s="3">
        <f t="shared" si="262"/>
        <v>1.5641721620291524E-2</v>
      </c>
      <c r="AC276" s="3">
        <f t="shared" si="262"/>
        <v>1.5640107563370569E-2</v>
      </c>
      <c r="AD276" s="3">
        <f t="shared" si="262"/>
        <v>1.562397615175519E-2</v>
      </c>
      <c r="AE276" s="3">
        <f t="shared" si="262"/>
        <v>1.5463574308098591E-2</v>
      </c>
      <c r="AF276" s="3">
        <f t="shared" si="262"/>
        <v>1.394739395697599E-2</v>
      </c>
      <c r="AG276" s="3"/>
      <c r="AH276" s="3"/>
    </row>
    <row r="277" spans="1:34" x14ac:dyDescent="0.25">
      <c r="B277" s="3">
        <f t="shared" ref="B277:AF277" si="263">$C46*EXP(-B$246/$A46/EXP(-$E$126))</f>
        <v>1.5176002473828224E-3</v>
      </c>
      <c r="C277" s="3">
        <f t="shared" si="263"/>
        <v>1.5176002473828224E-3</v>
      </c>
      <c r="D277" s="3">
        <f t="shared" si="263"/>
        <v>1.5176002473828224E-3</v>
      </c>
      <c r="E277" s="3">
        <f t="shared" si="263"/>
        <v>1.5176002473828224E-3</v>
      </c>
      <c r="F277" s="3">
        <f t="shared" si="263"/>
        <v>1.5176002473828224E-3</v>
      </c>
      <c r="G277" s="3">
        <f t="shared" si="263"/>
        <v>1.5176002473828224E-3</v>
      </c>
      <c r="H277" s="3">
        <f t="shared" si="263"/>
        <v>1.5176002473828224E-3</v>
      </c>
      <c r="I277" s="3">
        <f t="shared" si="263"/>
        <v>1.5176002473828224E-3</v>
      </c>
      <c r="J277" s="3">
        <f t="shared" si="263"/>
        <v>1.5176002473828224E-3</v>
      </c>
      <c r="K277" s="3">
        <f t="shared" si="263"/>
        <v>1.5176002473828224E-3</v>
      </c>
      <c r="L277" s="3">
        <f t="shared" si="263"/>
        <v>1.5176002473828224E-3</v>
      </c>
      <c r="M277" s="3">
        <f t="shared" si="263"/>
        <v>1.5176002473828224E-3</v>
      </c>
      <c r="N277" s="3">
        <f t="shared" si="263"/>
        <v>1.5176002473828224E-3</v>
      </c>
      <c r="O277" s="3">
        <f t="shared" si="263"/>
        <v>1.5176002473828224E-3</v>
      </c>
      <c r="P277" s="3">
        <f t="shared" si="263"/>
        <v>1.5176002473828224E-3</v>
      </c>
      <c r="Q277" s="3">
        <f t="shared" si="263"/>
        <v>1.5176002473828224E-3</v>
      </c>
      <c r="R277" s="3">
        <f t="shared" si="263"/>
        <v>1.5176002473828222E-3</v>
      </c>
      <c r="S277" s="3">
        <f t="shared" si="263"/>
        <v>1.5176002473828206E-3</v>
      </c>
      <c r="T277" s="3">
        <f t="shared" si="263"/>
        <v>1.517600247382805E-3</v>
      </c>
      <c r="U277" s="3">
        <f t="shared" si="263"/>
        <v>1.5176002473826482E-3</v>
      </c>
      <c r="V277" s="3">
        <f t="shared" si="263"/>
        <v>1.5176002473810822E-3</v>
      </c>
      <c r="W277" s="3">
        <f t="shared" si="263"/>
        <v>1.5176002473654216E-3</v>
      </c>
      <c r="X277" s="3">
        <f t="shared" si="263"/>
        <v>1.5176002472088133E-3</v>
      </c>
      <c r="Y277" s="3">
        <f t="shared" si="263"/>
        <v>1.517600245642733E-3</v>
      </c>
      <c r="Z277" s="3">
        <f t="shared" si="263"/>
        <v>1.5176002299819278E-3</v>
      </c>
      <c r="AA277" s="3">
        <f t="shared" si="263"/>
        <v>1.5176000733738843E-3</v>
      </c>
      <c r="AB277" s="3">
        <f t="shared" si="263"/>
        <v>1.5175985072943398E-3</v>
      </c>
      <c r="AC277" s="3">
        <f t="shared" si="263"/>
        <v>1.5175828465877803E-3</v>
      </c>
      <c r="AD277" s="3">
        <f t="shared" si="263"/>
        <v>1.5174262484104111E-3</v>
      </c>
      <c r="AE277" s="3">
        <f t="shared" si="263"/>
        <v>1.5158611551199775E-3</v>
      </c>
      <c r="AF277" s="3">
        <f t="shared" si="263"/>
        <v>1.5002987322356243E-3</v>
      </c>
      <c r="AG277" s="3"/>
      <c r="AH277" s="3"/>
    </row>
    <row r="278" spans="1:34" x14ac:dyDescent="0.25">
      <c r="B278" s="3">
        <f t="shared" ref="B278:AF278" si="264">$C47*EXP(-B$246/$A47/EXP(-$E$126))</f>
        <v>3.5883218113444658E-3</v>
      </c>
      <c r="C278" s="3">
        <f t="shared" si="264"/>
        <v>3.5883218113444658E-3</v>
      </c>
      <c r="D278" s="3">
        <f t="shared" si="264"/>
        <v>3.5883218113444658E-3</v>
      </c>
      <c r="E278" s="3">
        <f t="shared" si="264"/>
        <v>3.5883218113444658E-3</v>
      </c>
      <c r="F278" s="3">
        <f t="shared" si="264"/>
        <v>3.5883218113444658E-3</v>
      </c>
      <c r="G278" s="3">
        <f t="shared" si="264"/>
        <v>3.5883218113444658E-3</v>
      </c>
      <c r="H278" s="3">
        <f t="shared" si="264"/>
        <v>3.5883218113444658E-3</v>
      </c>
      <c r="I278" s="3">
        <f t="shared" si="264"/>
        <v>3.5883218113444658E-3</v>
      </c>
      <c r="J278" s="3">
        <f t="shared" si="264"/>
        <v>3.5883218113444658E-3</v>
      </c>
      <c r="K278" s="3">
        <f t="shared" si="264"/>
        <v>3.5883218113444658E-3</v>
      </c>
      <c r="L278" s="3">
        <f t="shared" si="264"/>
        <v>3.5883218113444658E-3</v>
      </c>
      <c r="M278" s="3">
        <f t="shared" si="264"/>
        <v>3.5883218113444658E-3</v>
      </c>
      <c r="N278" s="3">
        <f t="shared" si="264"/>
        <v>3.5883218113444658E-3</v>
      </c>
      <c r="O278" s="3">
        <f t="shared" si="264"/>
        <v>3.5883218113444658E-3</v>
      </c>
      <c r="P278" s="3">
        <f t="shared" si="264"/>
        <v>3.5883218113444658E-3</v>
      </c>
      <c r="Q278" s="3">
        <f t="shared" si="264"/>
        <v>3.5883218113444658E-3</v>
      </c>
      <c r="R278" s="3">
        <f t="shared" si="264"/>
        <v>3.5883218113444658E-3</v>
      </c>
      <c r="S278" s="3">
        <f t="shared" si="264"/>
        <v>3.5883218113444654E-3</v>
      </c>
      <c r="T278" s="3">
        <f t="shared" si="264"/>
        <v>3.5883218113444619E-3</v>
      </c>
      <c r="U278" s="3">
        <f t="shared" si="264"/>
        <v>3.5883218113444246E-3</v>
      </c>
      <c r="V278" s="3">
        <f t="shared" si="264"/>
        <v>3.5883218113440542E-3</v>
      </c>
      <c r="W278" s="3">
        <f t="shared" si="264"/>
        <v>3.5883218113403515E-3</v>
      </c>
      <c r="X278" s="3">
        <f t="shared" si="264"/>
        <v>3.5883218113033221E-3</v>
      </c>
      <c r="Y278" s="3">
        <f t="shared" si="264"/>
        <v>3.5883218109330267E-3</v>
      </c>
      <c r="Z278" s="3">
        <f t="shared" si="264"/>
        <v>3.5883218072300747E-3</v>
      </c>
      <c r="AA278" s="3">
        <f t="shared" si="264"/>
        <v>3.5883217702005546E-3</v>
      </c>
      <c r="AB278" s="3">
        <f t="shared" si="264"/>
        <v>3.5883213999053738E-3</v>
      </c>
      <c r="AC278" s="3">
        <f t="shared" si="264"/>
        <v>3.5883176969556691E-3</v>
      </c>
      <c r="AD278" s="3">
        <f t="shared" si="264"/>
        <v>3.5882806676687897E-3</v>
      </c>
      <c r="AE278" s="3">
        <f t="shared" si="264"/>
        <v>3.5879103958159483E-3</v>
      </c>
      <c r="AF278" s="3">
        <f t="shared" si="264"/>
        <v>3.5842097780804565E-3</v>
      </c>
      <c r="AG278" s="3"/>
      <c r="AH278" s="3"/>
    </row>
    <row r="279" spans="1:34" x14ac:dyDescent="0.25">
      <c r="B279" s="3">
        <f t="shared" ref="B279:AF279" si="265">$C48*EXP(-B$246/$A48/EXP(-$E$126))</f>
        <v>1.1419429769572463E-2</v>
      </c>
      <c r="C279" s="3">
        <f t="shared" si="265"/>
        <v>1.1419429769572463E-2</v>
      </c>
      <c r="D279" s="3">
        <f t="shared" si="265"/>
        <v>1.1419429769572463E-2</v>
      </c>
      <c r="E279" s="3">
        <f t="shared" si="265"/>
        <v>1.1419429769572463E-2</v>
      </c>
      <c r="F279" s="3">
        <f t="shared" si="265"/>
        <v>1.1419429769572463E-2</v>
      </c>
      <c r="G279" s="3">
        <f t="shared" si="265"/>
        <v>1.1419429769572463E-2</v>
      </c>
      <c r="H279" s="3">
        <f t="shared" si="265"/>
        <v>1.1419429769572463E-2</v>
      </c>
      <c r="I279" s="3">
        <f t="shared" si="265"/>
        <v>1.1419429769572463E-2</v>
      </c>
      <c r="J279" s="3">
        <f t="shared" si="265"/>
        <v>1.1419429769572463E-2</v>
      </c>
      <c r="K279" s="3">
        <f t="shared" si="265"/>
        <v>1.1419429769572463E-2</v>
      </c>
      <c r="L279" s="3">
        <f t="shared" si="265"/>
        <v>1.1419429769572463E-2</v>
      </c>
      <c r="M279" s="3">
        <f t="shared" si="265"/>
        <v>1.1419429769572463E-2</v>
      </c>
      <c r="N279" s="3">
        <f t="shared" si="265"/>
        <v>1.1419429769572463E-2</v>
      </c>
      <c r="O279" s="3">
        <f t="shared" si="265"/>
        <v>1.1419429769572463E-2</v>
      </c>
      <c r="P279" s="3">
        <f t="shared" si="265"/>
        <v>1.1419429769572463E-2</v>
      </c>
      <c r="Q279" s="3">
        <f t="shared" si="265"/>
        <v>1.1419429769572463E-2</v>
      </c>
      <c r="R279" s="3">
        <f t="shared" si="265"/>
        <v>1.1419429769572463E-2</v>
      </c>
      <c r="S279" s="3">
        <f t="shared" si="265"/>
        <v>1.1419429769572463E-2</v>
      </c>
      <c r="T279" s="3">
        <f t="shared" si="265"/>
        <v>1.1419429769572461E-2</v>
      </c>
      <c r="U279" s="3">
        <f t="shared" si="265"/>
        <v>1.1419429769572451E-2</v>
      </c>
      <c r="V279" s="3">
        <f t="shared" si="265"/>
        <v>1.1419429769572333E-2</v>
      </c>
      <c r="W279" s="3">
        <f t="shared" si="265"/>
        <v>1.1419429769571153E-2</v>
      </c>
      <c r="X279" s="3">
        <f t="shared" si="265"/>
        <v>1.1419429769559369E-2</v>
      </c>
      <c r="Y279" s="3">
        <f t="shared" si="265"/>
        <v>1.1419429769441528E-2</v>
      </c>
      <c r="Z279" s="3">
        <f t="shared" si="265"/>
        <v>1.1419429768263104E-2</v>
      </c>
      <c r="AA279" s="3">
        <f t="shared" si="265"/>
        <v>1.1419429756478878E-2</v>
      </c>
      <c r="AB279" s="3">
        <f t="shared" si="265"/>
        <v>1.1419429638636602E-2</v>
      </c>
      <c r="AC279" s="3">
        <f t="shared" si="265"/>
        <v>1.1419428460213921E-2</v>
      </c>
      <c r="AD279" s="3">
        <f t="shared" si="265"/>
        <v>1.1419416675993799E-2</v>
      </c>
      <c r="AE279" s="3">
        <f t="shared" si="265"/>
        <v>1.1419298834461416E-2</v>
      </c>
      <c r="AF279" s="3">
        <f t="shared" si="265"/>
        <v>1.1418120486018472E-2</v>
      </c>
      <c r="AG279" s="3"/>
      <c r="AH279" s="3"/>
    </row>
    <row r="280" spans="1:34" x14ac:dyDescent="0.25">
      <c r="A280" s="80">
        <f>AVERAGE(B280:AF280)</f>
        <v>7.6986825357259047E-3</v>
      </c>
      <c r="B280" s="81">
        <f>IF($D$61&lt;=B246,IF($E$61&gt;=B246,ABS((B248-B247)/B247),0),0)</f>
        <v>2.1503390820501879E-2</v>
      </c>
      <c r="C280" s="81">
        <f t="shared" ref="C280:AF280" si="266">IF($D$61&lt;=C246,IF($E$61&gt;=C246,ABS((C248-C247)/C247),0),0)</f>
        <v>2.1342358841314333E-2</v>
      </c>
      <c r="D280" s="81">
        <f t="shared" si="266"/>
        <v>1.9732991066253799E-2</v>
      </c>
      <c r="E280" s="81">
        <f t="shared" si="266"/>
        <v>6.5932860960490631E-3</v>
      </c>
      <c r="F280" s="81">
        <f t="shared" si="266"/>
        <v>1.1013582269092886E-2</v>
      </c>
      <c r="G280" s="81">
        <f t="shared" si="266"/>
        <v>8.0374573082897839E-3</v>
      </c>
      <c r="H280" s="81">
        <f t="shared" si="266"/>
        <v>3.0380834897870026E-3</v>
      </c>
      <c r="I280" s="81">
        <f t="shared" si="266"/>
        <v>4.3984929980316386E-3</v>
      </c>
      <c r="J280" s="81">
        <f t="shared" si="266"/>
        <v>4.6613199179421864E-3</v>
      </c>
      <c r="K280" s="81">
        <f t="shared" si="266"/>
        <v>5.2235625373458459E-3</v>
      </c>
      <c r="L280" s="81">
        <f t="shared" si="266"/>
        <v>5.606206983088521E-3</v>
      </c>
      <c r="M280" s="81">
        <f t="shared" si="266"/>
        <v>5.6461494439580713E-3</v>
      </c>
      <c r="N280" s="81">
        <f t="shared" si="266"/>
        <v>5.722812387888087E-3</v>
      </c>
      <c r="O280" s="81">
        <f t="shared" si="266"/>
        <v>6.9758845282297133E-3</v>
      </c>
      <c r="P280" s="81">
        <f t="shared" si="266"/>
        <v>8.1774369433309357E-3</v>
      </c>
      <c r="Q280" s="81">
        <f t="shared" si="266"/>
        <v>7.8750748752234676E-3</v>
      </c>
      <c r="R280" s="81">
        <f t="shared" si="266"/>
        <v>4.3631073716848172E-3</v>
      </c>
      <c r="S280" s="81">
        <f t="shared" si="266"/>
        <v>3.0649315828955646E-3</v>
      </c>
      <c r="T280" s="81">
        <f t="shared" si="266"/>
        <v>1.5844544517335146E-2</v>
      </c>
      <c r="U280" s="81">
        <f t="shared" si="266"/>
        <v>2.2788204990649298E-2</v>
      </c>
      <c r="V280" s="81">
        <f t="shared" si="266"/>
        <v>2.1370630260731074E-2</v>
      </c>
      <c r="W280" s="81">
        <f t="shared" si="266"/>
        <v>1.4629129379527225E-2</v>
      </c>
      <c r="X280" s="81">
        <f t="shared" si="266"/>
        <v>9.0829145924143668E-3</v>
      </c>
      <c r="Y280" s="81">
        <f t="shared" si="266"/>
        <v>1.9676054059383648E-3</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14545.095128094979</v>
      </c>
      <c r="C281" s="21">
        <f t="shared" ref="C281:AF281" si="267">(C248-C247)^2</f>
        <v>14322.94596356014</v>
      </c>
      <c r="D281" s="21">
        <f t="shared" si="267"/>
        <v>12200.682980468189</v>
      </c>
      <c r="E281" s="21">
        <f t="shared" si="267"/>
        <v>1322.613095454175</v>
      </c>
      <c r="F281" s="21">
        <f t="shared" si="267"/>
        <v>3477.6322109905991</v>
      </c>
      <c r="G281" s="21">
        <f t="shared" si="267"/>
        <v>1775.8138271684782</v>
      </c>
      <c r="H281" s="21">
        <f t="shared" si="267"/>
        <v>243.25589157459032</v>
      </c>
      <c r="I281" s="21">
        <f t="shared" si="267"/>
        <v>485.96884407555746</v>
      </c>
      <c r="J281" s="21">
        <f t="shared" si="267"/>
        <v>518.01460156630003</v>
      </c>
      <c r="K281" s="21">
        <f t="shared" si="267"/>
        <v>612.44275804056099</v>
      </c>
      <c r="L281" s="21">
        <f t="shared" si="267"/>
        <v>659.76969722686943</v>
      </c>
      <c r="M281" s="21">
        <f t="shared" si="267"/>
        <v>623.60609697662358</v>
      </c>
      <c r="N281" s="21">
        <f t="shared" si="267"/>
        <v>597.25884272389851</v>
      </c>
      <c r="O281" s="21">
        <f t="shared" si="267"/>
        <v>819.98928931761998</v>
      </c>
      <c r="P281" s="21">
        <f t="shared" si="267"/>
        <v>1019.2850215237869</v>
      </c>
      <c r="Q281" s="21">
        <f t="shared" si="267"/>
        <v>844.12636596759103</v>
      </c>
      <c r="R281" s="21">
        <f t="shared" si="267"/>
        <v>232.64844733133799</v>
      </c>
      <c r="S281" s="21">
        <f t="shared" si="267"/>
        <v>102.78856830595944</v>
      </c>
      <c r="T281" s="21">
        <f t="shared" si="267"/>
        <v>2418.4894697280693</v>
      </c>
      <c r="U281" s="21">
        <f t="shared" si="267"/>
        <v>4402.3756232015885</v>
      </c>
      <c r="V281" s="21">
        <f t="shared" si="267"/>
        <v>3401.8222764809989</v>
      </c>
      <c r="W281" s="21">
        <f t="shared" si="267"/>
        <v>1392.4020512796858</v>
      </c>
      <c r="X281" s="21">
        <f t="shared" si="267"/>
        <v>458.76579762154421</v>
      </c>
      <c r="Y281" s="21">
        <f t="shared" si="267"/>
        <v>18.033302533086545</v>
      </c>
      <c r="Z281" s="21">
        <f t="shared" si="267"/>
        <v>8.80147530647303</v>
      </c>
      <c r="AA281" s="21">
        <f t="shared" si="267"/>
        <v>849.37469279723132</v>
      </c>
      <c r="AB281" s="21">
        <f t="shared" si="267"/>
        <v>740.08499731823542</v>
      </c>
      <c r="AC281" s="21">
        <f t="shared" si="267"/>
        <v>1698.9923346528508</v>
      </c>
      <c r="AD281" s="21">
        <f t="shared" si="267"/>
        <v>922.56584659425312</v>
      </c>
      <c r="AE281" s="21">
        <f t="shared" si="267"/>
        <v>686.40695205215457</v>
      </c>
      <c r="AF281" s="21">
        <f t="shared" si="267"/>
        <v>137.15268520145551</v>
      </c>
      <c r="AG281" s="3"/>
      <c r="AH281" s="3"/>
    </row>
    <row r="282" spans="1:34" s="3" customFormat="1" x14ac:dyDescent="0.25">
      <c r="A282" s="72">
        <f>SUM(B282:AF282)</f>
        <v>66495.826151212226</v>
      </c>
      <c r="B282" s="21">
        <f>IF($D$61&lt;=B246,IF($E$61&gt;=B246,ABS(B281),0),0)</f>
        <v>14545.095128094979</v>
      </c>
      <c r="C282" s="21">
        <f t="shared" ref="C282:AF282" si="268">IF($D$61&lt;=C246,IF($E$61&gt;=C246,ABS(C281),0),0)</f>
        <v>14322.94596356014</v>
      </c>
      <c r="D282" s="21">
        <f t="shared" si="268"/>
        <v>12200.682980468189</v>
      </c>
      <c r="E282" s="21">
        <f t="shared" si="268"/>
        <v>1322.613095454175</v>
      </c>
      <c r="F282" s="21">
        <f t="shared" si="268"/>
        <v>3477.6322109905991</v>
      </c>
      <c r="G282" s="21">
        <f t="shared" si="268"/>
        <v>1775.8138271684782</v>
      </c>
      <c r="H282" s="21">
        <f t="shared" si="268"/>
        <v>243.25589157459032</v>
      </c>
      <c r="I282" s="21">
        <f t="shared" si="268"/>
        <v>485.96884407555746</v>
      </c>
      <c r="J282" s="21">
        <f t="shared" si="268"/>
        <v>518.01460156630003</v>
      </c>
      <c r="K282" s="21">
        <f t="shared" si="268"/>
        <v>612.44275804056099</v>
      </c>
      <c r="L282" s="21">
        <f t="shared" si="268"/>
        <v>659.76969722686943</v>
      </c>
      <c r="M282" s="21">
        <f t="shared" si="268"/>
        <v>623.60609697662358</v>
      </c>
      <c r="N282" s="21">
        <f t="shared" si="268"/>
        <v>597.25884272389851</v>
      </c>
      <c r="O282" s="21">
        <f t="shared" si="268"/>
        <v>819.98928931761998</v>
      </c>
      <c r="P282" s="21">
        <f t="shared" si="268"/>
        <v>1019.2850215237869</v>
      </c>
      <c r="Q282" s="21">
        <f t="shared" si="268"/>
        <v>844.12636596759103</v>
      </c>
      <c r="R282" s="21">
        <f t="shared" si="268"/>
        <v>232.64844733133799</v>
      </c>
      <c r="S282" s="21">
        <f t="shared" si="268"/>
        <v>102.78856830595944</v>
      </c>
      <c r="T282" s="21">
        <f t="shared" si="268"/>
        <v>2418.4894697280693</v>
      </c>
      <c r="U282" s="21">
        <f t="shared" si="268"/>
        <v>4402.3756232015885</v>
      </c>
      <c r="V282" s="21">
        <f t="shared" si="268"/>
        <v>3401.8222764809989</v>
      </c>
      <c r="W282" s="21">
        <f t="shared" si="268"/>
        <v>1392.4020512796858</v>
      </c>
      <c r="X282" s="21">
        <f t="shared" si="268"/>
        <v>458.76579762154421</v>
      </c>
      <c r="Y282" s="21">
        <f t="shared" si="268"/>
        <v>18.033302533086545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1" t="s">
        <v>22</v>
      </c>
      <c r="B287" s="27">
        <f>($C$17+SUM(B288:B318))*$B$51</f>
        <v>5480.4818912693681</v>
      </c>
      <c r="C287" s="27">
        <f t="shared" ref="C287:AF287" si="269">($C$17+SUM(C288:C318))*$B$51</f>
        <v>5421.0357338747463</v>
      </c>
      <c r="D287" s="27">
        <f t="shared" si="269"/>
        <v>5208.7882354106887</v>
      </c>
      <c r="E287" s="27">
        <f t="shared" si="269"/>
        <v>5123.0404364058168</v>
      </c>
      <c r="F287" s="27">
        <f t="shared" si="269"/>
        <v>4997.0697658912059</v>
      </c>
      <c r="G287" s="27">
        <f t="shared" si="269"/>
        <v>4867.5548125020205</v>
      </c>
      <c r="H287" s="27">
        <f t="shared" si="269"/>
        <v>4721.7994465165611</v>
      </c>
      <c r="I287" s="27">
        <f t="shared" si="269"/>
        <v>4565.4925672472873</v>
      </c>
      <c r="J287" s="27">
        <f t="shared" si="269"/>
        <v>4407.3999708072133</v>
      </c>
      <c r="K287" s="27">
        <f t="shared" si="269"/>
        <v>4255.3254009622169</v>
      </c>
      <c r="L287" s="27">
        <f t="shared" si="269"/>
        <v>4087.4046980279372</v>
      </c>
      <c r="M287" s="27">
        <f t="shared" si="269"/>
        <v>3885.4129212201597</v>
      </c>
      <c r="N287" s="27">
        <f t="shared" si="269"/>
        <v>3672.5335778716303</v>
      </c>
      <c r="O287" s="27">
        <f t="shared" si="269"/>
        <v>3489.8373211327844</v>
      </c>
      <c r="P287" s="27">
        <f t="shared" si="269"/>
        <v>3327.4469770405494</v>
      </c>
      <c r="Q287" s="27">
        <f t="shared" si="269"/>
        <v>3161.9403822525933</v>
      </c>
      <c r="R287" s="27">
        <f t="shared" si="269"/>
        <v>2987.9266620474637</v>
      </c>
      <c r="S287" s="27">
        <f t="shared" si="269"/>
        <v>2797.2746122029835</v>
      </c>
      <c r="T287" s="27">
        <f t="shared" si="269"/>
        <v>2598.4187440511218</v>
      </c>
      <c r="U287" s="27">
        <f t="shared" si="269"/>
        <v>2389.1119499960541</v>
      </c>
      <c r="V287" s="27">
        <f t="shared" si="269"/>
        <v>2174.2050289941294</v>
      </c>
      <c r="W287" s="27">
        <f t="shared" si="269"/>
        <v>1943.9489625290164</v>
      </c>
      <c r="X287" s="27">
        <f t="shared" si="269"/>
        <v>1690.049080523049</v>
      </c>
      <c r="Y287" s="27">
        <f t="shared" si="269"/>
        <v>1403.5123592280427</v>
      </c>
      <c r="Z287" s="27">
        <f t="shared" si="269"/>
        <v>1089.139366427811</v>
      </c>
      <c r="AA287" s="27">
        <f t="shared" si="269"/>
        <v>789.16800676450021</v>
      </c>
      <c r="AB287" s="27">
        <f t="shared" si="269"/>
        <v>553.05218067942303</v>
      </c>
      <c r="AC287" s="27">
        <f t="shared" si="269"/>
        <v>401.80759495724999</v>
      </c>
      <c r="AD287" s="27">
        <f t="shared" si="269"/>
        <v>323.09332012414694</v>
      </c>
      <c r="AE287" s="27">
        <f t="shared" si="269"/>
        <v>284.27771784540329</v>
      </c>
      <c r="AF287" s="27">
        <f t="shared" si="269"/>
        <v>264.76208796170351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4.9625506241057826E-2</v>
      </c>
      <c r="C289" s="3">
        <f t="shared" si="271"/>
        <v>3.9290925212323628E-2</v>
      </c>
      <c r="D289" s="3">
        <f t="shared" si="271"/>
        <v>3.8033413939227208E-3</v>
      </c>
      <c r="E289" s="3">
        <f t="shared" si="271"/>
        <v>2.7472352825737766E-13</v>
      </c>
      <c r="F289" s="3">
        <f t="shared" si="271"/>
        <v>1.0621878001374818E-114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9.6646387643029383E-3</v>
      </c>
      <c r="C290" s="3">
        <f t="shared" si="272"/>
        <v>9.4631855863830661E-3</v>
      </c>
      <c r="D290" s="3">
        <f t="shared" si="272"/>
        <v>7.6657503250756147E-3</v>
      </c>
      <c r="E290" s="3">
        <f t="shared" si="272"/>
        <v>9.3266954999817386E-4</v>
      </c>
      <c r="F290" s="3">
        <f t="shared" si="272"/>
        <v>6.6291687987180722E-13</v>
      </c>
      <c r="G290" s="3">
        <f t="shared" si="272"/>
        <v>2.1815836655900772E-104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2.536004597323703E-2</v>
      </c>
      <c r="C291" s="3">
        <f t="shared" si="273"/>
        <v>2.5311902361323659E-2</v>
      </c>
      <c r="D291" s="3">
        <f t="shared" si="273"/>
        <v>2.483546450332897E-2</v>
      </c>
      <c r="E291" s="3">
        <f t="shared" si="273"/>
        <v>2.053748657869954E-2</v>
      </c>
      <c r="F291" s="3">
        <f t="shared" si="273"/>
        <v>3.0711239707901569E-3</v>
      </c>
      <c r="G291" s="3">
        <f t="shared" si="273"/>
        <v>1.717109137502144E-11</v>
      </c>
      <c r="H291" s="3">
        <f t="shared" si="273"/>
        <v>5.1262928732086693E-94</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2.3098938169138702E-2</v>
      </c>
      <c r="C292" s="3">
        <f t="shared" si="274"/>
        <v>2.3094979013467135E-2</v>
      </c>
      <c r="D292" s="3">
        <f t="shared" si="274"/>
        <v>2.305542476050515E-2</v>
      </c>
      <c r="E292" s="3">
        <f t="shared" si="274"/>
        <v>2.266358905503503E-2</v>
      </c>
      <c r="F292" s="3">
        <f t="shared" si="274"/>
        <v>1.9093444200575301E-2</v>
      </c>
      <c r="G292" s="3">
        <f t="shared" si="274"/>
        <v>3.4390633183245204E-3</v>
      </c>
      <c r="H292" s="3">
        <f t="shared" si="274"/>
        <v>1.2359449505935688E-10</v>
      </c>
      <c r="I292" s="3">
        <f t="shared" si="274"/>
        <v>4.4421036101924797E-85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2.7649215360133698E-2</v>
      </c>
      <c r="C293" s="3">
        <f t="shared" si="275"/>
        <v>2.7648787823013072E-2</v>
      </c>
      <c r="D293" s="3">
        <f t="shared" si="275"/>
        <v>2.764451281539303E-2</v>
      </c>
      <c r="E293" s="3">
        <f t="shared" si="275"/>
        <v>2.7601799077019006E-2</v>
      </c>
      <c r="F293" s="3">
        <f t="shared" si="275"/>
        <v>2.7178274771606659E-2</v>
      </c>
      <c r="G293" s="3">
        <f t="shared" si="275"/>
        <v>2.3284495554992176E-2</v>
      </c>
      <c r="H293" s="3">
        <f t="shared" si="275"/>
        <v>4.960395669147734E-3</v>
      </c>
      <c r="I293" s="3">
        <f t="shared" si="275"/>
        <v>9.5501717020314613E-10</v>
      </c>
      <c r="J293" s="3">
        <f t="shared" si="275"/>
        <v>6.6828202731255683E-77</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2.9567799379031409E-2</v>
      </c>
      <c r="C294" s="3">
        <f t="shared" si="276"/>
        <v>2.9567758135137095E-2</v>
      </c>
      <c r="D294" s="3">
        <f t="shared" si="276"/>
        <v>2.956734569935808E-2</v>
      </c>
      <c r="E294" s="3">
        <f t="shared" si="276"/>
        <v>2.9563221657969648E-2</v>
      </c>
      <c r="F294" s="3">
        <f t="shared" si="276"/>
        <v>2.9522012867929985E-2</v>
      </c>
      <c r="G294" s="3">
        <f t="shared" si="276"/>
        <v>2.9113071091319043E-2</v>
      </c>
      <c r="H294" s="3">
        <f t="shared" si="276"/>
        <v>2.5322616495571503E-2</v>
      </c>
      <c r="I294" s="3">
        <f t="shared" si="276"/>
        <v>6.2764510559780457E-3</v>
      </c>
      <c r="J294" s="3">
        <f t="shared" si="276"/>
        <v>5.4924970733787373E-9</v>
      </c>
      <c r="K294" s="3">
        <f t="shared" si="276"/>
        <v>1.4465275542297293E-69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2.9957814163046877E-2</v>
      </c>
      <c r="C295" s="3">
        <f t="shared" si="277"/>
        <v>2.9957810393426199E-2</v>
      </c>
      <c r="D295" s="3">
        <f t="shared" si="277"/>
        <v>2.9957772697245474E-2</v>
      </c>
      <c r="E295" s="3">
        <f t="shared" si="277"/>
        <v>2.9957395738047045E-2</v>
      </c>
      <c r="F295" s="3">
        <f t="shared" si="277"/>
        <v>2.9953626406933598E-2</v>
      </c>
      <c r="G295" s="3">
        <f t="shared" si="277"/>
        <v>2.9915959170737395E-2</v>
      </c>
      <c r="H295" s="3">
        <f t="shared" si="277"/>
        <v>2.9541882203527638E-2</v>
      </c>
      <c r="I295" s="3">
        <f t="shared" si="277"/>
        <v>2.6048964547095741E-2</v>
      </c>
      <c r="J295" s="3">
        <f t="shared" si="277"/>
        <v>7.4013934330316462E-3</v>
      </c>
      <c r="K295" s="3">
        <f t="shared" si="277"/>
        <v>2.5383046671008266E-8</v>
      </c>
      <c r="L295" s="3">
        <f t="shared" si="277"/>
        <v>5.7127645717473449E-63</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2.7071321300277919E-2</v>
      </c>
      <c r="C296" s="3">
        <f t="shared" si="278"/>
        <v>2.7071320992991334E-2</v>
      </c>
      <c r="D296" s="3">
        <f t="shared" si="278"/>
        <v>2.7071317920125695E-2</v>
      </c>
      <c r="E296" s="3">
        <f t="shared" si="278"/>
        <v>2.7071287191488491E-2</v>
      </c>
      <c r="F296" s="3">
        <f t="shared" si="278"/>
        <v>2.7070979907034848E-2</v>
      </c>
      <c r="G296" s="3">
        <f t="shared" si="278"/>
        <v>2.7067907254330021E-2</v>
      </c>
      <c r="H296" s="3">
        <f t="shared" si="278"/>
        <v>2.7037199902388499E-2</v>
      </c>
      <c r="I296" s="3">
        <f t="shared" si="278"/>
        <v>2.6732035864747976E-2</v>
      </c>
      <c r="J296" s="3">
        <f t="shared" si="278"/>
        <v>2.386356181078898E-2</v>
      </c>
      <c r="K296" s="3">
        <f t="shared" si="278"/>
        <v>7.6695091965386063E-3</v>
      </c>
      <c r="L296" s="3">
        <f t="shared" si="278"/>
        <v>9.0175932098794407E-8</v>
      </c>
      <c r="M296" s="3">
        <f t="shared" si="278"/>
        <v>4.5532481034113698E-57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3.2010538560859801E-2</v>
      </c>
      <c r="C297" s="3">
        <f t="shared" si="279"/>
        <v>3.2010538528082458E-2</v>
      </c>
      <c r="D297" s="3">
        <f t="shared" si="279"/>
        <v>3.2010538200309052E-2</v>
      </c>
      <c r="E297" s="3">
        <f t="shared" si="279"/>
        <v>3.2010534922575155E-2</v>
      </c>
      <c r="F297" s="3">
        <f t="shared" si="279"/>
        <v>3.2010502145254673E-2</v>
      </c>
      <c r="G297" s="3">
        <f t="shared" si="279"/>
        <v>3.201017437389575E-2</v>
      </c>
      <c r="H297" s="3">
        <f t="shared" si="279"/>
        <v>3.2006896844892586E-2</v>
      </c>
      <c r="I297" s="3">
        <f t="shared" si="279"/>
        <v>3.1974140006474062E-2</v>
      </c>
      <c r="J297" s="3">
        <f t="shared" si="279"/>
        <v>3.1648409812072426E-2</v>
      </c>
      <c r="K297" s="3">
        <f t="shared" si="279"/>
        <v>2.8568149280595527E-2</v>
      </c>
      <c r="L297" s="3">
        <f t="shared" si="279"/>
        <v>1.0260871203459915E-2</v>
      </c>
      <c r="M297" s="3">
        <f t="shared" si="279"/>
        <v>3.666110354152882E-7</v>
      </c>
      <c r="N297" s="3">
        <f t="shared" si="279"/>
        <v>1.2428493987452834E-51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4.0907961622996154E-2</v>
      </c>
      <c r="C298" s="3">
        <f t="shared" si="280"/>
        <v>4.0907961619217517E-2</v>
      </c>
      <c r="D298" s="3">
        <f t="shared" si="280"/>
        <v>4.0907961581431146E-2</v>
      </c>
      <c r="E298" s="3">
        <f t="shared" si="280"/>
        <v>4.0907961203567447E-2</v>
      </c>
      <c r="F298" s="3">
        <f t="shared" si="280"/>
        <v>4.0907957424930697E-2</v>
      </c>
      <c r="G298" s="3">
        <f t="shared" si="280"/>
        <v>4.0907919638582355E-2</v>
      </c>
      <c r="H298" s="3">
        <f t="shared" si="280"/>
        <v>4.0907541777018601E-2</v>
      </c>
      <c r="I298" s="3">
        <f t="shared" si="280"/>
        <v>4.0903763353340179E-2</v>
      </c>
      <c r="J298" s="3">
        <f t="shared" si="280"/>
        <v>4.0865998305906655E-2</v>
      </c>
      <c r="K298" s="3">
        <f t="shared" si="280"/>
        <v>4.0490260224543904E-2</v>
      </c>
      <c r="L298" s="3">
        <f t="shared" si="280"/>
        <v>3.6917741156778219E-2</v>
      </c>
      <c r="M298" s="3">
        <f t="shared" si="280"/>
        <v>1.4658200107767848E-2</v>
      </c>
      <c r="N298" s="3">
        <f t="shared" si="280"/>
        <v>1.4273678266235425E-6</v>
      </c>
      <c r="O298" s="3">
        <f t="shared" si="280"/>
        <v>1.0941792513250244E-46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4.0610124345973546E-2</v>
      </c>
      <c r="C299" s="3">
        <f t="shared" si="281"/>
        <v>4.0610124345635164E-2</v>
      </c>
      <c r="D299" s="3">
        <f t="shared" si="281"/>
        <v>4.0610124342251329E-2</v>
      </c>
      <c r="E299" s="3">
        <f t="shared" si="281"/>
        <v>4.0610124308413056E-2</v>
      </c>
      <c r="F299" s="3">
        <f t="shared" si="281"/>
        <v>4.061012397003029E-2</v>
      </c>
      <c r="G299" s="3">
        <f t="shared" si="281"/>
        <v>4.0610120586202773E-2</v>
      </c>
      <c r="H299" s="3">
        <f t="shared" si="281"/>
        <v>4.0610086747943148E-2</v>
      </c>
      <c r="I299" s="3">
        <f t="shared" si="281"/>
        <v>4.0609748366897652E-2</v>
      </c>
      <c r="J299" s="3">
        <f t="shared" si="281"/>
        <v>4.0606364711513486E-2</v>
      </c>
      <c r="K299" s="3">
        <f t="shared" si="281"/>
        <v>4.0572543659969991E-2</v>
      </c>
      <c r="L299" s="3">
        <f t="shared" si="281"/>
        <v>4.0235878605610419E-2</v>
      </c>
      <c r="M299" s="3">
        <f t="shared" si="281"/>
        <v>3.7019113829487714E-2</v>
      </c>
      <c r="N299" s="3">
        <f t="shared" si="281"/>
        <v>1.608982459730127E-2</v>
      </c>
      <c r="O299" s="3">
        <f t="shared" si="281"/>
        <v>3.8708311139234412E-6</v>
      </c>
      <c r="P299" s="3">
        <f t="shared" si="281"/>
        <v>2.513815265446764E-42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2.9251160650315147E-2</v>
      </c>
      <c r="C300" s="3">
        <f t="shared" si="282"/>
        <v>2.9251160650293158E-2</v>
      </c>
      <c r="D300" s="3">
        <f t="shared" si="282"/>
        <v>2.9251160650073292E-2</v>
      </c>
      <c r="E300" s="3">
        <f t="shared" si="282"/>
        <v>2.9251160647874603E-2</v>
      </c>
      <c r="F300" s="3">
        <f t="shared" si="282"/>
        <v>2.9251160625887722E-2</v>
      </c>
      <c r="G300" s="3">
        <f t="shared" si="282"/>
        <v>2.9251160406018922E-2</v>
      </c>
      <c r="H300" s="3">
        <f t="shared" si="282"/>
        <v>2.9251158207330982E-2</v>
      </c>
      <c r="I300" s="3">
        <f t="shared" si="282"/>
        <v>2.9251136220460678E-2</v>
      </c>
      <c r="J300" s="3">
        <f t="shared" si="282"/>
        <v>2.9250916352666613E-2</v>
      </c>
      <c r="K300" s="3">
        <f t="shared" si="282"/>
        <v>2.9248717765619613E-2</v>
      </c>
      <c r="L300" s="3">
        <f t="shared" si="282"/>
        <v>2.9226740981984085E-2</v>
      </c>
      <c r="M300" s="3">
        <f t="shared" si="282"/>
        <v>2.9007879306980448E-2</v>
      </c>
      <c r="N300" s="3">
        <f t="shared" si="282"/>
        <v>2.690740840398486E-2</v>
      </c>
      <c r="O300" s="3">
        <f t="shared" si="282"/>
        <v>1.2689098782066581E-2</v>
      </c>
      <c r="P300" s="3">
        <f t="shared" si="282"/>
        <v>6.9027136177145E-6</v>
      </c>
      <c r="Q300" s="3">
        <f t="shared" si="282"/>
        <v>1.5664286891598163E-38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3.125958293729774E-2</v>
      </c>
      <c r="C301" s="3">
        <f t="shared" si="283"/>
        <v>3.1259582937295617E-2</v>
      </c>
      <c r="D301" s="3">
        <f t="shared" si="283"/>
        <v>3.1259582937274426E-2</v>
      </c>
      <c r="E301" s="3">
        <f t="shared" si="283"/>
        <v>3.125958293706247E-2</v>
      </c>
      <c r="F301" s="3">
        <f t="shared" si="283"/>
        <v>3.1259582934942881E-2</v>
      </c>
      <c r="G301" s="3">
        <f t="shared" si="283"/>
        <v>3.1259582913747065E-2</v>
      </c>
      <c r="H301" s="3">
        <f t="shared" si="283"/>
        <v>3.1259582701788836E-2</v>
      </c>
      <c r="I301" s="3">
        <f t="shared" si="283"/>
        <v>3.1259580582206639E-2</v>
      </c>
      <c r="J301" s="3">
        <f t="shared" si="283"/>
        <v>3.1259559386392556E-2</v>
      </c>
      <c r="K301" s="3">
        <f t="shared" si="283"/>
        <v>3.1259347429042225E-2</v>
      </c>
      <c r="L301" s="3">
        <f t="shared" si="283"/>
        <v>3.1257227934582743E-2</v>
      </c>
      <c r="M301" s="3">
        <f t="shared" si="283"/>
        <v>3.1236040892388066E-2</v>
      </c>
      <c r="N301" s="3">
        <f t="shared" si="283"/>
        <v>3.1024958731478643E-2</v>
      </c>
      <c r="O301" s="3">
        <f t="shared" si="283"/>
        <v>2.8991020980847899E-2</v>
      </c>
      <c r="P301" s="3">
        <f t="shared" si="283"/>
        <v>1.4715888470664159E-2</v>
      </c>
      <c r="Q301" s="3">
        <f t="shared" si="283"/>
        <v>1.6711531912704271E-5</v>
      </c>
      <c r="R301" s="3">
        <f t="shared" si="283"/>
        <v>5.9609298593177279E-35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2.970464544429139E-2</v>
      </c>
      <c r="C302" s="3">
        <f t="shared" si="284"/>
        <v>2.970464544429121E-2</v>
      </c>
      <c r="D302" s="3">
        <f t="shared" si="284"/>
        <v>2.9704645444289392E-2</v>
      </c>
      <c r="E302" s="3">
        <f t="shared" si="284"/>
        <v>2.9704645444271222E-2</v>
      </c>
      <c r="F302" s="3">
        <f t="shared" si="284"/>
        <v>2.9704645444089531E-2</v>
      </c>
      <c r="G302" s="3">
        <f t="shared" si="284"/>
        <v>2.9704645442272602E-2</v>
      </c>
      <c r="H302" s="3">
        <f t="shared" si="284"/>
        <v>2.9704645424103306E-2</v>
      </c>
      <c r="I302" s="3">
        <f t="shared" si="284"/>
        <v>2.9704645242410361E-2</v>
      </c>
      <c r="J302" s="3">
        <f t="shared" si="284"/>
        <v>2.9704643425480973E-2</v>
      </c>
      <c r="K302" s="3">
        <f t="shared" si="284"/>
        <v>2.9704625256193197E-2</v>
      </c>
      <c r="L302" s="3">
        <f t="shared" si="284"/>
        <v>2.9704443563926701E-2</v>
      </c>
      <c r="M302" s="3">
        <f t="shared" si="284"/>
        <v>2.9702626702384556E-2</v>
      </c>
      <c r="N302" s="3">
        <f t="shared" si="284"/>
        <v>2.9684464197864073E-2</v>
      </c>
      <c r="O302" s="3">
        <f t="shared" si="284"/>
        <v>2.9503448862019211E-2</v>
      </c>
      <c r="P302" s="3">
        <f t="shared" si="284"/>
        <v>2.7752908855009025E-2</v>
      </c>
      <c r="Q302" s="3">
        <f t="shared" si="284"/>
        <v>1.5054479234047008E-2</v>
      </c>
      <c r="R302" s="3">
        <f t="shared" si="284"/>
        <v>3.320764002813964E-5</v>
      </c>
      <c r="S302" s="3">
        <f t="shared" si="284"/>
        <v>9.0565078813951981E-32</v>
      </c>
      <c r="T302" s="3">
        <f t="shared" si="284"/>
        <v>2.0615237242919017E-297</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3.5282603781975494E-2</v>
      </c>
      <c r="C303" s="3">
        <f t="shared" si="285"/>
        <v>3.528260378197548E-2</v>
      </c>
      <c r="D303" s="3">
        <f t="shared" si="285"/>
        <v>3.5282603781975286E-2</v>
      </c>
      <c r="E303" s="3">
        <f t="shared" si="285"/>
        <v>3.5282603781973336E-2</v>
      </c>
      <c r="F303" s="3">
        <f t="shared" si="285"/>
        <v>3.5282603781953872E-2</v>
      </c>
      <c r="G303" s="3">
        <f t="shared" si="285"/>
        <v>3.5282603781759195E-2</v>
      </c>
      <c r="H303" s="3">
        <f t="shared" si="285"/>
        <v>3.5282603779812391E-2</v>
      </c>
      <c r="I303" s="3">
        <f t="shared" si="285"/>
        <v>3.5282603760344408E-2</v>
      </c>
      <c r="J303" s="3">
        <f t="shared" si="285"/>
        <v>3.5282603565664601E-2</v>
      </c>
      <c r="K303" s="3">
        <f t="shared" si="285"/>
        <v>3.528260161886658E-2</v>
      </c>
      <c r="L303" s="3">
        <f t="shared" si="285"/>
        <v>3.5282582150892243E-2</v>
      </c>
      <c r="M303" s="3">
        <f t="shared" si="285"/>
        <v>3.5282387471739694E-2</v>
      </c>
      <c r="N303" s="3">
        <f t="shared" si="285"/>
        <v>3.5280440739293331E-2</v>
      </c>
      <c r="O303" s="3">
        <f t="shared" si="285"/>
        <v>3.5260979321535955E-2</v>
      </c>
      <c r="P303" s="3">
        <f t="shared" si="285"/>
        <v>3.5066954610476285E-2</v>
      </c>
      <c r="Q303" s="3">
        <f t="shared" si="285"/>
        <v>3.3184468275714106E-2</v>
      </c>
      <c r="R303" s="3">
        <f t="shared" si="285"/>
        <v>1.9111861219249338E-2</v>
      </c>
      <c r="S303" s="3">
        <f t="shared" si="285"/>
        <v>7.6733354131412141E-5</v>
      </c>
      <c r="T303" s="3">
        <f t="shared" si="285"/>
        <v>8.3521093925628602E-29</v>
      </c>
      <c r="U303" s="3">
        <f t="shared" si="285"/>
        <v>1.9494679074530623E-268</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3.4987985455608057E-2</v>
      </c>
      <c r="C304" s="3">
        <f t="shared" si="286"/>
        <v>3.4987985455608057E-2</v>
      </c>
      <c r="D304" s="3">
        <f t="shared" si="286"/>
        <v>3.4987985455608037E-2</v>
      </c>
      <c r="E304" s="3">
        <f t="shared" si="286"/>
        <v>3.4987985455607863E-2</v>
      </c>
      <c r="F304" s="3">
        <f t="shared" si="286"/>
        <v>3.4987985455606121E-2</v>
      </c>
      <c r="G304" s="3">
        <f t="shared" si="286"/>
        <v>3.4987985455588712E-2</v>
      </c>
      <c r="H304" s="3">
        <f t="shared" si="286"/>
        <v>3.4987985455414559E-2</v>
      </c>
      <c r="I304" s="3">
        <f t="shared" si="286"/>
        <v>3.498798545367305E-2</v>
      </c>
      <c r="J304" s="3">
        <f t="shared" si="286"/>
        <v>3.4987985436257953E-2</v>
      </c>
      <c r="K304" s="3">
        <f t="shared" si="286"/>
        <v>3.4987985262107016E-2</v>
      </c>
      <c r="L304" s="3">
        <f t="shared" si="286"/>
        <v>3.4987983520597718E-2</v>
      </c>
      <c r="M304" s="3">
        <f t="shared" si="286"/>
        <v>3.4987966105509451E-2</v>
      </c>
      <c r="N304" s="3">
        <f t="shared" si="286"/>
        <v>3.4987791955103542E-2</v>
      </c>
      <c r="O304" s="3">
        <f t="shared" si="286"/>
        <v>3.4986050498719029E-2</v>
      </c>
      <c r="P304" s="3">
        <f t="shared" si="286"/>
        <v>3.4968640701449741E-2</v>
      </c>
      <c r="Q304" s="3">
        <f t="shared" si="286"/>
        <v>3.4795018509672516E-2</v>
      </c>
      <c r="R304" s="3">
        <f t="shared" si="286"/>
        <v>3.3105510002249733E-2</v>
      </c>
      <c r="S304" s="3">
        <f t="shared" si="286"/>
        <v>2.0124837923694922E-2</v>
      </c>
      <c r="T304" s="3">
        <f t="shared" si="286"/>
        <v>1.3869266030461661E-4</v>
      </c>
      <c r="U304" s="3">
        <f t="shared" si="286"/>
        <v>3.3516939064200969E-26</v>
      </c>
      <c r="V304" s="3">
        <f t="shared" si="286"/>
        <v>2.2770525961514987E-242</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4.0020818076897231E-2</v>
      </c>
      <c r="C305" s="3">
        <f t="shared" si="287"/>
        <v>4.0020818076897231E-2</v>
      </c>
      <c r="D305" s="3">
        <f t="shared" si="287"/>
        <v>4.0020818076897231E-2</v>
      </c>
      <c r="E305" s="3">
        <f t="shared" si="287"/>
        <v>4.002081807689721E-2</v>
      </c>
      <c r="F305" s="3">
        <f t="shared" si="287"/>
        <v>4.002081807689703E-2</v>
      </c>
      <c r="G305" s="3">
        <f t="shared" si="287"/>
        <v>4.0020818076895233E-2</v>
      </c>
      <c r="H305" s="3">
        <f t="shared" si="287"/>
        <v>4.0020818076877261E-2</v>
      </c>
      <c r="I305" s="3">
        <f t="shared" si="287"/>
        <v>4.0020818076697565E-2</v>
      </c>
      <c r="J305" s="3">
        <f t="shared" si="287"/>
        <v>4.0020818074900599E-2</v>
      </c>
      <c r="K305" s="3">
        <f t="shared" si="287"/>
        <v>4.0020818056930967E-2</v>
      </c>
      <c r="L305" s="3">
        <f t="shared" si="287"/>
        <v>4.0020817877234542E-2</v>
      </c>
      <c r="M305" s="3">
        <f t="shared" si="287"/>
        <v>4.0020816080270381E-2</v>
      </c>
      <c r="N305" s="3">
        <f t="shared" si="287"/>
        <v>4.00207981106332E-2</v>
      </c>
      <c r="O305" s="3">
        <f t="shared" si="287"/>
        <v>4.0020618414705188E-2</v>
      </c>
      <c r="P305" s="3">
        <f t="shared" si="287"/>
        <v>4.0018821499800974E-2</v>
      </c>
      <c r="Q305" s="3">
        <f t="shared" si="287"/>
        <v>4.0000856787615724E-2</v>
      </c>
      <c r="R305" s="3">
        <f t="shared" si="287"/>
        <v>3.9821652615226889E-2</v>
      </c>
      <c r="S305" s="3">
        <f t="shared" si="287"/>
        <v>3.8073178708279809E-2</v>
      </c>
      <c r="T305" s="3">
        <f t="shared" si="287"/>
        <v>2.4300640240394612E-2</v>
      </c>
      <c r="U305" s="3">
        <f t="shared" si="287"/>
        <v>2.7264874449967644E-4</v>
      </c>
      <c r="V305" s="3">
        <f t="shared" si="287"/>
        <v>8.6190889839638941E-24</v>
      </c>
      <c r="W305" s="3">
        <f t="shared" si="287"/>
        <v>8.5909261712165423E-219</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3.51305921997421E-2</v>
      </c>
      <c r="C306" s="3">
        <f t="shared" si="288"/>
        <v>3.51305921997421E-2</v>
      </c>
      <c r="D306" s="3">
        <f t="shared" si="288"/>
        <v>3.51305921997421E-2</v>
      </c>
      <c r="E306" s="3">
        <f t="shared" si="288"/>
        <v>3.51305921997421E-2</v>
      </c>
      <c r="F306" s="3">
        <f t="shared" si="288"/>
        <v>3.5130592199742086E-2</v>
      </c>
      <c r="G306" s="3">
        <f t="shared" si="288"/>
        <v>3.513059219974194E-2</v>
      </c>
      <c r="H306" s="3">
        <f t="shared" si="288"/>
        <v>3.5130592199740518E-2</v>
      </c>
      <c r="I306" s="3">
        <f t="shared" si="288"/>
        <v>3.5130592199726286E-2</v>
      </c>
      <c r="J306" s="3">
        <f t="shared" si="288"/>
        <v>3.5130592199583997E-2</v>
      </c>
      <c r="K306" s="3">
        <f t="shared" si="288"/>
        <v>3.5130592198161059E-2</v>
      </c>
      <c r="L306" s="3">
        <f t="shared" si="288"/>
        <v>3.5130592183931691E-2</v>
      </c>
      <c r="M306" s="3">
        <f t="shared" si="288"/>
        <v>3.5130592041638042E-2</v>
      </c>
      <c r="N306" s="3">
        <f t="shared" si="288"/>
        <v>3.5130590618701552E-2</v>
      </c>
      <c r="O306" s="3">
        <f t="shared" si="288"/>
        <v>3.5130576389339821E-2</v>
      </c>
      <c r="P306" s="3">
        <f t="shared" si="288"/>
        <v>3.5130434096039505E-2</v>
      </c>
      <c r="Q306" s="3">
        <f t="shared" si="288"/>
        <v>3.5129011194735014E-2</v>
      </c>
      <c r="R306" s="3">
        <f t="shared" si="288"/>
        <v>3.511478535108211E-2</v>
      </c>
      <c r="S306" s="3">
        <f t="shared" si="288"/>
        <v>3.4972843379285162E-2</v>
      </c>
      <c r="T306" s="3">
        <f t="shared" si="288"/>
        <v>3.3584600957496595E-2</v>
      </c>
      <c r="U306" s="3">
        <f t="shared" si="288"/>
        <v>2.2399209300506595E-2</v>
      </c>
      <c r="V306" s="3">
        <f t="shared" si="288"/>
        <v>3.9008355465420874E-4</v>
      </c>
      <c r="W306" s="3">
        <f t="shared" si="288"/>
        <v>1.0009380008839532E-21</v>
      </c>
      <c r="X306" s="3">
        <f t="shared" si="288"/>
        <v>1.2385186181305493E-197</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5.1976552303921161E-2</v>
      </c>
      <c r="C307" s="3">
        <f t="shared" si="289"/>
        <v>5.1976552303921161E-2</v>
      </c>
      <c r="D307" s="3">
        <f t="shared" si="289"/>
        <v>5.1976552303921161E-2</v>
      </c>
      <c r="E307" s="3">
        <f t="shared" si="289"/>
        <v>5.1976552303921161E-2</v>
      </c>
      <c r="F307" s="3">
        <f t="shared" si="289"/>
        <v>5.1976552303921161E-2</v>
      </c>
      <c r="G307" s="3">
        <f t="shared" si="289"/>
        <v>5.1976552303921141E-2</v>
      </c>
      <c r="H307" s="3">
        <f t="shared" si="289"/>
        <v>5.1976552303920946E-2</v>
      </c>
      <c r="I307" s="3">
        <f t="shared" si="289"/>
        <v>5.1976552303919052E-2</v>
      </c>
      <c r="J307" s="3">
        <f t="shared" si="289"/>
        <v>5.197655230390006E-2</v>
      </c>
      <c r="K307" s="3">
        <f t="shared" si="289"/>
        <v>5.197655230371015E-2</v>
      </c>
      <c r="L307" s="3">
        <f t="shared" si="289"/>
        <v>5.1976552301811016E-2</v>
      </c>
      <c r="M307" s="3">
        <f t="shared" si="289"/>
        <v>5.1976552282819742E-2</v>
      </c>
      <c r="N307" s="3">
        <f t="shared" si="289"/>
        <v>5.1976552092906997E-2</v>
      </c>
      <c r="O307" s="3">
        <f t="shared" si="289"/>
        <v>5.1976550193779565E-2</v>
      </c>
      <c r="P307" s="3">
        <f t="shared" si="289"/>
        <v>5.1976531202509085E-2</v>
      </c>
      <c r="Q307" s="3">
        <f t="shared" si="289"/>
        <v>5.1976341290185954E-2</v>
      </c>
      <c r="R307" s="3">
        <f t="shared" si="289"/>
        <v>5.1974442205118807E-2</v>
      </c>
      <c r="S307" s="3">
        <f t="shared" si="289"/>
        <v>5.1955455170358232E-2</v>
      </c>
      <c r="T307" s="3">
        <f t="shared" si="289"/>
        <v>5.1765965898462635E-2</v>
      </c>
      <c r="U307" s="3">
        <f t="shared" si="289"/>
        <v>4.9908670566077604E-2</v>
      </c>
      <c r="V307" s="3">
        <f t="shared" si="289"/>
        <v>3.46332141494404E-2</v>
      </c>
      <c r="W307" s="3">
        <f t="shared" si="289"/>
        <v>8.9672807197229071E-4</v>
      </c>
      <c r="X307" s="3">
        <f t="shared" si="289"/>
        <v>1.2143403827912108E-19</v>
      </c>
      <c r="Y307" s="3">
        <f t="shared" si="289"/>
        <v>2.5184721891278423E-178</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2.3181635308382595E-6</v>
      </c>
      <c r="C308" s="3">
        <f t="shared" si="290"/>
        <v>2.3181635308382595E-6</v>
      </c>
      <c r="D308" s="3">
        <f t="shared" si="290"/>
        <v>2.3181635308382595E-6</v>
      </c>
      <c r="E308" s="3">
        <f t="shared" si="290"/>
        <v>2.3181635308382595E-6</v>
      </c>
      <c r="F308" s="3">
        <f t="shared" si="290"/>
        <v>2.3181635308382595E-6</v>
      </c>
      <c r="G308" s="3">
        <f t="shared" si="290"/>
        <v>2.3181635308382595E-6</v>
      </c>
      <c r="H308" s="3">
        <f t="shared" si="290"/>
        <v>2.3181635308382587E-6</v>
      </c>
      <c r="I308" s="3">
        <f t="shared" si="290"/>
        <v>2.3181635308382511E-6</v>
      </c>
      <c r="J308" s="3">
        <f t="shared" si="290"/>
        <v>2.3181635308381744E-6</v>
      </c>
      <c r="K308" s="3">
        <f t="shared" si="290"/>
        <v>2.3181635308374104E-6</v>
      </c>
      <c r="L308" s="3">
        <f t="shared" si="290"/>
        <v>2.3181635308297697E-6</v>
      </c>
      <c r="M308" s="3">
        <f t="shared" si="290"/>
        <v>2.3181635307533623E-6</v>
      </c>
      <c r="N308" s="3">
        <f t="shared" si="290"/>
        <v>2.3181635299892848E-6</v>
      </c>
      <c r="O308" s="3">
        <f t="shared" si="290"/>
        <v>2.3181635223485114E-6</v>
      </c>
      <c r="P308" s="3">
        <f t="shared" si="290"/>
        <v>2.3181634459407812E-6</v>
      </c>
      <c r="Q308" s="3">
        <f t="shared" si="290"/>
        <v>2.3181626818636171E-6</v>
      </c>
      <c r="R308" s="3">
        <f t="shared" si="290"/>
        <v>2.3181550411058261E-6</v>
      </c>
      <c r="S308" s="3">
        <f t="shared" si="290"/>
        <v>2.3180786349130351E-6</v>
      </c>
      <c r="T308" s="3">
        <f t="shared" si="290"/>
        <v>2.3173147114802206E-6</v>
      </c>
      <c r="U308" s="3">
        <f t="shared" si="290"/>
        <v>2.309689309786336E-6</v>
      </c>
      <c r="V308" s="3">
        <f t="shared" si="290"/>
        <v>2.2348018345607289E-6</v>
      </c>
      <c r="W308" s="3">
        <f t="shared" si="290"/>
        <v>1.6072875055416712E-6</v>
      </c>
      <c r="X308" s="3">
        <f t="shared" si="290"/>
        <v>5.9516730197753748E-8</v>
      </c>
      <c r="Y308" s="3">
        <f t="shared" si="290"/>
        <v>2.8846558696049128E-22</v>
      </c>
      <c r="Z308" s="3">
        <f t="shared" si="290"/>
        <v>2.0636853577352928E-165</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7.5767559561282297E-2</v>
      </c>
      <c r="C309" s="3">
        <f t="shared" si="291"/>
        <v>7.5767559561282297E-2</v>
      </c>
      <c r="D309" s="3">
        <f t="shared" si="291"/>
        <v>7.5767559561282297E-2</v>
      </c>
      <c r="E309" s="3">
        <f t="shared" si="291"/>
        <v>7.5767559561282297E-2</v>
      </c>
      <c r="F309" s="3">
        <f t="shared" si="291"/>
        <v>7.5767559561282297E-2</v>
      </c>
      <c r="G309" s="3">
        <f t="shared" si="291"/>
        <v>7.5767559561282297E-2</v>
      </c>
      <c r="H309" s="3">
        <f t="shared" si="291"/>
        <v>7.5767559561282283E-2</v>
      </c>
      <c r="I309" s="3">
        <f t="shared" si="291"/>
        <v>7.5767559561282227E-2</v>
      </c>
      <c r="J309" s="3">
        <f t="shared" si="291"/>
        <v>7.5767559561281533E-2</v>
      </c>
      <c r="K309" s="3">
        <f t="shared" si="291"/>
        <v>7.5767559561274622E-2</v>
      </c>
      <c r="L309" s="3">
        <f t="shared" si="291"/>
        <v>7.5767559561205552E-2</v>
      </c>
      <c r="M309" s="3">
        <f t="shared" si="291"/>
        <v>7.5767559560514855E-2</v>
      </c>
      <c r="N309" s="3">
        <f t="shared" si="291"/>
        <v>7.5767559553607852E-2</v>
      </c>
      <c r="O309" s="3">
        <f t="shared" si="291"/>
        <v>7.5767559484537852E-2</v>
      </c>
      <c r="P309" s="3">
        <f t="shared" si="291"/>
        <v>7.5767558793837952E-2</v>
      </c>
      <c r="Q309" s="3">
        <f t="shared" si="291"/>
        <v>7.5767551886839243E-2</v>
      </c>
      <c r="R309" s="3">
        <f t="shared" si="291"/>
        <v>7.5767482816886736E-2</v>
      </c>
      <c r="S309" s="3">
        <f t="shared" si="291"/>
        <v>7.576679212082478E-2</v>
      </c>
      <c r="T309" s="3">
        <f t="shared" si="291"/>
        <v>7.5759885506496746E-2</v>
      </c>
      <c r="U309" s="3">
        <f t="shared" si="291"/>
        <v>7.5690853980695499E-2</v>
      </c>
      <c r="V309" s="3">
        <f t="shared" si="291"/>
        <v>7.500398882276979E-2</v>
      </c>
      <c r="W309" s="3">
        <f t="shared" si="291"/>
        <v>6.8468988629052069E-2</v>
      </c>
      <c r="X309" s="3">
        <f t="shared" si="291"/>
        <v>2.7516262070492545E-2</v>
      </c>
      <c r="Y309" s="3">
        <f t="shared" si="291"/>
        <v>3.0237416330828031E-6</v>
      </c>
      <c r="Z309" s="3">
        <f t="shared" si="291"/>
        <v>7.7642069917189809E-46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3.067875950056604E-2</v>
      </c>
      <c r="C310" s="3">
        <f t="shared" si="292"/>
        <v>3.067875950056604E-2</v>
      </c>
      <c r="D310" s="3">
        <f t="shared" si="292"/>
        <v>3.067875950056604E-2</v>
      </c>
      <c r="E310" s="3">
        <f t="shared" si="292"/>
        <v>3.067875950056604E-2</v>
      </c>
      <c r="F310" s="3">
        <f t="shared" si="292"/>
        <v>3.067875950056604E-2</v>
      </c>
      <c r="G310" s="3">
        <f t="shared" si="292"/>
        <v>3.067875950056604E-2</v>
      </c>
      <c r="H310" s="3">
        <f t="shared" si="292"/>
        <v>3.067875950056604E-2</v>
      </c>
      <c r="I310" s="3">
        <f t="shared" si="292"/>
        <v>3.0678759500566036E-2</v>
      </c>
      <c r="J310" s="3">
        <f t="shared" si="292"/>
        <v>3.0678759500566009E-2</v>
      </c>
      <c r="K310" s="3">
        <f t="shared" si="292"/>
        <v>3.0678759500565731E-2</v>
      </c>
      <c r="L310" s="3">
        <f t="shared" si="292"/>
        <v>3.0678759500562935E-2</v>
      </c>
      <c r="M310" s="3">
        <f t="shared" si="292"/>
        <v>3.0678759500534968E-2</v>
      </c>
      <c r="N310" s="3">
        <f t="shared" si="292"/>
        <v>3.0678759500255299E-2</v>
      </c>
      <c r="O310" s="3">
        <f t="shared" si="292"/>
        <v>3.0678759497458609E-2</v>
      </c>
      <c r="P310" s="3">
        <f t="shared" si="292"/>
        <v>3.0678759469491737E-2</v>
      </c>
      <c r="Q310" s="3">
        <f t="shared" si="292"/>
        <v>3.0678759189823018E-2</v>
      </c>
      <c r="R310" s="3">
        <f t="shared" si="292"/>
        <v>3.0678756393135973E-2</v>
      </c>
      <c r="S310" s="3">
        <f t="shared" si="292"/>
        <v>3.0678728426279524E-2</v>
      </c>
      <c r="T310" s="3">
        <f t="shared" si="292"/>
        <v>3.067844875911728E-2</v>
      </c>
      <c r="U310" s="3">
        <f t="shared" si="292"/>
        <v>3.0675652227710435E-2</v>
      </c>
      <c r="V310" s="3">
        <f t="shared" si="292"/>
        <v>3.0647700930476158E-2</v>
      </c>
      <c r="W310" s="3">
        <f t="shared" si="292"/>
        <v>3.036958492527108E-2</v>
      </c>
      <c r="X310" s="3">
        <f t="shared" si="292"/>
        <v>2.7723522409332953E-2</v>
      </c>
      <c r="Y310" s="3">
        <f t="shared" si="292"/>
        <v>1.1141506883726551E-2</v>
      </c>
      <c r="Z310" s="3">
        <f t="shared" si="292"/>
        <v>1.2243319289987987E-6</v>
      </c>
      <c r="AA310" s="3">
        <f t="shared" si="292"/>
        <v>3.1437760486254297E-46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7.5768782257570458E-2</v>
      </c>
      <c r="C311" s="3">
        <f t="shared" si="293"/>
        <v>7.5768782257570458E-2</v>
      </c>
      <c r="D311" s="3">
        <f t="shared" si="293"/>
        <v>7.5768782257570458E-2</v>
      </c>
      <c r="E311" s="3">
        <f t="shared" si="293"/>
        <v>7.5768782257570458E-2</v>
      </c>
      <c r="F311" s="3">
        <f t="shared" si="293"/>
        <v>7.5768782257570458E-2</v>
      </c>
      <c r="G311" s="3">
        <f t="shared" si="293"/>
        <v>7.5768782257570458E-2</v>
      </c>
      <c r="H311" s="3">
        <f t="shared" si="293"/>
        <v>7.5768782257570458E-2</v>
      </c>
      <c r="I311" s="3">
        <f t="shared" si="293"/>
        <v>7.5768782257570458E-2</v>
      </c>
      <c r="J311" s="3">
        <f t="shared" si="293"/>
        <v>7.5768782257570444E-2</v>
      </c>
      <c r="K311" s="3">
        <f t="shared" si="293"/>
        <v>7.5768782257570388E-2</v>
      </c>
      <c r="L311" s="3">
        <f t="shared" si="293"/>
        <v>7.5768782257569695E-2</v>
      </c>
      <c r="M311" s="3">
        <f t="shared" si="293"/>
        <v>7.5768782257562783E-2</v>
      </c>
      <c r="N311" s="3">
        <f t="shared" si="293"/>
        <v>7.5768782257493714E-2</v>
      </c>
      <c r="O311" s="3">
        <f t="shared" si="293"/>
        <v>7.5768782256803002E-2</v>
      </c>
      <c r="P311" s="3">
        <f t="shared" si="293"/>
        <v>7.5768782249895889E-2</v>
      </c>
      <c r="Q311" s="3">
        <f t="shared" si="293"/>
        <v>7.5768782180824779E-2</v>
      </c>
      <c r="R311" s="3">
        <f t="shared" si="293"/>
        <v>7.5768781490113735E-2</v>
      </c>
      <c r="S311" s="3">
        <f t="shared" si="293"/>
        <v>7.5768774583003559E-2</v>
      </c>
      <c r="T311" s="3">
        <f t="shared" si="293"/>
        <v>7.5768705511936443E-2</v>
      </c>
      <c r="U311" s="3">
        <f t="shared" si="293"/>
        <v>7.5768014804728404E-2</v>
      </c>
      <c r="V311" s="3">
        <f t="shared" si="293"/>
        <v>7.5761108078945122E-2</v>
      </c>
      <c r="W311" s="3">
        <f t="shared" si="293"/>
        <v>7.5692075439150103E-2</v>
      </c>
      <c r="X311" s="3">
        <f t="shared" si="293"/>
        <v>7.5005199196962399E-2</v>
      </c>
      <c r="Y311" s="3">
        <f t="shared" si="293"/>
        <v>6.8470093544912305E-2</v>
      </c>
      <c r="Z311" s="3">
        <f t="shared" si="293"/>
        <v>2.7516706113189609E-2</v>
      </c>
      <c r="AA311" s="3">
        <f t="shared" si="293"/>
        <v>3.0237904286054852E-6</v>
      </c>
      <c r="AB311" s="3">
        <f t="shared" si="293"/>
        <v>7.7643322863321938E-46</v>
      </c>
      <c r="AC311" s="3">
        <f t="shared" si="293"/>
        <v>0</v>
      </c>
      <c r="AD311" s="3">
        <f t="shared" si="293"/>
        <v>0</v>
      </c>
      <c r="AE311" s="3">
        <f t="shared" si="293"/>
        <v>0</v>
      </c>
      <c r="AF311" s="3">
        <f t="shared" si="293"/>
        <v>0</v>
      </c>
      <c r="AG311" s="3"/>
      <c r="AH311" s="3"/>
    </row>
    <row r="312" spans="1:34" x14ac:dyDescent="0.25">
      <c r="B312" s="3">
        <f t="shared" ref="B312:AF312" si="294">$C42*EXP(-B$285/$A42/EXP(-$F$126))</f>
        <v>3.996144450245992E-2</v>
      </c>
      <c r="C312" s="3">
        <f t="shared" si="294"/>
        <v>3.996144450245992E-2</v>
      </c>
      <c r="D312" s="3">
        <f t="shared" si="294"/>
        <v>3.996144450245992E-2</v>
      </c>
      <c r="E312" s="3">
        <f t="shared" si="294"/>
        <v>3.996144450245992E-2</v>
      </c>
      <c r="F312" s="3">
        <f t="shared" si="294"/>
        <v>3.996144450245992E-2</v>
      </c>
      <c r="G312" s="3">
        <f t="shared" si="294"/>
        <v>3.996144450245992E-2</v>
      </c>
      <c r="H312" s="3">
        <f t="shared" si="294"/>
        <v>3.996144450245992E-2</v>
      </c>
      <c r="I312" s="3">
        <f t="shared" si="294"/>
        <v>3.996144450245992E-2</v>
      </c>
      <c r="J312" s="3">
        <f t="shared" si="294"/>
        <v>3.996144450245992E-2</v>
      </c>
      <c r="K312" s="3">
        <f t="shared" si="294"/>
        <v>3.9961444502459913E-2</v>
      </c>
      <c r="L312" s="3">
        <f t="shared" si="294"/>
        <v>3.9961444502459878E-2</v>
      </c>
      <c r="M312" s="3">
        <f t="shared" si="294"/>
        <v>3.9961444502459517E-2</v>
      </c>
      <c r="N312" s="3">
        <f t="shared" si="294"/>
        <v>3.9961444502455874E-2</v>
      </c>
      <c r="O312" s="3">
        <f t="shared" si="294"/>
        <v>3.9961444502419445E-2</v>
      </c>
      <c r="P312" s="3">
        <f t="shared" si="294"/>
        <v>3.9961444502055153E-2</v>
      </c>
      <c r="Q312" s="3">
        <f t="shared" si="294"/>
        <v>3.9961444498412255E-2</v>
      </c>
      <c r="R312" s="3">
        <f t="shared" si="294"/>
        <v>3.9961444461983249E-2</v>
      </c>
      <c r="S312" s="3">
        <f t="shared" si="294"/>
        <v>3.9961444097693227E-2</v>
      </c>
      <c r="T312" s="3">
        <f t="shared" si="294"/>
        <v>3.996144045479319E-2</v>
      </c>
      <c r="U312" s="3">
        <f t="shared" si="294"/>
        <v>3.9961404025811054E-2</v>
      </c>
      <c r="V312" s="3">
        <f t="shared" si="294"/>
        <v>3.9961039737816194E-2</v>
      </c>
      <c r="W312" s="3">
        <f t="shared" si="294"/>
        <v>3.995739704050922E-2</v>
      </c>
      <c r="X312" s="3">
        <f t="shared" si="294"/>
        <v>3.9920988325444363E-2</v>
      </c>
      <c r="Y312" s="3">
        <f t="shared" si="294"/>
        <v>3.9558720831967535E-2</v>
      </c>
      <c r="Z312" s="3">
        <f t="shared" si="294"/>
        <v>3.6112020831638315E-2</v>
      </c>
      <c r="AA312" s="3">
        <f t="shared" si="294"/>
        <v>1.4512669881570635E-2</v>
      </c>
      <c r="AB312" s="3">
        <f t="shared" si="294"/>
        <v>1.5947865308039092E-6</v>
      </c>
      <c r="AC312" s="3">
        <f t="shared" si="294"/>
        <v>4.0950101679629487E-46</v>
      </c>
      <c r="AD312" s="3">
        <f t="shared" si="294"/>
        <v>0</v>
      </c>
      <c r="AE312" s="3">
        <f t="shared" si="294"/>
        <v>0</v>
      </c>
      <c r="AF312" s="3">
        <f t="shared" si="294"/>
        <v>0</v>
      </c>
      <c r="AG312" s="3"/>
      <c r="AH312" s="3"/>
    </row>
    <row r="313" spans="1:34" x14ac:dyDescent="0.25">
      <c r="B313" s="3">
        <f t="shared" ref="B313:AF313" si="295">$C43*EXP(-B$285/$A43/EXP(-$F$126))</f>
        <v>4.8323610204746917E-2</v>
      </c>
      <c r="C313" s="3">
        <f t="shared" si="295"/>
        <v>4.8323610204746917E-2</v>
      </c>
      <c r="D313" s="3">
        <f t="shared" si="295"/>
        <v>4.8323610204746917E-2</v>
      </c>
      <c r="E313" s="3">
        <f t="shared" si="295"/>
        <v>4.8323610204746917E-2</v>
      </c>
      <c r="F313" s="3">
        <f t="shared" si="295"/>
        <v>4.8323610204746917E-2</v>
      </c>
      <c r="G313" s="3">
        <f t="shared" si="295"/>
        <v>4.8323610204746917E-2</v>
      </c>
      <c r="H313" s="3">
        <f t="shared" si="295"/>
        <v>4.8323610204746917E-2</v>
      </c>
      <c r="I313" s="3">
        <f t="shared" si="295"/>
        <v>4.8323610204746917E-2</v>
      </c>
      <c r="J313" s="3">
        <f t="shared" si="295"/>
        <v>4.8323610204746917E-2</v>
      </c>
      <c r="K313" s="3">
        <f t="shared" si="295"/>
        <v>4.8323610204746917E-2</v>
      </c>
      <c r="L313" s="3">
        <f t="shared" si="295"/>
        <v>4.832361020474691E-2</v>
      </c>
      <c r="M313" s="3">
        <f t="shared" si="295"/>
        <v>4.8323610204746868E-2</v>
      </c>
      <c r="N313" s="3">
        <f t="shared" si="295"/>
        <v>4.8323610204746431E-2</v>
      </c>
      <c r="O313" s="3">
        <f t="shared" si="295"/>
        <v>4.8323610204742025E-2</v>
      </c>
      <c r="P313" s="3">
        <f t="shared" si="295"/>
        <v>4.832361020469797E-2</v>
      </c>
      <c r="Q313" s="3">
        <f t="shared" si="295"/>
        <v>4.8323610204257454E-2</v>
      </c>
      <c r="R313" s="3">
        <f t="shared" si="295"/>
        <v>4.8323610199852249E-2</v>
      </c>
      <c r="S313" s="3">
        <f t="shared" si="295"/>
        <v>4.8323610155800265E-2</v>
      </c>
      <c r="T313" s="3">
        <f t="shared" si="295"/>
        <v>4.8323609715280429E-2</v>
      </c>
      <c r="U313" s="3">
        <f t="shared" si="295"/>
        <v>4.8323605310082278E-2</v>
      </c>
      <c r="V313" s="3">
        <f t="shared" si="295"/>
        <v>4.8323561258122823E-2</v>
      </c>
      <c r="W313" s="3">
        <f t="shared" si="295"/>
        <v>4.8323120740737004E-2</v>
      </c>
      <c r="X313" s="3">
        <f t="shared" si="295"/>
        <v>4.831871578773924E-2</v>
      </c>
      <c r="Y313" s="3">
        <f t="shared" si="295"/>
        <v>4.8274688336360658E-2</v>
      </c>
      <c r="Z313" s="3">
        <f t="shared" si="295"/>
        <v>4.7836614253639567E-2</v>
      </c>
      <c r="AA313" s="3">
        <f t="shared" si="295"/>
        <v>4.3668672143880316E-2</v>
      </c>
      <c r="AB313" s="3">
        <f t="shared" si="295"/>
        <v>1.7549530832000317E-2</v>
      </c>
      <c r="AC313" s="3">
        <f t="shared" si="295"/>
        <v>1.9285049285344218E-6</v>
      </c>
      <c r="AD313" s="3">
        <f t="shared" si="295"/>
        <v>4.9519149671612952E-46</v>
      </c>
      <c r="AE313" s="3">
        <f t="shared" si="295"/>
        <v>0</v>
      </c>
      <c r="AF313" s="3">
        <f t="shared" si="295"/>
        <v>0</v>
      </c>
      <c r="AG313" s="3"/>
      <c r="AH313" s="3"/>
    </row>
    <row r="314" spans="1:34" x14ac:dyDescent="0.25">
      <c r="B314" s="3">
        <f t="shared" ref="B314:AF314" si="296">$C44*EXP(-B$285/$A44/EXP(-$F$126))</f>
        <v>1.4844365312015322E-2</v>
      </c>
      <c r="C314" s="3">
        <f t="shared" si="296"/>
        <v>1.4844365312015322E-2</v>
      </c>
      <c r="D314" s="3">
        <f t="shared" si="296"/>
        <v>1.4844365312015322E-2</v>
      </c>
      <c r="E314" s="3">
        <f t="shared" si="296"/>
        <v>1.4844365312015322E-2</v>
      </c>
      <c r="F314" s="3">
        <f t="shared" si="296"/>
        <v>1.4844365312015322E-2</v>
      </c>
      <c r="G314" s="3">
        <f t="shared" si="296"/>
        <v>1.4844365312015322E-2</v>
      </c>
      <c r="H314" s="3">
        <f t="shared" si="296"/>
        <v>1.4844365312015322E-2</v>
      </c>
      <c r="I314" s="3">
        <f t="shared" si="296"/>
        <v>1.4844365312015322E-2</v>
      </c>
      <c r="J314" s="3">
        <f t="shared" si="296"/>
        <v>1.4844365312015322E-2</v>
      </c>
      <c r="K314" s="3">
        <f t="shared" si="296"/>
        <v>1.4844365312015322E-2</v>
      </c>
      <c r="L314" s="3">
        <f t="shared" si="296"/>
        <v>1.4844365312015322E-2</v>
      </c>
      <c r="M314" s="3">
        <f t="shared" si="296"/>
        <v>1.484436531201532E-2</v>
      </c>
      <c r="N314" s="3">
        <f t="shared" si="296"/>
        <v>1.4844365312015306E-2</v>
      </c>
      <c r="O314" s="3">
        <f t="shared" si="296"/>
        <v>1.4844365312015172E-2</v>
      </c>
      <c r="P314" s="3">
        <f t="shared" si="296"/>
        <v>1.4844365312013819E-2</v>
      </c>
      <c r="Q314" s="3">
        <f t="shared" si="296"/>
        <v>1.4844365312000287E-2</v>
      </c>
      <c r="R314" s="3">
        <f t="shared" si="296"/>
        <v>1.4844365311864964E-2</v>
      </c>
      <c r="S314" s="3">
        <f t="shared" si="296"/>
        <v>1.4844365310511747E-2</v>
      </c>
      <c r="T314" s="3">
        <f t="shared" si="296"/>
        <v>1.4844365296979566E-2</v>
      </c>
      <c r="U314" s="3">
        <f t="shared" si="296"/>
        <v>1.4844365161657777E-2</v>
      </c>
      <c r="V314" s="3">
        <f t="shared" si="296"/>
        <v>1.4844363808439955E-2</v>
      </c>
      <c r="W314" s="3">
        <f t="shared" si="296"/>
        <v>1.4844350276268495E-2</v>
      </c>
      <c r="X314" s="3">
        <f t="shared" si="296"/>
        <v>1.4844214955232386E-2</v>
      </c>
      <c r="Y314" s="3">
        <f t="shared" si="296"/>
        <v>1.4842861812716665E-2</v>
      </c>
      <c r="Z314" s="3">
        <f t="shared" si="296"/>
        <v>1.4829337169809163E-2</v>
      </c>
      <c r="AA314" s="3">
        <f t="shared" si="296"/>
        <v>1.4694766683662017E-2</v>
      </c>
      <c r="AB314" s="3">
        <f t="shared" si="296"/>
        <v>1.3414430735779536E-2</v>
      </c>
      <c r="AC314" s="3">
        <f t="shared" si="296"/>
        <v>5.3909806328811573E-3</v>
      </c>
      <c r="AD314" s="3">
        <f t="shared" si="296"/>
        <v>5.9241086383845616E-7</v>
      </c>
      <c r="AE314" s="3">
        <f t="shared" si="296"/>
        <v>1.5211619010898693E-46</v>
      </c>
      <c r="AF314" s="3">
        <f t="shared" si="296"/>
        <v>0</v>
      </c>
      <c r="AG314" s="3"/>
      <c r="AH314" s="3"/>
    </row>
    <row r="315" spans="1:34" x14ac:dyDescent="0.25">
      <c r="B315" s="3">
        <f t="shared" ref="B315:AF315" si="297">$C45*EXP(-B$285/$A45/EXP(-$F$126))</f>
        <v>1.5641900970231219E-2</v>
      </c>
      <c r="C315" s="3">
        <f t="shared" si="297"/>
        <v>1.5641900970231219E-2</v>
      </c>
      <c r="D315" s="3">
        <f t="shared" si="297"/>
        <v>1.5641900970231219E-2</v>
      </c>
      <c r="E315" s="3">
        <f t="shared" si="297"/>
        <v>1.5641900970231219E-2</v>
      </c>
      <c r="F315" s="3">
        <f t="shared" si="297"/>
        <v>1.5641900970231219E-2</v>
      </c>
      <c r="G315" s="3">
        <f t="shared" si="297"/>
        <v>1.5641900970231219E-2</v>
      </c>
      <c r="H315" s="3">
        <f t="shared" si="297"/>
        <v>1.5641900970231219E-2</v>
      </c>
      <c r="I315" s="3">
        <f t="shared" si="297"/>
        <v>1.5641900970231219E-2</v>
      </c>
      <c r="J315" s="3">
        <f t="shared" si="297"/>
        <v>1.5641900970231219E-2</v>
      </c>
      <c r="K315" s="3">
        <f t="shared" si="297"/>
        <v>1.5641900970231219E-2</v>
      </c>
      <c r="L315" s="3">
        <f t="shared" si="297"/>
        <v>1.5641900970231219E-2</v>
      </c>
      <c r="M315" s="3">
        <f t="shared" si="297"/>
        <v>1.5641900970231219E-2</v>
      </c>
      <c r="N315" s="3">
        <f t="shared" si="297"/>
        <v>1.5641900970231215E-2</v>
      </c>
      <c r="O315" s="3">
        <f t="shared" si="297"/>
        <v>1.5641900970231201E-2</v>
      </c>
      <c r="P315" s="3">
        <f t="shared" si="297"/>
        <v>1.5641900970231059E-2</v>
      </c>
      <c r="Q315" s="3">
        <f t="shared" si="297"/>
        <v>1.5641900970229636E-2</v>
      </c>
      <c r="R315" s="3">
        <f t="shared" si="297"/>
        <v>1.5641900970215377E-2</v>
      </c>
      <c r="S315" s="3">
        <f t="shared" si="297"/>
        <v>1.5641900970072783E-2</v>
      </c>
      <c r="T315" s="3">
        <f t="shared" si="297"/>
        <v>1.5641900968646861E-2</v>
      </c>
      <c r="U315" s="3">
        <f t="shared" si="297"/>
        <v>1.5641900954387646E-2</v>
      </c>
      <c r="V315" s="3">
        <f t="shared" si="297"/>
        <v>1.5641900811795492E-2</v>
      </c>
      <c r="W315" s="3">
        <f t="shared" si="297"/>
        <v>1.5641899385874024E-2</v>
      </c>
      <c r="X315" s="3">
        <f t="shared" si="297"/>
        <v>1.5641885126666477E-2</v>
      </c>
      <c r="Y315" s="3">
        <f t="shared" si="297"/>
        <v>1.5641742535305949E-2</v>
      </c>
      <c r="Z315" s="3">
        <f t="shared" si="297"/>
        <v>1.5640316693191138E-2</v>
      </c>
      <c r="AA315" s="3">
        <f t="shared" si="297"/>
        <v>1.5626065418679207E-2</v>
      </c>
      <c r="AB315" s="3">
        <f t="shared" si="297"/>
        <v>1.5484264932529374E-2</v>
      </c>
      <c r="AC315" s="3">
        <f t="shared" si="297"/>
        <v>1.4135141026962677E-2</v>
      </c>
      <c r="AD315" s="3">
        <f t="shared" si="297"/>
        <v>5.6806191049277813E-3</v>
      </c>
      <c r="AE315" s="3">
        <f t="shared" si="297"/>
        <v>6.2423902073804593E-7</v>
      </c>
      <c r="AF315" s="3">
        <f t="shared" si="297"/>
        <v>1.6028885921634634E-46</v>
      </c>
      <c r="AG315" s="3"/>
      <c r="AH315" s="3"/>
    </row>
    <row r="316" spans="1:34" x14ac:dyDescent="0.25">
      <c r="B316" s="3">
        <f t="shared" ref="B316:AF316" si="298">$C46*EXP(-B$285/$A46/EXP(-$F$126))</f>
        <v>1.5176002473828224E-3</v>
      </c>
      <c r="C316" s="3">
        <f t="shared" si="298"/>
        <v>1.5176002473828224E-3</v>
      </c>
      <c r="D316" s="3">
        <f t="shared" si="298"/>
        <v>1.5176002473828224E-3</v>
      </c>
      <c r="E316" s="3">
        <f t="shared" si="298"/>
        <v>1.5176002473828224E-3</v>
      </c>
      <c r="F316" s="3">
        <f t="shared" si="298"/>
        <v>1.5176002473828224E-3</v>
      </c>
      <c r="G316" s="3">
        <f t="shared" si="298"/>
        <v>1.5176002473828224E-3</v>
      </c>
      <c r="H316" s="3">
        <f t="shared" si="298"/>
        <v>1.5176002473828224E-3</v>
      </c>
      <c r="I316" s="3">
        <f t="shared" si="298"/>
        <v>1.5176002473828224E-3</v>
      </c>
      <c r="J316" s="3">
        <f t="shared" si="298"/>
        <v>1.5176002473828224E-3</v>
      </c>
      <c r="K316" s="3">
        <f t="shared" si="298"/>
        <v>1.5176002473828224E-3</v>
      </c>
      <c r="L316" s="3">
        <f t="shared" si="298"/>
        <v>1.5176002473828224E-3</v>
      </c>
      <c r="M316" s="3">
        <f t="shared" si="298"/>
        <v>1.5176002473828224E-3</v>
      </c>
      <c r="N316" s="3">
        <f t="shared" si="298"/>
        <v>1.5176002473828224E-3</v>
      </c>
      <c r="O316" s="3">
        <f t="shared" si="298"/>
        <v>1.5176002473828222E-3</v>
      </c>
      <c r="P316" s="3">
        <f t="shared" si="298"/>
        <v>1.5176002473828209E-3</v>
      </c>
      <c r="Q316" s="3">
        <f t="shared" si="298"/>
        <v>1.517600247382807E-3</v>
      </c>
      <c r="R316" s="3">
        <f t="shared" si="298"/>
        <v>1.5176002473826686E-3</v>
      </c>
      <c r="S316" s="3">
        <f t="shared" si="298"/>
        <v>1.5176002473812852E-3</v>
      </c>
      <c r="T316" s="3">
        <f t="shared" si="298"/>
        <v>1.5176002473674508E-3</v>
      </c>
      <c r="U316" s="3">
        <f t="shared" si="298"/>
        <v>1.5176002472291057E-3</v>
      </c>
      <c r="V316" s="3">
        <f t="shared" si="298"/>
        <v>1.5176002458456555E-3</v>
      </c>
      <c r="W316" s="3">
        <f t="shared" si="298"/>
        <v>1.5176002320111549E-3</v>
      </c>
      <c r="X316" s="3">
        <f t="shared" si="298"/>
        <v>1.517600093666156E-3</v>
      </c>
      <c r="Y316" s="3">
        <f t="shared" si="298"/>
        <v>1.5175987102168591E-3</v>
      </c>
      <c r="Z316" s="3">
        <f t="shared" si="298"/>
        <v>1.5175848757932539E-3</v>
      </c>
      <c r="AA316" s="3">
        <f t="shared" si="298"/>
        <v>1.5174465384933131E-3</v>
      </c>
      <c r="AB316" s="3">
        <f t="shared" si="298"/>
        <v>1.5160638588710609E-3</v>
      </c>
      <c r="AC316" s="3">
        <f t="shared" si="298"/>
        <v>1.5023061670617634E-3</v>
      </c>
      <c r="AD316" s="3">
        <f t="shared" si="298"/>
        <v>1.371412180663649E-3</v>
      </c>
      <c r="AE316" s="3">
        <f t="shared" si="298"/>
        <v>5.5114202393512235E-4</v>
      </c>
      <c r="AF316" s="3">
        <f t="shared" si="298"/>
        <v>6.0564588287638652E-8</v>
      </c>
      <c r="AG316" s="3"/>
      <c r="AH316" s="3"/>
    </row>
    <row r="317" spans="1:34" x14ac:dyDescent="0.25">
      <c r="B317" s="3">
        <f t="shared" ref="B317:AF317" si="299">$C47*EXP(-B$285/$A47/EXP(-$F$126))</f>
        <v>3.5883218113444658E-3</v>
      </c>
      <c r="C317" s="3">
        <f t="shared" si="299"/>
        <v>3.5883218113444658E-3</v>
      </c>
      <c r="D317" s="3">
        <f t="shared" si="299"/>
        <v>3.5883218113444658E-3</v>
      </c>
      <c r="E317" s="3">
        <f t="shared" si="299"/>
        <v>3.5883218113444658E-3</v>
      </c>
      <c r="F317" s="3">
        <f t="shared" si="299"/>
        <v>3.5883218113444658E-3</v>
      </c>
      <c r="G317" s="3">
        <f t="shared" si="299"/>
        <v>3.5883218113444658E-3</v>
      </c>
      <c r="H317" s="3">
        <f t="shared" si="299"/>
        <v>3.5883218113444658E-3</v>
      </c>
      <c r="I317" s="3">
        <f t="shared" si="299"/>
        <v>3.5883218113444658E-3</v>
      </c>
      <c r="J317" s="3">
        <f t="shared" si="299"/>
        <v>3.5883218113444658E-3</v>
      </c>
      <c r="K317" s="3">
        <f t="shared" si="299"/>
        <v>3.5883218113444658E-3</v>
      </c>
      <c r="L317" s="3">
        <f t="shared" si="299"/>
        <v>3.5883218113444658E-3</v>
      </c>
      <c r="M317" s="3">
        <f t="shared" si="299"/>
        <v>3.5883218113444658E-3</v>
      </c>
      <c r="N317" s="3">
        <f t="shared" si="299"/>
        <v>3.5883218113444658E-3</v>
      </c>
      <c r="O317" s="3">
        <f t="shared" si="299"/>
        <v>3.5883218113444658E-3</v>
      </c>
      <c r="P317" s="3">
        <f t="shared" si="299"/>
        <v>3.5883218113444654E-3</v>
      </c>
      <c r="Q317" s="3">
        <f t="shared" si="299"/>
        <v>3.5883218113444623E-3</v>
      </c>
      <c r="R317" s="3">
        <f t="shared" si="299"/>
        <v>3.5883218113444294E-3</v>
      </c>
      <c r="S317" s="3">
        <f t="shared" si="299"/>
        <v>3.5883218113441024E-3</v>
      </c>
      <c r="T317" s="3">
        <f t="shared" si="299"/>
        <v>3.5883218113408315E-3</v>
      </c>
      <c r="U317" s="3">
        <f t="shared" si="299"/>
        <v>3.5883218113081199E-3</v>
      </c>
      <c r="V317" s="3">
        <f t="shared" si="299"/>
        <v>3.588321810981007E-3</v>
      </c>
      <c r="W317" s="3">
        <f t="shared" si="299"/>
        <v>3.5883218077098792E-3</v>
      </c>
      <c r="X317" s="3">
        <f t="shared" si="299"/>
        <v>3.5883217749986037E-3</v>
      </c>
      <c r="Y317" s="3">
        <f t="shared" si="299"/>
        <v>3.5883214478858623E-3</v>
      </c>
      <c r="Z317" s="3">
        <f t="shared" si="299"/>
        <v>3.5883181767600862E-3</v>
      </c>
      <c r="AA317" s="3">
        <f t="shared" si="299"/>
        <v>3.5882854656663346E-3</v>
      </c>
      <c r="AB317" s="3">
        <f t="shared" si="299"/>
        <v>3.5879583711290503E-3</v>
      </c>
      <c r="AC317" s="3">
        <f t="shared" si="299"/>
        <v>3.5846890652264018E-3</v>
      </c>
      <c r="AD317" s="3">
        <f t="shared" si="299"/>
        <v>3.552159401582637E-3</v>
      </c>
      <c r="AE317" s="3">
        <f t="shared" si="299"/>
        <v>3.2426643634945879E-3</v>
      </c>
      <c r="AF317" s="3">
        <f t="shared" si="299"/>
        <v>1.3031593458458727E-3</v>
      </c>
      <c r="AG317" s="3"/>
      <c r="AH317" s="3"/>
    </row>
    <row r="318" spans="1:34" x14ac:dyDescent="0.25">
      <c r="B318" s="3">
        <f t="shared" ref="B318:AF318" si="300">$C48*EXP(-B$285/$A48/EXP(-$F$126))</f>
        <v>1.1419429769572463E-2</v>
      </c>
      <c r="C318" s="3">
        <f t="shared" si="300"/>
        <v>1.1419429769572463E-2</v>
      </c>
      <c r="D318" s="3">
        <f t="shared" si="300"/>
        <v>1.1419429769572463E-2</v>
      </c>
      <c r="E318" s="3">
        <f t="shared" si="300"/>
        <v>1.1419429769572463E-2</v>
      </c>
      <c r="F318" s="3">
        <f t="shared" si="300"/>
        <v>1.1419429769572463E-2</v>
      </c>
      <c r="G318" s="3">
        <f t="shared" si="300"/>
        <v>1.1419429769572463E-2</v>
      </c>
      <c r="H318" s="3">
        <f t="shared" si="300"/>
        <v>1.1419429769572463E-2</v>
      </c>
      <c r="I318" s="3">
        <f t="shared" si="300"/>
        <v>1.1419429769572463E-2</v>
      </c>
      <c r="J318" s="3">
        <f t="shared" si="300"/>
        <v>1.1419429769572463E-2</v>
      </c>
      <c r="K318" s="3">
        <f t="shared" si="300"/>
        <v>1.1419429769572463E-2</v>
      </c>
      <c r="L318" s="3">
        <f t="shared" si="300"/>
        <v>1.1419429769572463E-2</v>
      </c>
      <c r="M318" s="3">
        <f t="shared" si="300"/>
        <v>1.1419429769572463E-2</v>
      </c>
      <c r="N318" s="3">
        <f t="shared" si="300"/>
        <v>1.1419429769572463E-2</v>
      </c>
      <c r="O318" s="3">
        <f t="shared" si="300"/>
        <v>1.1419429769572463E-2</v>
      </c>
      <c r="P318" s="3">
        <f t="shared" si="300"/>
        <v>1.1419429769572463E-2</v>
      </c>
      <c r="Q318" s="3">
        <f t="shared" si="300"/>
        <v>1.1419429769572461E-2</v>
      </c>
      <c r="R318" s="3">
        <f t="shared" si="300"/>
        <v>1.1419429769572451E-2</v>
      </c>
      <c r="S318" s="3">
        <f t="shared" si="300"/>
        <v>1.1419429769572347E-2</v>
      </c>
      <c r="T318" s="3">
        <f t="shared" si="300"/>
        <v>1.1419429769571306E-2</v>
      </c>
      <c r="U318" s="3">
        <f t="shared" si="300"/>
        <v>1.1419429769560898E-2</v>
      </c>
      <c r="V318" s="3">
        <f t="shared" si="300"/>
        <v>1.1419429769456797E-2</v>
      </c>
      <c r="W318" s="3">
        <f t="shared" si="300"/>
        <v>1.1419429768415796E-2</v>
      </c>
      <c r="X318" s="3">
        <f t="shared" si="300"/>
        <v>1.1419429758005802E-2</v>
      </c>
      <c r="Y318" s="3">
        <f t="shared" si="300"/>
        <v>1.1419429653905853E-2</v>
      </c>
      <c r="Z318" s="3">
        <f t="shared" si="300"/>
        <v>1.1419428612906419E-2</v>
      </c>
      <c r="AA318" s="3">
        <f t="shared" si="300"/>
        <v>1.1419418202917283E-2</v>
      </c>
      <c r="AB318" s="3">
        <f t="shared" si="300"/>
        <v>1.1419314103547878E-2</v>
      </c>
      <c r="AC318" s="3">
        <f t="shared" si="300"/>
        <v>1.141827316204572E-2</v>
      </c>
      <c r="AD318" s="3">
        <f t="shared" si="300"/>
        <v>1.1407868964453265E-2</v>
      </c>
      <c r="AE318" s="3">
        <f t="shared" si="300"/>
        <v>1.1304346975919968E-2</v>
      </c>
      <c r="AF318" s="3">
        <f t="shared" si="300"/>
        <v>1.0319413896533359E-2</v>
      </c>
      <c r="AG318" s="3"/>
      <c r="AH318" s="3"/>
    </row>
    <row r="319" spans="1:34" x14ac:dyDescent="0.25">
      <c r="A319" s="80">
        <f>AVERAGE(B319:AF319)</f>
        <v>1.54504939025892E-3</v>
      </c>
      <c r="B319" s="81">
        <f>IF($A$64&lt;=B285,IF($B$64&gt;=B285,ABS((B287-B286)/B286),0),0)</f>
        <v>1.0981558791101612E-2</v>
      </c>
      <c r="C319" s="81">
        <f t="shared" ref="C319:AF319" si="301">IF($A$64&lt;=C285,IF($B$64&gt;=C285,ABS((C287-C286)/C286),0),0)</f>
        <v>1.4568930638575233E-2</v>
      </c>
      <c r="D319" s="81">
        <f t="shared" si="301"/>
        <v>4.1481031023853513E-3</v>
      </c>
      <c r="E319" s="81">
        <f t="shared" si="301"/>
        <v>5.6557654446404225E-4</v>
      </c>
      <c r="F319" s="81">
        <f t="shared" si="301"/>
        <v>2.4812783137867061E-4</v>
      </c>
      <c r="G319" s="81">
        <f t="shared" si="301"/>
        <v>1.5101271411536307E-4</v>
      </c>
      <c r="H319" s="81">
        <f t="shared" si="301"/>
        <v>1.9965562049137559E-4</v>
      </c>
      <c r="I319" s="81">
        <f t="shared" si="301"/>
        <v>2.1290504775130955E-4</v>
      </c>
      <c r="J319" s="81">
        <f t="shared" si="301"/>
        <v>2.3473431002958518E-4</v>
      </c>
      <c r="K319" s="81">
        <f t="shared" si="301"/>
        <v>2.0553411752692333E-4</v>
      </c>
      <c r="L319" s="81">
        <f t="shared" si="301"/>
        <v>3.1428396866074184E-4</v>
      </c>
      <c r="M319" s="81">
        <f t="shared" si="301"/>
        <v>2.9135923128859184E-4</v>
      </c>
      <c r="N319" s="81">
        <f t="shared" si="301"/>
        <v>4.1209823867087219E-4</v>
      </c>
      <c r="O319" s="81">
        <f t="shared" si="301"/>
        <v>1.8884816848966314E-4</v>
      </c>
      <c r="P319" s="81">
        <f t="shared" si="301"/>
        <v>3.6069750845664776E-4</v>
      </c>
      <c r="Q319" s="81">
        <f t="shared" si="301"/>
        <v>2.259259897063835E-4</v>
      </c>
      <c r="R319" s="81">
        <f t="shared" si="301"/>
        <v>3.7895918750332526E-4</v>
      </c>
      <c r="S319" s="81">
        <f t="shared" si="301"/>
        <v>3.2542406233067805E-4</v>
      </c>
      <c r="T319" s="81">
        <f t="shared" si="301"/>
        <v>4.1712933943171106E-4</v>
      </c>
      <c r="U319" s="81">
        <f t="shared" si="301"/>
        <v>4.0002434798024089E-4</v>
      </c>
      <c r="V319" s="81">
        <f t="shared" si="301"/>
        <v>5.4946793230461132E-4</v>
      </c>
      <c r="W319" s="81">
        <f t="shared" si="301"/>
        <v>4.0875781206425849E-4</v>
      </c>
      <c r="X319" s="81">
        <f t="shared" si="301"/>
        <v>1.3345367841991363E-3</v>
      </c>
      <c r="Y319" s="81">
        <f t="shared" si="301"/>
        <v>9.5784750726271876E-4</v>
      </c>
      <c r="Z319" s="81">
        <f t="shared" si="301"/>
        <v>2.1101984737421334E-3</v>
      </c>
      <c r="AA319" s="81">
        <f t="shared" si="301"/>
        <v>1.7542543927454844E-3</v>
      </c>
      <c r="AB319" s="81">
        <f t="shared" si="301"/>
        <v>2.5072177841359475E-3</v>
      </c>
      <c r="AC319" s="81">
        <f t="shared" si="301"/>
        <v>1.2310859346191293E-3</v>
      </c>
      <c r="AD319" s="81">
        <f t="shared" si="301"/>
        <v>1.3296434439984614E-3</v>
      </c>
      <c r="AE319" s="81">
        <f t="shared" si="301"/>
        <v>2.5902576871883009E-4</v>
      </c>
      <c r="AF319" s="81">
        <f t="shared" si="301"/>
        <v>6.2360650389747959E-4</v>
      </c>
    </row>
    <row r="320" spans="1:34" x14ac:dyDescent="0.25">
      <c r="B320" s="21">
        <f>(B287-B286)^2</f>
        <v>3703.0254517147082</v>
      </c>
      <c r="C320" s="21">
        <f t="shared" ref="C320:AF320" si="302">(C287-C286)^2</f>
        <v>6059.7788363160871</v>
      </c>
      <c r="D320" s="21">
        <f t="shared" si="302"/>
        <v>470.74203206264303</v>
      </c>
      <c r="E320" s="21">
        <f t="shared" si="302"/>
        <v>8.3858527691702314</v>
      </c>
      <c r="F320" s="21">
        <f t="shared" si="302"/>
        <v>1.5381451952539285</v>
      </c>
      <c r="G320" s="21">
        <f t="shared" si="302"/>
        <v>0.54048034552053692</v>
      </c>
      <c r="H320" s="21">
        <f t="shared" si="302"/>
        <v>0.8891020074981576</v>
      </c>
      <c r="I320" s="21">
        <f t="shared" si="302"/>
        <v>0.94521834788492076</v>
      </c>
      <c r="J320" s="21">
        <f t="shared" si="302"/>
        <v>1.0708335921230128</v>
      </c>
      <c r="K320" s="21">
        <f t="shared" si="302"/>
        <v>0.76526515682433927</v>
      </c>
      <c r="L320" s="21">
        <f t="shared" si="302"/>
        <v>1.6512497439098535</v>
      </c>
      <c r="M320" s="21">
        <f t="shared" si="302"/>
        <v>1.2822863930248423</v>
      </c>
      <c r="N320" s="21">
        <f t="shared" si="302"/>
        <v>2.2924036161567196</v>
      </c>
      <c r="O320" s="21">
        <f t="shared" si="302"/>
        <v>0.43451019115563622</v>
      </c>
      <c r="P320" s="21">
        <f t="shared" si="302"/>
        <v>1.4415241634754499</v>
      </c>
      <c r="Q320" s="21">
        <f t="shared" si="302"/>
        <v>0.51054731926616104</v>
      </c>
      <c r="R320" s="21">
        <f t="shared" si="302"/>
        <v>1.2830806945556099</v>
      </c>
      <c r="S320" s="21">
        <f t="shared" si="302"/>
        <v>0.82918652828504036</v>
      </c>
      <c r="T320" s="21">
        <f t="shared" si="302"/>
        <v>1.1757693796172886</v>
      </c>
      <c r="U320" s="21">
        <f t="shared" si="302"/>
        <v>0.91409930641669301</v>
      </c>
      <c r="V320" s="21">
        <f t="shared" si="302"/>
        <v>1.4287725170031416</v>
      </c>
      <c r="W320" s="21">
        <f t="shared" si="302"/>
        <v>0.6319125255937339</v>
      </c>
      <c r="X320" s="21">
        <f t="shared" si="302"/>
        <v>5.100581249138731</v>
      </c>
      <c r="Y320" s="21">
        <f t="shared" si="302"/>
        <v>1.8107462893121229</v>
      </c>
      <c r="Z320" s="21">
        <f t="shared" si="302"/>
        <v>5.3045476171247739</v>
      </c>
      <c r="AA320" s="21">
        <f t="shared" si="302"/>
        <v>1.9233093830018675</v>
      </c>
      <c r="AB320" s="21">
        <f t="shared" si="302"/>
        <v>1.932399043283229</v>
      </c>
      <c r="AC320" s="21">
        <f t="shared" si="302"/>
        <v>0.24529177636195681</v>
      </c>
      <c r="AD320" s="21">
        <f t="shared" si="302"/>
        <v>0.18504699357516885</v>
      </c>
      <c r="AE320" s="21">
        <f t="shared" si="302"/>
        <v>5.4249607350137672E-3</v>
      </c>
      <c r="AF320" s="21">
        <f t="shared" si="302"/>
        <v>2.729447174463636E-2</v>
      </c>
      <c r="AG320" s="3"/>
      <c r="AH320" s="3"/>
    </row>
    <row r="321" spans="1:34" x14ac:dyDescent="0.25">
      <c r="A321" s="72">
        <f>SUM(B321:AF321)</f>
        <v>10278.091201670451</v>
      </c>
      <c r="B321" s="60">
        <f>IF($A$64&lt;=B285,IF($B$64&gt;=B285,ABS(B320),0),0)</f>
        <v>3703.0254517147082</v>
      </c>
      <c r="C321" s="60">
        <f t="shared" ref="C321" si="303">IF($A$64&lt;=C285,IF($B$64&gt;=C285,ABS(C320),0),0)</f>
        <v>6059.7788363160871</v>
      </c>
      <c r="D321" s="60">
        <f t="shared" ref="D321" si="304">IF($A$64&lt;=D285,IF($B$64&gt;=D285,ABS(D320),0),0)</f>
        <v>470.74203206264303</v>
      </c>
      <c r="E321" s="60">
        <f t="shared" ref="E321" si="305">IF($A$64&lt;=E285,IF($B$64&gt;=E285,ABS(E320),0),0)</f>
        <v>8.3858527691702314</v>
      </c>
      <c r="F321" s="60">
        <f t="shared" ref="F321" si="306">IF($A$64&lt;=F285,IF($B$64&gt;=F285,ABS(F320),0),0)</f>
        <v>1.5381451952539285</v>
      </c>
      <c r="G321" s="60">
        <f t="shared" ref="G321" si="307">IF($A$64&lt;=G285,IF($B$64&gt;=G285,ABS(G320),0),0)</f>
        <v>0.54048034552053692</v>
      </c>
      <c r="H321" s="60">
        <f t="shared" ref="H321" si="308">IF($A$64&lt;=H285,IF($B$64&gt;=H285,ABS(H320),0),0)</f>
        <v>0.8891020074981576</v>
      </c>
      <c r="I321" s="60">
        <f t="shared" ref="I321" si="309">IF($A$64&lt;=I285,IF($B$64&gt;=I285,ABS(I320),0),0)</f>
        <v>0.94521834788492076</v>
      </c>
      <c r="J321" s="60">
        <f t="shared" ref="J321" si="310">IF($A$64&lt;=J285,IF($B$64&gt;=J285,ABS(J320),0),0)</f>
        <v>1.0708335921230128</v>
      </c>
      <c r="K321" s="60">
        <f t="shared" ref="K321" si="311">IF($A$64&lt;=K285,IF($B$64&gt;=K285,ABS(K320),0),0)</f>
        <v>0.76526515682433927</v>
      </c>
      <c r="L321" s="60">
        <f t="shared" ref="L321" si="312">IF($A$64&lt;=L285,IF($B$64&gt;=L285,ABS(L320),0),0)</f>
        <v>1.6512497439098535</v>
      </c>
      <c r="M321" s="60">
        <f t="shared" ref="M321" si="313">IF($A$64&lt;=M285,IF($B$64&gt;=M285,ABS(M320),0),0)</f>
        <v>1.2822863930248423</v>
      </c>
      <c r="N321" s="60">
        <f t="shared" ref="N321" si="314">IF($A$64&lt;=N285,IF($B$64&gt;=N285,ABS(N320),0),0)</f>
        <v>2.2924036161567196</v>
      </c>
      <c r="O321" s="60">
        <f t="shared" ref="O321" si="315">IF($A$64&lt;=O285,IF($B$64&gt;=O285,ABS(O320),0),0)</f>
        <v>0.43451019115563622</v>
      </c>
      <c r="P321" s="60">
        <f t="shared" ref="P321" si="316">IF($A$64&lt;=P285,IF($B$64&gt;=P285,ABS(P320),0),0)</f>
        <v>1.4415241634754499</v>
      </c>
      <c r="Q321" s="60">
        <f t="shared" ref="Q321" si="317">IF($A$64&lt;=Q285,IF($B$64&gt;=Q285,ABS(Q320),0),0)</f>
        <v>0.51054731926616104</v>
      </c>
      <c r="R321" s="60">
        <f t="shared" ref="R321" si="318">IF($A$64&lt;=R285,IF($B$64&gt;=R285,ABS(R320),0),0)</f>
        <v>1.2830806945556099</v>
      </c>
      <c r="S321" s="60">
        <f t="shared" ref="S321" si="319">IF($A$64&lt;=S285,IF($B$64&gt;=S285,ABS(S320),0),0)</f>
        <v>0.82918652828504036</v>
      </c>
      <c r="T321" s="60">
        <f t="shared" ref="T321" si="320">IF($A$64&lt;=T285,IF($B$64&gt;=T285,ABS(T320),0),0)</f>
        <v>1.1757693796172886</v>
      </c>
      <c r="U321" s="60">
        <f t="shared" ref="U321" si="321">IF($A$64&lt;=U285,IF($B$64&gt;=U285,ABS(U320),0),0)</f>
        <v>0.91409930641669301</v>
      </c>
      <c r="V321" s="60">
        <f t="shared" ref="V321" si="322">IF($A$64&lt;=V285,IF($B$64&gt;=V285,ABS(V320),0),0)</f>
        <v>1.4287725170031416</v>
      </c>
      <c r="W321" s="60">
        <f t="shared" ref="W321" si="323">IF($A$64&lt;=W285,IF($B$64&gt;=W285,ABS(W320),0),0)</f>
        <v>0.6319125255937339</v>
      </c>
      <c r="X321" s="60">
        <f t="shared" ref="X321" si="324">IF($A$64&lt;=X285,IF($B$64&gt;=X285,ABS(X320),0),0)</f>
        <v>5.100581249138731</v>
      </c>
      <c r="Y321" s="60">
        <f t="shared" ref="Y321" si="325">IF($A$64&lt;=Y285,IF($B$64&gt;=Y285,ABS(Y320),0),0)</f>
        <v>1.8107462893121229</v>
      </c>
      <c r="Z321" s="60">
        <f t="shared" ref="Z321" si="326">IF($A$64&lt;=Z285,IF($B$64&gt;=Z285,ABS(Z320),0),0)</f>
        <v>5.3045476171247739</v>
      </c>
      <c r="AA321" s="60">
        <f t="shared" ref="AA321" si="327">IF($A$64&lt;=AA285,IF($B$64&gt;=AA285,ABS(AA320),0),0)</f>
        <v>1.9233093830018675</v>
      </c>
      <c r="AB321" s="60">
        <f t="shared" ref="AB321" si="328">IF($A$64&lt;=AB285,IF($B$64&gt;=AB285,ABS(AB320),0),0)</f>
        <v>1.932399043283229</v>
      </c>
      <c r="AC321" s="60">
        <f t="shared" ref="AC321" si="329">IF($A$64&lt;=AC285,IF($B$64&gt;=AC285,ABS(AC320),0),0)</f>
        <v>0.24529177636195681</v>
      </c>
      <c r="AD321" s="60">
        <f t="shared" ref="AD321" si="330">IF($A$64&lt;=AD285,IF($B$64&gt;=AD285,ABS(AD320),0),0)</f>
        <v>0.18504699357516885</v>
      </c>
      <c r="AE321" s="60">
        <f t="shared" ref="AE321" si="331">IF($A$64&lt;=AE285,IF($B$64&gt;=AE285,ABS(AE320),0),0)</f>
        <v>5.4249607350137672E-3</v>
      </c>
      <c r="AF321" s="60">
        <f t="shared" ref="AF321" si="332">IF($A$64&lt;=AF285,IF($B$64&gt;=AF285,ABS(AF320),0),0)</f>
        <v>2.729447174463636E-2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8" t="s">
        <v>22</v>
      </c>
      <c r="B326" s="27">
        <f>($C$17+SUM(B327:B357))*$B$51</f>
        <v>4554.1968388300074</v>
      </c>
      <c r="C326" s="27">
        <f t="shared" ref="C326:AF326" si="333">($C$17+SUM(C327:C357))*$B$51</f>
        <v>4396.0479147526066</v>
      </c>
      <c r="D326" s="27">
        <f t="shared" si="333"/>
        <v>4244.1723523403343</v>
      </c>
      <c r="E326" s="27">
        <f t="shared" si="333"/>
        <v>4074.1038736637024</v>
      </c>
      <c r="F326" s="27">
        <f t="shared" si="333"/>
        <v>3869.6774184156766</v>
      </c>
      <c r="G326" s="27">
        <f t="shared" si="333"/>
        <v>3657.8782777211159</v>
      </c>
      <c r="H326" s="27">
        <f t="shared" si="333"/>
        <v>3478.7760029680067</v>
      </c>
      <c r="I326" s="27">
        <f t="shared" si="333"/>
        <v>3316.1571273659924</v>
      </c>
      <c r="J326" s="27">
        <f t="shared" si="333"/>
        <v>3151.1728456619021</v>
      </c>
      <c r="K326" s="27">
        <f t="shared" si="333"/>
        <v>2975.9653403982197</v>
      </c>
      <c r="L326" s="27">
        <f t="shared" si="333"/>
        <v>2785.5958333882759</v>
      </c>
      <c r="M326" s="27">
        <f t="shared" si="333"/>
        <v>2585.9661804726798</v>
      </c>
      <c r="N326" s="27">
        <f t="shared" si="333"/>
        <v>2377.6654493968827</v>
      </c>
      <c r="O326" s="27">
        <f t="shared" si="333"/>
        <v>2160.1580768461827</v>
      </c>
      <c r="P326" s="27">
        <f t="shared" si="333"/>
        <v>1935.0289035185983</v>
      </c>
      <c r="Q326" s="27">
        <f t="shared" si="333"/>
        <v>1663.7537361584073</v>
      </c>
      <c r="R326" s="27">
        <f t="shared" si="333"/>
        <v>1387.5817924783194</v>
      </c>
      <c r="S326" s="27">
        <f t="shared" si="333"/>
        <v>1062.3549550410537</v>
      </c>
      <c r="T326" s="27">
        <f t="shared" si="333"/>
        <v>772.90148545559452</v>
      </c>
      <c r="U326" s="27">
        <f t="shared" si="333"/>
        <v>536.97656436272393</v>
      </c>
      <c r="V326" s="27">
        <f t="shared" si="333"/>
        <v>395.98641972789613</v>
      </c>
      <c r="W326" s="27">
        <f t="shared" si="333"/>
        <v>318.16058107833072</v>
      </c>
      <c r="X326" s="27">
        <f t="shared" si="333"/>
        <v>283.41795386056748</v>
      </c>
      <c r="Y326" s="27">
        <f t="shared" si="333"/>
        <v>262.73918920515285</v>
      </c>
      <c r="Z326" s="27">
        <f t="shared" si="333"/>
        <v>219.31581145369239</v>
      </c>
      <c r="AA326" s="27">
        <f t="shared" si="333"/>
        <v>199.51126142652657</v>
      </c>
      <c r="AB326" s="27">
        <f t="shared" si="333"/>
        <v>199.51075401213504</v>
      </c>
      <c r="AC326" s="27">
        <f t="shared" si="333"/>
        <v>199.51075401213504</v>
      </c>
      <c r="AD326" s="27">
        <f t="shared" si="333"/>
        <v>199.51075401213504</v>
      </c>
      <c r="AE326" s="27">
        <f t="shared" si="333"/>
        <v>199.51075401213504</v>
      </c>
      <c r="AF326" s="27">
        <f t="shared" si="333"/>
        <v>199.51075401213504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2.7266841683949356E-98</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6.1402072471374556E-11</v>
      </c>
      <c r="C332" s="3">
        <f t="shared" si="339"/>
        <v>8.0663726618140022E-89</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4.9000592605599868E-3</v>
      </c>
      <c r="C333" s="3">
        <f t="shared" si="340"/>
        <v>4.61999698791675E-10</v>
      </c>
      <c r="D333" s="3">
        <f t="shared" si="340"/>
        <v>2.5647515031041653E-80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2.5473693226598468E-2</v>
      </c>
      <c r="C334" s="3">
        <f t="shared" si="341"/>
        <v>5.9200856206489162E-3</v>
      </c>
      <c r="D334" s="3">
        <f t="shared" si="341"/>
        <v>2.7207505295351524E-9</v>
      </c>
      <c r="E334" s="3">
        <f t="shared" si="341"/>
        <v>1.1436577241803025E-72</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2.6678238157915091E-2</v>
      </c>
      <c r="C335" s="3">
        <f t="shared" si="342"/>
        <v>2.3387638189832506E-2</v>
      </c>
      <c r="D335" s="3">
        <f t="shared" si="342"/>
        <v>6.2701593882463777E-3</v>
      </c>
      <c r="E335" s="3">
        <f t="shared" si="342"/>
        <v>1.2028202264600561E-8</v>
      </c>
      <c r="F335" s="3">
        <f t="shared" si="342"/>
        <v>8.117497057511139E-66</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3.1968330020245468E-2</v>
      </c>
      <c r="C336" s="3">
        <f t="shared" si="343"/>
        <v>3.1590948831511659E-2</v>
      </c>
      <c r="D336" s="3">
        <f t="shared" si="343"/>
        <v>2.8053682122213461E-2</v>
      </c>
      <c r="E336" s="3">
        <f t="shared" si="343"/>
        <v>8.555824889121974E-3</v>
      </c>
      <c r="F336" s="3">
        <f t="shared" si="343"/>
        <v>5.9563751643353327E-8</v>
      </c>
      <c r="G336" s="3">
        <f t="shared" si="343"/>
        <v>1.5928820268151582E-59</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4.0903092817509666E-2</v>
      </c>
      <c r="C337" s="3">
        <f t="shared" si="344"/>
        <v>4.0859299632596047E-2</v>
      </c>
      <c r="D337" s="3">
        <f t="shared" si="344"/>
        <v>4.0423938329634028E-2</v>
      </c>
      <c r="E337" s="3">
        <f t="shared" si="344"/>
        <v>3.6317476823052502E-2</v>
      </c>
      <c r="F337" s="3">
        <f t="shared" si="344"/>
        <v>1.2441883249553047E-2</v>
      </c>
      <c r="G337" s="3">
        <f t="shared" si="344"/>
        <v>2.7707073629708569E-7</v>
      </c>
      <c r="H337" s="3">
        <f t="shared" si="344"/>
        <v>8.3106698427046454E-54</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4.0609688313324822E-2</v>
      </c>
      <c r="C338" s="3">
        <f t="shared" si="345"/>
        <v>4.0605764229818528E-2</v>
      </c>
      <c r="D338" s="3">
        <f t="shared" si="345"/>
        <v>4.056654424367849E-2</v>
      </c>
      <c r="E338" s="3">
        <f t="shared" si="345"/>
        <v>4.0176421839364498E-2</v>
      </c>
      <c r="F338" s="3">
        <f t="shared" si="345"/>
        <v>3.6475703762807649E-2</v>
      </c>
      <c r="G338" s="3">
        <f t="shared" si="345"/>
        <v>1.3878033318210166E-2</v>
      </c>
      <c r="H338" s="3">
        <f t="shared" si="345"/>
        <v>8.8220676661546523E-7</v>
      </c>
      <c r="I338" s="3">
        <f t="shared" si="345"/>
        <v>9.5059378791446536E-49</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2.9251132318362651E-2</v>
      </c>
      <c r="C339" s="3">
        <f t="shared" si="346"/>
        <v>2.9250877332003069E-2</v>
      </c>
      <c r="D339" s="3">
        <f t="shared" si="346"/>
        <v>2.9248327590655484E-2</v>
      </c>
      <c r="E339" s="3">
        <f t="shared" si="346"/>
        <v>2.9222842398059688E-2</v>
      </c>
      <c r="F339" s="3">
        <f t="shared" si="346"/>
        <v>2.8969208627610238E-2</v>
      </c>
      <c r="G339" s="3">
        <f t="shared" si="346"/>
        <v>2.6550847425353637E-2</v>
      </c>
      <c r="H339" s="3">
        <f t="shared" si="346"/>
        <v>1.1104421624166609E-2</v>
      </c>
      <c r="I339" s="3">
        <f t="shared" si="346"/>
        <v>1.8183249769686963E-6</v>
      </c>
      <c r="J339" s="3">
        <f t="shared" si="346"/>
        <v>2.5201542088322762E-44</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3.1259580206035732E-2</v>
      </c>
      <c r="C340" s="3">
        <f t="shared" si="347"/>
        <v>3.125955562468629E-2</v>
      </c>
      <c r="D340" s="3">
        <f t="shared" si="347"/>
        <v>3.1259309812254957E-2</v>
      </c>
      <c r="E340" s="3">
        <f t="shared" si="347"/>
        <v>3.1256851794252423E-2</v>
      </c>
      <c r="F340" s="3">
        <f t="shared" si="347"/>
        <v>3.1232282242213201E-2</v>
      </c>
      <c r="G340" s="3">
        <f t="shared" si="347"/>
        <v>3.0987646434668146E-2</v>
      </c>
      <c r="H340" s="3">
        <f t="shared" si="347"/>
        <v>2.8644240149333512E-2</v>
      </c>
      <c r="I340" s="3">
        <f t="shared" si="347"/>
        <v>1.3047414113417003E-2</v>
      </c>
      <c r="J340" s="3">
        <f t="shared" si="347"/>
        <v>5.0164426624719336E-6</v>
      </c>
      <c r="K340" s="3">
        <f t="shared" si="347"/>
        <v>3.5408694267312423E-40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2.9704645210164572E-2</v>
      </c>
      <c r="C341" s="3">
        <f t="shared" si="348"/>
        <v>2.9704643103023096E-2</v>
      </c>
      <c r="D341" s="3">
        <f t="shared" si="348"/>
        <v>2.9704622031616581E-2</v>
      </c>
      <c r="E341" s="3">
        <f t="shared" si="348"/>
        <v>2.9704411318373532E-2</v>
      </c>
      <c r="F341" s="3">
        <f t="shared" si="348"/>
        <v>2.9702304268150841E-2</v>
      </c>
      <c r="G341" s="3">
        <f t="shared" si="348"/>
        <v>2.968124198454767E-2</v>
      </c>
      <c r="H341" s="3">
        <f t="shared" si="348"/>
        <v>2.9471438857878778E-2</v>
      </c>
      <c r="I341" s="3">
        <f t="shared" si="348"/>
        <v>2.7453267293059021E-2</v>
      </c>
      <c r="J341" s="3">
        <f t="shared" si="348"/>
        <v>1.3505822203830471E-2</v>
      </c>
      <c r="K341" s="3">
        <f t="shared" si="348"/>
        <v>1.1214784300864423E-5</v>
      </c>
      <c r="L341" s="3">
        <f t="shared" si="348"/>
        <v>1.7477925878161129E-36</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3.5282603756889346E-2</v>
      </c>
      <c r="C342" s="3">
        <f t="shared" si="349"/>
        <v>3.5282603531113982E-2</v>
      </c>
      <c r="D342" s="3">
        <f t="shared" si="349"/>
        <v>3.5282601273360387E-2</v>
      </c>
      <c r="E342" s="3">
        <f t="shared" si="349"/>
        <v>3.528257869583238E-2</v>
      </c>
      <c r="F342" s="3">
        <f t="shared" si="349"/>
        <v>3.5282352921346884E-2</v>
      </c>
      <c r="G342" s="3">
        <f t="shared" si="349"/>
        <v>3.5280095255951126E-2</v>
      </c>
      <c r="H342" s="3">
        <f t="shared" si="349"/>
        <v>3.525752654602457E-2</v>
      </c>
      <c r="I342" s="3">
        <f t="shared" si="349"/>
        <v>3.5032631972214866E-2</v>
      </c>
      <c r="J342" s="3">
        <f t="shared" si="349"/>
        <v>3.2861094041824197E-2</v>
      </c>
      <c r="K342" s="3">
        <f t="shared" si="349"/>
        <v>1.7329041179942398E-2</v>
      </c>
      <c r="L342" s="3">
        <f t="shared" si="349"/>
        <v>2.8820379064185103E-5</v>
      </c>
      <c r="M342" s="3">
        <f t="shared" si="349"/>
        <v>4.6660698672760514E-33</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3.4987985453363971E-2</v>
      </c>
      <c r="C343" s="3">
        <f t="shared" si="350"/>
        <v>3.4987985433167224E-2</v>
      </c>
      <c r="D343" s="3">
        <f t="shared" si="350"/>
        <v>3.4987985231199739E-2</v>
      </c>
      <c r="E343" s="3">
        <f t="shared" si="350"/>
        <v>3.4987983211524951E-2</v>
      </c>
      <c r="F343" s="3">
        <f t="shared" si="350"/>
        <v>3.4987963014783449E-2</v>
      </c>
      <c r="G343" s="3">
        <f t="shared" si="350"/>
        <v>3.4987761048009658E-2</v>
      </c>
      <c r="H343" s="3">
        <f t="shared" si="350"/>
        <v>3.4985741444392177E-2</v>
      </c>
      <c r="I343" s="3">
        <f t="shared" si="350"/>
        <v>3.4965551818890182E-2</v>
      </c>
      <c r="J343" s="3">
        <f t="shared" si="350"/>
        <v>3.4764295264061884E-2</v>
      </c>
      <c r="K343" s="3">
        <f t="shared" si="350"/>
        <v>3.2814354291641444E-2</v>
      </c>
      <c r="L343" s="3">
        <f t="shared" si="350"/>
        <v>1.8423332579417941E-2</v>
      </c>
      <c r="M343" s="3">
        <f t="shared" si="350"/>
        <v>5.7333900055565067E-5</v>
      </c>
      <c r="N343" s="3">
        <f t="shared" si="350"/>
        <v>4.8847733150782023E-30</v>
      </c>
      <c r="O343" s="3">
        <f t="shared" si="350"/>
        <v>9.844047684715229E-281</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4.002081807666568E-2</v>
      </c>
      <c r="C344" s="3">
        <f t="shared" si="351"/>
        <v>4.0020818074581695E-2</v>
      </c>
      <c r="D344" s="3">
        <f t="shared" si="351"/>
        <v>4.0020818053741816E-2</v>
      </c>
      <c r="E344" s="3">
        <f t="shared" si="351"/>
        <v>4.002081784534308E-2</v>
      </c>
      <c r="F344" s="3">
        <f t="shared" si="351"/>
        <v>4.0020815761355813E-2</v>
      </c>
      <c r="G344" s="3">
        <f t="shared" si="351"/>
        <v>4.0020794921489078E-2</v>
      </c>
      <c r="H344" s="3">
        <f t="shared" si="351"/>
        <v>4.0020586523418555E-2</v>
      </c>
      <c r="I344" s="3">
        <f t="shared" si="351"/>
        <v>4.0018502602397303E-2</v>
      </c>
      <c r="J344" s="3">
        <f t="shared" si="351"/>
        <v>3.999766935943036E-2</v>
      </c>
      <c r="K344" s="3">
        <f t="shared" si="351"/>
        <v>3.978993250621668E-2</v>
      </c>
      <c r="L344" s="3">
        <f t="shared" si="351"/>
        <v>3.7770989938857864E-2</v>
      </c>
      <c r="M344" s="3">
        <f t="shared" si="351"/>
        <v>2.2439336771371696E-2</v>
      </c>
      <c r="N344" s="3">
        <f t="shared" si="351"/>
        <v>1.2289281944832722E-4</v>
      </c>
      <c r="O344" s="3">
        <f t="shared" si="351"/>
        <v>2.9832621862684445E-27</v>
      </c>
      <c r="P344" s="3">
        <f t="shared" si="351"/>
        <v>2.120023016929847E-253</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3.5130592199723767E-2</v>
      </c>
      <c r="C345" s="3">
        <f t="shared" si="352"/>
        <v>3.5130592199558747E-2</v>
      </c>
      <c r="D345" s="3">
        <f t="shared" si="352"/>
        <v>3.5130592197908525E-2</v>
      </c>
      <c r="E345" s="3">
        <f t="shared" si="352"/>
        <v>3.513059218140635E-2</v>
      </c>
      <c r="F345" s="3">
        <f t="shared" si="352"/>
        <v>3.5130592016384604E-2</v>
      </c>
      <c r="G345" s="3">
        <f t="shared" si="352"/>
        <v>3.5130590366167204E-2</v>
      </c>
      <c r="H345" s="3">
        <f t="shared" si="352"/>
        <v>3.5130573863997427E-2</v>
      </c>
      <c r="I345" s="3">
        <f t="shared" si="352"/>
        <v>3.513040884272603E-2</v>
      </c>
      <c r="J345" s="3">
        <f t="shared" si="352"/>
        <v>3.5128758672645546E-2</v>
      </c>
      <c r="K345" s="3">
        <f t="shared" si="352"/>
        <v>3.5112261234451769E-2</v>
      </c>
      <c r="L345" s="3">
        <f t="shared" si="352"/>
        <v>3.4947712373691812E-2</v>
      </c>
      <c r="M345" s="3">
        <f t="shared" si="352"/>
        <v>3.3344045515630548E-2</v>
      </c>
      <c r="N345" s="3">
        <f t="shared" si="352"/>
        <v>2.0845564670589997E-2</v>
      </c>
      <c r="O345" s="3">
        <f t="shared" si="352"/>
        <v>1.9009355908286235E-4</v>
      </c>
      <c r="P345" s="3">
        <f t="shared" si="352"/>
        <v>7.5597038511899073E-25</v>
      </c>
      <c r="Q345" s="3">
        <f t="shared" si="352"/>
        <v>7.4796037002967397E-229</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5.1976552303918712E-2</v>
      </c>
      <c r="C346" s="3">
        <f t="shared" si="353"/>
        <v>5.1976552303896688E-2</v>
      </c>
      <c r="D346" s="3">
        <f t="shared" si="353"/>
        <v>5.197655230367644E-2</v>
      </c>
      <c r="E346" s="3">
        <f t="shared" si="353"/>
        <v>5.1976552301473973E-2</v>
      </c>
      <c r="F346" s="3">
        <f t="shared" si="353"/>
        <v>5.1976552279449285E-2</v>
      </c>
      <c r="G346" s="3">
        <f t="shared" si="353"/>
        <v>5.1976552059202409E-2</v>
      </c>
      <c r="H346" s="3">
        <f t="shared" si="353"/>
        <v>5.1976549856733667E-2</v>
      </c>
      <c r="I346" s="3">
        <f t="shared" si="353"/>
        <v>5.1976527832051408E-2</v>
      </c>
      <c r="J346" s="3">
        <f t="shared" si="353"/>
        <v>5.1976307585742114E-2</v>
      </c>
      <c r="K346" s="3">
        <f t="shared" si="353"/>
        <v>5.1974105173978644E-2</v>
      </c>
      <c r="L346" s="3">
        <f t="shared" si="353"/>
        <v>5.1952086188491113E-2</v>
      </c>
      <c r="M346" s="3">
        <f t="shared" si="353"/>
        <v>5.1732408744593672E-2</v>
      </c>
      <c r="N346" s="3">
        <f t="shared" si="353"/>
        <v>4.9586081045416883E-2</v>
      </c>
      <c r="O346" s="3">
        <f t="shared" si="353"/>
        <v>3.2458664092609342E-2</v>
      </c>
      <c r="P346" s="3">
        <f t="shared" si="353"/>
        <v>4.6885569733863297E-4</v>
      </c>
      <c r="Q346" s="3">
        <f t="shared" si="353"/>
        <v>1.8540641647905853E-22</v>
      </c>
      <c r="R346" s="3">
        <f t="shared" si="353"/>
        <v>1.7337256812608399E-206</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2.3181635308382498E-6</v>
      </c>
      <c r="C347" s="3">
        <f t="shared" si="354"/>
        <v>2.3181635308381609E-6</v>
      </c>
      <c r="D347" s="3">
        <f t="shared" si="354"/>
        <v>2.3181635308372749E-6</v>
      </c>
      <c r="E347" s="3">
        <f t="shared" si="354"/>
        <v>2.3181635308284136E-6</v>
      </c>
      <c r="F347" s="3">
        <f t="shared" si="354"/>
        <v>2.3181635307398017E-6</v>
      </c>
      <c r="G347" s="3">
        <f t="shared" si="354"/>
        <v>2.3181635298536807E-6</v>
      </c>
      <c r="H347" s="3">
        <f t="shared" si="354"/>
        <v>2.3181635209924722E-6</v>
      </c>
      <c r="I347" s="3">
        <f t="shared" si="354"/>
        <v>2.3181634323803894E-6</v>
      </c>
      <c r="J347" s="3">
        <f t="shared" si="354"/>
        <v>2.3181625462597456E-6</v>
      </c>
      <c r="K347" s="3">
        <f t="shared" si="354"/>
        <v>2.3181536850719369E-6</v>
      </c>
      <c r="L347" s="3">
        <f t="shared" si="354"/>
        <v>2.3180650750567876E-6</v>
      </c>
      <c r="M347" s="3">
        <f t="shared" si="354"/>
        <v>2.3171791611724488E-6</v>
      </c>
      <c r="N347" s="3">
        <f t="shared" si="354"/>
        <v>2.3083386227273384E-6</v>
      </c>
      <c r="O347" s="3">
        <f t="shared" si="354"/>
        <v>2.2217672378263752E-6</v>
      </c>
      <c r="P347" s="3">
        <f t="shared" si="354"/>
        <v>1.515964252318558E-6</v>
      </c>
      <c r="Q347" s="3">
        <f t="shared" si="354"/>
        <v>3.3158355284781777E-8</v>
      </c>
      <c r="R347" s="3">
        <f t="shared" si="354"/>
        <v>8.3106153678402528E-25</v>
      </c>
      <c r="S347" s="3">
        <f t="shared" si="354"/>
        <v>8.1289640721756539E-191</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7.5767559561282199E-2</v>
      </c>
      <c r="C348" s="3">
        <f t="shared" si="355"/>
        <v>7.5767559561281408E-2</v>
      </c>
      <c r="D348" s="3">
        <f t="shared" si="355"/>
        <v>7.5767559561273401E-2</v>
      </c>
      <c r="E348" s="3">
        <f t="shared" si="355"/>
        <v>7.5767559561193285E-2</v>
      </c>
      <c r="F348" s="3">
        <f t="shared" si="355"/>
        <v>7.5767559560392272E-2</v>
      </c>
      <c r="G348" s="3">
        <f t="shared" si="355"/>
        <v>7.5767559552382041E-2</v>
      </c>
      <c r="H348" s="3">
        <f t="shared" si="355"/>
        <v>7.5767559472279727E-2</v>
      </c>
      <c r="I348" s="3">
        <f t="shared" si="355"/>
        <v>7.5767558671256618E-2</v>
      </c>
      <c r="J348" s="3">
        <f t="shared" si="355"/>
        <v>7.5767550661026015E-2</v>
      </c>
      <c r="K348" s="3">
        <f t="shared" si="355"/>
        <v>7.5767470558766495E-2</v>
      </c>
      <c r="L348" s="3">
        <f t="shared" si="355"/>
        <v>7.5766669540829001E-2</v>
      </c>
      <c r="M348" s="3">
        <f t="shared" si="355"/>
        <v>7.5758659827201702E-2</v>
      </c>
      <c r="N348" s="3">
        <f t="shared" si="355"/>
        <v>7.5678609247473591E-2</v>
      </c>
      <c r="O348" s="3">
        <f t="shared" si="355"/>
        <v>7.488274094462824E-2</v>
      </c>
      <c r="P348" s="3">
        <f t="shared" si="355"/>
        <v>6.7370168609530004E-2</v>
      </c>
      <c r="Q348" s="3">
        <f t="shared" si="355"/>
        <v>2.3405970393559516E-2</v>
      </c>
      <c r="R348" s="3">
        <f t="shared" si="355"/>
        <v>5.996762127623565E-7</v>
      </c>
      <c r="S348" s="3">
        <f t="shared" si="355"/>
        <v>7.3083364015113604E-53</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3.0678759500566036E-2</v>
      </c>
      <c r="C349" s="3">
        <f t="shared" si="356"/>
        <v>3.0678759500566002E-2</v>
      </c>
      <c r="D349" s="3">
        <f t="shared" si="356"/>
        <v>3.0678759500565679E-2</v>
      </c>
      <c r="E349" s="3">
        <f t="shared" si="356"/>
        <v>3.0678759500562435E-2</v>
      </c>
      <c r="F349" s="3">
        <f t="shared" si="356"/>
        <v>3.0678759500529999E-2</v>
      </c>
      <c r="G349" s="3">
        <f t="shared" si="356"/>
        <v>3.0678759500205662E-2</v>
      </c>
      <c r="H349" s="3">
        <f t="shared" si="356"/>
        <v>3.067875949696227E-2</v>
      </c>
      <c r="I349" s="3">
        <f t="shared" si="356"/>
        <v>3.0678759464528343E-2</v>
      </c>
      <c r="J349" s="3">
        <f t="shared" si="356"/>
        <v>3.0678759140189069E-2</v>
      </c>
      <c r="K349" s="3">
        <f t="shared" si="356"/>
        <v>3.0678755896796518E-2</v>
      </c>
      <c r="L349" s="3">
        <f t="shared" si="356"/>
        <v>3.0678723462889853E-2</v>
      </c>
      <c r="M349" s="3">
        <f t="shared" si="356"/>
        <v>3.0678399125709105E-2</v>
      </c>
      <c r="N349" s="3">
        <f t="shared" si="356"/>
        <v>3.0675155942485797E-2</v>
      </c>
      <c r="O349" s="3">
        <f t="shared" si="356"/>
        <v>3.0642742961289361E-2</v>
      </c>
      <c r="P349" s="3">
        <f t="shared" si="356"/>
        <v>3.0320490899872914E-2</v>
      </c>
      <c r="Q349" s="3">
        <f t="shared" si="356"/>
        <v>2.7278603300039766E-2</v>
      </c>
      <c r="R349" s="3">
        <f t="shared" si="356"/>
        <v>9.4772240354474586E-3</v>
      </c>
      <c r="S349" s="3">
        <f t="shared" si="356"/>
        <v>2.428126551267167E-7</v>
      </c>
      <c r="T349" s="3">
        <f t="shared" si="356"/>
        <v>2.9591911909192911E-53</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7.5768782257570458E-2</v>
      </c>
      <c r="C350" s="3">
        <f t="shared" si="357"/>
        <v>7.5768782257570444E-2</v>
      </c>
      <c r="D350" s="3">
        <f t="shared" si="357"/>
        <v>7.5768782257570361E-2</v>
      </c>
      <c r="E350" s="3">
        <f t="shared" si="357"/>
        <v>7.576878225756957E-2</v>
      </c>
      <c r="F350" s="3">
        <f t="shared" si="357"/>
        <v>7.5768782257561562E-2</v>
      </c>
      <c r="G350" s="3">
        <f t="shared" si="357"/>
        <v>7.5768782257481446E-2</v>
      </c>
      <c r="H350" s="3">
        <f t="shared" si="357"/>
        <v>7.576878225668042E-2</v>
      </c>
      <c r="I350" s="3">
        <f t="shared" si="357"/>
        <v>7.576878224867005E-2</v>
      </c>
      <c r="J350" s="3">
        <f t="shared" si="357"/>
        <v>7.5768782168566445E-2</v>
      </c>
      <c r="K350" s="3">
        <f t="shared" si="357"/>
        <v>7.5768781367530416E-2</v>
      </c>
      <c r="L350" s="3">
        <f t="shared" si="357"/>
        <v>7.5768773357170541E-2</v>
      </c>
      <c r="M350" s="3">
        <f t="shared" si="357"/>
        <v>7.5768693253618388E-2</v>
      </c>
      <c r="N350" s="3">
        <f t="shared" si="357"/>
        <v>7.5767892222754499E-2</v>
      </c>
      <c r="O350" s="3">
        <f t="shared" si="357"/>
        <v>7.5759882379870733E-2</v>
      </c>
      <c r="P350" s="3">
        <f t="shared" si="357"/>
        <v>7.5679830508329243E-2</v>
      </c>
      <c r="Q350" s="3">
        <f t="shared" si="357"/>
        <v>7.4883949362187549E-2</v>
      </c>
      <c r="R350" s="3">
        <f t="shared" si="357"/>
        <v>6.7371255793221396E-2</v>
      </c>
      <c r="S350" s="3">
        <f t="shared" si="357"/>
        <v>2.3406348106571349E-2</v>
      </c>
      <c r="T350" s="3">
        <f t="shared" si="357"/>
        <v>5.9968589001583656E-7</v>
      </c>
      <c r="U350" s="3">
        <f t="shared" si="357"/>
        <v>7.308454339529194E-53</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3.996144450245992E-2</v>
      </c>
      <c r="C351" s="3">
        <f t="shared" si="358"/>
        <v>3.996144450245992E-2</v>
      </c>
      <c r="D351" s="3">
        <f t="shared" si="358"/>
        <v>3.9961444502459913E-2</v>
      </c>
      <c r="E351" s="3">
        <f t="shared" si="358"/>
        <v>3.9961444502459871E-2</v>
      </c>
      <c r="F351" s="3">
        <f t="shared" si="358"/>
        <v>3.9961444502459448E-2</v>
      </c>
      <c r="G351" s="3">
        <f t="shared" si="358"/>
        <v>3.9961444502455229E-2</v>
      </c>
      <c r="H351" s="3">
        <f t="shared" si="358"/>
        <v>3.9961444502412978E-2</v>
      </c>
      <c r="I351" s="3">
        <f t="shared" si="358"/>
        <v>3.9961444501990497E-2</v>
      </c>
      <c r="J351" s="3">
        <f t="shared" si="358"/>
        <v>3.996144449776573E-2</v>
      </c>
      <c r="K351" s="3">
        <f t="shared" si="358"/>
        <v>3.9961444455518046E-2</v>
      </c>
      <c r="L351" s="3">
        <f t="shared" si="358"/>
        <v>3.9961444033041187E-2</v>
      </c>
      <c r="M351" s="3">
        <f t="shared" si="358"/>
        <v>3.996143980827286E-2</v>
      </c>
      <c r="N351" s="3">
        <f t="shared" si="358"/>
        <v>3.9961397560614148E-2</v>
      </c>
      <c r="O351" s="3">
        <f t="shared" si="358"/>
        <v>3.9960975086483531E-2</v>
      </c>
      <c r="P351" s="3">
        <f t="shared" si="358"/>
        <v>3.9956750590822702E-2</v>
      </c>
      <c r="Q351" s="3">
        <f t="shared" si="358"/>
        <v>3.9914530189140013E-2</v>
      </c>
      <c r="R351" s="3">
        <f t="shared" si="358"/>
        <v>3.9494772086865408E-2</v>
      </c>
      <c r="S351" s="3">
        <f t="shared" si="358"/>
        <v>3.5532479462184456E-2</v>
      </c>
      <c r="T351" s="3">
        <f t="shared" si="358"/>
        <v>1.2344813431029543E-2</v>
      </c>
      <c r="U351" s="3">
        <f t="shared" si="358"/>
        <v>3.1628216395653814E-7</v>
      </c>
      <c r="V351" s="3">
        <f t="shared" si="358"/>
        <v>3.8545741898693028E-53</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4.8323610204746917E-2</v>
      </c>
      <c r="C352" s="3">
        <f t="shared" si="359"/>
        <v>4.8323610204746917E-2</v>
      </c>
      <c r="D352" s="3">
        <f t="shared" si="359"/>
        <v>4.8323610204746917E-2</v>
      </c>
      <c r="E352" s="3">
        <f t="shared" si="359"/>
        <v>4.832361020474691E-2</v>
      </c>
      <c r="F352" s="3">
        <f t="shared" si="359"/>
        <v>4.8323610204746854E-2</v>
      </c>
      <c r="G352" s="3">
        <f t="shared" si="359"/>
        <v>4.8323610204746348E-2</v>
      </c>
      <c r="H352" s="3">
        <f t="shared" si="359"/>
        <v>4.8323610204741241E-2</v>
      </c>
      <c r="I352" s="3">
        <f t="shared" si="359"/>
        <v>4.832361020469015E-2</v>
      </c>
      <c r="J352" s="3">
        <f t="shared" si="359"/>
        <v>4.8323610204179267E-2</v>
      </c>
      <c r="K352" s="3">
        <f t="shared" si="359"/>
        <v>4.8323610199070444E-2</v>
      </c>
      <c r="L352" s="3">
        <f t="shared" si="359"/>
        <v>4.8323610147982178E-2</v>
      </c>
      <c r="M352" s="3">
        <f t="shared" si="359"/>
        <v>4.8323609637099571E-2</v>
      </c>
      <c r="N352" s="3">
        <f t="shared" si="359"/>
        <v>4.8323604528273792E-2</v>
      </c>
      <c r="O352" s="3">
        <f t="shared" si="359"/>
        <v>4.83235534400457E-2</v>
      </c>
      <c r="P352" s="3">
        <f t="shared" si="359"/>
        <v>4.8323042560735309E-2</v>
      </c>
      <c r="Q352" s="3">
        <f t="shared" si="359"/>
        <v>4.8317934064679498E-2</v>
      </c>
      <c r="R352" s="3">
        <f t="shared" si="359"/>
        <v>4.8266878797308552E-2</v>
      </c>
      <c r="S352" s="3">
        <f t="shared" si="359"/>
        <v>4.7759283860059634E-2</v>
      </c>
      <c r="T352" s="3">
        <f t="shared" si="359"/>
        <v>4.2967858357399462E-2</v>
      </c>
      <c r="U352" s="3">
        <f t="shared" si="359"/>
        <v>1.4928037755358775E-2</v>
      </c>
      <c r="V352" s="3">
        <f t="shared" si="359"/>
        <v>3.824660543692E-7</v>
      </c>
      <c r="W352" s="3">
        <f t="shared" si="359"/>
        <v>4.6611663561124829E-53</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1.4844365312015322E-2</v>
      </c>
      <c r="C353" s="3">
        <f t="shared" si="360"/>
        <v>1.4844365312015322E-2</v>
      </c>
      <c r="D353" s="3">
        <f t="shared" si="360"/>
        <v>1.4844365312015322E-2</v>
      </c>
      <c r="E353" s="3">
        <f t="shared" si="360"/>
        <v>1.4844365312015322E-2</v>
      </c>
      <c r="F353" s="3">
        <f t="shared" si="360"/>
        <v>1.484436531201532E-2</v>
      </c>
      <c r="G353" s="3">
        <f t="shared" si="360"/>
        <v>1.4844365312015304E-2</v>
      </c>
      <c r="H353" s="3">
        <f t="shared" si="360"/>
        <v>1.4844365312015146E-2</v>
      </c>
      <c r="I353" s="3">
        <f t="shared" si="360"/>
        <v>1.4844365312013578E-2</v>
      </c>
      <c r="J353" s="3">
        <f t="shared" si="360"/>
        <v>1.4844365311997884E-2</v>
      </c>
      <c r="K353" s="3">
        <f t="shared" si="360"/>
        <v>1.4844365311840947E-2</v>
      </c>
      <c r="L353" s="3">
        <f t="shared" si="360"/>
        <v>1.4844365310271584E-2</v>
      </c>
      <c r="M353" s="3">
        <f t="shared" si="360"/>
        <v>1.4844365294577956E-2</v>
      </c>
      <c r="N353" s="3">
        <f t="shared" si="360"/>
        <v>1.4844365137641667E-2</v>
      </c>
      <c r="O353" s="3">
        <f t="shared" si="360"/>
        <v>1.4844363568278868E-2</v>
      </c>
      <c r="P353" s="3">
        <f t="shared" si="360"/>
        <v>1.4844347874659996E-2</v>
      </c>
      <c r="Q353" s="3">
        <f t="shared" si="360"/>
        <v>1.484419093938381E-2</v>
      </c>
      <c r="R353" s="3">
        <f t="shared" si="360"/>
        <v>1.4842621677871143E-2</v>
      </c>
      <c r="S353" s="3">
        <f t="shared" si="360"/>
        <v>1.4826938184093551E-2</v>
      </c>
      <c r="T353" s="3">
        <f t="shared" si="360"/>
        <v>1.4671011823312001E-2</v>
      </c>
      <c r="U353" s="3">
        <f t="shared" si="360"/>
        <v>1.3199150134472214E-2</v>
      </c>
      <c r="V353" s="3">
        <f t="shared" si="360"/>
        <v>4.5856930989467953E-3</v>
      </c>
      <c r="W353" s="3">
        <f t="shared" si="360"/>
        <v>1.1748844522265868E-7</v>
      </c>
      <c r="X353" s="3">
        <f t="shared" si="360"/>
        <v>1.4318478250495476E-53</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1.5641900970231219E-2</v>
      </c>
      <c r="C354" s="3">
        <f t="shared" si="361"/>
        <v>1.5641900970231219E-2</v>
      </c>
      <c r="D354" s="3">
        <f t="shared" si="361"/>
        <v>1.5641900970231219E-2</v>
      </c>
      <c r="E354" s="3">
        <f t="shared" si="361"/>
        <v>1.5641900970231219E-2</v>
      </c>
      <c r="F354" s="3">
        <f t="shared" si="361"/>
        <v>1.5641900970231219E-2</v>
      </c>
      <c r="G354" s="3">
        <f t="shared" si="361"/>
        <v>1.5641900970231215E-2</v>
      </c>
      <c r="H354" s="3">
        <f t="shared" si="361"/>
        <v>1.5641900970231198E-2</v>
      </c>
      <c r="I354" s="3">
        <f t="shared" si="361"/>
        <v>1.5641900970231035E-2</v>
      </c>
      <c r="J354" s="3">
        <f t="shared" si="361"/>
        <v>1.564190097022938E-2</v>
      </c>
      <c r="K354" s="3">
        <f t="shared" si="361"/>
        <v>1.5641900970212844E-2</v>
      </c>
      <c r="L354" s="3">
        <f t="shared" si="361"/>
        <v>1.5641900970047477E-2</v>
      </c>
      <c r="M354" s="3">
        <f t="shared" si="361"/>
        <v>1.5641900968393796E-2</v>
      </c>
      <c r="N354" s="3">
        <f t="shared" si="361"/>
        <v>1.5641900951857003E-2</v>
      </c>
      <c r="O354" s="3">
        <f t="shared" si="361"/>
        <v>1.5641900786489079E-2</v>
      </c>
      <c r="P354" s="3">
        <f t="shared" si="361"/>
        <v>1.5641899132809924E-2</v>
      </c>
      <c r="Q354" s="3">
        <f t="shared" si="361"/>
        <v>1.564188259602798E-2</v>
      </c>
      <c r="R354" s="3">
        <f t="shared" si="361"/>
        <v>1.5641717229170102E-2</v>
      </c>
      <c r="S354" s="3">
        <f t="shared" si="361"/>
        <v>1.5640063656743017E-2</v>
      </c>
      <c r="T354" s="3">
        <f t="shared" si="361"/>
        <v>1.562353754387932E-2</v>
      </c>
      <c r="U354" s="3">
        <f t="shared" si="361"/>
        <v>1.5459233806890349E-2</v>
      </c>
      <c r="V354" s="3">
        <f t="shared" si="361"/>
        <v>1.3908294154382999E-2</v>
      </c>
      <c r="W354" s="3">
        <f t="shared" si="361"/>
        <v>4.832066297609885E-3</v>
      </c>
      <c r="X354" s="3">
        <f t="shared" si="361"/>
        <v>1.2380068710864702E-7</v>
      </c>
      <c r="Y354" s="3">
        <f t="shared" si="361"/>
        <v>1.5087759842273318E-53</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1.5176002473828224E-3</v>
      </c>
      <c r="C355" s="3">
        <f t="shared" si="362"/>
        <v>1.5176002473828224E-3</v>
      </c>
      <c r="D355" s="3">
        <f t="shared" si="362"/>
        <v>1.5176002473828224E-3</v>
      </c>
      <c r="E355" s="3">
        <f t="shared" si="362"/>
        <v>1.5176002473828224E-3</v>
      </c>
      <c r="F355" s="3">
        <f t="shared" si="362"/>
        <v>1.5176002473828224E-3</v>
      </c>
      <c r="G355" s="3">
        <f t="shared" si="362"/>
        <v>1.5176002473828224E-3</v>
      </c>
      <c r="H355" s="3">
        <f t="shared" si="362"/>
        <v>1.5176002473828222E-3</v>
      </c>
      <c r="I355" s="3">
        <f t="shared" si="362"/>
        <v>1.5176002473828204E-3</v>
      </c>
      <c r="J355" s="3">
        <f t="shared" si="362"/>
        <v>1.5176002473828046E-3</v>
      </c>
      <c r="K355" s="3">
        <f t="shared" si="362"/>
        <v>1.5176002473826441E-3</v>
      </c>
      <c r="L355" s="3">
        <f t="shared" si="362"/>
        <v>1.5176002473810395E-3</v>
      </c>
      <c r="M355" s="3">
        <f t="shared" si="362"/>
        <v>1.5176002473649955E-3</v>
      </c>
      <c r="N355" s="3">
        <f t="shared" si="362"/>
        <v>1.5176002472045531E-3</v>
      </c>
      <c r="O355" s="3">
        <f t="shared" si="362"/>
        <v>1.517600245600129E-3</v>
      </c>
      <c r="P355" s="3">
        <f t="shared" si="362"/>
        <v>1.5176002295558897E-3</v>
      </c>
      <c r="Q355" s="3">
        <f t="shared" si="362"/>
        <v>1.5176000691135049E-3</v>
      </c>
      <c r="R355" s="3">
        <f t="shared" si="362"/>
        <v>1.5175984646905887E-3</v>
      </c>
      <c r="S355" s="3">
        <f t="shared" si="362"/>
        <v>1.5175824205547193E-3</v>
      </c>
      <c r="T355" s="3">
        <f t="shared" si="362"/>
        <v>1.5174219885248025E-3</v>
      </c>
      <c r="U355" s="3">
        <f t="shared" si="362"/>
        <v>1.5158186007384999E-3</v>
      </c>
      <c r="V355" s="3">
        <f t="shared" si="362"/>
        <v>1.4998776104218543E-3</v>
      </c>
      <c r="W355" s="3">
        <f t="shared" si="362"/>
        <v>1.3494031633069913E-3</v>
      </c>
      <c r="X355" s="3">
        <f t="shared" si="362"/>
        <v>4.6881418202167287E-4</v>
      </c>
      <c r="Y355" s="3">
        <f t="shared" si="362"/>
        <v>1.2011324821695816E-8</v>
      </c>
      <c r="Z355" s="3">
        <f t="shared" si="362"/>
        <v>1.4638366597936678E-54</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3.5883218113444658E-3</v>
      </c>
      <c r="C356" s="3">
        <f t="shared" si="363"/>
        <v>3.5883218113444658E-3</v>
      </c>
      <c r="D356" s="3">
        <f t="shared" si="363"/>
        <v>3.5883218113444658E-3</v>
      </c>
      <c r="E356" s="3">
        <f t="shared" si="363"/>
        <v>3.5883218113444658E-3</v>
      </c>
      <c r="F356" s="3">
        <f t="shared" si="363"/>
        <v>3.5883218113444658E-3</v>
      </c>
      <c r="G356" s="3">
        <f t="shared" si="363"/>
        <v>3.5883218113444658E-3</v>
      </c>
      <c r="H356" s="3">
        <f t="shared" si="363"/>
        <v>3.5883218113444658E-3</v>
      </c>
      <c r="I356" s="3">
        <f t="shared" si="363"/>
        <v>3.5883218113444654E-3</v>
      </c>
      <c r="J356" s="3">
        <f t="shared" si="363"/>
        <v>3.5883218113444615E-3</v>
      </c>
      <c r="K356" s="3">
        <f t="shared" si="363"/>
        <v>3.5883218113444237E-3</v>
      </c>
      <c r="L356" s="3">
        <f t="shared" si="363"/>
        <v>3.5883218113440443E-3</v>
      </c>
      <c r="M356" s="3">
        <f t="shared" si="363"/>
        <v>3.5883218113402504E-3</v>
      </c>
      <c r="N356" s="3">
        <f t="shared" si="363"/>
        <v>3.5883218113023146E-3</v>
      </c>
      <c r="O356" s="3">
        <f t="shared" si="363"/>
        <v>3.5883218109229531E-3</v>
      </c>
      <c r="P356" s="3">
        <f t="shared" si="363"/>
        <v>3.5883218071293388E-3</v>
      </c>
      <c r="Q356" s="3">
        <f t="shared" si="363"/>
        <v>3.5883217691931998E-3</v>
      </c>
      <c r="R356" s="3">
        <f t="shared" si="363"/>
        <v>3.5883213898318298E-3</v>
      </c>
      <c r="S356" s="3">
        <f t="shared" si="363"/>
        <v>3.5883175962203341E-3</v>
      </c>
      <c r="T356" s="3">
        <f t="shared" si="363"/>
        <v>3.5882796603259617E-3</v>
      </c>
      <c r="U356" s="3">
        <f t="shared" si="363"/>
        <v>3.5879003234398606E-3</v>
      </c>
      <c r="V356" s="3">
        <f t="shared" si="363"/>
        <v>3.5841091594784975E-3</v>
      </c>
      <c r="W356" s="3">
        <f t="shared" si="363"/>
        <v>3.5464171497768013E-3</v>
      </c>
      <c r="X356" s="3">
        <f t="shared" si="363"/>
        <v>3.1906246796823646E-3</v>
      </c>
      <c r="Y356" s="3">
        <f t="shared" si="363"/>
        <v>1.1084975491517733E-3</v>
      </c>
      <c r="Z356" s="3">
        <f t="shared" si="363"/>
        <v>2.8400429503858635E-8</v>
      </c>
      <c r="AA356" s="3">
        <f t="shared" si="363"/>
        <v>3.4611993663297172E-54</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1.1419429769572463E-2</v>
      </c>
      <c r="C357" s="3">
        <f t="shared" si="364"/>
        <v>1.1419429769572463E-2</v>
      </c>
      <c r="D357" s="3">
        <f t="shared" si="364"/>
        <v>1.1419429769572463E-2</v>
      </c>
      <c r="E357" s="3">
        <f t="shared" si="364"/>
        <v>1.1419429769572463E-2</v>
      </c>
      <c r="F357" s="3">
        <f t="shared" si="364"/>
        <v>1.1419429769572463E-2</v>
      </c>
      <c r="G357" s="3">
        <f t="shared" si="364"/>
        <v>1.1419429769572463E-2</v>
      </c>
      <c r="H357" s="3">
        <f t="shared" si="364"/>
        <v>1.1419429769572463E-2</v>
      </c>
      <c r="I357" s="3">
        <f t="shared" si="364"/>
        <v>1.1419429769572463E-2</v>
      </c>
      <c r="J357" s="3">
        <f t="shared" si="364"/>
        <v>1.1419429769572461E-2</v>
      </c>
      <c r="K357" s="3">
        <f t="shared" si="364"/>
        <v>1.1419429769572449E-2</v>
      </c>
      <c r="L357" s="3">
        <f t="shared" si="364"/>
        <v>1.141942976957233E-2</v>
      </c>
      <c r="M357" s="3">
        <f t="shared" si="364"/>
        <v>1.1419429769571122E-2</v>
      </c>
      <c r="N357" s="3">
        <f t="shared" si="364"/>
        <v>1.1419429769559048E-2</v>
      </c>
      <c r="O357" s="3">
        <f t="shared" si="364"/>
        <v>1.141942976943832E-2</v>
      </c>
      <c r="P357" s="3">
        <f t="shared" si="364"/>
        <v>1.1419429768231047E-2</v>
      </c>
      <c r="Q357" s="3">
        <f t="shared" si="364"/>
        <v>1.1419429756158297E-2</v>
      </c>
      <c r="R357" s="3">
        <f t="shared" si="364"/>
        <v>1.141942963543081E-2</v>
      </c>
      <c r="S357" s="3">
        <f t="shared" si="364"/>
        <v>1.1419428428156003E-2</v>
      </c>
      <c r="T357" s="3">
        <f t="shared" si="364"/>
        <v>1.1419416355414949E-2</v>
      </c>
      <c r="U357" s="3">
        <f t="shared" si="364"/>
        <v>1.1419295628706388E-2</v>
      </c>
      <c r="V357" s="3">
        <f t="shared" si="364"/>
        <v>1.1418088431816706E-2</v>
      </c>
      <c r="W357" s="3">
        <f t="shared" si="364"/>
        <v>1.1406023479764509E-2</v>
      </c>
      <c r="X357" s="3">
        <f t="shared" si="364"/>
        <v>1.1286072906685532E-2</v>
      </c>
      <c r="Y357" s="3">
        <f t="shared" si="364"/>
        <v>1.0153803467545169E-2</v>
      </c>
      <c r="Z357" s="3">
        <f t="shared" si="364"/>
        <v>3.5276685252315881E-3</v>
      </c>
      <c r="AA357" s="3">
        <f t="shared" si="364"/>
        <v>9.0381166237565809E-8</v>
      </c>
      <c r="AB357" s="3">
        <f t="shared" si="364"/>
        <v>1.1014876914699519E-53</v>
      </c>
      <c r="AC357" s="3">
        <f t="shared" si="364"/>
        <v>0</v>
      </c>
      <c r="AD357" s="3">
        <f t="shared" si="364"/>
        <v>0</v>
      </c>
      <c r="AE357" s="3">
        <f t="shared" si="364"/>
        <v>0</v>
      </c>
      <c r="AF357" s="3">
        <f t="shared" si="364"/>
        <v>0</v>
      </c>
      <c r="AG357" s="3"/>
      <c r="AH357" s="3"/>
    </row>
    <row r="358" spans="1:34" x14ac:dyDescent="0.25">
      <c r="A358" s="80">
        <f>AVERAGE(B358:AF358)</f>
        <v>4.1770161274383988E-2</v>
      </c>
      <c r="B358" s="81">
        <f>IF($A$64&lt;=B324,IF($B$64&gt;=B324,ABS((B326-B325)/B325),0),0)</f>
        <v>2.716849508563427E-3</v>
      </c>
      <c r="C358" s="81">
        <f t="shared" ref="C358:AF358" si="365">IF($A$64&lt;=C324,IF($B$64&gt;=C324,ABS((C326-C325)/C325),0),0)</f>
        <v>6.4398509776485181E-3</v>
      </c>
      <c r="D358" s="81">
        <f t="shared" si="365"/>
        <v>7.6988133609213307E-3</v>
      </c>
      <c r="E358" s="81">
        <f t="shared" si="365"/>
        <v>9.6620221000730047E-3</v>
      </c>
      <c r="F358" s="81">
        <f t="shared" si="365"/>
        <v>1.1156173557359822E-2</v>
      </c>
      <c r="G358" s="81">
        <f t="shared" si="365"/>
        <v>1.0419186413727115E-2</v>
      </c>
      <c r="H358" s="81">
        <f t="shared" si="365"/>
        <v>9.3287696336145677E-3</v>
      </c>
      <c r="I358" s="81">
        <f t="shared" si="365"/>
        <v>9.9338339902602813E-3</v>
      </c>
      <c r="J358" s="81">
        <f t="shared" si="365"/>
        <v>8.0038683634640409E-3</v>
      </c>
      <c r="K358" s="81">
        <f t="shared" si="365"/>
        <v>1.6968733415755953E-3</v>
      </c>
      <c r="L358" s="81">
        <f t="shared" si="365"/>
        <v>1.0429050292053403E-2</v>
      </c>
      <c r="M358" s="81">
        <f t="shared" si="365"/>
        <v>2.1016242540048441E-2</v>
      </c>
      <c r="N358" s="81">
        <f t="shared" si="365"/>
        <v>2.9200773063779377E-2</v>
      </c>
      <c r="O358" s="81">
        <f t="shared" si="365"/>
        <v>3.3842847451923841E-2</v>
      </c>
      <c r="P358" s="81">
        <f t="shared" si="365"/>
        <v>2.9250876524422886E-2</v>
      </c>
      <c r="Q358" s="81">
        <f t="shared" si="365"/>
        <v>2.5854009781289357E-2</v>
      </c>
      <c r="R358" s="81">
        <f t="shared" si="365"/>
        <v>3.3200908367804738E-3</v>
      </c>
      <c r="S358" s="81">
        <f t="shared" si="365"/>
        <v>1.6233579563514119E-2</v>
      </c>
      <c r="T358" s="81">
        <f t="shared" si="365"/>
        <v>3.9537870225089956E-2</v>
      </c>
      <c r="U358" s="81">
        <f t="shared" si="365"/>
        <v>3.3649079285636964E-2</v>
      </c>
      <c r="V358" s="81">
        <f t="shared" si="365"/>
        <v>3.2516894504476292E-2</v>
      </c>
      <c r="W358" s="81">
        <f t="shared" si="365"/>
        <v>1.2915679154582037E-2</v>
      </c>
      <c r="X358" s="81">
        <f t="shared" si="365"/>
        <v>9.7152807902947079E-3</v>
      </c>
      <c r="Y358" s="81">
        <f t="shared" si="365"/>
        <v>1.9075390093686651E-3</v>
      </c>
      <c r="Z358" s="81">
        <f t="shared" si="365"/>
        <v>0.12462248166143763</v>
      </c>
      <c r="AA358" s="81">
        <f t="shared" si="365"/>
        <v>0.18675131832364195</v>
      </c>
      <c r="AB358" s="81">
        <f t="shared" si="365"/>
        <v>0.14764466161316042</v>
      </c>
      <c r="AC358" s="81">
        <f t="shared" si="365"/>
        <v>0.11792194850194047</v>
      </c>
      <c r="AD358" s="81">
        <f t="shared" si="365"/>
        <v>0.11422376016249901</v>
      </c>
      <c r="AE358" s="81">
        <f t="shared" si="365"/>
        <v>0.11382335918011846</v>
      </c>
      <c r="AF358" s="81">
        <f t="shared" si="365"/>
        <v>0.11344141579263765</v>
      </c>
    </row>
    <row r="359" spans="1:34" x14ac:dyDescent="0.25">
      <c r="B359" s="21">
        <f>(B326-B325)^2</f>
        <v>153.92806052724313</v>
      </c>
      <c r="C359" s="21">
        <f t="shared" ref="C359:AF359" si="366">(C326-C325)^2</f>
        <v>791.22649290747847</v>
      </c>
      <c r="D359" s="21">
        <f t="shared" si="366"/>
        <v>1051.4100216558245</v>
      </c>
      <c r="E359" s="21">
        <f t="shared" si="366"/>
        <v>1520.0161651848273</v>
      </c>
      <c r="F359" s="21">
        <f t="shared" si="366"/>
        <v>1822.8191174996075</v>
      </c>
      <c r="G359" s="21">
        <f t="shared" si="366"/>
        <v>1422.7314992884644</v>
      </c>
      <c r="H359" s="21">
        <f t="shared" si="366"/>
        <v>1033.7996091197529</v>
      </c>
      <c r="I359" s="21">
        <f t="shared" si="366"/>
        <v>1063.9424886943773</v>
      </c>
      <c r="J359" s="21">
        <f t="shared" si="366"/>
        <v>626.06572454046727</v>
      </c>
      <c r="K359" s="21">
        <f t="shared" si="366"/>
        <v>25.414522538104279</v>
      </c>
      <c r="L359" s="21">
        <f t="shared" si="366"/>
        <v>861.85033929697454</v>
      </c>
      <c r="M359" s="21">
        <f t="shared" si="366"/>
        <v>3081.8028506615037</v>
      </c>
      <c r="N359" s="21">
        <f t="shared" si="366"/>
        <v>5114.8317052735792</v>
      </c>
      <c r="O359" s="21">
        <f t="shared" si="366"/>
        <v>5725.4458631243824</v>
      </c>
      <c r="P359" s="21">
        <f t="shared" si="366"/>
        <v>3399.6849125889712</v>
      </c>
      <c r="Q359" s="21">
        <f t="shared" si="366"/>
        <v>1949.7808948804927</v>
      </c>
      <c r="R359" s="21">
        <f t="shared" si="366"/>
        <v>21.083276260459868</v>
      </c>
      <c r="S359" s="21">
        <f t="shared" si="366"/>
        <v>287.99225010373175</v>
      </c>
      <c r="T359" s="21">
        <f t="shared" si="366"/>
        <v>864.16007305813287</v>
      </c>
      <c r="U359" s="21">
        <f t="shared" si="366"/>
        <v>305.57005365592994</v>
      </c>
      <c r="V359" s="21">
        <f t="shared" si="366"/>
        <v>155.51932954035732</v>
      </c>
      <c r="W359" s="21">
        <f t="shared" si="366"/>
        <v>16.458136150854898</v>
      </c>
      <c r="X359" s="21">
        <f t="shared" si="366"/>
        <v>7.4364827201014467</v>
      </c>
      <c r="Y359" s="21">
        <f t="shared" si="366"/>
        <v>0.2502310958521356</v>
      </c>
      <c r="Z359" s="21">
        <f t="shared" si="366"/>
        <v>974.85921019257921</v>
      </c>
      <c r="AA359" s="21">
        <f t="shared" si="366"/>
        <v>2099.0145338118386</v>
      </c>
      <c r="AB359" s="21">
        <f t="shared" si="366"/>
        <v>1194.3366142106092</v>
      </c>
      <c r="AC359" s="21">
        <f t="shared" si="366"/>
        <v>711.39020597423121</v>
      </c>
      <c r="AD359" s="21">
        <f t="shared" si="366"/>
        <v>661.90775943045344</v>
      </c>
      <c r="AE359" s="21">
        <f t="shared" si="366"/>
        <v>656.68155924003895</v>
      </c>
      <c r="AF359" s="21">
        <f t="shared" si="366"/>
        <v>651.71995289752192</v>
      </c>
      <c r="AG359" s="3"/>
      <c r="AH359" s="3"/>
    </row>
    <row r="360" spans="1:34" x14ac:dyDescent="0.25">
      <c r="A360" s="72">
        <f>SUM(B360:AF360)</f>
        <v>38253.129936124751</v>
      </c>
      <c r="B360" s="60">
        <f>IF($A$64&lt;=B324,IF($B$64&gt;=B324,ABS(B359),0),0)</f>
        <v>153.92806052724313</v>
      </c>
      <c r="C360" s="60">
        <f t="shared" ref="C360:AF360" si="367">IF($A$64&lt;=C324,IF($B$64&gt;=C324,ABS(C359),0),0)</f>
        <v>791.22649290747847</v>
      </c>
      <c r="D360" s="60">
        <f t="shared" si="367"/>
        <v>1051.4100216558245</v>
      </c>
      <c r="E360" s="60">
        <f t="shared" si="367"/>
        <v>1520.0161651848273</v>
      </c>
      <c r="F360" s="60">
        <f t="shared" si="367"/>
        <v>1822.8191174996075</v>
      </c>
      <c r="G360" s="60">
        <f t="shared" si="367"/>
        <v>1422.7314992884644</v>
      </c>
      <c r="H360" s="60">
        <f t="shared" si="367"/>
        <v>1033.7996091197529</v>
      </c>
      <c r="I360" s="60">
        <f t="shared" si="367"/>
        <v>1063.9424886943773</v>
      </c>
      <c r="J360" s="60">
        <f t="shared" si="367"/>
        <v>626.06572454046727</v>
      </c>
      <c r="K360" s="60">
        <f t="shared" si="367"/>
        <v>25.414522538104279</v>
      </c>
      <c r="L360" s="60">
        <f t="shared" si="367"/>
        <v>861.85033929697454</v>
      </c>
      <c r="M360" s="60">
        <f t="shared" si="367"/>
        <v>3081.8028506615037</v>
      </c>
      <c r="N360" s="60">
        <f t="shared" si="367"/>
        <v>5114.8317052735792</v>
      </c>
      <c r="O360" s="60">
        <f t="shared" si="367"/>
        <v>5725.4458631243824</v>
      </c>
      <c r="P360" s="60">
        <f t="shared" si="367"/>
        <v>3399.6849125889712</v>
      </c>
      <c r="Q360" s="60">
        <f t="shared" si="367"/>
        <v>1949.7808948804927</v>
      </c>
      <c r="R360" s="60">
        <f t="shared" si="367"/>
        <v>21.083276260459868</v>
      </c>
      <c r="S360" s="60">
        <f t="shared" si="367"/>
        <v>287.99225010373175</v>
      </c>
      <c r="T360" s="60">
        <f t="shared" si="367"/>
        <v>864.16007305813287</v>
      </c>
      <c r="U360" s="60">
        <f t="shared" si="367"/>
        <v>305.57005365592994</v>
      </c>
      <c r="V360" s="60">
        <f t="shared" si="367"/>
        <v>155.51932954035732</v>
      </c>
      <c r="W360" s="60">
        <f t="shared" si="367"/>
        <v>16.458136150854898</v>
      </c>
      <c r="X360" s="60">
        <f t="shared" si="367"/>
        <v>7.4364827201014467</v>
      </c>
      <c r="Y360" s="60">
        <f t="shared" si="367"/>
        <v>0.2502310958521356</v>
      </c>
      <c r="Z360" s="60">
        <f t="shared" si="367"/>
        <v>974.85921019257921</v>
      </c>
      <c r="AA360" s="60">
        <f t="shared" si="367"/>
        <v>2099.0145338118386</v>
      </c>
      <c r="AB360" s="60">
        <f t="shared" si="367"/>
        <v>1194.3366142106092</v>
      </c>
      <c r="AC360" s="60">
        <f t="shared" si="367"/>
        <v>711.39020597423121</v>
      </c>
      <c r="AD360" s="60">
        <f t="shared" si="367"/>
        <v>661.90775943045344</v>
      </c>
      <c r="AE360" s="60">
        <f t="shared" si="367"/>
        <v>656.68155924003895</v>
      </c>
      <c r="AF360" s="60">
        <f t="shared" si="367"/>
        <v>651.71995289752192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1" t="s">
        <v>22</v>
      </c>
      <c r="B365" s="27">
        <f>($C$17+SUM(B366:B396))*$B$51</f>
        <v>3451.6440747026745</v>
      </c>
      <c r="C365" s="27">
        <f t="shared" ref="C365:AF365" si="368">($C$17+SUM(C366:C396))*$B$51</f>
        <v>3288.103383373872</v>
      </c>
      <c r="D365" s="27">
        <f t="shared" si="368"/>
        <v>3123.8835257405935</v>
      </c>
      <c r="E365" s="27">
        <f t="shared" si="368"/>
        <v>2945.4351215946294</v>
      </c>
      <c r="F365" s="27">
        <f t="shared" si="368"/>
        <v>2755.5700039625585</v>
      </c>
      <c r="G365" s="27">
        <f t="shared" si="368"/>
        <v>2553.9763609784472</v>
      </c>
      <c r="H365" s="27">
        <f t="shared" si="368"/>
        <v>2348.4590467879862</v>
      </c>
      <c r="I365" s="27">
        <f t="shared" si="368"/>
        <v>2124.4971206821197</v>
      </c>
      <c r="J365" s="27">
        <f t="shared" si="368"/>
        <v>1913.5894770190769</v>
      </c>
      <c r="K365" s="27">
        <f t="shared" si="368"/>
        <v>1603.2582491437106</v>
      </c>
      <c r="L365" s="27">
        <f t="shared" si="368"/>
        <v>1347.5949792276565</v>
      </c>
      <c r="M365" s="27">
        <f t="shared" si="368"/>
        <v>1000.46183268178</v>
      </c>
      <c r="N365" s="27">
        <f t="shared" si="368"/>
        <v>734.00902008060393</v>
      </c>
      <c r="O365" s="27">
        <f t="shared" si="368"/>
        <v>500.48239379834155</v>
      </c>
      <c r="P365" s="27">
        <f t="shared" si="368"/>
        <v>382.20213971758642</v>
      </c>
      <c r="Q365" s="27">
        <f t="shared" si="368"/>
        <v>307.14424730066787</v>
      </c>
      <c r="R365" s="27">
        <f t="shared" si="368"/>
        <v>281.22781777262293</v>
      </c>
      <c r="S365" s="27">
        <f t="shared" si="368"/>
        <v>257.59403863095207</v>
      </c>
      <c r="T365" s="27">
        <f t="shared" si="368"/>
        <v>211.6326933415875</v>
      </c>
      <c r="U365" s="27">
        <f t="shared" si="368"/>
        <v>199.51075775632023</v>
      </c>
      <c r="V365" s="27">
        <f t="shared" si="368"/>
        <v>199.51075401213504</v>
      </c>
      <c r="W365" s="27">
        <f t="shared" si="368"/>
        <v>199.51075401213504</v>
      </c>
      <c r="X365" s="27">
        <f t="shared" si="368"/>
        <v>199.51075401213504</v>
      </c>
      <c r="Y365" s="27">
        <f t="shared" si="368"/>
        <v>199.51075401213504</v>
      </c>
      <c r="Z365" s="27">
        <f t="shared" si="368"/>
        <v>199.51075401213504</v>
      </c>
      <c r="AA365" s="27">
        <f t="shared" si="368"/>
        <v>199.51075401213504</v>
      </c>
      <c r="AB365" s="27">
        <f t="shared" si="368"/>
        <v>199.51075401213504</v>
      </c>
      <c r="AC365" s="27">
        <f t="shared" si="368"/>
        <v>199.51075401213504</v>
      </c>
      <c r="AD365" s="27">
        <f t="shared" si="368"/>
        <v>199.51075401213504</v>
      </c>
      <c r="AE365" s="27">
        <f t="shared" si="368"/>
        <v>199.51075401213504</v>
      </c>
      <c r="AF365" s="27">
        <f t="shared" si="368"/>
        <v>199.51075401213504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2.0742498251301136E-75</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9.9270535520079742E-9</v>
      </c>
      <c r="C377" s="3">
        <f t="shared" si="380"/>
        <v>3.0938180834740364E-68</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7.4080256830037711E-3</v>
      </c>
      <c r="C378" s="3">
        <f t="shared" si="381"/>
        <v>3.1749498229999451E-8</v>
      </c>
      <c r="D378" s="3">
        <f t="shared" si="381"/>
        <v>6.6386646886539637E-62</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2.7617176355776693E-2</v>
      </c>
      <c r="C379" s="3">
        <f t="shared" si="382"/>
        <v>9.0561606448558169E-3</v>
      </c>
      <c r="D379" s="3">
        <f t="shared" si="382"/>
        <v>1.3019447745506966E-7</v>
      </c>
      <c r="E379" s="3">
        <f t="shared" si="382"/>
        <v>4.9099493726735563E-56</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2.9374522325542971E-2</v>
      </c>
      <c r="C380" s="3">
        <f t="shared" si="383"/>
        <v>2.6563712644750419E-2</v>
      </c>
      <c r="D380" s="3">
        <f t="shared" si="383"/>
        <v>9.7155720952075281E-3</v>
      </c>
      <c r="E380" s="3">
        <f t="shared" si="383"/>
        <v>4.161639256008391E-7</v>
      </c>
      <c r="F380" s="3">
        <f t="shared" si="383"/>
        <v>8.6541607526801312E-51</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3.524705175166945E-2</v>
      </c>
      <c r="C381" s="3">
        <f t="shared" si="384"/>
        <v>3.49286912130361E-2</v>
      </c>
      <c r="D381" s="3">
        <f t="shared" si="384"/>
        <v>3.1899030160133561E-2</v>
      </c>
      <c r="E381" s="3">
        <f t="shared" si="384"/>
        <v>1.2874463585461323E-2</v>
      </c>
      <c r="F381" s="3">
        <f t="shared" si="384"/>
        <v>1.4765419259816634E-6</v>
      </c>
      <c r="G381" s="3">
        <f t="shared" si="384"/>
        <v>5.8131587408551116E-46</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3.4984803687990181E-2</v>
      </c>
      <c r="C382" s="3">
        <f t="shared" si="385"/>
        <v>3.4956180796857091E-2</v>
      </c>
      <c r="D382" s="3">
        <f t="shared" si="385"/>
        <v>3.4671236712734844E-2</v>
      </c>
      <c r="E382" s="3">
        <f t="shared" si="385"/>
        <v>3.1946471342755571E-2</v>
      </c>
      <c r="F382" s="3">
        <f t="shared" si="385"/>
        <v>1.4091541833585103E-2</v>
      </c>
      <c r="G382" s="3">
        <f t="shared" si="385"/>
        <v>3.9292956446958059E-6</v>
      </c>
      <c r="H382" s="3">
        <f t="shared" si="385"/>
        <v>1.1165460324657735E-41</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4.0020489754855754E-2</v>
      </c>
      <c r="C383" s="3">
        <f t="shared" si="386"/>
        <v>4.0017534977686502E-2</v>
      </c>
      <c r="D383" s="3">
        <f t="shared" si="386"/>
        <v>3.9987999201914176E-2</v>
      </c>
      <c r="E383" s="3">
        <f t="shared" si="386"/>
        <v>3.9693837765547031E-2</v>
      </c>
      <c r="F383" s="3">
        <f t="shared" si="386"/>
        <v>3.6868650887171318E-2</v>
      </c>
      <c r="G383" s="3">
        <f t="shared" si="386"/>
        <v>1.761971189249455E-2</v>
      </c>
      <c r="H383" s="3">
        <f t="shared" si="386"/>
        <v>1.0950006339957656E-5</v>
      </c>
      <c r="I383" s="3">
        <f t="shared" si="386"/>
        <v>9.4095758827706925E-38</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3.513056620127393E-2</v>
      </c>
      <c r="C384" s="3">
        <f t="shared" si="387"/>
        <v>3.5130332215926235E-2</v>
      </c>
      <c r="D384" s="3">
        <f t="shared" si="387"/>
        <v>3.5127992448162171E-2</v>
      </c>
      <c r="E384" s="3">
        <f t="shared" si="387"/>
        <v>3.5104603339699593E-2</v>
      </c>
      <c r="F384" s="3">
        <f t="shared" si="387"/>
        <v>3.4871567064869824E-2</v>
      </c>
      <c r="G384" s="3">
        <f t="shared" si="387"/>
        <v>3.2624615729548223E-2</v>
      </c>
      <c r="H384" s="3">
        <f t="shared" si="387"/>
        <v>1.6760416742548016E-2</v>
      </c>
      <c r="I384" s="3">
        <f t="shared" si="387"/>
        <v>2.1462430067599387E-5</v>
      </c>
      <c r="J384" s="3">
        <f t="shared" si="387"/>
        <v>2.544601000751482E-34</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5.1976548834024867E-2</v>
      </c>
      <c r="C385" s="3">
        <f t="shared" si="388"/>
        <v>5.1976517604968651E-2</v>
      </c>
      <c r="D385" s="3">
        <f t="shared" si="388"/>
        <v>5.1976205315438485E-2</v>
      </c>
      <c r="E385" s="3">
        <f t="shared" si="388"/>
        <v>5.19730825233327E-2</v>
      </c>
      <c r="F385" s="3">
        <f t="shared" si="388"/>
        <v>5.1941864919573276E-2</v>
      </c>
      <c r="G385" s="3">
        <f t="shared" si="388"/>
        <v>5.1630718321887197E-2</v>
      </c>
      <c r="H385" s="3">
        <f t="shared" si="388"/>
        <v>4.8619944132756596E-2</v>
      </c>
      <c r="I385" s="3">
        <f t="shared" si="388"/>
        <v>2.6661055400581897E-2</v>
      </c>
      <c r="J385" s="3">
        <f t="shared" si="388"/>
        <v>6.5539957573984757E-5</v>
      </c>
      <c r="K385" s="3">
        <f t="shared" si="388"/>
        <v>5.2819506803049176E-31</v>
      </c>
      <c r="L385" s="3">
        <f t="shared" si="388"/>
        <v>6.104866898127273E-292</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2.3181635168778005E-6</v>
      </c>
      <c r="C386" s="3">
        <f t="shared" si="389"/>
        <v>2.3181633912336726E-6</v>
      </c>
      <c r="D386" s="3">
        <f t="shared" si="389"/>
        <v>2.3181621347927684E-6</v>
      </c>
      <c r="E386" s="3">
        <f t="shared" si="389"/>
        <v>2.3181495704211815E-6</v>
      </c>
      <c r="F386" s="3">
        <f t="shared" si="389"/>
        <v>2.3180239304506697E-6</v>
      </c>
      <c r="G386" s="3">
        <f t="shared" si="389"/>
        <v>2.3167679052062791E-6</v>
      </c>
      <c r="H386" s="3">
        <f t="shared" si="389"/>
        <v>2.3042450238495641E-6</v>
      </c>
      <c r="I386" s="3">
        <f t="shared" si="389"/>
        <v>2.182679449335108E-6</v>
      </c>
      <c r="J386" s="3">
        <f t="shared" si="389"/>
        <v>1.2694130859431091E-6</v>
      </c>
      <c r="K386" s="3">
        <f t="shared" si="389"/>
        <v>5.61995821534547E-9</v>
      </c>
      <c r="L386" s="3">
        <f t="shared" si="389"/>
        <v>1.6256769290978944E-32</v>
      </c>
      <c r="M386" s="3">
        <f t="shared" si="389"/>
        <v>6.6687709515876487E-268</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7.5767559435084494E-2</v>
      </c>
      <c r="C387" s="3">
        <f t="shared" si="390"/>
        <v>7.5767558299304288E-2</v>
      </c>
      <c r="D387" s="3">
        <f t="shared" si="390"/>
        <v>7.5767546941503089E-2</v>
      </c>
      <c r="E387" s="3">
        <f t="shared" si="390"/>
        <v>7.576743336358488E-2</v>
      </c>
      <c r="F387" s="3">
        <f t="shared" si="390"/>
        <v>7.5766297593766713E-2</v>
      </c>
      <c r="G387" s="3">
        <f t="shared" si="390"/>
        <v>7.5754940831941675E-2</v>
      </c>
      <c r="H387" s="3">
        <f t="shared" si="390"/>
        <v>7.5641466797428072E-2</v>
      </c>
      <c r="I387" s="3">
        <f t="shared" si="390"/>
        <v>7.4516033127974043E-2</v>
      </c>
      <c r="J387" s="3">
        <f t="shared" si="390"/>
        <v>6.4142750607980345E-2</v>
      </c>
      <c r="K387" s="3">
        <f t="shared" si="390"/>
        <v>1.4326038213527532E-2</v>
      </c>
      <c r="L387" s="3">
        <f t="shared" si="390"/>
        <v>4.4249805008291265E-9</v>
      </c>
      <c r="M387" s="3">
        <f t="shared" si="390"/>
        <v>3.4975499156782939E-74</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3.0678759495456214E-2</v>
      </c>
      <c r="C388" s="3">
        <f t="shared" si="391"/>
        <v>3.0678759449467762E-2</v>
      </c>
      <c r="D388" s="3">
        <f t="shared" si="391"/>
        <v>3.0678758989583235E-2</v>
      </c>
      <c r="E388" s="3">
        <f t="shared" si="391"/>
        <v>3.0678754390738385E-2</v>
      </c>
      <c r="F388" s="3">
        <f t="shared" si="391"/>
        <v>3.0678708402327809E-2</v>
      </c>
      <c r="G388" s="3">
        <f t="shared" si="391"/>
        <v>3.067824852201358E-2</v>
      </c>
      <c r="H388" s="3">
        <f t="shared" si="391"/>
        <v>3.0673650098007939E-2</v>
      </c>
      <c r="I388" s="3">
        <f t="shared" si="391"/>
        <v>3.0627703750592775E-2</v>
      </c>
      <c r="J388" s="3">
        <f t="shared" si="391"/>
        <v>3.0172008607725016E-2</v>
      </c>
      <c r="K388" s="3">
        <f t="shared" si="391"/>
        <v>2.5971801533549506E-2</v>
      </c>
      <c r="L388" s="3">
        <f t="shared" si="391"/>
        <v>5.8007026159163731E-3</v>
      </c>
      <c r="M388" s="3">
        <f t="shared" si="391"/>
        <v>1.7917023243942797E-9</v>
      </c>
      <c r="N388" s="3">
        <f t="shared" si="391"/>
        <v>1.4161798707206962E-74</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7.5768782256308467E-2</v>
      </c>
      <c r="C389" s="3">
        <f t="shared" si="392"/>
        <v>7.5768782244950483E-2</v>
      </c>
      <c r="D389" s="3">
        <f t="shared" si="392"/>
        <v>7.5768782131370616E-2</v>
      </c>
      <c r="E389" s="3">
        <f t="shared" si="392"/>
        <v>7.5768780995572077E-2</v>
      </c>
      <c r="F389" s="3">
        <f t="shared" si="392"/>
        <v>7.5768769637587607E-2</v>
      </c>
      <c r="G389" s="3">
        <f t="shared" si="392"/>
        <v>7.5768656057836531E-2</v>
      </c>
      <c r="H389" s="3">
        <f t="shared" si="392"/>
        <v>7.5767520269689928E-2</v>
      </c>
      <c r="I389" s="3">
        <f t="shared" si="392"/>
        <v>7.5756163324595546E-2</v>
      </c>
      <c r="J389" s="3">
        <f t="shared" si="392"/>
        <v>7.5642687458898766E-2</v>
      </c>
      <c r="K389" s="3">
        <f t="shared" si="392"/>
        <v>7.451723562779905E-2</v>
      </c>
      <c r="L389" s="3">
        <f t="shared" si="392"/>
        <v>6.4143785709328924E-2</v>
      </c>
      <c r="M389" s="3">
        <f t="shared" si="392"/>
        <v>1.4326269399457883E-2</v>
      </c>
      <c r="N389" s="3">
        <f t="shared" si="392"/>
        <v>4.4250519087940399E-9</v>
      </c>
      <c r="O389" s="3">
        <f t="shared" si="392"/>
        <v>3.4976063572652253E-74</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3.9961444502393362E-2</v>
      </c>
      <c r="C390" s="3">
        <f t="shared" si="393"/>
        <v>3.9961444501794327E-2</v>
      </c>
      <c r="D390" s="3">
        <f t="shared" si="393"/>
        <v>3.996144449580398E-2</v>
      </c>
      <c r="E390" s="3">
        <f t="shared" si="393"/>
        <v>3.9961444435900481E-2</v>
      </c>
      <c r="F390" s="3">
        <f t="shared" si="393"/>
        <v>3.9961443836865507E-2</v>
      </c>
      <c r="G390" s="3">
        <f t="shared" si="393"/>
        <v>3.9961437846516276E-2</v>
      </c>
      <c r="H390" s="3">
        <f t="shared" si="393"/>
        <v>3.996137794307341E-2</v>
      </c>
      <c r="I390" s="3">
        <f t="shared" si="393"/>
        <v>3.9960778913583496E-2</v>
      </c>
      <c r="J390" s="3">
        <f t="shared" si="393"/>
        <v>3.9954789112539003E-2</v>
      </c>
      <c r="K390" s="3">
        <f t="shared" si="393"/>
        <v>3.9894940460174555E-2</v>
      </c>
      <c r="L390" s="3">
        <f t="shared" si="393"/>
        <v>3.9301362477941783E-2</v>
      </c>
      <c r="M390" s="3">
        <f t="shared" si="393"/>
        <v>3.3830269623277717E-2</v>
      </c>
      <c r="N390" s="3">
        <f t="shared" si="393"/>
        <v>7.5558614309988413E-3</v>
      </c>
      <c r="O390" s="3">
        <f t="shared" si="393"/>
        <v>2.333830121126293E-9</v>
      </c>
      <c r="P390" s="3">
        <f t="shared" si="393"/>
        <v>1.8446832346093328E-74</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4.8323610204738868E-2</v>
      </c>
      <c r="C391" s="3">
        <f t="shared" si="394"/>
        <v>4.8323610204666433E-2</v>
      </c>
      <c r="D391" s="3">
        <f t="shared" si="394"/>
        <v>4.8323610203942047E-2</v>
      </c>
      <c r="E391" s="3">
        <f t="shared" si="394"/>
        <v>4.8323610196698182E-2</v>
      </c>
      <c r="F391" s="3">
        <f t="shared" si="394"/>
        <v>4.8323610124259522E-2</v>
      </c>
      <c r="G391" s="3">
        <f t="shared" si="394"/>
        <v>4.8323609399872985E-2</v>
      </c>
      <c r="H391" s="3">
        <f t="shared" si="394"/>
        <v>4.8323602156008186E-2</v>
      </c>
      <c r="I391" s="3">
        <f t="shared" si="394"/>
        <v>4.8323529717419961E-2</v>
      </c>
      <c r="J391" s="3">
        <f t="shared" si="394"/>
        <v>4.8322805337509975E-2</v>
      </c>
      <c r="K391" s="3">
        <f t="shared" si="394"/>
        <v>4.8315562135606692E-2</v>
      </c>
      <c r="L391" s="3">
        <f t="shared" si="394"/>
        <v>4.8243189803121041E-2</v>
      </c>
      <c r="M391" s="3">
        <f t="shared" si="394"/>
        <v>4.752540216064053E-2</v>
      </c>
      <c r="N391" s="3">
        <f t="shared" si="394"/>
        <v>4.0909451166014001E-2</v>
      </c>
      <c r="O391" s="3">
        <f t="shared" si="394"/>
        <v>9.1369695740150993E-3</v>
      </c>
      <c r="P391" s="3">
        <f t="shared" si="394"/>
        <v>2.8221977073541941E-9</v>
      </c>
      <c r="Q391" s="3">
        <f t="shared" si="394"/>
        <v>2.2306939774163646E-74</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1.4844365312015073E-2</v>
      </c>
      <c r="C392" s="3">
        <f t="shared" si="395"/>
        <v>1.484436531201285E-2</v>
      </c>
      <c r="D392" s="3">
        <f t="shared" si="395"/>
        <v>1.4844365311990598E-2</v>
      </c>
      <c r="E392" s="3">
        <f t="shared" si="395"/>
        <v>1.4844365311768075E-2</v>
      </c>
      <c r="F392" s="3">
        <f t="shared" si="395"/>
        <v>1.4844365309542857E-2</v>
      </c>
      <c r="G392" s="3">
        <f t="shared" si="395"/>
        <v>1.4844365287290674E-2</v>
      </c>
      <c r="H392" s="3">
        <f t="shared" si="395"/>
        <v>1.4844365064768838E-2</v>
      </c>
      <c r="I392" s="3">
        <f t="shared" si="395"/>
        <v>1.4844362839550672E-2</v>
      </c>
      <c r="J392" s="3">
        <f t="shared" si="395"/>
        <v>1.4844340587387355E-2</v>
      </c>
      <c r="K392" s="3">
        <f t="shared" si="395"/>
        <v>1.4844118067588794E-2</v>
      </c>
      <c r="L392" s="3">
        <f t="shared" si="395"/>
        <v>1.4841893053053964E-2</v>
      </c>
      <c r="M392" s="3">
        <f t="shared" si="395"/>
        <v>1.4819661242612903E-2</v>
      </c>
      <c r="N392" s="3">
        <f t="shared" si="395"/>
        <v>1.4599166500264693E-2</v>
      </c>
      <c r="O392" s="3">
        <f t="shared" si="395"/>
        <v>1.2566835036731366E-2</v>
      </c>
      <c r="P392" s="3">
        <f t="shared" si="395"/>
        <v>2.8067545786992073E-3</v>
      </c>
      <c r="Q392" s="3">
        <f t="shared" si="395"/>
        <v>8.6694130618954603E-10</v>
      </c>
      <c r="R392" s="3">
        <f t="shared" si="395"/>
        <v>6.8523928903035888E-75</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1.5641900970231191E-2</v>
      </c>
      <c r="C393" s="3">
        <f t="shared" si="396"/>
        <v>1.5641900970230958E-2</v>
      </c>
      <c r="D393" s="3">
        <f t="shared" si="396"/>
        <v>1.5641900970228613E-2</v>
      </c>
      <c r="E393" s="3">
        <f t="shared" si="396"/>
        <v>1.5641900970205166E-2</v>
      </c>
      <c r="F393" s="3">
        <f t="shared" si="396"/>
        <v>1.5641900969970687E-2</v>
      </c>
      <c r="G393" s="3">
        <f t="shared" si="396"/>
        <v>1.5641900967625917E-2</v>
      </c>
      <c r="H393" s="3">
        <f t="shared" si="396"/>
        <v>1.5641900944178201E-2</v>
      </c>
      <c r="I393" s="3">
        <f t="shared" si="396"/>
        <v>1.5641900709701048E-2</v>
      </c>
      <c r="J393" s="3">
        <f t="shared" si="396"/>
        <v>1.564189836492972E-2</v>
      </c>
      <c r="K393" s="3">
        <f t="shared" si="396"/>
        <v>1.5641874917235753E-2</v>
      </c>
      <c r="L393" s="3">
        <f t="shared" si="396"/>
        <v>1.5641640442229252E-2</v>
      </c>
      <c r="M393" s="3">
        <f t="shared" si="396"/>
        <v>1.5639295885471211E-2</v>
      </c>
      <c r="N393" s="3">
        <f t="shared" si="396"/>
        <v>1.5615869637868254E-2</v>
      </c>
      <c r="O393" s="3">
        <f t="shared" si="396"/>
        <v>1.5383528486746373E-2</v>
      </c>
      <c r="P393" s="3">
        <f t="shared" si="396"/>
        <v>1.3242006985281956E-2</v>
      </c>
      <c r="Q393" s="3">
        <f t="shared" si="396"/>
        <v>2.9575516530989786E-3</v>
      </c>
      <c r="R393" s="3">
        <f t="shared" si="396"/>
        <v>9.1351902040860959E-10</v>
      </c>
      <c r="S393" s="3">
        <f t="shared" si="396"/>
        <v>7.2205479147355673E-75</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1.5176002473828219E-3</v>
      </c>
      <c r="C394" s="3">
        <f t="shared" si="397"/>
        <v>1.5176002473828198E-3</v>
      </c>
      <c r="D394" s="3">
        <f t="shared" si="397"/>
        <v>1.517600247382797E-3</v>
      </c>
      <c r="E394" s="3">
        <f t="shared" si="397"/>
        <v>1.5176002473825695E-3</v>
      </c>
      <c r="F394" s="3">
        <f t="shared" si="397"/>
        <v>1.5176002473802947E-3</v>
      </c>
      <c r="G394" s="3">
        <f t="shared" si="397"/>
        <v>1.5176002473575453E-3</v>
      </c>
      <c r="H394" s="3">
        <f t="shared" si="397"/>
        <v>1.5176002471300523E-3</v>
      </c>
      <c r="I394" s="3">
        <f t="shared" si="397"/>
        <v>1.5176002448551204E-3</v>
      </c>
      <c r="J394" s="3">
        <f t="shared" si="397"/>
        <v>1.5176002221058021E-3</v>
      </c>
      <c r="K394" s="3">
        <f t="shared" si="397"/>
        <v>1.5175999946126376E-3</v>
      </c>
      <c r="L394" s="3">
        <f t="shared" si="397"/>
        <v>1.5175977196828683E-3</v>
      </c>
      <c r="M394" s="3">
        <f t="shared" si="397"/>
        <v>1.5175749705727349E-3</v>
      </c>
      <c r="N394" s="3">
        <f t="shared" si="397"/>
        <v>1.5173474982263251E-3</v>
      </c>
      <c r="O394" s="3">
        <f t="shared" si="397"/>
        <v>1.515074649214868E-3</v>
      </c>
      <c r="P394" s="3">
        <f t="shared" si="397"/>
        <v>1.4925325688698494E-3</v>
      </c>
      <c r="Q394" s="3">
        <f t="shared" si="397"/>
        <v>1.2847590017961799E-3</v>
      </c>
      <c r="R394" s="3">
        <f t="shared" si="397"/>
        <v>2.8694601307938968E-4</v>
      </c>
      <c r="S394" s="3">
        <f t="shared" si="397"/>
        <v>8.8630959497790907E-11</v>
      </c>
      <c r="T394" s="3">
        <f t="shared" si="397"/>
        <v>7.0054818289009019E-76</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3.5883218113444658E-3</v>
      </c>
      <c r="C395" s="3">
        <f t="shared" si="398"/>
        <v>3.5883218113444649E-3</v>
      </c>
      <c r="D395" s="3">
        <f t="shared" si="398"/>
        <v>3.5883218113444597E-3</v>
      </c>
      <c r="E395" s="3">
        <f t="shared" si="398"/>
        <v>3.5883218113444059E-3</v>
      </c>
      <c r="F395" s="3">
        <f t="shared" si="398"/>
        <v>3.5883218113438682E-3</v>
      </c>
      <c r="G395" s="3">
        <f t="shared" si="398"/>
        <v>3.5883218113384892E-3</v>
      </c>
      <c r="H395" s="3">
        <f t="shared" si="398"/>
        <v>3.5883218112846989E-3</v>
      </c>
      <c r="I395" s="3">
        <f t="shared" si="398"/>
        <v>3.588321810746798E-3</v>
      </c>
      <c r="J395" s="3">
        <f t="shared" si="398"/>
        <v>3.5883218053677879E-3</v>
      </c>
      <c r="K395" s="3">
        <f t="shared" si="398"/>
        <v>3.5883217515776836E-3</v>
      </c>
      <c r="L395" s="3">
        <f t="shared" si="398"/>
        <v>3.5883212136766877E-3</v>
      </c>
      <c r="M395" s="3">
        <f t="shared" si="398"/>
        <v>3.5883158346711663E-3</v>
      </c>
      <c r="N395" s="3">
        <f t="shared" si="398"/>
        <v>3.588262045059428E-3</v>
      </c>
      <c r="O395" s="3">
        <f t="shared" si="398"/>
        <v>3.5877241932875219E-3</v>
      </c>
      <c r="P395" s="3">
        <f t="shared" si="398"/>
        <v>3.582350107657417E-3</v>
      </c>
      <c r="Q395" s="3">
        <f t="shared" si="398"/>
        <v>3.5290500118551095E-3</v>
      </c>
      <c r="R395" s="3">
        <f t="shared" si="398"/>
        <v>3.0377754329025536E-3</v>
      </c>
      <c r="S395" s="3">
        <f t="shared" si="398"/>
        <v>6.7847553345276482E-4</v>
      </c>
      <c r="T395" s="3">
        <f t="shared" si="398"/>
        <v>2.0956533558476994E-10</v>
      </c>
      <c r="U395" s="3">
        <f t="shared" si="398"/>
        <v>1.6564258795406783E-75</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1.1419429769572463E-2</v>
      </c>
      <c r="C396" s="3">
        <f t="shared" si="399"/>
        <v>1.1419429769572463E-2</v>
      </c>
      <c r="D396" s="3">
        <f t="shared" si="399"/>
        <v>1.1419429769572461E-2</v>
      </c>
      <c r="E396" s="3">
        <f t="shared" si="399"/>
        <v>1.1419429769572444E-2</v>
      </c>
      <c r="F396" s="3">
        <f t="shared" si="399"/>
        <v>1.1419429769572272E-2</v>
      </c>
      <c r="G396" s="3">
        <f t="shared" si="399"/>
        <v>1.1419429769570562E-2</v>
      </c>
      <c r="H396" s="3">
        <f t="shared" si="399"/>
        <v>1.1419429769553444E-2</v>
      </c>
      <c r="I396" s="3">
        <f t="shared" si="399"/>
        <v>1.1419429769382263E-2</v>
      </c>
      <c r="J396" s="3">
        <f t="shared" si="399"/>
        <v>1.1419429767670453E-2</v>
      </c>
      <c r="K396" s="3">
        <f t="shared" si="399"/>
        <v>1.1419429750552358E-2</v>
      </c>
      <c r="L396" s="3">
        <f t="shared" si="399"/>
        <v>1.1419429579371414E-2</v>
      </c>
      <c r="M396" s="3">
        <f t="shared" si="399"/>
        <v>1.1419427867562115E-2</v>
      </c>
      <c r="N396" s="3">
        <f t="shared" si="399"/>
        <v>1.1419410749483244E-2</v>
      </c>
      <c r="O396" s="3">
        <f t="shared" si="399"/>
        <v>1.1419239570105844E-2</v>
      </c>
      <c r="P396" s="3">
        <f t="shared" si="399"/>
        <v>1.1417527917456323E-2</v>
      </c>
      <c r="Q396" s="3">
        <f t="shared" si="399"/>
        <v>1.1400425495584728E-2</v>
      </c>
      <c r="R396" s="3">
        <f t="shared" si="399"/>
        <v>1.1230803947483423E-2</v>
      </c>
      <c r="S396" s="3">
        <f t="shared" si="399"/>
        <v>9.6673779654021155E-3</v>
      </c>
      <c r="T396" s="3">
        <f t="shared" si="399"/>
        <v>2.1591719226916628E-3</v>
      </c>
      <c r="U396" s="3">
        <f t="shared" si="399"/>
        <v>6.6691806300129948E-10</v>
      </c>
      <c r="V396" s="3">
        <f t="shared" si="399"/>
        <v>5.2713886865208088E-75</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6.3570991711145164E-2</v>
      </c>
      <c r="B397" s="81">
        <f>IF($A$64&lt;=B363,IF($B$64&gt;=B363,ABS((B365-B364)/B364),0),0)</f>
        <v>9.7386255907246652E-4</v>
      </c>
      <c r="C397" s="81">
        <f t="shared" ref="C397:AF397" si="400">IF($A$64&lt;=C363,IF($B$64&gt;=C363,ABS((C365-C364)/C364),0),0)</f>
        <v>1.4974420440877861E-2</v>
      </c>
      <c r="D397" s="81">
        <f t="shared" si="400"/>
        <v>1.3599936367027906E-2</v>
      </c>
      <c r="E397" s="81">
        <f t="shared" si="400"/>
        <v>6.9425074975171764E-3</v>
      </c>
      <c r="F397" s="81">
        <f t="shared" si="400"/>
        <v>4.7342191914186062E-3</v>
      </c>
      <c r="G397" s="81">
        <f t="shared" si="400"/>
        <v>1.3097708484936556E-2</v>
      </c>
      <c r="H397" s="81">
        <f t="shared" si="400"/>
        <v>1.8395180652181854E-2</v>
      </c>
      <c r="I397" s="81">
        <f t="shared" si="400"/>
        <v>2.222273201551727E-2</v>
      </c>
      <c r="J397" s="81">
        <f t="shared" si="400"/>
        <v>7.4560093378744476E-3</v>
      </c>
      <c r="K397" s="81">
        <f t="shared" si="400"/>
        <v>2.4602334752100361E-2</v>
      </c>
      <c r="L397" s="81">
        <f t="shared" si="400"/>
        <v>2.115974729482515E-2</v>
      </c>
      <c r="M397" s="81">
        <f t="shared" si="400"/>
        <v>1.712702851813935E-2</v>
      </c>
      <c r="N397" s="81">
        <f t="shared" si="400"/>
        <v>5.816669729958359E-2</v>
      </c>
      <c r="O397" s="81">
        <f t="shared" si="400"/>
        <v>2.992633097408447E-2</v>
      </c>
      <c r="P397" s="81">
        <f t="shared" si="400"/>
        <v>4.0345794024074302E-2</v>
      </c>
      <c r="Q397" s="81">
        <f t="shared" si="400"/>
        <v>8.9656371895427306E-5</v>
      </c>
      <c r="R397" s="81">
        <f t="shared" si="400"/>
        <v>7.7378615171385789E-3</v>
      </c>
      <c r="S397" s="81">
        <f t="shared" si="400"/>
        <v>1.5583082024736803E-2</v>
      </c>
      <c r="T397" s="81">
        <f t="shared" si="400"/>
        <v>0.15800504735701776</v>
      </c>
      <c r="U397" s="81">
        <f t="shared" si="400"/>
        <v>0.18940684166328298</v>
      </c>
      <c r="V397" s="81">
        <f t="shared" si="400"/>
        <v>0.14116722006664284</v>
      </c>
      <c r="W397" s="81">
        <f t="shared" si="400"/>
        <v>0.12202948730615687</v>
      </c>
      <c r="X397" s="81">
        <f t="shared" si="400"/>
        <v>0.11880725182148678</v>
      </c>
      <c r="Y397" s="81">
        <f t="shared" si="400"/>
        <v>0.11838752679750329</v>
      </c>
      <c r="Z397" s="81">
        <f t="shared" si="400"/>
        <v>0.1170971596442397</v>
      </c>
      <c r="AA397" s="81">
        <f t="shared" si="400"/>
        <v>0.11566833202769217</v>
      </c>
      <c r="AB397" s="81">
        <f t="shared" si="400"/>
        <v>0.11521755172976977</v>
      </c>
      <c r="AC397" s="81">
        <f t="shared" si="400"/>
        <v>0.11478581045808753</v>
      </c>
      <c r="AD397" s="81">
        <f t="shared" si="400"/>
        <v>0.11442089958869214</v>
      </c>
      <c r="AE397" s="81">
        <f t="shared" si="400"/>
        <v>0.11431444065035132</v>
      </c>
      <c r="AF397" s="81">
        <f t="shared" si="400"/>
        <v>0.11425806461157471</v>
      </c>
    </row>
    <row r="398" spans="1:34" x14ac:dyDescent="0.25">
      <c r="B398" s="21">
        <f>(B365-B364)^2</f>
        <v>11.277215405355134</v>
      </c>
      <c r="C398" s="21">
        <f t="shared" ref="C398:AF398" si="401">(C365-C364)^2</f>
        <v>2353.3188804125521</v>
      </c>
      <c r="D398" s="21">
        <f t="shared" si="401"/>
        <v>1756.8321445389563</v>
      </c>
      <c r="E398" s="21">
        <f t="shared" si="401"/>
        <v>412.40344790561767</v>
      </c>
      <c r="F398" s="21">
        <f t="shared" si="401"/>
        <v>171.80724566880261</v>
      </c>
      <c r="G398" s="21">
        <f t="shared" si="401"/>
        <v>1148.8837108240339</v>
      </c>
      <c r="H398" s="21">
        <f t="shared" si="401"/>
        <v>1936.8711617934189</v>
      </c>
      <c r="I398" s="21">
        <f t="shared" si="401"/>
        <v>2331.4565134273662</v>
      </c>
      <c r="J398" s="21">
        <f t="shared" si="401"/>
        <v>206.63834085833676</v>
      </c>
      <c r="K398" s="21">
        <f t="shared" si="401"/>
        <v>1635.2953045020106</v>
      </c>
      <c r="L398" s="21">
        <f t="shared" si="401"/>
        <v>779.74454936465861</v>
      </c>
      <c r="M398" s="21">
        <f t="shared" si="401"/>
        <v>283.80150985223838</v>
      </c>
      <c r="N398" s="21">
        <f t="shared" si="401"/>
        <v>1627.9588606964362</v>
      </c>
      <c r="O398" s="21">
        <f t="shared" si="401"/>
        <v>211.48142848347669</v>
      </c>
      <c r="P398" s="21">
        <f t="shared" si="401"/>
        <v>219.69862088370081</v>
      </c>
      <c r="Q398" s="21">
        <f t="shared" si="401"/>
        <v>7.5844653208458263E-4</v>
      </c>
      <c r="R398" s="21">
        <f t="shared" si="401"/>
        <v>4.6629773771643315</v>
      </c>
      <c r="S398" s="21">
        <f t="shared" si="401"/>
        <v>16.6272410169986</v>
      </c>
      <c r="T398" s="21">
        <f t="shared" si="401"/>
        <v>1577.2061527273113</v>
      </c>
      <c r="U398" s="21">
        <f t="shared" si="401"/>
        <v>2173.2920593147114</v>
      </c>
      <c r="V398" s="21">
        <f t="shared" si="401"/>
        <v>1075.4324095592335</v>
      </c>
      <c r="W398" s="21">
        <f t="shared" si="401"/>
        <v>768.95749280277994</v>
      </c>
      <c r="X398" s="21">
        <f t="shared" si="401"/>
        <v>723.56356745908181</v>
      </c>
      <c r="Y398" s="21">
        <f t="shared" si="401"/>
        <v>717.77621620795139</v>
      </c>
      <c r="Z398" s="21">
        <f t="shared" si="401"/>
        <v>700.16357508412534</v>
      </c>
      <c r="AA398" s="21">
        <f t="shared" si="401"/>
        <v>680.97506693360685</v>
      </c>
      <c r="AB398" s="21">
        <f t="shared" si="401"/>
        <v>674.98932976524929</v>
      </c>
      <c r="AC398" s="21">
        <f t="shared" si="401"/>
        <v>669.28685615407176</v>
      </c>
      <c r="AD398" s="21">
        <f t="shared" si="401"/>
        <v>664.49025828160791</v>
      </c>
      <c r="AE398" s="21">
        <f t="shared" si="401"/>
        <v>663.09489384660833</v>
      </c>
      <c r="AF398" s="21">
        <f t="shared" si="401"/>
        <v>662.35669899281629</v>
      </c>
      <c r="AG398" s="3"/>
      <c r="AH398" s="3"/>
    </row>
    <row r="399" spans="1:34" x14ac:dyDescent="0.25">
      <c r="A399" s="72">
        <f>SUM(B399:AF399)</f>
        <v>26860.344488586812</v>
      </c>
      <c r="B399" s="60">
        <f>IF($A$64&lt;=B363,IF($B$64&gt;=B363,ABS(B398),0),0)</f>
        <v>11.277215405355134</v>
      </c>
      <c r="C399" s="60">
        <f t="shared" ref="C399" si="402">IF($A$64&lt;=C363,IF($B$64&gt;=C363,ABS(C398),0),0)</f>
        <v>2353.3188804125521</v>
      </c>
      <c r="D399" s="60">
        <f t="shared" ref="D399" si="403">IF($A$64&lt;=D363,IF($B$64&gt;=D363,ABS(D398),0),0)</f>
        <v>1756.8321445389563</v>
      </c>
      <c r="E399" s="60">
        <f t="shared" ref="E399" si="404">IF($A$64&lt;=E363,IF($B$64&gt;=E363,ABS(E398),0),0)</f>
        <v>412.40344790561767</v>
      </c>
      <c r="F399" s="60">
        <f t="shared" ref="F399" si="405">IF($A$64&lt;=F363,IF($B$64&gt;=F363,ABS(F398),0),0)</f>
        <v>171.80724566880261</v>
      </c>
      <c r="G399" s="60">
        <f t="shared" ref="G399" si="406">IF($A$64&lt;=G363,IF($B$64&gt;=G363,ABS(G398),0),0)</f>
        <v>1148.8837108240339</v>
      </c>
      <c r="H399" s="60">
        <f t="shared" ref="H399" si="407">IF($A$64&lt;=H363,IF($B$64&gt;=H363,ABS(H398),0),0)</f>
        <v>1936.8711617934189</v>
      </c>
      <c r="I399" s="60">
        <f t="shared" ref="I399" si="408">IF($A$64&lt;=I363,IF($B$64&gt;=I363,ABS(I398),0),0)</f>
        <v>2331.4565134273662</v>
      </c>
      <c r="J399" s="60">
        <f t="shared" ref="J399" si="409">IF($A$64&lt;=J363,IF($B$64&gt;=J363,ABS(J398),0),0)</f>
        <v>206.63834085833676</v>
      </c>
      <c r="K399" s="60">
        <f t="shared" ref="K399" si="410">IF($A$64&lt;=K363,IF($B$64&gt;=K363,ABS(K398),0),0)</f>
        <v>1635.2953045020106</v>
      </c>
      <c r="L399" s="60">
        <f t="shared" ref="L399" si="411">IF($A$64&lt;=L363,IF($B$64&gt;=L363,ABS(L398),0),0)</f>
        <v>779.74454936465861</v>
      </c>
      <c r="M399" s="60">
        <f t="shared" ref="M399" si="412">IF($A$64&lt;=M363,IF($B$64&gt;=M363,ABS(M398),0),0)</f>
        <v>283.80150985223838</v>
      </c>
      <c r="N399" s="60">
        <f t="shared" ref="N399" si="413">IF($A$64&lt;=N363,IF($B$64&gt;=N363,ABS(N398),0),0)</f>
        <v>1627.9588606964362</v>
      </c>
      <c r="O399" s="60">
        <f t="shared" ref="O399" si="414">IF($A$64&lt;=O363,IF($B$64&gt;=O363,ABS(O398),0),0)</f>
        <v>211.48142848347669</v>
      </c>
      <c r="P399" s="60">
        <f t="shared" ref="P399" si="415">IF($A$64&lt;=P363,IF($B$64&gt;=P363,ABS(P398),0),0)</f>
        <v>219.69862088370081</v>
      </c>
      <c r="Q399" s="60">
        <f t="shared" ref="Q399" si="416">IF($A$64&lt;=Q363,IF($B$64&gt;=Q363,ABS(Q398),0),0)</f>
        <v>7.5844653208458263E-4</v>
      </c>
      <c r="R399" s="60">
        <f t="shared" ref="R399" si="417">IF($A$64&lt;=R363,IF($B$64&gt;=R363,ABS(R398),0),0)</f>
        <v>4.6629773771643315</v>
      </c>
      <c r="S399" s="60">
        <f t="shared" ref="S399" si="418">IF($A$64&lt;=S363,IF($B$64&gt;=S363,ABS(S398),0),0)</f>
        <v>16.6272410169986</v>
      </c>
      <c r="T399" s="60">
        <f t="shared" ref="T399" si="419">IF($A$64&lt;=T363,IF($B$64&gt;=T363,ABS(T398),0),0)</f>
        <v>1577.2061527273113</v>
      </c>
      <c r="U399" s="60">
        <f t="shared" ref="U399" si="420">IF($A$64&lt;=U363,IF($B$64&gt;=U363,ABS(U398),0),0)</f>
        <v>2173.2920593147114</v>
      </c>
      <c r="V399" s="60">
        <f t="shared" ref="V399" si="421">IF($A$64&lt;=V363,IF($B$64&gt;=V363,ABS(V398),0),0)</f>
        <v>1075.4324095592335</v>
      </c>
      <c r="W399" s="60">
        <f t="shared" ref="W399" si="422">IF($A$64&lt;=W363,IF($B$64&gt;=W363,ABS(W398),0),0)</f>
        <v>768.95749280277994</v>
      </c>
      <c r="X399" s="60">
        <f t="shared" ref="X399" si="423">IF($A$64&lt;=X363,IF($B$64&gt;=X363,ABS(X398),0),0)</f>
        <v>723.56356745908181</v>
      </c>
      <c r="Y399" s="60">
        <f t="shared" ref="Y399" si="424">IF($A$64&lt;=Y363,IF($B$64&gt;=Y363,ABS(Y398),0),0)</f>
        <v>717.77621620795139</v>
      </c>
      <c r="Z399" s="60">
        <f t="shared" ref="Z399" si="425">IF($A$64&lt;=Z363,IF($B$64&gt;=Z363,ABS(Z398),0),0)</f>
        <v>700.16357508412534</v>
      </c>
      <c r="AA399" s="60">
        <f t="shared" ref="AA399" si="426">IF($A$64&lt;=AA363,IF($B$64&gt;=AA363,ABS(AA398),0),0)</f>
        <v>680.97506693360685</v>
      </c>
      <c r="AB399" s="60">
        <f t="shared" ref="AB399" si="427">IF($A$64&lt;=AB363,IF($B$64&gt;=AB363,ABS(AB398),0),0)</f>
        <v>674.98932976524929</v>
      </c>
      <c r="AC399" s="60">
        <f t="shared" ref="AC399" si="428">IF($A$64&lt;=AC363,IF($B$64&gt;=AC363,ABS(AC398),0),0)</f>
        <v>669.28685615407176</v>
      </c>
      <c r="AD399" s="60">
        <f t="shared" ref="AD399" si="429">IF($A$64&lt;=AD363,IF($B$64&gt;=AD363,ABS(AD398),0),0)</f>
        <v>664.49025828160791</v>
      </c>
      <c r="AE399" s="60">
        <f t="shared" ref="AE399" si="430">IF($A$64&lt;=AE363,IF($B$64&gt;=AE363,ABS(AE398),0),0)</f>
        <v>663.09489384660833</v>
      </c>
      <c r="AF399" s="60">
        <f t="shared" ref="AF399" si="431">IF($A$64&lt;=AF363,IF($B$64&gt;=AF363,ABS(AF398),0),0)</f>
        <v>662.35669899281629</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1"/>
      <c r="B532" s="11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6"/>
      <c r="B534" s="10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11"/>
      <c r="B581" s="11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11"/>
      <c r="B596" s="11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6"/>
      <c r="B597" s="10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6"/>
      <c r="B626" s="106"/>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6"/>
      <c r="B627" s="106"/>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1"/>
      <c r="B650" s="11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6"/>
      <c r="B651" s="10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6"/>
      <c r="B652" s="10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6"/>
      <c r="B653" s="10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6"/>
      <c r="B654" s="10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50:B650"/>
    <mergeCell ref="A651:B651"/>
    <mergeCell ref="A652:B652"/>
    <mergeCell ref="A653:B653"/>
    <mergeCell ref="A654:B654"/>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-30.414147978912087</v>
      </c>
      <c r="M1" s="54">
        <v>1</v>
      </c>
      <c r="N1" s="56">
        <f>INDEX($H$217:$P$217,1,Q1)</f>
        <v>0.2808244743449575</v>
      </c>
      <c r="O1" s="11"/>
      <c r="P1" s="55">
        <v>1</v>
      </c>
      <c r="Q1" s="11">
        <v>2</v>
      </c>
    </row>
    <row r="2" spans="1:17" x14ac:dyDescent="0.25">
      <c r="A2" s="11">
        <f>'Mastercurve bestimmen'!M119</f>
        <v>0</v>
      </c>
      <c r="B2" s="11">
        <f>'Mastercurve bestimmen'!N119</f>
        <v>-17.975469980117239</v>
      </c>
      <c r="M2" s="54">
        <v>2</v>
      </c>
      <c r="N2" s="56">
        <f t="shared" ref="N2:N9" si="0">INDEX($H$217:$P$217,1,Q2)</f>
        <v>2.1745267885057164E-3</v>
      </c>
      <c r="O2" s="11"/>
      <c r="P2" s="55">
        <v>2</v>
      </c>
      <c r="Q2" s="11">
        <f>Q1+1</f>
        <v>3</v>
      </c>
    </row>
    <row r="3" spans="1:17" x14ac:dyDescent="0.25">
      <c r="A3" s="11">
        <f>'Mastercurve bestimmen'!M120</f>
        <v>25</v>
      </c>
      <c r="B3" s="11">
        <f>'Mastercurve bestimmen'!N120</f>
        <v>-11.916805834805766</v>
      </c>
      <c r="M3" s="54">
        <v>3</v>
      </c>
      <c r="N3" s="56">
        <f t="shared" si="0"/>
        <v>5.0295806685179444E-6</v>
      </c>
      <c r="O3" s="11"/>
      <c r="P3" s="55">
        <v>3</v>
      </c>
      <c r="Q3" s="11">
        <f t="shared" ref="Q3:Q8" si="1">Q2+1</f>
        <v>4</v>
      </c>
    </row>
    <row r="4" spans="1:17" x14ac:dyDescent="0.25">
      <c r="A4" s="11">
        <f>'Mastercurve bestimmen'!M121</f>
        <v>50</v>
      </c>
      <c r="B4" s="11">
        <f>'Mastercurve bestimmen'!N121</f>
        <v>-6.7709490443524762</v>
      </c>
      <c r="M4" s="54">
        <v>4</v>
      </c>
      <c r="N4" s="56">
        <f t="shared" si="0"/>
        <v>-3.0884491024296243E-7</v>
      </c>
      <c r="O4" s="11"/>
      <c r="P4" s="55">
        <v>4</v>
      </c>
      <c r="Q4" s="11">
        <f t="shared" si="1"/>
        <v>5</v>
      </c>
    </row>
    <row r="5" spans="1:17" x14ac:dyDescent="0.25">
      <c r="A5" s="11">
        <f>'Mastercurve bestimmen'!M122</f>
        <v>80</v>
      </c>
      <c r="B5" s="11">
        <f>'Mastercurve bestimmen'!N122</f>
        <v>0</v>
      </c>
      <c r="M5" s="54">
        <v>5</v>
      </c>
      <c r="N5" s="56">
        <f t="shared" si="0"/>
        <v>-5.3064122336461039E-10</v>
      </c>
      <c r="O5" s="11"/>
      <c r="P5" s="55">
        <v>5</v>
      </c>
      <c r="Q5" s="11">
        <f t="shared" si="1"/>
        <v>6</v>
      </c>
    </row>
    <row r="6" spans="1:17" x14ac:dyDescent="0.25">
      <c r="A6" s="11">
        <f>'Mastercurve bestimmen'!M123</f>
        <v>125</v>
      </c>
      <c r="B6" s="11">
        <f>'Mastercurve bestimmen'!N123</f>
        <v>16.279090648122121</v>
      </c>
      <c r="M6" s="54">
        <v>6</v>
      </c>
      <c r="N6" s="56">
        <f t="shared" si="0"/>
        <v>1.8192974417610105E-11</v>
      </c>
      <c r="O6" s="11"/>
      <c r="P6" s="55">
        <v>6</v>
      </c>
      <c r="Q6" s="11">
        <f t="shared" si="1"/>
        <v>7</v>
      </c>
    </row>
    <row r="7" spans="1:17" x14ac:dyDescent="0.25">
      <c r="A7" s="11">
        <f>'Mastercurve bestimmen'!M124</f>
        <v>160</v>
      </c>
      <c r="B7" s="11">
        <f>'Mastercurve bestimmen'!N124</f>
        <v>30.443786519300005</v>
      </c>
      <c r="M7" s="54">
        <v>7</v>
      </c>
      <c r="N7" s="56">
        <f t="shared" si="0"/>
        <v>5.9506504864885704E-14</v>
      </c>
      <c r="O7" s="11"/>
      <c r="P7" s="55">
        <v>7</v>
      </c>
      <c r="Q7" s="11">
        <f t="shared" si="1"/>
        <v>8</v>
      </c>
    </row>
    <row r="8" spans="1:17" x14ac:dyDescent="0.25">
      <c r="A8" s="11"/>
      <c r="B8" s="11"/>
      <c r="M8" s="54">
        <v>8</v>
      </c>
      <c r="N8" s="56">
        <f t="shared" si="0"/>
        <v>-3.1418687950252879E-17</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-30.414147978912087</v>
      </c>
      <c r="E15" s="11">
        <f>A15-'Mastercurve bestimmen'!$B$2</f>
        <v>-120</v>
      </c>
      <c r="F15" s="11">
        <f>B15</f>
        <v>-30.414147978912087</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-30.165435328969728</v>
      </c>
      <c r="E16" s="11">
        <f>A16-'Mastercurve bestimmen'!$B$2</f>
        <v>-119</v>
      </c>
      <c r="F16" s="11">
        <f t="shared" ref="F16:F79" si="4">B16</f>
        <v>-30.165435328969728</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-29.916489079402499</v>
      </c>
      <c r="E17" s="11">
        <f>A17-'Mastercurve bestimmen'!$B$2</f>
        <v>-118</v>
      </c>
      <c r="F17" s="11">
        <f t="shared" si="4"/>
        <v>-29.916489079402499</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-29.667075630585533</v>
      </c>
      <c r="E18" s="11">
        <f>A18-'Mastercurve bestimmen'!$B$2</f>
        <v>-117</v>
      </c>
      <c r="F18" s="11">
        <f t="shared" si="4"/>
        <v>-29.667075630585533</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-29.416961382893959</v>
      </c>
      <c r="E19" s="11">
        <f>A19-'Mastercurve bestimmen'!$B$2</f>
        <v>-116</v>
      </c>
      <c r="F19" s="11">
        <f t="shared" si="4"/>
        <v>-29.416961382893959</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-29.165912736702911</v>
      </c>
      <c r="E20" s="11">
        <f>A20-'Mastercurve bestimmen'!$B$2</f>
        <v>-115</v>
      </c>
      <c r="F20" s="11">
        <f t="shared" si="4"/>
        <v>-29.165912736702911</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-28.913696092387521</v>
      </c>
      <c r="E21" s="11">
        <f>A21-'Mastercurve bestimmen'!$B$2</f>
        <v>-114</v>
      </c>
      <c r="F21" s="11">
        <f t="shared" si="4"/>
        <v>-28.913696092387521</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-28.660077850322914</v>
      </c>
      <c r="E22" s="11">
        <f>A22-'Mastercurve bestimmen'!$B$2</f>
        <v>-113</v>
      </c>
      <c r="F22" s="11">
        <f t="shared" si="4"/>
        <v>-28.660077850322914</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-28.404824410884231</v>
      </c>
      <c r="E23" s="11">
        <f>A23-'Mastercurve bestimmen'!$B$2</f>
        <v>-112</v>
      </c>
      <c r="F23" s="11">
        <f t="shared" si="4"/>
        <v>-28.404824410884231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-28.1477021744466</v>
      </c>
      <c r="E24" s="11">
        <f>A24-'Mastercurve bestimmen'!$B$2</f>
        <v>-111</v>
      </c>
      <c r="F24" s="11">
        <f t="shared" si="4"/>
        <v>-28.1477021744466</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-27.888477541385146</v>
      </c>
      <c r="E25" s="11">
        <f>A25-'Mastercurve bestimmen'!$B$2</f>
        <v>-110</v>
      </c>
      <c r="F25" s="11">
        <f t="shared" si="4"/>
        <v>-27.888477541385146</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-27.626916912075011</v>
      </c>
      <c r="E26" s="11">
        <f>A26-'Mastercurve bestimmen'!$B$2</f>
        <v>-109</v>
      </c>
      <c r="F26" s="11">
        <f t="shared" si="4"/>
        <v>-27.626916912075011</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-27.362786686891312</v>
      </c>
      <c r="E27" s="11">
        <f>A27-'Mastercurve bestimmen'!$B$2</f>
        <v>-108</v>
      </c>
      <c r="F27" s="11">
        <f t="shared" si="4"/>
        <v>-27.362786686891312</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-27.09585326620919</v>
      </c>
      <c r="E28" s="11">
        <f>A28-'Mastercurve bestimmen'!$B$2</f>
        <v>-107</v>
      </c>
      <c r="F28" s="11">
        <f t="shared" si="4"/>
        <v>-27.09585326620919</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-26.825883050403778</v>
      </c>
      <c r="E29" s="11">
        <f>A29-'Mastercurve bestimmen'!$B$2</f>
        <v>-106</v>
      </c>
      <c r="F29" s="11">
        <f t="shared" si="4"/>
        <v>-26.825883050403778</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-26.552642439850203</v>
      </c>
      <c r="E30" s="11">
        <f>A30-'Mastercurve bestimmen'!$B$2</f>
        <v>-105</v>
      </c>
      <c r="F30" s="11">
        <f t="shared" si="4"/>
        <v>-26.552642439850203</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-26.275897834923601</v>
      </c>
      <c r="E31" s="11">
        <f>A31-'Mastercurve bestimmen'!$B$2</f>
        <v>-104</v>
      </c>
      <c r="F31" s="11">
        <f t="shared" si="4"/>
        <v>-26.275897834923601</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-25.995415635999095</v>
      </c>
      <c r="E32" s="11">
        <f>A32-'Mastercurve bestimmen'!$B$2</f>
        <v>-103</v>
      </c>
      <c r="F32" s="11">
        <f t="shared" si="4"/>
        <v>-25.995415635999095</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-25.710962243451821</v>
      </c>
      <c r="E33" s="11">
        <f>A33-'Mastercurve bestimmen'!$B$2</f>
        <v>-102</v>
      </c>
      <c r="F33" s="11">
        <f t="shared" si="4"/>
        <v>-25.710962243451821</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-25.422304057656913</v>
      </c>
      <c r="E34" s="11">
        <f>A34-'Mastercurve bestimmen'!$B$2</f>
        <v>-101</v>
      </c>
      <c r="F34" s="11">
        <f t="shared" si="4"/>
        <v>-25.422304057656913</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-25.1292074789895</v>
      </c>
      <c r="E35" s="11">
        <f>A35-'Mastercurve bestimmen'!$B$2</f>
        <v>-100</v>
      </c>
      <c r="F35" s="11">
        <f t="shared" si="4"/>
        <v>-25.1292074789895</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-24.831438907824708</v>
      </c>
      <c r="E36" s="11">
        <f>A36-'Mastercurve bestimmen'!$B$2</f>
        <v>-99</v>
      </c>
      <c r="F36" s="11">
        <f t="shared" si="4"/>
        <v>-24.831438907824708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-24.528764744537675</v>
      </c>
      <c r="E37" s="11">
        <f>A37-'Mastercurve bestimmen'!$B$2</f>
        <v>-98</v>
      </c>
      <c r="F37" s="11">
        <f t="shared" si="4"/>
        <v>-24.528764744537675</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-24.220951389503533</v>
      </c>
      <c r="E38" s="11">
        <f>A38-'Mastercurve bestimmen'!$B$2</f>
        <v>-97</v>
      </c>
      <c r="F38" s="11">
        <f t="shared" si="4"/>
        <v>-24.220951389503533</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-23.907765243097408</v>
      </c>
      <c r="E39" s="11">
        <f>A39-'Mastercurve bestimmen'!$B$2</f>
        <v>-96</v>
      </c>
      <c r="F39" s="11">
        <f t="shared" si="4"/>
        <v>-23.907765243097408</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-23.588972705694438</v>
      </c>
      <c r="E40" s="11">
        <f>A40-'Mastercurve bestimmen'!$B$2</f>
        <v>-95</v>
      </c>
      <c r="F40" s="11">
        <f t="shared" si="4"/>
        <v>-23.588972705694438</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-23.264340177669744</v>
      </c>
      <c r="E41" s="11">
        <f>A41-'Mastercurve bestimmen'!$B$2</f>
        <v>-94</v>
      </c>
      <c r="F41" s="11">
        <f t="shared" si="4"/>
        <v>-23.264340177669744</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-22.933634059398468</v>
      </c>
      <c r="E42" s="11">
        <f>A42-'Mastercurve bestimmen'!$B$2</f>
        <v>-93</v>
      </c>
      <c r="F42" s="11">
        <f t="shared" si="4"/>
        <v>-22.933634059398468</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-22.596620751255735</v>
      </c>
      <c r="E43" s="11">
        <f>A43-'Mastercurve bestimmen'!$B$2</f>
        <v>-92</v>
      </c>
      <c r="F43" s="11">
        <f t="shared" si="4"/>
        <v>-22.596620751255735</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-22.253066653616681</v>
      </c>
      <c r="E44" s="11">
        <f>A44-'Mastercurve bestimmen'!$B$2</f>
        <v>-91</v>
      </c>
      <c r="F44" s="11">
        <f t="shared" si="4"/>
        <v>-22.253066653616681</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-21.902738166856434</v>
      </c>
      <c r="E45" s="11">
        <f>A45-'Mastercurve bestimmen'!$B$2</f>
        <v>-90</v>
      </c>
      <c r="F45" s="11">
        <f t="shared" si="4"/>
        <v>-21.902738166856434</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-21.545401691350122</v>
      </c>
      <c r="E46" s="11">
        <f>A46-'Mastercurve bestimmen'!$B$2</f>
        <v>-89</v>
      </c>
      <c r="F46" s="11">
        <f t="shared" si="4"/>
        <v>-21.545401691350122</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-21.180823627472883</v>
      </c>
      <c r="E47" s="11">
        <f>A47-'Mastercurve bestimmen'!$B$2</f>
        <v>-88</v>
      </c>
      <c r="F47" s="11">
        <f t="shared" si="4"/>
        <v>-21.180823627472883</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-20.808770375599845</v>
      </c>
      <c r="E48" s="11">
        <f>A48-'Mastercurve bestimmen'!$B$2</f>
        <v>-87</v>
      </c>
      <c r="F48" s="11">
        <f t="shared" si="4"/>
        <v>-20.808770375599845</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-20.429008336106136</v>
      </c>
      <c r="E49" s="11">
        <f>A49-'Mastercurve bestimmen'!$B$2</f>
        <v>-86</v>
      </c>
      <c r="F49" s="11">
        <f t="shared" si="4"/>
        <v>-20.429008336106136</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-20.041303909366896</v>
      </c>
      <c r="E50" s="11">
        <f>A50-'Mastercurve bestimmen'!$B$2</f>
        <v>-85</v>
      </c>
      <c r="F50" s="11">
        <f t="shared" si="4"/>
        <v>-20.041303909366896</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-19.64542349575725</v>
      </c>
      <c r="E51" s="11">
        <f>A51-'Mastercurve bestimmen'!$B$2</f>
        <v>-84</v>
      </c>
      <c r="F51" s="11">
        <f t="shared" si="4"/>
        <v>-19.64542349575725</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-19.241133495652331</v>
      </c>
      <c r="E52" s="11">
        <f>A52-'Mastercurve bestimmen'!$B$2</f>
        <v>-83</v>
      </c>
      <c r="F52" s="11">
        <f t="shared" si="4"/>
        <v>-19.241133495652331</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-18.82820030942727</v>
      </c>
      <c r="E53" s="11">
        <f>A53-'Mastercurve bestimmen'!$B$2</f>
        <v>-82</v>
      </c>
      <c r="F53" s="11">
        <f t="shared" si="4"/>
        <v>-18.82820030942727</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-18.406390337457193</v>
      </c>
      <c r="E54" s="11">
        <f>A54-'Mastercurve bestimmen'!$B$2</f>
        <v>-81</v>
      </c>
      <c r="F54" s="11">
        <f t="shared" si="4"/>
        <v>-18.406390337457193</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-17.975469980117243</v>
      </c>
      <c r="E55" s="11">
        <f>A55-'Mastercurve bestimmen'!$B$2</f>
        <v>-80</v>
      </c>
      <c r="F55" s="11">
        <f t="shared" si="4"/>
        <v>-17.975469980117243</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-17.786801477302291</v>
      </c>
      <c r="E56" s="11">
        <f>A56-'Mastercurve bestimmen'!$B$2</f>
        <v>-79</v>
      </c>
      <c r="F56" s="11">
        <f t="shared" si="4"/>
        <v>-17.786801477302291</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-17.589351006386241</v>
      </c>
      <c r="E57" s="11">
        <f>A57-'Mastercurve bestimmen'!$B$2</f>
        <v>-78</v>
      </c>
      <c r="F57" s="11">
        <f t="shared" si="4"/>
        <v>-17.589351006386241</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-17.383680584262745</v>
      </c>
      <c r="E58" s="11">
        <f>A58-'Mastercurve bestimmen'!$B$2</f>
        <v>-77</v>
      </c>
      <c r="F58" s="11">
        <f t="shared" si="4"/>
        <v>-17.383680584262745</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-17.170352227825443</v>
      </c>
      <c r="E59" s="11">
        <f>A59-'Mastercurve bestimmen'!$B$2</f>
        <v>-76</v>
      </c>
      <c r="F59" s="11">
        <f t="shared" si="4"/>
        <v>-17.170352227825443</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-16.94992795396799</v>
      </c>
      <c r="E60" s="11">
        <f>A60-'Mastercurve bestimmen'!$B$2</f>
        <v>-75</v>
      </c>
      <c r="F60" s="11">
        <f t="shared" si="4"/>
        <v>-16.94992795396799</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-16.722969779584034</v>
      </c>
      <c r="E61" s="11">
        <f>A61-'Mastercurve bestimmen'!$B$2</f>
        <v>-74</v>
      </c>
      <c r="F61" s="11">
        <f t="shared" si="4"/>
        <v>-16.722969779584034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-16.490039721567218</v>
      </c>
      <c r="E62" s="11">
        <f>A62-'Mastercurve bestimmen'!$B$2</f>
        <v>-73</v>
      </c>
      <c r="F62" s="11">
        <f t="shared" si="4"/>
        <v>-16.490039721567218</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-16.251699796811199</v>
      </c>
      <c r="E63" s="11">
        <f>A63-'Mastercurve bestimmen'!$B$2</f>
        <v>-72</v>
      </c>
      <c r="F63" s="11">
        <f t="shared" si="4"/>
        <v>-16.251699796811199</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-16.008512022209615</v>
      </c>
      <c r="E64" s="11">
        <f>A64-'Mastercurve bestimmen'!$B$2</f>
        <v>-71</v>
      </c>
      <c r="F64" s="11">
        <f t="shared" si="4"/>
        <v>-16.008512022209615</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-15.761038414656126</v>
      </c>
      <c r="E65" s="11">
        <f>A65-'Mastercurve bestimmen'!$B$2</f>
        <v>-70</v>
      </c>
      <c r="F65" s="11">
        <f t="shared" si="4"/>
        <v>-15.761038414656126</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-15.509840991044376</v>
      </c>
      <c r="E66" s="11">
        <f>A66-'Mastercurve bestimmen'!$B$2</f>
        <v>-69</v>
      </c>
      <c r="F66" s="11">
        <f t="shared" si="4"/>
        <v>-15.509840991044376</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-15.255481768268012</v>
      </c>
      <c r="E67" s="11">
        <f>A67-'Mastercurve bestimmen'!$B$2</f>
        <v>-68</v>
      </c>
      <c r="F67" s="11">
        <f t="shared" si="4"/>
        <v>-15.255481768268012</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-14.998522763220688</v>
      </c>
      <c r="E68" s="11">
        <f>A68-'Mastercurve bestimmen'!$B$2</f>
        <v>-67</v>
      </c>
      <c r="F68" s="11">
        <f t="shared" si="4"/>
        <v>-14.998522763220688</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-14.739525992796047</v>
      </c>
      <c r="E69" s="11">
        <f>A69-'Mastercurve bestimmen'!$B$2</f>
        <v>-66</v>
      </c>
      <c r="F69" s="11">
        <f t="shared" si="4"/>
        <v>-14.739525992796047</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-14.479053473887738</v>
      </c>
      <c r="E70" s="11">
        <f>A70-'Mastercurve bestimmen'!$B$2</f>
        <v>-65</v>
      </c>
      <c r="F70" s="11">
        <f t="shared" si="4"/>
        <v>-14.479053473887738</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-14.217667223389416</v>
      </c>
      <c r="E71" s="11">
        <f>A71-'Mastercurve bestimmen'!$B$2</f>
        <v>-64</v>
      </c>
      <c r="F71" s="11">
        <f t="shared" si="4"/>
        <v>-14.217667223389416</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-13.955929258194722</v>
      </c>
      <c r="E72" s="11">
        <f>A72-'Mastercurve bestimmen'!$B$2</f>
        <v>-63</v>
      </c>
      <c r="F72" s="11">
        <f t="shared" si="4"/>
        <v>-13.955929258194722</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-13.694401595197309</v>
      </c>
      <c r="E73" s="11">
        <f>A73-'Mastercurve bestimmen'!$B$2</f>
        <v>-62</v>
      </c>
      <c r="F73" s="11">
        <f t="shared" si="4"/>
        <v>-13.694401595197309</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-13.433646251290828</v>
      </c>
      <c r="E74" s="11">
        <f>A74-'Mastercurve bestimmen'!$B$2</f>
        <v>-61</v>
      </c>
      <c r="F74" s="11">
        <f t="shared" si="4"/>
        <v>-13.433646251290828</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-13.174225243368923</v>
      </c>
      <c r="E75" s="11">
        <f>A75-'Mastercurve bestimmen'!$B$2</f>
        <v>-60</v>
      </c>
      <c r="F75" s="11">
        <f t="shared" si="4"/>
        <v>-13.174225243368923</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-12.916700588325243</v>
      </c>
      <c r="E76" s="11">
        <f>A76-'Mastercurve bestimmen'!$B$2</f>
        <v>-59</v>
      </c>
      <c r="F76" s="11">
        <f t="shared" si="4"/>
        <v>-12.916700588325243</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-12.66163430305344</v>
      </c>
      <c r="E77" s="11">
        <f>A77-'Mastercurve bestimmen'!$B$2</f>
        <v>-58</v>
      </c>
      <c r="F77" s="11">
        <f t="shared" si="4"/>
        <v>-12.66163430305344</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-12.409588404447158</v>
      </c>
      <c r="E78" s="11">
        <f>A78-'Mastercurve bestimmen'!$B$2</f>
        <v>-57</v>
      </c>
      <c r="F78" s="11">
        <f t="shared" si="4"/>
        <v>-12.409588404447158</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-12.161124909400051</v>
      </c>
      <c r="E79" s="11">
        <f>A79-'Mastercurve bestimmen'!$B$2</f>
        <v>-56</v>
      </c>
      <c r="F79" s="11">
        <f t="shared" si="4"/>
        <v>-12.161124909400051</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-11.916805834805766</v>
      </c>
      <c r="E80" s="11">
        <f>A80-'Mastercurve bestimmen'!$B$2</f>
        <v>-55</v>
      </c>
      <c r="F80" s="11">
        <f t="shared" ref="F80:F143" si="10">B80</f>
        <v>-11.916805834805766</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-11.677063359734802</v>
      </c>
      <c r="E81" s="11">
        <f>A81-'Mastercurve bestimmen'!$B$2</f>
        <v>-54</v>
      </c>
      <c r="F81" s="11">
        <f t="shared" si="10"/>
        <v>-11.677063359734802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-11.441810311965069</v>
      </c>
      <c r="E82" s="11">
        <f>A82-'Mastercurve bestimmen'!$B$2</f>
        <v>-53</v>
      </c>
      <c r="F82" s="11">
        <f t="shared" si="10"/>
        <v>-11.441810311965069</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-11.210829681451331</v>
      </c>
      <c r="E83" s="11">
        <f>A83-'Mastercurve bestimmen'!$B$2</f>
        <v>-52</v>
      </c>
      <c r="F83" s="11">
        <f t="shared" si="10"/>
        <v>-11.210829681451331</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-10.983904458148348</v>
      </c>
      <c r="E84" s="11">
        <f>A84-'Mastercurve bestimmen'!$B$2</f>
        <v>-51</v>
      </c>
      <c r="F84" s="11">
        <f t="shared" si="10"/>
        <v>-10.983904458148348</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-10.76081763201088</v>
      </c>
      <c r="E85" s="11">
        <f>A85-'Mastercurve bestimmen'!$B$2</f>
        <v>-50</v>
      </c>
      <c r="F85" s="11">
        <f t="shared" si="10"/>
        <v>-10.76081763201088</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-10.541352192993688</v>
      </c>
      <c r="E86" s="11">
        <f>A86-'Mastercurve bestimmen'!$B$2</f>
        <v>-49</v>
      </c>
      <c r="F86" s="11">
        <f t="shared" si="10"/>
        <v>-10.541352192993688</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-10.325291131051536</v>
      </c>
      <c r="E87" s="11">
        <f>A87-'Mastercurve bestimmen'!$B$2</f>
        <v>-48</v>
      </c>
      <c r="F87" s="11">
        <f t="shared" si="10"/>
        <v>-10.325291131051536</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-10.112417436139184</v>
      </c>
      <c r="E88" s="11">
        <f>A88-'Mastercurve bestimmen'!$B$2</f>
        <v>-47</v>
      </c>
      <c r="F88" s="11">
        <f t="shared" si="10"/>
        <v>-10.112417436139184</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-9.9025140982113946</v>
      </c>
      <c r="E89" s="11">
        <f>A89-'Mastercurve bestimmen'!$B$2</f>
        <v>-46</v>
      </c>
      <c r="F89" s="11">
        <f t="shared" si="10"/>
        <v>-9.9025140982113946</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-9.6953641072229289</v>
      </c>
      <c r="E90" s="11">
        <f>A90-'Mastercurve bestimmen'!$B$2</f>
        <v>-45</v>
      </c>
      <c r="F90" s="11">
        <f t="shared" si="10"/>
        <v>-9.6953641072229289</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-9.4907504531285447</v>
      </c>
      <c r="E91" s="11">
        <f>A91-'Mastercurve bestimmen'!$B$2</f>
        <v>-44</v>
      </c>
      <c r="F91" s="11">
        <f t="shared" si="10"/>
        <v>-9.4907504531285447</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-9.288456125883009</v>
      </c>
      <c r="E92" s="11">
        <f>A92-'Mastercurve bestimmen'!$B$2</f>
        <v>-43</v>
      </c>
      <c r="F92" s="11">
        <f t="shared" si="10"/>
        <v>-9.288456125883009</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-9.0882641154410795</v>
      </c>
      <c r="E93" s="11">
        <f>A93-'Mastercurve bestimmen'!$B$2</f>
        <v>-42</v>
      </c>
      <c r="F93" s="11">
        <f t="shared" si="10"/>
        <v>-9.0882641154410795</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-8.8899574117575177</v>
      </c>
      <c r="E94" s="11">
        <f>A94-'Mastercurve bestimmen'!$B$2</f>
        <v>-41</v>
      </c>
      <c r="F94" s="11">
        <f t="shared" si="10"/>
        <v>-8.8899574117575177</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-8.6933190047870905</v>
      </c>
      <c r="E95" s="11">
        <f>A95-'Mastercurve bestimmen'!$B$2</f>
        <v>-40</v>
      </c>
      <c r="F95" s="11">
        <f t="shared" si="10"/>
        <v>-8.6933190047870905</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-8.4981318844845504</v>
      </c>
      <c r="E96" s="11">
        <f>A96-'Mastercurve bestimmen'!$B$2</f>
        <v>-39</v>
      </c>
      <c r="F96" s="11">
        <f t="shared" si="10"/>
        <v>-8.4981318844845504</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-8.3041790408046658</v>
      </c>
      <c r="E97" s="11">
        <f>A97-'Mastercurve bestimmen'!$B$2</f>
        <v>-38</v>
      </c>
      <c r="F97" s="11">
        <f t="shared" si="10"/>
        <v>-8.3041790408046658</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-8.1112434637021966</v>
      </c>
      <c r="E98" s="11">
        <f>A98-'Mastercurve bestimmen'!$B$2</f>
        <v>-37</v>
      </c>
      <c r="F98" s="11">
        <f t="shared" si="10"/>
        <v>-8.1112434637021966</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-7.9191081431319024</v>
      </c>
      <c r="E99" s="11">
        <f>A99-'Mastercurve bestimmen'!$B$2</f>
        <v>-36</v>
      </c>
      <c r="F99" s="11">
        <f t="shared" si="10"/>
        <v>-7.9191081431319024</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-7.7275560690485463</v>
      </c>
      <c r="E100" s="11">
        <f>A100-'Mastercurve bestimmen'!$B$2</f>
        <v>-35</v>
      </c>
      <c r="F100" s="11">
        <f t="shared" si="10"/>
        <v>-7.7275560690485463</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-7.5363702314068881</v>
      </c>
      <c r="E101" s="11">
        <f>A101-'Mastercurve bestimmen'!$B$2</f>
        <v>-34</v>
      </c>
      <c r="F101" s="11">
        <f t="shared" si="10"/>
        <v>-7.5363702314068881</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-7.3453336201616901</v>
      </c>
      <c r="E102" s="11">
        <f>A102-'Mastercurve bestimmen'!$B$2</f>
        <v>-33</v>
      </c>
      <c r="F102" s="11">
        <f t="shared" si="10"/>
        <v>-7.3453336201616901</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-7.1542292252677155</v>
      </c>
      <c r="E103" s="11">
        <f>A103-'Mastercurve bestimmen'!$B$2</f>
        <v>-32</v>
      </c>
      <c r="F103" s="11">
        <f t="shared" si="10"/>
        <v>-7.1542292252677155</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-6.9628400366797232</v>
      </c>
      <c r="E104" s="11">
        <f>A104-'Mastercurve bestimmen'!$B$2</f>
        <v>-31</v>
      </c>
      <c r="F104" s="11">
        <f t="shared" si="10"/>
        <v>-6.9628400366797232</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-6.7709490443524754</v>
      </c>
      <c r="E105" s="11">
        <f>A105-'Mastercurve bestimmen'!$B$2</f>
        <v>-30</v>
      </c>
      <c r="F105" s="11">
        <f t="shared" si="10"/>
        <v>-6.7709490443524754</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-6.5783501822884611</v>
      </c>
      <c r="E106" s="11">
        <f>A106-'Mastercurve bestimmen'!$B$2</f>
        <v>-29</v>
      </c>
      <c r="F106" s="11">
        <f t="shared" si="10"/>
        <v>-6.5783501822884611</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-6.3848811606810703</v>
      </c>
      <c r="E107" s="11">
        <f>A107-'Mastercurve bestimmen'!$B$2</f>
        <v>-28</v>
      </c>
      <c r="F107" s="11">
        <f t="shared" si="10"/>
        <v>-6.3848811606810703</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-6.1903906337714192</v>
      </c>
      <c r="E108" s="11">
        <f>A108-'Mastercurve bestimmen'!$B$2</f>
        <v>-27</v>
      </c>
      <c r="F108" s="11">
        <f t="shared" si="10"/>
        <v>-6.1903906337714192</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-5.9947272558006262</v>
      </c>
      <c r="E109" s="11">
        <f>A109-'Mastercurve bestimmen'!$B$2</f>
        <v>-26</v>
      </c>
      <c r="F109" s="11">
        <f t="shared" si="10"/>
        <v>-5.9947272558006262</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-5.7977396810098094</v>
      </c>
      <c r="E110" s="11">
        <f>A110-'Mastercurve bestimmen'!$B$2</f>
        <v>-25</v>
      </c>
      <c r="F110" s="11">
        <f t="shared" si="10"/>
        <v>-5.7977396810098094</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-5.5992765636400872</v>
      </c>
      <c r="E111" s="11">
        <f>A111-'Mastercurve bestimmen'!$B$2</f>
        <v>-24</v>
      </c>
      <c r="F111" s="11">
        <f t="shared" si="10"/>
        <v>-5.5992765636400872</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-5.3991865579325733</v>
      </c>
      <c r="E112" s="11">
        <f>A112-'Mastercurve bestimmen'!$B$2</f>
        <v>-23</v>
      </c>
      <c r="F112" s="11">
        <f t="shared" si="10"/>
        <v>-5.3991865579325733</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-5.1973183181283886</v>
      </c>
      <c r="E113" s="11">
        <f>A113-'Mastercurve bestimmen'!$B$2</f>
        <v>-22</v>
      </c>
      <c r="F113" s="11">
        <f t="shared" si="10"/>
        <v>-5.1973183181283886</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-4.9935204984686505</v>
      </c>
      <c r="E114" s="11">
        <f>A114-'Mastercurve bestimmen'!$B$2</f>
        <v>-21</v>
      </c>
      <c r="F114" s="11">
        <f t="shared" si="10"/>
        <v>-4.9935204984686505</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-4.7876417531944746</v>
      </c>
      <c r="E115" s="11">
        <f>A115-'Mastercurve bestimmen'!$B$2</f>
        <v>-20</v>
      </c>
      <c r="F115" s="11">
        <f t="shared" si="10"/>
        <v>-4.7876417531944746</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-4.5795307365469782</v>
      </c>
      <c r="E116" s="11">
        <f>A116-'Mastercurve bestimmen'!$B$2</f>
        <v>-19</v>
      </c>
      <c r="F116" s="11">
        <f t="shared" si="10"/>
        <v>-4.5795307365469782</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-4.3690361027672804</v>
      </c>
      <c r="E117" s="11">
        <f>A117-'Mastercurve bestimmen'!$B$2</f>
        <v>-18</v>
      </c>
      <c r="F117" s="11">
        <f t="shared" si="10"/>
        <v>-4.3690361027672804</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-4.1560065060964977</v>
      </c>
      <c r="E118" s="11">
        <f>A118-'Mastercurve bestimmen'!$B$2</f>
        <v>-17</v>
      </c>
      <c r="F118" s="11">
        <f t="shared" si="10"/>
        <v>-4.1560065060964977</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-3.9402906007757479</v>
      </c>
      <c r="E119" s="11">
        <f>A119-'Mastercurve bestimmen'!$B$2</f>
        <v>-16</v>
      </c>
      <c r="F119" s="11">
        <f t="shared" si="10"/>
        <v>-3.9402906007757479</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-3.7217370410461479</v>
      </c>
      <c r="E120" s="11">
        <f>A120-'Mastercurve bestimmen'!$B$2</f>
        <v>-15</v>
      </c>
      <c r="F120" s="11">
        <f t="shared" si="10"/>
        <v>-3.7217370410461479</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-3.5001944811488155</v>
      </c>
      <c r="E121" s="11">
        <f>A121-'Mastercurve bestimmen'!$B$2</f>
        <v>-14</v>
      </c>
      <c r="F121" s="11">
        <f t="shared" si="10"/>
        <v>-3.5001944811488155</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-3.2755115753248676</v>
      </c>
      <c r="E122" s="11">
        <f>A122-'Mastercurve bestimmen'!$B$2</f>
        <v>-13</v>
      </c>
      <c r="F122" s="11">
        <f t="shared" si="10"/>
        <v>-3.2755115753248676</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-3.0475369778154224</v>
      </c>
      <c r="E123" s="11">
        <f>A123-'Mastercurve bestimmen'!$B$2</f>
        <v>-12</v>
      </c>
      <c r="F123" s="11">
        <f t="shared" si="10"/>
        <v>-3.0475369778154224</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-2.8161193428615965</v>
      </c>
      <c r="E124" s="11">
        <f>A124-'Mastercurve bestimmen'!$B$2</f>
        <v>-11</v>
      </c>
      <c r="F124" s="11">
        <f t="shared" si="10"/>
        <v>-2.8161193428615965</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-2.581107324704508</v>
      </c>
      <c r="E125" s="11">
        <f>A125-'Mastercurve bestimmen'!$B$2</f>
        <v>-10</v>
      </c>
      <c r="F125" s="11">
        <f t="shared" si="10"/>
        <v>-2.581107324704508</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-2.3423495775852743</v>
      </c>
      <c r="E126" s="11">
        <f>A126-'Mastercurve bestimmen'!$B$2</f>
        <v>-9</v>
      </c>
      <c r="F126" s="11">
        <f t="shared" si="10"/>
        <v>-2.3423495775852743</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-2.0996947557450127</v>
      </c>
      <c r="E127" s="11">
        <f>A127-'Mastercurve bestimmen'!$B$2</f>
        <v>-8</v>
      </c>
      <c r="F127" s="11">
        <f t="shared" si="10"/>
        <v>-2.0996947557450127</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-1.85299151342484</v>
      </c>
      <c r="E128" s="11">
        <f>A128-'Mastercurve bestimmen'!$B$2</f>
        <v>-7</v>
      </c>
      <c r="F128" s="11">
        <f t="shared" si="10"/>
        <v>-1.85299151342484</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-1.6020885048658744</v>
      </c>
      <c r="E129" s="11">
        <f>A129-'Mastercurve bestimmen'!$B$2</f>
        <v>-6</v>
      </c>
      <c r="F129" s="11">
        <f t="shared" si="10"/>
        <v>-1.6020885048658744</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-1.346834384309233</v>
      </c>
      <c r="E130" s="11">
        <f>A130-'Mastercurve bestimmen'!$B$2</f>
        <v>-5</v>
      </c>
      <c r="F130" s="11">
        <f t="shared" si="10"/>
        <v>-1.346834384309233</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-1.0870778059960333</v>
      </c>
      <c r="E131" s="11">
        <f>A131-'Mastercurve bestimmen'!$B$2</f>
        <v>-4</v>
      </c>
      <c r="F131" s="11">
        <f t="shared" si="10"/>
        <v>-1.0870778059960333</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-0.8226674241673928</v>
      </c>
      <c r="E132" s="11">
        <f>A132-'Mastercurve bestimmen'!$B$2</f>
        <v>-3</v>
      </c>
      <c r="F132" s="11">
        <f t="shared" si="10"/>
        <v>-0.8226674241673928</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-0.55345189306442866</v>
      </c>
      <c r="E133" s="11">
        <f>A133-'Mastercurve bestimmen'!$B$2</f>
        <v>-2</v>
      </c>
      <c r="F133" s="11">
        <f t="shared" si="10"/>
        <v>-0.55345189306442866</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-0.27927986692825862</v>
      </c>
      <c r="E134" s="11">
        <f>A134-'Mastercurve bestimmen'!$B$2</f>
        <v>-1</v>
      </c>
      <c r="F134" s="11">
        <f t="shared" si="10"/>
        <v>-0.27927986692825862</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-1.1102230246251565E-16</v>
      </c>
      <c r="E135" s="11">
        <f>A135-'Mastercurve bestimmen'!$B$2</f>
        <v>0</v>
      </c>
      <c r="F135" s="11">
        <f t="shared" si="10"/>
        <v>-1.1102230246251565E-16</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0.28449483740171261</v>
      </c>
      <c r="E136" s="11">
        <f>A136-'Mastercurve bestimmen'!$B$2</f>
        <v>1</v>
      </c>
      <c r="F136" s="11">
        <f t="shared" si="10"/>
        <v>0.28449483740171261</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0.57413491064817668</v>
      </c>
      <c r="E137" s="11">
        <f>A137-'Mastercurve bestimmen'!$B$2</f>
        <v>2</v>
      </c>
      <c r="F137" s="11">
        <f t="shared" si="10"/>
        <v>0.57413491064817668</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0.8688062690331726</v>
      </c>
      <c r="E138" s="11">
        <f>A138-'Mastercurve bestimmen'!$B$2</f>
        <v>3</v>
      </c>
      <c r="F138" s="11">
        <f t="shared" si="10"/>
        <v>0.8688062690331726</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1.1683949618504803</v>
      </c>
      <c r="E139" s="11">
        <f>A139-'Mastercurve bestimmen'!$B$2</f>
        <v>4</v>
      </c>
      <c r="F139" s="11">
        <f t="shared" si="10"/>
        <v>1.1683949618504803</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1.4727870383938801</v>
      </c>
      <c r="E140" s="11">
        <f>A140-'Mastercurve bestimmen'!$B$2</f>
        <v>5</v>
      </c>
      <c r="F140" s="11">
        <f t="shared" si="10"/>
        <v>1.4727870383938801</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1.7818685479571517</v>
      </c>
      <c r="E141" s="11">
        <f>A141-'Mastercurve bestimmen'!$B$2</f>
        <v>6</v>
      </c>
      <c r="F141" s="11">
        <f t="shared" si="10"/>
        <v>1.7818685479571517</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2.0955255398340764</v>
      </c>
      <c r="E142" s="11">
        <f>A142-'Mastercurve bestimmen'!$B$2</f>
        <v>7</v>
      </c>
      <c r="F142" s="11">
        <f t="shared" si="10"/>
        <v>2.0955255398340764</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2.4136440633184337</v>
      </c>
      <c r="E143" s="11">
        <f>A143-'Mastercurve bestimmen'!$B$2</f>
        <v>8</v>
      </c>
      <c r="F143" s="11">
        <f t="shared" si="10"/>
        <v>2.4136440633184337</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2.7361101677040036</v>
      </c>
      <c r="E144" s="11">
        <f>A144-'Mastercurve bestimmen'!$B$2</f>
        <v>9</v>
      </c>
      <c r="F144" s="11">
        <f t="shared" ref="F144:F207" si="15">B144</f>
        <v>2.7361101677040036</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3.0628099022845663</v>
      </c>
      <c r="E145" s="11">
        <f>A145-'Mastercurve bestimmen'!$B$2</f>
        <v>10</v>
      </c>
      <c r="F145" s="11">
        <f t="shared" si="15"/>
        <v>3.0628099022845663</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3.3936293163539029</v>
      </c>
      <c r="E146" s="11">
        <f>A146-'Mastercurve bestimmen'!$B$2</f>
        <v>11</v>
      </c>
      <c r="F146" s="11">
        <f t="shared" si="15"/>
        <v>3.3936293163539029</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3.7284544592057918</v>
      </c>
      <c r="E147" s="11">
        <f>A147-'Mastercurve bestimmen'!$B$2</f>
        <v>12</v>
      </c>
      <c r="F147" s="11">
        <f t="shared" si="15"/>
        <v>3.7284544592057918</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4.0671713801340159</v>
      </c>
      <c r="E148" s="11">
        <f>A148-'Mastercurve bestimmen'!$B$2</f>
        <v>13</v>
      </c>
      <c r="F148" s="11">
        <f t="shared" si="15"/>
        <v>4.0671713801340159</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4.4096661284323533</v>
      </c>
      <c r="E149" s="11">
        <f>A149-'Mastercurve bestimmen'!$B$2</f>
        <v>14</v>
      </c>
      <c r="F149" s="11">
        <f t="shared" si="15"/>
        <v>4.4096661284323533</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4.7558247533945845</v>
      </c>
      <c r="E150" s="11">
        <f>A150-'Mastercurve bestimmen'!$B$2</f>
        <v>15</v>
      </c>
      <c r="F150" s="11">
        <f t="shared" si="15"/>
        <v>4.7558247533945845</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5.1055333043144904</v>
      </c>
      <c r="E151" s="11">
        <f>A151-'Mastercurve bestimmen'!$B$2</f>
        <v>16</v>
      </c>
      <c r="F151" s="11">
        <f t="shared" si="15"/>
        <v>5.1055333043144904</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5.4586778304858505</v>
      </c>
      <c r="E152" s="11">
        <f>A152-'Mastercurve bestimmen'!$B$2</f>
        <v>17</v>
      </c>
      <c r="F152" s="11">
        <f t="shared" si="15"/>
        <v>5.4586778304858505</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5.8151443812024457</v>
      </c>
      <c r="E153" s="11">
        <f>A153-'Mastercurve bestimmen'!$B$2</f>
        <v>18</v>
      </c>
      <c r="F153" s="11">
        <f t="shared" si="15"/>
        <v>5.8151443812024457</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6.1748190057580548</v>
      </c>
      <c r="E154" s="11">
        <f>A154-'Mastercurve bestimmen'!$B$2</f>
        <v>19</v>
      </c>
      <c r="F154" s="11">
        <f t="shared" si="15"/>
        <v>6.1748190057580548</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6.537587753446461</v>
      </c>
      <c r="E155" s="11">
        <f>A155-'Mastercurve bestimmen'!$B$2</f>
        <v>20</v>
      </c>
      <c r="F155" s="11">
        <f t="shared" si="15"/>
        <v>6.537587753446461</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6.9033366735614408</v>
      </c>
      <c r="E156" s="11">
        <f>A156-'Mastercurve bestimmen'!$B$2</f>
        <v>21</v>
      </c>
      <c r="F156" s="11">
        <f t="shared" si="15"/>
        <v>6.9033366735614408</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7.2719518153967773</v>
      </c>
      <c r="E157" s="11">
        <f>A157-'Mastercurve bestimmen'!$B$2</f>
        <v>22</v>
      </c>
      <c r="F157" s="11">
        <f t="shared" si="15"/>
        <v>7.2719518153967773</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7.6433192282462485</v>
      </c>
      <c r="E158" s="11">
        <f>A158-'Mastercurve bestimmen'!$B$2</f>
        <v>23</v>
      </c>
      <c r="F158" s="11">
        <f t="shared" si="15"/>
        <v>7.6433192282462485</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8.0173249614036362</v>
      </c>
      <c r="E159" s="11">
        <f>A159-'Mastercurve bestimmen'!$B$2</f>
        <v>24</v>
      </c>
      <c r="F159" s="11">
        <f t="shared" si="15"/>
        <v>8.0173249614036362</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8.3938550641627199</v>
      </c>
      <c r="E160" s="11">
        <f>A160-'Mastercurve bestimmen'!$B$2</f>
        <v>25</v>
      </c>
      <c r="F160" s="11">
        <f t="shared" si="15"/>
        <v>8.3938550641627199</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8.7727955858172812</v>
      </c>
      <c r="E161" s="11">
        <f>A161-'Mastercurve bestimmen'!$B$2</f>
        <v>26</v>
      </c>
      <c r="F161" s="11">
        <f t="shared" si="15"/>
        <v>8.7727955858172812</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9.1540325756610983</v>
      </c>
      <c r="E162" s="11">
        <f>A162-'Mastercurve bestimmen'!$B$2</f>
        <v>27</v>
      </c>
      <c r="F162" s="11">
        <f t="shared" si="15"/>
        <v>9.1540325756610983</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9.5374520829879508</v>
      </c>
      <c r="E163" s="11">
        <f>A163-'Mastercurve bestimmen'!$B$2</f>
        <v>28</v>
      </c>
      <c r="F163" s="11">
        <f t="shared" si="15"/>
        <v>9.5374520829879508</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9.922940157091622</v>
      </c>
      <c r="E164" s="11">
        <f>A164-'Mastercurve bestimmen'!$B$2</f>
        <v>29</v>
      </c>
      <c r="F164" s="11">
        <f t="shared" si="15"/>
        <v>9.922940157091622</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10.310382847265892</v>
      </c>
      <c r="E165" s="11">
        <f>A165-'Mastercurve bestimmen'!$B$2</f>
        <v>30</v>
      </c>
      <c r="F165" s="11">
        <f t="shared" si="15"/>
        <v>10.310382847265892</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10.699666202804536</v>
      </c>
      <c r="E166" s="11">
        <f>A166-'Mastercurve bestimmen'!$B$2</f>
        <v>31</v>
      </c>
      <c r="F166" s="11">
        <f t="shared" si="15"/>
        <v>10.699666202804536</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11.090676273001339</v>
      </c>
      <c r="E167" s="11">
        <f>A167-'Mastercurve bestimmen'!$B$2</f>
        <v>32</v>
      </c>
      <c r="F167" s="11">
        <f t="shared" si="15"/>
        <v>11.090676273001339</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11.48329910715008</v>
      </c>
      <c r="E168" s="11">
        <f>A168-'Mastercurve bestimmen'!$B$2</f>
        <v>33</v>
      </c>
      <c r="F168" s="11">
        <f t="shared" si="15"/>
        <v>11.48329910715008</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11.877420754544538</v>
      </c>
      <c r="E169" s="11">
        <f>A169-'Mastercurve bestimmen'!$B$2</f>
        <v>34</v>
      </c>
      <c r="F169" s="11">
        <f t="shared" si="15"/>
        <v>11.877420754544538</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12.272927264478497</v>
      </c>
      <c r="E170" s="11">
        <f>A170-'Mastercurve bestimmen'!$B$2</f>
        <v>35</v>
      </c>
      <c r="F170" s="11">
        <f t="shared" si="15"/>
        <v>12.272927264478497</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12.669704686245733</v>
      </c>
      <c r="E171" s="11">
        <f>A171-'Mastercurve bestimmen'!$B$2</f>
        <v>36</v>
      </c>
      <c r="F171" s="11">
        <f t="shared" si="15"/>
        <v>12.669704686245733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13.067639069140027</v>
      </c>
      <c r="E172" s="11">
        <f>A172-'Mastercurve bestimmen'!$B$2</f>
        <v>37</v>
      </c>
      <c r="F172" s="11">
        <f t="shared" si="15"/>
        <v>13.067639069140027</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13.466616462455159</v>
      </c>
      <c r="E173" s="11">
        <f>A173-'Mastercurve bestimmen'!$B$2</f>
        <v>38</v>
      </c>
      <c r="F173" s="11">
        <f t="shared" si="15"/>
        <v>13.466616462455159</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13.866522915484913</v>
      </c>
      <c r="E174" s="11">
        <f>A174-'Mastercurve bestimmen'!$B$2</f>
        <v>39</v>
      </c>
      <c r="F174" s="11">
        <f t="shared" si="15"/>
        <v>13.866522915484913</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14.267244477523064</v>
      </c>
      <c r="E175" s="11">
        <f>A175-'Mastercurve bestimmen'!$B$2</f>
        <v>40</v>
      </c>
      <c r="F175" s="11">
        <f t="shared" si="15"/>
        <v>14.267244477523064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14.668667197863396</v>
      </c>
      <c r="E176" s="11">
        <f>A176-'Mastercurve bestimmen'!$B$2</f>
        <v>41</v>
      </c>
      <c r="F176" s="11">
        <f t="shared" si="15"/>
        <v>14.668667197863396</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15.070677125799687</v>
      </c>
      <c r="E177" s="11">
        <f>A177-'Mastercurve bestimmen'!$B$2</f>
        <v>42</v>
      </c>
      <c r="F177" s="11">
        <f t="shared" si="15"/>
        <v>15.070677125799687</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15.473160310625717</v>
      </c>
      <c r="E178" s="11">
        <f>A178-'Mastercurve bestimmen'!$B$2</f>
        <v>43</v>
      </c>
      <c r="F178" s="11">
        <f t="shared" si="15"/>
        <v>15.473160310625717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15.87600280163527</v>
      </c>
      <c r="E179" s="11">
        <f>A179-'Mastercurve bestimmen'!$B$2</f>
        <v>44</v>
      </c>
      <c r="F179" s="11">
        <f t="shared" si="15"/>
        <v>15.87600280163527</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16.279090648122118</v>
      </c>
      <c r="E180" s="11">
        <f>A180-'Mastercurve bestimmen'!$B$2</f>
        <v>45</v>
      </c>
      <c r="F180" s="11">
        <f t="shared" si="15"/>
        <v>16.279090648122118</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16.682328265427419</v>
      </c>
      <c r="E181" s="11">
        <f>A181-'Mastercurve bestimmen'!$B$2</f>
        <v>46</v>
      </c>
      <c r="F181" s="11">
        <f t="shared" si="15"/>
        <v>16.682328265427419</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17.085693533081766</v>
      </c>
      <c r="E182" s="11">
        <f>A182-'Mastercurve bestimmen'!$B$2</f>
        <v>47</v>
      </c>
      <c r="F182" s="11">
        <f t="shared" si="15"/>
        <v>17.085693533081766</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17.489182696663129</v>
      </c>
      <c r="E183" s="11">
        <f>A183-'Mastercurve bestimmen'!$B$2</f>
        <v>48</v>
      </c>
      <c r="F183" s="11">
        <f t="shared" si="15"/>
        <v>17.489182696663129</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17.892792001749484</v>
      </c>
      <c r="E184" s="11">
        <f>A184-'Mastercurve bestimmen'!$B$2</f>
        <v>49</v>
      </c>
      <c r="F184" s="11">
        <f t="shared" si="15"/>
        <v>17.892792001749484</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18.296517693918794</v>
      </c>
      <c r="E185" s="11">
        <f>A185-'Mastercurve bestimmen'!$B$2</f>
        <v>50</v>
      </c>
      <c r="F185" s="11">
        <f t="shared" si="15"/>
        <v>18.296517693918794</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18.70035601874903</v>
      </c>
      <c r="E186" s="11">
        <f>A186-'Mastercurve bestimmen'!$B$2</f>
        <v>51</v>
      </c>
      <c r="F186" s="11">
        <f t="shared" si="15"/>
        <v>18.70035601874903</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19.104303221818164</v>
      </c>
      <c r="E187" s="11">
        <f>A187-'Mastercurve bestimmen'!$B$2</f>
        <v>52</v>
      </c>
      <c r="F187" s="11">
        <f t="shared" si="15"/>
        <v>19.104303221818164</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19.508355548704159</v>
      </c>
      <c r="E188" s="11">
        <f>A188-'Mastercurve bestimmen'!$B$2</f>
        <v>53</v>
      </c>
      <c r="F188" s="11">
        <f t="shared" si="15"/>
        <v>19.508355548704159</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19.912509244984989</v>
      </c>
      <c r="E189" s="11">
        <f>A189-'Mastercurve bestimmen'!$B$2</f>
        <v>54</v>
      </c>
      <c r="F189" s="11">
        <f t="shared" si="15"/>
        <v>19.912509244984989</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20.31676055623862</v>
      </c>
      <c r="E190" s="11">
        <f>A190-'Mastercurve bestimmen'!$B$2</f>
        <v>55</v>
      </c>
      <c r="F190" s="11">
        <f t="shared" si="15"/>
        <v>20.31676055623862</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20.721105728043025</v>
      </c>
      <c r="E191" s="11">
        <f>A191-'Mastercurve bestimmen'!$B$2</f>
        <v>56</v>
      </c>
      <c r="F191" s="11">
        <f t="shared" si="15"/>
        <v>20.721105728043025</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21.125541005976171</v>
      </c>
      <c r="E192" s="11">
        <f>A192-'Mastercurve bestimmen'!$B$2</f>
        <v>57</v>
      </c>
      <c r="F192" s="11">
        <f t="shared" si="15"/>
        <v>21.125541005976171</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21.530062635616027</v>
      </c>
      <c r="E193" s="11">
        <f>A193-'Mastercurve bestimmen'!$B$2</f>
        <v>58</v>
      </c>
      <c r="F193" s="11">
        <f t="shared" si="15"/>
        <v>21.530062635616027</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21.93466686254056</v>
      </c>
      <c r="E194" s="11">
        <f>A194-'Mastercurve bestimmen'!$B$2</f>
        <v>59</v>
      </c>
      <c r="F194" s="11">
        <f t="shared" si="15"/>
        <v>21.93466686254056</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22.339349932327742</v>
      </c>
      <c r="E195" s="11">
        <f>A195-'Mastercurve bestimmen'!$B$2</f>
        <v>60</v>
      </c>
      <c r="F195" s="11">
        <f t="shared" si="15"/>
        <v>22.339349932327742</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22.744108090555542</v>
      </c>
      <c r="E196" s="11">
        <f>A196-'Mastercurve bestimmen'!$B$2</f>
        <v>61</v>
      </c>
      <c r="F196" s="11">
        <f t="shared" si="15"/>
        <v>22.744108090555542</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23.148937582801931</v>
      </c>
      <c r="E197" s="11">
        <f>A197-'Mastercurve bestimmen'!$B$2</f>
        <v>62</v>
      </c>
      <c r="F197" s="11">
        <f t="shared" si="15"/>
        <v>23.148937582801931</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23.553834654644874</v>
      </c>
      <c r="E198" s="11">
        <f>A198-'Mastercurve bestimmen'!$B$2</f>
        <v>63</v>
      </c>
      <c r="F198" s="11">
        <f t="shared" si="15"/>
        <v>23.553834654644874</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23.958795551662341</v>
      </c>
      <c r="E199" s="11">
        <f>A199-'Mastercurve bestimmen'!$B$2</f>
        <v>64</v>
      </c>
      <c r="F199" s="11">
        <f t="shared" si="15"/>
        <v>23.958795551662341</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24.363816519432305</v>
      </c>
      <c r="E200" s="11">
        <f>A200-'Mastercurve bestimmen'!$B$2</f>
        <v>65</v>
      </c>
      <c r="F200" s="11">
        <f t="shared" si="15"/>
        <v>24.363816519432305</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24.768893803532727</v>
      </c>
      <c r="E201" s="11">
        <f>A201-'Mastercurve bestimmen'!$B$2</f>
        <v>66</v>
      </c>
      <c r="F201" s="11">
        <f t="shared" si="15"/>
        <v>24.768893803532727</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25.174023649541581</v>
      </c>
      <c r="E202" s="11">
        <f>A202-'Mastercurve bestimmen'!$B$2</f>
        <v>67</v>
      </c>
      <c r="F202" s="11">
        <f t="shared" si="15"/>
        <v>25.174023649541581</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25.579202303036841</v>
      </c>
      <c r="E203" s="11">
        <f>A203-'Mastercurve bestimmen'!$B$2</f>
        <v>68</v>
      </c>
      <c r="F203" s="11">
        <f t="shared" si="15"/>
        <v>25.579202303036841</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25.984426009596472</v>
      </c>
      <c r="E204" s="11">
        <f>A204-'Mastercurve bestimmen'!$B$2</f>
        <v>69</v>
      </c>
      <c r="F204" s="11">
        <f t="shared" si="15"/>
        <v>25.984426009596472</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26.389691014798441</v>
      </c>
      <c r="E205" s="11">
        <f>A205-'Mastercurve bestimmen'!$B$2</f>
        <v>70</v>
      </c>
      <c r="F205" s="11">
        <f t="shared" si="15"/>
        <v>26.389691014798441</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26.794993564220714</v>
      </c>
      <c r="E206" s="11">
        <f>A206-'Mastercurve bestimmen'!$B$2</f>
        <v>71</v>
      </c>
      <c r="F206" s="11">
        <f t="shared" si="15"/>
        <v>26.794993564220714</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27.200329903441268</v>
      </c>
      <c r="E207" s="11">
        <f>A207-'Mastercurve bestimmen'!$B$2</f>
        <v>72</v>
      </c>
      <c r="F207" s="11">
        <f t="shared" si="15"/>
        <v>27.200329903441268</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27.605696278038071</v>
      </c>
      <c r="E208" s="11">
        <f>A208-'Mastercurve bestimmen'!$B$2</f>
        <v>73</v>
      </c>
      <c r="F208" s="11">
        <f t="shared" ref="F208:F215" si="21">B208</f>
        <v>27.605696278038071</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28.01108893358909</v>
      </c>
      <c r="E209" s="11">
        <f>A209-'Mastercurve bestimmen'!$B$2</f>
        <v>74</v>
      </c>
      <c r="F209" s="11">
        <f t="shared" si="21"/>
        <v>28.01108893358909</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28.416504115672289</v>
      </c>
      <c r="E210" s="11">
        <f>A210-'Mastercurve bestimmen'!$B$2</f>
        <v>75</v>
      </c>
      <c r="F210" s="11">
        <f t="shared" si="21"/>
        <v>28.416504115672289</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28.821938069865649</v>
      </c>
      <c r="E211" s="11">
        <f>A211-'Mastercurve bestimmen'!$B$2</f>
        <v>76</v>
      </c>
      <c r="F211" s="11">
        <f t="shared" si="21"/>
        <v>28.821938069865649</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29.227387041747132</v>
      </c>
      <c r="E212" s="11">
        <f>A212-'Mastercurve bestimmen'!$B$2</f>
        <v>77</v>
      </c>
      <c r="F212" s="11">
        <f t="shared" si="21"/>
        <v>29.227387041747132</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29.632847276894704</v>
      </c>
      <c r="E213" s="11">
        <f>A213-'Mastercurve bestimmen'!$B$2</f>
        <v>78</v>
      </c>
      <c r="F213" s="11">
        <f t="shared" si="21"/>
        <v>29.632847276894704</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30.038315020886341</v>
      </c>
      <c r="E214" s="11">
        <f>A214-'Mastercurve bestimmen'!$B$2</f>
        <v>79</v>
      </c>
      <c r="F214" s="11">
        <f t="shared" si="21"/>
        <v>30.038315020886341</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30.443786519300005</v>
      </c>
      <c r="E215" s="11">
        <f>A215-'Mastercurve bestimmen'!$B$2</f>
        <v>80</v>
      </c>
      <c r="F215" s="11">
        <f t="shared" si="21"/>
        <v>30.443786519300005</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0.2808244743449575</v>
      </c>
      <c r="J217" s="99">
        <v>2.1745267885057164E-3</v>
      </c>
      <c r="K217" s="99">
        <v>5.0295806685179444E-6</v>
      </c>
      <c r="L217" s="99">
        <v>-3.0884491024296243E-7</v>
      </c>
      <c r="M217" s="99">
        <v>-5.3064122336461039E-10</v>
      </c>
      <c r="N217" s="99">
        <v>1.8192974417610105E-11</v>
      </c>
      <c r="O217" s="99">
        <v>5.9506504864885704E-14</v>
      </c>
      <c r="P217" s="99">
        <v>-3.1418687950252879E-17</v>
      </c>
    </row>
    <row r="218" spans="1:16" x14ac:dyDescent="0.25">
      <c r="G218" s="11"/>
      <c r="H218" s="11">
        <v>0</v>
      </c>
      <c r="I218" s="11">
        <v>1.0690088583687287E-3</v>
      </c>
      <c r="J218" s="11">
        <v>1.9911941559964225E-5</v>
      </c>
      <c r="K218" s="3">
        <v>1.0117176623744336E-6</v>
      </c>
      <c r="L218" s="3">
        <v>9.211990250651194E-9</v>
      </c>
      <c r="M218" s="3">
        <v>2.892582187903798E-10</v>
      </c>
      <c r="N218" s="3">
        <v>1.589504307990997E-12</v>
      </c>
      <c r="O218" s="11">
        <v>2.5560154961936418E-14</v>
      </c>
      <c r="P218" s="11">
        <v>1.5543095915726408E-16</v>
      </c>
    </row>
    <row r="219" spans="1:16" x14ac:dyDescent="0.25">
      <c r="G219" s="11"/>
      <c r="H219" s="11">
        <v>0.99995941426560686</v>
      </c>
      <c r="I219" s="11">
        <v>0.11059402872506667</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-30.264167581263866</v>
      </c>
      <c r="G222">
        <f>F15</f>
        <v>-30.414147978912087</v>
      </c>
    </row>
    <row r="223" spans="1:16" x14ac:dyDescent="0.25">
      <c r="E223" s="11">
        <f t="shared" ref="E223:E286" si="25">E16</f>
        <v>-119</v>
      </c>
      <c r="F223" s="11">
        <f t="shared" ref="F223:F286" si="26">$H$217*0+E223*$I$217+E223^2*$J$217+E223^3*$K$217+E223^4*$L$217+E223^5*$M$217+E223^6*$N$217+E223^7*$O$217+E223^8*$P$217</f>
        <v>-30.080081158095968</v>
      </c>
      <c r="G223" s="11">
        <f t="shared" ref="G223:G286" si="27">F16</f>
        <v>-30.165435328969728</v>
      </c>
    </row>
    <row r="224" spans="1:16" x14ac:dyDescent="0.25">
      <c r="E224" s="11">
        <f t="shared" si="25"/>
        <v>-118</v>
      </c>
      <c r="F224" s="11">
        <f t="shared" si="26"/>
        <v>-29.885023947601873</v>
      </c>
      <c r="G224" s="11">
        <f t="shared" si="27"/>
        <v>-29.916489079402499</v>
      </c>
    </row>
    <row r="225" spans="5:7" x14ac:dyDescent="0.25">
      <c r="E225" s="11">
        <f t="shared" si="25"/>
        <v>-117</v>
      </c>
      <c r="F225" s="11">
        <f t="shared" si="26"/>
        <v>-29.679456418819679</v>
      </c>
      <c r="G225" s="11">
        <f t="shared" si="27"/>
        <v>-29.667075630585533</v>
      </c>
    </row>
    <row r="226" spans="5:7" x14ac:dyDescent="0.25">
      <c r="E226" s="11">
        <f t="shared" si="25"/>
        <v>-116</v>
      </c>
      <c r="F226" s="11">
        <f t="shared" si="26"/>
        <v>-29.463840110783867</v>
      </c>
      <c r="G226" s="11">
        <f t="shared" si="27"/>
        <v>-29.416961382893959</v>
      </c>
    </row>
    <row r="227" spans="5:7" x14ac:dyDescent="0.25">
      <c r="E227" s="11">
        <f t="shared" si="25"/>
        <v>-115</v>
      </c>
      <c r="F227" s="11">
        <f t="shared" si="26"/>
        <v>-29.23863682239066</v>
      </c>
      <c r="G227" s="11">
        <f t="shared" si="27"/>
        <v>-29.165912736702911</v>
      </c>
    </row>
    <row r="228" spans="5:7" x14ac:dyDescent="0.25">
      <c r="E228" s="11">
        <f t="shared" si="25"/>
        <v>-114</v>
      </c>
      <c r="F228" s="11">
        <f t="shared" si="26"/>
        <v>-29.004307832925409</v>
      </c>
      <c r="G228" s="11">
        <f t="shared" si="27"/>
        <v>-28.913696092387521</v>
      </c>
    </row>
    <row r="229" spans="5:7" x14ac:dyDescent="0.25">
      <c r="E229" s="11">
        <f t="shared" si="25"/>
        <v>-113</v>
      </c>
      <c r="F229" s="11">
        <f t="shared" si="26"/>
        <v>-28.761313152804071</v>
      </c>
      <c r="G229" s="11">
        <f t="shared" si="27"/>
        <v>-28.660077850322914</v>
      </c>
    </row>
    <row r="230" spans="5:7" x14ac:dyDescent="0.25">
      <c r="E230" s="11">
        <f t="shared" si="25"/>
        <v>-112</v>
      </c>
      <c r="F230" s="11">
        <f t="shared" si="26"/>
        <v>-28.510110804082998</v>
      </c>
      <c r="G230" s="11">
        <f t="shared" si="27"/>
        <v>-28.404824410884231</v>
      </c>
    </row>
    <row r="231" spans="5:7" x14ac:dyDescent="0.25">
      <c r="E231" s="11">
        <f t="shared" si="25"/>
        <v>-111</v>
      </c>
      <c r="F231" s="11">
        <f t="shared" si="26"/>
        <v>-28.251156130291601</v>
      </c>
      <c r="G231" s="11">
        <f t="shared" si="27"/>
        <v>-28.1477021744466</v>
      </c>
    </row>
    <row r="232" spans="5:7" x14ac:dyDescent="0.25">
      <c r="E232" s="11">
        <f t="shared" si="25"/>
        <v>-110</v>
      </c>
      <c r="F232" s="11">
        <f t="shared" si="26"/>
        <v>-27.98490113514454</v>
      </c>
      <c r="G232" s="11">
        <f t="shared" si="27"/>
        <v>-27.888477541385146</v>
      </c>
    </row>
    <row r="233" spans="5:7" x14ac:dyDescent="0.25">
      <c r="E233" s="11">
        <f t="shared" si="25"/>
        <v>-109</v>
      </c>
      <c r="F233" s="11">
        <f t="shared" si="26"/>
        <v>-27.711793849690959</v>
      </c>
      <c r="G233" s="11">
        <f t="shared" si="27"/>
        <v>-27.626916912075011</v>
      </c>
    </row>
    <row r="234" spans="5:7" x14ac:dyDescent="0.25">
      <c r="E234" s="11">
        <f t="shared" si="25"/>
        <v>-108</v>
      </c>
      <c r="F234" s="11">
        <f t="shared" si="26"/>
        <v>-27.432277727459368</v>
      </c>
      <c r="G234" s="11">
        <f t="shared" si="27"/>
        <v>-27.362786686891312</v>
      </c>
    </row>
    <row r="235" spans="5:7" x14ac:dyDescent="0.25">
      <c r="E235" s="11">
        <f t="shared" si="25"/>
        <v>-107</v>
      </c>
      <c r="F235" s="11">
        <f t="shared" si="26"/>
        <v>-27.146791067158656</v>
      </c>
      <c r="G235" s="11">
        <f t="shared" si="27"/>
        <v>-27.09585326620919</v>
      </c>
    </row>
    <row r="236" spans="5:7" x14ac:dyDescent="0.25">
      <c r="E236" s="11">
        <f t="shared" si="25"/>
        <v>-106</v>
      </c>
      <c r="F236" s="11">
        <f t="shared" si="26"/>
        <v>-26.855766462496309</v>
      </c>
      <c r="G236" s="11">
        <f t="shared" si="27"/>
        <v>-26.825883050403778</v>
      </c>
    </row>
    <row r="237" spans="5:7" x14ac:dyDescent="0.25">
      <c r="E237" s="11">
        <f t="shared" si="25"/>
        <v>-105</v>
      </c>
      <c r="F237" s="11">
        <f t="shared" si="26"/>
        <v>-26.559630278676469</v>
      </c>
      <c r="G237" s="11">
        <f t="shared" si="27"/>
        <v>-26.552642439850203</v>
      </c>
    </row>
    <row r="238" spans="5:7" x14ac:dyDescent="0.25">
      <c r="E238" s="11">
        <f t="shared" si="25"/>
        <v>-104</v>
      </c>
      <c r="F238" s="11">
        <f t="shared" si="26"/>
        <v>-26.258802155142089</v>
      </c>
      <c r="G238" s="11">
        <f t="shared" si="27"/>
        <v>-26.275897834923601</v>
      </c>
    </row>
    <row r="239" spans="5:7" x14ac:dyDescent="0.25">
      <c r="E239" s="11">
        <f t="shared" si="25"/>
        <v>-103</v>
      </c>
      <c r="F239" s="11">
        <f t="shared" si="26"/>
        <v>-25.953694534125876</v>
      </c>
      <c r="G239" s="11">
        <f t="shared" si="27"/>
        <v>-25.995415635999095</v>
      </c>
    </row>
    <row r="240" spans="5:7" x14ac:dyDescent="0.25">
      <c r="E240" s="11">
        <f t="shared" si="25"/>
        <v>-102</v>
      </c>
      <c r="F240" s="11">
        <f t="shared" si="26"/>
        <v>-25.644712214576831</v>
      </c>
      <c r="G240" s="11">
        <f t="shared" si="27"/>
        <v>-25.710962243451821</v>
      </c>
    </row>
    <row r="241" spans="5:7" x14ac:dyDescent="0.25">
      <c r="E241" s="11">
        <f t="shared" si="25"/>
        <v>-101</v>
      </c>
      <c r="F241" s="11">
        <f t="shared" si="26"/>
        <v>-25.332251931029862</v>
      </c>
      <c r="G241" s="11">
        <f t="shared" si="27"/>
        <v>-25.422304057656913</v>
      </c>
    </row>
    <row r="242" spans="5:7" x14ac:dyDescent="0.25">
      <c r="E242" s="11">
        <f t="shared" si="25"/>
        <v>-100</v>
      </c>
      <c r="F242" s="11">
        <f t="shared" si="26"/>
        <v>-25.016701956987657</v>
      </c>
      <c r="G242" s="11">
        <f t="shared" si="27"/>
        <v>-25.1292074789895</v>
      </c>
    </row>
    <row r="243" spans="5:7" x14ac:dyDescent="0.25">
      <c r="E243" s="11">
        <f t="shared" si="25"/>
        <v>-99</v>
      </c>
      <c r="F243" s="11">
        <f t="shared" si="26"/>
        <v>-24.698441732384822</v>
      </c>
      <c r="G243" s="11">
        <f t="shared" si="27"/>
        <v>-24.831438907824708</v>
      </c>
    </row>
    <row r="244" spans="5:7" x14ac:dyDescent="0.25">
      <c r="E244" s="11">
        <f t="shared" si="25"/>
        <v>-98</v>
      </c>
      <c r="F244" s="11">
        <f t="shared" si="26"/>
        <v>-24.377841514705942</v>
      </c>
      <c r="G244" s="11">
        <f t="shared" si="27"/>
        <v>-24.528764744537675</v>
      </c>
    </row>
    <row r="245" spans="5:7" x14ac:dyDescent="0.25">
      <c r="E245" s="11">
        <f t="shared" si="25"/>
        <v>-97</v>
      </c>
      <c r="F245" s="11">
        <f t="shared" si="26"/>
        <v>-24.055262053330328</v>
      </c>
      <c r="G245" s="11">
        <f t="shared" si="27"/>
        <v>-24.220951389503533</v>
      </c>
    </row>
    <row r="246" spans="5:7" x14ac:dyDescent="0.25">
      <c r="E246" s="11">
        <f t="shared" si="25"/>
        <v>-96</v>
      </c>
      <c r="F246" s="11">
        <f t="shared" si="26"/>
        <v>-23.731054286677502</v>
      </c>
      <c r="G246" s="11">
        <f t="shared" si="27"/>
        <v>-23.907765243097408</v>
      </c>
    </row>
    <row r="247" spans="5:7" x14ac:dyDescent="0.25">
      <c r="E247" s="11">
        <f t="shared" si="25"/>
        <v>-95</v>
      </c>
      <c r="F247" s="11">
        <f t="shared" si="26"/>
        <v>-23.405559061728535</v>
      </c>
      <c r="G247" s="11">
        <f t="shared" si="27"/>
        <v>-23.588972705694438</v>
      </c>
    </row>
    <row r="248" spans="5:7" x14ac:dyDescent="0.25">
      <c r="E248" s="11">
        <f t="shared" si="25"/>
        <v>-94</v>
      </c>
      <c r="F248" s="11">
        <f t="shared" si="26"/>
        <v>-23.079106875500155</v>
      </c>
      <c r="G248" s="11">
        <f t="shared" si="27"/>
        <v>-23.264340177669744</v>
      </c>
    </row>
    <row r="249" spans="5:7" x14ac:dyDescent="0.25">
      <c r="E249" s="11">
        <f t="shared" si="25"/>
        <v>-93</v>
      </c>
      <c r="F249" s="11">
        <f t="shared" si="26"/>
        <v>-22.752017638049178</v>
      </c>
      <c r="G249" s="11">
        <f t="shared" si="27"/>
        <v>-22.933634059398468</v>
      </c>
    </row>
    <row r="250" spans="5:7" x14ac:dyDescent="0.25">
      <c r="E250" s="11">
        <f t="shared" si="25"/>
        <v>-92</v>
      </c>
      <c r="F250" s="11">
        <f t="shared" si="26"/>
        <v>-22.42460045658645</v>
      </c>
      <c r="G250" s="11">
        <f t="shared" si="27"/>
        <v>-22.596620751255735</v>
      </c>
    </row>
    <row r="251" spans="5:7" x14ac:dyDescent="0.25">
      <c r="E251" s="11">
        <f t="shared" si="25"/>
        <v>-91</v>
      </c>
      <c r="F251" s="11">
        <f t="shared" si="26"/>
        <v>-22.097153440280803</v>
      </c>
      <c r="G251" s="11">
        <f t="shared" si="27"/>
        <v>-22.253066653616681</v>
      </c>
    </row>
    <row r="252" spans="5:7" x14ac:dyDescent="0.25">
      <c r="E252" s="11">
        <f t="shared" si="25"/>
        <v>-90</v>
      </c>
      <c r="F252" s="11">
        <f t="shared" si="26"/>
        <v>-21.769963525334433</v>
      </c>
      <c r="G252" s="11">
        <f t="shared" si="27"/>
        <v>-21.902738166856434</v>
      </c>
    </row>
    <row r="253" spans="5:7" x14ac:dyDescent="0.25">
      <c r="E253" s="11">
        <f t="shared" si="25"/>
        <v>-89</v>
      </c>
      <c r="F253" s="11">
        <f t="shared" si="26"/>
        <v>-21.443306319912786</v>
      </c>
      <c r="G253" s="11">
        <f t="shared" si="27"/>
        <v>-21.545401691350122</v>
      </c>
    </row>
    <row r="254" spans="5:7" x14ac:dyDescent="0.25">
      <c r="E254" s="11">
        <f t="shared" si="25"/>
        <v>-88</v>
      </c>
      <c r="F254" s="11">
        <f t="shared" si="26"/>
        <v>-21.117445968513127</v>
      </c>
      <c r="G254" s="11">
        <f t="shared" si="27"/>
        <v>-21.180823627472883</v>
      </c>
    </row>
    <row r="255" spans="5:7" x14ac:dyDescent="0.25">
      <c r="E255" s="11">
        <f t="shared" si="25"/>
        <v>-87</v>
      </c>
      <c r="F255" s="11">
        <f t="shared" si="26"/>
        <v>-20.79263503535708</v>
      </c>
      <c r="G255" s="11">
        <f t="shared" si="27"/>
        <v>-20.808770375599845</v>
      </c>
    </row>
    <row r="256" spans="5:7" x14ac:dyDescent="0.25">
      <c r="E256" s="11">
        <f t="shared" si="25"/>
        <v>-86</v>
      </c>
      <c r="F256" s="11">
        <f t="shared" si="26"/>
        <v>-20.469114406394024</v>
      </c>
      <c r="G256" s="11">
        <f t="shared" si="27"/>
        <v>-20.429008336106136</v>
      </c>
    </row>
    <row r="257" spans="5:7" x14ac:dyDescent="0.25">
      <c r="E257" s="11">
        <f t="shared" si="25"/>
        <v>-85</v>
      </c>
      <c r="F257" s="11">
        <f t="shared" si="26"/>
        <v>-20.147113209503221</v>
      </c>
      <c r="G257" s="11">
        <f t="shared" si="27"/>
        <v>-20.041303909366896</v>
      </c>
    </row>
    <row r="258" spans="5:7" x14ac:dyDescent="0.25">
      <c r="E258" s="11">
        <f t="shared" si="25"/>
        <v>-84</v>
      </c>
      <c r="F258" s="11">
        <f t="shared" si="26"/>
        <v>-19.826848752483905</v>
      </c>
      <c r="G258" s="11">
        <f t="shared" si="27"/>
        <v>-19.64542349575725</v>
      </c>
    </row>
    <row r="259" spans="5:7" x14ac:dyDescent="0.25">
      <c r="E259" s="11">
        <f t="shared" si="25"/>
        <v>-83</v>
      </c>
      <c r="F259" s="11">
        <f t="shared" si="26"/>
        <v>-19.508526478423985</v>
      </c>
      <c r="G259" s="11">
        <f t="shared" si="27"/>
        <v>-19.241133495652331</v>
      </c>
    </row>
    <row r="260" spans="5:7" x14ac:dyDescent="0.25">
      <c r="E260" s="11">
        <f t="shared" si="25"/>
        <v>-82</v>
      </c>
      <c r="F260" s="11">
        <f t="shared" si="26"/>
        <v>-19.192339938038884</v>
      </c>
      <c r="G260" s="11">
        <f t="shared" si="27"/>
        <v>-18.82820030942727</v>
      </c>
    </row>
    <row r="261" spans="5:7" x14ac:dyDescent="0.25">
      <c r="E261" s="11">
        <f t="shared" si="25"/>
        <v>-81</v>
      </c>
      <c r="F261" s="11">
        <f t="shared" si="26"/>
        <v>-18.878470778573821</v>
      </c>
      <c r="G261" s="11">
        <f t="shared" si="27"/>
        <v>-18.406390337457193</v>
      </c>
    </row>
    <row r="262" spans="5:7" x14ac:dyDescent="0.25">
      <c r="E262" s="11">
        <f t="shared" si="25"/>
        <v>-80</v>
      </c>
      <c r="F262" s="11">
        <f t="shared" si="26"/>
        <v>-18.567088748863647</v>
      </c>
      <c r="G262" s="11">
        <f t="shared" si="27"/>
        <v>-17.975469980117243</v>
      </c>
    </row>
    <row r="263" spans="5:7" x14ac:dyDescent="0.25">
      <c r="E263" s="11">
        <f t="shared" si="25"/>
        <v>-79</v>
      </c>
      <c r="F263" s="11">
        <f t="shared" si="26"/>
        <v>-18.258351720145981</v>
      </c>
      <c r="G263" s="11">
        <f t="shared" si="27"/>
        <v>-17.786801477302291</v>
      </c>
    </row>
    <row r="264" spans="5:7" x14ac:dyDescent="0.25">
      <c r="E264" s="11">
        <f t="shared" si="25"/>
        <v>-78</v>
      </c>
      <c r="F264" s="11">
        <f t="shared" si="26"/>
        <v>-17.952405722224267</v>
      </c>
      <c r="G264" s="11">
        <f t="shared" si="27"/>
        <v>-17.589351006386241</v>
      </c>
    </row>
    <row r="265" spans="5:7" x14ac:dyDescent="0.25">
      <c r="E265" s="11">
        <f t="shared" si="25"/>
        <v>-77</v>
      </c>
      <c r="F265" s="11">
        <f t="shared" si="26"/>
        <v>-17.649384994579162</v>
      </c>
      <c r="G265" s="11">
        <f t="shared" si="27"/>
        <v>-17.383680584262745</v>
      </c>
    </row>
    <row r="266" spans="5:7" x14ac:dyDescent="0.25">
      <c r="E266" s="11">
        <f t="shared" si="25"/>
        <v>-76</v>
      </c>
      <c r="F266" s="11">
        <f t="shared" si="26"/>
        <v>-17.349412052027301</v>
      </c>
      <c r="G266" s="11">
        <f t="shared" si="27"/>
        <v>-17.170352227825443</v>
      </c>
    </row>
    <row r="267" spans="5:7" x14ac:dyDescent="0.25">
      <c r="E267" s="11">
        <f t="shared" si="25"/>
        <v>-75</v>
      </c>
      <c r="F267" s="11">
        <f t="shared" si="26"/>
        <v>-17.052597764528329</v>
      </c>
      <c r="G267" s="11">
        <f t="shared" si="27"/>
        <v>-16.94992795396799</v>
      </c>
    </row>
    <row r="268" spans="5:7" x14ac:dyDescent="0.25">
      <c r="E268" s="11">
        <f t="shared" si="25"/>
        <v>-74</v>
      </c>
      <c r="F268" s="11">
        <f t="shared" si="26"/>
        <v>-16.759041450742053</v>
      </c>
      <c r="G268" s="11">
        <f t="shared" si="27"/>
        <v>-16.722969779584034</v>
      </c>
    </row>
    <row r="269" spans="5:7" x14ac:dyDescent="0.25">
      <c r="E269" s="11">
        <f t="shared" si="25"/>
        <v>-73</v>
      </c>
      <c r="F269" s="11">
        <f t="shared" si="26"/>
        <v>-16.468830984938787</v>
      </c>
      <c r="G269" s="11">
        <f t="shared" si="27"/>
        <v>-16.490039721567218</v>
      </c>
    </row>
    <row r="270" spans="5:7" x14ac:dyDescent="0.25">
      <c r="E270" s="11">
        <f t="shared" si="25"/>
        <v>-72</v>
      </c>
      <c r="F270" s="11">
        <f t="shared" si="26"/>
        <v>-16.182042916867442</v>
      </c>
      <c r="G270" s="11">
        <f t="shared" si="27"/>
        <v>-16.251699796811199</v>
      </c>
    </row>
    <row r="271" spans="5:7" x14ac:dyDescent="0.25">
      <c r="E271" s="11">
        <f t="shared" si="25"/>
        <v>-71</v>
      </c>
      <c r="F271" s="11">
        <f t="shared" si="26"/>
        <v>-15.898742604187062</v>
      </c>
      <c r="G271" s="11">
        <f t="shared" si="27"/>
        <v>-16.008512022209615</v>
      </c>
    </row>
    <row r="272" spans="5:7" x14ac:dyDescent="0.25">
      <c r="E272" s="11">
        <f t="shared" si="25"/>
        <v>-70</v>
      </c>
      <c r="F272" s="11">
        <f t="shared" si="26"/>
        <v>-15.618984357068742</v>
      </c>
      <c r="G272" s="11">
        <f t="shared" si="27"/>
        <v>-15.761038414656126</v>
      </c>
    </row>
    <row r="273" spans="5:7" x14ac:dyDescent="0.25">
      <c r="E273" s="11">
        <f t="shared" si="25"/>
        <v>-69</v>
      </c>
      <c r="F273" s="11">
        <f t="shared" si="26"/>
        <v>-15.34281159457618</v>
      </c>
      <c r="G273" s="11">
        <f t="shared" si="27"/>
        <v>-15.509840991044376</v>
      </c>
    </row>
    <row r="274" spans="5:7" x14ac:dyDescent="0.25">
      <c r="E274" s="11">
        <f t="shared" si="25"/>
        <v>-68</v>
      </c>
      <c r="F274" s="11">
        <f t="shared" si="26"/>
        <v>-15.070257012434396</v>
      </c>
      <c r="G274" s="11">
        <f t="shared" si="27"/>
        <v>-15.255481768268012</v>
      </c>
    </row>
    <row r="275" spans="5:7" x14ac:dyDescent="0.25">
      <c r="E275" s="11">
        <f t="shared" si="25"/>
        <v>-67</v>
      </c>
      <c r="F275" s="11">
        <f t="shared" si="26"/>
        <v>-14.801342761797416</v>
      </c>
      <c r="G275" s="11">
        <f t="shared" si="27"/>
        <v>-14.998522763220688</v>
      </c>
    </row>
    <row r="276" spans="5:7" x14ac:dyDescent="0.25">
      <c r="E276" s="11">
        <f t="shared" si="25"/>
        <v>-66</v>
      </c>
      <c r="F276" s="11">
        <f t="shared" si="26"/>
        <v>-14.53608063862686</v>
      </c>
      <c r="G276" s="11">
        <f t="shared" si="27"/>
        <v>-14.739525992796047</v>
      </c>
    </row>
    <row r="277" spans="5:7" x14ac:dyDescent="0.25">
      <c r="E277" s="11">
        <f t="shared" si="25"/>
        <v>-65</v>
      </c>
      <c r="F277" s="11">
        <f t="shared" si="26"/>
        <v>-14.274472283294889</v>
      </c>
      <c r="G277" s="11">
        <f t="shared" si="27"/>
        <v>-14.479053473887738</v>
      </c>
    </row>
    <row r="278" spans="5:7" x14ac:dyDescent="0.25">
      <c r="E278" s="11">
        <f t="shared" si="25"/>
        <v>-64</v>
      </c>
      <c r="F278" s="11">
        <f t="shared" si="26"/>
        <v>-14.016509390025996</v>
      </c>
      <c r="G278" s="11">
        <f t="shared" si="27"/>
        <v>-14.217667223389416</v>
      </c>
    </row>
    <row r="279" spans="5:7" x14ac:dyDescent="0.25">
      <c r="E279" s="11">
        <f t="shared" si="25"/>
        <v>-63</v>
      </c>
      <c r="F279" s="11">
        <f t="shared" si="26"/>
        <v>-13.762173925793496</v>
      </c>
      <c r="G279" s="11">
        <f t="shared" si="27"/>
        <v>-13.955929258194722</v>
      </c>
    </row>
    <row r="280" spans="5:7" x14ac:dyDescent="0.25">
      <c r="E280" s="11">
        <f t="shared" si="25"/>
        <v>-62</v>
      </c>
      <c r="F280" s="11">
        <f t="shared" si="26"/>
        <v>-13.511438358287851</v>
      </c>
      <c r="G280" s="11">
        <f t="shared" si="27"/>
        <v>-13.694401595197309</v>
      </c>
    </row>
    <row r="281" spans="5:7" x14ac:dyDescent="0.25">
      <c r="E281" s="11">
        <f t="shared" si="25"/>
        <v>-61</v>
      </c>
      <c r="F281" s="11">
        <f t="shared" si="26"/>
        <v>-13.264265892575217</v>
      </c>
      <c r="G281" s="11">
        <f t="shared" si="27"/>
        <v>-13.433646251290828</v>
      </c>
    </row>
    <row r="282" spans="5:7" x14ac:dyDescent="0.25">
      <c r="E282" s="11">
        <f t="shared" si="25"/>
        <v>-60</v>
      </c>
      <c r="F282" s="11">
        <f t="shared" si="26"/>
        <v>-13.020610716065795</v>
      </c>
      <c r="G282" s="11">
        <f t="shared" si="27"/>
        <v>-13.174225243368923</v>
      </c>
    </row>
    <row r="283" spans="5:7" x14ac:dyDescent="0.25">
      <c r="E283" s="11">
        <f t="shared" si="25"/>
        <v>-59</v>
      </c>
      <c r="F283" s="11">
        <f t="shared" si="26"/>
        <v>-12.780418251412986</v>
      </c>
      <c r="G283" s="11">
        <f t="shared" si="27"/>
        <v>-12.916700588325243</v>
      </c>
    </row>
    <row r="284" spans="5:7" x14ac:dyDescent="0.25">
      <c r="E284" s="11">
        <f t="shared" si="25"/>
        <v>-58</v>
      </c>
      <c r="F284" s="11">
        <f t="shared" si="26"/>
        <v>-12.543625416965472</v>
      </c>
      <c r="G284" s="11">
        <f t="shared" si="27"/>
        <v>-12.66163430305344</v>
      </c>
    </row>
    <row r="285" spans="5:7" x14ac:dyDescent="0.25">
      <c r="E285" s="11">
        <f t="shared" si="25"/>
        <v>-57</v>
      </c>
      <c r="F285" s="11">
        <f t="shared" si="26"/>
        <v>-12.310160894395656</v>
      </c>
      <c r="G285" s="11">
        <f t="shared" si="27"/>
        <v>-12.409588404447158</v>
      </c>
    </row>
    <row r="286" spans="5:7" x14ac:dyDescent="0.25">
      <c r="E286" s="11">
        <f t="shared" si="25"/>
        <v>-56</v>
      </c>
      <c r="F286" s="11">
        <f t="shared" si="26"/>
        <v>-12.079945403129228</v>
      </c>
      <c r="G286" s="11">
        <f t="shared" si="27"/>
        <v>-12.161124909400051</v>
      </c>
    </row>
    <row r="287" spans="5:7" x14ac:dyDescent="0.25">
      <c r="E287" s="11">
        <f t="shared" ref="E287:E350" si="28">E80</f>
        <v>-55</v>
      </c>
      <c r="F287" s="11">
        <f t="shared" ref="F287:F350" si="29">$H$217*0+E287*$I$217+E287^2*$J$217+E287^3*$K$217+E287^4*$L$217+E287^5*$M$217+E287^6*$N$217+E287^7*$O$217+E287^8*$P$217</f>
        <v>-11.852891981201815</v>
      </c>
      <c r="G287" s="11">
        <f t="shared" ref="G287:G350" si="30">F80</f>
        <v>-11.916805834805766</v>
      </c>
    </row>
    <row r="288" spans="5:7" x14ac:dyDescent="0.25">
      <c r="E288" s="11">
        <f t="shared" si="28"/>
        <v>-54</v>
      </c>
      <c r="F288" s="11">
        <f t="shared" si="29"/>
        <v>-11.628906272169923</v>
      </c>
      <c r="G288" s="11">
        <f t="shared" si="30"/>
        <v>-11.677063359734802</v>
      </c>
    </row>
    <row r="289" spans="5:7" x14ac:dyDescent="0.25">
      <c r="E289" s="11">
        <f t="shared" si="28"/>
        <v>-53</v>
      </c>
      <c r="F289" s="11">
        <f t="shared" si="29"/>
        <v>-11.407886817704744</v>
      </c>
      <c r="G289" s="11">
        <f t="shared" si="30"/>
        <v>-11.441810311965069</v>
      </c>
    </row>
    <row r="290" spans="5:7" x14ac:dyDescent="0.25">
      <c r="E290" s="11">
        <f t="shared" si="28"/>
        <v>-52</v>
      </c>
      <c r="F290" s="11">
        <f t="shared" si="29"/>
        <v>-11.189725355498537</v>
      </c>
      <c r="G290" s="11">
        <f t="shared" si="30"/>
        <v>-11.210829681451331</v>
      </c>
    </row>
    <row r="291" spans="5:7" x14ac:dyDescent="0.25">
      <c r="E291" s="11">
        <f t="shared" si="28"/>
        <v>-51</v>
      </c>
      <c r="F291" s="11">
        <f t="shared" si="29"/>
        <v>-10.974307122114739</v>
      </c>
      <c r="G291" s="11">
        <f t="shared" si="30"/>
        <v>-10.983904458148348</v>
      </c>
    </row>
    <row r="292" spans="5:7" x14ac:dyDescent="0.25">
      <c r="E292" s="11">
        <f t="shared" si="28"/>
        <v>-50</v>
      </c>
      <c r="F292" s="11">
        <f t="shared" si="29"/>
        <v>-10.761511160413992</v>
      </c>
      <c r="G292" s="11">
        <f t="shared" si="30"/>
        <v>-10.76081763201088</v>
      </c>
    </row>
    <row r="293" spans="5:7" x14ac:dyDescent="0.25">
      <c r="E293" s="11">
        <f t="shared" si="28"/>
        <v>-49</v>
      </c>
      <c r="F293" s="11">
        <f t="shared" si="29"/>
        <v>-10.551210631189736</v>
      </c>
      <c r="G293" s="11">
        <f t="shared" si="30"/>
        <v>-10.541352192993688</v>
      </c>
    </row>
    <row r="294" spans="5:7" x14ac:dyDescent="0.25">
      <c r="E294" s="11">
        <f t="shared" si="28"/>
        <v>-48</v>
      </c>
      <c r="F294" s="11">
        <f t="shared" si="29"/>
        <v>-10.34327312864823</v>
      </c>
      <c r="G294" s="11">
        <f t="shared" si="30"/>
        <v>-10.325291131051536</v>
      </c>
    </row>
    <row r="295" spans="5:7" x14ac:dyDescent="0.25">
      <c r="E295" s="11">
        <f t="shared" si="28"/>
        <v>-47</v>
      </c>
      <c r="F295" s="11">
        <f t="shared" si="29"/>
        <v>-10.137560999369065</v>
      </c>
      <c r="G295" s="11">
        <f t="shared" si="30"/>
        <v>-10.112417436139184</v>
      </c>
    </row>
    <row r="296" spans="5:7" x14ac:dyDescent="0.25">
      <c r="E296" s="11">
        <f t="shared" si="28"/>
        <v>-46</v>
      </c>
      <c r="F296" s="11">
        <f t="shared" si="29"/>
        <v>-9.9339316643835911</v>
      </c>
      <c r="G296" s="11">
        <f t="shared" si="30"/>
        <v>-9.9025140982113946</v>
      </c>
    </row>
    <row r="297" spans="5:7" x14ac:dyDescent="0.25">
      <c r="E297" s="11">
        <f t="shared" si="28"/>
        <v>-45</v>
      </c>
      <c r="F297" s="11">
        <f t="shared" si="29"/>
        <v>-9.7322379440098583</v>
      </c>
      <c r="G297" s="11">
        <f t="shared" si="30"/>
        <v>-9.6953641072229289</v>
      </c>
    </row>
    <row r="298" spans="5:7" x14ac:dyDescent="0.25">
      <c r="E298" s="11">
        <f t="shared" si="28"/>
        <v>-44</v>
      </c>
      <c r="F298" s="11">
        <f t="shared" si="29"/>
        <v>-9.5323283850840692</v>
      </c>
      <c r="G298" s="11">
        <f t="shared" si="30"/>
        <v>-9.4907504531285447</v>
      </c>
    </row>
    <row r="299" spans="5:7" x14ac:dyDescent="0.25">
      <c r="E299" s="11">
        <f t="shared" si="28"/>
        <v>-43</v>
      </c>
      <c r="F299" s="11">
        <f t="shared" si="29"/>
        <v>-9.3340475902296074</v>
      </c>
      <c r="G299" s="11">
        <f t="shared" si="30"/>
        <v>-9.288456125883009</v>
      </c>
    </row>
    <row r="300" spans="5:7" x14ac:dyDescent="0.25">
      <c r="E300" s="11">
        <f t="shared" si="28"/>
        <v>-42</v>
      </c>
      <c r="F300" s="11">
        <f t="shared" si="29"/>
        <v>-9.1372365488062002</v>
      </c>
      <c r="G300" s="11">
        <f t="shared" si="30"/>
        <v>-9.0882641154410795</v>
      </c>
    </row>
    <row r="301" spans="5:7" x14ac:dyDescent="0.25">
      <c r="E301" s="11">
        <f t="shared" si="28"/>
        <v>-41</v>
      </c>
      <c r="F301" s="11">
        <f t="shared" si="29"/>
        <v>-8.9417329691828638</v>
      </c>
      <c r="G301" s="11">
        <f t="shared" si="30"/>
        <v>-8.8899574117575177</v>
      </c>
    </row>
    <row r="302" spans="5:7" x14ac:dyDescent="0.25">
      <c r="E302" s="11">
        <f t="shared" si="28"/>
        <v>-40</v>
      </c>
      <c r="F302" s="11">
        <f t="shared" si="29"/>
        <v>-8.7473716119796325</v>
      </c>
      <c r="G302" s="11">
        <f t="shared" si="30"/>
        <v>-8.6933190047870905</v>
      </c>
    </row>
    <row r="303" spans="5:7" x14ac:dyDescent="0.25">
      <c r="E303" s="11">
        <f t="shared" si="28"/>
        <v>-39</v>
      </c>
      <c r="F303" s="11">
        <f t="shared" si="29"/>
        <v>-8.55398462392432</v>
      </c>
      <c r="G303" s="11">
        <f t="shared" si="30"/>
        <v>-8.4981318844845504</v>
      </c>
    </row>
    <row r="304" spans="5:7" x14ac:dyDescent="0.25">
      <c r="E304" s="11">
        <f t="shared" si="28"/>
        <v>-38</v>
      </c>
      <c r="F304" s="11">
        <f t="shared" si="29"/>
        <v>-8.3614018719718359</v>
      </c>
      <c r="G304" s="11">
        <f t="shared" si="30"/>
        <v>-8.3041790408046658</v>
      </c>
    </row>
    <row r="305" spans="5:7" x14ac:dyDescent="0.25">
      <c r="E305" s="11">
        <f t="shared" si="28"/>
        <v>-37</v>
      </c>
      <c r="F305" s="11">
        <f t="shared" si="29"/>
        <v>-8.1694512773347974</v>
      </c>
      <c r="G305" s="11">
        <f t="shared" si="30"/>
        <v>-8.1112434637021966</v>
      </c>
    </row>
    <row r="306" spans="5:7" x14ac:dyDescent="0.25">
      <c r="E306" s="11">
        <f t="shared" si="28"/>
        <v>-36</v>
      </c>
      <c r="F306" s="11">
        <f t="shared" si="29"/>
        <v>-7.9779591490755708</v>
      </c>
      <c r="G306" s="11">
        <f t="shared" si="30"/>
        <v>-7.9191081431319024</v>
      </c>
    </row>
    <row r="307" spans="5:7" x14ac:dyDescent="0.25">
      <c r="E307" s="11">
        <f t="shared" si="28"/>
        <v>-35</v>
      </c>
      <c r="F307" s="11">
        <f t="shared" si="29"/>
        <v>-7.786750516910959</v>
      </c>
      <c r="G307" s="11">
        <f t="shared" si="30"/>
        <v>-7.7275560690485463</v>
      </c>
    </row>
    <row r="308" spans="5:7" x14ac:dyDescent="0.25">
      <c r="E308" s="11">
        <f t="shared" si="28"/>
        <v>-34</v>
      </c>
      <c r="F308" s="11">
        <f t="shared" si="29"/>
        <v>-7.5956494628821716</v>
      </c>
      <c r="G308" s="11">
        <f t="shared" si="30"/>
        <v>-7.5363702314068881</v>
      </c>
    </row>
    <row r="309" spans="5:7" x14ac:dyDescent="0.25">
      <c r="E309" s="11">
        <f t="shared" si="28"/>
        <v>-33</v>
      </c>
      <c r="F309" s="11">
        <f t="shared" si="29"/>
        <v>-7.404479451543942</v>
      </c>
      <c r="G309" s="11">
        <f t="shared" si="30"/>
        <v>-7.3453336201616901</v>
      </c>
    </row>
    <row r="310" spans="5:7" x14ac:dyDescent="0.25">
      <c r="E310" s="11">
        <f t="shared" si="28"/>
        <v>-32</v>
      </c>
      <c r="F310" s="11">
        <f t="shared" si="29"/>
        <v>-7.2130636583278536</v>
      </c>
      <c r="G310" s="11">
        <f t="shared" si="30"/>
        <v>-7.1542292252677155</v>
      </c>
    </row>
    <row r="311" spans="5:7" x14ac:dyDescent="0.25">
      <c r="E311" s="11">
        <f t="shared" si="28"/>
        <v>-31</v>
      </c>
      <c r="F311" s="11">
        <f t="shared" si="29"/>
        <v>-7.0212252957363033</v>
      </c>
      <c r="G311" s="11">
        <f t="shared" si="30"/>
        <v>-6.9628400366797232</v>
      </c>
    </row>
    <row r="312" spans="5:7" x14ac:dyDescent="0.25">
      <c r="E312" s="11">
        <f t="shared" si="28"/>
        <v>-30</v>
      </c>
      <c r="F312" s="11">
        <f t="shared" si="29"/>
        <v>-6.8287879370247255</v>
      </c>
      <c r="G312" s="11">
        <f t="shared" si="30"/>
        <v>-6.7709490443524754</v>
      </c>
    </row>
    <row r="313" spans="5:7" x14ac:dyDescent="0.25">
      <c r="E313" s="11">
        <f t="shared" si="28"/>
        <v>-29</v>
      </c>
      <c r="F313" s="11">
        <f t="shared" si="29"/>
        <v>-6.6355758370310189</v>
      </c>
      <c r="G313" s="11">
        <f t="shared" si="30"/>
        <v>-6.5783501822884611</v>
      </c>
    </row>
    <row r="314" spans="5:7" x14ac:dyDescent="0.25">
      <c r="E314" s="11">
        <f t="shared" si="28"/>
        <v>-28</v>
      </c>
      <c r="F314" s="11">
        <f t="shared" si="29"/>
        <v>-6.4414142498123246</v>
      </c>
      <c r="G314" s="11">
        <f t="shared" si="30"/>
        <v>-6.3848811606810703</v>
      </c>
    </row>
    <row r="315" spans="5:7" x14ac:dyDescent="0.25">
      <c r="E315" s="11">
        <f t="shared" si="28"/>
        <v>-27</v>
      </c>
      <c r="F315" s="11">
        <f t="shared" si="29"/>
        <v>-6.2461297427506306</v>
      </c>
      <c r="G315" s="11">
        <f t="shared" si="30"/>
        <v>-6.1903906337714192</v>
      </c>
    </row>
    <row r="316" spans="5:7" x14ac:dyDescent="0.25">
      <c r="E316" s="11">
        <f t="shared" si="28"/>
        <v>-26</v>
      </c>
      <c r="F316" s="11">
        <f t="shared" si="29"/>
        <v>-6.0495505067899211</v>
      </c>
      <c r="G316" s="11">
        <f t="shared" si="30"/>
        <v>-5.9947272558006262</v>
      </c>
    </row>
    <row r="317" spans="5:7" x14ac:dyDescent="0.25">
      <c r="E317" s="11">
        <f t="shared" si="28"/>
        <v>-25</v>
      </c>
      <c r="F317" s="11">
        <f t="shared" si="29"/>
        <v>-5.8515066624688226</v>
      </c>
      <c r="G317" s="11">
        <f t="shared" si="30"/>
        <v>-5.7977396810098094</v>
      </c>
    </row>
    <row r="318" spans="5:7" x14ac:dyDescent="0.25">
      <c r="E318" s="11">
        <f t="shared" si="28"/>
        <v>-24</v>
      </c>
      <c r="F318" s="11">
        <f t="shared" si="29"/>
        <v>-5.6518305614140507</v>
      </c>
      <c r="G318" s="11">
        <f t="shared" si="30"/>
        <v>-5.5992765636400872</v>
      </c>
    </row>
    <row r="319" spans="5:7" x14ac:dyDescent="0.25">
      <c r="E319" s="11">
        <f t="shared" si="28"/>
        <v>-23</v>
      </c>
      <c r="F319" s="11">
        <f t="shared" si="29"/>
        <v>-5.4503570829611139</v>
      </c>
      <c r="G319" s="11">
        <f t="shared" si="30"/>
        <v>-5.3991865579325733</v>
      </c>
    </row>
    <row r="320" spans="5:7" x14ac:dyDescent="0.25">
      <c r="E320" s="11">
        <f t="shared" si="28"/>
        <v>-22</v>
      </c>
      <c r="F320" s="11">
        <f t="shared" si="29"/>
        <v>-5.2469239255701021</v>
      </c>
      <c r="G320" s="11">
        <f t="shared" si="30"/>
        <v>-5.1973183181283886</v>
      </c>
    </row>
    <row r="321" spans="5:7" x14ac:dyDescent="0.25">
      <c r="E321" s="11">
        <f t="shared" si="28"/>
        <v>-21</v>
      </c>
      <c r="F321" s="11">
        <f t="shared" si="29"/>
        <v>-5.0413718927055999</v>
      </c>
      <c r="G321" s="11">
        <f t="shared" si="30"/>
        <v>-4.9935204984686505</v>
      </c>
    </row>
    <row r="322" spans="5:7" x14ac:dyDescent="0.25">
      <c r="E322" s="11">
        <f t="shared" si="28"/>
        <v>-20</v>
      </c>
      <c r="F322" s="11">
        <f t="shared" si="29"/>
        <v>-4.833545172851025</v>
      </c>
      <c r="G322" s="11">
        <f t="shared" si="30"/>
        <v>-4.7876417531944746</v>
      </c>
    </row>
    <row r="323" spans="5:7" x14ac:dyDescent="0.25">
      <c r="E323" s="11">
        <f t="shared" si="28"/>
        <v>-19</v>
      </c>
      <c r="F323" s="11">
        <f t="shared" si="29"/>
        <v>-4.623291613329001</v>
      </c>
      <c r="G323" s="11">
        <f t="shared" si="30"/>
        <v>-4.5795307365469782</v>
      </c>
    </row>
    <row r="324" spans="5:7" x14ac:dyDescent="0.25">
      <c r="E324" s="11">
        <f t="shared" si="28"/>
        <v>-18</v>
      </c>
      <c r="F324" s="11">
        <f t="shared" si="29"/>
        <v>-4.4104629876005914</v>
      </c>
      <c r="G324" s="11">
        <f t="shared" si="30"/>
        <v>-4.3690361027672804</v>
      </c>
    </row>
    <row r="325" spans="5:7" x14ac:dyDescent="0.25">
      <c r="E325" s="11">
        <f t="shared" si="28"/>
        <v>-17</v>
      </c>
      <c r="F325" s="11">
        <f t="shared" si="29"/>
        <v>-4.1949152557175395</v>
      </c>
      <c r="G325" s="11">
        <f t="shared" si="30"/>
        <v>-4.1560065060964977</v>
      </c>
    </row>
    <row r="326" spans="5:7" x14ac:dyDescent="0.25">
      <c r="E326" s="11">
        <f t="shared" si="28"/>
        <v>-16</v>
      </c>
      <c r="F326" s="11">
        <f t="shared" si="29"/>
        <v>-3.9765088176028773</v>
      </c>
      <c r="G326" s="11">
        <f t="shared" si="30"/>
        <v>-3.9402906007757479</v>
      </c>
    </row>
    <row r="327" spans="5:7" x14ac:dyDescent="0.25">
      <c r="E327" s="11">
        <f t="shared" si="28"/>
        <v>-15</v>
      </c>
      <c r="F327" s="11">
        <f t="shared" si="29"/>
        <v>-3.7551087588365473</v>
      </c>
      <c r="G327" s="11">
        <f t="shared" si="30"/>
        <v>-3.7217370410461479</v>
      </c>
    </row>
    <row r="328" spans="5:7" x14ac:dyDescent="0.25">
      <c r="E328" s="11">
        <f t="shared" si="28"/>
        <v>-14</v>
      </c>
      <c r="F328" s="11">
        <f t="shared" si="29"/>
        <v>-3.5305850886239964</v>
      </c>
      <c r="G328" s="11">
        <f t="shared" si="30"/>
        <v>-3.5001944811488155</v>
      </c>
    </row>
    <row r="329" spans="5:7" x14ac:dyDescent="0.25">
      <c r="E329" s="11">
        <f t="shared" si="28"/>
        <v>-13</v>
      </c>
      <c r="F329" s="11">
        <f t="shared" si="29"/>
        <v>-3.3028129696268831</v>
      </c>
      <c r="G329" s="11">
        <f t="shared" si="30"/>
        <v>-3.2755115753248676</v>
      </c>
    </row>
    <row r="330" spans="5:7" x14ac:dyDescent="0.25">
      <c r="E330" s="11">
        <f t="shared" si="28"/>
        <v>-12</v>
      </c>
      <c r="F330" s="11">
        <f t="shared" si="29"/>
        <v>-3.071672939336366</v>
      </c>
      <c r="G330" s="11">
        <f t="shared" si="30"/>
        <v>-3.0475369778154224</v>
      </c>
    </row>
    <row r="331" spans="5:7" x14ac:dyDescent="0.25">
      <c r="E331" s="11">
        <f t="shared" si="28"/>
        <v>-11</v>
      </c>
      <c r="F331" s="11">
        <f t="shared" si="29"/>
        <v>-2.8370511226707</v>
      </c>
      <c r="G331" s="11">
        <f t="shared" si="30"/>
        <v>-2.8161193428615965</v>
      </c>
    </row>
    <row r="332" spans="5:7" x14ac:dyDescent="0.25">
      <c r="E332" s="11">
        <f t="shared" si="28"/>
        <v>-10</v>
      </c>
      <c r="F332" s="11">
        <f t="shared" si="29"/>
        <v>-2.5988394354801145</v>
      </c>
      <c r="G332" s="11">
        <f t="shared" si="30"/>
        <v>-2.581107324704508</v>
      </c>
    </row>
    <row r="333" spans="5:7" x14ac:dyDescent="0.25">
      <c r="E333" s="11">
        <f t="shared" si="28"/>
        <v>-9</v>
      </c>
      <c r="F333" s="11">
        <f t="shared" si="29"/>
        <v>-2.3569357786432321</v>
      </c>
      <c r="G333" s="11">
        <f t="shared" si="30"/>
        <v>-2.3423495775852743</v>
      </c>
    </row>
    <row r="334" spans="5:7" x14ac:dyDescent="0.25">
      <c r="E334" s="11">
        <f t="shared" si="28"/>
        <v>-8</v>
      </c>
      <c r="F334" s="11">
        <f t="shared" si="29"/>
        <v>-2.1112442224405412</v>
      </c>
      <c r="G334" s="11">
        <f t="shared" si="30"/>
        <v>-2.0996947557450127</v>
      </c>
    </row>
    <row r="335" spans="5:7" x14ac:dyDescent="0.25">
      <c r="E335" s="11">
        <f t="shared" si="28"/>
        <v>-7</v>
      </c>
      <c r="F335" s="11">
        <f t="shared" si="29"/>
        <v>-1.8616751808917171</v>
      </c>
      <c r="G335" s="11">
        <f t="shared" si="30"/>
        <v>-1.85299151342484</v>
      </c>
    </row>
    <row r="336" spans="5:7" x14ac:dyDescent="0.25">
      <c r="E336" s="11">
        <f t="shared" si="28"/>
        <v>-6</v>
      </c>
      <c r="F336" s="11">
        <f t="shared" si="29"/>
        <v>-1.6081455757448309</v>
      </c>
      <c r="G336" s="11">
        <f t="shared" si="30"/>
        <v>-1.6020885048658744</v>
      </c>
    </row>
    <row r="337" spans="5:7" x14ac:dyDescent="0.25">
      <c r="E337" s="11">
        <f t="shared" si="28"/>
        <v>-5</v>
      </c>
      <c r="F337" s="11">
        <f t="shared" si="29"/>
        <v>-1.3505789898067813</v>
      </c>
      <c r="G337" s="11">
        <f t="shared" si="30"/>
        <v>-1.346834384309233</v>
      </c>
    </row>
    <row r="338" spans="5:7" x14ac:dyDescent="0.25">
      <c r="E338" s="11">
        <f t="shared" si="28"/>
        <v>-4</v>
      </c>
      <c r="F338" s="11">
        <f t="shared" si="29"/>
        <v>-1.0889058093055233</v>
      </c>
      <c r="G338" s="11">
        <f t="shared" si="30"/>
        <v>-1.0870778059960333</v>
      </c>
    </row>
    <row r="339" spans="5:7" x14ac:dyDescent="0.25">
      <c r="E339" s="11">
        <f t="shared" si="28"/>
        <v>-3</v>
      </c>
      <c r="F339" s="11">
        <f t="shared" si="29"/>
        <v>-0.82306335497595196</v>
      </c>
      <c r="G339" s="11">
        <f t="shared" si="30"/>
        <v>-0.8226674241673928</v>
      </c>
    </row>
    <row r="340" spans="5:7" x14ac:dyDescent="0.25">
      <c r="E340" s="11">
        <f t="shared" si="28"/>
        <v>-2</v>
      </c>
      <c r="F340" s="11">
        <f t="shared" si="29"/>
        <v>-0.55299600156255946</v>
      </c>
      <c r="G340" s="11">
        <f t="shared" si="30"/>
        <v>-0.55345189306442866</v>
      </c>
    </row>
    <row r="341" spans="5:7" x14ac:dyDescent="0.25">
      <c r="E341" s="11">
        <f t="shared" si="28"/>
        <v>-1</v>
      </c>
      <c r="F341" s="11">
        <f t="shared" si="29"/>
        <v>-0.27865528543325596</v>
      </c>
      <c r="G341" s="11">
        <f t="shared" si="30"/>
        <v>-0.27927986692825862</v>
      </c>
    </row>
    <row r="342" spans="5:7" x14ac:dyDescent="0.25">
      <c r="E342" s="11">
        <f t="shared" si="28"/>
        <v>0</v>
      </c>
      <c r="F342" s="11">
        <f t="shared" si="29"/>
        <v>0</v>
      </c>
      <c r="G342" s="11">
        <f t="shared" si="30"/>
        <v>-1.1102230246251565E-16</v>
      </c>
    </row>
    <row r="343" spans="5:7" x14ac:dyDescent="0.25">
      <c r="E343" s="11">
        <f t="shared" si="28"/>
        <v>1</v>
      </c>
      <c r="F343" s="11">
        <f t="shared" si="29"/>
        <v>0.28300372135683266</v>
      </c>
      <c r="G343" s="11">
        <f t="shared" si="30"/>
        <v>0.28449483740171261</v>
      </c>
    </row>
    <row r="344" spans="5:7" x14ac:dyDescent="0.25">
      <c r="E344" s="11">
        <f t="shared" si="28"/>
        <v>2</v>
      </c>
      <c r="F344" s="11">
        <f t="shared" si="29"/>
        <v>0.57038233516216219</v>
      </c>
      <c r="G344" s="11">
        <f t="shared" si="30"/>
        <v>0.57413491064817668</v>
      </c>
    </row>
    <row r="345" spans="5:7" x14ac:dyDescent="0.25">
      <c r="E345" s="11">
        <f t="shared" si="28"/>
        <v>3</v>
      </c>
      <c r="F345" s="11">
        <f t="shared" si="29"/>
        <v>0.86215483081853994</v>
      </c>
      <c r="G345" s="11">
        <f t="shared" si="30"/>
        <v>0.8688062690331726</v>
      </c>
    </row>
    <row r="346" spans="5:7" x14ac:dyDescent="0.25">
      <c r="E346" s="11">
        <f t="shared" si="28"/>
        <v>4</v>
      </c>
      <c r="F346" s="11">
        <f t="shared" si="29"/>
        <v>1.1583326869763904</v>
      </c>
      <c r="G346" s="11">
        <f t="shared" si="30"/>
        <v>1.1683949618504803</v>
      </c>
    </row>
    <row r="347" spans="5:7" x14ac:dyDescent="0.25">
      <c r="E347" s="11">
        <f t="shared" si="28"/>
        <v>5</v>
      </c>
      <c r="F347" s="11">
        <f t="shared" si="29"/>
        <v>1.4589198416001687</v>
      </c>
      <c r="G347" s="11">
        <f t="shared" si="30"/>
        <v>1.4727870383938801</v>
      </c>
    </row>
    <row r="348" spans="5:7" x14ac:dyDescent="0.25">
      <c r="E348" s="11">
        <f t="shared" si="28"/>
        <v>6</v>
      </c>
      <c r="F348" s="11">
        <f t="shared" si="29"/>
        <v>1.763912676027179</v>
      </c>
      <c r="G348" s="11">
        <f t="shared" si="30"/>
        <v>1.7818685479571517</v>
      </c>
    </row>
    <row r="349" spans="5:7" x14ac:dyDescent="0.25">
      <c r="E349" s="11">
        <f t="shared" si="28"/>
        <v>7</v>
      </c>
      <c r="F349" s="11">
        <f t="shared" si="29"/>
        <v>2.0733000133145398</v>
      </c>
      <c r="G349" s="11">
        <f t="shared" si="30"/>
        <v>2.0955255398340764</v>
      </c>
    </row>
    <row r="350" spans="5:7" x14ac:dyDescent="0.25">
      <c r="E350" s="11">
        <f t="shared" si="28"/>
        <v>8</v>
      </c>
      <c r="F350" s="11">
        <f t="shared" si="29"/>
        <v>2.3870631311684982</v>
      </c>
      <c r="G350" s="11">
        <f t="shared" si="30"/>
        <v>2.4136440633184337</v>
      </c>
    </row>
    <row r="351" spans="5:7" x14ac:dyDescent="0.25">
      <c r="E351" s="11">
        <f t="shared" ref="E351:E414" si="31">E144</f>
        <v>9</v>
      </c>
      <c r="F351" s="11">
        <f t="shared" ref="F351:F414" si="32">$H$217*0+E351*$I$217+E351^2*$J$217+E351^3*$K$217+E351^4*$L$217+E351^5*$M$217+E351^6*$N$217+E351^7*$O$217+E351^8*$P$217</f>
        <v>2.7051757897490414</v>
      </c>
      <c r="G351" s="11">
        <f t="shared" ref="G351:G414" si="33">F144</f>
        <v>2.7361101677040036</v>
      </c>
    </row>
    <row r="352" spans="5:7" x14ac:dyDescent="0.25">
      <c r="E352" s="11">
        <f t="shared" si="31"/>
        <v>10</v>
      </c>
      <c r="F352" s="11">
        <f t="shared" si="32"/>
        <v>3.027604274641496</v>
      </c>
      <c r="G352" s="11">
        <f t="shared" si="33"/>
        <v>3.0628099022845663</v>
      </c>
    </row>
    <row r="353" spans="5:7" x14ac:dyDescent="0.25">
      <c r="E353" s="11">
        <f t="shared" si="31"/>
        <v>11</v>
      </c>
      <c r="F353" s="11">
        <f t="shared" si="32"/>
        <v>3.3543074552855039</v>
      </c>
      <c r="G353" s="11">
        <f t="shared" si="33"/>
        <v>3.3936293163539029</v>
      </c>
    </row>
    <row r="354" spans="5:7" x14ac:dyDescent="0.25">
      <c r="E354" s="11">
        <f t="shared" si="31"/>
        <v>12</v>
      </c>
      <c r="F354" s="11">
        <f t="shared" si="32"/>
        <v>3.6852368591505411</v>
      </c>
      <c r="G354" s="11">
        <f t="shared" si="33"/>
        <v>3.7284544592057918</v>
      </c>
    </row>
    <row r="355" spans="5:7" x14ac:dyDescent="0.25">
      <c r="E355" s="11">
        <f t="shared" si="31"/>
        <v>13</v>
      </c>
      <c r="F355" s="11">
        <f t="shared" si="32"/>
        <v>4.0203367619458517</v>
      </c>
      <c r="G355" s="11">
        <f t="shared" si="33"/>
        <v>4.0671713801340159</v>
      </c>
    </row>
    <row r="356" spans="5:7" x14ac:dyDescent="0.25">
      <c r="E356" s="11">
        <f t="shared" si="31"/>
        <v>14</v>
      </c>
      <c r="F356" s="11">
        <f t="shared" si="32"/>
        <v>4.3595442941513873</v>
      </c>
      <c r="G356" s="11">
        <f t="shared" si="33"/>
        <v>4.4096661284323533</v>
      </c>
    </row>
    <row r="357" spans="5:7" x14ac:dyDescent="0.25">
      <c r="E357" s="11">
        <f t="shared" si="31"/>
        <v>15</v>
      </c>
      <c r="F357" s="11">
        <f t="shared" si="32"/>
        <v>4.7027895641551503</v>
      </c>
      <c r="G357" s="11">
        <f t="shared" si="33"/>
        <v>4.7558247533945845</v>
      </c>
    </row>
    <row r="358" spans="5:7" x14ac:dyDescent="0.25">
      <c r="E358" s="11">
        <f t="shared" si="31"/>
        <v>16</v>
      </c>
      <c r="F358" s="11">
        <f t="shared" si="32"/>
        <v>5.0499957982809383</v>
      </c>
      <c r="G358" s="11">
        <f t="shared" si="33"/>
        <v>5.1055333043144904</v>
      </c>
    </row>
    <row r="359" spans="5:7" x14ac:dyDescent="0.25">
      <c r="E359" s="11">
        <f t="shared" si="31"/>
        <v>17</v>
      </c>
      <c r="F359" s="11">
        <f t="shared" si="32"/>
        <v>5.4010794979893895</v>
      </c>
      <c r="G359" s="11">
        <f t="shared" si="33"/>
        <v>5.4586778304858505</v>
      </c>
    </row>
    <row r="360" spans="5:7" x14ac:dyDescent="0.25">
      <c r="E360" s="11">
        <f t="shared" si="31"/>
        <v>18</v>
      </c>
      <c r="F360" s="11">
        <f t="shared" si="32"/>
        <v>5.7559506145337958</v>
      </c>
      <c r="G360" s="11">
        <f t="shared" si="33"/>
        <v>5.8151443812024457</v>
      </c>
    </row>
    <row r="361" spans="5:7" x14ac:dyDescent="0.25">
      <c r="E361" s="11">
        <f t="shared" si="31"/>
        <v>19</v>
      </c>
      <c r="F361" s="11">
        <f t="shared" si="32"/>
        <v>6.1145127413510219</v>
      </c>
      <c r="G361" s="11">
        <f t="shared" si="33"/>
        <v>6.1748190057580548</v>
      </c>
    </row>
    <row r="362" spans="5:7" x14ac:dyDescent="0.25">
      <c r="E362" s="11">
        <f t="shared" si="31"/>
        <v>20</v>
      </c>
      <c r="F362" s="11">
        <f t="shared" si="32"/>
        <v>6.4766633244664824</v>
      </c>
      <c r="G362" s="11">
        <f t="shared" si="33"/>
        <v>6.537587753446461</v>
      </c>
    </row>
    <row r="363" spans="5:7" x14ac:dyDescent="0.25">
      <c r="E363" s="11">
        <f t="shared" si="31"/>
        <v>21</v>
      </c>
      <c r="F363" s="11">
        <f t="shared" si="32"/>
        <v>6.8422938911909874</v>
      </c>
      <c r="G363" s="11">
        <f t="shared" si="33"/>
        <v>6.9033366735614408</v>
      </c>
    </row>
    <row r="364" spans="5:7" x14ac:dyDescent="0.25">
      <c r="E364" s="11">
        <f t="shared" si="31"/>
        <v>22</v>
      </c>
      <c r="F364" s="11">
        <f t="shared" si="32"/>
        <v>7.2112902973858786</v>
      </c>
      <c r="G364" s="11">
        <f t="shared" si="33"/>
        <v>7.2719518153967773</v>
      </c>
    </row>
    <row r="365" spans="5:7" x14ac:dyDescent="0.25">
      <c r="E365" s="11">
        <f t="shared" si="31"/>
        <v>23</v>
      </c>
      <c r="F365" s="11">
        <f t="shared" si="32"/>
        <v>7.5835329935716711</v>
      </c>
      <c r="G365" s="11">
        <f t="shared" si="33"/>
        <v>7.6433192282462485</v>
      </c>
    </row>
    <row r="366" spans="5:7" x14ac:dyDescent="0.25">
      <c r="E366" s="11">
        <f t="shared" si="31"/>
        <v>24</v>
      </c>
      <c r="F366" s="11">
        <f t="shared" si="32"/>
        <v>7.9588973101541995</v>
      </c>
      <c r="G366" s="11">
        <f t="shared" si="33"/>
        <v>8.0173249614036362</v>
      </c>
    </row>
    <row r="367" spans="5:7" x14ac:dyDescent="0.25">
      <c r="E367" s="11">
        <f t="shared" si="31"/>
        <v>25</v>
      </c>
      <c r="F367" s="11">
        <f t="shared" si="32"/>
        <v>8.3372537620408611</v>
      </c>
      <c r="G367" s="11">
        <f t="shared" si="33"/>
        <v>8.3938550641627199</v>
      </c>
    </row>
    <row r="368" spans="5:7" x14ac:dyDescent="0.25">
      <c r="E368" s="11">
        <f t="shared" si="31"/>
        <v>26</v>
      </c>
      <c r="F368" s="11">
        <f t="shared" si="32"/>
        <v>8.7184683729184478</v>
      </c>
      <c r="G368" s="11">
        <f t="shared" si="33"/>
        <v>8.7727955858172812</v>
      </c>
    </row>
    <row r="369" spans="5:7" x14ac:dyDescent="0.25">
      <c r="E369" s="11">
        <f t="shared" si="31"/>
        <v>27</v>
      </c>
      <c r="F369" s="11">
        <f t="shared" si="32"/>
        <v>9.1024030194626278</v>
      </c>
      <c r="G369" s="11">
        <f t="shared" si="33"/>
        <v>9.1540325756610983</v>
      </c>
    </row>
    <row r="370" spans="5:7" x14ac:dyDescent="0.25">
      <c r="E370" s="11">
        <f t="shared" si="31"/>
        <v>28</v>
      </c>
      <c r="F370" s="11">
        <f t="shared" si="32"/>
        <v>9.4889157957480403</v>
      </c>
      <c r="G370" s="11">
        <f t="shared" si="33"/>
        <v>9.5374520829879508</v>
      </c>
    </row>
    <row r="371" spans="5:7" x14ac:dyDescent="0.25">
      <c r="E371" s="11">
        <f t="shared" si="31"/>
        <v>29</v>
      </c>
      <c r="F371" s="11">
        <f t="shared" si="32"/>
        <v>9.8778613981265355</v>
      </c>
      <c r="G371" s="11">
        <f t="shared" si="33"/>
        <v>9.922940157091622</v>
      </c>
    </row>
    <row r="372" spans="5:7" x14ac:dyDescent="0.25">
      <c r="E372" s="11">
        <f t="shared" si="31"/>
        <v>30</v>
      </c>
      <c r="F372" s="11">
        <f t="shared" si="32"/>
        <v>10.269091530839965</v>
      </c>
      <c r="G372" s="11">
        <f t="shared" si="33"/>
        <v>10.310382847265892</v>
      </c>
    </row>
    <row r="373" spans="5:7" x14ac:dyDescent="0.25">
      <c r="E373" s="11">
        <f t="shared" si="31"/>
        <v>31</v>
      </c>
      <c r="F373" s="11">
        <f t="shared" si="32"/>
        <v>10.662455332632524</v>
      </c>
      <c r="G373" s="11">
        <f t="shared" si="33"/>
        <v>10.699666202804536</v>
      </c>
    </row>
    <row r="374" spans="5:7" x14ac:dyDescent="0.25">
      <c r="E374" s="11">
        <f t="shared" si="31"/>
        <v>32</v>
      </c>
      <c r="F374" s="11">
        <f t="shared" si="32"/>
        <v>11.057799824626553</v>
      </c>
      <c r="G374" s="11">
        <f t="shared" si="33"/>
        <v>11.090676273001339</v>
      </c>
    </row>
    <row r="375" spans="5:7" x14ac:dyDescent="0.25">
      <c r="E375" s="11">
        <f t="shared" si="31"/>
        <v>33</v>
      </c>
      <c r="F375" s="11">
        <f t="shared" si="32"/>
        <v>11.454970379724251</v>
      </c>
      <c r="G375" s="11">
        <f t="shared" si="33"/>
        <v>11.48329910715008</v>
      </c>
    </row>
    <row r="376" spans="5:7" x14ac:dyDescent="0.25">
      <c r="E376" s="11">
        <f t="shared" si="31"/>
        <v>34</v>
      </c>
      <c r="F376" s="11">
        <f t="shared" si="32"/>
        <v>11.853811213796623</v>
      </c>
      <c r="G376" s="11">
        <f t="shared" si="33"/>
        <v>11.877420754544538</v>
      </c>
    </row>
    <row r="377" spans="5:7" x14ac:dyDescent="0.25">
      <c r="E377" s="11">
        <f t="shared" si="31"/>
        <v>35</v>
      </c>
      <c r="F377" s="11">
        <f t="shared" si="32"/>
        <v>12.254165898919664</v>
      </c>
      <c r="G377" s="11">
        <f t="shared" si="33"/>
        <v>12.272927264478497</v>
      </c>
    </row>
    <row r="378" spans="5:7" x14ac:dyDescent="0.25">
      <c r="E378" s="11">
        <f t="shared" si="31"/>
        <v>36</v>
      </c>
      <c r="F378" s="11">
        <f t="shared" si="32"/>
        <v>12.655877898916495</v>
      </c>
      <c r="G378" s="11">
        <f t="shared" si="33"/>
        <v>12.669704686245733</v>
      </c>
    </row>
    <row r="379" spans="5:7" x14ac:dyDescent="0.25">
      <c r="E379" s="11">
        <f t="shared" si="31"/>
        <v>37</v>
      </c>
      <c r="F379" s="11">
        <f t="shared" si="32"/>
        <v>13.058791127462989</v>
      </c>
      <c r="G379" s="11">
        <f t="shared" si="33"/>
        <v>13.067639069140027</v>
      </c>
    </row>
    <row r="380" spans="5:7" x14ac:dyDescent="0.25">
      <c r="E380" s="11">
        <f t="shared" si="31"/>
        <v>38</v>
      </c>
      <c r="F380" s="11">
        <f t="shared" si="32"/>
        <v>13.462750529012986</v>
      </c>
      <c r="G380" s="11">
        <f t="shared" si="33"/>
        <v>13.466616462455159</v>
      </c>
    </row>
    <row r="381" spans="5:7" x14ac:dyDescent="0.25">
      <c r="E381" s="11">
        <f t="shared" si="31"/>
        <v>39</v>
      </c>
      <c r="F381" s="11">
        <f t="shared" si="32"/>
        <v>13.867602682798205</v>
      </c>
      <c r="G381" s="11">
        <f t="shared" si="33"/>
        <v>13.866522915484913</v>
      </c>
    </row>
    <row r="382" spans="5:7" x14ac:dyDescent="0.25">
      <c r="E382" s="11">
        <f t="shared" si="31"/>
        <v>40</v>
      </c>
      <c r="F382" s="11">
        <f t="shared" si="32"/>
        <v>14.273196430156316</v>
      </c>
      <c r="G382" s="11">
        <f t="shared" si="33"/>
        <v>14.267244477523064</v>
      </c>
    </row>
    <row r="383" spans="5:7" x14ac:dyDescent="0.25">
      <c r="E383" s="11">
        <f t="shared" si="31"/>
        <v>41</v>
      </c>
      <c r="F383" s="11">
        <f t="shared" si="32"/>
        <v>14.679383525439784</v>
      </c>
      <c r="G383" s="11">
        <f t="shared" si="33"/>
        <v>14.668667197863396</v>
      </c>
    </row>
    <row r="384" spans="5:7" x14ac:dyDescent="0.25">
      <c r="E384" s="11">
        <f t="shared" si="31"/>
        <v>42</v>
      </c>
      <c r="F384" s="11">
        <f t="shared" si="32"/>
        <v>15.086019310756468</v>
      </c>
      <c r="G384" s="11">
        <f t="shared" si="33"/>
        <v>15.070677125799687</v>
      </c>
    </row>
    <row r="385" spans="5:7" x14ac:dyDescent="0.25">
      <c r="E385" s="11">
        <f t="shared" si="31"/>
        <v>43</v>
      </c>
      <c r="F385" s="11">
        <f t="shared" si="32"/>
        <v>15.492963414791966</v>
      </c>
      <c r="G385" s="11">
        <f t="shared" si="33"/>
        <v>15.473160310625717</v>
      </c>
    </row>
    <row r="386" spans="5:7" x14ac:dyDescent="0.25">
      <c r="E386" s="11">
        <f t="shared" si="31"/>
        <v>44</v>
      </c>
      <c r="F386" s="11">
        <f t="shared" si="32"/>
        <v>15.900080475962232</v>
      </c>
      <c r="G386" s="11">
        <f t="shared" si="33"/>
        <v>15.87600280163527</v>
      </c>
    </row>
    <row r="387" spans="5:7" x14ac:dyDescent="0.25">
      <c r="E387" s="11">
        <f t="shared" si="31"/>
        <v>45</v>
      </c>
      <c r="F387" s="11">
        <f t="shared" si="32"/>
        <v>16.307240890143838</v>
      </c>
      <c r="G387" s="11">
        <f t="shared" si="33"/>
        <v>16.279090648122118</v>
      </c>
    </row>
    <row r="388" spans="5:7" x14ac:dyDescent="0.25">
      <c r="E388" s="11">
        <f t="shared" si="31"/>
        <v>46</v>
      </c>
      <c r="F388" s="11">
        <f t="shared" si="32"/>
        <v>16.714321583227971</v>
      </c>
      <c r="G388" s="11">
        <f t="shared" si="33"/>
        <v>16.682328265427419</v>
      </c>
    </row>
    <row r="389" spans="5:7" x14ac:dyDescent="0.25">
      <c r="E389" s="11">
        <f t="shared" si="31"/>
        <v>47</v>
      </c>
      <c r="F389" s="11">
        <f t="shared" si="32"/>
        <v>17.121206808742912</v>
      </c>
      <c r="G389" s="11">
        <f t="shared" si="33"/>
        <v>17.085693533081766</v>
      </c>
    </row>
    <row r="390" spans="5:7" x14ac:dyDescent="0.25">
      <c r="E390" s="11">
        <f t="shared" si="31"/>
        <v>48</v>
      </c>
      <c r="F390" s="11">
        <f t="shared" si="32"/>
        <v>17.527788970788666</v>
      </c>
      <c r="G390" s="11">
        <f t="shared" si="33"/>
        <v>17.489182696663129</v>
      </c>
    </row>
    <row r="391" spans="5:7" x14ac:dyDescent="0.25">
      <c r="E391" s="11">
        <f t="shared" si="31"/>
        <v>49</v>
      </c>
      <c r="F391" s="11">
        <f t="shared" si="32"/>
        <v>17.933969472525803</v>
      </c>
      <c r="G391" s="11">
        <f t="shared" si="33"/>
        <v>17.892792001749484</v>
      </c>
    </row>
    <row r="392" spans="5:7" x14ac:dyDescent="0.25">
      <c r="E392" s="11">
        <f t="shared" si="31"/>
        <v>50</v>
      </c>
      <c r="F392" s="11">
        <f t="shared" si="32"/>
        <v>18.339659590459739</v>
      </c>
      <c r="G392" s="11">
        <f t="shared" si="33"/>
        <v>18.296517693918794</v>
      </c>
    </row>
    <row r="393" spans="5:7" x14ac:dyDescent="0.25">
      <c r="E393" s="11">
        <f t="shared" si="31"/>
        <v>51</v>
      </c>
      <c r="F393" s="11">
        <f t="shared" si="32"/>
        <v>18.744781374760116</v>
      </c>
      <c r="G393" s="11">
        <f t="shared" si="33"/>
        <v>18.70035601874903</v>
      </c>
    </row>
    <row r="394" spans="5:7" x14ac:dyDescent="0.25">
      <c r="E394" s="11">
        <f t="shared" si="31"/>
        <v>52</v>
      </c>
      <c r="F394" s="11">
        <f t="shared" si="32"/>
        <v>19.149268575853576</v>
      </c>
      <c r="G394" s="11">
        <f t="shared" si="33"/>
        <v>19.104303221818164</v>
      </c>
    </row>
    <row r="395" spans="5:7" x14ac:dyDescent="0.25">
      <c r="E395" s="11">
        <f t="shared" si="31"/>
        <v>53</v>
      </c>
      <c r="F395" s="11">
        <f t="shared" si="32"/>
        <v>19.553067597527562</v>
      </c>
      <c r="G395" s="11">
        <f t="shared" si="33"/>
        <v>19.508355548704159</v>
      </c>
    </row>
    <row r="396" spans="5:7" x14ac:dyDescent="0.25">
      <c r="E396" s="11">
        <f t="shared" si="31"/>
        <v>54</v>
      </c>
      <c r="F396" s="11">
        <f t="shared" si="32"/>
        <v>19.956138476780566</v>
      </c>
      <c r="G396" s="11">
        <f t="shared" si="33"/>
        <v>19.912509244984989</v>
      </c>
    </row>
    <row r="397" spans="5:7" x14ac:dyDescent="0.25">
      <c r="E397" s="11">
        <f t="shared" si="31"/>
        <v>55</v>
      </c>
      <c r="F397" s="11">
        <f t="shared" si="32"/>
        <v>20.358455890653889</v>
      </c>
      <c r="G397" s="11">
        <f t="shared" si="33"/>
        <v>20.31676055623862</v>
      </c>
    </row>
    <row r="398" spans="5:7" x14ac:dyDescent="0.25">
      <c r="E398" s="11">
        <f t="shared" si="31"/>
        <v>56</v>
      </c>
      <c r="F398" s="11">
        <f t="shared" si="32"/>
        <v>20.760010190278162</v>
      </c>
      <c r="G398" s="11">
        <f t="shared" si="33"/>
        <v>20.721105728043025</v>
      </c>
    </row>
    <row r="399" spans="5:7" x14ac:dyDescent="0.25">
      <c r="E399" s="11">
        <f t="shared" si="31"/>
        <v>57</v>
      </c>
      <c r="F399" s="11">
        <f t="shared" si="32"/>
        <v>21.160808462366774</v>
      </c>
      <c r="G399" s="11">
        <f t="shared" si="33"/>
        <v>21.125541005976171</v>
      </c>
    </row>
    <row r="400" spans="5:7" x14ac:dyDescent="0.25">
      <c r="E400" s="11">
        <f t="shared" si="31"/>
        <v>58</v>
      </c>
      <c r="F400" s="11">
        <f t="shared" si="32"/>
        <v>21.560875618387065</v>
      </c>
      <c r="G400" s="11">
        <f t="shared" si="33"/>
        <v>21.530062635616027</v>
      </c>
    </row>
    <row r="401" spans="5:7" x14ac:dyDescent="0.25">
      <c r="E401" s="11">
        <f t="shared" si="31"/>
        <v>59</v>
      </c>
      <c r="F401" s="11">
        <f t="shared" si="32"/>
        <v>21.960255511638969</v>
      </c>
      <c r="G401" s="11">
        <f t="shared" si="33"/>
        <v>21.93466686254056</v>
      </c>
    </row>
    <row r="402" spans="5:7" x14ac:dyDescent="0.25">
      <c r="E402" s="11">
        <f t="shared" si="31"/>
        <v>60</v>
      </c>
      <c r="F402" s="11">
        <f t="shared" si="32"/>
        <v>22.359012082469349</v>
      </c>
      <c r="G402" s="11">
        <f t="shared" si="33"/>
        <v>22.339349932327742</v>
      </c>
    </row>
    <row r="403" spans="5:7" x14ac:dyDescent="0.25">
      <c r="E403" s="11">
        <f t="shared" si="31"/>
        <v>61</v>
      </c>
      <c r="F403" s="11">
        <f t="shared" si="32"/>
        <v>22.757230531849153</v>
      </c>
      <c r="G403" s="11">
        <f t="shared" si="33"/>
        <v>22.744108090555542</v>
      </c>
    </row>
    <row r="404" spans="5:7" x14ac:dyDescent="0.25">
      <c r="E404" s="11">
        <f t="shared" si="31"/>
        <v>62</v>
      </c>
      <c r="F404" s="11">
        <f t="shared" si="32"/>
        <v>23.155018523539177</v>
      </c>
      <c r="G404" s="11">
        <f t="shared" si="33"/>
        <v>23.148937582801931</v>
      </c>
    </row>
    <row r="405" spans="5:7" x14ac:dyDescent="0.25">
      <c r="E405" s="11">
        <f t="shared" si="31"/>
        <v>63</v>
      </c>
      <c r="F405" s="11">
        <f t="shared" si="32"/>
        <v>23.552507415069002</v>
      </c>
      <c r="G405" s="11">
        <f t="shared" si="33"/>
        <v>23.553834654644874</v>
      </c>
    </row>
    <row r="406" spans="5:7" x14ac:dyDescent="0.25">
      <c r="E406" s="11">
        <f t="shared" si="31"/>
        <v>64</v>
      </c>
      <c r="F406" s="11">
        <f t="shared" si="32"/>
        <v>23.949853517752285</v>
      </c>
      <c r="G406" s="11">
        <f t="shared" si="33"/>
        <v>23.958795551662341</v>
      </c>
    </row>
    <row r="407" spans="5:7" x14ac:dyDescent="0.25">
      <c r="E407" s="11">
        <f t="shared" si="31"/>
        <v>65</v>
      </c>
      <c r="F407" s="11">
        <f t="shared" si="32"/>
        <v>24.347239385960599</v>
      </c>
      <c r="G407" s="11">
        <f t="shared" si="33"/>
        <v>24.363816519432305</v>
      </c>
    </row>
    <row r="408" spans="5:7" x14ac:dyDescent="0.25">
      <c r="E408" s="11">
        <f t="shared" si="31"/>
        <v>66</v>
      </c>
      <c r="F408" s="11">
        <f t="shared" si="32"/>
        <v>24.74487513587626</v>
      </c>
      <c r="G408" s="11">
        <f t="shared" si="33"/>
        <v>24.768893803532727</v>
      </c>
    </row>
    <row r="409" spans="5:7" x14ac:dyDescent="0.25">
      <c r="E409" s="11">
        <f t="shared" si="31"/>
        <v>67</v>
      </c>
      <c r="F409" s="11">
        <f t="shared" si="32"/>
        <v>25.142999793943943</v>
      </c>
      <c r="G409" s="11">
        <f t="shared" si="33"/>
        <v>25.174023649541581</v>
      </c>
    </row>
    <row r="410" spans="5:7" x14ac:dyDescent="0.25">
      <c r="E410" s="11">
        <f t="shared" si="31"/>
        <v>68</v>
      </c>
      <c r="F410" s="11">
        <f t="shared" si="32"/>
        <v>25.541882675239101</v>
      </c>
      <c r="G410" s="11">
        <f t="shared" si="33"/>
        <v>25.579202303036841</v>
      </c>
    </row>
    <row r="411" spans="5:7" x14ac:dyDescent="0.25">
      <c r="E411" s="11">
        <f t="shared" si="31"/>
        <v>69</v>
      </c>
      <c r="F411" s="11">
        <f t="shared" si="32"/>
        <v>25.941824791970049</v>
      </c>
      <c r="G411" s="11">
        <f t="shared" si="33"/>
        <v>25.984426009596472</v>
      </c>
    </row>
    <row r="412" spans="5:7" x14ac:dyDescent="0.25">
      <c r="E412" s="11">
        <f t="shared" si="31"/>
        <v>70</v>
      </c>
      <c r="F412" s="11">
        <f t="shared" si="32"/>
        <v>26.343160292329671</v>
      </c>
      <c r="G412" s="11">
        <f t="shared" si="33"/>
        <v>26.389691014798441</v>
      </c>
    </row>
    <row r="413" spans="5:7" x14ac:dyDescent="0.25">
      <c r="E413" s="11">
        <f t="shared" si="31"/>
        <v>71</v>
      </c>
      <c r="F413" s="11">
        <f t="shared" si="32"/>
        <v>26.746257929910826</v>
      </c>
      <c r="G413" s="11">
        <f t="shared" si="33"/>
        <v>26.794993564220714</v>
      </c>
    </row>
    <row r="414" spans="5:7" x14ac:dyDescent="0.25">
      <c r="E414" s="11">
        <f t="shared" si="31"/>
        <v>72</v>
      </c>
      <c r="F414" s="11">
        <f t="shared" si="32"/>
        <v>27.151522563898833</v>
      </c>
      <c r="G414" s="11">
        <f t="shared" si="33"/>
        <v>27.200329903441268</v>
      </c>
    </row>
    <row r="415" spans="5:7" x14ac:dyDescent="0.25">
      <c r="E415" s="11">
        <f t="shared" ref="E415:E422" si="34">E208</f>
        <v>73</v>
      </c>
      <c r="F415" s="11">
        <f t="shared" ref="F415:F422" si="35">$H$217*0+E415*$I$217+E415^2*$J$217+E415^3*$K$217+E415^4*$L$217+E415^5*$M$217+E415^6*$N$217+E415^7*$O$217+E415^8*$P$217</f>
        <v>27.559396690252772</v>
      </c>
      <c r="G415" s="11">
        <f t="shared" ref="G415:G422" si="36">F208</f>
        <v>27.605696278038071</v>
      </c>
    </row>
    <row r="416" spans="5:7" x14ac:dyDescent="0.25">
      <c r="E416" s="11">
        <f t="shared" si="34"/>
        <v>74</v>
      </c>
      <c r="F416" s="11">
        <f t="shared" si="35"/>
        <v>27.970362004086201</v>
      </c>
      <c r="G416" s="11">
        <f t="shared" si="36"/>
        <v>28.01108893358909</v>
      </c>
    </row>
    <row r="417" spans="5:7" x14ac:dyDescent="0.25">
      <c r="E417" s="11">
        <f t="shared" si="34"/>
        <v>75</v>
      </c>
      <c r="F417" s="11">
        <f t="shared" si="35"/>
        <v>28.384940993456809</v>
      </c>
      <c r="G417" s="11">
        <f t="shared" si="36"/>
        <v>28.416504115672289</v>
      </c>
    </row>
    <row r="418" spans="5:7" x14ac:dyDescent="0.25">
      <c r="E418" s="11">
        <f t="shared" si="34"/>
        <v>76</v>
      </c>
      <c r="F418" s="11">
        <f t="shared" si="35"/>
        <v>28.803698564772784</v>
      </c>
      <c r="G418" s="11">
        <f t="shared" si="36"/>
        <v>28.821938069865649</v>
      </c>
    </row>
    <row r="419" spans="5:7" x14ac:dyDescent="0.25">
      <c r="E419" s="11">
        <f t="shared" si="34"/>
        <v>77</v>
      </c>
      <c r="F419" s="11">
        <f t="shared" si="35"/>
        <v>29.227243700022889</v>
      </c>
      <c r="G419" s="11">
        <f t="shared" si="36"/>
        <v>29.227387041747132</v>
      </c>
    </row>
    <row r="420" spans="5:7" x14ac:dyDescent="0.25">
      <c r="E420" s="11">
        <f t="shared" si="34"/>
        <v>78</v>
      </c>
      <c r="F420" s="11">
        <f t="shared" si="35"/>
        <v>29.656231146035832</v>
      </c>
      <c r="G420" s="11">
        <f t="shared" si="36"/>
        <v>29.632847276894704</v>
      </c>
    </row>
    <row r="421" spans="5:7" x14ac:dyDescent="0.25">
      <c r="E421" s="11">
        <f t="shared" si="34"/>
        <v>79</v>
      </c>
      <c r="F421" s="11">
        <f t="shared" si="35"/>
        <v>30.091363135973005</v>
      </c>
      <c r="G421" s="11">
        <f t="shared" si="36"/>
        <v>30.038315020886341</v>
      </c>
    </row>
    <row r="422" spans="5:7" x14ac:dyDescent="0.25">
      <c r="E422" s="11">
        <f t="shared" si="34"/>
        <v>80</v>
      </c>
      <c r="F422" s="11">
        <f t="shared" si="35"/>
        <v>30.53339114325771</v>
      </c>
      <c r="G422" s="11">
        <f t="shared" si="36"/>
        <v>30.443786519300005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2022-01-05T19:10:58Z</dcterms:modified>
</cp:coreProperties>
</file>