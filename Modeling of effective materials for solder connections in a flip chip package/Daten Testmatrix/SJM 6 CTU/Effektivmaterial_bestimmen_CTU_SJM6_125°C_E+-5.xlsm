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O33" i="11"/>
  <c r="N33" i="11"/>
  <c r="P33" i="11" s="1"/>
  <c r="O32" i="11"/>
  <c r="N32" i="11"/>
  <c r="P32" i="11" s="1"/>
  <c r="O31" i="11"/>
  <c r="N31" i="11"/>
  <c r="P31" i="11" s="1"/>
  <c r="O30" i="11"/>
  <c r="N30" i="11"/>
  <c r="P29" i="11"/>
  <c r="O29" i="11"/>
  <c r="N29" i="11"/>
  <c r="O28" i="11"/>
  <c r="N28" i="11"/>
  <c r="P28" i="11" s="1"/>
  <c r="O27" i="11"/>
  <c r="N27" i="11"/>
  <c r="P27" i="11" s="1"/>
  <c r="O26" i="11"/>
  <c r="N26" i="11"/>
  <c r="P26" i="11" s="1"/>
  <c r="P25" i="11"/>
  <c r="O25" i="11"/>
  <c r="N25" i="11"/>
  <c r="O24" i="11"/>
  <c r="N24" i="11"/>
  <c r="O23" i="11"/>
  <c r="P23" i="11" s="1"/>
  <c r="N23" i="11"/>
  <c r="O22" i="11"/>
  <c r="N22" i="11"/>
  <c r="O21" i="11"/>
  <c r="N21" i="11"/>
  <c r="P21" i="11" s="1"/>
  <c r="O20" i="11"/>
  <c r="N20" i="11"/>
  <c r="P20" i="11" s="1"/>
  <c r="O19" i="11"/>
  <c r="N19" i="11"/>
  <c r="P19" i="11" s="1"/>
  <c r="O18" i="11"/>
  <c r="N18" i="11"/>
  <c r="P17" i="11"/>
  <c r="O17" i="11"/>
  <c r="N17" i="11"/>
  <c r="O16" i="11"/>
  <c r="N16" i="11"/>
  <c r="P16" i="11" s="1"/>
  <c r="O15" i="11"/>
  <c r="N15" i="11"/>
  <c r="P15" i="11" s="1"/>
  <c r="O14" i="11"/>
  <c r="N14" i="11"/>
  <c r="P14" i="11" s="1"/>
  <c r="P13" i="11"/>
  <c r="O13" i="11"/>
  <c r="N13" i="11"/>
  <c r="O12" i="11"/>
  <c r="N12" i="11"/>
  <c r="O11" i="11"/>
  <c r="P11" i="11" s="1"/>
  <c r="N11" i="11"/>
  <c r="O10" i="11"/>
  <c r="N10" i="11"/>
  <c r="O9" i="11"/>
  <c r="N9" i="11"/>
  <c r="P9" i="11" s="1"/>
  <c r="O8" i="11"/>
  <c r="N8" i="11"/>
  <c r="P8" i="11" s="1"/>
  <c r="O7" i="11"/>
  <c r="N7" i="11"/>
  <c r="P7" i="11" s="1"/>
  <c r="O6" i="11"/>
  <c r="N6" i="11"/>
  <c r="P5" i="11"/>
  <c r="O5" i="11"/>
  <c r="N5" i="11"/>
  <c r="O4" i="11"/>
  <c r="N4" i="11"/>
  <c r="P4" i="11" s="1"/>
  <c r="O3" i="11"/>
  <c r="N3" i="11"/>
  <c r="P3" i="11" s="1"/>
  <c r="P6" i="11" l="1"/>
  <c r="P18" i="11"/>
  <c r="P30" i="11"/>
  <c r="P12" i="11"/>
  <c r="P24"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R14" i="37"/>
  <c r="R3" i="37"/>
  <c r="L4" i="37"/>
  <c r="L5" i="37"/>
  <c r="L6" i="37"/>
  <c r="L7" i="37"/>
  <c r="L8" i="37"/>
  <c r="L9" i="37"/>
  <c r="L10" i="37"/>
  <c r="L11" i="37"/>
  <c r="L12" i="37"/>
  <c r="L13" i="37"/>
  <c r="L14" i="37"/>
  <c r="L3" i="37"/>
  <c r="P6" i="37" l="1"/>
  <c r="B31" i="39" s="1"/>
  <c r="P9" i="37"/>
  <c r="B33"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<sst xmlns="http://schemas.openxmlformats.org/spreadsheetml/2006/main" count="309" uniqueCount="163">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</sst>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55916312"/>
        <c:axId val="6559186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559163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5918664"/>
        <c:crossesAt val="-8.0000000000000019E-3"/>
        <c:crossBetween val="midCat"/>
      </c:valAx>
      <c:valAx>
        <c:axId val="655918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59163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55917096"/>
        <c:axId val="4931836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559170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3183656"/>
        <c:crosses val="autoZero"/>
        <c:crossBetween val="midCat"/>
      </c:valAx>
      <c:valAx>
        <c:axId val="49318365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591709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3184048"/>
        <c:axId val="6605041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31840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0504184"/>
        <c:crosses val="autoZero"/>
        <c:crossBetween val="midCat"/>
        <c:majorUnit val="10000"/>
      </c:valAx>
      <c:valAx>
        <c:axId val="66050418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318404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9786304"/>
        <c:axId val="5509367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97863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50936792"/>
        <c:crosses val="autoZero"/>
        <c:crossBetween val="midCat"/>
        <c:majorUnit val="10000"/>
      </c:valAx>
      <c:valAx>
        <c:axId val="55093679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978630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59106784"/>
        <c:axId val="6591079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5910678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107960"/>
        <c:crosses val="autoZero"/>
        <c:crossBetween val="midCat"/>
        <c:majorUnit val="10000"/>
      </c:valAx>
      <c:valAx>
        <c:axId val="65910796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10678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1.256000503720304E-2</c:v>
                </c:pt>
                <c:pt idx="1">
                  <c:v>1.6987734069625646E-2</c:v>
                </c:pt>
                <c:pt idx="2">
                  <c:v>4.6593571103914428E-3</c:v>
                </c:pt>
                <c:pt idx="3">
                  <c:v>7.9877307421476749E-4</c:v>
                </c:pt>
                <c:pt idx="4">
                  <c:v>1.1262663003267793E-4</c:v>
                </c:pt>
                <c:pt idx="5">
                  <c:v>1.8998311058335153E-5</c:v>
                </c:pt>
                <c:pt idx="6">
                  <c:v>5.3029031413091449E-7</c:v>
                </c:pt>
                <c:pt idx="7">
                  <c:v>9.886531901138731E-6</c:v>
                </c:pt>
                <c:pt idx="8">
                  <c:v>1.1410671039328178E-5</c:v>
                </c:pt>
                <c:pt idx="9">
                  <c:v>3.5318630703800787E-5</c:v>
                </c:pt>
                <c:pt idx="10">
                  <c:v>5.5080390815686502E-5</c:v>
                </c:pt>
                <c:pt idx="11">
                  <c:v>8.9967829421691662E-5</c:v>
                </c:pt>
                <c:pt idx="12">
                  <c:v>1.173840511738732E-4</c:v>
                </c:pt>
                <c:pt idx="13">
                  <c:v>1.354283994326943E-4</c:v>
                </c:pt>
                <c:pt idx="14">
                  <c:v>1.3667562486952432E-4</c:v>
                </c:pt>
                <c:pt idx="15">
                  <c:v>1.1809594441678184E-4</c:v>
                </c:pt>
                <c:pt idx="16">
                  <c:v>1.0333000573024926E-4</c:v>
                </c:pt>
                <c:pt idx="17">
                  <c:v>7.8146154975075911E-5</c:v>
                </c:pt>
                <c:pt idx="18">
                  <c:v>3.8418462895017744E-5</c:v>
                </c:pt>
                <c:pt idx="19">
                  <c:v>5.7467268230397926E-5</c:v>
                </c:pt>
                <c:pt idx="20">
                  <c:v>2.5142640443548833E-6</c:v>
                </c:pt>
                <c:pt idx="21">
                  <c:v>1.7855455271134242E-5</c:v>
                </c:pt>
                <c:pt idx="22">
                  <c:v>5.7266309785606994E-5</c:v>
                </c:pt>
                <c:pt idx="23">
                  <c:v>9.61920771120755E-6</c:v>
                </c:pt>
                <c:pt idx="24">
                  <c:v>1.5857366651687497E-5</c:v>
                </c:pt>
                <c:pt idx="25">
                  <c:v>1.3447031989122107E-4</c:v>
                </c:pt>
                <c:pt idx="26">
                  <c:v>5.905958445486856E-5</c:v>
                </c:pt>
                <c:pt idx="27">
                  <c:v>2.1212723894632477E-4</c:v>
                </c:pt>
                <c:pt idx="28">
                  <c:v>1.6080315431825286E-4</c:v>
                </c:pt>
                <c:pt idx="29">
                  <c:v>1.0350171101813328E-4</c:v>
                </c:pt>
                <c:pt idx="30">
                  <c:v>3.0475264328929291E-4</c:v>
                </c:pt>
              </c:numCache>
            </c:numRef>
          </c:yVal>
          <c:smooth val="1"/>
        </c:ser>
        <c:dLbls>
          <c:showLegendKey val="0"/>
          <c:showVal val="0"/>
          <c:showCatName val="0"/>
          <c:showSerName val="0"/>
          <c:showPercent val="0"/>
          <c:showBubbleSize val="0"/>
        </c:dLbls>
        <c:axId val="659108744"/>
        <c:axId val="545810168"/>
      </c:scatterChart>
      <c:valAx>
        <c:axId val="6591087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10168"/>
        <c:crossesAt val="-1.5000000000000005E-3"/>
        <c:crossBetween val="midCat"/>
      </c:valAx>
      <c:valAx>
        <c:axId val="54581016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10874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4509.2470492235625</c:v>
                </c:pt>
                <c:pt idx="1">
                  <c:v>4442.1202154733082</c:v>
                </c:pt>
                <c:pt idx="2">
                  <c:v>4192.1228661799605</c:v>
                </c:pt>
                <c:pt idx="3">
                  <c:v>4038.3396313736066</c:v>
                </c:pt>
                <c:pt idx="4">
                  <c:v>3826.5519124274392</c:v>
                </c:pt>
                <c:pt idx="5">
                  <c:v>3620.227941448316</c:v>
                </c:pt>
                <c:pt idx="6">
                  <c:v>3446.6250763782541</c:v>
                </c:pt>
                <c:pt idx="7">
                  <c:v>3283.571458891437</c:v>
                </c:pt>
                <c:pt idx="8">
                  <c:v>3126.1158687626598</c:v>
                </c:pt>
                <c:pt idx="9">
                  <c:v>2971.0289875330714</c:v>
                </c:pt>
                <c:pt idx="10">
                  <c:v>2814.7980723395222</c:v>
                </c:pt>
                <c:pt idx="11">
                  <c:v>2641.7178165927758</c:v>
                </c:pt>
                <c:pt idx="12">
                  <c:v>2448.8960059197548</c:v>
                </c:pt>
                <c:pt idx="13">
                  <c:v>2236.1275470550813</c:v>
                </c:pt>
                <c:pt idx="14">
                  <c:v>1993.0632801470108</c:v>
                </c:pt>
                <c:pt idx="15">
                  <c:v>1708.1117567948656</c:v>
                </c:pt>
                <c:pt idx="16">
                  <c:v>1382.8472352094652</c:v>
                </c:pt>
                <c:pt idx="17">
                  <c:v>1045.4663134161933</c:v>
                </c:pt>
                <c:pt idx="18">
                  <c:v>743.47632145542229</c:v>
                </c:pt>
                <c:pt idx="19">
                  <c:v>519.52585621235369</c:v>
                </c:pt>
                <c:pt idx="20">
                  <c:v>383.51471653499635</c:v>
                </c:pt>
                <c:pt idx="21">
                  <c:v>314.10932669727146</c:v>
                </c:pt>
                <c:pt idx="22">
                  <c:v>280.70703648168103</c:v>
                </c:pt>
                <c:pt idx="23">
                  <c:v>262.24148069368988</c:v>
                </c:pt>
                <c:pt idx="24">
                  <c:v>250.54251980469854</c:v>
                </c:pt>
                <c:pt idx="25">
                  <c:v>245.35925389803589</c:v>
                </c:pt>
                <c:pt idx="26">
                  <c:v>234.05610548234361</c:v>
                </c:pt>
                <c:pt idx="27">
                  <c:v>226.23063269584452</c:v>
                </c:pt>
                <c:pt idx="28">
                  <c:v>225.20210306178973</c:v>
                </c:pt>
                <c:pt idx="29">
                  <c:v>225.11325069814757</c:v>
                </c:pt>
                <c:pt idx="30">
                  <c:v>225.10814174814411</c:v>
                </c:pt>
              </c:numCache>
            </c:numRef>
          </c:yVal>
          <c:smooth val="1"/>
        </c:ser>
        <c:dLbls>
          <c:showLegendKey val="0"/>
          <c:showVal val="0"/>
          <c:showCatName val="0"/>
          <c:showSerName val="0"/>
          <c:showPercent val="0"/>
          <c:showBubbleSize val="0"/>
        </c:dLbls>
        <c:axId val="545807032"/>
        <c:axId val="545807816"/>
      </c:scatterChart>
      <c:valAx>
        <c:axId val="5458070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7816"/>
        <c:crosses val="autoZero"/>
        <c:crossBetween val="midCat"/>
      </c:valAx>
      <c:valAx>
        <c:axId val="5458078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703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2.4223697168124559E-3</c:v>
                </c:pt>
                <c:pt idx="11">
                  <c:v>2.3989524794815805E-3</c:v>
                </c:pt>
                <c:pt idx="12">
                  <c:v>2.1665478105171074E-3</c:v>
                </c:pt>
                <c:pt idx="13">
                  <c:v>5.7716430981339356E-5</c:v>
                </c:pt>
                <c:pt idx="14">
                  <c:v>1.7513944335459646E-2</c:v>
                </c:pt>
                <c:pt idx="15">
                  <c:v>4.7030021267995298E-2</c:v>
                </c:pt>
                <c:pt idx="16">
                  <c:v>6.7194176255850363E-2</c:v>
                </c:pt>
                <c:pt idx="17">
                  <c:v>7.1832043747470625E-2</c:v>
                </c:pt>
                <c:pt idx="18">
                  <c:v>2.0415283492070717E-2</c:v>
                </c:pt>
                <c:pt idx="19">
                  <c:v>7.4500790723645696E-2</c:v>
                </c:pt>
                <c:pt idx="20">
                  <c:v>4.1885043353622857E-2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9.974901271949917E-4</c:v>
                </c:pt>
                <c:pt idx="1">
                  <c:v>1.1655945383719931E-3</c:v>
                </c:pt>
                <c:pt idx="2">
                  <c:v>2.845562327950604E-3</c:v>
                </c:pt>
                <c:pt idx="3">
                  <c:v>1.6611884528304966E-2</c:v>
                </c:pt>
                <c:pt idx="4">
                  <c:v>3.6411527463943619E-2</c:v>
                </c:pt>
                <c:pt idx="5">
                  <c:v>2.4578913340392767E-2</c:v>
                </c:pt>
                <c:pt idx="6">
                  <c:v>0.11951683264890066</c:v>
                </c:pt>
                <c:pt idx="7">
                  <c:v>9.8609074088554294E-2</c:v>
                </c:pt>
                <c:pt idx="8">
                  <c:v>7.4775953391539113E-2</c:v>
                </c:pt>
                <c:pt idx="9">
                  <c:v>4.6549409130274194E-2</c:v>
                </c:pt>
                <c:pt idx="10">
                  <c:v>1.5101225105133053E-2</c:v>
                </c:pt>
                <c:pt idx="11">
                  <c:v>1.0542283196702197E-2</c:v>
                </c:pt>
                <c:pt idx="12">
                  <c:v>5.7357376766423223E-3</c:v>
                </c:pt>
                <c:pt idx="13">
                  <c:v>7.4514684811645311E-3</c:v>
                </c:pt>
                <c:pt idx="14">
                  <c:v>6.4659394674724622E-3</c:v>
                </c:pt>
                <c:pt idx="15">
                  <c:v>5.7200446467015418E-3</c:v>
                </c:pt>
                <c:pt idx="16">
                  <c:v>2.5518872953421545E-3</c:v>
                </c:pt>
                <c:pt idx="17">
                  <c:v>4.5005046100226485E-3</c:v>
                </c:pt>
                <c:pt idx="18">
                  <c:v>1.9260870941372882E-2</c:v>
                </c:pt>
                <c:pt idx="19">
                  <c:v>3.3001308132202027E-2</c:v>
                </c:pt>
                <c:pt idx="20">
                  <c:v>4.4771254627452024E-2</c:v>
                </c:pt>
                <c:pt idx="21">
                  <c:v>5.192582494994049E-2</c:v>
                </c:pt>
                <c:pt idx="22">
                  <c:v>5.7008780178483147E-2</c:v>
                </c:pt>
                <c:pt idx="23">
                  <c:v>5.8044168982914125E-2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1.0163156381704428E-2</c:v>
                </c:pt>
                <c:pt idx="11">
                  <c:v>1.2288212272880839E-2</c:v>
                </c:pt>
                <c:pt idx="12">
                  <c:v>1.1576641661799839E-2</c:v>
                </c:pt>
                <c:pt idx="13">
                  <c:v>9.7844832457388061E-3</c:v>
                </c:pt>
                <c:pt idx="14">
                  <c:v>1.0663681279996375E-2</c:v>
                </c:pt>
                <c:pt idx="15">
                  <c:v>8.6154056271214446E-3</c:v>
                </c:pt>
                <c:pt idx="16">
                  <c:v>2.9484999293292423E-3</c:v>
                </c:pt>
                <c:pt idx="17">
                  <c:v>9.278334733320865E-3</c:v>
                </c:pt>
                <c:pt idx="18">
                  <c:v>2.0343367009309093E-2</c:v>
                </c:pt>
                <c:pt idx="19">
                  <c:v>2.9351561400516025E-2</c:v>
                </c:pt>
                <c:pt idx="20">
                  <c:v>3.3591110238205303E-2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3.6130600865777367E-3</c:v>
                </c:pt>
                <c:pt idx="11">
                  <c:v>4.2788751660364638E-5</c:v>
                </c:pt>
                <c:pt idx="12">
                  <c:v>5.3311596195457578E-3</c:v>
                </c:pt>
                <c:pt idx="13">
                  <c:v>1.1514164831756161E-2</c:v>
                </c:pt>
                <c:pt idx="14">
                  <c:v>4.8803862755436161E-3</c:v>
                </c:pt>
                <c:pt idx="15">
                  <c:v>7.5935325575079201E-4</c:v>
                </c:pt>
                <c:pt idx="16">
                  <c:v>7.2329457241444338E-3</c:v>
                </c:pt>
                <c:pt idx="17">
                  <c:v>1.3880972407545161E-2</c:v>
                </c:pt>
                <c:pt idx="18">
                  <c:v>6.6579653883347021E-3</c:v>
                </c:pt>
                <c:pt idx="19">
                  <c:v>9.5707969474496148E-3</c:v>
                </c:pt>
                <c:pt idx="20">
                  <c:v>4.9844930198470368E-3</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545809776"/>
        <c:axId val="545808208"/>
      </c:scatterChart>
      <c:valAx>
        <c:axId val="5458097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8208"/>
        <c:crossesAt val="1.0000000000000005E-9"/>
        <c:crossBetween val="midCat"/>
      </c:valAx>
      <c:valAx>
        <c:axId val="545808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977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-52.940377327368104</c:v>
                </c:pt>
                <c:pt idx="1">
                  <c:v>-36.907821236349747</c:v>
                </c:pt>
                <c:pt idx="2">
                  <c:v>-28.503893330887131</c:v>
                </c:pt>
                <c:pt idx="3">
                  <c:v>-23.522041583623768</c:v>
                </c:pt>
                <c:pt idx="4">
                  <c:v>-16.239010866946504</c:v>
                </c:pt>
                <c:pt idx="5">
                  <c:v>0</c:v>
                </c:pt>
                <c:pt idx="6">
                  <c:v>14.261356474642833</c:v>
                </c:pt>
              </c:numCache>
            </c:numRef>
          </c:yVal>
          <c:smooth val="0"/>
        </c:ser>
        <c:dLbls>
          <c:showLegendKey val="0"/>
          <c:showVal val="0"/>
          <c:showCatName val="0"/>
          <c:showSerName val="0"/>
          <c:showPercent val="0"/>
          <c:showBubbleSize val="0"/>
        </c:dLbls>
        <c:axId val="545809384"/>
        <c:axId val="488446032"/>
      </c:scatterChart>
      <c:valAx>
        <c:axId val="545809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8446032"/>
        <c:crossesAt val="-100"/>
        <c:crossBetween val="midCat"/>
      </c:valAx>
      <c:valAx>
        <c:axId val="48844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580938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488445248"/>
        <c:axId val="552663760"/>
      </c:scatterChart>
      <c:valAx>
        <c:axId val="48844524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2663760"/>
        <c:crosses val="autoZero"/>
        <c:crossBetween val="midCat"/>
      </c:valAx>
      <c:valAx>
        <c:axId val="55266376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844524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-52.940377327368104</c:v>
                </c:pt>
                <c:pt idx="1">
                  <c:v>-52.648888789510011</c:v>
                </c:pt>
                <c:pt idx="2">
                  <c:v>-52.35699002514378</c:v>
                </c:pt>
                <c:pt idx="3">
                  <c:v>-52.064270807761289</c:v>
                </c:pt>
                <c:pt idx="4">
                  <c:v>-51.770320910854394</c:v>
                </c:pt>
                <c:pt idx="5">
                  <c:v>-51.474730107914972</c:v>
                </c:pt>
                <c:pt idx="6">
                  <c:v>-51.177088172434892</c:v>
                </c:pt>
                <c:pt idx="7">
                  <c:v>-50.876984877906011</c:v>
                </c:pt>
                <c:pt idx="8">
                  <c:v>-50.574009997820205</c:v>
                </c:pt>
                <c:pt idx="9">
                  <c:v>-50.267753305669331</c:v>
                </c:pt>
                <c:pt idx="10">
                  <c:v>-49.957804574945264</c:v>
                </c:pt>
                <c:pt idx="11">
                  <c:v>-49.643753579139869</c:v>
                </c:pt>
                <c:pt idx="12">
                  <c:v>-49.325190091745021</c:v>
                </c:pt>
                <c:pt idx="13">
                  <c:v>-49.001703886252578</c:v>
                </c:pt>
                <c:pt idx="14">
                  <c:v>-48.672884736154401</c:v>
                </c:pt>
                <c:pt idx="15">
                  <c:v>-48.338322414942382</c:v>
                </c:pt>
                <c:pt idx="16">
                  <c:v>-47.997606696108363</c:v>
                </c:pt>
                <c:pt idx="17">
                  <c:v>-47.65032735314422</c:v>
                </c:pt>
                <c:pt idx="18">
                  <c:v>-47.296074159541817</c:v>
                </c:pt>
                <c:pt idx="19">
                  <c:v>-46.934436888793037</c:v>
                </c:pt>
                <c:pt idx="20">
                  <c:v>-46.56500531438973</c:v>
                </c:pt>
                <c:pt idx="21">
                  <c:v>-46.187369209823771</c:v>
                </c:pt>
                <c:pt idx="22">
                  <c:v>-45.801118348587018</c:v>
                </c:pt>
                <c:pt idx="23">
                  <c:v>-45.405842504171346</c:v>
                </c:pt>
                <c:pt idx="24">
                  <c:v>-45.001131450068627</c:v>
                </c:pt>
                <c:pt idx="25">
                  <c:v>-44.586574959770729</c:v>
                </c:pt>
                <c:pt idx="26">
                  <c:v>-44.161762806769502</c:v>
                </c:pt>
                <c:pt idx="27">
                  <c:v>-43.72628476455683</c:v>
                </c:pt>
                <c:pt idx="28">
                  <c:v>-43.279730606624575</c:v>
                </c:pt>
                <c:pt idx="29">
                  <c:v>-42.821690106464608</c:v>
                </c:pt>
                <c:pt idx="30">
                  <c:v>-42.351753037568791</c:v>
                </c:pt>
                <c:pt idx="31">
                  <c:v>-41.869509173428987</c:v>
                </c:pt>
                <c:pt idx="32">
                  <c:v>-41.374548287537074</c:v>
                </c:pt>
                <c:pt idx="33">
                  <c:v>-40.866460153384914</c:v>
                </c:pt>
                <c:pt idx="34">
                  <c:v>-40.344834544464376</c:v>
                </c:pt>
                <c:pt idx="35">
                  <c:v>-39.809261234267325</c:v>
                </c:pt>
                <c:pt idx="36">
                  <c:v>-39.259329996285622</c:v>
                </c:pt>
                <c:pt idx="37">
                  <c:v>-38.694630604011152</c:v>
                </c:pt>
                <c:pt idx="38">
                  <c:v>-38.114752830935771</c:v>
                </c:pt>
                <c:pt idx="39">
                  <c:v>-37.519286450551348</c:v>
                </c:pt>
                <c:pt idx="40">
                  <c:v>-36.907821236349747</c:v>
                </c:pt>
                <c:pt idx="41">
                  <c:v>-36.644465479067541</c:v>
                </c:pt>
                <c:pt idx="42">
                  <c:v>-36.365894001507776</c:v>
                </c:pt>
                <c:pt idx="43">
                  <c:v>-36.073300143718242</c:v>
                </c:pt>
                <c:pt idx="44">
                  <c:v>-35.767877245746689</c:v>
                </c:pt>
                <c:pt idx="45">
                  <c:v>-35.45081864764088</c:v>
                </c:pt>
                <c:pt idx="46">
                  <c:v>-35.123317689448584</c:v>
                </c:pt>
                <c:pt idx="47">
                  <c:v>-34.78656771121755</c:v>
                </c:pt>
                <c:pt idx="48">
                  <c:v>-34.441762052995571</c:v>
                </c:pt>
                <c:pt idx="49">
                  <c:v>-34.090094054830374</c:v>
                </c:pt>
                <c:pt idx="50">
                  <c:v>-33.732757056769749</c:v>
                </c:pt>
                <c:pt idx="51">
                  <c:v>-33.370944398861454</c:v>
                </c:pt>
                <c:pt idx="52">
                  <c:v>-33.005849421153236</c:v>
                </c:pt>
                <c:pt idx="53">
                  <c:v>-32.638665463692888</c:v>
                </c:pt>
                <c:pt idx="54">
                  <c:v>-32.270585866528144</c:v>
                </c:pt>
                <c:pt idx="55">
                  <c:v>-31.902803969706788</c:v>
                </c:pt>
                <c:pt idx="56">
                  <c:v>-31.536513113276577</c:v>
                </c:pt>
                <c:pt idx="57">
                  <c:v>-31.172906637285269</c:v>
                </c:pt>
                <c:pt idx="58">
                  <c:v>-30.813177881780639</c:v>
                </c:pt>
                <c:pt idx="59">
                  <c:v>-30.458520186810439</c:v>
                </c:pt>
                <c:pt idx="60">
                  <c:v>-30.110126892422439</c:v>
                </c:pt>
                <c:pt idx="61">
                  <c:v>-29.769191338664399</c:v>
                </c:pt>
                <c:pt idx="62">
                  <c:v>-29.436906865584085</c:v>
                </c:pt>
                <c:pt idx="63">
                  <c:v>-29.114466813229264</c:v>
                </c:pt>
                <c:pt idx="64">
                  <c:v>-28.803064521647688</c:v>
                </c:pt>
                <c:pt idx="65">
                  <c:v>-28.503893330887131</c:v>
                </c:pt>
                <c:pt idx="66">
                  <c:v>-28.21782861623473</c:v>
                </c:pt>
                <c:pt idx="67">
                  <c:v>-27.944473893935108</c:v>
                </c:pt>
                <c:pt idx="68">
                  <c:v>-27.683114715472279</c:v>
                </c:pt>
                <c:pt idx="69">
                  <c:v>-27.433036632330243</c:v>
                </c:pt>
                <c:pt idx="70">
                  <c:v>-27.193525195993004</c:v>
                </c:pt>
                <c:pt idx="71">
                  <c:v>-26.963865957944574</c:v>
                </c:pt>
                <c:pt idx="72">
                  <c:v>-26.743344469668951</c:v>
                </c:pt>
                <c:pt idx="73">
                  <c:v>-26.531246282650137</c:v>
                </c:pt>
                <c:pt idx="74">
                  <c:v>-26.32685694837215</c:v>
                </c:pt>
                <c:pt idx="75">
                  <c:v>-26.129462018318986</c:v>
                </c:pt>
                <c:pt idx="76">
                  <c:v>-25.938347043974645</c:v>
                </c:pt>
                <c:pt idx="77">
                  <c:v>-25.752797576823141</c:v>
                </c:pt>
                <c:pt idx="78">
                  <c:v>-25.57209916834848</c:v>
                </c:pt>
                <c:pt idx="79">
                  <c:v>-25.39553737003466</c:v>
                </c:pt>
                <c:pt idx="80">
                  <c:v>-25.222397733365689</c:v>
                </c:pt>
                <c:pt idx="81">
                  <c:v>-25.051965809825571</c:v>
                </c:pt>
                <c:pt idx="82">
                  <c:v>-24.883527150898313</c:v>
                </c:pt>
                <c:pt idx="83">
                  <c:v>-24.716367308067916</c:v>
                </c:pt>
                <c:pt idx="84">
                  <c:v>-24.549771832818394</c:v>
                </c:pt>
                <c:pt idx="85">
                  <c:v>-24.383026276633743</c:v>
                </c:pt>
                <c:pt idx="86">
                  <c:v>-24.215416190997971</c:v>
                </c:pt>
                <c:pt idx="87">
                  <c:v>-24.046227127395081</c:v>
                </c:pt>
                <c:pt idx="88">
                  <c:v>-23.874744637309082</c:v>
                </c:pt>
                <c:pt idx="89">
                  <c:v>-23.700254272223972</c:v>
                </c:pt>
                <c:pt idx="90">
                  <c:v>-23.522041583623768</c:v>
                </c:pt>
                <c:pt idx="91">
                  <c:v>-23.339515748733767</c:v>
                </c:pt>
                <c:pt idx="92">
                  <c:v>-23.152580447744494</c:v>
                </c:pt>
                <c:pt idx="93">
                  <c:v>-22.961262986587776</c:v>
                </c:pt>
                <c:pt idx="94">
                  <c:v>-22.765590671195433</c:v>
                </c:pt>
                <c:pt idx="95">
                  <c:v>-22.565590807499291</c:v>
                </c:pt>
                <c:pt idx="96">
                  <c:v>-22.361290701431173</c:v>
                </c:pt>
                <c:pt idx="97">
                  <c:v>-22.152717658922899</c:v>
                </c:pt>
                <c:pt idx="98">
                  <c:v>-21.939898985906304</c:v>
                </c:pt>
                <c:pt idx="99">
                  <c:v>-21.722861988313202</c:v>
                </c:pt>
                <c:pt idx="100">
                  <c:v>-21.501633972075425</c:v>
                </c:pt>
                <c:pt idx="101">
                  <c:v>-21.276242243124791</c:v>
                </c:pt>
                <c:pt idx="102">
                  <c:v>-21.046714107393129</c:v>
                </c:pt>
                <c:pt idx="103">
                  <c:v>-20.813076870812257</c:v>
                </c:pt>
                <c:pt idx="104">
                  <c:v>-20.575357839314005</c:v>
                </c:pt>
                <c:pt idx="105">
                  <c:v>-20.333584318830194</c:v>
                </c:pt>
                <c:pt idx="106">
                  <c:v>-20.087783615292651</c:v>
                </c:pt>
                <c:pt idx="107">
                  <c:v>-19.837983034633197</c:v>
                </c:pt>
                <c:pt idx="108">
                  <c:v>-19.584209882783654</c:v>
                </c:pt>
                <c:pt idx="109">
                  <c:v>-19.326491465675858</c:v>
                </c:pt>
                <c:pt idx="110">
                  <c:v>-19.064855089241618</c:v>
                </c:pt>
                <c:pt idx="111">
                  <c:v>-18.799328059412765</c:v>
                </c:pt>
                <c:pt idx="112">
                  <c:v>-18.529937682121126</c:v>
                </c:pt>
                <c:pt idx="113">
                  <c:v>-18.25671126329852</c:v>
                </c:pt>
                <c:pt idx="114">
                  <c:v>-17.979676108876774</c:v>
                </c:pt>
                <c:pt idx="115">
                  <c:v>-17.698859524787714</c:v>
                </c:pt>
                <c:pt idx="116">
                  <c:v>-17.414288816963161</c:v>
                </c:pt>
                <c:pt idx="117">
                  <c:v>-17.125991291334937</c:v>
                </c:pt>
                <c:pt idx="118">
                  <c:v>-16.83399425383487</c:v>
                </c:pt>
                <c:pt idx="119">
                  <c:v>-16.538325010394786</c:v>
                </c:pt>
                <c:pt idx="120">
                  <c:v>-16.239010866946504</c:v>
                </c:pt>
                <c:pt idx="121">
                  <c:v>-15.936085272976442</c:v>
                </c:pt>
                <c:pt idx="122">
                  <c:v>-15.629606252189385</c:v>
                </c:pt>
                <c:pt idx="123">
                  <c:v>-15.319637971844708</c:v>
                </c:pt>
                <c:pt idx="124">
                  <c:v>-15.006244599201782</c:v>
                </c:pt>
                <c:pt idx="125">
                  <c:v>-14.689490301519985</c:v>
                </c:pt>
                <c:pt idx="126">
                  <c:v>-14.369439246058691</c:v>
                </c:pt>
                <c:pt idx="127">
                  <c:v>-14.046155600077279</c:v>
                </c:pt>
                <c:pt idx="128">
                  <c:v>-13.719703530835121</c:v>
                </c:pt>
                <c:pt idx="129">
                  <c:v>-13.390147205591591</c:v>
                </c:pt>
                <c:pt idx="130">
                  <c:v>-13.057550791606065</c:v>
                </c:pt>
                <c:pt idx="131">
                  <c:v>-12.72197845613792</c:v>
                </c:pt>
                <c:pt idx="132">
                  <c:v>-12.383494366446529</c:v>
                </c:pt>
                <c:pt idx="133">
                  <c:v>-12.042162689791267</c:v>
                </c:pt>
                <c:pt idx="134">
                  <c:v>-11.698047593431511</c:v>
                </c:pt>
                <c:pt idx="135">
                  <c:v>-11.351213244626633</c:v>
                </c:pt>
                <c:pt idx="136">
                  <c:v>-11.001723810636014</c:v>
                </c:pt>
                <c:pt idx="137">
                  <c:v>-10.649643458719021</c:v>
                </c:pt>
                <c:pt idx="138">
                  <c:v>-10.295036356135034</c:v>
                </c:pt>
                <c:pt idx="139">
                  <c:v>-9.9379666701434299</c:v>
                </c:pt>
                <c:pt idx="140">
                  <c:v>-9.5784985680035799</c:v>
                </c:pt>
                <c:pt idx="141">
                  <c:v>-9.2166962169748583</c:v>
                </c:pt>
                <c:pt idx="142">
                  <c:v>-8.8526237843166431</c:v>
                </c:pt>
                <c:pt idx="143">
                  <c:v>-8.4863454372883105</c:v>
                </c:pt>
                <c:pt idx="144">
                  <c:v>-8.1179253431492331</c:v>
                </c:pt>
                <c:pt idx="145">
                  <c:v>-7.7474276691587853</c:v>
                </c:pt>
                <c:pt idx="146">
                  <c:v>-7.3749165825763443</c:v>
                </c:pt>
                <c:pt idx="147">
                  <c:v>-7.0004562506612853</c:v>
                </c:pt>
                <c:pt idx="148">
                  <c:v>-6.6241108406729818</c:v>
                </c:pt>
                <c:pt idx="149">
                  <c:v>-6.2459445198708092</c:v>
                </c:pt>
                <c:pt idx="150">
                  <c:v>-5.8660214555141437</c:v>
                </c:pt>
                <c:pt idx="151">
                  <c:v>-5.4844058148623596</c:v>
                </c:pt>
                <c:pt idx="152">
                  <c:v>-5.1011617651748322</c:v>
                </c:pt>
                <c:pt idx="153">
                  <c:v>-4.7163534737109369</c:v>
                </c:pt>
                <c:pt idx="154">
                  <c:v>-4.3300451077300472</c:v>
                </c:pt>
                <c:pt idx="155">
                  <c:v>-3.9423008344915407</c:v>
                </c:pt>
                <c:pt idx="156">
                  <c:v>-3.5531848212547907</c:v>
                </c:pt>
                <c:pt idx="157">
                  <c:v>-3.1627612352791727</c:v>
                </c:pt>
                <c:pt idx="158">
                  <c:v>-2.771094243824062</c:v>
                </c:pt>
                <c:pt idx="159">
                  <c:v>-2.3782480141488342</c:v>
                </c:pt>
                <c:pt idx="160">
                  <c:v>-1.9842867135128632</c:v>
                </c:pt>
                <c:pt idx="161">
                  <c:v>-1.5892745091755252</c:v>
                </c:pt>
                <c:pt idx="162">
                  <c:v>-1.1932755683961946</c:v>
                </c:pt>
                <c:pt idx="163">
                  <c:v>-0.79635405843424689</c:v>
                </c:pt>
                <c:pt idx="164">
                  <c:v>-0.39857414654905698</c:v>
                </c:pt>
                <c:pt idx="165">
                  <c:v>-5.5511151231257827E-17</c:v>
                </c:pt>
                <c:pt idx="166">
                  <c:v>0.39931143198532804</c:v>
                </c:pt>
                <c:pt idx="167">
                  <c:v>0.79933207230644832</c:v>
                </c:pt>
                <c:pt idx="168">
                  <c:v>1.2000410618946611</c:v>
                </c:pt>
                <c:pt idx="169">
                  <c:v>1.6014175416812662</c:v>
                </c:pt>
                <c:pt idx="170">
                  <c:v>2.0034406525975643</c:v>
                </c:pt>
                <c:pt idx="171">
                  <c:v>2.4060895355748557</c:v>
                </c:pt>
                <c:pt idx="172">
                  <c:v>2.80934333154444</c:v>
                </c:pt>
                <c:pt idx="173">
                  <c:v>3.2131811814376183</c:v>
                </c:pt>
                <c:pt idx="174">
                  <c:v>3.6175822261856903</c:v>
                </c:pt>
                <c:pt idx="175">
                  <c:v>4.022525606719956</c:v>
                </c:pt>
                <c:pt idx="176">
                  <c:v>4.4279904639717165</c:v>
                </c:pt>
                <c:pt idx="177">
                  <c:v>4.833955938872271</c:v>
                </c:pt>
                <c:pt idx="178">
                  <c:v>5.2404011723529198</c:v>
                </c:pt>
                <c:pt idx="179">
                  <c:v>5.6473053053449647</c:v>
                </c:pt>
                <c:pt idx="180">
                  <c:v>6.0546474787797049</c:v>
                </c:pt>
                <c:pt idx="181">
                  <c:v>6.4624068335884388</c:v>
                </c:pt>
                <c:pt idx="182">
                  <c:v>6.8705625107024693</c:v>
                </c:pt>
                <c:pt idx="183">
                  <c:v>7.2790936510530955</c:v>
                </c:pt>
                <c:pt idx="184">
                  <c:v>7.6879793955716185</c:v>
                </c:pt>
                <c:pt idx="185">
                  <c:v>8.0971988851893375</c:v>
                </c:pt>
                <c:pt idx="186">
                  <c:v>8.5067312608375509</c:v>
                </c:pt>
                <c:pt idx="187">
                  <c:v>8.9165556634475642</c:v>
                </c:pt>
                <c:pt idx="188">
                  <c:v>9.326651233950674</c:v>
                </c:pt>
                <c:pt idx="189">
                  <c:v>9.7369971132781803</c:v>
                </c:pt>
                <c:pt idx="190">
                  <c:v>10.147572442361383</c:v>
                </c:pt>
                <c:pt idx="191">
                  <c:v>10.558356362131583</c:v>
                </c:pt>
                <c:pt idx="192">
                  <c:v>10.969328013520085</c:v>
                </c:pt>
                <c:pt idx="193">
                  <c:v>11.380466537458181</c:v>
                </c:pt>
                <c:pt idx="194">
                  <c:v>11.791751074877178</c:v>
                </c:pt>
                <c:pt idx="195">
                  <c:v>12.203160766708374</c:v>
                </c:pt>
                <c:pt idx="196">
                  <c:v>12.614674753883065</c:v>
                </c:pt>
                <c:pt idx="197">
                  <c:v>13.026272177332558</c:v>
                </c:pt>
                <c:pt idx="198">
                  <c:v>13.437932177988149</c:v>
                </c:pt>
                <c:pt idx="199">
                  <c:v>13.849633896781141</c:v>
                </c:pt>
                <c:pt idx="200">
                  <c:v>14.261356474642833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-52.940377327368104</c:v>
                </c:pt>
                <c:pt idx="1">
                  <c:v>-36.907821236349747</c:v>
                </c:pt>
                <c:pt idx="2">
                  <c:v>-28.503893330887131</c:v>
                </c:pt>
                <c:pt idx="3">
                  <c:v>-23.522041583623768</c:v>
                </c:pt>
                <c:pt idx="4">
                  <c:v>-16.239010866946504</c:v>
                </c:pt>
                <c:pt idx="5">
                  <c:v>0</c:v>
                </c:pt>
                <c:pt idx="6">
                  <c:v>14.261356474642833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-52.803697438241215</c:v>
                </c:pt>
                <c:pt idx="1">
                  <c:v>-52.550995645023477</c:v>
                </c:pt>
                <c:pt idx="2">
                  <c:v>-52.297462293917306</c:v>
                </c:pt>
                <c:pt idx="3">
                  <c:v>-52.041388169402808</c:v>
                </c:pt>
                <c:pt idx="4">
                  <c:v>-51.781277813611268</c:v>
                </c:pt>
                <c:pt idx="5">
                  <c:v>-51.515836142808666</c:v>
                </c:pt>
                <c:pt idx="6">
                  <c:v>-51.243955567482317</c:v>
                </c:pt>
                <c:pt idx="7">
                  <c:v>-50.964703604981423</c:v>
                </c:pt>
                <c:pt idx="8">
                  <c:v>-50.677310973729391</c:v>
                </c:pt>
                <c:pt idx="9">
                  <c:v>-50.381160158162515</c:v>
                </c:pt>
                <c:pt idx="10">
                  <c:v>-50.075774433661763</c:v>
                </c:pt>
                <c:pt idx="11">
                  <c:v>-49.760807340831661</c:v>
                </c:pt>
                <c:pt idx="12">
                  <c:v>-49.436032598630959</c:v>
                </c:pt>
                <c:pt idx="13">
                  <c:v>-49.101334445931229</c:v>
                </c:pt>
                <c:pt idx="14">
                  <c:v>-48.756698401219069</c:v>
                </c:pt>
                <c:pt idx="15">
                  <c:v>-48.402202430256693</c:v>
                </c:pt>
                <c:pt idx="16">
                  <c:v>-48.03800851163237</c:v>
                </c:pt>
                <c:pt idx="17">
                  <c:v>-47.664354590234552</c:v>
                </c:pt>
                <c:pt idx="18">
                  <c:v>-47.281546908809446</c:v>
                </c:pt>
                <c:pt idx="19">
                  <c:v>-46.889952707864268</c:v>
                </c:pt>
                <c:pt idx="20">
                  <c:v>-46.489993284285106</c:v>
                </c:pt>
                <c:pt idx="21">
                  <c:v>-46.082137399163116</c:v>
                </c:pt>
                <c:pt idx="22">
                  <c:v>-45.666895025428346</c:v>
                </c:pt>
                <c:pt idx="23">
                  <c:v>-45.244811425988928</c:v>
                </c:pt>
                <c:pt idx="24">
                  <c:v>-44.816461553214197</c:v>
                </c:pt>
                <c:pt idx="25">
                  <c:v>-44.382444760679448</c:v>
                </c:pt>
                <c:pt idx="26">
                  <c:v>-43.943379818228436</c:v>
                </c:pt>
                <c:pt idx="27">
                  <c:v>-43.49990022149899</c:v>
                </c:pt>
                <c:pt idx="28">
                  <c:v>-43.052649787187363</c:v>
                </c:pt>
                <c:pt idx="29">
                  <c:v>-42.602278525427721</c:v>
                </c:pt>
                <c:pt idx="30">
                  <c:v>-42.149438780775085</c:v>
                </c:pt>
                <c:pt idx="31">
                  <c:v>-41.694781633395053</c:v>
                </c:pt>
                <c:pt idx="32">
                  <c:v>-41.238953552177293</c:v>
                </c:pt>
                <c:pt idx="33">
                  <c:v>-40.782593291591809</c:v>
                </c:pt>
                <c:pt idx="34">
                  <c:v>-40.326329024229551</c:v>
                </c:pt>
                <c:pt idx="35">
                  <c:v>-39.870775701072631</c:v>
                </c:pt>
                <c:pt idx="36">
                  <c:v>-39.416532631655627</c:v>
                </c:pt>
                <c:pt idx="37">
                  <c:v>-38.96418127638799</c:v>
                </c:pt>
                <c:pt idx="38">
                  <c:v>-38.514283243421687</c:v>
                </c:pt>
                <c:pt idx="39">
                  <c:v>-38.067378482556137</c:v>
                </c:pt>
                <c:pt idx="40">
                  <c:v>-37.623983668789322</c:v>
                </c:pt>
                <c:pt idx="41">
                  <c:v>-37.184590768228645</c:v>
                </c:pt>
                <c:pt idx="42">
                  <c:v>-36.749665779195624</c:v>
                </c:pt>
                <c:pt idx="43">
                  <c:v>-36.319647641458431</c:v>
                </c:pt>
                <c:pt idx="44">
                  <c:v>-35.894947306649726</c:v>
                </c:pt>
                <c:pt idx="45">
                  <c:v>-35.47594696303068</c:v>
                </c:pt>
                <c:pt idx="46">
                  <c:v>-35.06299940787666</c:v>
                </c:pt>
                <c:pt idx="47">
                  <c:v>-34.656427560871094</c:v>
                </c:pt>
                <c:pt idx="48">
                  <c:v>-34.25652411200582</c:v>
                </c:pt>
                <c:pt idx="49">
                  <c:v>-33.863551297597098</c:v>
                </c:pt>
                <c:pt idx="50">
                  <c:v>-33.477740798139763</c:v>
                </c:pt>
                <c:pt idx="51">
                  <c:v>-33.099293751829919</c:v>
                </c:pt>
                <c:pt idx="52">
                  <c:v>-32.728380877702961</c:v>
                </c:pt>
                <c:pt idx="53">
                  <c:v>-32.365142702440068</c:v>
                </c:pt>
                <c:pt idx="54">
                  <c:v>-32.009689885013863</c:v>
                </c:pt>
                <c:pt idx="55">
                  <c:v>-31.662103633448133</c:v>
                </c:pt>
                <c:pt idx="56">
                  <c:v>-31.322436208084667</c:v>
                </c:pt>
                <c:pt idx="57">
                  <c:v>-30.990711505858918</c:v>
                </c:pt>
                <c:pt idx="58">
                  <c:v>-30.666925720196311</c:v>
                </c:pt>
                <c:pt idx="59">
                  <c:v>-30.351048071255931</c:v>
                </c:pt>
                <c:pt idx="60">
                  <c:v>-30.043021601357111</c:v>
                </c:pt>
                <c:pt idx="61">
                  <c:v>-29.742764030537607</c:v>
                </c:pt>
                <c:pt idx="62">
                  <c:v>-29.45016866730159</c:v>
                </c:pt>
                <c:pt idx="63">
                  <c:v>-29.165105369730547</c:v>
                </c:pt>
                <c:pt idx="64">
                  <c:v>-28.887421552238266</c:v>
                </c:pt>
                <c:pt idx="65">
                  <c:v>-28.61694323336399</c:v>
                </c:pt>
                <c:pt idx="66">
                  <c:v>-28.353476120110816</c:v>
                </c:pt>
                <c:pt idx="67">
                  <c:v>-28.096806724445031</c:v>
                </c:pt>
                <c:pt idx="68">
                  <c:v>-27.846703507685902</c:v>
                </c:pt>
                <c:pt idx="69">
                  <c:v>-27.602918048626474</c:v>
                </c:pt>
                <c:pt idx="70">
                  <c:v>-27.365186231336224</c:v>
                </c:pt>
                <c:pt idx="71">
                  <c:v>-27.1332294487102</c:v>
                </c:pt>
                <c:pt idx="72">
                  <c:v>-26.906755817938453</c:v>
                </c:pt>
                <c:pt idx="73">
                  <c:v>-26.685461404182767</c:v>
                </c:pt>
                <c:pt idx="74">
                  <c:v>-26.469031448858658</c:v>
                </c:pt>
                <c:pt idx="75">
                  <c:v>-26.25714159903189</c:v>
                </c:pt>
                <c:pt idx="76">
                  <c:v>-26.049459134550517</c:v>
                </c:pt>
                <c:pt idx="77">
                  <c:v>-25.845644189645544</c:v>
                </c:pt>
                <c:pt idx="78">
                  <c:v>-25.645350965843441</c:v>
                </c:pt>
                <c:pt idx="79">
                  <c:v>-25.44822893314705</c:v>
                </c:pt>
                <c:pt idx="80">
                  <c:v>-25.253924016551299</c:v>
                </c:pt>
                <c:pt idx="81">
                  <c:v>-25.062079765072909</c:v>
                </c:pt>
                <c:pt idx="82">
                  <c:v>-24.872338500584096</c:v>
                </c:pt>
                <c:pt idx="83">
                  <c:v>-24.684342443852067</c:v>
                </c:pt>
                <c:pt idx="84">
                  <c:v>-24.497734815297733</c:v>
                </c:pt>
                <c:pt idx="85">
                  <c:v>-24.312160908098203</c:v>
                </c:pt>
                <c:pt idx="86">
                  <c:v>-24.127269131369772</c:v>
                </c:pt>
                <c:pt idx="87">
                  <c:v>-23.942712021278943</c:v>
                </c:pt>
                <c:pt idx="88">
                  <c:v>-23.758147218041234</c:v>
                </c:pt>
                <c:pt idx="89">
                  <c:v>-23.573238406878488</c:v>
                </c:pt>
                <c:pt idx="90">
                  <c:v>-23.38765622111729</c:v>
                </c:pt>
                <c:pt idx="91">
                  <c:v>-23.201079105722592</c:v>
                </c:pt>
                <c:pt idx="92">
                  <c:v>-23.013194139671931</c:v>
                </c:pt>
                <c:pt idx="93">
                  <c:v>-22.823697815687549</c:v>
                </c:pt>
                <c:pt idx="94">
                  <c:v>-22.632296775954767</c:v>
                </c:pt>
                <c:pt idx="95">
                  <c:v>-22.438708502567124</c:v>
                </c:pt>
                <c:pt idx="96">
                  <c:v>-22.242661961549711</c:v>
                </c:pt>
                <c:pt idx="97">
                  <c:v>-22.043898199423989</c:v>
                </c:pt>
                <c:pt idx="98">
                  <c:v>-21.842170891388971</c:v>
                </c:pt>
                <c:pt idx="99">
                  <c:v>-21.637246840304876</c:v>
                </c:pt>
                <c:pt idx="100">
                  <c:v>-21.428906425777249</c:v>
                </c:pt>
                <c:pt idx="101">
                  <c:v>-21.216944002750882</c:v>
                </c:pt>
                <c:pt idx="102">
                  <c:v>-21.001168249134249</c:v>
                </c:pt>
                <c:pt idx="103">
                  <c:v>-20.781402462087229</c:v>
                </c:pt>
                <c:pt idx="104">
                  <c:v>-20.557484802715759</c:v>
                </c:pt>
                <c:pt idx="105">
                  <c:v>-20.329268489029051</c:v>
                </c:pt>
                <c:pt idx="106">
                  <c:v>-20.096621937126422</c:v>
                </c:pt>
                <c:pt idx="107">
                  <c:v>-19.859428850692282</c:v>
                </c:pt>
                <c:pt idx="108">
                  <c:v>-19.617588258989326</c:v>
                </c:pt>
                <c:pt idx="109">
                  <c:v>-19.371014503651612</c:v>
                </c:pt>
                <c:pt idx="110">
                  <c:v>-19.119637174690688</c:v>
                </c:pt>
                <c:pt idx="111">
                  <c:v>-18.863400996239434</c:v>
                </c:pt>
                <c:pt idx="112">
                  <c:v>-18.602265662669879</c:v>
                </c:pt>
                <c:pt idx="113">
                  <c:v>-18.336205625832729</c:v>
                </c:pt>
                <c:pt idx="114">
                  <c:v>-18.065209834277926</c:v>
                </c:pt>
                <c:pt idx="115">
                  <c:v>-17.789281425427045</c:v>
                </c:pt>
                <c:pt idx="116">
                  <c:v>-17.50843737177993</c:v>
                </c:pt>
                <c:pt idx="117">
                  <c:v>-17.222708082349403</c:v>
                </c:pt>
                <c:pt idx="118">
                  <c:v>-16.932136960629538</c:v>
                </c:pt>
                <c:pt idx="119">
                  <c:v>-16.636779920514435</c:v>
                </c:pt>
                <c:pt idx="120">
                  <c:v>-16.336704861695956</c:v>
                </c:pt>
                <c:pt idx="121">
                  <c:v>-16.031991106180538</c:v>
                </c:pt>
                <c:pt idx="122">
                  <c:v>-15.72272879767656</c:v>
                </c:pt>
                <c:pt idx="123">
                  <c:v>-15.409018265715428</c:v>
                </c:pt>
                <c:pt idx="124">
                  <c:v>-15.090969356480914</c:v>
                </c:pt>
                <c:pt idx="125">
                  <c:v>-14.76870073243302</c:v>
                </c:pt>
                <c:pt idx="126">
                  <c:v>-14.442339142924025</c:v>
                </c:pt>
                <c:pt idx="127">
                  <c:v>-14.112018668115869</c:v>
                </c:pt>
                <c:pt idx="128">
                  <c:v>-13.777879938619781</c:v>
                </c:pt>
                <c:pt idx="129">
                  <c:v>-13.440069333390289</c:v>
                </c:pt>
                <c:pt idx="130">
                  <c:v>-13.098738158517563</c:v>
                </c:pt>
                <c:pt idx="131">
                  <c:v>-12.754041809673405</c:v>
                </c:pt>
                <c:pt idx="132">
                  <c:v>-12.406138921077758</c:v>
                </c:pt>
                <c:pt idx="133">
                  <c:v>-12.055190503964225</c:v>
                </c:pt>
                <c:pt idx="134">
                  <c:v>-11.701359077634477</c:v>
                </c:pt>
                <c:pt idx="135">
                  <c:v>-11.344807796303146</c:v>
                </c:pt>
                <c:pt idx="136">
                  <c:v>-10.985699575046123</c:v>
                </c:pt>
                <c:pt idx="137">
                  <c:v>-10.624196218276918</c:v>
                </c:pt>
                <c:pt idx="138">
                  <c:v>-10.260457554287109</c:v>
                </c:pt>
                <c:pt idx="139">
                  <c:v>-9.8946405794985619</c:v>
                </c:pt>
                <c:pt idx="140">
                  <c:v>-9.5268986161865232</c:v>
                </c:pt>
                <c:pt idx="141">
                  <c:v>-9.1573804875443514</c:v>
                </c:pt>
                <c:pt idx="142">
                  <c:v>-8.7862297140720376</c:v>
                </c:pt>
                <c:pt idx="143">
                  <c:v>-8.4135837353823479</c:v>
                </c:pt>
                <c:pt idx="144">
                  <c:v>-8.0395731616298463</c:v>
                </c:pt>
                <c:pt idx="145">
                  <c:v>-7.6643210588796205</c:v>
                </c:pt>
                <c:pt idx="146">
                  <c:v>-7.2879422728440826</c:v>
                </c:pt>
                <c:pt idx="147">
                  <c:v>-6.9105427955277614</c:v>
                </c:pt>
                <c:pt idx="148">
                  <c:v>-6.5322191794314683</c:v>
                </c:pt>
                <c:pt idx="149">
                  <c:v>-6.1530580040788259</c:v>
                </c:pt>
                <c:pt idx="150">
                  <c:v>-5.7731353997396715</c:v>
                </c:pt>
                <c:pt idx="151">
                  <c:v>-5.3925166333363173</c:v>
                </c:pt>
                <c:pt idx="152">
                  <c:v>-5.0112557616302649</c:v>
                </c:pt>
                <c:pt idx="153">
                  <c:v>-4.6293953568984563</c:v>
                </c:pt>
                <c:pt idx="154">
                  <c:v>-4.2469663104196904</c:v>
                </c:pt>
                <c:pt idx="155">
                  <c:v>-3.8639877192033696</c:v>
                </c:pt>
                <c:pt idx="156">
                  <c:v>-3.4804668615042509</c:v>
                </c:pt>
                <c:pt idx="157">
                  <c:v>-3.0963992667784659</c:v>
                </c:pt>
                <c:pt idx="158">
                  <c:v>-2.7117688858475346</c:v>
                </c:pt>
                <c:pt idx="159">
                  <c:v>-2.3265483671486917</c:v>
                </c:pt>
                <c:pt idx="160">
                  <c:v>-1.9406994450613368</c:v>
                </c:pt>
                <c:pt idx="161">
                  <c:v>-1.5541734464109804</c:v>
                </c:pt>
                <c:pt idx="162">
                  <c:v>-1.1669119213635712</c:v>
                </c:pt>
                <c:pt idx="163">
                  <c:v>-0.77884740503463956</c:v>
                </c:pt>
                <c:pt idx="164">
                  <c:v>-0.38990431624921362</c:v>
                </c:pt>
                <c:pt idx="165">
                  <c:v>0</c:v>
                </c:pt>
                <c:pt idx="166">
                  <c:v>0.39095407973713803</c:v>
                </c:pt>
                <c:pt idx="167">
                  <c:v>0.78305099005984935</c:v>
                </c:pt>
                <c:pt idx="168">
                  <c:v>1.1763868151860148</c:v>
                </c:pt>
                <c:pt idx="169">
                  <c:v>1.571058971496891</c:v>
                </c:pt>
                <c:pt idx="170">
                  <c:v>1.967164344471519</c:v>
                </c:pt>
                <c:pt idx="171">
                  <c:v>2.3647972402957027</c:v>
                </c:pt>
                <c:pt idx="172">
                  <c:v>2.7640471448173307</c:v>
                </c:pt>
                <c:pt idx="173">
                  <c:v>3.164996282408282</c:v>
                </c:pt>
                <c:pt idx="174">
                  <c:v>3.5677169671816227</c:v>
                </c:pt>
                <c:pt idx="175">
                  <c:v>3.9722687389012599</c:v>
                </c:pt>
                <c:pt idx="176">
                  <c:v>4.378695275809708</c:v>
                </c:pt>
                <c:pt idx="177">
                  <c:v>4.7870210764880579</c:v>
                </c:pt>
                <c:pt idx="178">
                  <c:v>5.1972479027507266</c:v>
                </c:pt>
                <c:pt idx="179">
                  <c:v>5.6093509754660449</c:v>
                </c:pt>
                <c:pt idx="180">
                  <c:v>6.0232749150821521</c:v>
                </c:pt>
                <c:pt idx="181">
                  <c:v>6.4389294185262109</c:v>
                </c:pt>
                <c:pt idx="182">
                  <c:v>6.8561846640333641</c:v>
                </c:pt>
                <c:pt idx="183">
                  <c:v>7.2748664353503321</c:v>
                </c:pt>
                <c:pt idx="184">
                  <c:v>7.6947509566470487</c:v>
                </c:pt>
                <c:pt idx="185">
                  <c:v>8.1155594293581466</c:v>
                </c:pt>
                <c:pt idx="186">
                  <c:v>8.5369522620646272</c:v>
                </c:pt>
                <c:pt idx="187">
                  <c:v>8.9585229844144703</c:v>
                </c:pt>
                <c:pt idx="188">
                  <c:v>9.3797918359694119</c:v>
                </c:pt>
                <c:pt idx="189">
                  <c:v>9.8001990207536629</c:v>
                </c:pt>
                <c:pt idx="190">
                  <c:v>10.219097618168645</c:v>
                </c:pt>
                <c:pt idx="191">
                  <c:v>10.635746140826443</c:v>
                </c:pt>
                <c:pt idx="192">
                  <c:v>11.049300729743107</c:v>
                </c:pt>
                <c:pt idx="193">
                  <c:v>11.458806977221304</c:v>
                </c:pt>
                <c:pt idx="194">
                  <c:v>11.8631913676404</c:v>
                </c:pt>
                <c:pt idx="195">
                  <c:v>12.26125232626053</c:v>
                </c:pt>
                <c:pt idx="196">
                  <c:v>12.651650866035501</c:v>
                </c:pt>
                <c:pt idx="197">
                  <c:v>13.03290082231811</c:v>
                </c:pt>
                <c:pt idx="198">
                  <c:v>13.4033586652297</c:v>
                </c:pt>
                <c:pt idx="199">
                  <c:v>13.761212879354334</c:v>
                </c:pt>
                <c:pt idx="200">
                  <c:v>14.104472900306472</c:v>
                </c:pt>
              </c:numCache>
            </c:numRef>
          </c:yVal>
          <c:smooth val="1"/>
        </c:ser>
        <c:dLbls>
          <c:showLegendKey val="0"/>
          <c:showVal val="0"/>
          <c:showCatName val="0"/>
          <c:showSerName val="0"/>
          <c:showPercent val="0"/>
          <c:showBubbleSize val="0"/>
        </c:dLbls>
        <c:axId val="659108352"/>
        <c:axId val="552497096"/>
      </c:scatterChart>
      <c:valAx>
        <c:axId val="65910835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2497096"/>
        <c:crossesAt val="-1000"/>
        <c:crossBetween val="midCat"/>
      </c:valAx>
      <c:valAx>
        <c:axId val="552497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10835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130</v>
      </c>
    </row>
    <row r="22" spans="1:2" s="11" customFormat="1" x14ac:dyDescent="0.25">
      <c r="A22" s="61" t="s">
        <v>157</v>
      </c>
      <c r="B22" s="100">
        <f>CTE!N8-0.5</f>
        <v>140</v>
      </c>
    </row>
    <row r="23" spans="1:2" s="11" customFormat="1" x14ac:dyDescent="0.25">
      <c r="A23" s="61" t="s">
        <v>158</v>
      </c>
      <c r="B23" s="100">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0.39041401671763959</v>
      </c>
      <c r="D59" s="55">
        <v>1</v>
      </c>
    </row>
    <row r="60" spans="1:4" s="11" customFormat="1" x14ac:dyDescent="0.25">
      <c r="A60" s="54">
        <v>2</v>
      </c>
      <c r="B60" s="56">
        <f>'Shiftfunktion bestimmen'!N2</f>
        <v>5.2469203816574465E-4</v>
      </c>
      <c r="D60" s="55">
        <v>2</v>
      </c>
    </row>
    <row r="61" spans="1:4" s="11" customFormat="1" x14ac:dyDescent="0.25">
      <c r="A61" s="54">
        <v>3</v>
      </c>
      <c r="B61" s="56">
        <f>'Shiftfunktion bestimmen'!N3</f>
        <v>1.5193190543468682E-5</v>
      </c>
      <c r="D61" s="55">
        <v>3</v>
      </c>
    </row>
    <row r="62" spans="1:4" s="11" customFormat="1" x14ac:dyDescent="0.25">
      <c r="A62" s="54">
        <v>4</v>
      </c>
      <c r="B62" s="56">
        <f>'Shiftfunktion bestimmen'!N4</f>
        <v>1.8993355210255015E-7</v>
      </c>
      <c r="D62" s="55">
        <v>4</v>
      </c>
    </row>
    <row r="63" spans="1:4" s="11" customFormat="1" x14ac:dyDescent="0.25">
      <c r="A63" s="54">
        <v>5</v>
      </c>
      <c r="B63" s="56">
        <f>'Shiftfunktion bestimmen'!N5</f>
        <v>-1.1913630715071386E-8</v>
      </c>
      <c r="D63" s="55">
        <v>5</v>
      </c>
    </row>
    <row r="64" spans="1:4" s="11" customFormat="1" x14ac:dyDescent="0.25">
      <c r="A64" s="54">
        <v>6</v>
      </c>
      <c r="B64" s="56">
        <f>'Shiftfunktion bestimmen'!N6</f>
        <v>-2.2775286839727752E-10</v>
      </c>
      <c r="D64" s="55">
        <v>6</v>
      </c>
    </row>
    <row r="65" spans="1:5" s="11" customFormat="1" x14ac:dyDescent="0.25">
      <c r="A65" s="54">
        <v>7</v>
      </c>
      <c r="B65" s="56">
        <f>'Shiftfunktion bestimmen'!N7</f>
        <v>-1.3765596042418378E-12</v>
      </c>
      <c r="D65" s="55">
        <v>7</v>
      </c>
    </row>
    <row r="66" spans="1:5" x14ac:dyDescent="0.25">
      <c r="A66" s="54">
        <v>8</v>
      </c>
      <c r="B66" s="56">
        <f>'Shiftfunktion bestimmen'!N8</f>
        <v>-2.7662025787663929E-15</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0.19530898992100296</v>
      </c>
      <c r="D74" s="51">
        <v>1</v>
      </c>
      <c r="E74" s="56">
        <f>'Mastercurve bestimmen'!A18</f>
        <v>1.0000000000000001E-20</v>
      </c>
    </row>
    <row r="75" spans="1:5" x14ac:dyDescent="0.25">
      <c r="A75" s="50">
        <f>A74+1</f>
        <v>2</v>
      </c>
      <c r="B75" s="56">
        <f>'Mastercurve bestimmen'!C19</f>
        <v>5.6906652449858444E-2</v>
      </c>
      <c r="D75" s="51">
        <v>2</v>
      </c>
      <c r="E75" s="56">
        <f>'Mastercurve bestimmen'!A19</f>
        <v>3.9038946506297401E-14</v>
      </c>
    </row>
    <row r="76" spans="1:5" x14ac:dyDescent="0.25">
      <c r="A76" s="50">
        <f t="shared" ref="A76:A104" si="0">A75+1</f>
        <v>3</v>
      </c>
      <c r="B76" s="56">
        <f>'Mastercurve bestimmen'!C20</f>
        <v>2.191476034261481E-2</v>
      </c>
      <c r="D76" s="51">
        <v>3</v>
      </c>
      <c r="E76" s="56">
        <f>'Mastercurve bestimmen'!A20</f>
        <v>4.3276437088188502E-13</v>
      </c>
    </row>
    <row r="77" spans="1:5" x14ac:dyDescent="0.25">
      <c r="A77" s="50">
        <f t="shared" si="0"/>
        <v>4</v>
      </c>
      <c r="B77" s="56">
        <f>'Mastercurve bestimmen'!C21</f>
        <v>4.2179983982958157E-2</v>
      </c>
      <c r="D77" s="51">
        <v>4</v>
      </c>
      <c r="E77" s="56">
        <f>'Mastercurve bestimmen'!A21</f>
        <v>4.7973886968128502E-12</v>
      </c>
    </row>
    <row r="78" spans="1:5" x14ac:dyDescent="0.25">
      <c r="A78" s="50">
        <f t="shared" si="0"/>
        <v>5</v>
      </c>
      <c r="B78" s="56">
        <f>'Mastercurve bestimmen'!C22</f>
        <v>3.9494315481295991E-2</v>
      </c>
      <c r="D78" s="51">
        <v>5</v>
      </c>
      <c r="E78" s="56">
        <f>'Mastercurve bestimmen'!A22</f>
        <v>5.31812225239524E-11</v>
      </c>
    </row>
    <row r="79" spans="1:5" x14ac:dyDescent="0.25">
      <c r="A79" s="50">
        <f t="shared" si="0"/>
        <v>6</v>
      </c>
      <c r="B79" s="56">
        <f>'Mastercurve bestimmen'!C23</f>
        <v>3.1232286968780269E-2</v>
      </c>
      <c r="D79" s="51">
        <v>6</v>
      </c>
      <c r="E79" s="56">
        <f>'Mastercurve bestimmen'!A23</f>
        <v>5.8953789402578301E-10</v>
      </c>
    </row>
    <row r="80" spans="1:5" x14ac:dyDescent="0.25">
      <c r="A80" s="50">
        <f t="shared" si="0"/>
        <v>7</v>
      </c>
      <c r="B80" s="56">
        <f>'Mastercurve bestimmen'!C24</f>
        <v>3.0546949875680195E-2</v>
      </c>
      <c r="D80" s="51">
        <v>7</v>
      </c>
      <c r="E80" s="56">
        <f>'Mastercurve bestimmen'!A24</f>
        <v>6.5352940755699598E-9</v>
      </c>
    </row>
    <row r="81" spans="1:5" x14ac:dyDescent="0.25">
      <c r="A81" s="50">
        <f t="shared" si="0"/>
        <v>8</v>
      </c>
      <c r="B81" s="56">
        <f>'Mastercurve bestimmen'!C25</f>
        <v>2.9181012135706209E-2</v>
      </c>
      <c r="D81" s="51">
        <v>8</v>
      </c>
      <c r="E81" s="56">
        <f>'Mastercurve bestimmen'!A25</f>
        <v>7.2446689325643296E-8</v>
      </c>
    </row>
    <row r="82" spans="1:5" x14ac:dyDescent="0.25">
      <c r="A82" s="50">
        <f t="shared" si="0"/>
        <v>9</v>
      </c>
      <c r="B82" s="56">
        <f>'Mastercurve bestimmen'!C26</f>
        <v>2.8956161504827882E-2</v>
      </c>
      <c r="D82" s="51">
        <f>A82</f>
        <v>9</v>
      </c>
      <c r="E82" s="56">
        <f>'Mastercurve bestimmen'!A26</f>
        <v>8.03104303120212E-7</v>
      </c>
    </row>
    <row r="83" spans="1:5" x14ac:dyDescent="0.25">
      <c r="A83" s="50">
        <f t="shared" si="0"/>
        <v>10</v>
      </c>
      <c r="B83" s="56">
        <f>'Mastercurve bestimmen'!C27</f>
        <v>2.8549428510413092E-2</v>
      </c>
      <c r="C83" s="11"/>
      <c r="D83" s="51">
        <f t="shared" ref="D83:D104" si="1">A83</f>
        <v>10</v>
      </c>
      <c r="E83" s="56">
        <f>'Mastercurve bestimmen'!A27</f>
        <v>8.9027742702096099E-6</v>
      </c>
    </row>
    <row r="84" spans="1:5" x14ac:dyDescent="0.25">
      <c r="A84" s="50">
        <f t="shared" si="0"/>
        <v>11</v>
      </c>
      <c r="B84" s="56">
        <f>'Mastercurve bestimmen'!C28</f>
        <v>3.3916990026039671E-2</v>
      </c>
      <c r="C84" s="11"/>
      <c r="D84" s="51">
        <f t="shared" si="1"/>
        <v>11</v>
      </c>
      <c r="E84" s="56">
        <f>'Mastercurve bestimmen'!A28</f>
        <v>9.86912775817142E-5</v>
      </c>
    </row>
    <row r="85" spans="1:5" x14ac:dyDescent="0.25">
      <c r="A85" s="50">
        <f t="shared" si="0"/>
        <v>12</v>
      </c>
      <c r="B85" s="56">
        <f>'Mastercurve bestimmen'!C29</f>
        <v>3.6686036889388041E-2</v>
      </c>
      <c r="C85" s="11"/>
      <c r="D85" s="51">
        <f t="shared" si="1"/>
        <v>12</v>
      </c>
      <c r="E85" s="56">
        <f>'Mastercurve bestimmen'!A29</f>
        <v>1.0940374286813801E-3</v>
      </c>
    </row>
    <row r="86" spans="1:5" x14ac:dyDescent="0.25">
      <c r="A86" s="50">
        <f t="shared" si="0"/>
        <v>13</v>
      </c>
      <c r="B86" s="56">
        <f>'Mastercurve bestimmen'!C30</f>
        <v>4.0919511658412108E-2</v>
      </c>
      <c r="C86" s="11"/>
      <c r="D86" s="51">
        <f t="shared" si="1"/>
        <v>13</v>
      </c>
      <c r="E86" s="56">
        <f>'Mastercurve bestimmen'!A30</f>
        <v>1.2127899493091E-2</v>
      </c>
    </row>
    <row r="87" spans="1:5" x14ac:dyDescent="0.25">
      <c r="A87" s="50">
        <f t="shared" si="0"/>
        <v>14</v>
      </c>
      <c r="B87" s="56">
        <f>'Mastercurve bestimmen'!C31</f>
        <v>4.7755707575506505E-2</v>
      </c>
      <c r="C87" s="11"/>
      <c r="D87" s="51">
        <f t="shared" si="1"/>
        <v>14</v>
      </c>
      <c r="E87" s="56">
        <f>'Mastercurve bestimmen'!A31</f>
        <v>0.13444324870292301</v>
      </c>
    </row>
    <row r="88" spans="1:5" x14ac:dyDescent="0.25">
      <c r="A88" s="50">
        <f t="shared" si="0"/>
        <v>15</v>
      </c>
      <c r="B88" s="56">
        <f>'Mastercurve bestimmen'!C32</f>
        <v>5.7469214785363418E-2</v>
      </c>
      <c r="C88" s="11"/>
      <c r="D88" s="51">
        <f t="shared" si="1"/>
        <v>15</v>
      </c>
      <c r="E88" s="56">
        <f>'Mastercurve bestimmen'!A32</f>
        <v>1.49036419143257</v>
      </c>
    </row>
    <row r="89" spans="1:5" x14ac:dyDescent="0.25">
      <c r="A89" s="50">
        <f t="shared" si="0"/>
        <v>16</v>
      </c>
      <c r="B89" s="56">
        <f>'Mastercurve bestimmen'!C33</f>
        <v>6.4260885650205518E-2</v>
      </c>
      <c r="C89" s="11"/>
      <c r="D89" s="51">
        <f t="shared" si="1"/>
        <v>16</v>
      </c>
      <c r="E89" s="56">
        <f>'Mastercurve bestimmen'!A33</f>
        <v>16.521360830937301</v>
      </c>
    </row>
    <row r="90" spans="1:5" x14ac:dyDescent="0.25">
      <c r="A90" s="50">
        <f t="shared" si="0"/>
        <v>17</v>
      </c>
      <c r="B90" s="56">
        <f>'Mastercurve bestimmen'!C34</f>
        <v>6.2189536822504186E-2</v>
      </c>
      <c r="C90" s="11"/>
      <c r="D90" s="51">
        <f t="shared" si="1"/>
        <v>17</v>
      </c>
      <c r="E90" s="56">
        <f>'Mastercurve bestimmen'!A34</f>
        <v>183.146753843879</v>
      </c>
    </row>
    <row r="91" spans="1:5" x14ac:dyDescent="0.25">
      <c r="A91" s="50">
        <f t="shared" si="0"/>
        <v>18</v>
      </c>
      <c r="B91" s="56">
        <f>'Mastercurve bestimmen'!C35</f>
        <v>4.8803099741359754E-2</v>
      </c>
      <c r="C91" s="11"/>
      <c r="D91" s="51">
        <f t="shared" si="1"/>
        <v>18</v>
      </c>
      <c r="E91" s="56">
        <f>'Mastercurve bestimmen'!A35</f>
        <v>2030.26456396616</v>
      </c>
    </row>
    <row r="92" spans="1:5" x14ac:dyDescent="0.25">
      <c r="A92" s="50">
        <f t="shared" si="0"/>
        <v>19</v>
      </c>
      <c r="B92" s="56">
        <f>'Mastercurve bestimmen'!C36</f>
        <v>3.0415227107223403E-2</v>
      </c>
      <c r="C92" s="11"/>
      <c r="D92" s="51">
        <f t="shared" si="1"/>
        <v>19</v>
      </c>
      <c r="E92" s="56">
        <f>'Mastercurve bestimmen'!A36</f>
        <v>22506.400540467101</v>
      </c>
    </row>
    <row r="93" spans="1:5" x14ac:dyDescent="0.25">
      <c r="A93" s="50">
        <f t="shared" si="0"/>
        <v>20</v>
      </c>
      <c r="B93" s="56">
        <f>'Mastercurve bestimmen'!C37</f>
        <v>1.5463317607252298E-2</v>
      </c>
      <c r="C93" s="11"/>
      <c r="D93" s="51">
        <f t="shared" si="1"/>
        <v>20</v>
      </c>
      <c r="E93" s="56">
        <f>'Mastercurve bestimmen'!A37</f>
        <v>249493.62476110301</v>
      </c>
    </row>
    <row r="94" spans="1:5" x14ac:dyDescent="0.25">
      <c r="A94" s="50">
        <f t="shared" si="0"/>
        <v>21</v>
      </c>
      <c r="B94" s="56">
        <f>'Mastercurve bestimmen'!C38</f>
        <v>6.4979326784240111E-3</v>
      </c>
      <c r="C94" s="11"/>
      <c r="D94" s="51">
        <f t="shared" si="1"/>
        <v>21</v>
      </c>
      <c r="E94" s="56">
        <f>'Mastercurve bestimmen'!A38</f>
        <v>2765749.6224023802</v>
      </c>
    </row>
    <row r="95" spans="1:5" x14ac:dyDescent="0.25">
      <c r="A95" s="50">
        <f t="shared" si="0"/>
        <v>22</v>
      </c>
      <c r="B95" s="56">
        <f>'Mastercurve bestimmen'!C39</f>
        <v>1.7266189453767201E-3</v>
      </c>
      <c r="C95" s="11"/>
      <c r="D95" s="51">
        <f t="shared" si="1"/>
        <v>22</v>
      </c>
      <c r="E95" s="56">
        <f>'Mastercurve bestimmen'!A39</f>
        <v>10000000</v>
      </c>
    </row>
    <row r="96" spans="1:5" x14ac:dyDescent="0.25">
      <c r="A96" s="50">
        <f t="shared" si="0"/>
        <v>23</v>
      </c>
      <c r="B96" s="56">
        <f>'Mastercurve bestimmen'!C40</f>
        <v>4.5003340048363309E-3</v>
      </c>
      <c r="C96" s="11"/>
      <c r="D96" s="51">
        <f t="shared" si="1"/>
        <v>23</v>
      </c>
      <c r="E96" s="56">
        <f>'Mastercurve bestimmen'!A40</f>
        <v>100000000</v>
      </c>
    </row>
    <row r="97" spans="1:5" x14ac:dyDescent="0.25">
      <c r="A97" s="50">
        <f t="shared" si="0"/>
        <v>24</v>
      </c>
      <c r="B97" s="56">
        <f>'Mastercurve bestimmen'!C41</f>
        <v>6.1948117203855881E-4</v>
      </c>
      <c r="C97" s="11"/>
      <c r="D97" s="51">
        <f t="shared" si="1"/>
        <v>24</v>
      </c>
      <c r="E97" s="56">
        <f>'Mastercurve bestimmen'!A41</f>
        <v>1000000000</v>
      </c>
    </row>
    <row r="98" spans="1:5" x14ac:dyDescent="0.25">
      <c r="A98" s="50">
        <f t="shared" si="0"/>
        <v>25</v>
      </c>
      <c r="B98" s="56">
        <f>'Mastercurve bestimmen'!C42</f>
        <v>7.8921984991154562E-4</v>
      </c>
      <c r="C98" s="11"/>
      <c r="D98" s="51">
        <f t="shared" si="1"/>
        <v>25</v>
      </c>
      <c r="E98" s="56">
        <f>'Mastercurve bestimmen'!A42</f>
        <v>10000000000</v>
      </c>
    </row>
    <row r="99" spans="1:5" x14ac:dyDescent="0.25">
      <c r="A99" s="50">
        <f t="shared" si="0"/>
        <v>26</v>
      </c>
      <c r="B99" s="56">
        <f>'Mastercurve bestimmen'!C43</f>
        <v>3.1383864234018747E-3</v>
      </c>
      <c r="C99" s="11"/>
      <c r="D99" s="51">
        <f t="shared" si="1"/>
        <v>26</v>
      </c>
      <c r="E99" s="56">
        <f>'Mastercurve bestimmen'!A43</f>
        <v>100000000000</v>
      </c>
    </row>
    <row r="100" spans="1:5" x14ac:dyDescent="0.25">
      <c r="A100" s="50">
        <f t="shared" si="0"/>
        <v>27</v>
      </c>
      <c r="B100" s="56">
        <f>'Mastercurve bestimmen'!C44</f>
        <v>4.3963079363277776E-4</v>
      </c>
      <c r="C100" s="11"/>
      <c r="D100" s="51">
        <f t="shared" si="1"/>
        <v>27</v>
      </c>
      <c r="E100" s="56">
        <f>'Mastercurve bestimmen'!A44</f>
        <v>1000000000000</v>
      </c>
    </row>
    <row r="101" spans="1:5" x14ac:dyDescent="0.25">
      <c r="A101" s="50">
        <f t="shared" si="0"/>
        <v>28</v>
      </c>
      <c r="B101" s="56">
        <f>'Mastercurve bestimmen'!C45</f>
        <v>3.9367491924485783E-5</v>
      </c>
      <c r="C101" s="11"/>
      <c r="D101" s="51">
        <f t="shared" si="1"/>
        <v>28</v>
      </c>
      <c r="E101" s="56">
        <f>'Mastercurve bestimmen'!A45</f>
        <v>10000000000000</v>
      </c>
    </row>
    <row r="102" spans="1:5" x14ac:dyDescent="0.25">
      <c r="A102" s="50">
        <f t="shared" si="0"/>
        <v>29</v>
      </c>
      <c r="B102" s="56">
        <f>'Mastercurve bestimmen'!C46</f>
        <v>2.469113716916911E-6</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03">
        <f>STUTT!D8</f>
        <v>5614.1607000000004</v>
      </c>
      <c r="D113" s="103"/>
    </row>
    <row r="114" spans="1:4" s="11" customFormat="1" x14ac:dyDescent="0.25">
      <c r="A114" s="61" t="str">
        <f>STUTT!B9</f>
        <v>MP,GXY,</v>
      </c>
      <c r="B114" s="52" t="str">
        <f>STUTT!C9</f>
        <v>MatID,</v>
      </c>
      <c r="C114" s="103">
        <f>STUTT!D9</f>
        <v>6353.6364000000003</v>
      </c>
      <c r="D114" s="103"/>
    </row>
    <row r="115" spans="1:4" x14ac:dyDescent="0.25">
      <c r="A115" s="61" t="str">
        <f>STUTT!B10</f>
        <v>MP,GYZ,</v>
      </c>
      <c r="B115" s="52" t="str">
        <f>STUTT!C10</f>
        <v>MatID,</v>
      </c>
      <c r="C115" s="103">
        <f>STUTT!D10</f>
        <v>6353.6364000000003</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6"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90">
        <f>(INDEX(L:L,ROW(L2)*2+1)+INDEX(L:L,ROW(L2)*2+2))/2</f>
        <v>2.4226182285714289E-5</v>
      </c>
      <c r="P5" s="90">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90">
        <f t="shared" ref="O6:O7" si="2">(INDEX(L:L,ROW(L3)*2+1)+INDEX(L:L,ROW(L3)*2+2))/2</f>
        <v>2.6648912571428573E-5</v>
      </c>
      <c r="P6" s="90">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90">
        <f t="shared" si="2"/>
        <v>5.1568891714285722E-5</v>
      </c>
      <c r="P7" s="90">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90">
        <f t="shared" ref="O8:O9" si="4">(INDEX(L:L,ROW(L5)*2+1)+INDEX(L:L,ROW(L5)*2+2))/2</f>
        <v>7.4083502857142863E-5</v>
      </c>
      <c r="P8" s="90">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90">
        <f t="shared" si="4"/>
        <v>7.3900625714285717E-5</v>
      </c>
      <c r="P9" s="90">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N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D68" sqref="D6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8" t="s">
        <v>26</v>
      </c>
      <c r="B15" s="108"/>
      <c r="C15" s="108"/>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4566.6036136134571</v>
      </c>
      <c r="G16" s="26">
        <f>INDEX(Comparison!$AM$3:$AS$33,G14,$B$3)</f>
        <v>4367.9191662396088</v>
      </c>
      <c r="H16" s="26">
        <f>INDEX(Comparison!$AM$3:$AS$33,H14,$B$3)</f>
        <v>4211.7468990411771</v>
      </c>
      <c r="I16" s="26">
        <f>INDEX(Comparison!$AM$3:$AS$33,I14,$B$3)</f>
        <v>4035.1164889708966</v>
      </c>
      <c r="J16" s="26">
        <f>INDEX(Comparison!$AM$3:$AS$33,J14,$B$3)</f>
        <v>3826.9829326183326</v>
      </c>
      <c r="K16" s="26">
        <f>INDEX(Comparison!$AM$3:$AS$33,K14,$B$3)</f>
        <v>3620.1591645384274</v>
      </c>
      <c r="L16" s="26">
        <f>INDEX(Comparison!$AM$3:$AS$33,L14,$B$3)</f>
        <v>3446.6232486673289</v>
      </c>
      <c r="M16" s="26">
        <f>INDEX(Comparison!$AM$3:$AS$33,M14,$B$3)</f>
        <v>3283.5389960784037</v>
      </c>
      <c r="N16" s="26">
        <f>INDEX(Comparison!$AM$3:$AS$33,N14,$B$3)</f>
        <v>3126.1515402495047</v>
      </c>
      <c r="O16" s="26">
        <f>INDEX(Comparison!$AM$3:$AS$33,O14,$B$3)</f>
        <v>2970.9240585633979</v>
      </c>
      <c r="P16" s="26">
        <f>INDEX(Comparison!$AM$3:$AS$33,P14,$B$3)</f>
        <v>2814.9531210575578</v>
      </c>
      <c r="Q16" s="26">
        <f>INDEX(Comparison!$AM$3:$AS$33,Q14,$B$3)</f>
        <v>2641.4801683555684</v>
      </c>
      <c r="R16" s="26">
        <f>INDEX(Comparison!$AM$3:$AS$33,R14,$B$3)</f>
        <v>2449.1835010011705</v>
      </c>
      <c r="S16" s="26">
        <f>INDEX(Comparison!$AM$3:$AS$33,S14,$B$3)</f>
        <v>2235.8247528873858</v>
      </c>
      <c r="T16" s="26">
        <f>INDEX(Comparison!$AM$3:$AS$33,T14,$B$3)</f>
        <v>1993.335720552192</v>
      </c>
      <c r="U16" s="26">
        <f>INDEX(Comparison!$AM$3:$AS$33,U14,$B$3)</f>
        <v>1707.9100595434049</v>
      </c>
      <c r="V16" s="26">
        <f>INDEX(Comparison!$AM$3:$AS$33,V14,$B$3)</f>
        <v>1382.9901395885138</v>
      </c>
      <c r="W16" s="26">
        <f>INDEX(Comparison!$AM$3:$AS$33,W14,$B$3)</f>
        <v>1045.3846206276212</v>
      </c>
      <c r="X16" s="26">
        <f>INDEX(Comparison!$AM$3:$AS$33,X14,$B$3)</f>
        <v>743.50488577028852</v>
      </c>
      <c r="Y16" s="26">
        <f>INDEX(Comparison!$AM$3:$AS$33,Y14,$B$3)</f>
        <v>519.49600219625086</v>
      </c>
      <c r="Z16" s="26">
        <f>INDEX(Comparison!$AM$3:$AS$33,Z14,$B$3)</f>
        <v>383.51568079468302</v>
      </c>
      <c r="AA16" s="26">
        <f>INDEX(Comparison!$AM$3:$AS$33,AA14,$B$3)</f>
        <v>314.10371823238006</v>
      </c>
      <c r="AB16" s="26">
        <f>INDEX(Comparison!$AM$3:$AS$33,AB14,$B$3)</f>
        <v>280.6909623460773</v>
      </c>
      <c r="AC16" s="26">
        <f>INDEX(Comparison!$AM$3:$AS$33,AC14,$B$3)</f>
        <v>262.23895816268134</v>
      </c>
      <c r="AD16" s="26">
        <f>INDEX(Comparison!$AM$3:$AS$33,AD14,$B$3)</f>
        <v>250.5385469230996</v>
      </c>
      <c r="AE16" s="26">
        <f>INDEX(Comparison!$AM$3:$AS$33,AE14,$B$3)</f>
        <v>245.32626479673095</v>
      </c>
      <c r="AF16" s="26">
        <f>INDEX(Comparison!$AM$3:$AS$33,AF14,$B$3)</f>
        <v>234.06992955511652</v>
      </c>
      <c r="AG16" s="26">
        <f>INDEX(Comparison!$AM$3:$AS$33,AG14,$B$3)</f>
        <v>226.1826531941249</v>
      </c>
      <c r="AH16" s="26">
        <f>INDEX(Comparison!$AM$3:$AS$33,AH14,$B$3)</f>
        <v>225.23832209445587</v>
      </c>
      <c r="AI16" s="26">
        <f>INDEX(Comparison!$AM$3:$AS$33,AI14,$B$3)</f>
        <v>225.13655271656646</v>
      </c>
      <c r="AJ16" s="26">
        <f>INDEX(Comparison!$AM$3:$AS$33,AJ14,$B$3)</f>
        <v>225.03956034728361</v>
      </c>
    </row>
    <row r="17" spans="1:36" x14ac:dyDescent="0.25">
      <c r="A17" s="14" t="s">
        <v>20</v>
      </c>
      <c r="B17" s="14">
        <v>4.81911362714873E-2</v>
      </c>
      <c r="C17" s="18">
        <f t="shared" ref="C17:C48" si="3">ABS(B17/$B$49)</f>
        <v>4.00964904903435E-2</v>
      </c>
      <c r="D17" s="67"/>
      <c r="E17" s="66" t="s">
        <v>22</v>
      </c>
      <c r="F17" s="27">
        <f>($C$17+SUM(F18:F48))*$B$51</f>
        <v>4509.2470492235625</v>
      </c>
      <c r="G17" s="27">
        <f t="shared" ref="G17:M17" si="4">($C$17+SUM(G18:G48))*$B$51</f>
        <v>4442.1202154733082</v>
      </c>
      <c r="H17" s="27">
        <f t="shared" si="4"/>
        <v>4192.1228661799605</v>
      </c>
      <c r="I17" s="27">
        <f t="shared" si="4"/>
        <v>4038.3396313736066</v>
      </c>
      <c r="J17" s="27">
        <f t="shared" si="4"/>
        <v>3826.5519124274392</v>
      </c>
      <c r="K17" s="27">
        <f t="shared" si="4"/>
        <v>3620.227941448316</v>
      </c>
      <c r="L17" s="27">
        <f t="shared" si="4"/>
        <v>3446.6250763782541</v>
      </c>
      <c r="M17" s="27">
        <f t="shared" si="4"/>
        <v>3283.571458891437</v>
      </c>
      <c r="N17" s="27">
        <f t="shared" ref="N17" si="5">($C$17+SUM(N18:N48))*$B$51</f>
        <v>3126.1158687626598</v>
      </c>
      <c r="O17" s="27">
        <f t="shared" ref="O17" si="6">($C$17+SUM(O18:O48))*$B$51</f>
        <v>2971.0289875330714</v>
      </c>
      <c r="P17" s="27">
        <f t="shared" ref="P17" si="7">($C$17+SUM(P18:P48))*$B$51</f>
        <v>2814.7980723395222</v>
      </c>
      <c r="Q17" s="27">
        <f t="shared" ref="Q17" si="8">($C$17+SUM(Q18:Q48))*$B$51</f>
        <v>2641.7178165927758</v>
      </c>
      <c r="R17" s="27">
        <f t="shared" ref="R17" si="9">($C$17+SUM(R18:R48))*$B$51</f>
        <v>2448.8960059197548</v>
      </c>
      <c r="S17" s="27">
        <f t="shared" ref="S17:T17" si="10">($C$17+SUM(S18:S48))*$B$51</f>
        <v>2236.1275470550813</v>
      </c>
      <c r="T17" s="27">
        <f t="shared" si="10"/>
        <v>1993.0632801470108</v>
      </c>
      <c r="U17" s="27">
        <f t="shared" ref="U17" si="11">($C$17+SUM(U18:U48))*$B$51</f>
        <v>1708.1117567948656</v>
      </c>
      <c r="V17" s="27">
        <f t="shared" ref="V17" si="12">($C$17+SUM(V18:V48))*$B$51</f>
        <v>1382.8472352094652</v>
      </c>
      <c r="W17" s="27">
        <f t="shared" ref="W17" si="13">($C$17+SUM(W18:W48))*$B$51</f>
        <v>1045.4663134161933</v>
      </c>
      <c r="X17" s="27">
        <f t="shared" ref="X17" si="14">($C$17+SUM(X18:X48))*$B$51</f>
        <v>743.47632145542229</v>
      </c>
      <c r="Y17" s="27">
        <f t="shared" ref="Y17" si="15">($C$17+SUM(Y18:Y48))*$B$51</f>
        <v>519.52585621235369</v>
      </c>
      <c r="Z17" s="27">
        <f t="shared" ref="Z17:AA17" si="16">($C$17+SUM(Z18:Z48))*$B$51</f>
        <v>383.51471653499635</v>
      </c>
      <c r="AA17" s="27">
        <f t="shared" si="16"/>
        <v>314.10932669727146</v>
      </c>
      <c r="AB17" s="27">
        <f t="shared" ref="AB17" si="17">($C$17+SUM(AB18:AB48))*$B$51</f>
        <v>280.70703648168103</v>
      </c>
      <c r="AC17" s="27">
        <f t="shared" ref="AC17" si="18">($C$17+SUM(AC18:AC48))*$B$51</f>
        <v>262.24148069368988</v>
      </c>
      <c r="AD17" s="27">
        <f t="shared" ref="AD17" si="19">($C$17+SUM(AD18:AD48))*$B$51</f>
        <v>250.54251980469854</v>
      </c>
      <c r="AE17" s="27">
        <f t="shared" ref="AE17" si="20">($C$17+SUM(AE18:AE48))*$B$51</f>
        <v>245.35925389803589</v>
      </c>
      <c r="AF17" s="27">
        <f t="shared" ref="AF17" si="21">($C$17+SUM(AF18:AF48))*$B$51</f>
        <v>234.05610548234361</v>
      </c>
      <c r="AG17" s="27">
        <f t="shared" ref="AG17:AH17" si="22">($C$17+SUM(AG18:AG48))*$B$51</f>
        <v>226.23063269584452</v>
      </c>
      <c r="AH17" s="27">
        <f t="shared" si="22"/>
        <v>225.20210306178973</v>
      </c>
      <c r="AI17" s="27">
        <f t="shared" ref="AI17" si="23">($C$17+SUM(AI18:AI48))*$B$51</f>
        <v>225.11325069814757</v>
      </c>
      <c r="AJ17" s="27">
        <f t="shared" ref="AJ17" si="24">($C$17+SUM(AJ18:AJ48))*$B$51</f>
        <v>225.10814174814411</v>
      </c>
    </row>
    <row r="18" spans="1:36" x14ac:dyDescent="0.25">
      <c r="A18" s="3">
        <f>0.000000000000001/10^5</f>
        <v>1.0000000000000001E-20</v>
      </c>
      <c r="B18" s="17">
        <v>0.2347378045616321</v>
      </c>
      <c r="C18" s="18">
        <f t="shared" si="3"/>
        <v>0.19530898992100296</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6.8394919590924058E-2</v>
      </c>
      <c r="C19" s="18">
        <f t="shared" si="3"/>
        <v>5.6906652449858444E-2</v>
      </c>
      <c r="D19" s="17"/>
      <c r="F19" s="3">
        <f t="shared" si="25"/>
        <v>5.5467474489573287E-2</v>
      </c>
      <c r="G19" s="3">
        <f t="shared" si="25"/>
        <v>4.4047024230939646E-2</v>
      </c>
      <c r="H19" s="3">
        <f t="shared" si="25"/>
        <v>4.3923646028785363E-3</v>
      </c>
      <c r="I19" s="3">
        <f t="shared" si="25"/>
        <v>4.2708712588141987E-13</v>
      </c>
      <c r="J19" s="3">
        <f t="shared" si="25"/>
        <v>3.2262458039411268E-113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2.6338893731417155E-2</v>
      </c>
      <c r="C20" s="18">
        <f t="shared" si="3"/>
        <v>2.191476034261481E-2</v>
      </c>
      <c r="D20" s="17"/>
      <c r="F20" s="3">
        <f t="shared" si="25"/>
        <v>2.1864179791626526E-2</v>
      </c>
      <c r="G20" s="3">
        <f t="shared" si="25"/>
        <v>2.1414176058440784E-2</v>
      </c>
      <c r="H20" s="3">
        <f t="shared" si="25"/>
        <v>1.7393346902235849E-2</v>
      </c>
      <c r="I20" s="3">
        <f t="shared" si="25"/>
        <v>2.173707270036844E-3</v>
      </c>
      <c r="J20" s="3">
        <f t="shared" si="25"/>
        <v>2.0201333961480163E-12</v>
      </c>
      <c r="K20" s="3">
        <f t="shared" si="25"/>
        <v>9.7088983130813791E-103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5.0695243678282181E-2</v>
      </c>
      <c r="C21" s="18">
        <f t="shared" si="3"/>
        <v>4.2179983982958157E-2</v>
      </c>
      <c r="D21" s="17"/>
      <c r="F21" s="3">
        <f t="shared" si="25"/>
        <v>4.2171192619403129E-2</v>
      </c>
      <c r="G21" s="3">
        <f t="shared" si="25"/>
        <v>4.2092152756897309E-2</v>
      </c>
      <c r="H21" s="3">
        <f t="shared" si="25"/>
        <v>4.1309856267370305E-2</v>
      </c>
      <c r="I21" s="3">
        <f t="shared" si="25"/>
        <v>3.4243578650806017E-2</v>
      </c>
      <c r="J21" s="3">
        <f t="shared" si="25"/>
        <v>5.2460660239732259E-3</v>
      </c>
      <c r="K21" s="3">
        <f t="shared" si="25"/>
        <v>3.7357673859538227E-11</v>
      </c>
      <c r="L21" s="3">
        <f t="shared" si="25"/>
        <v>1.252681225773556E-92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4.7467394678010894E-2</v>
      </c>
      <c r="C22" s="18">
        <f t="shared" si="3"/>
        <v>3.9494315481295991E-2</v>
      </c>
      <c r="D22" s="17"/>
      <c r="F22" s="3">
        <f t="shared" si="25"/>
        <v>3.9493572851805901E-2</v>
      </c>
      <c r="G22" s="3">
        <f t="shared" si="25"/>
        <v>3.9486889814743499E-2</v>
      </c>
      <c r="H22" s="3">
        <f t="shared" si="25"/>
        <v>3.9420121611640685E-2</v>
      </c>
      <c r="I22" s="3">
        <f t="shared" si="25"/>
        <v>3.8758617581446955E-2</v>
      </c>
      <c r="J22" s="3">
        <f t="shared" si="25"/>
        <v>3.2724382935762172E-2</v>
      </c>
      <c r="K22" s="3">
        <f t="shared" si="25"/>
        <v>6.0242549291475442E-3</v>
      </c>
      <c r="L22" s="3">
        <f t="shared" si="25"/>
        <v>2.6929116041106829E-10</v>
      </c>
      <c r="M22" s="3">
        <f t="shared" si="25"/>
        <v>8.5784664791766956E-84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3.7537434797321405E-2</v>
      </c>
      <c r="C23" s="18">
        <f t="shared" si="3"/>
        <v>3.1232286968780269E-2</v>
      </c>
      <c r="D23" s="17"/>
      <c r="F23" s="3">
        <f t="shared" si="25"/>
        <v>3.1232233991251943E-2</v>
      </c>
      <c r="G23" s="3">
        <f t="shared" si="25"/>
        <v>3.1231757197540816E-2</v>
      </c>
      <c r="H23" s="3">
        <f t="shared" si="25"/>
        <v>3.1226989660743526E-2</v>
      </c>
      <c r="I23" s="3">
        <f t="shared" si="25"/>
        <v>3.1179354301568915E-2</v>
      </c>
      <c r="J23" s="3">
        <f t="shared" si="25"/>
        <v>3.0706979082701032E-2</v>
      </c>
      <c r="K23" s="3">
        <f t="shared" si="25"/>
        <v>2.6359480935630071E-2</v>
      </c>
      <c r="L23" s="3">
        <f t="shared" si="25"/>
        <v>5.7270959911079307E-3</v>
      </c>
      <c r="M23" s="3">
        <f t="shared" si="25"/>
        <v>1.3424884121836035E-9</v>
      </c>
      <c r="N23" s="3">
        <f t="shared" si="25"/>
        <v>6.7246762362196257E-76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3.6713742428198859E-2</v>
      </c>
      <c r="C24" s="18">
        <f t="shared" si="3"/>
        <v>3.0546949875680195E-2</v>
      </c>
      <c r="D24" s="17"/>
      <c r="F24" s="3">
        <f t="shared" si="25"/>
        <v>3.0546945201529778E-2</v>
      </c>
      <c r="G24" s="3">
        <f t="shared" si="25"/>
        <v>3.0546903134208197E-2</v>
      </c>
      <c r="H24" s="3">
        <f t="shared" si="25"/>
        <v>3.0546482464178643E-2</v>
      </c>
      <c r="I24" s="3">
        <f t="shared" si="25"/>
        <v>3.0542276082494105E-2</v>
      </c>
      <c r="J24" s="3">
        <f t="shared" si="25"/>
        <v>3.0500244110515596E-2</v>
      </c>
      <c r="K24" s="3">
        <f t="shared" si="25"/>
        <v>3.0083092710754607E-2</v>
      </c>
      <c r="L24" s="3">
        <f t="shared" si="25"/>
        <v>2.6212844473480455E-2</v>
      </c>
      <c r="M24" s="3">
        <f t="shared" si="25"/>
        <v>6.6134920677243065E-3</v>
      </c>
      <c r="N24" s="3">
        <f t="shared" si="25"/>
        <v>6.91190402864658E-9</v>
      </c>
      <c r="O24" s="3">
        <f t="shared" si="25"/>
        <v>1.0746482185960029E-68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3.5072050325960967E-2</v>
      </c>
      <c r="C25" s="18">
        <f t="shared" si="3"/>
        <v>2.9181012135706209E-2</v>
      </c>
      <c r="D25" s="17"/>
      <c r="F25" s="3">
        <f t="shared" si="25"/>
        <v>2.918101173291331E-2</v>
      </c>
      <c r="G25" s="3">
        <f t="shared" si="25"/>
        <v>2.9181008107777483E-2</v>
      </c>
      <c r="H25" s="3">
        <f t="shared" si="25"/>
        <v>2.9180971856443944E-2</v>
      </c>
      <c r="I25" s="3">
        <f t="shared" si="25"/>
        <v>2.9180609345585477E-2</v>
      </c>
      <c r="J25" s="3">
        <f t="shared" si="25"/>
        <v>2.9176984484679577E-2</v>
      </c>
      <c r="K25" s="3">
        <f t="shared" si="25"/>
        <v>2.9140760632117381E-2</v>
      </c>
      <c r="L25" s="3">
        <f t="shared" si="25"/>
        <v>2.8780986414609071E-2</v>
      </c>
      <c r="M25" s="3">
        <f t="shared" si="25"/>
        <v>2.5418714547049422E-2</v>
      </c>
      <c r="N25" s="3">
        <f t="shared" si="25"/>
        <v>7.3389288833203793E-3</v>
      </c>
      <c r="O25" s="3">
        <f t="shared" si="25"/>
        <v>2.9540893826534633E-8</v>
      </c>
      <c r="P25" s="3">
        <f t="shared" si="25"/>
        <v>3.2986265977190876E-62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3.4801807038808516E-2</v>
      </c>
      <c r="C26" s="18">
        <f t="shared" si="3"/>
        <v>2.8956161504827882E-2</v>
      </c>
      <c r="D26" s="17"/>
      <c r="F26" s="3">
        <f t="shared" si="25"/>
        <v>2.8956161468772588E-2</v>
      </c>
      <c r="G26" s="3">
        <f t="shared" si="25"/>
        <v>2.8956161144274947E-2</v>
      </c>
      <c r="H26" s="3">
        <f t="shared" si="25"/>
        <v>2.8956157899298739E-2</v>
      </c>
      <c r="I26" s="3">
        <f t="shared" si="25"/>
        <v>2.8956125449556648E-2</v>
      </c>
      <c r="J26" s="3">
        <f t="shared" si="25"/>
        <v>2.8955800954135816E-2</v>
      </c>
      <c r="K26" s="3">
        <f t="shared" si="25"/>
        <v>2.8952556199925084E-2</v>
      </c>
      <c r="L26" s="3">
        <f t="shared" si="25"/>
        <v>2.8920128649287558E-2</v>
      </c>
      <c r="M26" s="3">
        <f t="shared" si="25"/>
        <v>2.8597844025396644E-2</v>
      </c>
      <c r="N26" s="3">
        <f t="shared" si="25"/>
        <v>2.556607267744938E-2</v>
      </c>
      <c r="O26" s="3">
        <f t="shared" si="25"/>
        <v>8.336260534928067E-3</v>
      </c>
      <c r="P26" s="3">
        <f t="shared" si="25"/>
        <v>1.1325147844745486E-7</v>
      </c>
      <c r="Q26" s="3">
        <f t="shared" si="25"/>
        <v>2.4253247015408711E-56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3.4312963129522395E-2</v>
      </c>
      <c r="C27" s="18">
        <f t="shared" si="3"/>
        <v>2.8549428510413092E-2</v>
      </c>
      <c r="D27" s="17"/>
      <c r="F27" s="3">
        <f t="shared" si="25"/>
        <v>2.8549428507206293E-2</v>
      </c>
      <c r="G27" s="3">
        <f t="shared" si="25"/>
        <v>2.8549428478345077E-2</v>
      </c>
      <c r="H27" s="3">
        <f t="shared" si="25"/>
        <v>2.854942818973296E-2</v>
      </c>
      <c r="I27" s="3">
        <f t="shared" si="25"/>
        <v>2.8549425303611927E-2</v>
      </c>
      <c r="J27" s="3">
        <f t="shared" si="25"/>
        <v>2.8549396442417642E-2</v>
      </c>
      <c r="K27" s="3">
        <f t="shared" si="25"/>
        <v>2.8549107832079524E-2</v>
      </c>
      <c r="L27" s="3">
        <f t="shared" si="25"/>
        <v>2.8546221889161862E-2</v>
      </c>
      <c r="M27" s="3">
        <f t="shared" si="25"/>
        <v>2.8517378500338308E-2</v>
      </c>
      <c r="N27" s="3">
        <f t="shared" si="25"/>
        <v>2.8230542663856807E-2</v>
      </c>
      <c r="O27" s="3">
        <f t="shared" si="25"/>
        <v>2.5516170323429677E-2</v>
      </c>
      <c r="P27" s="3">
        <f t="shared" si="25"/>
        <v>9.2849197000336829E-3</v>
      </c>
      <c r="Q27" s="3">
        <f t="shared" si="25"/>
        <v>3.779242404030347E-7</v>
      </c>
      <c r="R27" s="3">
        <f t="shared" si="25"/>
        <v>4.7170525673507531E-51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4.0764123450085787E-2</v>
      </c>
      <c r="C28" s="18">
        <f t="shared" si="3"/>
        <v>3.3916990026039671E-2</v>
      </c>
      <c r="D28" s="17"/>
      <c r="F28" s="3">
        <f t="shared" si="25"/>
        <v>3.3916990025696009E-2</v>
      </c>
      <c r="G28" s="3">
        <f t="shared" si="25"/>
        <v>3.3916990022602997E-2</v>
      </c>
      <c r="H28" s="3">
        <f t="shared" si="25"/>
        <v>3.3916989991672912E-2</v>
      </c>
      <c r="I28" s="3">
        <f t="shared" si="25"/>
        <v>3.3916989682372119E-2</v>
      </c>
      <c r="J28" s="3">
        <f t="shared" si="25"/>
        <v>3.3916986589364297E-2</v>
      </c>
      <c r="K28" s="3">
        <f t="shared" si="25"/>
        <v>3.3916955659301626E-2</v>
      </c>
      <c r="L28" s="3">
        <f t="shared" si="25"/>
        <v>3.3916646360226198E-2</v>
      </c>
      <c r="M28" s="3">
        <f t="shared" si="25"/>
        <v>3.39135535246003E-2</v>
      </c>
      <c r="N28" s="3">
        <f t="shared" si="25"/>
        <v>3.3882640675943848E-2</v>
      </c>
      <c r="O28" s="3">
        <f t="shared" si="25"/>
        <v>3.3575057729861295E-2</v>
      </c>
      <c r="P28" s="3">
        <f t="shared" si="25"/>
        <v>3.0648692194787198E-2</v>
      </c>
      <c r="Q28" s="3">
        <f t="shared" si="25"/>
        <v>1.2312996107512948E-2</v>
      </c>
      <c r="R28" s="3">
        <f t="shared" si="25"/>
        <v>1.3485954452060003E-6</v>
      </c>
      <c r="S28" s="3">
        <f t="shared" si="25"/>
        <v>3.3501260831540501E-46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4.4092183165583658E-2</v>
      </c>
      <c r="C29" s="18">
        <f t="shared" si="3"/>
        <v>3.6686036889388041E-2</v>
      </c>
      <c r="D29" s="17"/>
      <c r="F29" s="3">
        <f t="shared" si="25"/>
        <v>3.6686036889354505E-2</v>
      </c>
      <c r="G29" s="3">
        <f t="shared" si="25"/>
        <v>3.6686036889052712E-2</v>
      </c>
      <c r="H29" s="3">
        <f t="shared" si="25"/>
        <v>3.6686036886034772E-2</v>
      </c>
      <c r="I29" s="3">
        <f t="shared" si="25"/>
        <v>3.6686036855855336E-2</v>
      </c>
      <c r="J29" s="3">
        <f t="shared" si="25"/>
        <v>3.6686036554060969E-2</v>
      </c>
      <c r="K29" s="3">
        <f t="shared" si="25"/>
        <v>3.6686033536117463E-2</v>
      </c>
      <c r="L29" s="3">
        <f t="shared" si="25"/>
        <v>3.6686003356696049E-2</v>
      </c>
      <c r="M29" s="3">
        <f t="shared" si="25"/>
        <v>3.6685701563847394E-2</v>
      </c>
      <c r="N29" s="3">
        <f t="shared" si="25"/>
        <v>3.6682683771903812E-2</v>
      </c>
      <c r="O29" s="3">
        <f t="shared" si="25"/>
        <v>3.6652519502613473E-2</v>
      </c>
      <c r="P29" s="3">
        <f t="shared" si="25"/>
        <v>3.6352237678588042E-2</v>
      </c>
      <c r="Q29" s="3">
        <f t="shared" si="25"/>
        <v>3.3481453725288012E-2</v>
      </c>
      <c r="R29" s="3">
        <f t="shared" si="25"/>
        <v>1.4707399080186499E-2</v>
      </c>
      <c r="S29" s="3">
        <f t="shared" si="25"/>
        <v>3.9341560668358733E-6</v>
      </c>
      <c r="T29" s="3">
        <f t="shared" si="25"/>
        <v>7.3791893888975042E-42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4.9180308260847932E-2</v>
      </c>
      <c r="C30" s="18">
        <f t="shared" si="3"/>
        <v>4.0919511658412108E-2</v>
      </c>
      <c r="D30" s="17"/>
      <c r="F30" s="3">
        <f t="shared" si="25"/>
        <v>4.0919511658408736E-2</v>
      </c>
      <c r="G30" s="3">
        <f t="shared" si="25"/>
        <v>4.0919511658378364E-2</v>
      </c>
      <c r="H30" s="3">
        <f t="shared" si="25"/>
        <v>4.0919511658074711E-2</v>
      </c>
      <c r="I30" s="3">
        <f t="shared" si="25"/>
        <v>4.0919511655038113E-2</v>
      </c>
      <c r="J30" s="3">
        <f t="shared" si="25"/>
        <v>4.0919511624672125E-2</v>
      </c>
      <c r="K30" s="3">
        <f t="shared" si="25"/>
        <v>4.0919511321012285E-2</v>
      </c>
      <c r="L30" s="3">
        <f t="shared" si="25"/>
        <v>4.0919508284414E-2</v>
      </c>
      <c r="M30" s="3">
        <f t="shared" si="25"/>
        <v>4.0919477918443525E-2</v>
      </c>
      <c r="N30" s="3">
        <f t="shared" si="25"/>
        <v>4.0919174259978174E-2</v>
      </c>
      <c r="O30" s="3">
        <f t="shared" si="25"/>
        <v>4.091613779925958E-2</v>
      </c>
      <c r="P30" s="3">
        <f t="shared" si="25"/>
        <v>4.0885785582164366E-2</v>
      </c>
      <c r="Q30" s="3">
        <f t="shared" si="25"/>
        <v>4.0583499025029952E-2</v>
      </c>
      <c r="R30" s="3">
        <f t="shared" si="25"/>
        <v>3.7680868461468155E-2</v>
      </c>
      <c r="S30" s="3">
        <f t="shared" si="25"/>
        <v>1.7940521318805538E-2</v>
      </c>
      <c r="T30" s="3">
        <f t="shared" si="25"/>
        <v>1.0739315664451114E-5</v>
      </c>
      <c r="U30" s="3">
        <f t="shared" si="25"/>
        <v>6.3444225536796767E-38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5.7396589660802917E-2</v>
      </c>
      <c r="C31" s="18">
        <f t="shared" si="3"/>
        <v>4.7755707575506505E-2</v>
      </c>
      <c r="D31" s="17"/>
      <c r="F31" s="3">
        <f t="shared" si="25"/>
        <v>4.7755707575506151E-2</v>
      </c>
      <c r="G31" s="3">
        <f t="shared" si="25"/>
        <v>4.7755707575502952E-2</v>
      </c>
      <c r="H31" s="3">
        <f t="shared" si="25"/>
        <v>4.7755707575470985E-2</v>
      </c>
      <c r="I31" s="3">
        <f t="shared" si="25"/>
        <v>4.7755707575151296E-2</v>
      </c>
      <c r="J31" s="3">
        <f t="shared" si="25"/>
        <v>4.7755707571954395E-2</v>
      </c>
      <c r="K31" s="3">
        <f t="shared" si="25"/>
        <v>4.7755707539985419E-2</v>
      </c>
      <c r="L31" s="3">
        <f t="shared" si="25"/>
        <v>4.7755707220295603E-2</v>
      </c>
      <c r="M31" s="3">
        <f t="shared" si="25"/>
        <v>4.775570402339762E-2</v>
      </c>
      <c r="N31" s="3">
        <f t="shared" si="25"/>
        <v>4.7755672054429564E-2</v>
      </c>
      <c r="O31" s="3">
        <f t="shared" si="25"/>
        <v>4.775535236592602E-2</v>
      </c>
      <c r="P31" s="3">
        <f t="shared" si="25"/>
        <v>4.7752155598592395E-2</v>
      </c>
      <c r="Q31" s="3">
        <f t="shared" si="25"/>
        <v>4.7720199692519699E-2</v>
      </c>
      <c r="R31" s="3">
        <f t="shared" si="25"/>
        <v>4.7401814448747366E-2</v>
      </c>
      <c r="S31" s="3">
        <f t="shared" si="25"/>
        <v>4.4332487628924562E-2</v>
      </c>
      <c r="T31" s="3">
        <f t="shared" si="25"/>
        <v>2.2698306583937563E-2</v>
      </c>
      <c r="U31" s="3">
        <f t="shared" si="25"/>
        <v>2.8100045240409511E-5</v>
      </c>
      <c r="V31" s="3">
        <f t="shared" si="26"/>
        <v>2.3759791939858162E-34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6.9071051537635333E-2</v>
      </c>
      <c r="C32" s="18">
        <f t="shared" si="3"/>
        <v>5.7469214785363418E-2</v>
      </c>
      <c r="D32" s="17"/>
      <c r="F32" s="3">
        <f t="shared" si="25"/>
        <v>5.7469214785363376E-2</v>
      </c>
      <c r="G32" s="3">
        <f t="shared" si="25"/>
        <v>5.7469214785363036E-2</v>
      </c>
      <c r="H32" s="3">
        <f t="shared" si="25"/>
        <v>5.7469214785359567E-2</v>
      </c>
      <c r="I32" s="3">
        <f t="shared" si="25"/>
        <v>5.7469214785324851E-2</v>
      </c>
      <c r="J32" s="3">
        <f t="shared" si="25"/>
        <v>5.7469214784977816E-2</v>
      </c>
      <c r="K32" s="3">
        <f t="shared" si="25"/>
        <v>5.746921478150737E-2</v>
      </c>
      <c r="L32" s="3">
        <f t="shared" si="25"/>
        <v>5.7469214746802902E-2</v>
      </c>
      <c r="M32" s="3">
        <f t="shared" si="25"/>
        <v>5.7469214399758245E-2</v>
      </c>
      <c r="N32" s="3">
        <f t="shared" si="25"/>
        <v>5.746921092931178E-2</v>
      </c>
      <c r="O32" s="3">
        <f t="shared" si="25"/>
        <v>5.7469176224858656E-2</v>
      </c>
      <c r="P32" s="3">
        <f t="shared" si="25"/>
        <v>5.7468829181480059E-2</v>
      </c>
      <c r="Q32" s="3">
        <f t="shared" si="25"/>
        <v>5.7465358862956464E-2</v>
      </c>
      <c r="R32" s="3">
        <f t="shared" si="25"/>
        <v>5.7430667201378079E-2</v>
      </c>
      <c r="S32" s="3">
        <f t="shared" si="25"/>
        <v>5.708490038070959E-2</v>
      </c>
      <c r="T32" s="3">
        <f t="shared" si="25"/>
        <v>5.3739683607536226E-2</v>
      </c>
      <c r="U32" s="3">
        <f t="shared" si="25"/>
        <v>2.9378774931467143E-2</v>
      </c>
      <c r="V32" s="3">
        <f t="shared" si="26"/>
        <v>7.0051824602853702E-5</v>
      </c>
      <c r="W32" s="3">
        <f t="shared" si="26"/>
        <v>4.1617610974789432E-31</v>
      </c>
      <c r="X32" s="3">
        <f t="shared" si="26"/>
        <v>2.279576088811381E-293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7.7233819205232562E-2</v>
      </c>
      <c r="C33" s="18">
        <f t="shared" si="3"/>
        <v>6.4260885650205518E-2</v>
      </c>
      <c r="D33" s="17"/>
      <c r="F33" s="3">
        <f t="shared" si="25"/>
        <v>6.4260885650205504E-2</v>
      </c>
      <c r="G33" s="3">
        <f t="shared" si="25"/>
        <v>6.4260885650205476E-2</v>
      </c>
      <c r="H33" s="3">
        <f t="shared" si="25"/>
        <v>6.426088565020513E-2</v>
      </c>
      <c r="I33" s="3">
        <f t="shared" si="25"/>
        <v>6.4260885650201632E-2</v>
      </c>
      <c r="J33" s="3">
        <f t="shared" si="25"/>
        <v>6.4260885650166619E-2</v>
      </c>
      <c r="K33" s="3">
        <f t="shared" si="25"/>
        <v>6.4260885649816551E-2</v>
      </c>
      <c r="L33" s="3">
        <f t="shared" si="25"/>
        <v>6.4260885646315949E-2</v>
      </c>
      <c r="M33" s="3">
        <f t="shared" si="25"/>
        <v>6.4260885611309881E-2</v>
      </c>
      <c r="N33" s="3">
        <f t="shared" si="25"/>
        <v>6.4260885261249151E-2</v>
      </c>
      <c r="O33" s="3">
        <f t="shared" si="25"/>
        <v>6.4260881760641916E-2</v>
      </c>
      <c r="P33" s="3">
        <f t="shared" si="25"/>
        <v>6.4260846754580117E-2</v>
      </c>
      <c r="Q33" s="3">
        <f t="shared" si="25"/>
        <v>6.426049669501091E-2</v>
      </c>
      <c r="R33" s="3">
        <f t="shared" si="25"/>
        <v>6.4256996204198905E-2</v>
      </c>
      <c r="S33" s="3">
        <f t="shared" si="25"/>
        <v>6.4222001781974458E-2</v>
      </c>
      <c r="T33" s="3">
        <f t="shared" si="25"/>
        <v>6.3873104038846995E-2</v>
      </c>
      <c r="U33" s="3">
        <f t="shared" ref="P33:AE48" si="27">$C33*EXP(-U$15/$A33)</f>
        <v>6.048669564683163E-2</v>
      </c>
      <c r="V33" s="3">
        <f t="shared" si="27"/>
        <v>3.5081506767988088E-2</v>
      </c>
      <c r="W33" s="3">
        <f t="shared" si="27"/>
        <v>1.5109915020255596E-4</v>
      </c>
      <c r="X33" s="3">
        <f t="shared" si="27"/>
        <v>3.3197077898452273E-28</v>
      </c>
      <c r="Y33" s="3">
        <f t="shared" si="27"/>
        <v>8.6991779477227362E-265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7.474430821809068E-2</v>
      </c>
      <c r="C34" s="18">
        <f t="shared" si="3"/>
        <v>6.2189536822504186E-2</v>
      </c>
      <c r="D34" s="17"/>
      <c r="F34" s="3">
        <f t="shared" ref="F34:O48" si="28">$C34*EXP(-F$15/$A34)</f>
        <v>6.2189536822504186E-2</v>
      </c>
      <c r="G34" s="3">
        <f t="shared" si="28"/>
        <v>6.2189536822504186E-2</v>
      </c>
      <c r="H34" s="3">
        <f t="shared" si="28"/>
        <v>6.2189536822504152E-2</v>
      </c>
      <c r="I34" s="3">
        <f t="shared" si="28"/>
        <v>6.2189536822503846E-2</v>
      </c>
      <c r="J34" s="3">
        <f t="shared" si="28"/>
        <v>6.2189536822500786E-2</v>
      </c>
      <c r="K34" s="3">
        <f t="shared" si="28"/>
        <v>6.2189536822470227E-2</v>
      </c>
      <c r="L34" s="3">
        <f t="shared" si="28"/>
        <v>6.2189536822164625E-2</v>
      </c>
      <c r="M34" s="3">
        <f t="shared" si="28"/>
        <v>6.2189536819108576E-2</v>
      </c>
      <c r="N34" s="3">
        <f t="shared" si="28"/>
        <v>6.2189536788548064E-2</v>
      </c>
      <c r="O34" s="3">
        <f t="shared" si="28"/>
        <v>6.2189536482942953E-2</v>
      </c>
      <c r="P34" s="3">
        <f t="shared" si="27"/>
        <v>6.2189533426891992E-2</v>
      </c>
      <c r="Q34" s="3">
        <f t="shared" si="27"/>
        <v>6.218950286639055E-2</v>
      </c>
      <c r="R34" s="3">
        <f t="shared" si="27"/>
        <v>6.2189197262202206E-2</v>
      </c>
      <c r="S34" s="3">
        <f t="shared" si="27"/>
        <v>6.2186141302914451E-2</v>
      </c>
      <c r="T34" s="3">
        <f t="shared" si="27"/>
        <v>6.2155589968112386E-2</v>
      </c>
      <c r="U34" s="3">
        <f t="shared" si="27"/>
        <v>6.1850900928110804E-2</v>
      </c>
      <c r="V34" s="3">
        <f t="shared" si="27"/>
        <v>5.8884962058251777E-2</v>
      </c>
      <c r="W34" s="3">
        <f t="shared" si="27"/>
        <v>3.6023681578270378E-2</v>
      </c>
      <c r="X34" s="3">
        <f t="shared" si="27"/>
        <v>2.6449961911203585E-4</v>
      </c>
      <c r="Y34" s="3">
        <f t="shared" si="27"/>
        <v>1.2044661779735604E-25</v>
      </c>
      <c r="Z34" s="3">
        <f t="shared" si="27"/>
        <v>4.6183856226227443E-239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5.8655428476296706E-2</v>
      </c>
      <c r="C35" s="18">
        <f t="shared" si="3"/>
        <v>4.8803099741359754E-2</v>
      </c>
      <c r="D35" s="17"/>
      <c r="F35" s="3">
        <f t="shared" si="28"/>
        <v>4.8803099741359754E-2</v>
      </c>
      <c r="G35" s="3">
        <f t="shared" si="28"/>
        <v>4.8803099741359754E-2</v>
      </c>
      <c r="H35" s="3">
        <f t="shared" si="28"/>
        <v>4.8803099741359754E-2</v>
      </c>
      <c r="I35" s="3">
        <f t="shared" si="28"/>
        <v>4.8803099741359733E-2</v>
      </c>
      <c r="J35" s="3">
        <f t="shared" si="28"/>
        <v>4.8803099741359518E-2</v>
      </c>
      <c r="K35" s="3">
        <f t="shared" si="28"/>
        <v>4.8803099741357346E-2</v>
      </c>
      <c r="L35" s="3">
        <f t="shared" si="28"/>
        <v>4.8803099741335718E-2</v>
      </c>
      <c r="M35" s="3">
        <f t="shared" si="28"/>
        <v>4.8803099741119377E-2</v>
      </c>
      <c r="N35" s="3">
        <f t="shared" si="28"/>
        <v>4.8803099738955968E-2</v>
      </c>
      <c r="O35" s="3">
        <f t="shared" si="28"/>
        <v>4.8803099717321947E-2</v>
      </c>
      <c r="P35" s="3">
        <f t="shared" si="27"/>
        <v>4.8803099500981724E-2</v>
      </c>
      <c r="Q35" s="3">
        <f t="shared" si="27"/>
        <v>4.8803097337579503E-2</v>
      </c>
      <c r="R35" s="3">
        <f t="shared" si="27"/>
        <v>4.8803075703562612E-2</v>
      </c>
      <c r="S35" s="3">
        <f t="shared" si="27"/>
        <v>4.8802859363921175E-2</v>
      </c>
      <c r="T35" s="3">
        <f t="shared" si="27"/>
        <v>4.8800696020251826E-2</v>
      </c>
      <c r="U35" s="3">
        <f t="shared" si="27"/>
        <v>4.8779067857200993E-2</v>
      </c>
      <c r="V35" s="3">
        <f t="shared" si="27"/>
        <v>4.8563312727015105E-2</v>
      </c>
      <c r="W35" s="3">
        <f t="shared" si="27"/>
        <v>4.6457558045845698E-2</v>
      </c>
      <c r="X35" s="3">
        <f t="shared" si="27"/>
        <v>2.9822024116744585E-2</v>
      </c>
      <c r="Y35" s="3">
        <f t="shared" si="27"/>
        <v>3.5427826241454682E-4</v>
      </c>
      <c r="Z35" s="3">
        <f t="shared" si="27"/>
        <v>1.9834369289778032E-23</v>
      </c>
      <c r="AA35" s="3">
        <f t="shared" si="27"/>
        <v>6.0000833690213739E-216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3.6555427578017954E-2</v>
      </c>
      <c r="C36" s="18">
        <f t="shared" si="3"/>
        <v>3.0415227107223403E-2</v>
      </c>
      <c r="D36" s="17"/>
      <c r="F36" s="3">
        <f t="shared" si="28"/>
        <v>3.0415227107223403E-2</v>
      </c>
      <c r="G36" s="3">
        <f t="shared" si="28"/>
        <v>3.0415227107223403E-2</v>
      </c>
      <c r="H36" s="3">
        <f t="shared" si="28"/>
        <v>3.0415227107223403E-2</v>
      </c>
      <c r="I36" s="3">
        <f t="shared" si="28"/>
        <v>3.0415227107223403E-2</v>
      </c>
      <c r="J36" s="3">
        <f t="shared" si="28"/>
        <v>3.0415227107223389E-2</v>
      </c>
      <c r="K36" s="3">
        <f t="shared" si="28"/>
        <v>3.0415227107223268E-2</v>
      </c>
      <c r="L36" s="3">
        <f t="shared" si="28"/>
        <v>3.0415227107222054E-2</v>
      </c>
      <c r="M36" s="3">
        <f t="shared" si="28"/>
        <v>3.041522710720989E-2</v>
      </c>
      <c r="N36" s="3">
        <f t="shared" si="28"/>
        <v>3.0415227107088261E-2</v>
      </c>
      <c r="O36" s="3">
        <f t="shared" si="28"/>
        <v>3.0415227105872002E-2</v>
      </c>
      <c r="P36" s="3">
        <f t="shared" si="27"/>
        <v>3.041522709370937E-2</v>
      </c>
      <c r="Q36" s="3">
        <f t="shared" si="27"/>
        <v>3.041522697208306E-2</v>
      </c>
      <c r="R36" s="3">
        <f t="shared" si="27"/>
        <v>3.0415225755819994E-2</v>
      </c>
      <c r="S36" s="3">
        <f t="shared" si="27"/>
        <v>3.0415213593192009E-2</v>
      </c>
      <c r="T36" s="3">
        <f t="shared" si="27"/>
        <v>3.0415091967179654E-2</v>
      </c>
      <c r="U36" s="3">
        <f t="shared" si="27"/>
        <v>3.0413875733805835E-2</v>
      </c>
      <c r="V36" s="3">
        <f t="shared" si="27"/>
        <v>3.0401716074645806E-2</v>
      </c>
      <c r="W36" s="3">
        <f t="shared" si="27"/>
        <v>3.0280386545556981E-2</v>
      </c>
      <c r="X36" s="3">
        <f t="shared" si="27"/>
        <v>2.9093406556661868E-2</v>
      </c>
      <c r="Y36" s="3">
        <f t="shared" si="27"/>
        <v>1.9504112187002362E-2</v>
      </c>
      <c r="Z36" s="3">
        <f t="shared" si="27"/>
        <v>3.5763687427608923E-4</v>
      </c>
      <c r="AA36" s="3">
        <f t="shared" si="27"/>
        <v>1.5367503914255919E-21</v>
      </c>
      <c r="AB36" s="3">
        <f t="shared" si="27"/>
        <v>3.2977197963627993E-195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1.8585039161964832E-2</v>
      </c>
      <c r="C37" s="18">
        <f t="shared" si="3"/>
        <v>1.5463317607252298E-2</v>
      </c>
      <c r="D37" s="17"/>
      <c r="F37" s="3">
        <f t="shared" si="28"/>
        <v>1.5463317607252298E-2</v>
      </c>
      <c r="G37" s="3">
        <f t="shared" si="28"/>
        <v>1.5463317607252298E-2</v>
      </c>
      <c r="H37" s="3">
        <f t="shared" si="28"/>
        <v>1.5463317607252298E-2</v>
      </c>
      <c r="I37" s="3">
        <f t="shared" si="28"/>
        <v>1.5463317607252298E-2</v>
      </c>
      <c r="J37" s="3">
        <f t="shared" si="28"/>
        <v>1.5463317607252298E-2</v>
      </c>
      <c r="K37" s="3">
        <f t="shared" si="28"/>
        <v>1.5463317607252291E-2</v>
      </c>
      <c r="L37" s="3">
        <f t="shared" si="28"/>
        <v>1.5463317607252235E-2</v>
      </c>
      <c r="M37" s="3">
        <f t="shared" si="28"/>
        <v>1.5463317607251678E-2</v>
      </c>
      <c r="N37" s="3">
        <f t="shared" si="28"/>
        <v>1.54633176072461E-2</v>
      </c>
      <c r="O37" s="3">
        <f t="shared" si="28"/>
        <v>1.546331760719032E-2</v>
      </c>
      <c r="P37" s="3">
        <f t="shared" si="27"/>
        <v>1.5463317606632511E-2</v>
      </c>
      <c r="Q37" s="3">
        <f t="shared" si="27"/>
        <v>1.5463317601054417E-2</v>
      </c>
      <c r="R37" s="3">
        <f t="shared" si="27"/>
        <v>1.546331754527349E-2</v>
      </c>
      <c r="S37" s="3">
        <f t="shared" si="27"/>
        <v>1.5463316987464224E-2</v>
      </c>
      <c r="T37" s="3">
        <f t="shared" si="27"/>
        <v>1.5463311409372684E-2</v>
      </c>
      <c r="U37" s="3">
        <f t="shared" si="27"/>
        <v>1.5463255628567943E-2</v>
      </c>
      <c r="V37" s="3">
        <f t="shared" si="27"/>
        <v>1.5462697831587402E-2</v>
      </c>
      <c r="W37" s="3">
        <f t="shared" si="27"/>
        <v>1.5457120968321898E-2</v>
      </c>
      <c r="X37" s="3">
        <f t="shared" si="27"/>
        <v>1.5401462842108056E-2</v>
      </c>
      <c r="Y37" s="3">
        <f t="shared" si="27"/>
        <v>1.4855786143112922E-2</v>
      </c>
      <c r="Z37" s="3">
        <f t="shared" si="27"/>
        <v>1.035696011239079E-2</v>
      </c>
      <c r="AA37" s="3">
        <f t="shared" si="27"/>
        <v>2.8093053836329235E-4</v>
      </c>
      <c r="AB37" s="3">
        <f t="shared" si="27"/>
        <v>6.057109563296722E-20</v>
      </c>
      <c r="AC37" s="3">
        <f t="shared" si="27"/>
        <v>1.3150134930759528E-176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7.8097298631234725E-3</v>
      </c>
      <c r="C38" s="18">
        <f t="shared" si="3"/>
        <v>6.4979326784240111E-3</v>
      </c>
      <c r="D38" s="17"/>
      <c r="F38" s="3">
        <f t="shared" si="28"/>
        <v>6.4979326784240111E-3</v>
      </c>
      <c r="G38" s="3">
        <f t="shared" si="28"/>
        <v>6.4979326784240111E-3</v>
      </c>
      <c r="H38" s="3">
        <f t="shared" si="28"/>
        <v>6.4979326784240111E-3</v>
      </c>
      <c r="I38" s="3">
        <f t="shared" si="28"/>
        <v>6.4979326784240111E-3</v>
      </c>
      <c r="J38" s="3">
        <f t="shared" si="28"/>
        <v>6.4979326784240111E-3</v>
      </c>
      <c r="K38" s="3">
        <f t="shared" si="28"/>
        <v>6.4979326784240111E-3</v>
      </c>
      <c r="L38" s="3">
        <f t="shared" si="28"/>
        <v>6.4979326784240093E-3</v>
      </c>
      <c r="M38" s="3">
        <f t="shared" si="28"/>
        <v>6.4979326784239877E-3</v>
      </c>
      <c r="N38" s="3">
        <f t="shared" si="28"/>
        <v>6.497932678423776E-3</v>
      </c>
      <c r="O38" s="3">
        <f t="shared" si="28"/>
        <v>6.4979326784216614E-3</v>
      </c>
      <c r="P38" s="3">
        <f t="shared" si="27"/>
        <v>6.4979326784005169E-3</v>
      </c>
      <c r="Q38" s="3">
        <f t="shared" si="27"/>
        <v>6.4979326781890688E-3</v>
      </c>
      <c r="R38" s="3">
        <f t="shared" si="27"/>
        <v>6.4979326760745814E-3</v>
      </c>
      <c r="S38" s="3">
        <f t="shared" si="27"/>
        <v>6.4979326549297195E-3</v>
      </c>
      <c r="T38" s="3">
        <f t="shared" si="27"/>
        <v>6.4979324434811039E-3</v>
      </c>
      <c r="U38" s="3">
        <f t="shared" si="27"/>
        <v>6.4979303289953239E-3</v>
      </c>
      <c r="V38" s="3">
        <f t="shared" si="27"/>
        <v>6.4979091841753682E-3</v>
      </c>
      <c r="W38" s="3">
        <f t="shared" si="27"/>
        <v>6.4976977397601587E-3</v>
      </c>
      <c r="X38" s="3">
        <f t="shared" si="27"/>
        <v>6.4955836739975757E-3</v>
      </c>
      <c r="Y38" s="3">
        <f t="shared" si="27"/>
        <v>6.4744808098043073E-3</v>
      </c>
      <c r="Z38" s="3">
        <f t="shared" si="27"/>
        <v>6.2671864006824916E-3</v>
      </c>
      <c r="AA38" s="3">
        <f t="shared" si="27"/>
        <v>4.5263616477699388E-3</v>
      </c>
      <c r="AB38" s="3">
        <f t="shared" si="27"/>
        <v>1.7478961883132319E-4</v>
      </c>
      <c r="AC38" s="3">
        <f t="shared" si="27"/>
        <v>1.2887820688696682E-18</v>
      </c>
      <c r="AD38" s="3">
        <f t="shared" si="27"/>
        <v>6.1209380247887189E-160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2.0751873260733441E-3</v>
      </c>
      <c r="C39" s="18">
        <f t="shared" si="3"/>
        <v>1.7266189453767201E-3</v>
      </c>
      <c r="D39" s="17"/>
      <c r="F39" s="3">
        <f t="shared" si="28"/>
        <v>1.7266189453767201E-3</v>
      </c>
      <c r="G39" s="3">
        <f t="shared" si="28"/>
        <v>1.7266189453767201E-3</v>
      </c>
      <c r="H39" s="3">
        <f t="shared" si="28"/>
        <v>1.7266189453767201E-3</v>
      </c>
      <c r="I39" s="3">
        <f t="shared" si="28"/>
        <v>1.7266189453767201E-3</v>
      </c>
      <c r="J39" s="3">
        <f t="shared" si="28"/>
        <v>1.7266189453767201E-3</v>
      </c>
      <c r="K39" s="3">
        <f t="shared" si="28"/>
        <v>1.7266189453767201E-3</v>
      </c>
      <c r="L39" s="3">
        <f t="shared" si="28"/>
        <v>1.7266189453767199E-3</v>
      </c>
      <c r="M39" s="3">
        <f t="shared" si="28"/>
        <v>1.7266189453767184E-3</v>
      </c>
      <c r="N39" s="3">
        <f t="shared" si="28"/>
        <v>1.7266189453767028E-3</v>
      </c>
      <c r="O39" s="3">
        <f t="shared" si="28"/>
        <v>1.7266189453765473E-3</v>
      </c>
      <c r="P39" s="3">
        <f t="shared" si="27"/>
        <v>1.7266189453749936E-3</v>
      </c>
      <c r="Q39" s="3">
        <f t="shared" si="27"/>
        <v>1.726618945359454E-3</v>
      </c>
      <c r="R39" s="3">
        <f t="shared" si="27"/>
        <v>1.7266189452040581E-3</v>
      </c>
      <c r="S39" s="3">
        <f t="shared" si="27"/>
        <v>1.7266189436501013E-3</v>
      </c>
      <c r="T39" s="3">
        <f t="shared" si="27"/>
        <v>1.7266189281105308E-3</v>
      </c>
      <c r="U39" s="3">
        <f t="shared" si="27"/>
        <v>1.7266187727148343E-3</v>
      </c>
      <c r="V39" s="3">
        <f t="shared" si="27"/>
        <v>1.7266172187586381E-3</v>
      </c>
      <c r="W39" s="3">
        <f t="shared" si="27"/>
        <v>1.7266016792735969E-3</v>
      </c>
      <c r="X39" s="3">
        <f t="shared" si="27"/>
        <v>1.7264462921149895E-3</v>
      </c>
      <c r="Y39" s="3">
        <f t="shared" si="27"/>
        <v>1.7248931894531183E-3</v>
      </c>
      <c r="Z39" s="3">
        <f t="shared" si="27"/>
        <v>1.7094387998183858E-3</v>
      </c>
      <c r="AA39" s="3">
        <f t="shared" si="27"/>
        <v>1.5623094284666428E-3</v>
      </c>
      <c r="AB39" s="3">
        <f t="shared" si="27"/>
        <v>6.3518761274121297E-4</v>
      </c>
      <c r="AC39" s="3">
        <f t="shared" si="27"/>
        <v>7.8388378846678763E-8</v>
      </c>
      <c r="AD39" s="3">
        <f t="shared" si="27"/>
        <v>6.4231536584383691E-47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5.4088576491876875E-3</v>
      </c>
      <c r="C40" s="18">
        <f t="shared" si="3"/>
        <v>4.5003340048363309E-3</v>
      </c>
      <c r="D40" s="17"/>
      <c r="F40" s="3">
        <f t="shared" si="28"/>
        <v>4.5003340048363309E-3</v>
      </c>
      <c r="G40" s="3">
        <f t="shared" si="28"/>
        <v>4.5003340048363309E-3</v>
      </c>
      <c r="H40" s="3">
        <f t="shared" si="28"/>
        <v>4.5003340048363309E-3</v>
      </c>
      <c r="I40" s="3">
        <f t="shared" si="28"/>
        <v>4.5003340048363309E-3</v>
      </c>
      <c r="J40" s="3">
        <f t="shared" si="28"/>
        <v>4.5003340048363309E-3</v>
      </c>
      <c r="K40" s="3">
        <f t="shared" si="28"/>
        <v>4.5003340048363309E-3</v>
      </c>
      <c r="L40" s="3">
        <f t="shared" si="28"/>
        <v>4.5003340048363309E-3</v>
      </c>
      <c r="M40" s="3">
        <f t="shared" si="28"/>
        <v>4.5003340048363301E-3</v>
      </c>
      <c r="N40" s="3">
        <f t="shared" si="28"/>
        <v>4.5003340048363266E-3</v>
      </c>
      <c r="O40" s="3">
        <f t="shared" si="28"/>
        <v>4.5003340048362858E-3</v>
      </c>
      <c r="P40" s="3">
        <f t="shared" si="27"/>
        <v>4.5003340048358808E-3</v>
      </c>
      <c r="Q40" s="3">
        <f t="shared" si="27"/>
        <v>4.500334004831831E-3</v>
      </c>
      <c r="R40" s="3">
        <f t="shared" si="27"/>
        <v>4.5003340047913279E-3</v>
      </c>
      <c r="S40" s="3">
        <f t="shared" si="27"/>
        <v>4.5003340043862977E-3</v>
      </c>
      <c r="T40" s="3">
        <f t="shared" si="27"/>
        <v>4.5003340003359968E-3</v>
      </c>
      <c r="U40" s="3">
        <f t="shared" si="27"/>
        <v>4.5003339598329913E-3</v>
      </c>
      <c r="V40" s="3">
        <f t="shared" si="27"/>
        <v>4.5003335548029532E-3</v>
      </c>
      <c r="W40" s="3">
        <f t="shared" si="27"/>
        <v>4.5003295045045761E-3</v>
      </c>
      <c r="X40" s="3">
        <f t="shared" si="27"/>
        <v>4.5002890017212986E-3</v>
      </c>
      <c r="Y40" s="3">
        <f t="shared" si="27"/>
        <v>4.4998839939367676E-3</v>
      </c>
      <c r="Z40" s="3">
        <f t="shared" si="27"/>
        <v>4.4958359202486291E-3</v>
      </c>
      <c r="AA40" s="3">
        <f t="shared" si="27"/>
        <v>4.4555549333039372E-3</v>
      </c>
      <c r="AB40" s="3">
        <f t="shared" si="27"/>
        <v>4.072070601235535E-3</v>
      </c>
      <c r="AC40" s="3">
        <f t="shared" si="27"/>
        <v>1.6555803587840286E-3</v>
      </c>
      <c r="AD40" s="3">
        <f t="shared" si="27"/>
        <v>2.0431484772729159E-7</v>
      </c>
      <c r="AE40" s="3">
        <f t="shared" si="27"/>
        <v>1.6741584415461272E-46</v>
      </c>
      <c r="AF40" s="3">
        <f t="shared" si="29"/>
        <v>0</v>
      </c>
      <c r="AG40" s="3">
        <f t="shared" si="29"/>
        <v>0</v>
      </c>
      <c r="AH40" s="3">
        <f t="shared" si="29"/>
        <v>0</v>
      </c>
      <c r="AI40" s="3">
        <f t="shared" si="29"/>
        <v>0</v>
      </c>
      <c r="AJ40" s="3">
        <f t="shared" si="29"/>
        <v>0</v>
      </c>
    </row>
    <row r="41" spans="1:36" x14ac:dyDescent="0.25">
      <c r="A41" s="3">
        <f t="shared" si="30"/>
        <v>1000000000</v>
      </c>
      <c r="B41" s="17">
        <v>7.4454151009850894E-4</v>
      </c>
      <c r="C41" s="18">
        <f t="shared" si="3"/>
        <v>6.1948117203855881E-4</v>
      </c>
      <c r="D41" s="17"/>
      <c r="F41" s="3">
        <f t="shared" si="28"/>
        <v>6.1948117203855881E-4</v>
      </c>
      <c r="G41" s="3">
        <f t="shared" si="28"/>
        <v>6.1948117203855881E-4</v>
      </c>
      <c r="H41" s="3">
        <f t="shared" si="28"/>
        <v>6.1948117203855881E-4</v>
      </c>
      <c r="I41" s="3">
        <f t="shared" si="28"/>
        <v>6.1948117203855881E-4</v>
      </c>
      <c r="J41" s="3">
        <f t="shared" si="28"/>
        <v>6.1948117203855881E-4</v>
      </c>
      <c r="K41" s="3">
        <f t="shared" si="28"/>
        <v>6.1948117203855881E-4</v>
      </c>
      <c r="L41" s="3">
        <f t="shared" si="28"/>
        <v>6.1948117203855881E-4</v>
      </c>
      <c r="M41" s="3">
        <f t="shared" si="28"/>
        <v>6.1948117203855881E-4</v>
      </c>
      <c r="N41" s="3">
        <f t="shared" si="28"/>
        <v>6.1948117203855871E-4</v>
      </c>
      <c r="O41" s="3">
        <f t="shared" si="28"/>
        <v>6.1948117203855816E-4</v>
      </c>
      <c r="P41" s="3">
        <f t="shared" si="27"/>
        <v>6.1948117203855263E-4</v>
      </c>
      <c r="Q41" s="3">
        <f t="shared" si="27"/>
        <v>6.194811720384968E-4</v>
      </c>
      <c r="R41" s="3">
        <f t="shared" si="27"/>
        <v>6.194811720379393E-4</v>
      </c>
      <c r="S41" s="3">
        <f t="shared" si="27"/>
        <v>6.1948117203236401E-4</v>
      </c>
      <c r="T41" s="3">
        <f t="shared" si="27"/>
        <v>6.1948117197661065E-4</v>
      </c>
      <c r="U41" s="3">
        <f t="shared" si="27"/>
        <v>6.1948117141907768E-4</v>
      </c>
      <c r="V41" s="3">
        <f t="shared" si="27"/>
        <v>6.1948116584374711E-4</v>
      </c>
      <c r="W41" s="3">
        <f t="shared" si="27"/>
        <v>6.1948111009044475E-4</v>
      </c>
      <c r="X41" s="3">
        <f t="shared" si="27"/>
        <v>6.1948055255769648E-4</v>
      </c>
      <c r="Y41" s="3">
        <f t="shared" si="27"/>
        <v>6.1947497725781239E-4</v>
      </c>
      <c r="Z41" s="3">
        <f t="shared" si="27"/>
        <v>6.1941922701865752E-4</v>
      </c>
      <c r="AA41" s="3">
        <f t="shared" si="27"/>
        <v>6.1886200050388521E-4</v>
      </c>
      <c r="AB41" s="3">
        <f t="shared" si="27"/>
        <v>6.1331723138751499E-4</v>
      </c>
      <c r="AC41" s="3">
        <f t="shared" si="27"/>
        <v>5.6052974422925964E-4</v>
      </c>
      <c r="AD41" s="3">
        <f t="shared" si="27"/>
        <v>2.2789438738577515E-4</v>
      </c>
      <c r="AE41" s="3">
        <f t="shared" si="27"/>
        <v>2.8124401699732366E-8</v>
      </c>
      <c r="AF41" s="3">
        <f t="shared" si="29"/>
        <v>2.3045170256978734E-47</v>
      </c>
      <c r="AG41" s="3">
        <f t="shared" si="29"/>
        <v>0</v>
      </c>
      <c r="AH41" s="3">
        <f t="shared" si="29"/>
        <v>0</v>
      </c>
      <c r="AI41" s="3">
        <f t="shared" si="29"/>
        <v>0</v>
      </c>
      <c r="AJ41" s="3">
        <f t="shared" si="29"/>
        <v>0</v>
      </c>
    </row>
    <row r="42" spans="1:36" x14ac:dyDescent="0.25">
      <c r="A42" s="3">
        <f t="shared" si="30"/>
        <v>10000000000</v>
      </c>
      <c r="B42" s="17">
        <v>9.485468895191635E-4</v>
      </c>
      <c r="C42" s="18">
        <f t="shared" si="3"/>
        <v>7.8921984991154562E-4</v>
      </c>
      <c r="D42" s="17"/>
      <c r="F42" s="3">
        <f t="shared" si="28"/>
        <v>7.8921984991154562E-4</v>
      </c>
      <c r="G42" s="3">
        <f t="shared" si="28"/>
        <v>7.8921984991154562E-4</v>
      </c>
      <c r="H42" s="3">
        <f t="shared" si="28"/>
        <v>7.8921984991154562E-4</v>
      </c>
      <c r="I42" s="3">
        <f t="shared" si="28"/>
        <v>7.8921984991154562E-4</v>
      </c>
      <c r="J42" s="3">
        <f t="shared" si="28"/>
        <v>7.8921984991154562E-4</v>
      </c>
      <c r="K42" s="3">
        <f t="shared" si="28"/>
        <v>7.8921984991154562E-4</v>
      </c>
      <c r="L42" s="3">
        <f t="shared" si="28"/>
        <v>7.8921984991154562E-4</v>
      </c>
      <c r="M42" s="3">
        <f t="shared" si="28"/>
        <v>7.8921984991154562E-4</v>
      </c>
      <c r="N42" s="3">
        <f t="shared" si="28"/>
        <v>7.8921984991154562E-4</v>
      </c>
      <c r="O42" s="3">
        <f t="shared" si="28"/>
        <v>7.8921984991154551E-4</v>
      </c>
      <c r="P42" s="3">
        <f t="shared" si="27"/>
        <v>7.8921984991154486E-4</v>
      </c>
      <c r="Q42" s="3">
        <f t="shared" si="27"/>
        <v>7.8921984991153771E-4</v>
      </c>
      <c r="R42" s="3">
        <f t="shared" si="27"/>
        <v>7.8921984991146669E-4</v>
      </c>
      <c r="S42" s="3">
        <f t="shared" si="27"/>
        <v>7.8921984991075643E-4</v>
      </c>
      <c r="T42" s="3">
        <f t="shared" si="27"/>
        <v>7.8921984990365339E-4</v>
      </c>
      <c r="U42" s="3">
        <f t="shared" si="27"/>
        <v>7.8921984983262362E-4</v>
      </c>
      <c r="V42" s="3">
        <f t="shared" si="27"/>
        <v>7.892198491223258E-4</v>
      </c>
      <c r="W42" s="3">
        <f t="shared" si="27"/>
        <v>7.8921984201934712E-4</v>
      </c>
      <c r="X42" s="3">
        <f t="shared" si="27"/>
        <v>7.8921977098956458E-4</v>
      </c>
      <c r="Y42" s="3">
        <f t="shared" si="27"/>
        <v>7.8921906069209032E-4</v>
      </c>
      <c r="Z42" s="3">
        <f t="shared" si="27"/>
        <v>7.8921195775250735E-4</v>
      </c>
      <c r="AA42" s="3">
        <f t="shared" si="27"/>
        <v>7.891409318725222E-4</v>
      </c>
      <c r="AB42" s="3">
        <f t="shared" si="27"/>
        <v>7.8843102454005535E-4</v>
      </c>
      <c r="AC42" s="3">
        <f t="shared" si="27"/>
        <v>7.8136698119646915E-4</v>
      </c>
      <c r="AD42" s="3">
        <f t="shared" si="27"/>
        <v>7.1411565125669048E-4</v>
      </c>
      <c r="AE42" s="3">
        <f t="shared" si="27"/>
        <v>2.9033775734686897E-4</v>
      </c>
      <c r="AF42" s="3">
        <f t="shared" si="29"/>
        <v>3.5830525753143007E-8</v>
      </c>
      <c r="AG42" s="3">
        <f t="shared" si="29"/>
        <v>2.9359578034547111E-47</v>
      </c>
      <c r="AH42" s="3">
        <f t="shared" si="29"/>
        <v>0</v>
      </c>
      <c r="AI42" s="3">
        <f t="shared" si="29"/>
        <v>0</v>
      </c>
      <c r="AJ42" s="3">
        <f t="shared" si="29"/>
        <v>0</v>
      </c>
    </row>
    <row r="43" spans="1:36" x14ac:dyDescent="0.25">
      <c r="A43" s="3">
        <f t="shared" si="30"/>
        <v>100000000000</v>
      </c>
      <c r="B43" s="17">
        <v>3.7719612353397693E-3</v>
      </c>
      <c r="C43" s="18">
        <f t="shared" si="3"/>
        <v>3.1383864234018747E-3</v>
      </c>
      <c r="D43" s="17"/>
      <c r="F43" s="3">
        <f t="shared" si="28"/>
        <v>3.1383864234018747E-3</v>
      </c>
      <c r="G43" s="3">
        <f t="shared" si="28"/>
        <v>3.1383864234018747E-3</v>
      </c>
      <c r="H43" s="3">
        <f t="shared" si="28"/>
        <v>3.1383864234018747E-3</v>
      </c>
      <c r="I43" s="3">
        <f t="shared" si="28"/>
        <v>3.1383864234018747E-3</v>
      </c>
      <c r="J43" s="3">
        <f t="shared" si="28"/>
        <v>3.1383864234018747E-3</v>
      </c>
      <c r="K43" s="3">
        <f t="shared" si="28"/>
        <v>3.1383864234018747E-3</v>
      </c>
      <c r="L43" s="3">
        <f t="shared" si="28"/>
        <v>3.1383864234018747E-3</v>
      </c>
      <c r="M43" s="3">
        <f t="shared" si="28"/>
        <v>3.1383864234018747E-3</v>
      </c>
      <c r="N43" s="3">
        <f t="shared" si="28"/>
        <v>3.1383864234018747E-3</v>
      </c>
      <c r="O43" s="3">
        <f t="shared" si="28"/>
        <v>3.1383864234018747E-3</v>
      </c>
      <c r="P43" s="3">
        <f t="shared" si="27"/>
        <v>3.1383864234018743E-3</v>
      </c>
      <c r="Q43" s="3">
        <f t="shared" si="27"/>
        <v>3.1383864234018717E-3</v>
      </c>
      <c r="R43" s="3">
        <f t="shared" si="27"/>
        <v>3.1383864234018435E-3</v>
      </c>
      <c r="S43" s="3">
        <f t="shared" si="27"/>
        <v>3.1383864234015607E-3</v>
      </c>
      <c r="T43" s="3">
        <f t="shared" si="27"/>
        <v>3.1383864233987366E-3</v>
      </c>
      <c r="U43" s="3">
        <f t="shared" si="27"/>
        <v>3.138386423370491E-3</v>
      </c>
      <c r="V43" s="3">
        <f t="shared" si="27"/>
        <v>3.1383864230880359E-3</v>
      </c>
      <c r="W43" s="3">
        <f t="shared" si="27"/>
        <v>3.1383864202634885E-3</v>
      </c>
      <c r="X43" s="3">
        <f t="shared" si="27"/>
        <v>3.1383863920180105E-3</v>
      </c>
      <c r="Y43" s="3">
        <f t="shared" si="27"/>
        <v>3.1383861095632482E-3</v>
      </c>
      <c r="Z43" s="3">
        <f t="shared" si="27"/>
        <v>3.1383832850170206E-3</v>
      </c>
      <c r="AA43" s="3">
        <f t="shared" si="27"/>
        <v>3.1383550396945595E-3</v>
      </c>
      <c r="AB43" s="3">
        <f t="shared" si="27"/>
        <v>3.1380726004509437E-3</v>
      </c>
      <c r="AC43" s="3">
        <f t="shared" si="27"/>
        <v>3.1352496056487509E-3</v>
      </c>
      <c r="AD43" s="3">
        <f t="shared" si="27"/>
        <v>3.1071589567296725E-3</v>
      </c>
      <c r="AE43" s="3">
        <f t="shared" si="27"/>
        <v>2.8397294681500622E-3</v>
      </c>
      <c r="AF43" s="3">
        <f t="shared" si="29"/>
        <v>1.1545478436211234E-3</v>
      </c>
      <c r="AG43" s="3">
        <f t="shared" si="29"/>
        <v>1.4248252318998116E-7</v>
      </c>
      <c r="AH43" s="3">
        <f t="shared" si="29"/>
        <v>1.167503593716727E-46</v>
      </c>
      <c r="AI43" s="3">
        <f t="shared" si="29"/>
        <v>0</v>
      </c>
      <c r="AJ43" s="3">
        <f t="shared" si="29"/>
        <v>0</v>
      </c>
    </row>
    <row r="44" spans="1:36" x14ac:dyDescent="0.25">
      <c r="A44" s="3">
        <f t="shared" si="30"/>
        <v>1000000000000</v>
      </c>
      <c r="B44" s="17">
        <v>5.2838308854490979E-4</v>
      </c>
      <c r="C44" s="18">
        <f t="shared" si="3"/>
        <v>4.3963079363277776E-4</v>
      </c>
      <c r="D44" s="17"/>
      <c r="F44" s="3">
        <f t="shared" si="28"/>
        <v>4.3963079363277776E-4</v>
      </c>
      <c r="G44" s="3">
        <f t="shared" si="28"/>
        <v>4.3963079363277776E-4</v>
      </c>
      <c r="H44" s="3">
        <f t="shared" si="28"/>
        <v>4.3963079363277776E-4</v>
      </c>
      <c r="I44" s="3">
        <f t="shared" si="28"/>
        <v>4.3963079363277776E-4</v>
      </c>
      <c r="J44" s="3">
        <f t="shared" si="28"/>
        <v>4.3963079363277776E-4</v>
      </c>
      <c r="K44" s="3">
        <f t="shared" si="28"/>
        <v>4.3963079363277776E-4</v>
      </c>
      <c r="L44" s="3">
        <f t="shared" si="28"/>
        <v>4.3963079363277776E-4</v>
      </c>
      <c r="M44" s="3">
        <f t="shared" si="28"/>
        <v>4.3963079363277776E-4</v>
      </c>
      <c r="N44" s="3">
        <f t="shared" si="28"/>
        <v>4.3963079363277776E-4</v>
      </c>
      <c r="O44" s="3">
        <f t="shared" si="28"/>
        <v>4.3963079363277776E-4</v>
      </c>
      <c r="P44" s="3">
        <f t="shared" si="27"/>
        <v>4.3963079363277776E-4</v>
      </c>
      <c r="Q44" s="3">
        <f t="shared" si="27"/>
        <v>4.396307936327777E-4</v>
      </c>
      <c r="R44" s="3">
        <f t="shared" si="27"/>
        <v>4.3963079363277733E-4</v>
      </c>
      <c r="S44" s="3">
        <f t="shared" si="27"/>
        <v>4.3963079363277337E-4</v>
      </c>
      <c r="T44" s="3">
        <f t="shared" si="27"/>
        <v>4.3963079363273379E-4</v>
      </c>
      <c r="U44" s="3">
        <f t="shared" si="27"/>
        <v>4.3963079363233811E-4</v>
      </c>
      <c r="V44" s="3">
        <f t="shared" si="27"/>
        <v>4.3963079362838143E-4</v>
      </c>
      <c r="W44" s="3">
        <f t="shared" si="27"/>
        <v>4.3963079358881466E-4</v>
      </c>
      <c r="X44" s="3">
        <f t="shared" si="27"/>
        <v>4.3963079319314695E-4</v>
      </c>
      <c r="Y44" s="3">
        <f t="shared" si="27"/>
        <v>4.3963078923646984E-4</v>
      </c>
      <c r="Z44" s="3">
        <f t="shared" si="27"/>
        <v>4.396307496697006E-4</v>
      </c>
      <c r="AA44" s="3">
        <f t="shared" si="27"/>
        <v>4.3963035400220395E-4</v>
      </c>
      <c r="AB44" s="3">
        <f t="shared" si="27"/>
        <v>4.3962639734682291E-4</v>
      </c>
      <c r="AC44" s="3">
        <f t="shared" si="27"/>
        <v>4.395868327514952E-4</v>
      </c>
      <c r="AD44" s="3">
        <f t="shared" si="27"/>
        <v>4.3919138258128834E-4</v>
      </c>
      <c r="AE44" s="3">
        <f t="shared" si="27"/>
        <v>4.3525639414714647E-4</v>
      </c>
      <c r="AF44" s="3">
        <f t="shared" si="29"/>
        <v>3.977943921997824E-4</v>
      </c>
      <c r="AG44" s="3">
        <f t="shared" si="29"/>
        <v>1.6173113068338398E-4</v>
      </c>
      <c r="AH44" s="3">
        <f t="shared" si="29"/>
        <v>1.9959207152353583E-8</v>
      </c>
      <c r="AI44" s="3">
        <f t="shared" si="29"/>
        <v>1.6354599537122706E-47</v>
      </c>
      <c r="AJ44" s="3">
        <f t="shared" si="29"/>
        <v>0</v>
      </c>
    </row>
    <row r="45" spans="1:36" x14ac:dyDescent="0.25">
      <c r="A45" s="3">
        <f t="shared" si="30"/>
        <v>10000000000000</v>
      </c>
      <c r="B45" s="17">
        <v>4.7314968088203807E-5</v>
      </c>
      <c r="C45" s="18">
        <f t="shared" si="3"/>
        <v>3.9367491924485783E-5</v>
      </c>
      <c r="D45" s="17"/>
      <c r="F45" s="3">
        <f t="shared" si="28"/>
        <v>3.9367491924485783E-5</v>
      </c>
      <c r="G45" s="3">
        <f t="shared" si="28"/>
        <v>3.9367491924485783E-5</v>
      </c>
      <c r="H45" s="3">
        <f t="shared" si="28"/>
        <v>3.9367491924485783E-5</v>
      </c>
      <c r="I45" s="3">
        <f t="shared" si="28"/>
        <v>3.9367491924485783E-5</v>
      </c>
      <c r="J45" s="3">
        <f t="shared" si="28"/>
        <v>3.9367491924485783E-5</v>
      </c>
      <c r="K45" s="3">
        <f t="shared" si="28"/>
        <v>3.9367491924485783E-5</v>
      </c>
      <c r="L45" s="3">
        <f t="shared" si="28"/>
        <v>3.9367491924485783E-5</v>
      </c>
      <c r="M45" s="3">
        <f t="shared" si="28"/>
        <v>3.9367491924485783E-5</v>
      </c>
      <c r="N45" s="3">
        <f t="shared" si="28"/>
        <v>3.9367491924485783E-5</v>
      </c>
      <c r="O45" s="3">
        <f t="shared" si="28"/>
        <v>3.9367491924485783E-5</v>
      </c>
      <c r="P45" s="3">
        <f t="shared" si="27"/>
        <v>3.9367491924485783E-5</v>
      </c>
      <c r="Q45" s="3">
        <f t="shared" si="27"/>
        <v>3.9367491924485783E-5</v>
      </c>
      <c r="R45" s="3">
        <f t="shared" si="27"/>
        <v>3.9367491924485776E-5</v>
      </c>
      <c r="S45" s="3">
        <f t="shared" si="27"/>
        <v>3.9367491924485742E-5</v>
      </c>
      <c r="T45" s="3">
        <f t="shared" si="27"/>
        <v>3.936749192448539E-5</v>
      </c>
      <c r="U45" s="3">
        <f t="shared" si="27"/>
        <v>3.9367491924481846E-5</v>
      </c>
      <c r="V45" s="3">
        <f t="shared" si="27"/>
        <v>3.936749192444642E-5</v>
      </c>
      <c r="W45" s="3">
        <f t="shared" si="27"/>
        <v>3.9367491924092109E-5</v>
      </c>
      <c r="X45" s="3">
        <f t="shared" si="27"/>
        <v>3.9367491920549031E-5</v>
      </c>
      <c r="Y45" s="3">
        <f t="shared" si="27"/>
        <v>3.9367491885118294E-5</v>
      </c>
      <c r="Z45" s="3">
        <f t="shared" si="27"/>
        <v>3.9367491530810863E-5</v>
      </c>
      <c r="AA45" s="3">
        <f t="shared" si="27"/>
        <v>3.9367487987736792E-5</v>
      </c>
      <c r="AB45" s="3">
        <f t="shared" si="27"/>
        <v>3.9367452557013543E-5</v>
      </c>
      <c r="AC45" s="3">
        <f t="shared" si="27"/>
        <v>3.9367098251534903E-5</v>
      </c>
      <c r="AD45" s="3">
        <f t="shared" si="27"/>
        <v>3.9363555372124234E-5</v>
      </c>
      <c r="AE45" s="3">
        <f t="shared" si="27"/>
        <v>3.9328144109747654E-5</v>
      </c>
      <c r="AF45" s="3">
        <f t="shared" si="29"/>
        <v>3.8975778834958866E-5</v>
      </c>
      <c r="AG45" s="3">
        <f t="shared" si="29"/>
        <v>3.5621179747503201E-5</v>
      </c>
      <c r="AH45" s="3">
        <f t="shared" si="29"/>
        <v>1.4482490929501098E-5</v>
      </c>
      <c r="AI45" s="3">
        <f t="shared" si="29"/>
        <v>1.7872813682968442E-9</v>
      </c>
      <c r="AJ45" s="3">
        <f t="shared" si="29"/>
        <v>1.4645006094447383E-48</v>
      </c>
    </row>
    <row r="46" spans="1:36" x14ac:dyDescent="0.25">
      <c r="A46" s="3">
        <f t="shared" si="30"/>
        <v>100000000000000</v>
      </c>
      <c r="B46" s="17">
        <v>2.9675763176928858E-6</v>
      </c>
      <c r="C46" s="18">
        <f t="shared" si="3"/>
        <v>2.469113716916911E-6</v>
      </c>
      <c r="D46" s="17"/>
      <c r="F46" s="3">
        <f t="shared" si="28"/>
        <v>2.469113716916911E-6</v>
      </c>
      <c r="G46" s="3">
        <f t="shared" si="28"/>
        <v>2.469113716916911E-6</v>
      </c>
      <c r="H46" s="3">
        <f t="shared" si="28"/>
        <v>2.469113716916911E-6</v>
      </c>
      <c r="I46" s="3">
        <f t="shared" si="28"/>
        <v>2.469113716916911E-6</v>
      </c>
      <c r="J46" s="3">
        <f t="shared" si="28"/>
        <v>2.469113716916911E-6</v>
      </c>
      <c r="K46" s="3">
        <f t="shared" si="28"/>
        <v>2.469113716916911E-6</v>
      </c>
      <c r="L46" s="3">
        <f t="shared" si="28"/>
        <v>2.469113716916911E-6</v>
      </c>
      <c r="M46" s="3">
        <f t="shared" si="28"/>
        <v>2.469113716916911E-6</v>
      </c>
      <c r="N46" s="3">
        <f t="shared" si="28"/>
        <v>2.469113716916911E-6</v>
      </c>
      <c r="O46" s="3">
        <f t="shared" si="28"/>
        <v>2.469113716916911E-6</v>
      </c>
      <c r="P46" s="3">
        <f t="shared" si="27"/>
        <v>2.469113716916911E-6</v>
      </c>
      <c r="Q46" s="3">
        <f t="shared" si="27"/>
        <v>2.469113716916911E-6</v>
      </c>
      <c r="R46" s="3">
        <f t="shared" si="27"/>
        <v>2.469113716916911E-6</v>
      </c>
      <c r="S46" s="3">
        <f t="shared" si="27"/>
        <v>2.4691137169169106E-6</v>
      </c>
      <c r="T46" s="3">
        <f t="shared" si="27"/>
        <v>2.4691137169169085E-6</v>
      </c>
      <c r="U46" s="3">
        <f t="shared" si="27"/>
        <v>2.4691137169168865E-6</v>
      </c>
      <c r="V46" s="3">
        <f t="shared" si="27"/>
        <v>2.4691137169166641E-6</v>
      </c>
      <c r="W46" s="3">
        <f t="shared" si="27"/>
        <v>2.4691137169144419E-6</v>
      </c>
      <c r="X46" s="3">
        <f t="shared" si="27"/>
        <v>2.46911371689222E-6</v>
      </c>
      <c r="Y46" s="3">
        <f t="shared" si="27"/>
        <v>2.4691137166699997E-6</v>
      </c>
      <c r="Z46" s="3">
        <f t="shared" si="27"/>
        <v>2.4691137144477973E-6</v>
      </c>
      <c r="AA46" s="3">
        <f t="shared" si="27"/>
        <v>2.469113692225774E-6</v>
      </c>
      <c r="AB46" s="3">
        <f t="shared" si="27"/>
        <v>2.4691134700055516E-6</v>
      </c>
      <c r="AC46" s="3">
        <f t="shared" si="27"/>
        <v>2.4691112478044289E-6</v>
      </c>
      <c r="AD46" s="3">
        <f t="shared" si="27"/>
        <v>2.4690890259031973E-6</v>
      </c>
      <c r="AE46" s="3">
        <f t="shared" si="27"/>
        <v>2.4688668178903765E-6</v>
      </c>
      <c r="AF46" s="3">
        <f t="shared" si="29"/>
        <v>2.4666458373454365E-6</v>
      </c>
      <c r="AG46" s="3">
        <f t="shared" si="29"/>
        <v>2.4445456249413784E-6</v>
      </c>
      <c r="AH46" s="3">
        <f t="shared" si="29"/>
        <v>2.234146480452269E-6</v>
      </c>
      <c r="AI46" s="3">
        <f t="shared" si="29"/>
        <v>9.0833617436813607E-7</v>
      </c>
      <c r="AJ46" s="3">
        <f t="shared" si="29"/>
        <v>1.1209758932361568E-10</v>
      </c>
    </row>
    <row r="47" spans="1:36" x14ac:dyDescent="0.25">
      <c r="A47" s="3">
        <f t="shared" si="30"/>
        <v>1000000000000000</v>
      </c>
      <c r="B47" s="17">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7">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1.2018791590524174</v>
      </c>
      <c r="C49" s="18">
        <f>SUM(C17:C48)</f>
        <v>0.99999999999999944</v>
      </c>
      <c r="F49" s="3">
        <f t="shared" ref="F49:AJ49" si="31">F16-F17</f>
        <v>57.356564389894629</v>
      </c>
      <c r="G49" s="3">
        <f t="shared" si="31"/>
        <v>-74.20104923369945</v>
      </c>
      <c r="H49" s="3">
        <f t="shared" si="31"/>
        <v>19.624032861216619</v>
      </c>
      <c r="I49" s="3">
        <f t="shared" si="31"/>
        <v>-3.223142402709982</v>
      </c>
      <c r="J49" s="3">
        <f t="shared" si="31"/>
        <v>0.43102019089337773</v>
      </c>
      <c r="K49" s="3">
        <f t="shared" si="31"/>
        <v>-6.8776909888583759E-2</v>
      </c>
      <c r="L49" s="3">
        <f t="shared" si="31"/>
        <v>-1.827710925226711E-3</v>
      </c>
      <c r="M49" s="3">
        <f t="shared" si="31"/>
        <v>-3.2462813033362181E-2</v>
      </c>
      <c r="N49" s="3">
        <f t="shared" si="31"/>
        <v>3.5671486844876199E-2</v>
      </c>
      <c r="O49" s="3">
        <f t="shared" si="31"/>
        <v>-0.10492896967343768</v>
      </c>
      <c r="P49" s="3">
        <f t="shared" si="31"/>
        <v>0.15504871803568676</v>
      </c>
      <c r="Q49" s="3">
        <f t="shared" si="31"/>
        <v>-0.23764823720739514</v>
      </c>
      <c r="R49" s="3">
        <f t="shared" si="31"/>
        <v>0.28749508141572733</v>
      </c>
      <c r="S49" s="3">
        <f t="shared" si="31"/>
        <v>-0.30279416769553791</v>
      </c>
      <c r="T49" s="3">
        <f t="shared" si="31"/>
        <v>0.27244040518121437</v>
      </c>
      <c r="U49" s="3">
        <f t="shared" si="31"/>
        <v>-0.2016972514607005</v>
      </c>
      <c r="V49" s="3">
        <f t="shared" si="31"/>
        <v>0.14290437904855935</v>
      </c>
      <c r="W49" s="3">
        <f t="shared" si="31"/>
        <v>-8.1692788572127029E-2</v>
      </c>
      <c r="X49" s="3">
        <f t="shared" si="31"/>
        <v>2.8564314866230234E-2</v>
      </c>
      <c r="Y49" s="3">
        <f t="shared" si="31"/>
        <v>-2.9854016102831338E-2</v>
      </c>
      <c r="Z49" s="3">
        <f t="shared" si="31"/>
        <v>9.6425968666835615E-4</v>
      </c>
      <c r="AA49" s="3">
        <f t="shared" si="31"/>
        <v>-5.6084648913952151E-3</v>
      </c>
      <c r="AB49" s="3">
        <f t="shared" si="31"/>
        <v>-1.607413560373061E-2</v>
      </c>
      <c r="AC49" s="3">
        <f t="shared" si="31"/>
        <v>-2.5225310085374986E-3</v>
      </c>
      <c r="AD49" s="3">
        <f t="shared" si="31"/>
        <v>-3.972881598940603E-3</v>
      </c>
      <c r="AE49" s="3">
        <f t="shared" si="31"/>
        <v>-3.298910130493482E-2</v>
      </c>
      <c r="AF49" s="3">
        <f t="shared" si="31"/>
        <v>1.3824072772905538E-2</v>
      </c>
      <c r="AG49" s="3">
        <f t="shared" si="31"/>
        <v>-4.797950171962384E-2</v>
      </c>
      <c r="AH49" s="3">
        <f t="shared" si="31"/>
        <v>3.6219032666139128E-2</v>
      </c>
      <c r="AI49" s="3">
        <f t="shared" si="31"/>
        <v>2.3302018418888792E-2</v>
      </c>
      <c r="AJ49" s="3">
        <f t="shared" si="31"/>
        <v>-6.8581400860495023E-2</v>
      </c>
    </row>
    <row r="50" spans="1:36" x14ac:dyDescent="0.25">
      <c r="F50" s="57">
        <f t="shared" ref="F50:AJ50" si="32">F49/F17</f>
        <v>1.2719765354122864E-2</v>
      </c>
      <c r="G50" s="57">
        <f t="shared" si="32"/>
        <v>-1.6703971444814517E-2</v>
      </c>
      <c r="H50" s="57">
        <f t="shared" si="32"/>
        <v>4.6811683454065526E-3</v>
      </c>
      <c r="I50" s="57">
        <f t="shared" si="32"/>
        <v>-7.9813554503182236E-4</v>
      </c>
      <c r="J50" s="57">
        <f t="shared" si="32"/>
        <v>1.1263931621927288E-4</v>
      </c>
      <c r="K50" s="57">
        <f t="shared" si="32"/>
        <v>-1.8997950129369128E-5</v>
      </c>
      <c r="L50" s="57">
        <f t="shared" si="32"/>
        <v>-5.3029003292324641E-7</v>
      </c>
      <c r="M50" s="57">
        <f t="shared" si="32"/>
        <v>-9.886434158592034E-6</v>
      </c>
      <c r="N50" s="57">
        <f t="shared" si="32"/>
        <v>1.141080124422747E-5</v>
      </c>
      <c r="O50" s="57">
        <f t="shared" si="32"/>
        <v>-3.5317383342181099E-5</v>
      </c>
      <c r="P50" s="57">
        <f t="shared" si="32"/>
        <v>5.5083424832253727E-5</v>
      </c>
      <c r="Q50" s="57">
        <f t="shared" si="32"/>
        <v>-8.9959735939513835E-5</v>
      </c>
      <c r="R50" s="57">
        <f t="shared" si="32"/>
        <v>1.1739783180696974E-4</v>
      </c>
      <c r="S50" s="57">
        <f t="shared" si="32"/>
        <v>-1.354100610648572E-4</v>
      </c>
      <c r="T50" s="57">
        <f t="shared" si="32"/>
        <v>1.3669430764943843E-4</v>
      </c>
      <c r="U50" s="57">
        <f t="shared" si="32"/>
        <v>-1.1808199941154271E-4</v>
      </c>
      <c r="V50" s="57">
        <f t="shared" si="32"/>
        <v>1.0334068392371127E-4</v>
      </c>
      <c r="W50" s="57">
        <f t="shared" si="32"/>
        <v>-7.8140048630725864E-5</v>
      </c>
      <c r="X50" s="57">
        <f t="shared" si="32"/>
        <v>3.841993893001595E-5</v>
      </c>
      <c r="Y50" s="57">
        <f t="shared" si="32"/>
        <v>-5.7463965933254059E-5</v>
      </c>
      <c r="Z50" s="57">
        <f t="shared" si="32"/>
        <v>2.5142703658944619E-6</v>
      </c>
      <c r="AA50" s="57">
        <f t="shared" si="32"/>
        <v>-1.7855136459543827E-5</v>
      </c>
      <c r="AB50" s="57">
        <f t="shared" si="32"/>
        <v>-5.7263030543160649E-5</v>
      </c>
      <c r="AC50" s="57">
        <f t="shared" si="32"/>
        <v>-9.6191151829406074E-6</v>
      </c>
      <c r="AD50" s="57">
        <f t="shared" si="32"/>
        <v>-1.5857115199597739E-5</v>
      </c>
      <c r="AE50" s="57">
        <f t="shared" si="32"/>
        <v>-1.3445224005549072E-4</v>
      </c>
      <c r="AF50" s="57">
        <f t="shared" si="32"/>
        <v>5.9063072695398577E-5</v>
      </c>
      <c r="AG50" s="57">
        <f t="shared" si="32"/>
        <v>-2.1208225052409156E-4</v>
      </c>
      <c r="AH50" s="57">
        <f t="shared" si="32"/>
        <v>1.6082901613135268E-4</v>
      </c>
      <c r="AI50" s="57">
        <f t="shared" si="32"/>
        <v>1.035124247312046E-4</v>
      </c>
      <c r="AJ50" s="57">
        <f t="shared" si="32"/>
        <v>-3.0465979741072798E-4</v>
      </c>
    </row>
    <row r="51" spans="1:36" x14ac:dyDescent="0.25">
      <c r="A51" s="13" t="s">
        <v>21</v>
      </c>
      <c r="B51" s="3">
        <f>STUTT!D8</f>
        <v>5614.1607000000004</v>
      </c>
      <c r="E51" s="11" t="s">
        <v>24</v>
      </c>
      <c r="F51" s="20">
        <f t="shared" ref="F51:AJ51" si="33">(F16-F17)^2</f>
        <v>3289.7754786121286</v>
      </c>
      <c r="G51" s="20">
        <f t="shared" si="33"/>
        <v>5505.7957073818898</v>
      </c>
      <c r="H51" s="20">
        <f t="shared" si="33"/>
        <v>385.10266573810975</v>
      </c>
      <c r="I51" s="20">
        <f t="shared" si="33"/>
        <v>10.388646948147075</v>
      </c>
      <c r="J51" s="20">
        <f t="shared" si="33"/>
        <v>0.18577840495776377</v>
      </c>
      <c r="K51" s="20">
        <f t="shared" si="33"/>
        <v>4.7302633338223701E-3</v>
      </c>
      <c r="L51" s="20">
        <f t="shared" si="33"/>
        <v>3.3405272261930798E-6</v>
      </c>
      <c r="M51" s="20">
        <f t="shared" si="33"/>
        <v>1.0538342300390295E-3</v>
      </c>
      <c r="N51" s="20">
        <f t="shared" si="33"/>
        <v>1.2724549737241756E-3</v>
      </c>
      <c r="O51" s="20">
        <f t="shared" si="33"/>
        <v>1.1010088676729203E-2</v>
      </c>
      <c r="P51" s="20">
        <f t="shared" si="33"/>
        <v>2.4040104964509899E-2</v>
      </c>
      <c r="Q51" s="20">
        <f t="shared" si="33"/>
        <v>5.6476684647782348E-2</v>
      </c>
      <c r="R51" s="20">
        <f t="shared" si="33"/>
        <v>8.265342183823568E-2</v>
      </c>
      <c r="S51" s="20">
        <f t="shared" si="33"/>
        <v>9.1684307990433533E-2</v>
      </c>
      <c r="T51" s="20">
        <f t="shared" si="33"/>
        <v>7.4223774375304266E-2</v>
      </c>
      <c r="U51" s="20">
        <f t="shared" si="33"/>
        <v>4.0681781246801052E-2</v>
      </c>
      <c r="V51" s="20">
        <f t="shared" si="33"/>
        <v>2.0421661551254328E-2</v>
      </c>
      <c r="W51" s="20">
        <f t="shared" si="33"/>
        <v>6.6737117046902486E-3</v>
      </c>
      <c r="X51" s="20">
        <f t="shared" si="33"/>
        <v>8.1592008377714151E-4</v>
      </c>
      <c r="Y51" s="20">
        <f t="shared" si="33"/>
        <v>8.9126227746811281E-4</v>
      </c>
      <c r="Z51" s="20">
        <f t="shared" si="33"/>
        <v>9.2979674333375641E-7</v>
      </c>
      <c r="AA51" s="20">
        <f t="shared" si="33"/>
        <v>3.145487843801274E-5</v>
      </c>
      <c r="AB51" s="20">
        <f t="shared" si="33"/>
        <v>2.5837783540712001E-4</v>
      </c>
      <c r="AC51" s="20">
        <f t="shared" si="33"/>
        <v>6.3631626890332096E-6</v>
      </c>
      <c r="AD51" s="20">
        <f t="shared" si="33"/>
        <v>1.5783788199200841E-5</v>
      </c>
      <c r="AE51" s="20">
        <f t="shared" si="33"/>
        <v>1.0882808049072522E-3</v>
      </c>
      <c r="AF51" s="20">
        <f t="shared" si="33"/>
        <v>1.9110498803058822E-4</v>
      </c>
      <c r="AG51" s="20">
        <f t="shared" si="33"/>
        <v>2.3020325852633871E-3</v>
      </c>
      <c r="AH51" s="20">
        <f t="shared" si="33"/>
        <v>1.3118183272708532E-3</v>
      </c>
      <c r="AI51" s="20">
        <f t="shared" si="33"/>
        <v>5.4298406239423251E-4</v>
      </c>
      <c r="AJ51" s="20">
        <f t="shared" si="33"/>
        <v>4.7034085439879077E-3</v>
      </c>
    </row>
    <row r="52" spans="1:36" x14ac:dyDescent="0.25">
      <c r="A52" s="13"/>
    </row>
    <row r="53" spans="1:36" x14ac:dyDescent="0.25">
      <c r="E53" s="109" t="s">
        <v>25</v>
      </c>
      <c r="F53" s="109"/>
      <c r="G53" s="21">
        <f>SUM(F51:AJ51)</f>
        <v>9191.6753622364286</v>
      </c>
      <c r="I53" s="3">
        <f>G53+C123</f>
        <v>9191.6753622364286</v>
      </c>
      <c r="K53" s="3">
        <f>SUM(Z51:AJ51)</f>
        <v>1.0452538773330921E-2</v>
      </c>
    </row>
    <row r="55" spans="1:36" x14ac:dyDescent="0.25">
      <c r="E55" s="30" t="s">
        <v>30</v>
      </c>
      <c r="F55" s="31">
        <f t="shared" ref="F55:AJ55" si="34">ABS(F17-F16)/F16</f>
        <v>1.256000503720304E-2</v>
      </c>
      <c r="G55" s="31">
        <f t="shared" si="34"/>
        <v>1.6987734069625646E-2</v>
      </c>
      <c r="H55" s="31">
        <f t="shared" si="34"/>
        <v>4.6593571103914428E-3</v>
      </c>
      <c r="I55" s="31">
        <f t="shared" si="34"/>
        <v>7.9877307421476749E-4</v>
      </c>
      <c r="J55" s="31">
        <f t="shared" si="34"/>
        <v>1.1262663003267793E-4</v>
      </c>
      <c r="K55" s="31">
        <f t="shared" si="34"/>
        <v>1.8998311058335153E-5</v>
      </c>
      <c r="L55" s="31">
        <f t="shared" si="34"/>
        <v>5.3029031413091449E-7</v>
      </c>
      <c r="M55" s="31">
        <f t="shared" si="34"/>
        <v>9.886531901138731E-6</v>
      </c>
      <c r="N55" s="31">
        <f t="shared" si="34"/>
        <v>1.1410671039328178E-5</v>
      </c>
      <c r="O55" s="31">
        <f t="shared" si="34"/>
        <v>3.5318630703800787E-5</v>
      </c>
      <c r="P55" s="31">
        <f t="shared" si="34"/>
        <v>5.5080390815686502E-5</v>
      </c>
      <c r="Q55" s="31">
        <f t="shared" si="34"/>
        <v>8.9967829421691662E-5</v>
      </c>
      <c r="R55" s="31">
        <f t="shared" si="34"/>
        <v>1.173840511738732E-4</v>
      </c>
      <c r="S55" s="31">
        <f t="shared" si="34"/>
        <v>1.354283994326943E-4</v>
      </c>
      <c r="T55" s="31">
        <f t="shared" si="34"/>
        <v>1.3667562486952432E-4</v>
      </c>
      <c r="U55" s="31">
        <f t="shared" si="34"/>
        <v>1.1809594441678184E-4</v>
      </c>
      <c r="V55" s="31">
        <f t="shared" si="34"/>
        <v>1.0333000573024926E-4</v>
      </c>
      <c r="W55" s="31">
        <f t="shared" si="34"/>
        <v>7.8146154975075911E-5</v>
      </c>
      <c r="X55" s="31">
        <f t="shared" si="34"/>
        <v>3.8418462895017744E-5</v>
      </c>
      <c r="Y55" s="31">
        <f t="shared" si="34"/>
        <v>5.7467268230397926E-5</v>
      </c>
      <c r="Z55" s="31">
        <f t="shared" si="34"/>
        <v>2.5142640443548833E-6</v>
      </c>
      <c r="AA55" s="31">
        <f t="shared" si="34"/>
        <v>1.7855455271134242E-5</v>
      </c>
      <c r="AB55" s="31">
        <f t="shared" si="34"/>
        <v>5.7266309785606994E-5</v>
      </c>
      <c r="AC55" s="31">
        <f t="shared" si="34"/>
        <v>9.61920771120755E-6</v>
      </c>
      <c r="AD55" s="31">
        <f t="shared" si="34"/>
        <v>1.5857366651687497E-5</v>
      </c>
      <c r="AE55" s="31">
        <f t="shared" si="34"/>
        <v>1.3447031989122107E-4</v>
      </c>
      <c r="AF55" s="31">
        <f t="shared" si="34"/>
        <v>5.905958445486856E-5</v>
      </c>
      <c r="AG55" s="31">
        <f t="shared" si="34"/>
        <v>2.1212723894632477E-4</v>
      </c>
      <c r="AH55" s="31">
        <f t="shared" si="34"/>
        <v>1.6080315431825286E-4</v>
      </c>
      <c r="AI55" s="31">
        <f t="shared" si="34"/>
        <v>1.0350171101813328E-4</v>
      </c>
      <c r="AJ55" s="31">
        <f t="shared" si="34"/>
        <v>3.0475264328929291E-4</v>
      </c>
    </row>
    <row r="56" spans="1:36" x14ac:dyDescent="0.25">
      <c r="E56" s="13" t="s">
        <v>31</v>
      </c>
      <c r="F56" s="32">
        <f>AVERAGE(F55:AJ55)</f>
        <v>1.2000794110912068E-3</v>
      </c>
    </row>
    <row r="57" spans="1:36" x14ac:dyDescent="0.25">
      <c r="A57" s="42"/>
      <c r="B57" s="15"/>
      <c r="C57" s="15"/>
      <c r="D57" s="15"/>
      <c r="F57" s="60">
        <f>AVERAGE(S55:X55)</f>
        <v>1.0168243205322389E-4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0"/>
      <c r="D63" s="110"/>
      <c r="E63" s="110"/>
      <c r="F63" s="110"/>
      <c r="G63" s="110"/>
      <c r="H63" s="110"/>
      <c r="I63" s="110"/>
    </row>
    <row r="64" spans="1:36" x14ac:dyDescent="0.25">
      <c r="A64" s="42">
        <f>10^A65</f>
        <v>1.0000000000000001E-5</v>
      </c>
      <c r="B64" s="42">
        <f>10^B65</f>
        <v>100000</v>
      </c>
      <c r="C64" s="15"/>
      <c r="D64" s="15"/>
      <c r="E64" s="15"/>
      <c r="F64" s="15"/>
      <c r="G64" s="15"/>
      <c r="H64" s="15"/>
      <c r="I64" s="15"/>
    </row>
    <row r="65" spans="1:13" x14ac:dyDescent="0.25">
      <c r="A65" s="15">
        <v>-5</v>
      </c>
      <c r="B65" s="43">
        <v>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1"/>
    </row>
    <row r="101" spans="1:9" x14ac:dyDescent="0.25">
      <c r="A101" s="11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-52.940377327368104</v>
      </c>
    </row>
    <row r="119" spans="1:14" x14ac:dyDescent="0.25">
      <c r="L119" s="11">
        <f>L118+1</f>
        <v>2</v>
      </c>
      <c r="M119" s="11">
        <f t="shared" ref="M119:M124" si="35">INDEX($B$125:$K$126,1,L119)</f>
        <v>0</v>
      </c>
      <c r="N119" s="11">
        <f t="shared" ref="N119:N124" si="36">IF(L119=$B$3,0,INDEX($B$125:$K$126,2,L119))</f>
        <v>-36.907821236349747</v>
      </c>
    </row>
    <row r="120" spans="1:14" x14ac:dyDescent="0.25">
      <c r="L120" s="11">
        <f t="shared" ref="L120:L124" si="37">L119+1</f>
        <v>3</v>
      </c>
      <c r="M120" s="11">
        <f t="shared" si="35"/>
        <v>25</v>
      </c>
      <c r="N120" s="11">
        <f t="shared" si="36"/>
        <v>-28.503893330887131</v>
      </c>
    </row>
    <row r="121" spans="1:14" x14ac:dyDescent="0.25">
      <c r="A121" s="3">
        <f>(A165+A204+A243+A282+A321+A360+A399)*10^9</f>
        <v>2461016657620948.5</v>
      </c>
      <c r="L121" s="11">
        <f t="shared" si="37"/>
        <v>4</v>
      </c>
      <c r="M121" s="11">
        <f t="shared" si="35"/>
        <v>50</v>
      </c>
      <c r="N121" s="11">
        <f t="shared" si="36"/>
        <v>-23.522041583623768</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-16.239010866946504</v>
      </c>
    </row>
    <row r="123" spans="1:14" x14ac:dyDescent="0.25">
      <c r="A123" s="109"/>
      <c r="B123" s="10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14.261356474642833</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-52.940377327368104</v>
      </c>
      <c r="C126" s="3">
        <v>-36.907821236349747</v>
      </c>
      <c r="D126" s="3">
        <v>-28.503893330887131</v>
      </c>
      <c r="E126" s="3">
        <v>-23.522041583623768</v>
      </c>
      <c r="F126" s="3">
        <v>-16.239010866946504</v>
      </c>
      <c r="G126" s="3">
        <v>-2.0950503921464352E-5</v>
      </c>
      <c r="H126" s="3">
        <v>14.261356474642833</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9" t="s">
        <v>22</v>
      </c>
      <c r="B131" s="27">
        <f>($C$17+SUM(B132:B162))*$B$51</f>
        <v>5614.1606999999976</v>
      </c>
      <c r="C131" s="27">
        <f t="shared" ref="C131:AF131" si="40">($C$17+SUM(C132:C162))*$B$51</f>
        <v>5614.1606999999976</v>
      </c>
      <c r="D131" s="27">
        <f t="shared" si="40"/>
        <v>5614.1606999999976</v>
      </c>
      <c r="E131" s="27">
        <f t="shared" si="40"/>
        <v>5614.1606999999967</v>
      </c>
      <c r="F131" s="27">
        <f t="shared" si="40"/>
        <v>5614.1606999999867</v>
      </c>
      <c r="G131" s="27">
        <f t="shared" si="40"/>
        <v>5614.1606999998858</v>
      </c>
      <c r="H131" s="27">
        <f t="shared" si="40"/>
        <v>5614.1606999988799</v>
      </c>
      <c r="I131" s="27">
        <f t="shared" si="40"/>
        <v>5614.1606999888218</v>
      </c>
      <c r="J131" s="27">
        <f t="shared" si="40"/>
        <v>5614.1606998882353</v>
      </c>
      <c r="K131" s="27">
        <f t="shared" si="40"/>
        <v>5614.1606988823805</v>
      </c>
      <c r="L131" s="27">
        <f t="shared" si="40"/>
        <v>5614.1606888238184</v>
      </c>
      <c r="M131" s="27">
        <f t="shared" si="40"/>
        <v>5614.16058823821</v>
      </c>
      <c r="N131" s="27">
        <f t="shared" si="40"/>
        <v>5614.1595823826283</v>
      </c>
      <c r="O131" s="27">
        <f t="shared" si="40"/>
        <v>5614.1495238775587</v>
      </c>
      <c r="P131" s="27">
        <f t="shared" si="40"/>
        <v>5614.0489439015701</v>
      </c>
      <c r="Q131" s="27">
        <f t="shared" si="40"/>
        <v>5613.0436514401199</v>
      </c>
      <c r="R131" s="27">
        <f t="shared" si="40"/>
        <v>5603.0412849063578</v>
      </c>
      <c r="S131" s="27">
        <f t="shared" si="40"/>
        <v>5507.9059558748768</v>
      </c>
      <c r="T131" s="27">
        <f t="shared" si="40"/>
        <v>4913.3469999164126</v>
      </c>
      <c r="U131" s="27">
        <f t="shared" si="40"/>
        <v>4517.7048344285458</v>
      </c>
      <c r="V131" s="27">
        <f t="shared" si="40"/>
        <v>4517.6559585276937</v>
      </c>
      <c r="W131" s="27">
        <f t="shared" si="40"/>
        <v>4517.5777952481776</v>
      </c>
      <c r="X131" s="27">
        <f t="shared" si="40"/>
        <v>4516.7971348283381</v>
      </c>
      <c r="Y131" s="27">
        <f t="shared" si="40"/>
        <v>4509.086930471638</v>
      </c>
      <c r="Z131" s="27">
        <f t="shared" si="40"/>
        <v>4440.8391766156265</v>
      </c>
      <c r="AA131" s="27">
        <f t="shared" si="40"/>
        <v>4190.4001935054066</v>
      </c>
      <c r="AB131" s="27">
        <f t="shared" si="40"/>
        <v>4036.9528788984585</v>
      </c>
      <c r="AC131" s="27">
        <f t="shared" si="40"/>
        <v>3824.6666398348989</v>
      </c>
      <c r="AD131" s="27">
        <f t="shared" si="40"/>
        <v>3618.4875079054987</v>
      </c>
      <c r="AE131" s="27">
        <f t="shared" si="40"/>
        <v>3445.1110996865218</v>
      </c>
      <c r="AF131" s="27">
        <f t="shared" si="40"/>
        <v>3282.0717151165013</v>
      </c>
    </row>
    <row r="132" spans="1:33" x14ac:dyDescent="0.25">
      <c r="B132" s="3">
        <f t="shared" ref="B132:Z133" si="41">$C18*EXP(-B$129/$A18/EXP(-$B$126))</f>
        <v>0.19530898992100296</v>
      </c>
      <c r="C132" s="3">
        <f t="shared" ref="C132:AF132" si="42">$C18*EXP(-C$129/$A18/EXP(-$B$126))</f>
        <v>0.19530898992100296</v>
      </c>
      <c r="D132" s="3">
        <f t="shared" si="42"/>
        <v>0.19530898992100293</v>
      </c>
      <c r="E132" s="3">
        <f t="shared" si="42"/>
        <v>0.19530898992100276</v>
      </c>
      <c r="F132" s="3">
        <f t="shared" si="42"/>
        <v>0.19530898992100096</v>
      </c>
      <c r="G132" s="3">
        <f t="shared" si="42"/>
        <v>0.19530898992098306</v>
      </c>
      <c r="H132" s="3">
        <f t="shared" si="42"/>
        <v>0.19530898992080387</v>
      </c>
      <c r="I132" s="3">
        <f t="shared" si="42"/>
        <v>0.19530898991901224</v>
      </c>
      <c r="J132" s="3">
        <f t="shared" si="42"/>
        <v>0.19530898990109585</v>
      </c>
      <c r="K132" s="3">
        <f t="shared" si="42"/>
        <v>0.19530898972193173</v>
      </c>
      <c r="L132" s="3">
        <f t="shared" si="42"/>
        <v>0.19530898793029072</v>
      </c>
      <c r="M132" s="3">
        <f t="shared" si="42"/>
        <v>0.19530897001388139</v>
      </c>
      <c r="N132" s="3">
        <f t="shared" si="42"/>
        <v>0.19530879084987854</v>
      </c>
      <c r="O132" s="3">
        <f t="shared" si="42"/>
        <v>0.19530699921888947</v>
      </c>
      <c r="P132" s="3">
        <f t="shared" si="42"/>
        <v>0.1952890838129106</v>
      </c>
      <c r="Q132" s="3">
        <f t="shared" si="42"/>
        <v>0.19511002011363393</v>
      </c>
      <c r="R132" s="3">
        <f t="shared" si="42"/>
        <v>0.19332838857750381</v>
      </c>
      <c r="S132" s="3">
        <f t="shared" si="42"/>
        <v>0.17638278863875073</v>
      </c>
      <c r="T132" s="3">
        <f t="shared" si="42"/>
        <v>7.0479358089571356E-2</v>
      </c>
      <c r="U132" s="3">
        <f t="shared" si="42"/>
        <v>7.3133994331674128E-6</v>
      </c>
      <c r="V132" s="3">
        <f t="shared" si="42"/>
        <v>1.0585048001704092E-45</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5.6906652449858444E-2</v>
      </c>
      <c r="C133" s="3">
        <f t="shared" si="41"/>
        <v>5.6906652449858444E-2</v>
      </c>
      <c r="D133" s="3">
        <f t="shared" si="41"/>
        <v>5.6906652449858444E-2</v>
      </c>
      <c r="E133" s="3">
        <f t="shared" si="41"/>
        <v>5.6906652449858444E-2</v>
      </c>
      <c r="F133" s="3">
        <f t="shared" si="41"/>
        <v>5.6906652449858444E-2</v>
      </c>
      <c r="G133" s="3">
        <f t="shared" si="41"/>
        <v>5.6906652449858444E-2</v>
      </c>
      <c r="H133" s="3">
        <f t="shared" si="41"/>
        <v>5.6906652449858444E-2</v>
      </c>
      <c r="I133" s="3">
        <f t="shared" si="41"/>
        <v>5.6906652449858444E-2</v>
      </c>
      <c r="J133" s="3">
        <f t="shared" si="41"/>
        <v>5.6906652449858444E-2</v>
      </c>
      <c r="K133" s="3">
        <f t="shared" si="41"/>
        <v>5.690665244985843E-2</v>
      </c>
      <c r="L133" s="3">
        <f t="shared" si="41"/>
        <v>5.6906652449858292E-2</v>
      </c>
      <c r="M133" s="3">
        <f t="shared" si="41"/>
        <v>5.6906652449856959E-2</v>
      </c>
      <c r="N133" s="3">
        <f t="shared" si="41"/>
        <v>5.6906652449843581E-2</v>
      </c>
      <c r="O133" s="3">
        <f t="shared" si="41"/>
        <v>5.6906652449709869E-2</v>
      </c>
      <c r="P133" s="3">
        <f t="shared" si="41"/>
        <v>5.6906652448372674E-2</v>
      </c>
      <c r="Q133" s="3">
        <f t="shared" si="41"/>
        <v>5.690665243500076E-2</v>
      </c>
      <c r="R133" s="3">
        <f t="shared" si="41"/>
        <v>5.6906652301281578E-2</v>
      </c>
      <c r="S133" s="3">
        <f t="shared" si="41"/>
        <v>5.6906650964089756E-2</v>
      </c>
      <c r="T133" s="3">
        <f t="shared" si="41"/>
        <v>5.6906637592173341E-2</v>
      </c>
      <c r="U133" s="3">
        <f t="shared" si="41"/>
        <v>5.6906503873181968E-2</v>
      </c>
      <c r="V133" s="3">
        <f t="shared" si="41"/>
        <v>5.6905166700549792E-2</v>
      </c>
      <c r="W133" s="3">
        <f t="shared" si="41"/>
        <v>5.6891796702233578E-2</v>
      </c>
      <c r="X133" s="3">
        <f t="shared" si="41"/>
        <v>5.6758269369481897E-2</v>
      </c>
      <c r="Y133" s="3">
        <f t="shared" si="41"/>
        <v>5.5440111915147465E-2</v>
      </c>
      <c r="Z133" s="3">
        <f t="shared" si="41"/>
        <v>4.3830218254370022E-2</v>
      </c>
      <c r="AA133" s="3">
        <f t="shared" ref="AA133:AF133" si="43">$C19*EXP(-AA$129/$A19/EXP(-$B$126))</f>
        <v>4.1808923236622353E-3</v>
      </c>
      <c r="AB133" s="3">
        <f t="shared" si="43"/>
        <v>2.607488953783431E-13</v>
      </c>
      <c r="AC133" s="3">
        <f t="shared" si="43"/>
        <v>2.3214397845888154E-115</v>
      </c>
      <c r="AD133" s="3">
        <f t="shared" si="43"/>
        <v>0</v>
      </c>
      <c r="AE133" s="3">
        <f t="shared" si="43"/>
        <v>0</v>
      </c>
      <c r="AF133" s="3">
        <f t="shared" si="43"/>
        <v>0</v>
      </c>
    </row>
    <row r="134" spans="1:33" x14ac:dyDescent="0.25">
      <c r="B134" s="3">
        <f t="shared" ref="B134:Z134" si="44">$C20*EXP(-B$129/$A20/EXP(-$B$126))</f>
        <v>2.191476034261481E-2</v>
      </c>
      <c r="C134" s="3">
        <f t="shared" si="44"/>
        <v>2.191476034261481E-2</v>
      </c>
      <c r="D134" s="3">
        <f t="shared" si="44"/>
        <v>2.191476034261481E-2</v>
      </c>
      <c r="E134" s="3">
        <f t="shared" si="44"/>
        <v>2.191476034261481E-2</v>
      </c>
      <c r="F134" s="3">
        <f t="shared" si="44"/>
        <v>2.191476034261481E-2</v>
      </c>
      <c r="G134" s="3">
        <f t="shared" si="44"/>
        <v>2.191476034261481E-2</v>
      </c>
      <c r="H134" s="3">
        <f t="shared" si="44"/>
        <v>2.191476034261481E-2</v>
      </c>
      <c r="I134" s="3">
        <f t="shared" si="44"/>
        <v>2.191476034261481E-2</v>
      </c>
      <c r="J134" s="3">
        <f t="shared" si="44"/>
        <v>2.191476034261481E-2</v>
      </c>
      <c r="K134" s="3">
        <f t="shared" si="44"/>
        <v>2.191476034261481E-2</v>
      </c>
      <c r="L134" s="3">
        <f t="shared" si="44"/>
        <v>2.1914760342614806E-2</v>
      </c>
      <c r="M134" s="3">
        <f t="shared" si="44"/>
        <v>2.1914760342614758E-2</v>
      </c>
      <c r="N134" s="3">
        <f t="shared" si="44"/>
        <v>2.1914760342614293E-2</v>
      </c>
      <c r="O134" s="3">
        <f t="shared" si="44"/>
        <v>2.1914760342609651E-2</v>
      </c>
      <c r="P134" s="3">
        <f t="shared" si="44"/>
        <v>2.1914760342563195E-2</v>
      </c>
      <c r="Q134" s="3">
        <f t="shared" si="44"/>
        <v>2.1914760342098664E-2</v>
      </c>
      <c r="R134" s="3">
        <f t="shared" si="44"/>
        <v>2.1914760337453362E-2</v>
      </c>
      <c r="S134" s="3">
        <f t="shared" si="44"/>
        <v>2.1914760291000337E-2</v>
      </c>
      <c r="T134" s="3">
        <f t="shared" si="44"/>
        <v>2.1914759826470103E-2</v>
      </c>
      <c r="U134" s="3">
        <f t="shared" si="44"/>
        <v>2.1914755181168276E-2</v>
      </c>
      <c r="V134" s="3">
        <f t="shared" si="44"/>
        <v>2.1914708728204186E-2</v>
      </c>
      <c r="W134" s="3">
        <f t="shared" si="44"/>
        <v>2.1914244203978937E-2</v>
      </c>
      <c r="X134" s="3">
        <f t="shared" si="44"/>
        <v>2.1909599503248441E-2</v>
      </c>
      <c r="Y134" s="3">
        <f t="shared" si="44"/>
        <v>2.1863206605696319E-2</v>
      </c>
      <c r="Z134" s="3">
        <f t="shared" si="44"/>
        <v>2.140464640704301E-2</v>
      </c>
      <c r="AA134" s="3">
        <f t="shared" ref="AA134" si="45">$C20*EXP(-AA$129/$A20/EXP(-$B$126))</f>
        <v>1.7316098543778656E-2</v>
      </c>
      <c r="AB134" s="3">
        <f t="shared" ref="AB134:AF143" si="46">$C20*EXP(-AB$129/$A20/EXP(-$B$126))</f>
        <v>2.0790740417307376E-3</v>
      </c>
      <c r="AC134" s="3">
        <f t="shared" si="46"/>
        <v>1.2944015671927837E-12</v>
      </c>
      <c r="AD134" s="3">
        <f t="shared" si="46"/>
        <v>1.1325562219602145E-104</v>
      </c>
      <c r="AE134" s="3">
        <f t="shared" si="46"/>
        <v>0</v>
      </c>
      <c r="AF134" s="3">
        <f t="shared" si="46"/>
        <v>0</v>
      </c>
    </row>
    <row r="135" spans="1:33" x14ac:dyDescent="0.25">
      <c r="B135" s="3">
        <f t="shared" ref="B135:Z135" si="47">$C21*EXP(-B$129/$A21/EXP(-$B$126))</f>
        <v>4.2179983982958157E-2</v>
      </c>
      <c r="C135" s="3">
        <f t="shared" si="47"/>
        <v>4.2179983982958157E-2</v>
      </c>
      <c r="D135" s="3">
        <f t="shared" si="47"/>
        <v>4.2179983982958157E-2</v>
      </c>
      <c r="E135" s="3">
        <f t="shared" si="47"/>
        <v>4.2179983982958157E-2</v>
      </c>
      <c r="F135" s="3">
        <f t="shared" si="47"/>
        <v>4.2179983982958157E-2</v>
      </c>
      <c r="G135" s="3">
        <f t="shared" si="47"/>
        <v>4.2179983982958157E-2</v>
      </c>
      <c r="H135" s="3">
        <f t="shared" si="47"/>
        <v>4.2179983982958157E-2</v>
      </c>
      <c r="I135" s="3">
        <f t="shared" si="47"/>
        <v>4.2179983982958157E-2</v>
      </c>
      <c r="J135" s="3">
        <f t="shared" si="47"/>
        <v>4.2179983982958157E-2</v>
      </c>
      <c r="K135" s="3">
        <f t="shared" si="47"/>
        <v>4.2179983982958157E-2</v>
      </c>
      <c r="L135" s="3">
        <f t="shared" si="47"/>
        <v>4.2179983982958157E-2</v>
      </c>
      <c r="M135" s="3">
        <f t="shared" si="47"/>
        <v>4.217998398295815E-2</v>
      </c>
      <c r="N135" s="3">
        <f t="shared" si="47"/>
        <v>4.2179983982958066E-2</v>
      </c>
      <c r="O135" s="3">
        <f t="shared" si="47"/>
        <v>4.2179983982957261E-2</v>
      </c>
      <c r="P135" s="3">
        <f t="shared" si="47"/>
        <v>4.2179983982949192E-2</v>
      </c>
      <c r="Q135" s="3">
        <f t="shared" si="47"/>
        <v>4.2179983982868541E-2</v>
      </c>
      <c r="R135" s="3">
        <f t="shared" si="47"/>
        <v>4.2179983982061992E-2</v>
      </c>
      <c r="S135" s="3">
        <f t="shared" si="47"/>
        <v>4.2179983973996513E-2</v>
      </c>
      <c r="T135" s="3">
        <f t="shared" si="47"/>
        <v>4.2179983893341703E-2</v>
      </c>
      <c r="U135" s="3">
        <f t="shared" si="47"/>
        <v>4.2179983086793618E-2</v>
      </c>
      <c r="V135" s="3">
        <f t="shared" si="47"/>
        <v>4.2179975021313619E-2</v>
      </c>
      <c r="W135" s="3">
        <f t="shared" si="47"/>
        <v>4.2179894366598469E-2</v>
      </c>
      <c r="X135" s="3">
        <f t="shared" si="47"/>
        <v>4.2179087827929257E-2</v>
      </c>
      <c r="Y135" s="3">
        <f t="shared" si="47"/>
        <v>4.217102328940666E-2</v>
      </c>
      <c r="Z135" s="3">
        <f t="shared" si="47"/>
        <v>4.2090462661158692E-2</v>
      </c>
      <c r="AA135" s="3">
        <f t="shared" ref="AA135" si="48">$C21*EXP(-AA$129/$A21/EXP(-$B$126))</f>
        <v>4.1293272416508132E-2</v>
      </c>
      <c r="AB135" s="3">
        <f t="shared" si="46"/>
        <v>3.4106355808297392E-2</v>
      </c>
      <c r="AC135" s="3">
        <f t="shared" si="46"/>
        <v>5.0395933017875977E-3</v>
      </c>
      <c r="AD135" s="3">
        <f t="shared" si="46"/>
        <v>2.5003292756211177E-11</v>
      </c>
      <c r="AE135" s="3">
        <f t="shared" si="46"/>
        <v>2.2595105059820103E-94</v>
      </c>
      <c r="AF135" s="3">
        <f t="shared" si="46"/>
        <v>0</v>
      </c>
    </row>
    <row r="136" spans="1:33" x14ac:dyDescent="0.25">
      <c r="B136" s="3">
        <f t="shared" ref="B136:Z136" si="49">$C22*EXP(-B$129/$A22/EXP(-$B$126))</f>
        <v>3.9494315481295991E-2</v>
      </c>
      <c r="C136" s="3">
        <f t="shared" si="49"/>
        <v>3.9494315481295991E-2</v>
      </c>
      <c r="D136" s="3">
        <f t="shared" si="49"/>
        <v>3.9494315481295991E-2</v>
      </c>
      <c r="E136" s="3">
        <f t="shared" si="49"/>
        <v>3.9494315481295991E-2</v>
      </c>
      <c r="F136" s="3">
        <f t="shared" si="49"/>
        <v>3.9494315481295991E-2</v>
      </c>
      <c r="G136" s="3">
        <f t="shared" si="49"/>
        <v>3.9494315481295991E-2</v>
      </c>
      <c r="H136" s="3">
        <f t="shared" si="49"/>
        <v>3.9494315481295991E-2</v>
      </c>
      <c r="I136" s="3">
        <f t="shared" si="49"/>
        <v>3.9494315481295991E-2</v>
      </c>
      <c r="J136" s="3">
        <f t="shared" si="49"/>
        <v>3.9494315481295991E-2</v>
      </c>
      <c r="K136" s="3">
        <f t="shared" si="49"/>
        <v>3.9494315481295991E-2</v>
      </c>
      <c r="L136" s="3">
        <f t="shared" si="49"/>
        <v>3.9494315481295991E-2</v>
      </c>
      <c r="M136" s="3">
        <f t="shared" si="49"/>
        <v>3.9494315481295991E-2</v>
      </c>
      <c r="N136" s="3">
        <f t="shared" si="49"/>
        <v>3.9494315481295984E-2</v>
      </c>
      <c r="O136" s="3">
        <f t="shared" si="49"/>
        <v>3.9494315481295915E-2</v>
      </c>
      <c r="P136" s="3">
        <f t="shared" si="49"/>
        <v>3.9494315481295235E-2</v>
      </c>
      <c r="Q136" s="3">
        <f t="shared" si="49"/>
        <v>3.9494315481288421E-2</v>
      </c>
      <c r="R136" s="3">
        <f t="shared" si="49"/>
        <v>3.9494315481220295E-2</v>
      </c>
      <c r="S136" s="3">
        <f t="shared" si="49"/>
        <v>3.9494315480539048E-2</v>
      </c>
      <c r="T136" s="3">
        <f t="shared" si="49"/>
        <v>3.9494315473726574E-2</v>
      </c>
      <c r="U136" s="3">
        <f t="shared" si="49"/>
        <v>3.9494315405601804E-2</v>
      </c>
      <c r="V136" s="3">
        <f t="shared" si="49"/>
        <v>3.9494314724354121E-2</v>
      </c>
      <c r="W136" s="3">
        <f t="shared" si="49"/>
        <v>3.9494307911877975E-2</v>
      </c>
      <c r="X136" s="3">
        <f t="shared" si="49"/>
        <v>3.9494239787181099E-2</v>
      </c>
      <c r="Y136" s="3">
        <f t="shared" si="49"/>
        <v>3.949355854667537E-2</v>
      </c>
      <c r="Z136" s="3">
        <f t="shared" si="49"/>
        <v>3.9486746787878238E-2</v>
      </c>
      <c r="AA136" s="3">
        <f t="shared" ref="AA136" si="50">$C22*EXP(-AA$129/$A22/EXP(-$B$126))</f>
        <v>3.9418693784696E-2</v>
      </c>
      <c r="AB136" s="3">
        <f t="shared" si="46"/>
        <v>3.8744581201807286E-2</v>
      </c>
      <c r="AC136" s="3">
        <f t="shared" si="46"/>
        <v>3.2606064983617428E-2</v>
      </c>
      <c r="AD136" s="3">
        <f t="shared" si="46"/>
        <v>5.8099524574538475E-3</v>
      </c>
      <c r="AE136" s="3">
        <f t="shared" si="46"/>
        <v>1.8746252696749833E-10</v>
      </c>
      <c r="AF136" s="3">
        <f t="shared" si="46"/>
        <v>2.2926267245753777E-85</v>
      </c>
    </row>
    <row r="137" spans="1:33" x14ac:dyDescent="0.25">
      <c r="B137" s="3">
        <f t="shared" ref="B137:Z137" si="51">$C23*EXP(-B$129/$A23/EXP(-$B$126))</f>
        <v>3.1232286968780269E-2</v>
      </c>
      <c r="C137" s="3">
        <f t="shared" si="51"/>
        <v>3.1232286968780269E-2</v>
      </c>
      <c r="D137" s="3">
        <f t="shared" si="51"/>
        <v>3.1232286968780269E-2</v>
      </c>
      <c r="E137" s="3">
        <f t="shared" si="51"/>
        <v>3.1232286968780269E-2</v>
      </c>
      <c r="F137" s="3">
        <f t="shared" si="51"/>
        <v>3.1232286968780269E-2</v>
      </c>
      <c r="G137" s="3">
        <f t="shared" si="51"/>
        <v>3.1232286968780269E-2</v>
      </c>
      <c r="H137" s="3">
        <f t="shared" si="51"/>
        <v>3.1232286968780269E-2</v>
      </c>
      <c r="I137" s="3">
        <f t="shared" si="51"/>
        <v>3.1232286968780269E-2</v>
      </c>
      <c r="J137" s="3">
        <f t="shared" si="51"/>
        <v>3.1232286968780269E-2</v>
      </c>
      <c r="K137" s="3">
        <f t="shared" si="51"/>
        <v>3.1232286968780269E-2</v>
      </c>
      <c r="L137" s="3">
        <f t="shared" si="51"/>
        <v>3.1232286968780269E-2</v>
      </c>
      <c r="M137" s="3">
        <f t="shared" si="51"/>
        <v>3.1232286968780269E-2</v>
      </c>
      <c r="N137" s="3">
        <f t="shared" si="51"/>
        <v>3.1232286968780269E-2</v>
      </c>
      <c r="O137" s="3">
        <f t="shared" si="51"/>
        <v>3.1232286968780262E-2</v>
      </c>
      <c r="P137" s="3">
        <f t="shared" si="51"/>
        <v>3.1232286968780214E-2</v>
      </c>
      <c r="Q137" s="3">
        <f t="shared" si="51"/>
        <v>3.1232286968779728E-2</v>
      </c>
      <c r="R137" s="3">
        <f t="shared" si="51"/>
        <v>3.1232286968774871E-2</v>
      </c>
      <c r="S137" s="3">
        <f t="shared" si="51"/>
        <v>3.1232286968726271E-2</v>
      </c>
      <c r="T137" s="3">
        <f t="shared" si="51"/>
        <v>3.1232286968240288E-2</v>
      </c>
      <c r="U137" s="3">
        <f t="shared" si="51"/>
        <v>3.1232286963380464E-2</v>
      </c>
      <c r="V137" s="3">
        <f t="shared" si="51"/>
        <v>3.1232286914782189E-2</v>
      </c>
      <c r="W137" s="3">
        <f t="shared" si="51"/>
        <v>3.1232286428799477E-2</v>
      </c>
      <c r="X137" s="3">
        <f t="shared" si="51"/>
        <v>3.1232281568972741E-2</v>
      </c>
      <c r="Y137" s="3">
        <f t="shared" si="51"/>
        <v>3.1232232970746999E-2</v>
      </c>
      <c r="Z137" s="3">
        <f t="shared" si="51"/>
        <v>3.123174699264868E-2</v>
      </c>
      <c r="AA137" s="3">
        <f t="shared" ref="AA137" si="52">$C23*EXP(-AA$129/$A23/EXP(-$B$126))</f>
        <v>3.122688762755E-2</v>
      </c>
      <c r="AB137" s="3">
        <f t="shared" si="46"/>
        <v>3.1178335541083391E-2</v>
      </c>
      <c r="AC137" s="3">
        <f t="shared" si="46"/>
        <v>3.069694729777454E-2</v>
      </c>
      <c r="AD137" s="3">
        <f t="shared" si="46"/>
        <v>2.6273492589850254E-2</v>
      </c>
      <c r="AE137" s="3">
        <f t="shared" si="46"/>
        <v>5.5429888546906104E-3</v>
      </c>
      <c r="AF137" s="3">
        <f t="shared" si="46"/>
        <v>9.682911801339907E-10</v>
      </c>
    </row>
    <row r="138" spans="1:33" x14ac:dyDescent="0.25">
      <c r="B138" s="3">
        <f t="shared" ref="B138:Z138" si="53">$C24*EXP(-B$129/$A24/EXP(-$B$126))</f>
        <v>3.0546949875680195E-2</v>
      </c>
      <c r="C138" s="3">
        <f t="shared" si="53"/>
        <v>3.0546949875680195E-2</v>
      </c>
      <c r="D138" s="3">
        <f t="shared" si="53"/>
        <v>3.0546949875680195E-2</v>
      </c>
      <c r="E138" s="3">
        <f t="shared" si="53"/>
        <v>3.0546949875680195E-2</v>
      </c>
      <c r="F138" s="3">
        <f t="shared" si="53"/>
        <v>3.0546949875680195E-2</v>
      </c>
      <c r="G138" s="3">
        <f t="shared" si="53"/>
        <v>3.0546949875680195E-2</v>
      </c>
      <c r="H138" s="3">
        <f t="shared" si="53"/>
        <v>3.0546949875680195E-2</v>
      </c>
      <c r="I138" s="3">
        <f t="shared" si="53"/>
        <v>3.0546949875680195E-2</v>
      </c>
      <c r="J138" s="3">
        <f t="shared" si="53"/>
        <v>3.0546949875680195E-2</v>
      </c>
      <c r="K138" s="3">
        <f t="shared" si="53"/>
        <v>3.0546949875680195E-2</v>
      </c>
      <c r="L138" s="3">
        <f t="shared" si="53"/>
        <v>3.0546949875680195E-2</v>
      </c>
      <c r="M138" s="3">
        <f t="shared" si="53"/>
        <v>3.0546949875680195E-2</v>
      </c>
      <c r="N138" s="3">
        <f t="shared" si="53"/>
        <v>3.0546949875680195E-2</v>
      </c>
      <c r="O138" s="3">
        <f t="shared" si="53"/>
        <v>3.0546949875680195E-2</v>
      </c>
      <c r="P138" s="3">
        <f t="shared" si="53"/>
        <v>3.0546949875680192E-2</v>
      </c>
      <c r="Q138" s="3">
        <f t="shared" si="53"/>
        <v>3.0546949875680147E-2</v>
      </c>
      <c r="R138" s="3">
        <f t="shared" si="53"/>
        <v>3.054694987567972E-2</v>
      </c>
      <c r="S138" s="3">
        <f t="shared" si="53"/>
        <v>3.0546949875675432E-2</v>
      </c>
      <c r="T138" s="3">
        <f t="shared" si="53"/>
        <v>3.0546949875632553E-2</v>
      </c>
      <c r="U138" s="3">
        <f t="shared" si="53"/>
        <v>3.0546949875203774E-2</v>
      </c>
      <c r="V138" s="3">
        <f t="shared" si="53"/>
        <v>3.0546949870916006E-2</v>
      </c>
      <c r="W138" s="3">
        <f t="shared" si="53"/>
        <v>3.0546949828038308E-2</v>
      </c>
      <c r="X138" s="3">
        <f t="shared" si="53"/>
        <v>3.0546949399261308E-2</v>
      </c>
      <c r="Y138" s="3">
        <f t="shared" si="53"/>
        <v>3.0546945111491652E-2</v>
      </c>
      <c r="Z138" s="3">
        <f t="shared" si="53"/>
        <v>3.054690223382819E-2</v>
      </c>
      <c r="AA138" s="3">
        <f t="shared" ref="AA138" si="54">$C24*EXP(-AA$129/$A24/EXP(-$B$126))</f>
        <v>3.0546473460503779E-2</v>
      </c>
      <c r="AB138" s="3">
        <f t="shared" si="46"/>
        <v>3.0542186058263299E-2</v>
      </c>
      <c r="AC138" s="3">
        <f t="shared" si="46"/>
        <v>3.0499345119036094E-2</v>
      </c>
      <c r="AD138" s="3">
        <f t="shared" si="46"/>
        <v>3.0074226926889634E-2</v>
      </c>
      <c r="AE138" s="3">
        <f t="shared" si="46"/>
        <v>2.6135695008239385E-2</v>
      </c>
      <c r="AF138" s="3">
        <f t="shared" si="46"/>
        <v>6.4214020782848002E-3</v>
      </c>
    </row>
    <row r="139" spans="1:33" x14ac:dyDescent="0.25">
      <c r="B139" s="3">
        <f t="shared" ref="B139:Z139" si="55">$C25*EXP(-B$129/$A25/EXP(-$B$126))</f>
        <v>2.9181012135706209E-2</v>
      </c>
      <c r="C139" s="3">
        <f t="shared" si="55"/>
        <v>2.9181012135706209E-2</v>
      </c>
      <c r="D139" s="3">
        <f t="shared" si="55"/>
        <v>2.9181012135706209E-2</v>
      </c>
      <c r="E139" s="3">
        <f t="shared" si="55"/>
        <v>2.9181012135706209E-2</v>
      </c>
      <c r="F139" s="3">
        <f t="shared" si="55"/>
        <v>2.9181012135706209E-2</v>
      </c>
      <c r="G139" s="3">
        <f t="shared" si="55"/>
        <v>2.9181012135706209E-2</v>
      </c>
      <c r="H139" s="3">
        <f t="shared" si="55"/>
        <v>2.9181012135706209E-2</v>
      </c>
      <c r="I139" s="3">
        <f t="shared" si="55"/>
        <v>2.9181012135706209E-2</v>
      </c>
      <c r="J139" s="3">
        <f t="shared" si="55"/>
        <v>2.9181012135706209E-2</v>
      </c>
      <c r="K139" s="3">
        <f t="shared" si="55"/>
        <v>2.9181012135706209E-2</v>
      </c>
      <c r="L139" s="3">
        <f t="shared" si="55"/>
        <v>2.9181012135706209E-2</v>
      </c>
      <c r="M139" s="3">
        <f t="shared" si="55"/>
        <v>2.9181012135706209E-2</v>
      </c>
      <c r="N139" s="3">
        <f t="shared" si="55"/>
        <v>2.9181012135706209E-2</v>
      </c>
      <c r="O139" s="3">
        <f t="shared" si="55"/>
        <v>2.9181012135706209E-2</v>
      </c>
      <c r="P139" s="3">
        <f t="shared" si="55"/>
        <v>2.9181012135706209E-2</v>
      </c>
      <c r="Q139" s="3">
        <f t="shared" si="55"/>
        <v>2.9181012135706206E-2</v>
      </c>
      <c r="R139" s="3">
        <f t="shared" si="55"/>
        <v>2.9181012135706168E-2</v>
      </c>
      <c r="S139" s="3">
        <f t="shared" si="55"/>
        <v>2.9181012135705797E-2</v>
      </c>
      <c r="T139" s="3">
        <f t="shared" si="55"/>
        <v>2.9181012135702105E-2</v>
      </c>
      <c r="U139" s="3">
        <f t="shared" si="55"/>
        <v>2.9181012135665155E-2</v>
      </c>
      <c r="V139" s="3">
        <f t="shared" si="55"/>
        <v>2.9181012135295656E-2</v>
      </c>
      <c r="W139" s="3">
        <f t="shared" si="55"/>
        <v>2.9181012131600691E-2</v>
      </c>
      <c r="X139" s="3">
        <f t="shared" si="55"/>
        <v>2.9181012094651022E-2</v>
      </c>
      <c r="Y139" s="3">
        <f t="shared" si="55"/>
        <v>2.9181011725154311E-2</v>
      </c>
      <c r="Z139" s="3">
        <f t="shared" si="55"/>
        <v>2.9181008030187517E-2</v>
      </c>
      <c r="AA139" s="3">
        <f t="shared" ref="AA139" si="56">$C25*EXP(-AA$129/$A25/EXP(-$B$126))</f>
        <v>2.9180971080545289E-2</v>
      </c>
      <c r="AB139" s="3">
        <f t="shared" si="46"/>
        <v>2.9180601586696268E-2</v>
      </c>
      <c r="AC139" s="3">
        <f t="shared" si="46"/>
        <v>2.9176906905518527E-2</v>
      </c>
      <c r="AD139" s="3">
        <f t="shared" si="46"/>
        <v>2.9139985812939674E-2</v>
      </c>
      <c r="AE139" s="3">
        <f t="shared" si="46"/>
        <v>2.8773334798201305E-2</v>
      </c>
      <c r="AF139" s="3">
        <f t="shared" si="46"/>
        <v>2.5351217995253743E-2</v>
      </c>
    </row>
    <row r="140" spans="1:33" x14ac:dyDescent="0.25">
      <c r="B140" s="3">
        <f t="shared" ref="B140:Z140" si="57">$C26*EXP(-B$129/$A26/EXP(-$B$126))</f>
        <v>2.8956161504827882E-2</v>
      </c>
      <c r="C140" s="3">
        <f t="shared" si="57"/>
        <v>2.8956161504827882E-2</v>
      </c>
      <c r="D140" s="3">
        <f t="shared" si="57"/>
        <v>2.8956161504827882E-2</v>
      </c>
      <c r="E140" s="3">
        <f t="shared" si="57"/>
        <v>2.8956161504827882E-2</v>
      </c>
      <c r="F140" s="3">
        <f t="shared" si="57"/>
        <v>2.8956161504827882E-2</v>
      </c>
      <c r="G140" s="3">
        <f t="shared" si="57"/>
        <v>2.8956161504827882E-2</v>
      </c>
      <c r="H140" s="3">
        <f t="shared" si="57"/>
        <v>2.8956161504827882E-2</v>
      </c>
      <c r="I140" s="3">
        <f t="shared" si="57"/>
        <v>2.8956161504827882E-2</v>
      </c>
      <c r="J140" s="3">
        <f t="shared" si="57"/>
        <v>2.8956161504827882E-2</v>
      </c>
      <c r="K140" s="3">
        <f t="shared" si="57"/>
        <v>2.8956161504827882E-2</v>
      </c>
      <c r="L140" s="3">
        <f t="shared" si="57"/>
        <v>2.8956161504827882E-2</v>
      </c>
      <c r="M140" s="3">
        <f t="shared" si="57"/>
        <v>2.8956161504827882E-2</v>
      </c>
      <c r="N140" s="3">
        <f t="shared" si="57"/>
        <v>2.8956161504827882E-2</v>
      </c>
      <c r="O140" s="3">
        <f t="shared" si="57"/>
        <v>2.8956161504827882E-2</v>
      </c>
      <c r="P140" s="3">
        <f t="shared" si="57"/>
        <v>2.8956161504827882E-2</v>
      </c>
      <c r="Q140" s="3">
        <f t="shared" si="57"/>
        <v>2.8956161504827882E-2</v>
      </c>
      <c r="R140" s="3">
        <f t="shared" si="57"/>
        <v>2.8956161504827879E-2</v>
      </c>
      <c r="S140" s="3">
        <f t="shared" si="57"/>
        <v>2.8956161504827847E-2</v>
      </c>
      <c r="T140" s="3">
        <f t="shared" si="57"/>
        <v>2.8956161504827514E-2</v>
      </c>
      <c r="U140" s="3">
        <f t="shared" si="57"/>
        <v>2.8956161504824208E-2</v>
      </c>
      <c r="V140" s="3">
        <f t="shared" si="57"/>
        <v>2.895616150479113E-2</v>
      </c>
      <c r="W140" s="3">
        <f t="shared" si="57"/>
        <v>2.8956161504460384E-2</v>
      </c>
      <c r="X140" s="3">
        <f t="shared" si="57"/>
        <v>2.8956161501152902E-2</v>
      </c>
      <c r="Y140" s="3">
        <f t="shared" si="57"/>
        <v>2.8956161468078057E-2</v>
      </c>
      <c r="Z140" s="3">
        <f t="shared" si="57"/>
        <v>2.8956161137329618E-2</v>
      </c>
      <c r="AA140" s="3">
        <f t="shared" ref="AA140" si="58">$C26*EXP(-AA$129/$A26/EXP(-$B$126))</f>
        <v>2.8956157829845456E-2</v>
      </c>
      <c r="AB140" s="3">
        <f t="shared" si="46"/>
        <v>2.8956124755024609E-2</v>
      </c>
      <c r="AC140" s="3">
        <f t="shared" si="46"/>
        <v>2.8955794008893972E-2</v>
      </c>
      <c r="AD140" s="3">
        <f t="shared" si="46"/>
        <v>2.8952486755364361E-2</v>
      </c>
      <c r="AE140" s="3">
        <f t="shared" si="46"/>
        <v>2.8919434988962975E-2</v>
      </c>
      <c r="AF140" s="3">
        <f t="shared" si="46"/>
        <v>2.8590985463654087E-2</v>
      </c>
    </row>
    <row r="141" spans="1:33" x14ac:dyDescent="0.25">
      <c r="B141" s="3">
        <f t="shared" ref="B141:Z141" si="59">$C27*EXP(-B$129/$A27/EXP(-$B$126))</f>
        <v>2.8549428510413092E-2</v>
      </c>
      <c r="C141" s="3">
        <f t="shared" si="59"/>
        <v>2.8549428510413092E-2</v>
      </c>
      <c r="D141" s="3">
        <f t="shared" si="59"/>
        <v>2.8549428510413092E-2</v>
      </c>
      <c r="E141" s="3">
        <f t="shared" si="59"/>
        <v>2.8549428510413092E-2</v>
      </c>
      <c r="F141" s="3">
        <f t="shared" si="59"/>
        <v>2.8549428510413092E-2</v>
      </c>
      <c r="G141" s="3">
        <f t="shared" si="59"/>
        <v>2.8549428510413092E-2</v>
      </c>
      <c r="H141" s="3">
        <f t="shared" si="59"/>
        <v>2.8549428510413092E-2</v>
      </c>
      <c r="I141" s="3">
        <f t="shared" si="59"/>
        <v>2.8549428510413092E-2</v>
      </c>
      <c r="J141" s="3">
        <f t="shared" si="59"/>
        <v>2.8549428510413092E-2</v>
      </c>
      <c r="K141" s="3">
        <f t="shared" si="59"/>
        <v>2.8549428510413092E-2</v>
      </c>
      <c r="L141" s="3">
        <f t="shared" si="59"/>
        <v>2.8549428510413092E-2</v>
      </c>
      <c r="M141" s="3">
        <f t="shared" si="59"/>
        <v>2.8549428510413092E-2</v>
      </c>
      <c r="N141" s="3">
        <f t="shared" si="59"/>
        <v>2.8549428510413092E-2</v>
      </c>
      <c r="O141" s="3">
        <f t="shared" si="59"/>
        <v>2.8549428510413092E-2</v>
      </c>
      <c r="P141" s="3">
        <f t="shared" si="59"/>
        <v>2.8549428510413092E-2</v>
      </c>
      <c r="Q141" s="3">
        <f t="shared" si="59"/>
        <v>2.8549428510413092E-2</v>
      </c>
      <c r="R141" s="3">
        <f t="shared" si="59"/>
        <v>2.8549428510413092E-2</v>
      </c>
      <c r="S141" s="3">
        <f t="shared" si="59"/>
        <v>2.8549428510413088E-2</v>
      </c>
      <c r="T141" s="3">
        <f t="shared" si="59"/>
        <v>2.8549428510413061E-2</v>
      </c>
      <c r="U141" s="3">
        <f t="shared" si="59"/>
        <v>2.8549428510412766E-2</v>
      </c>
      <c r="V141" s="3">
        <f t="shared" si="59"/>
        <v>2.8549428510409824E-2</v>
      </c>
      <c r="W141" s="3">
        <f t="shared" si="59"/>
        <v>2.8549428510380406E-2</v>
      </c>
      <c r="X141" s="3">
        <f t="shared" si="59"/>
        <v>2.8549428510086235E-2</v>
      </c>
      <c r="Y141" s="3">
        <f t="shared" si="59"/>
        <v>2.8549428507144519E-2</v>
      </c>
      <c r="Z141" s="3">
        <f t="shared" si="59"/>
        <v>2.8549428477727352E-2</v>
      </c>
      <c r="AA141" s="3">
        <f t="shared" ref="AA141" si="60">$C27*EXP(-AA$129/$A27/EXP(-$B$126))</f>
        <v>2.85494281835557E-2</v>
      </c>
      <c r="AB141" s="3">
        <f t="shared" si="46"/>
        <v>2.854942524183934E-2</v>
      </c>
      <c r="AC141" s="3">
        <f t="shared" si="46"/>
        <v>2.8549395824692386E-2</v>
      </c>
      <c r="AD141" s="3">
        <f t="shared" si="46"/>
        <v>2.8549101654889983E-2</v>
      </c>
      <c r="AE141" s="3">
        <f t="shared" si="46"/>
        <v>2.8546160123570908E-2</v>
      </c>
      <c r="AF141" s="3">
        <f t="shared" si="46"/>
        <v>2.8516761474522312E-2</v>
      </c>
    </row>
    <row r="142" spans="1:33" x14ac:dyDescent="0.25">
      <c r="B142" s="3">
        <f t="shared" ref="B142:Z142" si="61">$C28*EXP(-B$129/$A28/EXP(-$B$126))</f>
        <v>3.3916990026039671E-2</v>
      </c>
      <c r="C142" s="3">
        <f t="shared" si="61"/>
        <v>3.3916990026039671E-2</v>
      </c>
      <c r="D142" s="3">
        <f t="shared" si="61"/>
        <v>3.3916990026039671E-2</v>
      </c>
      <c r="E142" s="3">
        <f t="shared" si="61"/>
        <v>3.3916990026039671E-2</v>
      </c>
      <c r="F142" s="3">
        <f t="shared" si="61"/>
        <v>3.3916990026039671E-2</v>
      </c>
      <c r="G142" s="3">
        <f t="shared" si="61"/>
        <v>3.3916990026039671E-2</v>
      </c>
      <c r="H142" s="3">
        <f t="shared" si="61"/>
        <v>3.3916990026039671E-2</v>
      </c>
      <c r="I142" s="3">
        <f t="shared" si="61"/>
        <v>3.3916990026039671E-2</v>
      </c>
      <c r="J142" s="3">
        <f t="shared" si="61"/>
        <v>3.3916990026039671E-2</v>
      </c>
      <c r="K142" s="3">
        <f t="shared" si="61"/>
        <v>3.3916990026039671E-2</v>
      </c>
      <c r="L142" s="3">
        <f t="shared" si="61"/>
        <v>3.3916990026039671E-2</v>
      </c>
      <c r="M142" s="3">
        <f t="shared" si="61"/>
        <v>3.3916990026039671E-2</v>
      </c>
      <c r="N142" s="3">
        <f t="shared" si="61"/>
        <v>3.3916990026039671E-2</v>
      </c>
      <c r="O142" s="3">
        <f t="shared" si="61"/>
        <v>3.3916990026039671E-2</v>
      </c>
      <c r="P142" s="3">
        <f t="shared" si="61"/>
        <v>3.3916990026039671E-2</v>
      </c>
      <c r="Q142" s="3">
        <f t="shared" si="61"/>
        <v>3.3916990026039671E-2</v>
      </c>
      <c r="R142" s="3">
        <f t="shared" si="61"/>
        <v>3.3916990026039671E-2</v>
      </c>
      <c r="S142" s="3">
        <f t="shared" si="61"/>
        <v>3.3916990026039671E-2</v>
      </c>
      <c r="T142" s="3">
        <f t="shared" si="61"/>
        <v>3.3916990026039665E-2</v>
      </c>
      <c r="U142" s="3">
        <f t="shared" si="61"/>
        <v>3.3916990026039637E-2</v>
      </c>
      <c r="V142" s="3">
        <f t="shared" si="61"/>
        <v>3.3916990026039325E-2</v>
      </c>
      <c r="W142" s="3">
        <f t="shared" si="61"/>
        <v>3.3916990026036167E-2</v>
      </c>
      <c r="X142" s="3">
        <f t="shared" si="61"/>
        <v>3.3916990026004644E-2</v>
      </c>
      <c r="Y142" s="3">
        <f t="shared" si="61"/>
        <v>3.3916990025689382E-2</v>
      </c>
      <c r="Z142" s="3">
        <f t="shared" si="61"/>
        <v>3.3916990022536793E-2</v>
      </c>
      <c r="AA142" s="3">
        <f t="shared" ref="AA142" si="62">$C28*EXP(-AA$129/$A28/EXP(-$B$126))</f>
        <v>3.3916989991010907E-2</v>
      </c>
      <c r="AB142" s="3">
        <f t="shared" si="46"/>
        <v>3.3916989675752053E-2</v>
      </c>
      <c r="AC142" s="3">
        <f t="shared" si="46"/>
        <v>3.3916986523163641E-2</v>
      </c>
      <c r="AD142" s="3">
        <f t="shared" si="46"/>
        <v>3.3916954997295683E-2</v>
      </c>
      <c r="AE142" s="3">
        <f t="shared" si="46"/>
        <v>3.3916639740227787E-2</v>
      </c>
      <c r="AF142" s="3">
        <f t="shared" si="46"/>
        <v>3.3913487330711048E-2</v>
      </c>
    </row>
    <row r="143" spans="1:33" x14ac:dyDescent="0.25">
      <c r="B143" s="3">
        <f t="shared" ref="B143:Z143" si="63">$C29*EXP(-B$129/$A29/EXP(-$B$126))</f>
        <v>3.6686036889388041E-2</v>
      </c>
      <c r="C143" s="3">
        <f t="shared" si="63"/>
        <v>3.6686036889388041E-2</v>
      </c>
      <c r="D143" s="3">
        <f t="shared" si="63"/>
        <v>3.6686036889388041E-2</v>
      </c>
      <c r="E143" s="3">
        <f t="shared" si="63"/>
        <v>3.6686036889388041E-2</v>
      </c>
      <c r="F143" s="3">
        <f t="shared" si="63"/>
        <v>3.6686036889388041E-2</v>
      </c>
      <c r="G143" s="3">
        <f t="shared" si="63"/>
        <v>3.6686036889388041E-2</v>
      </c>
      <c r="H143" s="3">
        <f t="shared" si="63"/>
        <v>3.6686036889388041E-2</v>
      </c>
      <c r="I143" s="3">
        <f t="shared" si="63"/>
        <v>3.6686036889388041E-2</v>
      </c>
      <c r="J143" s="3">
        <f t="shared" si="63"/>
        <v>3.6686036889388041E-2</v>
      </c>
      <c r="K143" s="3">
        <f t="shared" si="63"/>
        <v>3.6686036889388041E-2</v>
      </c>
      <c r="L143" s="3">
        <f t="shared" si="63"/>
        <v>3.6686036889388041E-2</v>
      </c>
      <c r="M143" s="3">
        <f t="shared" si="63"/>
        <v>3.6686036889388041E-2</v>
      </c>
      <c r="N143" s="3">
        <f t="shared" si="63"/>
        <v>3.6686036889388041E-2</v>
      </c>
      <c r="O143" s="3">
        <f t="shared" si="63"/>
        <v>3.6686036889388041E-2</v>
      </c>
      <c r="P143" s="3">
        <f t="shared" si="63"/>
        <v>3.6686036889388041E-2</v>
      </c>
      <c r="Q143" s="3">
        <f t="shared" si="63"/>
        <v>3.6686036889388041E-2</v>
      </c>
      <c r="R143" s="3">
        <f t="shared" si="63"/>
        <v>3.6686036889388041E-2</v>
      </c>
      <c r="S143" s="3">
        <f t="shared" si="63"/>
        <v>3.6686036889388041E-2</v>
      </c>
      <c r="T143" s="3">
        <f t="shared" si="63"/>
        <v>3.6686036889388041E-2</v>
      </c>
      <c r="U143" s="3">
        <f t="shared" si="63"/>
        <v>3.6686036889388034E-2</v>
      </c>
      <c r="V143" s="3">
        <f t="shared" si="63"/>
        <v>3.6686036889388006E-2</v>
      </c>
      <c r="W143" s="3">
        <f t="shared" si="63"/>
        <v>3.6686036889387701E-2</v>
      </c>
      <c r="X143" s="3">
        <f t="shared" si="63"/>
        <v>3.6686036889384627E-2</v>
      </c>
      <c r="Y143" s="3">
        <f t="shared" si="63"/>
        <v>3.668603688935386E-2</v>
      </c>
      <c r="Z143" s="3">
        <f t="shared" si="63"/>
        <v>3.6686036889046252E-2</v>
      </c>
      <c r="AA143" s="3">
        <f t="shared" ref="AA143" si="64">$C29*EXP(-AA$129/$A29/EXP(-$B$126))</f>
        <v>3.6686036885970177E-2</v>
      </c>
      <c r="AB143" s="3">
        <f t="shared" si="46"/>
        <v>3.6686036855209395E-2</v>
      </c>
      <c r="AC143" s="3">
        <f t="shared" si="46"/>
        <v>3.6686036547601567E-2</v>
      </c>
      <c r="AD143" s="3">
        <f t="shared" si="46"/>
        <v>3.6686033471523431E-2</v>
      </c>
      <c r="AE143" s="3">
        <f t="shared" si="46"/>
        <v>3.6686002710756296E-2</v>
      </c>
      <c r="AF143" s="3">
        <f t="shared" si="46"/>
        <v>3.6685695104503507E-2</v>
      </c>
    </row>
    <row r="144" spans="1:33" x14ac:dyDescent="0.25">
      <c r="B144" s="3">
        <f t="shared" ref="B144:Z144" si="65">$C30*EXP(-B$129/$A30/EXP(-$B$126))</f>
        <v>4.0919511658412108E-2</v>
      </c>
      <c r="C144" s="3">
        <f t="shared" si="65"/>
        <v>4.0919511658412108E-2</v>
      </c>
      <c r="D144" s="3">
        <f t="shared" si="65"/>
        <v>4.0919511658412108E-2</v>
      </c>
      <c r="E144" s="3">
        <f t="shared" si="65"/>
        <v>4.0919511658412108E-2</v>
      </c>
      <c r="F144" s="3">
        <f t="shared" si="65"/>
        <v>4.0919511658412108E-2</v>
      </c>
      <c r="G144" s="3">
        <f t="shared" si="65"/>
        <v>4.0919511658412108E-2</v>
      </c>
      <c r="H144" s="3">
        <f t="shared" si="65"/>
        <v>4.0919511658412108E-2</v>
      </c>
      <c r="I144" s="3">
        <f t="shared" si="65"/>
        <v>4.0919511658412108E-2</v>
      </c>
      <c r="J144" s="3">
        <f t="shared" si="65"/>
        <v>4.0919511658412108E-2</v>
      </c>
      <c r="K144" s="3">
        <f t="shared" si="65"/>
        <v>4.0919511658412108E-2</v>
      </c>
      <c r="L144" s="3">
        <f t="shared" si="65"/>
        <v>4.0919511658412108E-2</v>
      </c>
      <c r="M144" s="3">
        <f t="shared" si="65"/>
        <v>4.0919511658412108E-2</v>
      </c>
      <c r="N144" s="3">
        <f t="shared" si="65"/>
        <v>4.0919511658412108E-2</v>
      </c>
      <c r="O144" s="3">
        <f t="shared" si="65"/>
        <v>4.0919511658412108E-2</v>
      </c>
      <c r="P144" s="3">
        <f t="shared" si="65"/>
        <v>4.0919511658412108E-2</v>
      </c>
      <c r="Q144" s="3">
        <f t="shared" si="65"/>
        <v>4.0919511658412108E-2</v>
      </c>
      <c r="R144" s="3">
        <f t="shared" si="65"/>
        <v>4.0919511658412108E-2</v>
      </c>
      <c r="S144" s="3">
        <f t="shared" si="65"/>
        <v>4.0919511658412108E-2</v>
      </c>
      <c r="T144" s="3">
        <f t="shared" si="65"/>
        <v>4.0919511658412108E-2</v>
      </c>
      <c r="U144" s="3">
        <f t="shared" si="65"/>
        <v>4.0919511658412108E-2</v>
      </c>
      <c r="V144" s="3">
        <f t="shared" si="65"/>
        <v>4.0919511658412101E-2</v>
      </c>
      <c r="W144" s="3">
        <f t="shared" si="65"/>
        <v>4.0919511658412074E-2</v>
      </c>
      <c r="X144" s="3">
        <f t="shared" si="65"/>
        <v>4.0919511658411761E-2</v>
      </c>
      <c r="Y144" s="3">
        <f t="shared" si="65"/>
        <v>4.0919511658408667E-2</v>
      </c>
      <c r="Z144" s="3">
        <f t="shared" si="65"/>
        <v>4.0919511658377719E-2</v>
      </c>
      <c r="AA144" s="3">
        <f t="shared" ref="AA144" si="66">$C30*EXP(-AA$129/$A30/EXP(-$B$126))</f>
        <v>4.091951165806821E-2</v>
      </c>
      <c r="AB144" s="3">
        <f t="shared" ref="AB144:AF153" si="67">$C30*EXP(-AB$129/$A30/EXP(-$B$126))</f>
        <v>4.0919511654973116E-2</v>
      </c>
      <c r="AC144" s="3">
        <f t="shared" si="67"/>
        <v>4.0919511624022194E-2</v>
      </c>
      <c r="AD144" s="3">
        <f t="shared" si="67"/>
        <v>4.0919511314512956E-2</v>
      </c>
      <c r="AE144" s="3">
        <f t="shared" si="67"/>
        <v>4.0919508219420697E-2</v>
      </c>
      <c r="AF144" s="3">
        <f t="shared" si="67"/>
        <v>4.091947726851098E-2</v>
      </c>
    </row>
    <row r="145" spans="1:32" x14ac:dyDescent="0.25">
      <c r="B145" s="3">
        <f t="shared" ref="B145:Z145" si="68">$C31*EXP(-B$129/$A31/EXP(-$B$126))</f>
        <v>4.7755707575506505E-2</v>
      </c>
      <c r="C145" s="3">
        <f t="shared" si="68"/>
        <v>4.7755707575506505E-2</v>
      </c>
      <c r="D145" s="3">
        <f t="shared" si="68"/>
        <v>4.7755707575506505E-2</v>
      </c>
      <c r="E145" s="3">
        <f t="shared" si="68"/>
        <v>4.7755707575506505E-2</v>
      </c>
      <c r="F145" s="3">
        <f t="shared" si="68"/>
        <v>4.7755707575506505E-2</v>
      </c>
      <c r="G145" s="3">
        <f t="shared" si="68"/>
        <v>4.7755707575506505E-2</v>
      </c>
      <c r="H145" s="3">
        <f t="shared" si="68"/>
        <v>4.7755707575506505E-2</v>
      </c>
      <c r="I145" s="3">
        <f t="shared" si="68"/>
        <v>4.7755707575506505E-2</v>
      </c>
      <c r="J145" s="3">
        <f t="shared" si="68"/>
        <v>4.7755707575506505E-2</v>
      </c>
      <c r="K145" s="3">
        <f t="shared" si="68"/>
        <v>4.7755707575506505E-2</v>
      </c>
      <c r="L145" s="3">
        <f t="shared" si="68"/>
        <v>4.7755707575506505E-2</v>
      </c>
      <c r="M145" s="3">
        <f t="shared" si="68"/>
        <v>4.7755707575506505E-2</v>
      </c>
      <c r="N145" s="3">
        <f t="shared" si="68"/>
        <v>4.7755707575506505E-2</v>
      </c>
      <c r="O145" s="3">
        <f t="shared" si="68"/>
        <v>4.7755707575506505E-2</v>
      </c>
      <c r="P145" s="3">
        <f t="shared" si="68"/>
        <v>4.7755707575506505E-2</v>
      </c>
      <c r="Q145" s="3">
        <f t="shared" si="68"/>
        <v>4.7755707575506505E-2</v>
      </c>
      <c r="R145" s="3">
        <f t="shared" si="68"/>
        <v>4.7755707575506505E-2</v>
      </c>
      <c r="S145" s="3">
        <f t="shared" si="68"/>
        <v>4.7755707575506505E-2</v>
      </c>
      <c r="T145" s="3">
        <f t="shared" si="68"/>
        <v>4.7755707575506505E-2</v>
      </c>
      <c r="U145" s="3">
        <f t="shared" si="68"/>
        <v>4.7755707575506505E-2</v>
      </c>
      <c r="V145" s="3">
        <f t="shared" si="68"/>
        <v>4.7755707575506505E-2</v>
      </c>
      <c r="W145" s="3">
        <f t="shared" si="68"/>
        <v>4.7755707575506498E-2</v>
      </c>
      <c r="X145" s="3">
        <f t="shared" si="68"/>
        <v>4.775570757550647E-2</v>
      </c>
      <c r="Y145" s="3">
        <f t="shared" si="68"/>
        <v>4.7755707575506144E-2</v>
      </c>
      <c r="Z145" s="3">
        <f t="shared" si="68"/>
        <v>4.7755707575502883E-2</v>
      </c>
      <c r="AA145" s="3">
        <f t="shared" ref="AA145" si="69">$C31*EXP(-AA$129/$A31/EXP(-$B$126))</f>
        <v>4.7755707575470298E-2</v>
      </c>
      <c r="AB145" s="3">
        <f t="shared" si="67"/>
        <v>4.7755707575144447E-2</v>
      </c>
      <c r="AC145" s="3">
        <f t="shared" si="67"/>
        <v>4.7755707571885971E-2</v>
      </c>
      <c r="AD145" s="3">
        <f t="shared" si="67"/>
        <v>4.7755707539301175E-2</v>
      </c>
      <c r="AE145" s="3">
        <f t="shared" si="67"/>
        <v>4.775570721345318E-2</v>
      </c>
      <c r="AF145" s="3">
        <f t="shared" si="67"/>
        <v>4.7755703954973375E-2</v>
      </c>
    </row>
    <row r="146" spans="1:32" x14ac:dyDescent="0.25">
      <c r="B146" s="3">
        <f t="shared" ref="B146:Z146" si="70">$C32*EXP(-B$129/$A32/EXP(-$B$126))</f>
        <v>5.7469214785363418E-2</v>
      </c>
      <c r="C146" s="3">
        <f t="shared" si="70"/>
        <v>5.7469214785363418E-2</v>
      </c>
      <c r="D146" s="3">
        <f t="shared" si="70"/>
        <v>5.7469214785363418E-2</v>
      </c>
      <c r="E146" s="3">
        <f t="shared" si="70"/>
        <v>5.7469214785363418E-2</v>
      </c>
      <c r="F146" s="3">
        <f t="shared" si="70"/>
        <v>5.7469214785363418E-2</v>
      </c>
      <c r="G146" s="3">
        <f t="shared" si="70"/>
        <v>5.7469214785363418E-2</v>
      </c>
      <c r="H146" s="3">
        <f t="shared" si="70"/>
        <v>5.7469214785363418E-2</v>
      </c>
      <c r="I146" s="3">
        <f t="shared" si="70"/>
        <v>5.7469214785363418E-2</v>
      </c>
      <c r="J146" s="3">
        <f t="shared" si="70"/>
        <v>5.7469214785363418E-2</v>
      </c>
      <c r="K146" s="3">
        <f t="shared" si="70"/>
        <v>5.7469214785363418E-2</v>
      </c>
      <c r="L146" s="3">
        <f t="shared" si="70"/>
        <v>5.7469214785363418E-2</v>
      </c>
      <c r="M146" s="3">
        <f t="shared" si="70"/>
        <v>5.7469214785363418E-2</v>
      </c>
      <c r="N146" s="3">
        <f t="shared" si="70"/>
        <v>5.7469214785363418E-2</v>
      </c>
      <c r="O146" s="3">
        <f t="shared" si="70"/>
        <v>5.7469214785363418E-2</v>
      </c>
      <c r="P146" s="3">
        <f t="shared" si="70"/>
        <v>5.7469214785363418E-2</v>
      </c>
      <c r="Q146" s="3">
        <f t="shared" si="70"/>
        <v>5.7469214785363418E-2</v>
      </c>
      <c r="R146" s="3">
        <f t="shared" si="70"/>
        <v>5.7469214785363418E-2</v>
      </c>
      <c r="S146" s="3">
        <f t="shared" si="70"/>
        <v>5.7469214785363418E-2</v>
      </c>
      <c r="T146" s="3">
        <f t="shared" si="70"/>
        <v>5.7469214785363418E-2</v>
      </c>
      <c r="U146" s="3">
        <f t="shared" si="70"/>
        <v>5.7469214785363418E-2</v>
      </c>
      <c r="V146" s="3">
        <f t="shared" si="70"/>
        <v>5.7469214785363418E-2</v>
      </c>
      <c r="W146" s="3">
        <f t="shared" si="70"/>
        <v>5.7469214785363418E-2</v>
      </c>
      <c r="X146" s="3">
        <f t="shared" si="70"/>
        <v>5.7469214785363411E-2</v>
      </c>
      <c r="Y146" s="3">
        <f t="shared" si="70"/>
        <v>5.7469214785363376E-2</v>
      </c>
      <c r="Z146" s="3">
        <f t="shared" si="70"/>
        <v>5.7469214785363022E-2</v>
      </c>
      <c r="AA146" s="3">
        <f t="shared" ref="AA146" si="71">$C32*EXP(-AA$129/$A32/EXP(-$B$126))</f>
        <v>5.746921478535949E-2</v>
      </c>
      <c r="AB146" s="3">
        <f t="shared" si="67"/>
        <v>5.7469214785324116E-2</v>
      </c>
      <c r="AC146" s="3">
        <f t="shared" si="67"/>
        <v>5.7469214784970385E-2</v>
      </c>
      <c r="AD146" s="3">
        <f t="shared" si="67"/>
        <v>5.7469214781433089E-2</v>
      </c>
      <c r="AE146" s="3">
        <f t="shared" si="67"/>
        <v>5.7469214746060107E-2</v>
      </c>
      <c r="AF146" s="3">
        <f t="shared" si="67"/>
        <v>5.7469214392330333E-2</v>
      </c>
    </row>
    <row r="147" spans="1:32" x14ac:dyDescent="0.25">
      <c r="B147" s="3">
        <f t="shared" ref="B147:Z147" si="72">$C33*EXP(-B$129/$A33/EXP(-$B$126))</f>
        <v>6.4260885650205518E-2</v>
      </c>
      <c r="C147" s="3">
        <f t="shared" si="72"/>
        <v>6.4260885650205518E-2</v>
      </c>
      <c r="D147" s="3">
        <f t="shared" si="72"/>
        <v>6.4260885650205518E-2</v>
      </c>
      <c r="E147" s="3">
        <f t="shared" si="72"/>
        <v>6.4260885650205518E-2</v>
      </c>
      <c r="F147" s="3">
        <f t="shared" si="72"/>
        <v>6.4260885650205518E-2</v>
      </c>
      <c r="G147" s="3">
        <f t="shared" si="72"/>
        <v>6.4260885650205518E-2</v>
      </c>
      <c r="H147" s="3">
        <f t="shared" si="72"/>
        <v>6.4260885650205518E-2</v>
      </c>
      <c r="I147" s="3">
        <f t="shared" si="72"/>
        <v>6.4260885650205518E-2</v>
      </c>
      <c r="J147" s="3">
        <f t="shared" si="72"/>
        <v>6.4260885650205518E-2</v>
      </c>
      <c r="K147" s="3">
        <f t="shared" si="72"/>
        <v>6.4260885650205518E-2</v>
      </c>
      <c r="L147" s="3">
        <f t="shared" si="72"/>
        <v>6.4260885650205518E-2</v>
      </c>
      <c r="M147" s="3">
        <f t="shared" si="72"/>
        <v>6.4260885650205518E-2</v>
      </c>
      <c r="N147" s="3">
        <f t="shared" si="72"/>
        <v>6.4260885650205518E-2</v>
      </c>
      <c r="O147" s="3">
        <f t="shared" si="72"/>
        <v>6.4260885650205518E-2</v>
      </c>
      <c r="P147" s="3">
        <f t="shared" si="72"/>
        <v>6.4260885650205518E-2</v>
      </c>
      <c r="Q147" s="3">
        <f t="shared" si="72"/>
        <v>6.4260885650205518E-2</v>
      </c>
      <c r="R147" s="3">
        <f t="shared" si="72"/>
        <v>6.4260885650205518E-2</v>
      </c>
      <c r="S147" s="3">
        <f t="shared" si="72"/>
        <v>6.4260885650205518E-2</v>
      </c>
      <c r="T147" s="3">
        <f t="shared" si="72"/>
        <v>6.4260885650205518E-2</v>
      </c>
      <c r="U147" s="3">
        <f t="shared" si="72"/>
        <v>6.4260885650205518E-2</v>
      </c>
      <c r="V147" s="3">
        <f t="shared" si="72"/>
        <v>6.4260885650205518E-2</v>
      </c>
      <c r="W147" s="3">
        <f t="shared" si="72"/>
        <v>6.4260885650205518E-2</v>
      </c>
      <c r="X147" s="3">
        <f t="shared" si="72"/>
        <v>6.4260885650205518E-2</v>
      </c>
      <c r="Y147" s="3">
        <f t="shared" si="72"/>
        <v>6.4260885650205504E-2</v>
      </c>
      <c r="Z147" s="3">
        <f t="shared" si="72"/>
        <v>6.4260885650205476E-2</v>
      </c>
      <c r="AA147" s="3">
        <f t="shared" ref="AA147" si="73">$C33*EXP(-AA$129/$A33/EXP(-$B$126))</f>
        <v>6.4260885650205116E-2</v>
      </c>
      <c r="AB147" s="3">
        <f t="shared" si="67"/>
        <v>6.4260885650201549E-2</v>
      </c>
      <c r="AC147" s="3">
        <f t="shared" si="67"/>
        <v>6.4260885650165869E-2</v>
      </c>
      <c r="AD147" s="3">
        <f t="shared" si="67"/>
        <v>6.4260885649809071E-2</v>
      </c>
      <c r="AE147" s="3">
        <f t="shared" si="67"/>
        <v>6.4260885646241023E-2</v>
      </c>
      <c r="AF147" s="3">
        <f t="shared" si="67"/>
        <v>6.4260885610560634E-2</v>
      </c>
    </row>
    <row r="148" spans="1:32" x14ac:dyDescent="0.25">
      <c r="B148" s="3">
        <f t="shared" ref="B148:Z148" si="74">$C34*EXP(-B$129/$A34/EXP(-$B$126))</f>
        <v>6.2189536822504186E-2</v>
      </c>
      <c r="C148" s="3">
        <f t="shared" si="74"/>
        <v>6.2189536822504186E-2</v>
      </c>
      <c r="D148" s="3">
        <f t="shared" si="74"/>
        <v>6.2189536822504186E-2</v>
      </c>
      <c r="E148" s="3">
        <f t="shared" si="74"/>
        <v>6.2189536822504186E-2</v>
      </c>
      <c r="F148" s="3">
        <f t="shared" si="74"/>
        <v>6.2189536822504186E-2</v>
      </c>
      <c r="G148" s="3">
        <f t="shared" si="74"/>
        <v>6.2189536822504186E-2</v>
      </c>
      <c r="H148" s="3">
        <f t="shared" si="74"/>
        <v>6.2189536822504186E-2</v>
      </c>
      <c r="I148" s="3">
        <f t="shared" si="74"/>
        <v>6.2189536822504186E-2</v>
      </c>
      <c r="J148" s="3">
        <f t="shared" si="74"/>
        <v>6.2189536822504186E-2</v>
      </c>
      <c r="K148" s="3">
        <f t="shared" si="74"/>
        <v>6.2189536822504186E-2</v>
      </c>
      <c r="L148" s="3">
        <f t="shared" si="74"/>
        <v>6.2189536822504186E-2</v>
      </c>
      <c r="M148" s="3">
        <f t="shared" si="74"/>
        <v>6.2189536822504186E-2</v>
      </c>
      <c r="N148" s="3">
        <f t="shared" si="74"/>
        <v>6.2189536822504186E-2</v>
      </c>
      <c r="O148" s="3">
        <f t="shared" si="74"/>
        <v>6.2189536822504186E-2</v>
      </c>
      <c r="P148" s="3">
        <f t="shared" si="74"/>
        <v>6.2189536822504186E-2</v>
      </c>
      <c r="Q148" s="3">
        <f t="shared" si="74"/>
        <v>6.2189536822504186E-2</v>
      </c>
      <c r="R148" s="3">
        <f t="shared" si="74"/>
        <v>6.2189536822504186E-2</v>
      </c>
      <c r="S148" s="3">
        <f t="shared" si="74"/>
        <v>6.2189536822504186E-2</v>
      </c>
      <c r="T148" s="3">
        <f t="shared" si="74"/>
        <v>6.2189536822504186E-2</v>
      </c>
      <c r="U148" s="3">
        <f t="shared" si="74"/>
        <v>6.2189536822504186E-2</v>
      </c>
      <c r="V148" s="3">
        <f t="shared" si="74"/>
        <v>6.2189536822504186E-2</v>
      </c>
      <c r="W148" s="3">
        <f t="shared" si="74"/>
        <v>6.2189536822504186E-2</v>
      </c>
      <c r="X148" s="3">
        <f t="shared" si="74"/>
        <v>6.2189536822504186E-2</v>
      </c>
      <c r="Y148" s="3">
        <f t="shared" si="74"/>
        <v>6.2189536822504186E-2</v>
      </c>
      <c r="Z148" s="3">
        <f t="shared" si="74"/>
        <v>6.2189536822504179E-2</v>
      </c>
      <c r="AA148" s="3">
        <f>$C34*EXP(-AA$129/$A34/EXP(-$B$126))</f>
        <v>6.2189536822504152E-2</v>
      </c>
      <c r="AB148" s="3">
        <f t="shared" si="67"/>
        <v>6.2189536822503839E-2</v>
      </c>
      <c r="AC148" s="3">
        <f t="shared" si="67"/>
        <v>6.2189536822500724E-2</v>
      </c>
      <c r="AD148" s="3">
        <f t="shared" si="67"/>
        <v>6.2189536822469575E-2</v>
      </c>
      <c r="AE148" s="3">
        <f t="shared" si="67"/>
        <v>6.2189536822158081E-2</v>
      </c>
      <c r="AF148" s="3">
        <f t="shared" si="67"/>
        <v>6.2189536819043163E-2</v>
      </c>
    </row>
    <row r="149" spans="1:32" x14ac:dyDescent="0.25">
      <c r="B149" s="3">
        <f t="shared" ref="B149:Z149" si="75">$C35*EXP(-B$129/$A35/EXP(-$B$126))</f>
        <v>4.8803099741359754E-2</v>
      </c>
      <c r="C149" s="3">
        <f t="shared" si="75"/>
        <v>4.8803099741359754E-2</v>
      </c>
      <c r="D149" s="3">
        <f t="shared" si="75"/>
        <v>4.8803099741359754E-2</v>
      </c>
      <c r="E149" s="3">
        <f t="shared" si="75"/>
        <v>4.8803099741359754E-2</v>
      </c>
      <c r="F149" s="3">
        <f t="shared" si="75"/>
        <v>4.8803099741359754E-2</v>
      </c>
      <c r="G149" s="3">
        <f t="shared" si="75"/>
        <v>4.8803099741359754E-2</v>
      </c>
      <c r="H149" s="3">
        <f t="shared" si="75"/>
        <v>4.8803099741359754E-2</v>
      </c>
      <c r="I149" s="3">
        <f t="shared" si="75"/>
        <v>4.8803099741359754E-2</v>
      </c>
      <c r="J149" s="3">
        <f t="shared" si="75"/>
        <v>4.8803099741359754E-2</v>
      </c>
      <c r="K149" s="3">
        <f t="shared" si="75"/>
        <v>4.8803099741359754E-2</v>
      </c>
      <c r="L149" s="3">
        <f t="shared" si="75"/>
        <v>4.8803099741359754E-2</v>
      </c>
      <c r="M149" s="3">
        <f t="shared" si="75"/>
        <v>4.8803099741359754E-2</v>
      </c>
      <c r="N149" s="3">
        <f t="shared" si="75"/>
        <v>4.8803099741359754E-2</v>
      </c>
      <c r="O149" s="3">
        <f t="shared" si="75"/>
        <v>4.8803099741359754E-2</v>
      </c>
      <c r="P149" s="3">
        <f t="shared" si="75"/>
        <v>4.8803099741359754E-2</v>
      </c>
      <c r="Q149" s="3">
        <f t="shared" si="75"/>
        <v>4.8803099741359754E-2</v>
      </c>
      <c r="R149" s="3">
        <f t="shared" si="75"/>
        <v>4.8803099741359754E-2</v>
      </c>
      <c r="S149" s="3">
        <f t="shared" si="75"/>
        <v>4.8803099741359754E-2</v>
      </c>
      <c r="T149" s="3">
        <f t="shared" si="75"/>
        <v>4.8803099741359754E-2</v>
      </c>
      <c r="U149" s="3">
        <f t="shared" si="75"/>
        <v>4.8803099741359754E-2</v>
      </c>
      <c r="V149" s="3">
        <f t="shared" si="75"/>
        <v>4.8803099741359754E-2</v>
      </c>
      <c r="W149" s="3">
        <f t="shared" si="75"/>
        <v>4.8803099741359754E-2</v>
      </c>
      <c r="X149" s="3">
        <f t="shared" si="75"/>
        <v>4.8803099741359754E-2</v>
      </c>
      <c r="Y149" s="3">
        <f t="shared" si="75"/>
        <v>4.8803099741359754E-2</v>
      </c>
      <c r="Z149" s="3">
        <f t="shared" si="75"/>
        <v>4.8803099741359754E-2</v>
      </c>
      <c r="AA149" s="3">
        <f t="shared" ref="AA149" si="76">$C35*EXP(-AA$129/$A35/EXP(-$B$126))</f>
        <v>4.8803099741359754E-2</v>
      </c>
      <c r="AB149" s="3">
        <f t="shared" si="67"/>
        <v>4.8803099741359726E-2</v>
      </c>
      <c r="AC149" s="3">
        <f t="shared" si="67"/>
        <v>4.8803099741359511E-2</v>
      </c>
      <c r="AD149" s="3">
        <f t="shared" si="67"/>
        <v>4.8803099741357304E-2</v>
      </c>
      <c r="AE149" s="3">
        <f t="shared" si="67"/>
        <v>4.8803099741335253E-2</v>
      </c>
      <c r="AF149" s="3">
        <f t="shared" si="67"/>
        <v>4.8803099741114749E-2</v>
      </c>
    </row>
    <row r="150" spans="1:32" x14ac:dyDescent="0.25">
      <c r="B150" s="3">
        <f t="shared" ref="B150:Z150" si="77">$C36*EXP(-B$129/$A36/EXP(-$B$126))</f>
        <v>3.0415227107223403E-2</v>
      </c>
      <c r="C150" s="3">
        <f t="shared" si="77"/>
        <v>3.0415227107223403E-2</v>
      </c>
      <c r="D150" s="3">
        <f t="shared" si="77"/>
        <v>3.0415227107223403E-2</v>
      </c>
      <c r="E150" s="3">
        <f t="shared" si="77"/>
        <v>3.0415227107223403E-2</v>
      </c>
      <c r="F150" s="3">
        <f t="shared" si="77"/>
        <v>3.0415227107223403E-2</v>
      </c>
      <c r="G150" s="3">
        <f t="shared" si="77"/>
        <v>3.0415227107223403E-2</v>
      </c>
      <c r="H150" s="3">
        <f t="shared" si="77"/>
        <v>3.0415227107223403E-2</v>
      </c>
      <c r="I150" s="3">
        <f t="shared" si="77"/>
        <v>3.0415227107223403E-2</v>
      </c>
      <c r="J150" s="3">
        <f t="shared" si="77"/>
        <v>3.0415227107223403E-2</v>
      </c>
      <c r="K150" s="3">
        <f t="shared" si="77"/>
        <v>3.0415227107223403E-2</v>
      </c>
      <c r="L150" s="3">
        <f t="shared" si="77"/>
        <v>3.0415227107223403E-2</v>
      </c>
      <c r="M150" s="3">
        <f t="shared" si="77"/>
        <v>3.0415227107223403E-2</v>
      </c>
      <c r="N150" s="3">
        <f t="shared" si="77"/>
        <v>3.0415227107223403E-2</v>
      </c>
      <c r="O150" s="3">
        <f t="shared" si="77"/>
        <v>3.0415227107223403E-2</v>
      </c>
      <c r="P150" s="3">
        <f t="shared" si="77"/>
        <v>3.0415227107223403E-2</v>
      </c>
      <c r="Q150" s="3">
        <f t="shared" si="77"/>
        <v>3.0415227107223403E-2</v>
      </c>
      <c r="R150" s="3">
        <f t="shared" si="77"/>
        <v>3.0415227107223403E-2</v>
      </c>
      <c r="S150" s="3">
        <f t="shared" si="77"/>
        <v>3.0415227107223403E-2</v>
      </c>
      <c r="T150" s="3">
        <f t="shared" si="77"/>
        <v>3.0415227107223403E-2</v>
      </c>
      <c r="U150" s="3">
        <f t="shared" si="77"/>
        <v>3.0415227107223403E-2</v>
      </c>
      <c r="V150" s="3">
        <f t="shared" si="77"/>
        <v>3.0415227107223403E-2</v>
      </c>
      <c r="W150" s="3">
        <f t="shared" si="77"/>
        <v>3.0415227107223403E-2</v>
      </c>
      <c r="X150" s="3">
        <f t="shared" si="77"/>
        <v>3.0415227107223403E-2</v>
      </c>
      <c r="Y150" s="3">
        <f t="shared" si="77"/>
        <v>3.0415227107223403E-2</v>
      </c>
      <c r="Z150" s="3">
        <f t="shared" si="77"/>
        <v>3.0415227107223403E-2</v>
      </c>
      <c r="AA150" s="3">
        <f t="shared" ref="AA150" si="78">$C36*EXP(-AA$129/$A36/EXP(-$B$126))</f>
        <v>3.0415227107223403E-2</v>
      </c>
      <c r="AB150" s="3">
        <f t="shared" si="67"/>
        <v>3.0415227107223403E-2</v>
      </c>
      <c r="AC150" s="3">
        <f t="shared" si="67"/>
        <v>3.0415227107223389E-2</v>
      </c>
      <c r="AD150" s="3">
        <f t="shared" si="67"/>
        <v>3.0415227107223265E-2</v>
      </c>
      <c r="AE150" s="3">
        <f t="shared" si="67"/>
        <v>3.0415227107222026E-2</v>
      </c>
      <c r="AF150" s="3">
        <f t="shared" si="67"/>
        <v>3.041522710720963E-2</v>
      </c>
    </row>
    <row r="151" spans="1:32" x14ac:dyDescent="0.25">
      <c r="B151" s="3">
        <f t="shared" ref="B151:Z151" si="79">$C37*EXP(-B$129/$A37/EXP(-$B$126))</f>
        <v>1.5463317607252298E-2</v>
      </c>
      <c r="C151" s="3">
        <f t="shared" si="79"/>
        <v>1.5463317607252298E-2</v>
      </c>
      <c r="D151" s="3">
        <f t="shared" si="79"/>
        <v>1.5463317607252298E-2</v>
      </c>
      <c r="E151" s="3">
        <f t="shared" si="79"/>
        <v>1.5463317607252298E-2</v>
      </c>
      <c r="F151" s="3">
        <f t="shared" si="79"/>
        <v>1.5463317607252298E-2</v>
      </c>
      <c r="G151" s="3">
        <f t="shared" si="79"/>
        <v>1.5463317607252298E-2</v>
      </c>
      <c r="H151" s="3">
        <f t="shared" si="79"/>
        <v>1.5463317607252298E-2</v>
      </c>
      <c r="I151" s="3">
        <f t="shared" si="79"/>
        <v>1.5463317607252298E-2</v>
      </c>
      <c r="J151" s="3">
        <f t="shared" si="79"/>
        <v>1.5463317607252298E-2</v>
      </c>
      <c r="K151" s="3">
        <f t="shared" si="79"/>
        <v>1.5463317607252298E-2</v>
      </c>
      <c r="L151" s="3">
        <f t="shared" si="79"/>
        <v>1.5463317607252298E-2</v>
      </c>
      <c r="M151" s="3">
        <f t="shared" si="79"/>
        <v>1.5463317607252298E-2</v>
      </c>
      <c r="N151" s="3">
        <f t="shared" si="79"/>
        <v>1.5463317607252298E-2</v>
      </c>
      <c r="O151" s="3">
        <f t="shared" si="79"/>
        <v>1.5463317607252298E-2</v>
      </c>
      <c r="P151" s="3">
        <f t="shared" si="79"/>
        <v>1.5463317607252298E-2</v>
      </c>
      <c r="Q151" s="3">
        <f t="shared" si="79"/>
        <v>1.5463317607252298E-2</v>
      </c>
      <c r="R151" s="3">
        <f t="shared" si="79"/>
        <v>1.5463317607252298E-2</v>
      </c>
      <c r="S151" s="3">
        <f t="shared" si="79"/>
        <v>1.5463317607252298E-2</v>
      </c>
      <c r="T151" s="3">
        <f t="shared" si="79"/>
        <v>1.5463317607252298E-2</v>
      </c>
      <c r="U151" s="3">
        <f t="shared" si="79"/>
        <v>1.5463317607252298E-2</v>
      </c>
      <c r="V151" s="3">
        <f t="shared" si="79"/>
        <v>1.5463317607252298E-2</v>
      </c>
      <c r="W151" s="3">
        <f t="shared" si="79"/>
        <v>1.5463317607252298E-2</v>
      </c>
      <c r="X151" s="3">
        <f t="shared" si="79"/>
        <v>1.5463317607252298E-2</v>
      </c>
      <c r="Y151" s="3">
        <f t="shared" si="79"/>
        <v>1.5463317607252298E-2</v>
      </c>
      <c r="Z151" s="3">
        <f t="shared" si="79"/>
        <v>1.5463317607252298E-2</v>
      </c>
      <c r="AA151" s="3">
        <f t="shared" ref="AA151" si="80">$C37*EXP(-AA$129/$A37/EXP(-$B$126))</f>
        <v>1.5463317607252298E-2</v>
      </c>
      <c r="AB151" s="3">
        <f t="shared" si="67"/>
        <v>1.5463317607252298E-2</v>
      </c>
      <c r="AC151" s="3">
        <f t="shared" si="67"/>
        <v>1.5463317607252298E-2</v>
      </c>
      <c r="AD151" s="3">
        <f t="shared" si="67"/>
        <v>1.5463317607252291E-2</v>
      </c>
      <c r="AE151" s="3">
        <f t="shared" si="67"/>
        <v>1.5463317607252234E-2</v>
      </c>
      <c r="AF151" s="3">
        <f t="shared" si="67"/>
        <v>1.5463317607251666E-2</v>
      </c>
    </row>
    <row r="152" spans="1:32" x14ac:dyDescent="0.25">
      <c r="B152" s="3">
        <f t="shared" ref="B152:Z152" si="81">$C38*EXP(-B$129/$A38/EXP(-$B$126))</f>
        <v>6.4979326784240111E-3</v>
      </c>
      <c r="C152" s="3">
        <f t="shared" si="81"/>
        <v>6.4979326784240111E-3</v>
      </c>
      <c r="D152" s="3">
        <f t="shared" si="81"/>
        <v>6.4979326784240111E-3</v>
      </c>
      <c r="E152" s="3">
        <f t="shared" si="81"/>
        <v>6.4979326784240111E-3</v>
      </c>
      <c r="F152" s="3">
        <f t="shared" si="81"/>
        <v>6.4979326784240111E-3</v>
      </c>
      <c r="G152" s="3">
        <f t="shared" si="81"/>
        <v>6.4979326784240111E-3</v>
      </c>
      <c r="H152" s="3">
        <f t="shared" si="81"/>
        <v>6.4979326784240111E-3</v>
      </c>
      <c r="I152" s="3">
        <f t="shared" si="81"/>
        <v>6.4979326784240111E-3</v>
      </c>
      <c r="J152" s="3">
        <f t="shared" si="81"/>
        <v>6.4979326784240111E-3</v>
      </c>
      <c r="K152" s="3">
        <f t="shared" si="81"/>
        <v>6.4979326784240111E-3</v>
      </c>
      <c r="L152" s="3">
        <f t="shared" si="81"/>
        <v>6.4979326784240111E-3</v>
      </c>
      <c r="M152" s="3">
        <f t="shared" si="81"/>
        <v>6.4979326784240111E-3</v>
      </c>
      <c r="N152" s="3">
        <f t="shared" si="81"/>
        <v>6.4979326784240111E-3</v>
      </c>
      <c r="O152" s="3">
        <f t="shared" si="81"/>
        <v>6.4979326784240111E-3</v>
      </c>
      <c r="P152" s="3">
        <f t="shared" si="81"/>
        <v>6.4979326784240111E-3</v>
      </c>
      <c r="Q152" s="3">
        <f t="shared" si="81"/>
        <v>6.4979326784240111E-3</v>
      </c>
      <c r="R152" s="3">
        <f t="shared" si="81"/>
        <v>6.4979326784240111E-3</v>
      </c>
      <c r="S152" s="3">
        <f t="shared" si="81"/>
        <v>6.4979326784240111E-3</v>
      </c>
      <c r="T152" s="3">
        <f t="shared" si="81"/>
        <v>6.4979326784240111E-3</v>
      </c>
      <c r="U152" s="3">
        <f t="shared" si="81"/>
        <v>6.4979326784240111E-3</v>
      </c>
      <c r="V152" s="3">
        <f t="shared" si="81"/>
        <v>6.4979326784240111E-3</v>
      </c>
      <c r="W152" s="3">
        <f t="shared" si="81"/>
        <v>6.4979326784240111E-3</v>
      </c>
      <c r="X152" s="3">
        <f t="shared" si="81"/>
        <v>6.4979326784240111E-3</v>
      </c>
      <c r="Y152" s="3">
        <f t="shared" si="81"/>
        <v>6.4979326784240111E-3</v>
      </c>
      <c r="Z152" s="3">
        <f t="shared" si="81"/>
        <v>6.4979326784240111E-3</v>
      </c>
      <c r="AA152" s="3">
        <f t="shared" ref="AA152" si="82">$C38*EXP(-AA$129/$A38/EXP(-$B$126))</f>
        <v>6.4979326784240111E-3</v>
      </c>
      <c r="AB152" s="3">
        <f t="shared" si="67"/>
        <v>6.4979326784240111E-3</v>
      </c>
      <c r="AC152" s="3">
        <f t="shared" si="67"/>
        <v>6.4979326784240111E-3</v>
      </c>
      <c r="AD152" s="3">
        <f t="shared" si="67"/>
        <v>6.4979326784240111E-3</v>
      </c>
      <c r="AE152" s="3">
        <f t="shared" si="67"/>
        <v>6.4979326784240093E-3</v>
      </c>
      <c r="AF152" s="3">
        <f t="shared" si="67"/>
        <v>6.4979326784239877E-3</v>
      </c>
    </row>
    <row r="153" spans="1:32" x14ac:dyDescent="0.25">
      <c r="B153" s="3">
        <f t="shared" ref="B153:Z153" si="83">$C39*EXP(-B$129/$A39/EXP(-$B$126))</f>
        <v>1.7266189453767201E-3</v>
      </c>
      <c r="C153" s="3">
        <f t="shared" si="83"/>
        <v>1.7266189453767201E-3</v>
      </c>
      <c r="D153" s="3">
        <f t="shared" si="83"/>
        <v>1.7266189453767201E-3</v>
      </c>
      <c r="E153" s="3">
        <f t="shared" si="83"/>
        <v>1.7266189453767201E-3</v>
      </c>
      <c r="F153" s="3">
        <f t="shared" si="83"/>
        <v>1.7266189453767201E-3</v>
      </c>
      <c r="G153" s="3">
        <f t="shared" si="83"/>
        <v>1.7266189453767201E-3</v>
      </c>
      <c r="H153" s="3">
        <f t="shared" si="83"/>
        <v>1.7266189453767201E-3</v>
      </c>
      <c r="I153" s="3">
        <f t="shared" si="83"/>
        <v>1.7266189453767201E-3</v>
      </c>
      <c r="J153" s="3">
        <f t="shared" si="83"/>
        <v>1.7266189453767201E-3</v>
      </c>
      <c r="K153" s="3">
        <f t="shared" si="83"/>
        <v>1.7266189453767201E-3</v>
      </c>
      <c r="L153" s="3">
        <f t="shared" si="83"/>
        <v>1.7266189453767201E-3</v>
      </c>
      <c r="M153" s="3">
        <f t="shared" si="83"/>
        <v>1.7266189453767201E-3</v>
      </c>
      <c r="N153" s="3">
        <f t="shared" si="83"/>
        <v>1.7266189453767201E-3</v>
      </c>
      <c r="O153" s="3">
        <f t="shared" si="83"/>
        <v>1.7266189453767201E-3</v>
      </c>
      <c r="P153" s="3">
        <f t="shared" si="83"/>
        <v>1.7266189453767201E-3</v>
      </c>
      <c r="Q153" s="3">
        <f t="shared" si="83"/>
        <v>1.7266189453767201E-3</v>
      </c>
      <c r="R153" s="3">
        <f t="shared" si="83"/>
        <v>1.7266189453767201E-3</v>
      </c>
      <c r="S153" s="3">
        <f t="shared" si="83"/>
        <v>1.7266189453767201E-3</v>
      </c>
      <c r="T153" s="3">
        <f t="shared" si="83"/>
        <v>1.7266189453767201E-3</v>
      </c>
      <c r="U153" s="3">
        <f t="shared" si="83"/>
        <v>1.7266189453767201E-3</v>
      </c>
      <c r="V153" s="3">
        <f t="shared" si="83"/>
        <v>1.7266189453767201E-3</v>
      </c>
      <c r="W153" s="3">
        <f t="shared" si="83"/>
        <v>1.7266189453767201E-3</v>
      </c>
      <c r="X153" s="3">
        <f t="shared" si="83"/>
        <v>1.7266189453767201E-3</v>
      </c>
      <c r="Y153" s="3">
        <f t="shared" si="83"/>
        <v>1.7266189453767201E-3</v>
      </c>
      <c r="Z153" s="3">
        <f t="shared" si="83"/>
        <v>1.7266189453767201E-3</v>
      </c>
      <c r="AA153" s="3">
        <f t="shared" ref="AA153" si="84">$C39*EXP(-AA$129/$A39/EXP(-$B$126))</f>
        <v>1.7266189453767201E-3</v>
      </c>
      <c r="AB153" s="3">
        <f t="shared" si="67"/>
        <v>1.7266189453767201E-3</v>
      </c>
      <c r="AC153" s="3">
        <f t="shared" si="67"/>
        <v>1.7266189453767201E-3</v>
      </c>
      <c r="AD153" s="3">
        <f t="shared" si="67"/>
        <v>1.7266189453767201E-3</v>
      </c>
      <c r="AE153" s="3">
        <f t="shared" si="67"/>
        <v>1.7266189453767199E-3</v>
      </c>
      <c r="AF153" s="3">
        <f t="shared" si="67"/>
        <v>1.7266189453767184E-3</v>
      </c>
    </row>
    <row r="154" spans="1:32" x14ac:dyDescent="0.25">
      <c r="B154" s="3">
        <f t="shared" ref="B154:Z154" si="85">$C40*EXP(-B$129/$A40/EXP(-$B$126))</f>
        <v>4.5003340048363309E-3</v>
      </c>
      <c r="C154" s="3">
        <f t="shared" si="85"/>
        <v>4.5003340048363309E-3</v>
      </c>
      <c r="D154" s="3">
        <f t="shared" si="85"/>
        <v>4.5003340048363309E-3</v>
      </c>
      <c r="E154" s="3">
        <f t="shared" si="85"/>
        <v>4.5003340048363309E-3</v>
      </c>
      <c r="F154" s="3">
        <f t="shared" si="85"/>
        <v>4.5003340048363309E-3</v>
      </c>
      <c r="G154" s="3">
        <f t="shared" si="85"/>
        <v>4.5003340048363309E-3</v>
      </c>
      <c r="H154" s="3">
        <f t="shared" si="85"/>
        <v>4.5003340048363309E-3</v>
      </c>
      <c r="I154" s="3">
        <f t="shared" si="85"/>
        <v>4.5003340048363309E-3</v>
      </c>
      <c r="J154" s="3">
        <f t="shared" si="85"/>
        <v>4.5003340048363309E-3</v>
      </c>
      <c r="K154" s="3">
        <f t="shared" si="85"/>
        <v>4.5003340048363309E-3</v>
      </c>
      <c r="L154" s="3">
        <f t="shared" si="85"/>
        <v>4.5003340048363309E-3</v>
      </c>
      <c r="M154" s="3">
        <f t="shared" si="85"/>
        <v>4.5003340048363309E-3</v>
      </c>
      <c r="N154" s="3">
        <f t="shared" si="85"/>
        <v>4.5003340048363309E-3</v>
      </c>
      <c r="O154" s="3">
        <f t="shared" si="85"/>
        <v>4.5003340048363309E-3</v>
      </c>
      <c r="P154" s="3">
        <f t="shared" si="85"/>
        <v>4.5003340048363309E-3</v>
      </c>
      <c r="Q154" s="3">
        <f t="shared" si="85"/>
        <v>4.5003340048363309E-3</v>
      </c>
      <c r="R154" s="3">
        <f t="shared" si="85"/>
        <v>4.5003340048363309E-3</v>
      </c>
      <c r="S154" s="3">
        <f t="shared" si="85"/>
        <v>4.5003340048363309E-3</v>
      </c>
      <c r="T154" s="3">
        <f t="shared" si="85"/>
        <v>4.5003340048363309E-3</v>
      </c>
      <c r="U154" s="3">
        <f t="shared" si="85"/>
        <v>4.5003340048363309E-3</v>
      </c>
      <c r="V154" s="3">
        <f t="shared" si="85"/>
        <v>4.5003340048363309E-3</v>
      </c>
      <c r="W154" s="3">
        <f t="shared" si="85"/>
        <v>4.5003340048363309E-3</v>
      </c>
      <c r="X154" s="3">
        <f t="shared" si="85"/>
        <v>4.5003340048363309E-3</v>
      </c>
      <c r="Y154" s="3">
        <f t="shared" si="85"/>
        <v>4.5003340048363309E-3</v>
      </c>
      <c r="Z154" s="3">
        <f t="shared" si="85"/>
        <v>4.5003340048363309E-3</v>
      </c>
      <c r="AA154" s="3">
        <f t="shared" ref="AA154:AF154" si="86">$C40*EXP(-AA$129/$A40/EXP(-$B$126))</f>
        <v>4.5003340048363309E-3</v>
      </c>
      <c r="AB154" s="3">
        <f t="shared" si="86"/>
        <v>4.5003340048363309E-3</v>
      </c>
      <c r="AC154" s="3">
        <f t="shared" si="86"/>
        <v>4.5003340048363309E-3</v>
      </c>
      <c r="AD154" s="3">
        <f t="shared" si="86"/>
        <v>4.5003340048363309E-3</v>
      </c>
      <c r="AE154" s="3">
        <f t="shared" si="86"/>
        <v>4.5003340048363309E-3</v>
      </c>
      <c r="AF154" s="3">
        <f t="shared" si="86"/>
        <v>4.5003340048363301E-3</v>
      </c>
    </row>
    <row r="155" spans="1:32" x14ac:dyDescent="0.25">
      <c r="B155" s="3">
        <f t="shared" ref="B155:Z155" si="87">$C41*EXP(-B$129/$A41/EXP(-$B$126))</f>
        <v>6.1948117203855881E-4</v>
      </c>
      <c r="C155" s="3">
        <f t="shared" si="87"/>
        <v>6.1948117203855881E-4</v>
      </c>
      <c r="D155" s="3">
        <f t="shared" si="87"/>
        <v>6.1948117203855881E-4</v>
      </c>
      <c r="E155" s="3">
        <f t="shared" si="87"/>
        <v>6.1948117203855881E-4</v>
      </c>
      <c r="F155" s="3">
        <f t="shared" si="87"/>
        <v>6.1948117203855881E-4</v>
      </c>
      <c r="G155" s="3">
        <f t="shared" si="87"/>
        <v>6.1948117203855881E-4</v>
      </c>
      <c r="H155" s="3">
        <f t="shared" si="87"/>
        <v>6.1948117203855881E-4</v>
      </c>
      <c r="I155" s="3">
        <f t="shared" si="87"/>
        <v>6.1948117203855881E-4</v>
      </c>
      <c r="J155" s="3">
        <f t="shared" si="87"/>
        <v>6.1948117203855881E-4</v>
      </c>
      <c r="K155" s="3">
        <f t="shared" si="87"/>
        <v>6.1948117203855881E-4</v>
      </c>
      <c r="L155" s="3">
        <f t="shared" si="87"/>
        <v>6.1948117203855881E-4</v>
      </c>
      <c r="M155" s="3">
        <f t="shared" si="87"/>
        <v>6.1948117203855881E-4</v>
      </c>
      <c r="N155" s="3">
        <f t="shared" si="87"/>
        <v>6.1948117203855881E-4</v>
      </c>
      <c r="O155" s="3">
        <f t="shared" si="87"/>
        <v>6.1948117203855881E-4</v>
      </c>
      <c r="P155" s="3">
        <f t="shared" si="87"/>
        <v>6.1948117203855881E-4</v>
      </c>
      <c r="Q155" s="3">
        <f t="shared" si="87"/>
        <v>6.1948117203855881E-4</v>
      </c>
      <c r="R155" s="3">
        <f t="shared" si="87"/>
        <v>6.1948117203855881E-4</v>
      </c>
      <c r="S155" s="3">
        <f t="shared" si="87"/>
        <v>6.1948117203855881E-4</v>
      </c>
      <c r="T155" s="3">
        <f t="shared" si="87"/>
        <v>6.1948117203855881E-4</v>
      </c>
      <c r="U155" s="3">
        <f t="shared" si="87"/>
        <v>6.1948117203855881E-4</v>
      </c>
      <c r="V155" s="3">
        <f t="shared" si="87"/>
        <v>6.1948117203855881E-4</v>
      </c>
      <c r="W155" s="3">
        <f t="shared" si="87"/>
        <v>6.1948117203855881E-4</v>
      </c>
      <c r="X155" s="3">
        <f t="shared" si="87"/>
        <v>6.1948117203855881E-4</v>
      </c>
      <c r="Y155" s="3">
        <f t="shared" si="87"/>
        <v>6.1948117203855881E-4</v>
      </c>
      <c r="Z155" s="3">
        <f t="shared" si="87"/>
        <v>6.1948117203855881E-4</v>
      </c>
      <c r="AA155" s="3">
        <f t="shared" ref="AA155:AF155" si="88">$C41*EXP(-AA$129/$A41/EXP(-$B$126))</f>
        <v>6.1948117203855881E-4</v>
      </c>
      <c r="AB155" s="3">
        <f t="shared" si="88"/>
        <v>6.1948117203855881E-4</v>
      </c>
      <c r="AC155" s="3">
        <f t="shared" si="88"/>
        <v>6.1948117203855881E-4</v>
      </c>
      <c r="AD155" s="3">
        <f t="shared" si="88"/>
        <v>6.1948117203855881E-4</v>
      </c>
      <c r="AE155" s="3">
        <f t="shared" si="88"/>
        <v>6.1948117203855881E-4</v>
      </c>
      <c r="AF155" s="3">
        <f t="shared" si="88"/>
        <v>6.1948117203855881E-4</v>
      </c>
    </row>
    <row r="156" spans="1:32" x14ac:dyDescent="0.25">
      <c r="B156" s="3">
        <f t="shared" ref="B156:Z156" si="89">$C42*EXP(-B$129/$A42/EXP(-$B$126))</f>
        <v>7.8921984991154562E-4</v>
      </c>
      <c r="C156" s="3">
        <f t="shared" si="89"/>
        <v>7.8921984991154562E-4</v>
      </c>
      <c r="D156" s="3">
        <f t="shared" si="89"/>
        <v>7.8921984991154562E-4</v>
      </c>
      <c r="E156" s="3">
        <f t="shared" si="89"/>
        <v>7.8921984991154562E-4</v>
      </c>
      <c r="F156" s="3">
        <f t="shared" si="89"/>
        <v>7.8921984991154562E-4</v>
      </c>
      <c r="G156" s="3">
        <f t="shared" si="89"/>
        <v>7.8921984991154562E-4</v>
      </c>
      <c r="H156" s="3">
        <f t="shared" si="89"/>
        <v>7.8921984991154562E-4</v>
      </c>
      <c r="I156" s="3">
        <f t="shared" si="89"/>
        <v>7.8921984991154562E-4</v>
      </c>
      <c r="J156" s="3">
        <f t="shared" si="89"/>
        <v>7.8921984991154562E-4</v>
      </c>
      <c r="K156" s="3">
        <f t="shared" si="89"/>
        <v>7.8921984991154562E-4</v>
      </c>
      <c r="L156" s="3">
        <f t="shared" si="89"/>
        <v>7.8921984991154562E-4</v>
      </c>
      <c r="M156" s="3">
        <f t="shared" si="89"/>
        <v>7.8921984991154562E-4</v>
      </c>
      <c r="N156" s="3">
        <f t="shared" si="89"/>
        <v>7.8921984991154562E-4</v>
      </c>
      <c r="O156" s="3">
        <f t="shared" si="89"/>
        <v>7.8921984991154562E-4</v>
      </c>
      <c r="P156" s="3">
        <f t="shared" si="89"/>
        <v>7.8921984991154562E-4</v>
      </c>
      <c r="Q156" s="3">
        <f t="shared" si="89"/>
        <v>7.8921984991154562E-4</v>
      </c>
      <c r="R156" s="3">
        <f t="shared" si="89"/>
        <v>7.8921984991154562E-4</v>
      </c>
      <c r="S156" s="3">
        <f t="shared" si="89"/>
        <v>7.8921984991154562E-4</v>
      </c>
      <c r="T156" s="3">
        <f t="shared" si="89"/>
        <v>7.8921984991154562E-4</v>
      </c>
      <c r="U156" s="3">
        <f t="shared" si="89"/>
        <v>7.8921984991154562E-4</v>
      </c>
      <c r="V156" s="3">
        <f t="shared" si="89"/>
        <v>7.8921984991154562E-4</v>
      </c>
      <c r="W156" s="3">
        <f t="shared" si="89"/>
        <v>7.8921984991154562E-4</v>
      </c>
      <c r="X156" s="3">
        <f t="shared" si="89"/>
        <v>7.8921984991154562E-4</v>
      </c>
      <c r="Y156" s="3">
        <f t="shared" si="89"/>
        <v>7.8921984991154562E-4</v>
      </c>
      <c r="Z156" s="3">
        <f t="shared" si="89"/>
        <v>7.8921984991154562E-4</v>
      </c>
      <c r="AA156" s="3">
        <f t="shared" ref="AA156:AF156" si="90">$C42*EXP(-AA$129/$A42/EXP(-$B$126))</f>
        <v>7.8921984991154562E-4</v>
      </c>
      <c r="AB156" s="3">
        <f t="shared" si="90"/>
        <v>7.8921984991154562E-4</v>
      </c>
      <c r="AC156" s="3">
        <f t="shared" si="90"/>
        <v>7.8921984991154562E-4</v>
      </c>
      <c r="AD156" s="3">
        <f t="shared" si="90"/>
        <v>7.8921984991154562E-4</v>
      </c>
      <c r="AE156" s="3">
        <f t="shared" si="90"/>
        <v>7.8921984991154562E-4</v>
      </c>
      <c r="AF156" s="3">
        <f t="shared" si="90"/>
        <v>7.8921984991154562E-4</v>
      </c>
    </row>
    <row r="157" spans="1:32" x14ac:dyDescent="0.25">
      <c r="B157" s="3">
        <f t="shared" ref="B157:Z157" si="91">$C43*EXP(-B$129/$A43/EXP(-$B$126))</f>
        <v>3.1383864234018747E-3</v>
      </c>
      <c r="C157" s="3">
        <f t="shared" si="91"/>
        <v>3.1383864234018747E-3</v>
      </c>
      <c r="D157" s="3">
        <f t="shared" si="91"/>
        <v>3.1383864234018747E-3</v>
      </c>
      <c r="E157" s="3">
        <f t="shared" si="91"/>
        <v>3.1383864234018747E-3</v>
      </c>
      <c r="F157" s="3">
        <f t="shared" si="91"/>
        <v>3.1383864234018747E-3</v>
      </c>
      <c r="G157" s="3">
        <f t="shared" si="91"/>
        <v>3.1383864234018747E-3</v>
      </c>
      <c r="H157" s="3">
        <f t="shared" si="91"/>
        <v>3.1383864234018747E-3</v>
      </c>
      <c r="I157" s="3">
        <f t="shared" si="91"/>
        <v>3.1383864234018747E-3</v>
      </c>
      <c r="J157" s="3">
        <f t="shared" si="91"/>
        <v>3.1383864234018747E-3</v>
      </c>
      <c r="K157" s="3">
        <f t="shared" si="91"/>
        <v>3.1383864234018747E-3</v>
      </c>
      <c r="L157" s="3">
        <f t="shared" si="91"/>
        <v>3.1383864234018747E-3</v>
      </c>
      <c r="M157" s="3">
        <f t="shared" si="91"/>
        <v>3.1383864234018747E-3</v>
      </c>
      <c r="N157" s="3">
        <f t="shared" si="91"/>
        <v>3.1383864234018747E-3</v>
      </c>
      <c r="O157" s="3">
        <f t="shared" si="91"/>
        <v>3.1383864234018747E-3</v>
      </c>
      <c r="P157" s="3">
        <f t="shared" si="91"/>
        <v>3.1383864234018747E-3</v>
      </c>
      <c r="Q157" s="3">
        <f t="shared" si="91"/>
        <v>3.1383864234018747E-3</v>
      </c>
      <c r="R157" s="3">
        <f t="shared" si="91"/>
        <v>3.1383864234018747E-3</v>
      </c>
      <c r="S157" s="3">
        <f t="shared" si="91"/>
        <v>3.1383864234018747E-3</v>
      </c>
      <c r="T157" s="3">
        <f t="shared" si="91"/>
        <v>3.1383864234018747E-3</v>
      </c>
      <c r="U157" s="3">
        <f t="shared" si="91"/>
        <v>3.1383864234018747E-3</v>
      </c>
      <c r="V157" s="3">
        <f t="shared" si="91"/>
        <v>3.1383864234018747E-3</v>
      </c>
      <c r="W157" s="3">
        <f t="shared" si="91"/>
        <v>3.1383864234018747E-3</v>
      </c>
      <c r="X157" s="3">
        <f t="shared" si="91"/>
        <v>3.1383864234018747E-3</v>
      </c>
      <c r="Y157" s="3">
        <f t="shared" si="91"/>
        <v>3.1383864234018747E-3</v>
      </c>
      <c r="Z157" s="3">
        <f t="shared" si="91"/>
        <v>3.1383864234018747E-3</v>
      </c>
      <c r="AA157" s="3">
        <f t="shared" ref="AA157:AF157" si="92">$C43*EXP(-AA$129/$A43/EXP(-$B$126))</f>
        <v>3.1383864234018747E-3</v>
      </c>
      <c r="AB157" s="3">
        <f t="shared" si="92"/>
        <v>3.1383864234018747E-3</v>
      </c>
      <c r="AC157" s="3">
        <f t="shared" si="92"/>
        <v>3.1383864234018747E-3</v>
      </c>
      <c r="AD157" s="3">
        <f t="shared" si="92"/>
        <v>3.1383864234018747E-3</v>
      </c>
      <c r="AE157" s="3">
        <f t="shared" si="92"/>
        <v>3.1383864234018747E-3</v>
      </c>
      <c r="AF157" s="3">
        <f t="shared" si="92"/>
        <v>3.1383864234018747E-3</v>
      </c>
    </row>
    <row r="158" spans="1:32" x14ac:dyDescent="0.25">
      <c r="B158" s="3">
        <f t="shared" ref="B158:Z158" si="93">$C44*EXP(-B$129/$A44/EXP(-$B$126))</f>
        <v>4.3963079363277776E-4</v>
      </c>
      <c r="C158" s="3">
        <f t="shared" si="93"/>
        <v>4.3963079363277776E-4</v>
      </c>
      <c r="D158" s="3">
        <f t="shared" si="93"/>
        <v>4.3963079363277776E-4</v>
      </c>
      <c r="E158" s="3">
        <f t="shared" si="93"/>
        <v>4.3963079363277776E-4</v>
      </c>
      <c r="F158" s="3">
        <f t="shared" si="93"/>
        <v>4.3963079363277776E-4</v>
      </c>
      <c r="G158" s="3">
        <f t="shared" si="93"/>
        <v>4.3963079363277776E-4</v>
      </c>
      <c r="H158" s="3">
        <f t="shared" si="93"/>
        <v>4.3963079363277776E-4</v>
      </c>
      <c r="I158" s="3">
        <f t="shared" si="93"/>
        <v>4.3963079363277776E-4</v>
      </c>
      <c r="J158" s="3">
        <f t="shared" si="93"/>
        <v>4.3963079363277776E-4</v>
      </c>
      <c r="K158" s="3">
        <f t="shared" si="93"/>
        <v>4.3963079363277776E-4</v>
      </c>
      <c r="L158" s="3">
        <f t="shared" si="93"/>
        <v>4.3963079363277776E-4</v>
      </c>
      <c r="M158" s="3">
        <f t="shared" si="93"/>
        <v>4.3963079363277776E-4</v>
      </c>
      <c r="N158" s="3">
        <f t="shared" si="93"/>
        <v>4.3963079363277776E-4</v>
      </c>
      <c r="O158" s="3">
        <f t="shared" si="93"/>
        <v>4.3963079363277776E-4</v>
      </c>
      <c r="P158" s="3">
        <f t="shared" si="93"/>
        <v>4.3963079363277776E-4</v>
      </c>
      <c r="Q158" s="3">
        <f t="shared" si="93"/>
        <v>4.3963079363277776E-4</v>
      </c>
      <c r="R158" s="3">
        <f t="shared" si="93"/>
        <v>4.3963079363277776E-4</v>
      </c>
      <c r="S158" s="3">
        <f t="shared" si="93"/>
        <v>4.3963079363277776E-4</v>
      </c>
      <c r="T158" s="3">
        <f t="shared" si="93"/>
        <v>4.3963079363277776E-4</v>
      </c>
      <c r="U158" s="3">
        <f t="shared" si="93"/>
        <v>4.3963079363277776E-4</v>
      </c>
      <c r="V158" s="3">
        <f t="shared" si="93"/>
        <v>4.3963079363277776E-4</v>
      </c>
      <c r="W158" s="3">
        <f t="shared" si="93"/>
        <v>4.3963079363277776E-4</v>
      </c>
      <c r="X158" s="3">
        <f t="shared" si="93"/>
        <v>4.3963079363277776E-4</v>
      </c>
      <c r="Y158" s="3">
        <f t="shared" si="93"/>
        <v>4.3963079363277776E-4</v>
      </c>
      <c r="Z158" s="3">
        <f t="shared" si="93"/>
        <v>4.3963079363277776E-4</v>
      </c>
      <c r="AA158" s="3">
        <f t="shared" ref="AA158:AF158" si="94">$C44*EXP(-AA$129/$A44/EXP(-$B$126))</f>
        <v>4.3963079363277776E-4</v>
      </c>
      <c r="AB158" s="3">
        <f t="shared" si="94"/>
        <v>4.3963079363277776E-4</v>
      </c>
      <c r="AC158" s="3">
        <f t="shared" si="94"/>
        <v>4.3963079363277776E-4</v>
      </c>
      <c r="AD158" s="3">
        <f t="shared" si="94"/>
        <v>4.3963079363277776E-4</v>
      </c>
      <c r="AE158" s="3">
        <f t="shared" si="94"/>
        <v>4.3963079363277776E-4</v>
      </c>
      <c r="AF158" s="3">
        <f t="shared" si="94"/>
        <v>4.3963079363277776E-4</v>
      </c>
    </row>
    <row r="159" spans="1:32" x14ac:dyDescent="0.25">
      <c r="A159" s="11" t="s">
        <v>75</v>
      </c>
      <c r="B159" s="3">
        <f t="shared" ref="B159:Z159" si="95">$C45*EXP(-B$129/$A45/EXP(-$B$126))</f>
        <v>3.9367491924485783E-5</v>
      </c>
      <c r="C159" s="3">
        <f t="shared" si="95"/>
        <v>3.9367491924485783E-5</v>
      </c>
      <c r="D159" s="3">
        <f t="shared" si="95"/>
        <v>3.9367491924485783E-5</v>
      </c>
      <c r="E159" s="3">
        <f t="shared" si="95"/>
        <v>3.9367491924485783E-5</v>
      </c>
      <c r="F159" s="3">
        <f t="shared" si="95"/>
        <v>3.9367491924485783E-5</v>
      </c>
      <c r="G159" s="3">
        <f t="shared" si="95"/>
        <v>3.9367491924485783E-5</v>
      </c>
      <c r="H159" s="3">
        <f t="shared" si="95"/>
        <v>3.9367491924485783E-5</v>
      </c>
      <c r="I159" s="3">
        <f t="shared" si="95"/>
        <v>3.9367491924485783E-5</v>
      </c>
      <c r="J159" s="3">
        <f t="shared" si="95"/>
        <v>3.9367491924485783E-5</v>
      </c>
      <c r="K159" s="3">
        <f t="shared" si="95"/>
        <v>3.9367491924485783E-5</v>
      </c>
      <c r="L159" s="3">
        <f t="shared" si="95"/>
        <v>3.9367491924485783E-5</v>
      </c>
      <c r="M159" s="3">
        <f t="shared" si="95"/>
        <v>3.9367491924485783E-5</v>
      </c>
      <c r="N159" s="3">
        <f t="shared" si="95"/>
        <v>3.9367491924485783E-5</v>
      </c>
      <c r="O159" s="3">
        <f t="shared" si="95"/>
        <v>3.9367491924485783E-5</v>
      </c>
      <c r="P159" s="3">
        <f t="shared" si="95"/>
        <v>3.9367491924485783E-5</v>
      </c>
      <c r="Q159" s="3">
        <f t="shared" si="95"/>
        <v>3.9367491924485783E-5</v>
      </c>
      <c r="R159" s="3">
        <f t="shared" si="95"/>
        <v>3.9367491924485783E-5</v>
      </c>
      <c r="S159" s="3">
        <f t="shared" si="95"/>
        <v>3.9367491924485783E-5</v>
      </c>
      <c r="T159" s="3">
        <f t="shared" si="95"/>
        <v>3.9367491924485783E-5</v>
      </c>
      <c r="U159" s="3">
        <f t="shared" si="95"/>
        <v>3.9367491924485783E-5</v>
      </c>
      <c r="V159" s="3">
        <f t="shared" si="95"/>
        <v>3.9367491924485783E-5</v>
      </c>
      <c r="W159" s="3">
        <f t="shared" si="95"/>
        <v>3.9367491924485783E-5</v>
      </c>
      <c r="X159" s="3">
        <f t="shared" si="95"/>
        <v>3.9367491924485783E-5</v>
      </c>
      <c r="Y159" s="3">
        <f t="shared" si="95"/>
        <v>3.9367491924485783E-5</v>
      </c>
      <c r="Z159" s="3">
        <f t="shared" si="95"/>
        <v>3.9367491924485783E-5</v>
      </c>
      <c r="AA159" s="3">
        <f t="shared" ref="AA159:AF159" si="96">$C45*EXP(-AA$129/$A45/EXP(-$B$126))</f>
        <v>3.9367491924485783E-5</v>
      </c>
      <c r="AB159" s="3">
        <f t="shared" si="96"/>
        <v>3.9367491924485783E-5</v>
      </c>
      <c r="AC159" s="3">
        <f t="shared" si="96"/>
        <v>3.9367491924485783E-5</v>
      </c>
      <c r="AD159" s="3">
        <f t="shared" si="96"/>
        <v>3.9367491924485783E-5</v>
      </c>
      <c r="AE159" s="3">
        <f t="shared" si="96"/>
        <v>3.9367491924485783E-5</v>
      </c>
      <c r="AF159" s="3">
        <f t="shared" si="96"/>
        <v>3.9367491924485783E-5</v>
      </c>
    </row>
    <row r="160" spans="1:32" x14ac:dyDescent="0.25">
      <c r="B160" s="3">
        <f t="shared" ref="B160:Z160" si="97">$C46*EXP(-B$129/$A46/EXP(-$B$126))</f>
        <v>2.469113716916911E-6</v>
      </c>
      <c r="C160" s="3">
        <f t="shared" si="97"/>
        <v>2.469113716916911E-6</v>
      </c>
      <c r="D160" s="3">
        <f t="shared" si="97"/>
        <v>2.469113716916911E-6</v>
      </c>
      <c r="E160" s="3">
        <f t="shared" si="97"/>
        <v>2.469113716916911E-6</v>
      </c>
      <c r="F160" s="3">
        <f t="shared" si="97"/>
        <v>2.469113716916911E-6</v>
      </c>
      <c r="G160" s="3">
        <f t="shared" si="97"/>
        <v>2.469113716916911E-6</v>
      </c>
      <c r="H160" s="3">
        <f t="shared" si="97"/>
        <v>2.469113716916911E-6</v>
      </c>
      <c r="I160" s="3">
        <f t="shared" si="97"/>
        <v>2.469113716916911E-6</v>
      </c>
      <c r="J160" s="3">
        <f t="shared" si="97"/>
        <v>2.469113716916911E-6</v>
      </c>
      <c r="K160" s="3">
        <f t="shared" si="97"/>
        <v>2.469113716916911E-6</v>
      </c>
      <c r="L160" s="3">
        <f t="shared" si="97"/>
        <v>2.469113716916911E-6</v>
      </c>
      <c r="M160" s="3">
        <f t="shared" si="97"/>
        <v>2.469113716916911E-6</v>
      </c>
      <c r="N160" s="3">
        <f t="shared" si="97"/>
        <v>2.469113716916911E-6</v>
      </c>
      <c r="O160" s="3">
        <f t="shared" si="97"/>
        <v>2.469113716916911E-6</v>
      </c>
      <c r="P160" s="3">
        <f t="shared" si="97"/>
        <v>2.469113716916911E-6</v>
      </c>
      <c r="Q160" s="3">
        <f t="shared" si="97"/>
        <v>2.469113716916911E-6</v>
      </c>
      <c r="R160" s="3">
        <f t="shared" si="97"/>
        <v>2.469113716916911E-6</v>
      </c>
      <c r="S160" s="3">
        <f t="shared" si="97"/>
        <v>2.469113716916911E-6</v>
      </c>
      <c r="T160" s="3">
        <f t="shared" si="97"/>
        <v>2.469113716916911E-6</v>
      </c>
      <c r="U160" s="3">
        <f t="shared" si="97"/>
        <v>2.469113716916911E-6</v>
      </c>
      <c r="V160" s="3">
        <f t="shared" si="97"/>
        <v>2.469113716916911E-6</v>
      </c>
      <c r="W160" s="3">
        <f t="shared" si="97"/>
        <v>2.469113716916911E-6</v>
      </c>
      <c r="X160" s="3">
        <f t="shared" si="97"/>
        <v>2.469113716916911E-6</v>
      </c>
      <c r="Y160" s="3">
        <f t="shared" si="97"/>
        <v>2.469113716916911E-6</v>
      </c>
      <c r="Z160" s="3">
        <f t="shared" si="97"/>
        <v>2.469113716916911E-6</v>
      </c>
      <c r="AA160" s="3">
        <f t="shared" ref="AA160:AF160" si="98">$C46*EXP(-AA$129/$A46/EXP(-$B$126))</f>
        <v>2.469113716916911E-6</v>
      </c>
      <c r="AB160" s="3">
        <f t="shared" si="98"/>
        <v>2.469113716916911E-6</v>
      </c>
      <c r="AC160" s="3">
        <f t="shared" si="98"/>
        <v>2.469113716916911E-6</v>
      </c>
      <c r="AD160" s="3">
        <f t="shared" si="98"/>
        <v>2.469113716916911E-6</v>
      </c>
      <c r="AE160" s="3">
        <f t="shared" si="98"/>
        <v>2.469113716916911E-6</v>
      </c>
      <c r="AF160" s="3">
        <f t="shared" si="98"/>
        <v>2.469113716916911E-6</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80">
        <f>AVERAGE(B163:AF163)</f>
        <v>1.1206996439158312E-2</v>
      </c>
      <c r="B163" s="81">
        <f>IF($A$64&lt;=B129,IF($B$64&gt;=B129,ABS((B131-B130)/B130),0),0)</f>
        <v>0</v>
      </c>
      <c r="C163" s="81">
        <f t="shared" ref="C163:AF163" si="103">IF($A$64&lt;=C129,IF($B$64&gt;=C129,ABS((C131-C130)/C130),0),0)</f>
        <v>0</v>
      </c>
      <c r="D163" s="81">
        <f t="shared" si="103"/>
        <v>0</v>
      </c>
      <c r="E163" s="81">
        <f t="shared" si="103"/>
        <v>0</v>
      </c>
      <c r="F163" s="81">
        <f t="shared" si="103"/>
        <v>0</v>
      </c>
      <c r="G163" s="81">
        <f t="shared" si="103"/>
        <v>0</v>
      </c>
      <c r="H163" s="81">
        <f t="shared" si="103"/>
        <v>0</v>
      </c>
      <c r="I163" s="81">
        <f t="shared" si="103"/>
        <v>0</v>
      </c>
      <c r="J163" s="81">
        <f t="shared" si="103"/>
        <v>0</v>
      </c>
      <c r="K163" s="81">
        <f t="shared" si="103"/>
        <v>0</v>
      </c>
      <c r="L163" s="81">
        <f t="shared" si="103"/>
        <v>2.4223697168124559E-3</v>
      </c>
      <c r="M163" s="81">
        <f t="shared" si="103"/>
        <v>2.3989524794815805E-3</v>
      </c>
      <c r="N163" s="81">
        <f t="shared" si="103"/>
        <v>2.1665478105171074E-3</v>
      </c>
      <c r="O163" s="81">
        <f t="shared" si="103"/>
        <v>5.7716430981339356E-5</v>
      </c>
      <c r="P163" s="81">
        <f t="shared" si="103"/>
        <v>1.7513944335459646E-2</v>
      </c>
      <c r="Q163" s="81">
        <f t="shared" si="103"/>
        <v>4.7030021267995298E-2</v>
      </c>
      <c r="R163" s="81">
        <f t="shared" si="103"/>
        <v>6.7194176255850363E-2</v>
      </c>
      <c r="S163" s="81">
        <f t="shared" si="103"/>
        <v>7.1832043747470625E-2</v>
      </c>
      <c r="T163" s="81">
        <f t="shared" si="103"/>
        <v>2.0415283492070717E-2</v>
      </c>
      <c r="U163" s="81">
        <f t="shared" si="103"/>
        <v>7.4500790723645696E-2</v>
      </c>
      <c r="V163" s="81">
        <f t="shared" si="103"/>
        <v>4.1885043353622857E-2</v>
      </c>
      <c r="W163" s="81">
        <f t="shared" si="103"/>
        <v>0</v>
      </c>
      <c r="X163" s="81">
        <f t="shared" si="103"/>
        <v>0</v>
      </c>
      <c r="Y163" s="81">
        <f t="shared" si="103"/>
        <v>0</v>
      </c>
      <c r="Z163" s="81">
        <f t="shared" si="103"/>
        <v>0</v>
      </c>
      <c r="AA163" s="81">
        <f t="shared" si="103"/>
        <v>0</v>
      </c>
      <c r="AB163" s="81">
        <f t="shared" si="103"/>
        <v>0</v>
      </c>
      <c r="AC163" s="81">
        <f t="shared" si="103"/>
        <v>0</v>
      </c>
      <c r="AD163" s="81">
        <f t="shared" si="103"/>
        <v>0</v>
      </c>
      <c r="AE163" s="81">
        <f t="shared" si="103"/>
        <v>0</v>
      </c>
      <c r="AF163" s="81">
        <f t="shared" si="103"/>
        <v>0</v>
      </c>
    </row>
    <row r="164" spans="1:34" x14ac:dyDescent="0.25">
      <c r="B164" s="21">
        <f>(B131-B130)^2</f>
        <v>186.15837615972328</v>
      </c>
      <c r="C164" s="21">
        <f t="shared" ref="C164:AF164" si="104">(C131-C130)^2</f>
        <v>187.05682177491641</v>
      </c>
      <c r="D164" s="21">
        <f t="shared" si="104"/>
        <v>186.50127938150905</v>
      </c>
      <c r="E164" s="21">
        <f t="shared" si="104"/>
        <v>186.32879994656244</v>
      </c>
      <c r="F164" s="21">
        <f t="shared" si="104"/>
        <v>186.27791159758422</v>
      </c>
      <c r="G164" s="21">
        <f t="shared" si="104"/>
        <v>186.25765701621097</v>
      </c>
      <c r="H164" s="21">
        <f t="shared" si="104"/>
        <v>186.25568104594242</v>
      </c>
      <c r="I164" s="21">
        <f t="shared" si="104"/>
        <v>186.25024738101391</v>
      </c>
      <c r="J164" s="21">
        <f t="shared" si="104"/>
        <v>186.2482741682314</v>
      </c>
      <c r="K164" s="21">
        <f t="shared" si="104"/>
        <v>186.21076041407429</v>
      </c>
      <c r="L164" s="21">
        <f t="shared" si="104"/>
        <v>185.84767439993055</v>
      </c>
      <c r="M164" s="21">
        <f t="shared" si="104"/>
        <v>182.26327076647203</v>
      </c>
      <c r="N164" s="21">
        <f t="shared" si="104"/>
        <v>148.59012300467407</v>
      </c>
      <c r="O164" s="21">
        <f t="shared" si="104"/>
        <v>0.10498246248329522</v>
      </c>
      <c r="P164" s="21">
        <f t="shared" si="104"/>
        <v>9337.6927546488205</v>
      </c>
      <c r="Q164" s="21">
        <f t="shared" si="104"/>
        <v>63566.590947276942</v>
      </c>
      <c r="R164" s="21">
        <f t="shared" si="104"/>
        <v>124458.34460174321</v>
      </c>
      <c r="S164" s="21">
        <f t="shared" si="104"/>
        <v>136256.11608346159</v>
      </c>
      <c r="T164" s="21">
        <f t="shared" si="104"/>
        <v>10485.320319118013</v>
      </c>
      <c r="U164" s="21">
        <f t="shared" si="104"/>
        <v>132252.94932404428</v>
      </c>
      <c r="V164" s="21">
        <f t="shared" si="104"/>
        <v>39003.98740045794</v>
      </c>
      <c r="W164" s="21">
        <f t="shared" si="104"/>
        <v>222.55853800581676</v>
      </c>
      <c r="X164" s="21">
        <f t="shared" si="104"/>
        <v>59234.484443655056</v>
      </c>
      <c r="Y164" s="21">
        <f t="shared" si="104"/>
        <v>203076.33126075901</v>
      </c>
      <c r="Z164" s="21">
        <f t="shared" si="104"/>
        <v>350756.42619147402</v>
      </c>
      <c r="AA164" s="21">
        <f t="shared" si="104"/>
        <v>320858.6398511189</v>
      </c>
      <c r="AB164" s="21">
        <f t="shared" si="104"/>
        <v>399939.55593504285</v>
      </c>
      <c r="AC164" s="21">
        <f t="shared" si="104"/>
        <v>359756.69722146331</v>
      </c>
      <c r="AD164" s="21">
        <f t="shared" si="104"/>
        <v>302837.88927983888</v>
      </c>
      <c r="AE164" s="21">
        <f t="shared" si="104"/>
        <v>280043.99476645875</v>
      </c>
      <c r="AF164" s="21">
        <f t="shared" si="104"/>
        <v>261182.27897017481</v>
      </c>
    </row>
    <row r="165" spans="1:34" x14ac:dyDescent="0.25">
      <c r="A165" s="72">
        <f>SUM(B165:AF165)</f>
        <v>515877.80748138443</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185.84767439993055</v>
      </c>
      <c r="M165" s="60">
        <f t="shared" si="105"/>
        <v>182.26327076647203</v>
      </c>
      <c r="N165" s="60">
        <f t="shared" si="105"/>
        <v>148.59012300467407</v>
      </c>
      <c r="O165" s="60">
        <f t="shared" si="105"/>
        <v>0.10498246248329522</v>
      </c>
      <c r="P165" s="60">
        <f t="shared" si="105"/>
        <v>9337.6927546488205</v>
      </c>
      <c r="Q165" s="60">
        <f t="shared" si="105"/>
        <v>63566.590947276942</v>
      </c>
      <c r="R165" s="60">
        <f t="shared" si="105"/>
        <v>124458.34460174321</v>
      </c>
      <c r="S165" s="60">
        <f t="shared" si="105"/>
        <v>136256.11608346159</v>
      </c>
      <c r="T165" s="60">
        <f t="shared" si="105"/>
        <v>10485.320319118013</v>
      </c>
      <c r="U165" s="60">
        <f t="shared" si="105"/>
        <v>132252.94932404428</v>
      </c>
      <c r="V165" s="60">
        <f t="shared" si="105"/>
        <v>39003.98740045794</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1" t="s">
        <v>22</v>
      </c>
      <c r="B170" s="27">
        <f>($C$17+SUM(B171:B201))*$B$51</f>
        <v>5614.1606999897385</v>
      </c>
      <c r="C170" s="27">
        <f t="shared" ref="C170:AF170" si="106">($C$17+SUM(C171:C201))*$B$51</f>
        <v>5614.1606998973984</v>
      </c>
      <c r="D170" s="27">
        <f t="shared" si="106"/>
        <v>5614.1606989740058</v>
      </c>
      <c r="E170" s="27">
        <f t="shared" si="106"/>
        <v>5614.160689740077</v>
      </c>
      <c r="F170" s="27">
        <f t="shared" si="106"/>
        <v>5614.1605974007953</v>
      </c>
      <c r="G170" s="27">
        <f t="shared" si="106"/>
        <v>5614.1596740084051</v>
      </c>
      <c r="H170" s="27">
        <f t="shared" si="106"/>
        <v>5614.1504401272659</v>
      </c>
      <c r="I170" s="27">
        <f t="shared" si="106"/>
        <v>5614.0581055926286</v>
      </c>
      <c r="J170" s="27">
        <f t="shared" si="106"/>
        <v>5613.1351877877059</v>
      </c>
      <c r="K170" s="27">
        <f t="shared" si="106"/>
        <v>5603.9486309666272</v>
      </c>
      <c r="L170" s="27">
        <f t="shared" si="106"/>
        <v>5516.215321456636</v>
      </c>
      <c r="M170" s="27">
        <f t="shared" si="106"/>
        <v>4947.8319461086376</v>
      </c>
      <c r="N170" s="27">
        <f t="shared" si="106"/>
        <v>4517.7585385607154</v>
      </c>
      <c r="O170" s="27">
        <f t="shared" si="106"/>
        <v>4517.656670617218</v>
      </c>
      <c r="P170" s="27">
        <f t="shared" si="106"/>
        <v>4517.5849145976854</v>
      </c>
      <c r="Q170" s="27">
        <f t="shared" si="106"/>
        <v>4516.8681739411086</v>
      </c>
      <c r="R170" s="27">
        <f t="shared" si="106"/>
        <v>4509.782072776311</v>
      </c>
      <c r="S170" s="27">
        <f t="shared" si="106"/>
        <v>4446.4402273717951</v>
      </c>
      <c r="T170" s="27">
        <f t="shared" si="106"/>
        <v>4198.3396388392566</v>
      </c>
      <c r="U170" s="27">
        <f t="shared" si="106"/>
        <v>4043.1726860476379</v>
      </c>
      <c r="V170" s="27">
        <f t="shared" si="106"/>
        <v>3833.2175114566594</v>
      </c>
      <c r="W170" s="27">
        <f t="shared" si="106"/>
        <v>3626.3796907569763</v>
      </c>
      <c r="X170" s="27">
        <f t="shared" si="106"/>
        <v>3451.9431188729363</v>
      </c>
      <c r="Y170" s="27">
        <f t="shared" si="106"/>
        <v>3288.8240263523685</v>
      </c>
      <c r="Z170" s="27">
        <f t="shared" si="106"/>
        <v>3131.2219956818353</v>
      </c>
      <c r="AA170" s="27">
        <f t="shared" si="106"/>
        <v>2976.1050486940612</v>
      </c>
      <c r="AB170" s="27">
        <f t="shared" si="106"/>
        <v>2819.9612645484917</v>
      </c>
      <c r="AC170" s="27">
        <f t="shared" si="106"/>
        <v>2647.6169853569522</v>
      </c>
      <c r="AD170" s="27">
        <f t="shared" si="106"/>
        <v>2455.1685418447441</v>
      </c>
      <c r="AE170" s="27">
        <f t="shared" si="106"/>
        <v>2242.9761580697809</v>
      </c>
      <c r="AF170" s="27">
        <f t="shared" si="106"/>
        <v>2000.8053694839166</v>
      </c>
      <c r="AG170" s="27"/>
      <c r="AH170" s="27"/>
    </row>
    <row r="171" spans="1:34" x14ac:dyDescent="0.25">
      <c r="B171" s="3">
        <f t="shared" ref="B171:AF171" si="107">$C18*EXP(-B$168/$A18/EXP(-$C$126))</f>
        <v>0.19530898991917545</v>
      </c>
      <c r="C171" s="3">
        <f t="shared" si="107"/>
        <v>0.19530898990272788</v>
      </c>
      <c r="D171" s="3">
        <f t="shared" si="107"/>
        <v>0.19530898973825223</v>
      </c>
      <c r="E171" s="3">
        <f t="shared" si="107"/>
        <v>0.19530898809349562</v>
      </c>
      <c r="F171" s="3">
        <f t="shared" si="107"/>
        <v>0.19530897164593033</v>
      </c>
      <c r="G171" s="3">
        <f t="shared" si="107"/>
        <v>0.19530880717035359</v>
      </c>
      <c r="H171" s="3">
        <f t="shared" si="107"/>
        <v>0.19530716242220439</v>
      </c>
      <c r="I171" s="3">
        <f t="shared" si="107"/>
        <v>0.19529071570249057</v>
      </c>
      <c r="J171" s="3">
        <f t="shared" si="107"/>
        <v>0.19512632465947025</v>
      </c>
      <c r="K171" s="3">
        <f t="shared" si="107"/>
        <v>0.19349000596566654</v>
      </c>
      <c r="L171" s="3">
        <f t="shared" si="107"/>
        <v>0.17786286113999786</v>
      </c>
      <c r="M171" s="3">
        <f t="shared" si="107"/>
        <v>7.662185042527514E-2</v>
      </c>
      <c r="N171" s="3">
        <f t="shared" si="107"/>
        <v>1.6866549857062135E-5</v>
      </c>
      <c r="O171" s="3">
        <f t="shared" si="107"/>
        <v>4.5057017251115653E-42</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5.6906652449858444E-2</v>
      </c>
      <c r="C172" s="3">
        <f t="shared" si="108"/>
        <v>5.6906652449858444E-2</v>
      </c>
      <c r="D172" s="3">
        <f t="shared" si="108"/>
        <v>5.690665244985843E-2</v>
      </c>
      <c r="E172" s="3">
        <f t="shared" si="108"/>
        <v>5.6906652449858305E-2</v>
      </c>
      <c r="F172" s="3">
        <f t="shared" si="108"/>
        <v>5.6906652449857077E-2</v>
      </c>
      <c r="G172" s="3">
        <f t="shared" si="108"/>
        <v>5.6906652449844802E-2</v>
      </c>
      <c r="H172" s="3">
        <f t="shared" si="108"/>
        <v>5.6906652449722046E-2</v>
      </c>
      <c r="I172" s="3">
        <f t="shared" si="108"/>
        <v>5.6906652448494487E-2</v>
      </c>
      <c r="J172" s="3">
        <f t="shared" si="108"/>
        <v>5.6906652436218841E-2</v>
      </c>
      <c r="K172" s="3">
        <f t="shared" si="108"/>
        <v>5.6906652313462376E-2</v>
      </c>
      <c r="L172" s="3">
        <f t="shared" si="108"/>
        <v>5.6906651085897791E-2</v>
      </c>
      <c r="M172" s="3">
        <f t="shared" si="108"/>
        <v>5.6906638810253381E-2</v>
      </c>
      <c r="N172" s="3">
        <f t="shared" si="108"/>
        <v>5.6906516053954942E-2</v>
      </c>
      <c r="O172" s="3">
        <f t="shared" si="108"/>
        <v>5.6905288505534661E-2</v>
      </c>
      <c r="P172" s="3">
        <f t="shared" si="108"/>
        <v>5.6893014477628533E-2</v>
      </c>
      <c r="Q172" s="3">
        <f t="shared" si="108"/>
        <v>5.677041971206534E-2</v>
      </c>
      <c r="R172" s="3">
        <f t="shared" si="108"/>
        <v>5.5558907932145157E-2</v>
      </c>
      <c r="S172" s="3">
        <f t="shared" si="108"/>
        <v>4.4778511884251693E-2</v>
      </c>
      <c r="T172" s="3">
        <f t="shared" si="108"/>
        <v>5.1788009239257813E-3</v>
      </c>
      <c r="U172" s="3">
        <f t="shared" si="108"/>
        <v>2.2173018448385324E-12</v>
      </c>
      <c r="V172" s="3">
        <f t="shared" si="108"/>
        <v>4.5896633738982933E-106</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2.191476034261481E-2</v>
      </c>
      <c r="C173" s="3">
        <f t="shared" si="109"/>
        <v>2.191476034261481E-2</v>
      </c>
      <c r="D173" s="3">
        <f t="shared" si="109"/>
        <v>2.191476034261481E-2</v>
      </c>
      <c r="E173" s="3">
        <f t="shared" si="109"/>
        <v>2.1914760342614806E-2</v>
      </c>
      <c r="F173" s="3">
        <f t="shared" si="109"/>
        <v>2.1914760342614765E-2</v>
      </c>
      <c r="G173" s="3">
        <f t="shared" si="109"/>
        <v>2.1914760342614335E-2</v>
      </c>
      <c r="H173" s="3">
        <f t="shared" si="109"/>
        <v>2.1914760342610074E-2</v>
      </c>
      <c r="I173" s="3">
        <f t="shared" si="109"/>
        <v>2.1914760342567428E-2</v>
      </c>
      <c r="J173" s="3">
        <f t="shared" si="109"/>
        <v>2.1914760342140981E-2</v>
      </c>
      <c r="K173" s="3">
        <f t="shared" si="109"/>
        <v>2.1914760337876513E-2</v>
      </c>
      <c r="L173" s="3">
        <f t="shared" si="109"/>
        <v>2.1914760295231858E-2</v>
      </c>
      <c r="M173" s="3">
        <f t="shared" si="109"/>
        <v>2.1914759868785282E-2</v>
      </c>
      <c r="N173" s="3">
        <f t="shared" si="109"/>
        <v>2.1914755604320001E-2</v>
      </c>
      <c r="O173" s="3">
        <f t="shared" si="109"/>
        <v>2.191471295971284E-2</v>
      </c>
      <c r="P173" s="3">
        <f t="shared" si="109"/>
        <v>2.1914286518205262E-2</v>
      </c>
      <c r="Q173" s="3">
        <f t="shared" si="109"/>
        <v>2.1910022559503077E-2</v>
      </c>
      <c r="R173" s="3">
        <f t="shared" si="109"/>
        <v>2.186742857699718E-2</v>
      </c>
      <c r="S173" s="3">
        <f t="shared" si="109"/>
        <v>2.1446016538708482E-2</v>
      </c>
      <c r="T173" s="3">
        <f t="shared" si="109"/>
        <v>1.7653703782409626E-2</v>
      </c>
      <c r="U173" s="3">
        <f t="shared" si="109"/>
        <v>2.5218997626264366E-3</v>
      </c>
      <c r="V173" s="3">
        <f t="shared" si="109"/>
        <v>8.9258108062942487E-12</v>
      </c>
      <c r="W173" s="3">
        <f t="shared" si="109"/>
        <v>2.7532537619736232E-96</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4.2179983982958157E-2</v>
      </c>
      <c r="C174" s="3">
        <f t="shared" si="110"/>
        <v>4.2179983982958157E-2</v>
      </c>
      <c r="D174" s="3">
        <f t="shared" si="110"/>
        <v>4.2179983982958157E-2</v>
      </c>
      <c r="E174" s="3">
        <f t="shared" si="110"/>
        <v>4.2179983982958157E-2</v>
      </c>
      <c r="F174" s="3">
        <f t="shared" si="110"/>
        <v>4.217998398295815E-2</v>
      </c>
      <c r="G174" s="3">
        <f t="shared" si="110"/>
        <v>4.2179983982958073E-2</v>
      </c>
      <c r="H174" s="3">
        <f t="shared" si="110"/>
        <v>4.2179983982957331E-2</v>
      </c>
      <c r="I174" s="3">
        <f t="shared" si="110"/>
        <v>4.2179983982949927E-2</v>
      </c>
      <c r="J174" s="3">
        <f t="shared" si="110"/>
        <v>4.2179983982875889E-2</v>
      </c>
      <c r="K174" s="3">
        <f t="shared" si="110"/>
        <v>4.2179983982135461E-2</v>
      </c>
      <c r="L174" s="3">
        <f t="shared" si="110"/>
        <v>4.2179983974731217E-2</v>
      </c>
      <c r="M174" s="3">
        <f t="shared" si="110"/>
        <v>4.2179983900688743E-2</v>
      </c>
      <c r="N174" s="3">
        <f t="shared" si="110"/>
        <v>4.2179983160264028E-2</v>
      </c>
      <c r="O174" s="3">
        <f t="shared" si="110"/>
        <v>4.2179975756017611E-2</v>
      </c>
      <c r="P174" s="3">
        <f t="shared" si="110"/>
        <v>4.217990171362495E-2</v>
      </c>
      <c r="Q174" s="3">
        <f t="shared" si="110"/>
        <v>4.2179161296846748E-2</v>
      </c>
      <c r="R174" s="3">
        <f t="shared" si="110"/>
        <v>4.2171757843868451E-2</v>
      </c>
      <c r="S174" s="3">
        <f t="shared" si="110"/>
        <v>4.2097794748045578E-2</v>
      </c>
      <c r="T174" s="3">
        <f t="shared" si="110"/>
        <v>4.1365261006835886E-2</v>
      </c>
      <c r="U174" s="3">
        <f t="shared" si="110"/>
        <v>3.4705635038798595E-2</v>
      </c>
      <c r="V174" s="3">
        <f t="shared" si="110"/>
        <v>5.9984944353323848E-3</v>
      </c>
      <c r="W174" s="3">
        <f t="shared" si="110"/>
        <v>1.4271345118546372E-10</v>
      </c>
      <c r="X174" s="3">
        <f t="shared" si="110"/>
        <v>8.292612883141973E-87</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3.9494315481295991E-2</v>
      </c>
      <c r="C175" s="3">
        <f t="shared" si="111"/>
        <v>3.9494315481295991E-2</v>
      </c>
      <c r="D175" s="3">
        <f t="shared" si="111"/>
        <v>3.9494315481295991E-2</v>
      </c>
      <c r="E175" s="3">
        <f t="shared" si="111"/>
        <v>3.9494315481295991E-2</v>
      </c>
      <c r="F175" s="3">
        <f t="shared" si="111"/>
        <v>3.9494315481295991E-2</v>
      </c>
      <c r="G175" s="3">
        <f t="shared" si="111"/>
        <v>3.9494315481295984E-2</v>
      </c>
      <c r="H175" s="3">
        <f t="shared" si="111"/>
        <v>3.9494315481295922E-2</v>
      </c>
      <c r="I175" s="3">
        <f t="shared" si="111"/>
        <v>3.9494315481295297E-2</v>
      </c>
      <c r="J175" s="3">
        <f t="shared" si="111"/>
        <v>3.9494315481289038E-2</v>
      </c>
      <c r="K175" s="3">
        <f t="shared" si="111"/>
        <v>3.9494315481226505E-2</v>
      </c>
      <c r="L175" s="3">
        <f t="shared" si="111"/>
        <v>3.9494315480601103E-2</v>
      </c>
      <c r="M175" s="3">
        <f t="shared" si="111"/>
        <v>3.9494315474347133E-2</v>
      </c>
      <c r="N175" s="3">
        <f t="shared" si="111"/>
        <v>3.9494315411807451E-2</v>
      </c>
      <c r="O175" s="3">
        <f t="shared" si="111"/>
        <v>3.949431478641062E-2</v>
      </c>
      <c r="P175" s="3">
        <f t="shared" si="111"/>
        <v>3.9494308532442839E-2</v>
      </c>
      <c r="Q175" s="3">
        <f t="shared" si="111"/>
        <v>3.9494245992819456E-2</v>
      </c>
      <c r="R175" s="3">
        <f t="shared" si="111"/>
        <v>3.9493620602032431E-2</v>
      </c>
      <c r="S175" s="3">
        <f t="shared" si="111"/>
        <v>3.9487367238804166E-2</v>
      </c>
      <c r="T175" s="3">
        <f t="shared" si="111"/>
        <v>3.9424888038832255E-2</v>
      </c>
      <c r="U175" s="3">
        <f t="shared" si="111"/>
        <v>3.8805507512971189E-2</v>
      </c>
      <c r="V175" s="3">
        <f t="shared" si="111"/>
        <v>3.3122442722648436E-2</v>
      </c>
      <c r="W175" s="3">
        <f t="shared" si="111"/>
        <v>6.7984867988772346E-3</v>
      </c>
      <c r="X175" s="3">
        <f t="shared" si="111"/>
        <v>9.0221754184952003E-10</v>
      </c>
      <c r="Y175" s="3">
        <f t="shared" si="111"/>
        <v>1.5286263779133659E-78</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3.1232286968780269E-2</v>
      </c>
      <c r="C176" s="3">
        <f t="shared" si="112"/>
        <v>3.1232286968780269E-2</v>
      </c>
      <c r="D176" s="3">
        <f t="shared" si="112"/>
        <v>3.1232286968780269E-2</v>
      </c>
      <c r="E176" s="3">
        <f t="shared" si="112"/>
        <v>3.1232286968780269E-2</v>
      </c>
      <c r="F176" s="3">
        <f t="shared" si="112"/>
        <v>3.1232286968780269E-2</v>
      </c>
      <c r="G176" s="3">
        <f t="shared" si="112"/>
        <v>3.1232286968780269E-2</v>
      </c>
      <c r="H176" s="3">
        <f t="shared" si="112"/>
        <v>3.1232286968780266E-2</v>
      </c>
      <c r="I176" s="3">
        <f t="shared" si="112"/>
        <v>3.1232286968780221E-2</v>
      </c>
      <c r="J176" s="3">
        <f t="shared" si="112"/>
        <v>3.1232286968779773E-2</v>
      </c>
      <c r="K176" s="3">
        <f t="shared" si="112"/>
        <v>3.1232286968775311E-2</v>
      </c>
      <c r="L176" s="3">
        <f t="shared" si="112"/>
        <v>3.1232286968730698E-2</v>
      </c>
      <c r="M176" s="3">
        <f t="shared" si="112"/>
        <v>3.1232286968284558E-2</v>
      </c>
      <c r="N176" s="3">
        <f t="shared" si="112"/>
        <v>3.1232286963823155E-2</v>
      </c>
      <c r="O176" s="3">
        <f t="shared" si="112"/>
        <v>3.1232286919209123E-2</v>
      </c>
      <c r="P176" s="3">
        <f t="shared" si="112"/>
        <v>3.1232286473068811E-2</v>
      </c>
      <c r="Q176" s="3">
        <f t="shared" si="112"/>
        <v>3.1232282011666068E-2</v>
      </c>
      <c r="R176" s="3">
        <f t="shared" si="112"/>
        <v>3.1232237397673664E-2</v>
      </c>
      <c r="S176" s="3">
        <f t="shared" si="112"/>
        <v>3.1231791261254711E-2</v>
      </c>
      <c r="T176" s="3">
        <f t="shared" si="112"/>
        <v>3.1227330247555741E-2</v>
      </c>
      <c r="U176" s="3">
        <f t="shared" si="112"/>
        <v>3.1182755141105477E-2</v>
      </c>
      <c r="V176" s="3">
        <f t="shared" si="112"/>
        <v>3.0740488686396249E-2</v>
      </c>
      <c r="W176" s="3">
        <f t="shared" si="112"/>
        <v>2.6648550732355242E-2</v>
      </c>
      <c r="X176" s="3">
        <f t="shared" si="112"/>
        <v>6.3870729090648995E-3</v>
      </c>
      <c r="Y176" s="3">
        <f t="shared" si="112"/>
        <v>3.9956244266961136E-9</v>
      </c>
      <c r="Z176" s="3">
        <f t="shared" si="112"/>
        <v>3.6678580283343414E-71</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3.0546949875680195E-2</v>
      </c>
      <c r="C177" s="3">
        <f t="shared" si="113"/>
        <v>3.0546949875680195E-2</v>
      </c>
      <c r="D177" s="3">
        <f t="shared" si="113"/>
        <v>3.0546949875680195E-2</v>
      </c>
      <c r="E177" s="3">
        <f t="shared" si="113"/>
        <v>3.0546949875680195E-2</v>
      </c>
      <c r="F177" s="3">
        <f t="shared" si="113"/>
        <v>3.0546949875680195E-2</v>
      </c>
      <c r="G177" s="3">
        <f t="shared" si="113"/>
        <v>3.0546949875680195E-2</v>
      </c>
      <c r="H177" s="3">
        <f t="shared" si="113"/>
        <v>3.0546949875680195E-2</v>
      </c>
      <c r="I177" s="3">
        <f t="shared" si="113"/>
        <v>3.0546949875680192E-2</v>
      </c>
      <c r="J177" s="3">
        <f t="shared" si="113"/>
        <v>3.054694987568015E-2</v>
      </c>
      <c r="K177" s="3">
        <f t="shared" si="113"/>
        <v>3.0546949875679758E-2</v>
      </c>
      <c r="L177" s="3">
        <f t="shared" si="113"/>
        <v>3.054694987567582E-2</v>
      </c>
      <c r="M177" s="3">
        <f t="shared" si="113"/>
        <v>3.0546949875636459E-2</v>
      </c>
      <c r="N177" s="3">
        <f t="shared" si="113"/>
        <v>3.0546949875242833E-2</v>
      </c>
      <c r="O177" s="3">
        <f t="shared" si="113"/>
        <v>3.054694987130659E-2</v>
      </c>
      <c r="P177" s="3">
        <f t="shared" si="113"/>
        <v>3.0546949831944139E-2</v>
      </c>
      <c r="Q177" s="3">
        <f t="shared" si="113"/>
        <v>3.0546949438319638E-2</v>
      </c>
      <c r="R177" s="3">
        <f t="shared" si="113"/>
        <v>3.0546945502074922E-2</v>
      </c>
      <c r="S177" s="3">
        <f t="shared" si="113"/>
        <v>3.0546906139655654E-2</v>
      </c>
      <c r="T177" s="3">
        <f t="shared" si="113"/>
        <v>3.0546512518252644E-2</v>
      </c>
      <c r="U177" s="3">
        <f t="shared" si="113"/>
        <v>3.0542576583178792E-2</v>
      </c>
      <c r="V177" s="3">
        <f t="shared" si="113"/>
        <v>3.0503245114768845E-2</v>
      </c>
      <c r="W177" s="3">
        <f t="shared" si="113"/>
        <v>3.0112705415547742E-2</v>
      </c>
      <c r="X177" s="3">
        <f t="shared" si="113"/>
        <v>2.6472020185634201E-2</v>
      </c>
      <c r="Y177" s="3">
        <f t="shared" si="113"/>
        <v>7.2972660871433326E-3</v>
      </c>
      <c r="Z177" s="3">
        <f t="shared" si="113"/>
        <v>1.8488052078965229E-8</v>
      </c>
      <c r="AA177" s="3">
        <f t="shared" si="113"/>
        <v>2.0146559364336301E-64</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2.9181012135706209E-2</v>
      </c>
      <c r="C178" s="3">
        <f t="shared" si="114"/>
        <v>2.9181012135706209E-2</v>
      </c>
      <c r="D178" s="3">
        <f t="shared" si="114"/>
        <v>2.9181012135706209E-2</v>
      </c>
      <c r="E178" s="3">
        <f t="shared" si="114"/>
        <v>2.9181012135706209E-2</v>
      </c>
      <c r="F178" s="3">
        <f t="shared" si="114"/>
        <v>2.9181012135706209E-2</v>
      </c>
      <c r="G178" s="3">
        <f t="shared" si="114"/>
        <v>2.9181012135706209E-2</v>
      </c>
      <c r="H178" s="3">
        <f t="shared" si="114"/>
        <v>2.9181012135706209E-2</v>
      </c>
      <c r="I178" s="3">
        <f t="shared" si="114"/>
        <v>2.9181012135706209E-2</v>
      </c>
      <c r="J178" s="3">
        <f t="shared" si="114"/>
        <v>2.9181012135706206E-2</v>
      </c>
      <c r="K178" s="3">
        <f t="shared" si="114"/>
        <v>2.9181012135706171E-2</v>
      </c>
      <c r="L178" s="3">
        <f t="shared" si="114"/>
        <v>2.9181012135705835E-2</v>
      </c>
      <c r="M178" s="3">
        <f t="shared" si="114"/>
        <v>2.9181012135702442E-2</v>
      </c>
      <c r="N178" s="3">
        <f t="shared" si="114"/>
        <v>2.9181012135668521E-2</v>
      </c>
      <c r="O178" s="3">
        <f t="shared" si="114"/>
        <v>2.9181012135329316E-2</v>
      </c>
      <c r="P178" s="3">
        <f t="shared" si="114"/>
        <v>2.9181012131937273E-2</v>
      </c>
      <c r="Q178" s="3">
        <f t="shared" si="114"/>
        <v>2.9181012098016854E-2</v>
      </c>
      <c r="R178" s="3">
        <f t="shared" si="114"/>
        <v>2.9181011758812662E-2</v>
      </c>
      <c r="S178" s="3">
        <f t="shared" si="114"/>
        <v>2.9181008366770952E-2</v>
      </c>
      <c r="T178" s="3">
        <f t="shared" si="114"/>
        <v>2.9180974446375532E-2</v>
      </c>
      <c r="U178" s="3">
        <f t="shared" si="114"/>
        <v>2.9180635244589973E-2</v>
      </c>
      <c r="V178" s="3">
        <f t="shared" si="114"/>
        <v>2.9177243443586649E-2</v>
      </c>
      <c r="W178" s="3">
        <f t="shared" si="114"/>
        <v>2.9143347109458692E-2</v>
      </c>
      <c r="X178" s="3">
        <f t="shared" si="114"/>
        <v>2.8806542064964906E-2</v>
      </c>
      <c r="Y178" s="3">
        <f t="shared" si="114"/>
        <v>2.5645320232756928E-2</v>
      </c>
      <c r="Z178" s="3">
        <f t="shared" si="114"/>
        <v>8.0200689825912566E-3</v>
      </c>
      <c r="AA178" s="3">
        <f t="shared" si="114"/>
        <v>7.1759247668037452E-8</v>
      </c>
      <c r="AB178" s="3">
        <f t="shared" si="114"/>
        <v>2.3598022333017691E-58</v>
      </c>
      <c r="AC178" s="3">
        <f t="shared" si="114"/>
        <v>0</v>
      </c>
      <c r="AD178" s="3">
        <f t="shared" si="114"/>
        <v>0</v>
      </c>
      <c r="AE178" s="3">
        <f t="shared" si="114"/>
        <v>0</v>
      </c>
      <c r="AF178" s="3">
        <f t="shared" si="114"/>
        <v>0</v>
      </c>
      <c r="AG178" s="3"/>
      <c r="AH178" s="3"/>
    </row>
    <row r="179" spans="2:34" x14ac:dyDescent="0.25">
      <c r="B179" s="3">
        <f t="shared" ref="B179:AF179" si="115">$C26*EXP(-B$168/$A26/EXP(-$C$126))</f>
        <v>2.8956161504827882E-2</v>
      </c>
      <c r="C179" s="3">
        <f t="shared" si="115"/>
        <v>2.8956161504827882E-2</v>
      </c>
      <c r="D179" s="3">
        <f t="shared" si="115"/>
        <v>2.8956161504827882E-2</v>
      </c>
      <c r="E179" s="3">
        <f t="shared" si="115"/>
        <v>2.8956161504827882E-2</v>
      </c>
      <c r="F179" s="3">
        <f t="shared" si="115"/>
        <v>2.8956161504827882E-2</v>
      </c>
      <c r="G179" s="3">
        <f t="shared" si="115"/>
        <v>2.8956161504827882E-2</v>
      </c>
      <c r="H179" s="3">
        <f t="shared" si="115"/>
        <v>2.8956161504827882E-2</v>
      </c>
      <c r="I179" s="3">
        <f t="shared" si="115"/>
        <v>2.8956161504827882E-2</v>
      </c>
      <c r="J179" s="3">
        <f t="shared" si="115"/>
        <v>2.8956161504827882E-2</v>
      </c>
      <c r="K179" s="3">
        <f t="shared" si="115"/>
        <v>2.8956161504827879E-2</v>
      </c>
      <c r="L179" s="3">
        <f t="shared" si="115"/>
        <v>2.8956161504827851E-2</v>
      </c>
      <c r="M179" s="3">
        <f t="shared" si="115"/>
        <v>2.8956161504827545E-2</v>
      </c>
      <c r="N179" s="3">
        <f t="shared" si="115"/>
        <v>2.895616150482451E-2</v>
      </c>
      <c r="O179" s="3">
        <f t="shared" si="115"/>
        <v>2.8956161504794145E-2</v>
      </c>
      <c r="P179" s="3">
        <f t="shared" si="115"/>
        <v>2.8956161504490513E-2</v>
      </c>
      <c r="Q179" s="3">
        <f t="shared" si="115"/>
        <v>2.8956161501454185E-2</v>
      </c>
      <c r="R179" s="3">
        <f t="shared" si="115"/>
        <v>2.8956161471090924E-2</v>
      </c>
      <c r="S179" s="3">
        <f t="shared" si="115"/>
        <v>2.8956161167458291E-2</v>
      </c>
      <c r="T179" s="3">
        <f t="shared" si="115"/>
        <v>2.8956158131132163E-2</v>
      </c>
      <c r="U179" s="3">
        <f t="shared" si="115"/>
        <v>2.895612776788838E-2</v>
      </c>
      <c r="V179" s="3">
        <f t="shared" si="115"/>
        <v>2.8955824137201682E-2</v>
      </c>
      <c r="W179" s="3">
        <f t="shared" si="115"/>
        <v>2.8952788005440235E-2</v>
      </c>
      <c r="X179" s="3">
        <f t="shared" si="115"/>
        <v>2.8922444191587109E-2</v>
      </c>
      <c r="Y179" s="3">
        <f t="shared" si="115"/>
        <v>2.8620749657092982E-2</v>
      </c>
      <c r="Z179" s="3">
        <f t="shared" si="115"/>
        <v>2.5771585465372067E-2</v>
      </c>
      <c r="AA179" s="3">
        <f t="shared" si="115"/>
        <v>9.0311375902632478E-3</v>
      </c>
      <c r="AB179" s="3">
        <f t="shared" si="115"/>
        <v>2.5220615203207192E-7</v>
      </c>
      <c r="AC179" s="3">
        <f t="shared" si="115"/>
        <v>7.275918875275322E-53</v>
      </c>
      <c r="AD179" s="3">
        <f t="shared" si="115"/>
        <v>0</v>
      </c>
      <c r="AE179" s="3">
        <f t="shared" si="115"/>
        <v>0</v>
      </c>
      <c r="AF179" s="3">
        <f t="shared" si="115"/>
        <v>0</v>
      </c>
      <c r="AG179" s="3"/>
      <c r="AH179" s="3"/>
    </row>
    <row r="180" spans="2:34" x14ac:dyDescent="0.25">
      <c r="B180" s="3">
        <f t="shared" ref="B180:AF180" si="116">$C27*EXP(-B$168/$A27/EXP(-$C$126))</f>
        <v>2.8549428510413092E-2</v>
      </c>
      <c r="C180" s="3">
        <f t="shared" si="116"/>
        <v>2.8549428510413092E-2</v>
      </c>
      <c r="D180" s="3">
        <f t="shared" si="116"/>
        <v>2.8549428510413092E-2</v>
      </c>
      <c r="E180" s="3">
        <f t="shared" si="116"/>
        <v>2.8549428510413092E-2</v>
      </c>
      <c r="F180" s="3">
        <f t="shared" si="116"/>
        <v>2.8549428510413092E-2</v>
      </c>
      <c r="G180" s="3">
        <f t="shared" si="116"/>
        <v>2.8549428510413092E-2</v>
      </c>
      <c r="H180" s="3">
        <f t="shared" si="116"/>
        <v>2.8549428510413092E-2</v>
      </c>
      <c r="I180" s="3">
        <f t="shared" si="116"/>
        <v>2.8549428510413092E-2</v>
      </c>
      <c r="J180" s="3">
        <f t="shared" si="116"/>
        <v>2.8549428510413092E-2</v>
      </c>
      <c r="K180" s="3">
        <f t="shared" si="116"/>
        <v>2.8549428510413092E-2</v>
      </c>
      <c r="L180" s="3">
        <f t="shared" si="116"/>
        <v>2.8549428510413088E-2</v>
      </c>
      <c r="M180" s="3">
        <f t="shared" si="116"/>
        <v>2.8549428510413064E-2</v>
      </c>
      <c r="N180" s="3">
        <f t="shared" si="116"/>
        <v>2.854942851041279E-2</v>
      </c>
      <c r="O180" s="3">
        <f t="shared" si="116"/>
        <v>2.8549428510410091E-2</v>
      </c>
      <c r="P180" s="3">
        <f t="shared" si="116"/>
        <v>2.8549428510383085E-2</v>
      </c>
      <c r="Q180" s="3">
        <f t="shared" si="116"/>
        <v>2.854942851011303E-2</v>
      </c>
      <c r="R180" s="3">
        <f t="shared" si="116"/>
        <v>2.8549428507412485E-2</v>
      </c>
      <c r="S180" s="3">
        <f t="shared" si="116"/>
        <v>2.8549428480407032E-2</v>
      </c>
      <c r="T180" s="3">
        <f t="shared" si="116"/>
        <v>2.8549428210352508E-2</v>
      </c>
      <c r="U180" s="3">
        <f t="shared" si="116"/>
        <v>2.8549425509807373E-2</v>
      </c>
      <c r="V180" s="3">
        <f t="shared" si="116"/>
        <v>2.8549398504370115E-2</v>
      </c>
      <c r="W180" s="3">
        <f t="shared" si="116"/>
        <v>2.8549128451402506E-2</v>
      </c>
      <c r="X180" s="3">
        <f t="shared" si="116"/>
        <v>2.8546428062218271E-2</v>
      </c>
      <c r="Y180" s="3">
        <f t="shared" si="116"/>
        <v>2.8519438214650937E-2</v>
      </c>
      <c r="Z180" s="3">
        <f t="shared" si="116"/>
        <v>2.8250939263530159E-2</v>
      </c>
      <c r="AA180" s="3">
        <f t="shared" si="116"/>
        <v>2.5701125488869409E-2</v>
      </c>
      <c r="AB180" s="3">
        <f t="shared" si="116"/>
        <v>9.9803241929123446E-3</v>
      </c>
      <c r="AC180" s="3">
        <f t="shared" si="116"/>
        <v>7.7816145607793642E-7</v>
      </c>
      <c r="AD180" s="3">
        <f t="shared" si="116"/>
        <v>6.4613070930372666E-48</v>
      </c>
      <c r="AE180" s="3">
        <f t="shared" si="116"/>
        <v>0</v>
      </c>
      <c r="AF180" s="3">
        <f t="shared" si="116"/>
        <v>0</v>
      </c>
      <c r="AG180" s="3"/>
      <c r="AH180" s="3"/>
    </row>
    <row r="181" spans="2:34" x14ac:dyDescent="0.25">
      <c r="B181" s="3">
        <f t="shared" ref="B181:AF181" si="117">$C28*EXP(-B$168/$A28/EXP(-$C$126))</f>
        <v>3.3916990026039671E-2</v>
      </c>
      <c r="C181" s="3">
        <f t="shared" si="117"/>
        <v>3.3916990026039671E-2</v>
      </c>
      <c r="D181" s="3">
        <f t="shared" si="117"/>
        <v>3.3916990026039671E-2</v>
      </c>
      <c r="E181" s="3">
        <f t="shared" si="117"/>
        <v>3.3916990026039671E-2</v>
      </c>
      <c r="F181" s="3">
        <f t="shared" si="117"/>
        <v>3.3916990026039671E-2</v>
      </c>
      <c r="G181" s="3">
        <f t="shared" si="117"/>
        <v>3.3916990026039671E-2</v>
      </c>
      <c r="H181" s="3">
        <f t="shared" si="117"/>
        <v>3.3916990026039671E-2</v>
      </c>
      <c r="I181" s="3">
        <f t="shared" si="117"/>
        <v>3.3916990026039671E-2</v>
      </c>
      <c r="J181" s="3">
        <f t="shared" si="117"/>
        <v>3.3916990026039671E-2</v>
      </c>
      <c r="K181" s="3">
        <f t="shared" si="117"/>
        <v>3.3916990026039671E-2</v>
      </c>
      <c r="L181" s="3">
        <f t="shared" si="117"/>
        <v>3.3916990026039671E-2</v>
      </c>
      <c r="M181" s="3">
        <f t="shared" si="117"/>
        <v>3.3916990026039665E-2</v>
      </c>
      <c r="N181" s="3">
        <f t="shared" si="117"/>
        <v>3.3916990026039637E-2</v>
      </c>
      <c r="O181" s="3">
        <f t="shared" si="117"/>
        <v>3.3916990026039352E-2</v>
      </c>
      <c r="P181" s="3">
        <f t="shared" si="117"/>
        <v>3.3916990026036459E-2</v>
      </c>
      <c r="Q181" s="3">
        <f t="shared" si="117"/>
        <v>3.3916990026007517E-2</v>
      </c>
      <c r="R181" s="3">
        <f t="shared" si="117"/>
        <v>3.3916990025718102E-2</v>
      </c>
      <c r="S181" s="3">
        <f t="shared" si="117"/>
        <v>3.3916990022823973E-2</v>
      </c>
      <c r="T181" s="3">
        <f t="shared" si="117"/>
        <v>3.3916989993882679E-2</v>
      </c>
      <c r="U181" s="3">
        <f t="shared" si="117"/>
        <v>3.3916989704469748E-2</v>
      </c>
      <c r="V181" s="3">
        <f t="shared" si="117"/>
        <v>3.3916986810340527E-2</v>
      </c>
      <c r="W181" s="3">
        <f t="shared" si="117"/>
        <v>3.3916957869061952E-2</v>
      </c>
      <c r="X181" s="3">
        <f t="shared" si="117"/>
        <v>3.3916668457634441E-2</v>
      </c>
      <c r="Y181" s="3">
        <f t="shared" si="117"/>
        <v>3.3913774479180037E-2</v>
      </c>
      <c r="Z181" s="3">
        <f t="shared" si="117"/>
        <v>3.3884848272420963E-2</v>
      </c>
      <c r="AA181" s="3">
        <f t="shared" si="117"/>
        <v>3.3596939706308906E-2</v>
      </c>
      <c r="AB181" s="3">
        <f t="shared" si="117"/>
        <v>3.0849026705504306E-2</v>
      </c>
      <c r="AC181" s="3">
        <f t="shared" si="117"/>
        <v>1.3141923403394668E-2</v>
      </c>
      <c r="AD181" s="3">
        <f t="shared" si="117"/>
        <v>2.5872213289220685E-6</v>
      </c>
      <c r="AE181" s="3">
        <f t="shared" si="117"/>
        <v>2.2624557587672999E-43</v>
      </c>
      <c r="AF181" s="3">
        <f t="shared" si="117"/>
        <v>0</v>
      </c>
      <c r="AG181" s="3"/>
      <c r="AH181" s="3"/>
    </row>
    <row r="182" spans="2:34" x14ac:dyDescent="0.25">
      <c r="B182" s="3">
        <f t="shared" ref="B182:AF182" si="118">$C29*EXP(-B$168/$A29/EXP(-$C$126))</f>
        <v>3.6686036889388041E-2</v>
      </c>
      <c r="C182" s="3">
        <f t="shared" si="118"/>
        <v>3.6686036889388041E-2</v>
      </c>
      <c r="D182" s="3">
        <f t="shared" si="118"/>
        <v>3.6686036889388041E-2</v>
      </c>
      <c r="E182" s="3">
        <f t="shared" si="118"/>
        <v>3.6686036889388041E-2</v>
      </c>
      <c r="F182" s="3">
        <f t="shared" si="118"/>
        <v>3.6686036889388041E-2</v>
      </c>
      <c r="G182" s="3">
        <f t="shared" si="118"/>
        <v>3.6686036889388041E-2</v>
      </c>
      <c r="H182" s="3">
        <f t="shared" si="118"/>
        <v>3.6686036889388041E-2</v>
      </c>
      <c r="I182" s="3">
        <f t="shared" si="118"/>
        <v>3.6686036889388041E-2</v>
      </c>
      <c r="J182" s="3">
        <f t="shared" si="118"/>
        <v>3.6686036889388041E-2</v>
      </c>
      <c r="K182" s="3">
        <f t="shared" si="118"/>
        <v>3.6686036889388041E-2</v>
      </c>
      <c r="L182" s="3">
        <f t="shared" si="118"/>
        <v>3.6686036889388041E-2</v>
      </c>
      <c r="M182" s="3">
        <f t="shared" si="118"/>
        <v>3.6686036889388041E-2</v>
      </c>
      <c r="N182" s="3">
        <f t="shared" si="118"/>
        <v>3.6686036889388034E-2</v>
      </c>
      <c r="O182" s="3">
        <f t="shared" si="118"/>
        <v>3.6686036889388006E-2</v>
      </c>
      <c r="P182" s="3">
        <f t="shared" si="118"/>
        <v>3.6686036889387728E-2</v>
      </c>
      <c r="Q182" s="3">
        <f t="shared" si="118"/>
        <v>3.6686036889384904E-2</v>
      </c>
      <c r="R182" s="3">
        <f t="shared" si="118"/>
        <v>3.6686036889356663E-2</v>
      </c>
      <c r="S182" s="3">
        <f t="shared" si="118"/>
        <v>3.6686036889074278E-2</v>
      </c>
      <c r="T182" s="3">
        <f t="shared" si="118"/>
        <v>3.6686036886250384E-2</v>
      </c>
      <c r="U182" s="3">
        <f t="shared" si="118"/>
        <v>3.6686036858011466E-2</v>
      </c>
      <c r="V182" s="3">
        <f t="shared" si="118"/>
        <v>3.6686036575622305E-2</v>
      </c>
      <c r="W182" s="3">
        <f t="shared" si="118"/>
        <v>3.6686033751730816E-2</v>
      </c>
      <c r="X182" s="3">
        <f t="shared" si="118"/>
        <v>3.6686005512827823E-2</v>
      </c>
      <c r="Y182" s="3">
        <f t="shared" si="118"/>
        <v>3.6685723124993463E-2</v>
      </c>
      <c r="Z182" s="3">
        <f t="shared" si="118"/>
        <v>3.6682899366198396E-2</v>
      </c>
      <c r="AA182" s="3">
        <f t="shared" si="118"/>
        <v>3.6654673729695463E-2</v>
      </c>
      <c r="AB182" s="3">
        <f t="shared" si="118"/>
        <v>3.6373609112596857E-2</v>
      </c>
      <c r="AC182" s="3">
        <f t="shared" si="118"/>
        <v>3.367881232156817E-2</v>
      </c>
      <c r="AD182" s="3">
        <f t="shared" si="118"/>
        <v>1.5597697441979487E-2</v>
      </c>
      <c r="AE182" s="3">
        <f t="shared" si="118"/>
        <v>7.0810511623634232E-6</v>
      </c>
      <c r="AF182" s="3">
        <f t="shared" si="118"/>
        <v>2.6331168787896857E-39</v>
      </c>
      <c r="AG182" s="3"/>
      <c r="AH182" s="3"/>
    </row>
    <row r="183" spans="2:34" x14ac:dyDescent="0.25">
      <c r="B183" s="3">
        <f t="shared" ref="B183:AF183" si="119">$C30*EXP(-B$168/$A30/EXP(-$C$126))</f>
        <v>4.0919511658412108E-2</v>
      </c>
      <c r="C183" s="3">
        <f t="shared" si="119"/>
        <v>4.0919511658412108E-2</v>
      </c>
      <c r="D183" s="3">
        <f t="shared" si="119"/>
        <v>4.0919511658412108E-2</v>
      </c>
      <c r="E183" s="3">
        <f t="shared" si="119"/>
        <v>4.0919511658412108E-2</v>
      </c>
      <c r="F183" s="3">
        <f t="shared" si="119"/>
        <v>4.0919511658412108E-2</v>
      </c>
      <c r="G183" s="3">
        <f t="shared" si="119"/>
        <v>4.0919511658412108E-2</v>
      </c>
      <c r="H183" s="3">
        <f t="shared" si="119"/>
        <v>4.0919511658412108E-2</v>
      </c>
      <c r="I183" s="3">
        <f t="shared" si="119"/>
        <v>4.0919511658412108E-2</v>
      </c>
      <c r="J183" s="3">
        <f t="shared" si="119"/>
        <v>4.0919511658412108E-2</v>
      </c>
      <c r="K183" s="3">
        <f t="shared" si="119"/>
        <v>4.0919511658412108E-2</v>
      </c>
      <c r="L183" s="3">
        <f t="shared" si="119"/>
        <v>4.0919511658412108E-2</v>
      </c>
      <c r="M183" s="3">
        <f t="shared" si="119"/>
        <v>4.0919511658412108E-2</v>
      </c>
      <c r="N183" s="3">
        <f t="shared" si="119"/>
        <v>4.0919511658412108E-2</v>
      </c>
      <c r="O183" s="3">
        <f t="shared" si="119"/>
        <v>4.0919511658412101E-2</v>
      </c>
      <c r="P183" s="3">
        <f t="shared" si="119"/>
        <v>4.0919511658412074E-2</v>
      </c>
      <c r="Q183" s="3">
        <f t="shared" si="119"/>
        <v>4.0919511658411796E-2</v>
      </c>
      <c r="R183" s="3">
        <f t="shared" si="119"/>
        <v>4.0919511658408951E-2</v>
      </c>
      <c r="S183" s="3">
        <f t="shared" si="119"/>
        <v>4.0919511658380536E-2</v>
      </c>
      <c r="T183" s="3">
        <f t="shared" si="119"/>
        <v>4.0919511658096402E-2</v>
      </c>
      <c r="U183" s="3">
        <f t="shared" si="119"/>
        <v>4.0919511655255057E-2</v>
      </c>
      <c r="V183" s="3">
        <f t="shared" si="119"/>
        <v>4.0919511626841591E-2</v>
      </c>
      <c r="W183" s="3">
        <f t="shared" si="119"/>
        <v>4.0919511342706896E-2</v>
      </c>
      <c r="X183" s="3">
        <f t="shared" si="119"/>
        <v>4.0919508501360113E-2</v>
      </c>
      <c r="Y183" s="3">
        <f t="shared" si="119"/>
        <v>4.0919480087903151E-2</v>
      </c>
      <c r="Z183" s="3">
        <f t="shared" si="119"/>
        <v>4.0919195954418598E-2</v>
      </c>
      <c r="AA183" s="3">
        <f t="shared" si="119"/>
        <v>4.0916354728082763E-2</v>
      </c>
      <c r="AB183" s="3">
        <f t="shared" si="119"/>
        <v>4.0887953312902264E-2</v>
      </c>
      <c r="AC183" s="3">
        <f t="shared" si="119"/>
        <v>4.0605021196957893E-2</v>
      </c>
      <c r="AD183" s="3">
        <f t="shared" si="119"/>
        <v>3.7881174552189895E-2</v>
      </c>
      <c r="AE183" s="3">
        <f t="shared" si="119"/>
        <v>1.8917353731185922E-2</v>
      </c>
      <c r="AF183" s="3">
        <f t="shared" si="119"/>
        <v>1.8248613282688778E-5</v>
      </c>
      <c r="AG183" s="3"/>
      <c r="AH183" s="3"/>
    </row>
    <row r="184" spans="2:34" x14ac:dyDescent="0.25">
      <c r="B184" s="3">
        <f t="shared" ref="B184:AF184" si="120">$C31*EXP(-B$168/$A31/EXP(-$C$126))</f>
        <v>4.7755707575506505E-2</v>
      </c>
      <c r="C184" s="3">
        <f t="shared" si="120"/>
        <v>4.7755707575506505E-2</v>
      </c>
      <c r="D184" s="3">
        <f t="shared" si="120"/>
        <v>4.7755707575506505E-2</v>
      </c>
      <c r="E184" s="3">
        <f t="shared" si="120"/>
        <v>4.7755707575506505E-2</v>
      </c>
      <c r="F184" s="3">
        <f t="shared" si="120"/>
        <v>4.7755707575506505E-2</v>
      </c>
      <c r="G184" s="3">
        <f t="shared" si="120"/>
        <v>4.7755707575506505E-2</v>
      </c>
      <c r="H184" s="3">
        <f t="shared" si="120"/>
        <v>4.7755707575506505E-2</v>
      </c>
      <c r="I184" s="3">
        <f t="shared" si="120"/>
        <v>4.7755707575506505E-2</v>
      </c>
      <c r="J184" s="3">
        <f t="shared" si="120"/>
        <v>4.7755707575506505E-2</v>
      </c>
      <c r="K184" s="3">
        <f t="shared" si="120"/>
        <v>4.7755707575506505E-2</v>
      </c>
      <c r="L184" s="3">
        <f t="shared" si="120"/>
        <v>4.7755707575506505E-2</v>
      </c>
      <c r="M184" s="3">
        <f t="shared" si="120"/>
        <v>4.7755707575506505E-2</v>
      </c>
      <c r="N184" s="3">
        <f t="shared" si="120"/>
        <v>4.7755707575506505E-2</v>
      </c>
      <c r="O184" s="3">
        <f t="shared" si="120"/>
        <v>4.7755707575506505E-2</v>
      </c>
      <c r="P184" s="3">
        <f t="shared" si="120"/>
        <v>4.7755707575506498E-2</v>
      </c>
      <c r="Q184" s="3">
        <f t="shared" si="120"/>
        <v>4.775570757550647E-2</v>
      </c>
      <c r="R184" s="3">
        <f t="shared" si="120"/>
        <v>4.7755707575506172E-2</v>
      </c>
      <c r="S184" s="3">
        <f t="shared" si="120"/>
        <v>4.7755707575503181E-2</v>
      </c>
      <c r="T184" s="3">
        <f t="shared" si="120"/>
        <v>4.7755707575473268E-2</v>
      </c>
      <c r="U184" s="3">
        <f t="shared" si="120"/>
        <v>4.7755707575174139E-2</v>
      </c>
      <c r="V184" s="3">
        <f t="shared" si="120"/>
        <v>4.7755707572182796E-2</v>
      </c>
      <c r="W184" s="3">
        <f t="shared" si="120"/>
        <v>4.7755707542269397E-2</v>
      </c>
      <c r="X184" s="3">
        <f t="shared" si="120"/>
        <v>4.7755707243135458E-2</v>
      </c>
      <c r="Y184" s="3">
        <f t="shared" si="120"/>
        <v>4.7755704251796163E-2</v>
      </c>
      <c r="Z184" s="3">
        <f t="shared" si="120"/>
        <v>4.7755674338413469E-2</v>
      </c>
      <c r="AA184" s="3">
        <f t="shared" si="120"/>
        <v>4.7755375205617082E-2</v>
      </c>
      <c r="AB184" s="3">
        <f t="shared" si="120"/>
        <v>4.7752383980705471E-2</v>
      </c>
      <c r="AC184" s="3">
        <f t="shared" si="120"/>
        <v>4.7722482034429518E-2</v>
      </c>
      <c r="AD184" s="3">
        <f t="shared" si="120"/>
        <v>4.7424490471871715E-2</v>
      </c>
      <c r="AE184" s="3">
        <f t="shared" si="120"/>
        <v>4.4545021973849873E-2</v>
      </c>
      <c r="AF184" s="3">
        <f t="shared" si="120"/>
        <v>2.3810264357602667E-2</v>
      </c>
      <c r="AG184" s="3"/>
      <c r="AH184" s="3"/>
    </row>
    <row r="185" spans="2:34" x14ac:dyDescent="0.25">
      <c r="B185" s="3">
        <f t="shared" ref="B185:AF185" si="121">$C32*EXP(-B$168/$A32/EXP(-$C$126))</f>
        <v>5.7469214785363418E-2</v>
      </c>
      <c r="C185" s="3">
        <f t="shared" si="121"/>
        <v>5.7469214785363418E-2</v>
      </c>
      <c r="D185" s="3">
        <f t="shared" si="121"/>
        <v>5.7469214785363418E-2</v>
      </c>
      <c r="E185" s="3">
        <f t="shared" si="121"/>
        <v>5.7469214785363418E-2</v>
      </c>
      <c r="F185" s="3">
        <f t="shared" si="121"/>
        <v>5.7469214785363418E-2</v>
      </c>
      <c r="G185" s="3">
        <f t="shared" si="121"/>
        <v>5.7469214785363418E-2</v>
      </c>
      <c r="H185" s="3">
        <f t="shared" si="121"/>
        <v>5.7469214785363418E-2</v>
      </c>
      <c r="I185" s="3">
        <f t="shared" si="121"/>
        <v>5.7469214785363418E-2</v>
      </c>
      <c r="J185" s="3">
        <f t="shared" si="121"/>
        <v>5.7469214785363418E-2</v>
      </c>
      <c r="K185" s="3">
        <f t="shared" si="121"/>
        <v>5.7469214785363418E-2</v>
      </c>
      <c r="L185" s="3">
        <f t="shared" si="121"/>
        <v>5.7469214785363418E-2</v>
      </c>
      <c r="M185" s="3">
        <f t="shared" si="121"/>
        <v>5.7469214785363418E-2</v>
      </c>
      <c r="N185" s="3">
        <f t="shared" si="121"/>
        <v>5.7469214785363418E-2</v>
      </c>
      <c r="O185" s="3">
        <f t="shared" si="121"/>
        <v>5.7469214785363418E-2</v>
      </c>
      <c r="P185" s="3">
        <f t="shared" si="121"/>
        <v>5.7469214785363418E-2</v>
      </c>
      <c r="Q185" s="3">
        <f t="shared" si="121"/>
        <v>5.7469214785363411E-2</v>
      </c>
      <c r="R185" s="3">
        <f t="shared" si="121"/>
        <v>5.7469214785363376E-2</v>
      </c>
      <c r="S185" s="3">
        <f t="shared" si="121"/>
        <v>5.7469214785363057E-2</v>
      </c>
      <c r="T185" s="3">
        <f t="shared" si="121"/>
        <v>5.746921478535981E-2</v>
      </c>
      <c r="U185" s="3">
        <f t="shared" si="121"/>
        <v>5.7469214785327336E-2</v>
      </c>
      <c r="V185" s="3">
        <f t="shared" si="121"/>
        <v>5.7469214785002609E-2</v>
      </c>
      <c r="W185" s="3">
        <f t="shared" si="121"/>
        <v>5.7469214781755311E-2</v>
      </c>
      <c r="X185" s="3">
        <f t="shared" si="121"/>
        <v>5.7469214749282314E-2</v>
      </c>
      <c r="Y185" s="3">
        <f t="shared" si="121"/>
        <v>5.7469214424552433E-2</v>
      </c>
      <c r="Z185" s="3">
        <f t="shared" si="121"/>
        <v>5.7469211177253655E-2</v>
      </c>
      <c r="AA185" s="3">
        <f t="shared" si="121"/>
        <v>5.7469178704276022E-2</v>
      </c>
      <c r="AB185" s="3">
        <f t="shared" si="121"/>
        <v>5.7468853975508855E-2</v>
      </c>
      <c r="AC185" s="3">
        <f t="shared" si="121"/>
        <v>5.74656067887536E-2</v>
      </c>
      <c r="AD185" s="3">
        <f t="shared" si="121"/>
        <v>5.7433145010734217E-2</v>
      </c>
      <c r="AE185" s="3">
        <f t="shared" si="121"/>
        <v>5.7109534077635214E-2</v>
      </c>
      <c r="AF185" s="3">
        <f t="shared" si="121"/>
        <v>5.3972035892617752E-2</v>
      </c>
      <c r="AG185" s="3"/>
      <c r="AH185" s="3"/>
    </row>
    <row r="186" spans="2:34" x14ac:dyDescent="0.25">
      <c r="B186" s="3">
        <f t="shared" ref="B186:AF186" si="122">$C33*EXP(-B$168/$A33/EXP(-$C$126))</f>
        <v>6.4260885650205518E-2</v>
      </c>
      <c r="C186" s="3">
        <f t="shared" si="122"/>
        <v>6.4260885650205518E-2</v>
      </c>
      <c r="D186" s="3">
        <f t="shared" si="122"/>
        <v>6.4260885650205518E-2</v>
      </c>
      <c r="E186" s="3">
        <f t="shared" si="122"/>
        <v>6.4260885650205518E-2</v>
      </c>
      <c r="F186" s="3">
        <f t="shared" si="122"/>
        <v>6.4260885650205518E-2</v>
      </c>
      <c r="G186" s="3">
        <f t="shared" si="122"/>
        <v>6.4260885650205518E-2</v>
      </c>
      <c r="H186" s="3">
        <f t="shared" si="122"/>
        <v>6.4260885650205518E-2</v>
      </c>
      <c r="I186" s="3">
        <f t="shared" si="122"/>
        <v>6.4260885650205518E-2</v>
      </c>
      <c r="J186" s="3">
        <f t="shared" si="122"/>
        <v>6.4260885650205518E-2</v>
      </c>
      <c r="K186" s="3">
        <f t="shared" si="122"/>
        <v>6.4260885650205518E-2</v>
      </c>
      <c r="L186" s="3">
        <f t="shared" si="122"/>
        <v>6.4260885650205518E-2</v>
      </c>
      <c r="M186" s="3">
        <f t="shared" si="122"/>
        <v>6.4260885650205518E-2</v>
      </c>
      <c r="N186" s="3">
        <f t="shared" si="122"/>
        <v>6.4260885650205518E-2</v>
      </c>
      <c r="O186" s="3">
        <f t="shared" si="122"/>
        <v>6.4260885650205518E-2</v>
      </c>
      <c r="P186" s="3">
        <f t="shared" si="122"/>
        <v>6.4260885650205518E-2</v>
      </c>
      <c r="Q186" s="3">
        <f t="shared" si="122"/>
        <v>6.4260885650205518E-2</v>
      </c>
      <c r="R186" s="3">
        <f t="shared" si="122"/>
        <v>6.4260885650205504E-2</v>
      </c>
      <c r="S186" s="3">
        <f t="shared" si="122"/>
        <v>6.4260885650205476E-2</v>
      </c>
      <c r="T186" s="3">
        <f t="shared" si="122"/>
        <v>6.4260885650205157E-2</v>
      </c>
      <c r="U186" s="3">
        <f t="shared" si="122"/>
        <v>6.4260885650201882E-2</v>
      </c>
      <c r="V186" s="3">
        <f t="shared" si="122"/>
        <v>6.4260885650169131E-2</v>
      </c>
      <c r="W186" s="3">
        <f t="shared" si="122"/>
        <v>6.4260885649841573E-2</v>
      </c>
      <c r="X186" s="3">
        <f t="shared" si="122"/>
        <v>6.4260885646566054E-2</v>
      </c>
      <c r="Y186" s="3">
        <f t="shared" si="122"/>
        <v>6.4260885613810853E-2</v>
      </c>
      <c r="Z186" s="3">
        <f t="shared" si="122"/>
        <v>6.4260885286258826E-2</v>
      </c>
      <c r="AA186" s="3">
        <f t="shared" si="122"/>
        <v>6.4260882010738596E-2</v>
      </c>
      <c r="AB186" s="3">
        <f t="shared" si="122"/>
        <v>6.4260849255545621E-2</v>
      </c>
      <c r="AC186" s="3">
        <f t="shared" si="122"/>
        <v>6.4260521704534085E-2</v>
      </c>
      <c r="AD186" s="3">
        <f t="shared" si="122"/>
        <v>6.4257246286245157E-2</v>
      </c>
      <c r="AE186" s="3">
        <f t="shared" si="122"/>
        <v>6.4224501284262478E-2</v>
      </c>
      <c r="AF186" s="3">
        <f t="shared" si="122"/>
        <v>6.3897967625971094E-2</v>
      </c>
      <c r="AG186" s="3"/>
      <c r="AH186" s="3"/>
    </row>
    <row r="187" spans="2:34" x14ac:dyDescent="0.25">
      <c r="B187" s="3">
        <f t="shared" ref="B187:AF187" si="123">$C34*EXP(-B$168/$A34/EXP(-$C$126))</f>
        <v>6.2189536822504186E-2</v>
      </c>
      <c r="C187" s="3">
        <f t="shared" si="123"/>
        <v>6.2189536822504186E-2</v>
      </c>
      <c r="D187" s="3">
        <f t="shared" si="123"/>
        <v>6.2189536822504186E-2</v>
      </c>
      <c r="E187" s="3">
        <f t="shared" si="123"/>
        <v>6.2189536822504186E-2</v>
      </c>
      <c r="F187" s="3">
        <f t="shared" si="123"/>
        <v>6.2189536822504186E-2</v>
      </c>
      <c r="G187" s="3">
        <f t="shared" si="123"/>
        <v>6.2189536822504186E-2</v>
      </c>
      <c r="H187" s="3">
        <f t="shared" si="123"/>
        <v>6.2189536822504186E-2</v>
      </c>
      <c r="I187" s="3">
        <f t="shared" si="123"/>
        <v>6.2189536822504186E-2</v>
      </c>
      <c r="J187" s="3">
        <f t="shared" si="123"/>
        <v>6.2189536822504186E-2</v>
      </c>
      <c r="K187" s="3">
        <f t="shared" si="123"/>
        <v>6.2189536822504186E-2</v>
      </c>
      <c r="L187" s="3">
        <f t="shared" si="123"/>
        <v>6.2189536822504186E-2</v>
      </c>
      <c r="M187" s="3">
        <f t="shared" si="123"/>
        <v>6.2189536822504186E-2</v>
      </c>
      <c r="N187" s="3">
        <f t="shared" si="123"/>
        <v>6.2189536822504186E-2</v>
      </c>
      <c r="O187" s="3">
        <f t="shared" si="123"/>
        <v>6.2189536822504186E-2</v>
      </c>
      <c r="P187" s="3">
        <f t="shared" si="123"/>
        <v>6.2189536822504186E-2</v>
      </c>
      <c r="Q187" s="3">
        <f t="shared" si="123"/>
        <v>6.2189536822504186E-2</v>
      </c>
      <c r="R187" s="3">
        <f t="shared" si="123"/>
        <v>6.2189536822504186E-2</v>
      </c>
      <c r="S187" s="3">
        <f t="shared" si="123"/>
        <v>6.2189536822504186E-2</v>
      </c>
      <c r="T187" s="3">
        <f t="shared" si="123"/>
        <v>6.2189536822504152E-2</v>
      </c>
      <c r="U187" s="3">
        <f t="shared" si="123"/>
        <v>6.2189536822503867E-2</v>
      </c>
      <c r="V187" s="3">
        <f t="shared" si="123"/>
        <v>6.2189536822501008E-2</v>
      </c>
      <c r="W187" s="3">
        <f t="shared" si="123"/>
        <v>6.2189536822472413E-2</v>
      </c>
      <c r="X187" s="3">
        <f t="shared" si="123"/>
        <v>6.2189536822186461E-2</v>
      </c>
      <c r="Y187" s="3">
        <f t="shared" si="123"/>
        <v>6.2189536819326909E-2</v>
      </c>
      <c r="Z187" s="3">
        <f t="shared" si="123"/>
        <v>6.2189536790731421E-2</v>
      </c>
      <c r="AA187" s="3">
        <f t="shared" si="123"/>
        <v>6.2189536504776551E-2</v>
      </c>
      <c r="AB187" s="3">
        <f t="shared" si="123"/>
        <v>6.2189533645227883E-2</v>
      </c>
      <c r="AC187" s="3">
        <f t="shared" si="123"/>
        <v>6.2189505049748461E-2</v>
      </c>
      <c r="AD187" s="3">
        <f t="shared" si="123"/>
        <v>6.2189219095677414E-2</v>
      </c>
      <c r="AE187" s="3">
        <f t="shared" si="123"/>
        <v>6.2186359627282542E-2</v>
      </c>
      <c r="AF187" s="3">
        <f t="shared" si="123"/>
        <v>6.2157772173666574E-2</v>
      </c>
      <c r="AG187" s="3"/>
      <c r="AH187" s="3"/>
    </row>
    <row r="188" spans="2:34" x14ac:dyDescent="0.25">
      <c r="B188" s="3">
        <f t="shared" ref="B188:AF188" si="124">$C35*EXP(-B$168/$A35/EXP(-$C$126))</f>
        <v>4.8803099741359754E-2</v>
      </c>
      <c r="C188" s="3">
        <f t="shared" si="124"/>
        <v>4.8803099741359754E-2</v>
      </c>
      <c r="D188" s="3">
        <f t="shared" si="124"/>
        <v>4.8803099741359754E-2</v>
      </c>
      <c r="E188" s="3">
        <f t="shared" si="124"/>
        <v>4.8803099741359754E-2</v>
      </c>
      <c r="F188" s="3">
        <f t="shared" si="124"/>
        <v>4.8803099741359754E-2</v>
      </c>
      <c r="G188" s="3">
        <f t="shared" si="124"/>
        <v>4.8803099741359754E-2</v>
      </c>
      <c r="H188" s="3">
        <f t="shared" si="124"/>
        <v>4.8803099741359754E-2</v>
      </c>
      <c r="I188" s="3">
        <f t="shared" si="124"/>
        <v>4.8803099741359754E-2</v>
      </c>
      <c r="J188" s="3">
        <f t="shared" si="124"/>
        <v>4.8803099741359754E-2</v>
      </c>
      <c r="K188" s="3">
        <f t="shared" si="124"/>
        <v>4.8803099741359754E-2</v>
      </c>
      <c r="L188" s="3">
        <f t="shared" si="124"/>
        <v>4.8803099741359754E-2</v>
      </c>
      <c r="M188" s="3">
        <f t="shared" si="124"/>
        <v>4.8803099741359754E-2</v>
      </c>
      <c r="N188" s="3">
        <f t="shared" si="124"/>
        <v>4.8803099741359754E-2</v>
      </c>
      <c r="O188" s="3">
        <f t="shared" si="124"/>
        <v>4.8803099741359754E-2</v>
      </c>
      <c r="P188" s="3">
        <f t="shared" si="124"/>
        <v>4.8803099741359754E-2</v>
      </c>
      <c r="Q188" s="3">
        <f t="shared" si="124"/>
        <v>4.8803099741359754E-2</v>
      </c>
      <c r="R188" s="3">
        <f t="shared" si="124"/>
        <v>4.8803099741359754E-2</v>
      </c>
      <c r="S188" s="3">
        <f t="shared" si="124"/>
        <v>4.8803099741359754E-2</v>
      </c>
      <c r="T188" s="3">
        <f t="shared" si="124"/>
        <v>4.8803099741359754E-2</v>
      </c>
      <c r="U188" s="3">
        <f t="shared" si="124"/>
        <v>4.8803099741359733E-2</v>
      </c>
      <c r="V188" s="3">
        <f t="shared" si="124"/>
        <v>4.8803099741359525E-2</v>
      </c>
      <c r="W188" s="3">
        <f t="shared" si="124"/>
        <v>4.8803099741357506E-2</v>
      </c>
      <c r="X188" s="3">
        <f t="shared" si="124"/>
        <v>4.8803099741337265E-2</v>
      </c>
      <c r="Y188" s="3">
        <f t="shared" si="124"/>
        <v>4.880309974113483E-2</v>
      </c>
      <c r="Z188" s="3">
        <f t="shared" si="124"/>
        <v>4.8803099739110539E-2</v>
      </c>
      <c r="AA188" s="3">
        <f t="shared" si="124"/>
        <v>4.8803099718867565E-2</v>
      </c>
      <c r="AB188" s="3">
        <f t="shared" si="124"/>
        <v>4.8803099516437888E-2</v>
      </c>
      <c r="AC188" s="3">
        <f t="shared" si="124"/>
        <v>4.8803097492141179E-2</v>
      </c>
      <c r="AD188" s="3">
        <f t="shared" si="124"/>
        <v>4.8803077249178713E-2</v>
      </c>
      <c r="AE188" s="3">
        <f t="shared" si="124"/>
        <v>4.8802874820015801E-2</v>
      </c>
      <c r="AF188" s="3">
        <f t="shared" si="124"/>
        <v>4.8800850574566929E-2</v>
      </c>
      <c r="AG188" s="3"/>
      <c r="AH188" s="3"/>
    </row>
    <row r="189" spans="2:34" x14ac:dyDescent="0.25">
      <c r="B189" s="3">
        <f t="shared" ref="B189:AF189" si="125">$C36*EXP(-B$168/$A36/EXP(-$C$126))</f>
        <v>3.0415227107223403E-2</v>
      </c>
      <c r="C189" s="3">
        <f t="shared" si="125"/>
        <v>3.0415227107223403E-2</v>
      </c>
      <c r="D189" s="3">
        <f t="shared" si="125"/>
        <v>3.0415227107223403E-2</v>
      </c>
      <c r="E189" s="3">
        <f t="shared" si="125"/>
        <v>3.0415227107223403E-2</v>
      </c>
      <c r="F189" s="3">
        <f t="shared" si="125"/>
        <v>3.0415227107223403E-2</v>
      </c>
      <c r="G189" s="3">
        <f t="shared" si="125"/>
        <v>3.0415227107223403E-2</v>
      </c>
      <c r="H189" s="3">
        <f t="shared" si="125"/>
        <v>3.0415227107223403E-2</v>
      </c>
      <c r="I189" s="3">
        <f t="shared" si="125"/>
        <v>3.0415227107223403E-2</v>
      </c>
      <c r="J189" s="3">
        <f t="shared" si="125"/>
        <v>3.0415227107223403E-2</v>
      </c>
      <c r="K189" s="3">
        <f t="shared" si="125"/>
        <v>3.0415227107223403E-2</v>
      </c>
      <c r="L189" s="3">
        <f t="shared" si="125"/>
        <v>3.0415227107223403E-2</v>
      </c>
      <c r="M189" s="3">
        <f t="shared" si="125"/>
        <v>3.0415227107223403E-2</v>
      </c>
      <c r="N189" s="3">
        <f t="shared" si="125"/>
        <v>3.0415227107223403E-2</v>
      </c>
      <c r="O189" s="3">
        <f t="shared" si="125"/>
        <v>3.0415227107223403E-2</v>
      </c>
      <c r="P189" s="3">
        <f t="shared" si="125"/>
        <v>3.0415227107223403E-2</v>
      </c>
      <c r="Q189" s="3">
        <f t="shared" si="125"/>
        <v>3.0415227107223403E-2</v>
      </c>
      <c r="R189" s="3">
        <f t="shared" si="125"/>
        <v>3.0415227107223403E-2</v>
      </c>
      <c r="S189" s="3">
        <f t="shared" si="125"/>
        <v>3.0415227107223403E-2</v>
      </c>
      <c r="T189" s="3">
        <f t="shared" si="125"/>
        <v>3.0415227107223403E-2</v>
      </c>
      <c r="U189" s="3">
        <f t="shared" si="125"/>
        <v>3.0415227107223403E-2</v>
      </c>
      <c r="V189" s="3">
        <f t="shared" si="125"/>
        <v>3.0415227107223389E-2</v>
      </c>
      <c r="W189" s="3">
        <f t="shared" si="125"/>
        <v>3.0415227107223278E-2</v>
      </c>
      <c r="X189" s="3">
        <f t="shared" si="125"/>
        <v>3.041522710722214E-2</v>
      </c>
      <c r="Y189" s="3">
        <f t="shared" si="125"/>
        <v>3.0415227107210757E-2</v>
      </c>
      <c r="Z189" s="3">
        <f t="shared" si="125"/>
        <v>3.0415227107096952E-2</v>
      </c>
      <c r="AA189" s="3">
        <f t="shared" si="125"/>
        <v>3.0415227105958894E-2</v>
      </c>
      <c r="AB189" s="3">
        <f t="shared" si="125"/>
        <v>3.0415227094578313E-2</v>
      </c>
      <c r="AC189" s="3">
        <f t="shared" si="125"/>
        <v>3.0415226980772505E-2</v>
      </c>
      <c r="AD189" s="3">
        <f t="shared" si="125"/>
        <v>3.0415225842714451E-2</v>
      </c>
      <c r="AE189" s="3">
        <f t="shared" si="125"/>
        <v>3.0415214462136228E-2</v>
      </c>
      <c r="AF189" s="3">
        <f t="shared" si="125"/>
        <v>3.0415100656588225E-2</v>
      </c>
      <c r="AG189" s="3"/>
      <c r="AH189" s="3"/>
    </row>
    <row r="190" spans="2:34" x14ac:dyDescent="0.25">
      <c r="B190" s="3">
        <f t="shared" ref="B190:AF190" si="126">$C37*EXP(-B$168/$A37/EXP(-$C$126))</f>
        <v>1.5463317607252298E-2</v>
      </c>
      <c r="C190" s="3">
        <f t="shared" si="126"/>
        <v>1.5463317607252298E-2</v>
      </c>
      <c r="D190" s="3">
        <f t="shared" si="126"/>
        <v>1.5463317607252298E-2</v>
      </c>
      <c r="E190" s="3">
        <f t="shared" si="126"/>
        <v>1.5463317607252298E-2</v>
      </c>
      <c r="F190" s="3">
        <f t="shared" si="126"/>
        <v>1.5463317607252298E-2</v>
      </c>
      <c r="G190" s="3">
        <f t="shared" si="126"/>
        <v>1.5463317607252298E-2</v>
      </c>
      <c r="H190" s="3">
        <f t="shared" si="126"/>
        <v>1.5463317607252298E-2</v>
      </c>
      <c r="I190" s="3">
        <f t="shared" si="126"/>
        <v>1.5463317607252298E-2</v>
      </c>
      <c r="J190" s="3">
        <f t="shared" si="126"/>
        <v>1.5463317607252298E-2</v>
      </c>
      <c r="K190" s="3">
        <f t="shared" si="126"/>
        <v>1.5463317607252298E-2</v>
      </c>
      <c r="L190" s="3">
        <f t="shared" si="126"/>
        <v>1.5463317607252298E-2</v>
      </c>
      <c r="M190" s="3">
        <f t="shared" si="126"/>
        <v>1.5463317607252298E-2</v>
      </c>
      <c r="N190" s="3">
        <f t="shared" si="126"/>
        <v>1.5463317607252298E-2</v>
      </c>
      <c r="O190" s="3">
        <f t="shared" si="126"/>
        <v>1.5463317607252298E-2</v>
      </c>
      <c r="P190" s="3">
        <f t="shared" si="126"/>
        <v>1.5463317607252298E-2</v>
      </c>
      <c r="Q190" s="3">
        <f t="shared" si="126"/>
        <v>1.5463317607252298E-2</v>
      </c>
      <c r="R190" s="3">
        <f t="shared" si="126"/>
        <v>1.5463317607252298E-2</v>
      </c>
      <c r="S190" s="3">
        <f t="shared" si="126"/>
        <v>1.5463317607252298E-2</v>
      </c>
      <c r="T190" s="3">
        <f t="shared" si="126"/>
        <v>1.5463317607252298E-2</v>
      </c>
      <c r="U190" s="3">
        <f t="shared" si="126"/>
        <v>1.5463317607252298E-2</v>
      </c>
      <c r="V190" s="3">
        <f t="shared" si="126"/>
        <v>1.5463317607252298E-2</v>
      </c>
      <c r="W190" s="3">
        <f t="shared" si="126"/>
        <v>1.5463317607252293E-2</v>
      </c>
      <c r="X190" s="3">
        <f t="shared" si="126"/>
        <v>1.5463317607252239E-2</v>
      </c>
      <c r="Y190" s="3">
        <f t="shared" si="126"/>
        <v>1.5463317607251717E-2</v>
      </c>
      <c r="Z190" s="3">
        <f t="shared" si="126"/>
        <v>1.5463317607246499E-2</v>
      </c>
      <c r="AA190" s="3">
        <f t="shared" si="126"/>
        <v>1.5463317607194304E-2</v>
      </c>
      <c r="AB190" s="3">
        <f t="shared" si="126"/>
        <v>1.5463317606672362E-2</v>
      </c>
      <c r="AC190" s="3">
        <f t="shared" si="126"/>
        <v>1.5463317601452937E-2</v>
      </c>
      <c r="AD190" s="3">
        <f t="shared" si="126"/>
        <v>1.546331754925869E-2</v>
      </c>
      <c r="AE190" s="3">
        <f t="shared" si="126"/>
        <v>1.5463317027316239E-2</v>
      </c>
      <c r="AF190" s="3">
        <f t="shared" si="126"/>
        <v>1.5463311807892684E-2</v>
      </c>
      <c r="AG190" s="3"/>
      <c r="AH190" s="3"/>
    </row>
    <row r="191" spans="2:34" x14ac:dyDescent="0.25">
      <c r="B191" s="3">
        <f t="shared" ref="B191:AF191" si="127">$C38*EXP(-B$168/$A38/EXP(-$C$126))</f>
        <v>6.4979326784240111E-3</v>
      </c>
      <c r="C191" s="3">
        <f t="shared" si="127"/>
        <v>6.4979326784240111E-3</v>
      </c>
      <c r="D191" s="3">
        <f t="shared" si="127"/>
        <v>6.4979326784240111E-3</v>
      </c>
      <c r="E191" s="3">
        <f t="shared" si="127"/>
        <v>6.4979326784240111E-3</v>
      </c>
      <c r="F191" s="3">
        <f t="shared" si="127"/>
        <v>6.4979326784240111E-3</v>
      </c>
      <c r="G191" s="3">
        <f t="shared" si="127"/>
        <v>6.4979326784240111E-3</v>
      </c>
      <c r="H191" s="3">
        <f t="shared" si="127"/>
        <v>6.4979326784240111E-3</v>
      </c>
      <c r="I191" s="3">
        <f t="shared" si="127"/>
        <v>6.4979326784240111E-3</v>
      </c>
      <c r="J191" s="3">
        <f t="shared" si="127"/>
        <v>6.4979326784240111E-3</v>
      </c>
      <c r="K191" s="3">
        <f t="shared" si="127"/>
        <v>6.4979326784240111E-3</v>
      </c>
      <c r="L191" s="3">
        <f t="shared" si="127"/>
        <v>6.4979326784240111E-3</v>
      </c>
      <c r="M191" s="3">
        <f t="shared" si="127"/>
        <v>6.4979326784240111E-3</v>
      </c>
      <c r="N191" s="3">
        <f t="shared" si="127"/>
        <v>6.4979326784240111E-3</v>
      </c>
      <c r="O191" s="3">
        <f t="shared" si="127"/>
        <v>6.4979326784240111E-3</v>
      </c>
      <c r="P191" s="3">
        <f t="shared" si="127"/>
        <v>6.4979326784240111E-3</v>
      </c>
      <c r="Q191" s="3">
        <f t="shared" si="127"/>
        <v>6.4979326784240111E-3</v>
      </c>
      <c r="R191" s="3">
        <f t="shared" si="127"/>
        <v>6.4979326784240111E-3</v>
      </c>
      <c r="S191" s="3">
        <f t="shared" si="127"/>
        <v>6.4979326784240111E-3</v>
      </c>
      <c r="T191" s="3">
        <f t="shared" si="127"/>
        <v>6.4979326784240111E-3</v>
      </c>
      <c r="U191" s="3">
        <f t="shared" si="127"/>
        <v>6.4979326784240111E-3</v>
      </c>
      <c r="V191" s="3">
        <f t="shared" si="127"/>
        <v>6.4979326784240111E-3</v>
      </c>
      <c r="W191" s="3">
        <f t="shared" si="127"/>
        <v>6.4979326784240111E-3</v>
      </c>
      <c r="X191" s="3">
        <f t="shared" si="127"/>
        <v>6.4979326784240093E-3</v>
      </c>
      <c r="Y191" s="3">
        <f t="shared" si="127"/>
        <v>6.4979326784239894E-3</v>
      </c>
      <c r="Z191" s="3">
        <f t="shared" si="127"/>
        <v>6.4979326784237908E-3</v>
      </c>
      <c r="AA191" s="3">
        <f t="shared" si="127"/>
        <v>6.4979326784218132E-3</v>
      </c>
      <c r="AB191" s="3">
        <f t="shared" si="127"/>
        <v>6.4979326784020278E-3</v>
      </c>
      <c r="AC191" s="3">
        <f t="shared" si="127"/>
        <v>6.4979326782041748E-3</v>
      </c>
      <c r="AD191" s="3">
        <f t="shared" si="127"/>
        <v>6.4979326762256489E-3</v>
      </c>
      <c r="AE191" s="3">
        <f t="shared" si="127"/>
        <v>6.4979326564403896E-3</v>
      </c>
      <c r="AF191" s="3">
        <f t="shared" si="127"/>
        <v>6.4979324585877967E-3</v>
      </c>
      <c r="AG191" s="3"/>
      <c r="AH191" s="3"/>
    </row>
    <row r="192" spans="2:34" x14ac:dyDescent="0.25">
      <c r="B192" s="3">
        <f t="shared" ref="B192:AF192" si="128">$C39*EXP(-B$168/$A39/EXP(-$C$126))</f>
        <v>1.7266189453767201E-3</v>
      </c>
      <c r="C192" s="3">
        <f t="shared" si="128"/>
        <v>1.7266189453767201E-3</v>
      </c>
      <c r="D192" s="3">
        <f t="shared" si="128"/>
        <v>1.7266189453767201E-3</v>
      </c>
      <c r="E192" s="3">
        <f t="shared" si="128"/>
        <v>1.7266189453767201E-3</v>
      </c>
      <c r="F192" s="3">
        <f t="shared" si="128"/>
        <v>1.7266189453767201E-3</v>
      </c>
      <c r="G192" s="3">
        <f t="shared" si="128"/>
        <v>1.7266189453767201E-3</v>
      </c>
      <c r="H192" s="3">
        <f t="shared" si="128"/>
        <v>1.7266189453767201E-3</v>
      </c>
      <c r="I192" s="3">
        <f t="shared" si="128"/>
        <v>1.7266189453767201E-3</v>
      </c>
      <c r="J192" s="3">
        <f t="shared" si="128"/>
        <v>1.7266189453767201E-3</v>
      </c>
      <c r="K192" s="3">
        <f t="shared" si="128"/>
        <v>1.7266189453767201E-3</v>
      </c>
      <c r="L192" s="3">
        <f t="shared" si="128"/>
        <v>1.7266189453767201E-3</v>
      </c>
      <c r="M192" s="3">
        <f t="shared" si="128"/>
        <v>1.7266189453767201E-3</v>
      </c>
      <c r="N192" s="3">
        <f t="shared" si="128"/>
        <v>1.7266189453767201E-3</v>
      </c>
      <c r="O192" s="3">
        <f t="shared" si="128"/>
        <v>1.7266189453767201E-3</v>
      </c>
      <c r="P192" s="3">
        <f t="shared" si="128"/>
        <v>1.7266189453767201E-3</v>
      </c>
      <c r="Q192" s="3">
        <f t="shared" si="128"/>
        <v>1.7266189453767201E-3</v>
      </c>
      <c r="R192" s="3">
        <f t="shared" si="128"/>
        <v>1.7266189453767201E-3</v>
      </c>
      <c r="S192" s="3">
        <f t="shared" si="128"/>
        <v>1.7266189453767201E-3</v>
      </c>
      <c r="T192" s="3">
        <f t="shared" si="128"/>
        <v>1.7266189453767201E-3</v>
      </c>
      <c r="U192" s="3">
        <f t="shared" si="128"/>
        <v>1.7266189453767201E-3</v>
      </c>
      <c r="V192" s="3">
        <f t="shared" si="128"/>
        <v>1.7266189453767201E-3</v>
      </c>
      <c r="W192" s="3">
        <f t="shared" si="128"/>
        <v>1.7266189453767201E-3</v>
      </c>
      <c r="X192" s="3">
        <f t="shared" si="128"/>
        <v>1.7266189453767199E-3</v>
      </c>
      <c r="Y192" s="3">
        <f t="shared" si="128"/>
        <v>1.7266189453767186E-3</v>
      </c>
      <c r="Z192" s="3">
        <f t="shared" si="128"/>
        <v>1.7266189453767041E-3</v>
      </c>
      <c r="AA192" s="3">
        <f t="shared" si="128"/>
        <v>1.7266189453765586E-3</v>
      </c>
      <c r="AB192" s="3">
        <f t="shared" si="128"/>
        <v>1.7266189453751044E-3</v>
      </c>
      <c r="AC192" s="3">
        <f t="shared" si="128"/>
        <v>1.7266189453605642E-3</v>
      </c>
      <c r="AD192" s="3">
        <f t="shared" si="128"/>
        <v>1.7266189452151603E-3</v>
      </c>
      <c r="AE192" s="3">
        <f t="shared" si="128"/>
        <v>1.7266189437611216E-3</v>
      </c>
      <c r="AF192" s="3">
        <f t="shared" si="128"/>
        <v>1.7266189292207367E-3</v>
      </c>
      <c r="AG192" s="3"/>
      <c r="AH192" s="3"/>
    </row>
    <row r="193" spans="1:34" x14ac:dyDescent="0.25">
      <c r="B193" s="3">
        <f t="shared" ref="B193:AF193" si="129">$C40*EXP(-B$168/$A40/EXP(-$C$126))</f>
        <v>4.5003340048363309E-3</v>
      </c>
      <c r="C193" s="3">
        <f t="shared" si="129"/>
        <v>4.5003340048363309E-3</v>
      </c>
      <c r="D193" s="3">
        <f t="shared" si="129"/>
        <v>4.5003340048363309E-3</v>
      </c>
      <c r="E193" s="3">
        <f t="shared" si="129"/>
        <v>4.5003340048363309E-3</v>
      </c>
      <c r="F193" s="3">
        <f t="shared" si="129"/>
        <v>4.5003340048363309E-3</v>
      </c>
      <c r="G193" s="3">
        <f t="shared" si="129"/>
        <v>4.5003340048363309E-3</v>
      </c>
      <c r="H193" s="3">
        <f t="shared" si="129"/>
        <v>4.5003340048363309E-3</v>
      </c>
      <c r="I193" s="3">
        <f t="shared" si="129"/>
        <v>4.5003340048363309E-3</v>
      </c>
      <c r="J193" s="3">
        <f t="shared" si="129"/>
        <v>4.5003340048363309E-3</v>
      </c>
      <c r="K193" s="3">
        <f t="shared" si="129"/>
        <v>4.5003340048363309E-3</v>
      </c>
      <c r="L193" s="3">
        <f t="shared" si="129"/>
        <v>4.5003340048363309E-3</v>
      </c>
      <c r="M193" s="3">
        <f t="shared" si="129"/>
        <v>4.5003340048363309E-3</v>
      </c>
      <c r="N193" s="3">
        <f t="shared" si="129"/>
        <v>4.5003340048363309E-3</v>
      </c>
      <c r="O193" s="3">
        <f t="shared" si="129"/>
        <v>4.5003340048363309E-3</v>
      </c>
      <c r="P193" s="3">
        <f t="shared" si="129"/>
        <v>4.5003340048363309E-3</v>
      </c>
      <c r="Q193" s="3">
        <f t="shared" si="129"/>
        <v>4.5003340048363309E-3</v>
      </c>
      <c r="R193" s="3">
        <f t="shared" si="129"/>
        <v>4.5003340048363309E-3</v>
      </c>
      <c r="S193" s="3">
        <f t="shared" si="129"/>
        <v>4.5003340048363309E-3</v>
      </c>
      <c r="T193" s="3">
        <f t="shared" si="129"/>
        <v>4.5003340048363309E-3</v>
      </c>
      <c r="U193" s="3">
        <f t="shared" si="129"/>
        <v>4.5003340048363309E-3</v>
      </c>
      <c r="V193" s="3">
        <f t="shared" si="129"/>
        <v>4.5003340048363309E-3</v>
      </c>
      <c r="W193" s="3">
        <f t="shared" si="129"/>
        <v>4.5003340048363309E-3</v>
      </c>
      <c r="X193" s="3">
        <f t="shared" si="129"/>
        <v>4.5003340048363309E-3</v>
      </c>
      <c r="Y193" s="3">
        <f t="shared" si="129"/>
        <v>4.5003340048363301E-3</v>
      </c>
      <c r="Z193" s="3">
        <f t="shared" si="129"/>
        <v>4.5003340048363266E-3</v>
      </c>
      <c r="AA193" s="3">
        <f t="shared" si="129"/>
        <v>4.5003340048362893E-3</v>
      </c>
      <c r="AB193" s="3">
        <f t="shared" si="129"/>
        <v>4.5003340048359094E-3</v>
      </c>
      <c r="AC193" s="3">
        <f t="shared" si="129"/>
        <v>4.5003340048321199E-3</v>
      </c>
      <c r="AD193" s="3">
        <f t="shared" si="129"/>
        <v>4.5003340047942214E-3</v>
      </c>
      <c r="AE193" s="3">
        <f t="shared" si="129"/>
        <v>4.5003340044152346E-3</v>
      </c>
      <c r="AF193" s="3">
        <f t="shared" si="129"/>
        <v>4.5003340006253651E-3</v>
      </c>
      <c r="AG193" s="3"/>
      <c r="AH193" s="3"/>
    </row>
    <row r="194" spans="1:34" x14ac:dyDescent="0.25">
      <c r="B194" s="3">
        <f t="shared" ref="B194:AF194" si="130">$C41*EXP(-B$168/$A41/EXP(-$C$126))</f>
        <v>6.1948117203855881E-4</v>
      </c>
      <c r="C194" s="3">
        <f t="shared" si="130"/>
        <v>6.1948117203855881E-4</v>
      </c>
      <c r="D194" s="3">
        <f t="shared" si="130"/>
        <v>6.1948117203855881E-4</v>
      </c>
      <c r="E194" s="3">
        <f t="shared" si="130"/>
        <v>6.1948117203855881E-4</v>
      </c>
      <c r="F194" s="3">
        <f t="shared" si="130"/>
        <v>6.1948117203855881E-4</v>
      </c>
      <c r="G194" s="3">
        <f t="shared" si="130"/>
        <v>6.1948117203855881E-4</v>
      </c>
      <c r="H194" s="3">
        <f t="shared" si="130"/>
        <v>6.1948117203855881E-4</v>
      </c>
      <c r="I194" s="3">
        <f t="shared" si="130"/>
        <v>6.1948117203855881E-4</v>
      </c>
      <c r="J194" s="3">
        <f t="shared" si="130"/>
        <v>6.1948117203855881E-4</v>
      </c>
      <c r="K194" s="3">
        <f t="shared" si="130"/>
        <v>6.1948117203855881E-4</v>
      </c>
      <c r="L194" s="3">
        <f t="shared" si="130"/>
        <v>6.1948117203855881E-4</v>
      </c>
      <c r="M194" s="3">
        <f t="shared" si="130"/>
        <v>6.1948117203855881E-4</v>
      </c>
      <c r="N194" s="3">
        <f t="shared" si="130"/>
        <v>6.1948117203855881E-4</v>
      </c>
      <c r="O194" s="3">
        <f t="shared" si="130"/>
        <v>6.1948117203855881E-4</v>
      </c>
      <c r="P194" s="3">
        <f t="shared" si="130"/>
        <v>6.1948117203855881E-4</v>
      </c>
      <c r="Q194" s="3">
        <f t="shared" si="130"/>
        <v>6.1948117203855881E-4</v>
      </c>
      <c r="R194" s="3">
        <f t="shared" si="130"/>
        <v>6.1948117203855881E-4</v>
      </c>
      <c r="S194" s="3">
        <f t="shared" si="130"/>
        <v>6.1948117203855881E-4</v>
      </c>
      <c r="T194" s="3">
        <f t="shared" si="130"/>
        <v>6.1948117203855881E-4</v>
      </c>
      <c r="U194" s="3">
        <f t="shared" si="130"/>
        <v>6.1948117203855881E-4</v>
      </c>
      <c r="V194" s="3">
        <f t="shared" si="130"/>
        <v>6.1948117203855881E-4</v>
      </c>
      <c r="W194" s="3">
        <f t="shared" si="130"/>
        <v>6.1948117203855881E-4</v>
      </c>
      <c r="X194" s="3">
        <f t="shared" si="130"/>
        <v>6.1948117203855881E-4</v>
      </c>
      <c r="Y194" s="3">
        <f t="shared" si="130"/>
        <v>6.1948117203855881E-4</v>
      </c>
      <c r="Z194" s="3">
        <f t="shared" si="130"/>
        <v>6.1948117203855871E-4</v>
      </c>
      <c r="AA194" s="3">
        <f t="shared" si="130"/>
        <v>6.1948117203855827E-4</v>
      </c>
      <c r="AB194" s="3">
        <f t="shared" si="130"/>
        <v>6.1948117203855307E-4</v>
      </c>
      <c r="AC194" s="3">
        <f t="shared" si="130"/>
        <v>6.1948117203850081E-4</v>
      </c>
      <c r="AD194" s="3">
        <f t="shared" si="130"/>
        <v>6.194811720379792E-4</v>
      </c>
      <c r="AE194" s="3">
        <f t="shared" si="130"/>
        <v>6.1948117203276234E-4</v>
      </c>
      <c r="AF194" s="3">
        <f t="shared" si="130"/>
        <v>6.194811719805939E-4</v>
      </c>
      <c r="AG194" s="3"/>
      <c r="AH194" s="3"/>
    </row>
    <row r="195" spans="1:34" x14ac:dyDescent="0.25">
      <c r="B195" s="3">
        <f t="shared" ref="B195:AF195" si="131">$C42*EXP(-B$168/$A42/EXP(-$C$126))</f>
        <v>7.8921984991154562E-4</v>
      </c>
      <c r="C195" s="3">
        <f t="shared" si="131"/>
        <v>7.8921984991154562E-4</v>
      </c>
      <c r="D195" s="3">
        <f t="shared" si="131"/>
        <v>7.8921984991154562E-4</v>
      </c>
      <c r="E195" s="3">
        <f t="shared" si="131"/>
        <v>7.8921984991154562E-4</v>
      </c>
      <c r="F195" s="3">
        <f t="shared" si="131"/>
        <v>7.8921984991154562E-4</v>
      </c>
      <c r="G195" s="3">
        <f t="shared" si="131"/>
        <v>7.8921984991154562E-4</v>
      </c>
      <c r="H195" s="3">
        <f t="shared" si="131"/>
        <v>7.8921984991154562E-4</v>
      </c>
      <c r="I195" s="3">
        <f t="shared" si="131"/>
        <v>7.8921984991154562E-4</v>
      </c>
      <c r="J195" s="3">
        <f t="shared" si="131"/>
        <v>7.8921984991154562E-4</v>
      </c>
      <c r="K195" s="3">
        <f t="shared" si="131"/>
        <v>7.8921984991154562E-4</v>
      </c>
      <c r="L195" s="3">
        <f t="shared" si="131"/>
        <v>7.8921984991154562E-4</v>
      </c>
      <c r="M195" s="3">
        <f t="shared" si="131"/>
        <v>7.8921984991154562E-4</v>
      </c>
      <c r="N195" s="3">
        <f t="shared" si="131"/>
        <v>7.8921984991154562E-4</v>
      </c>
      <c r="O195" s="3">
        <f t="shared" si="131"/>
        <v>7.8921984991154562E-4</v>
      </c>
      <c r="P195" s="3">
        <f t="shared" si="131"/>
        <v>7.8921984991154562E-4</v>
      </c>
      <c r="Q195" s="3">
        <f t="shared" si="131"/>
        <v>7.8921984991154562E-4</v>
      </c>
      <c r="R195" s="3">
        <f t="shared" si="131"/>
        <v>7.8921984991154562E-4</v>
      </c>
      <c r="S195" s="3">
        <f t="shared" si="131"/>
        <v>7.8921984991154562E-4</v>
      </c>
      <c r="T195" s="3">
        <f t="shared" si="131"/>
        <v>7.8921984991154562E-4</v>
      </c>
      <c r="U195" s="3">
        <f t="shared" si="131"/>
        <v>7.8921984991154562E-4</v>
      </c>
      <c r="V195" s="3">
        <f t="shared" si="131"/>
        <v>7.8921984991154562E-4</v>
      </c>
      <c r="W195" s="3">
        <f t="shared" si="131"/>
        <v>7.8921984991154562E-4</v>
      </c>
      <c r="X195" s="3">
        <f t="shared" si="131"/>
        <v>7.8921984991154562E-4</v>
      </c>
      <c r="Y195" s="3">
        <f t="shared" si="131"/>
        <v>7.8921984991154562E-4</v>
      </c>
      <c r="Z195" s="3">
        <f t="shared" si="131"/>
        <v>7.8921984991154562E-4</v>
      </c>
      <c r="AA195" s="3">
        <f t="shared" si="131"/>
        <v>7.8921984991154551E-4</v>
      </c>
      <c r="AB195" s="3">
        <f t="shared" si="131"/>
        <v>7.8921984991154497E-4</v>
      </c>
      <c r="AC195" s="3">
        <f t="shared" si="131"/>
        <v>7.8921984991153825E-4</v>
      </c>
      <c r="AD195" s="3">
        <f t="shared" si="131"/>
        <v>7.8921984991147179E-4</v>
      </c>
      <c r="AE195" s="3">
        <f t="shared" si="131"/>
        <v>7.8921984991080717E-4</v>
      </c>
      <c r="AF195" s="3">
        <f t="shared" si="131"/>
        <v>7.892198499041609E-4</v>
      </c>
      <c r="AG195" s="3"/>
      <c r="AH195" s="3"/>
    </row>
    <row r="196" spans="1:34" x14ac:dyDescent="0.25">
      <c r="B196" s="3">
        <f t="shared" ref="B196:AF196" si="132">$C43*EXP(-B$168/$A43/EXP(-$C$126))</f>
        <v>3.1383864234018747E-3</v>
      </c>
      <c r="C196" s="3">
        <f t="shared" si="132"/>
        <v>3.1383864234018747E-3</v>
      </c>
      <c r="D196" s="3">
        <f t="shared" si="132"/>
        <v>3.1383864234018747E-3</v>
      </c>
      <c r="E196" s="3">
        <f t="shared" si="132"/>
        <v>3.1383864234018747E-3</v>
      </c>
      <c r="F196" s="3">
        <f t="shared" si="132"/>
        <v>3.1383864234018747E-3</v>
      </c>
      <c r="G196" s="3">
        <f t="shared" si="132"/>
        <v>3.1383864234018747E-3</v>
      </c>
      <c r="H196" s="3">
        <f t="shared" si="132"/>
        <v>3.1383864234018747E-3</v>
      </c>
      <c r="I196" s="3">
        <f t="shared" si="132"/>
        <v>3.1383864234018747E-3</v>
      </c>
      <c r="J196" s="3">
        <f t="shared" si="132"/>
        <v>3.1383864234018747E-3</v>
      </c>
      <c r="K196" s="3">
        <f t="shared" si="132"/>
        <v>3.1383864234018747E-3</v>
      </c>
      <c r="L196" s="3">
        <f t="shared" si="132"/>
        <v>3.1383864234018747E-3</v>
      </c>
      <c r="M196" s="3">
        <f t="shared" si="132"/>
        <v>3.1383864234018747E-3</v>
      </c>
      <c r="N196" s="3">
        <f t="shared" si="132"/>
        <v>3.1383864234018747E-3</v>
      </c>
      <c r="O196" s="3">
        <f t="shared" si="132"/>
        <v>3.1383864234018747E-3</v>
      </c>
      <c r="P196" s="3">
        <f t="shared" si="132"/>
        <v>3.1383864234018747E-3</v>
      </c>
      <c r="Q196" s="3">
        <f t="shared" si="132"/>
        <v>3.1383864234018747E-3</v>
      </c>
      <c r="R196" s="3">
        <f t="shared" si="132"/>
        <v>3.1383864234018747E-3</v>
      </c>
      <c r="S196" s="3">
        <f t="shared" si="132"/>
        <v>3.1383864234018747E-3</v>
      </c>
      <c r="T196" s="3">
        <f t="shared" si="132"/>
        <v>3.1383864234018747E-3</v>
      </c>
      <c r="U196" s="3">
        <f t="shared" si="132"/>
        <v>3.1383864234018747E-3</v>
      </c>
      <c r="V196" s="3">
        <f t="shared" si="132"/>
        <v>3.1383864234018747E-3</v>
      </c>
      <c r="W196" s="3">
        <f t="shared" si="132"/>
        <v>3.1383864234018747E-3</v>
      </c>
      <c r="X196" s="3">
        <f t="shared" si="132"/>
        <v>3.1383864234018747E-3</v>
      </c>
      <c r="Y196" s="3">
        <f t="shared" si="132"/>
        <v>3.1383864234018747E-3</v>
      </c>
      <c r="Z196" s="3">
        <f t="shared" si="132"/>
        <v>3.1383864234018747E-3</v>
      </c>
      <c r="AA196" s="3">
        <f t="shared" si="132"/>
        <v>3.1383864234018747E-3</v>
      </c>
      <c r="AB196" s="3">
        <f t="shared" si="132"/>
        <v>3.1383864234018743E-3</v>
      </c>
      <c r="AC196" s="3">
        <f t="shared" si="132"/>
        <v>3.1383864234018721E-3</v>
      </c>
      <c r="AD196" s="3">
        <f t="shared" si="132"/>
        <v>3.1383864234018457E-3</v>
      </c>
      <c r="AE196" s="3">
        <f t="shared" si="132"/>
        <v>3.1383864234015811E-3</v>
      </c>
      <c r="AF196" s="3">
        <f t="shared" si="132"/>
        <v>3.1383864233989383E-3</v>
      </c>
      <c r="AG196" s="3"/>
      <c r="AH196" s="3"/>
    </row>
    <row r="197" spans="1:34" x14ac:dyDescent="0.25">
      <c r="B197" s="3">
        <f t="shared" ref="B197:AF197" si="133">$C44*EXP(-B$168/$A44/EXP(-$C$126))</f>
        <v>4.3963079363277776E-4</v>
      </c>
      <c r="C197" s="3">
        <f t="shared" si="133"/>
        <v>4.3963079363277776E-4</v>
      </c>
      <c r="D197" s="3">
        <f t="shared" si="133"/>
        <v>4.3963079363277776E-4</v>
      </c>
      <c r="E197" s="3">
        <f t="shared" si="133"/>
        <v>4.3963079363277776E-4</v>
      </c>
      <c r="F197" s="3">
        <f t="shared" si="133"/>
        <v>4.3963079363277776E-4</v>
      </c>
      <c r="G197" s="3">
        <f t="shared" si="133"/>
        <v>4.3963079363277776E-4</v>
      </c>
      <c r="H197" s="3">
        <f t="shared" si="133"/>
        <v>4.3963079363277776E-4</v>
      </c>
      <c r="I197" s="3">
        <f t="shared" si="133"/>
        <v>4.3963079363277776E-4</v>
      </c>
      <c r="J197" s="3">
        <f t="shared" si="133"/>
        <v>4.3963079363277776E-4</v>
      </c>
      <c r="K197" s="3">
        <f t="shared" si="133"/>
        <v>4.3963079363277776E-4</v>
      </c>
      <c r="L197" s="3">
        <f t="shared" si="133"/>
        <v>4.3963079363277776E-4</v>
      </c>
      <c r="M197" s="3">
        <f t="shared" si="133"/>
        <v>4.3963079363277776E-4</v>
      </c>
      <c r="N197" s="3">
        <f t="shared" si="133"/>
        <v>4.3963079363277776E-4</v>
      </c>
      <c r="O197" s="3">
        <f t="shared" si="133"/>
        <v>4.3963079363277776E-4</v>
      </c>
      <c r="P197" s="3">
        <f t="shared" si="133"/>
        <v>4.3963079363277776E-4</v>
      </c>
      <c r="Q197" s="3">
        <f t="shared" si="133"/>
        <v>4.3963079363277776E-4</v>
      </c>
      <c r="R197" s="3">
        <f t="shared" si="133"/>
        <v>4.3963079363277776E-4</v>
      </c>
      <c r="S197" s="3">
        <f t="shared" si="133"/>
        <v>4.3963079363277776E-4</v>
      </c>
      <c r="T197" s="3">
        <f t="shared" si="133"/>
        <v>4.3963079363277776E-4</v>
      </c>
      <c r="U197" s="3">
        <f t="shared" si="133"/>
        <v>4.3963079363277776E-4</v>
      </c>
      <c r="V197" s="3">
        <f t="shared" si="133"/>
        <v>4.3963079363277776E-4</v>
      </c>
      <c r="W197" s="3">
        <f t="shared" si="133"/>
        <v>4.3963079363277776E-4</v>
      </c>
      <c r="X197" s="3">
        <f t="shared" si="133"/>
        <v>4.3963079363277776E-4</v>
      </c>
      <c r="Y197" s="3">
        <f t="shared" si="133"/>
        <v>4.3963079363277776E-4</v>
      </c>
      <c r="Z197" s="3">
        <f t="shared" si="133"/>
        <v>4.3963079363277776E-4</v>
      </c>
      <c r="AA197" s="3">
        <f t="shared" si="133"/>
        <v>4.3963079363277776E-4</v>
      </c>
      <c r="AB197" s="3">
        <f t="shared" si="133"/>
        <v>4.3963079363277776E-4</v>
      </c>
      <c r="AC197" s="3">
        <f t="shared" si="133"/>
        <v>4.396307936327777E-4</v>
      </c>
      <c r="AD197" s="3">
        <f t="shared" si="133"/>
        <v>4.3963079363277738E-4</v>
      </c>
      <c r="AE197" s="3">
        <f t="shared" si="133"/>
        <v>4.3963079363277364E-4</v>
      </c>
      <c r="AF197" s="3">
        <f t="shared" si="133"/>
        <v>4.3963079363273661E-4</v>
      </c>
      <c r="AG197" s="3"/>
      <c r="AH197" s="3"/>
    </row>
    <row r="198" spans="1:34" x14ac:dyDescent="0.25">
      <c r="B198" s="3">
        <f t="shared" ref="B198:AF198" si="134">$C45*EXP(-B$168/$A45/EXP(-$C$126))</f>
        <v>3.9367491924485783E-5</v>
      </c>
      <c r="C198" s="3">
        <f t="shared" si="134"/>
        <v>3.9367491924485783E-5</v>
      </c>
      <c r="D198" s="3">
        <f t="shared" si="134"/>
        <v>3.9367491924485783E-5</v>
      </c>
      <c r="E198" s="3">
        <f t="shared" si="134"/>
        <v>3.9367491924485783E-5</v>
      </c>
      <c r="F198" s="3">
        <f t="shared" si="134"/>
        <v>3.9367491924485783E-5</v>
      </c>
      <c r="G198" s="3">
        <f t="shared" si="134"/>
        <v>3.9367491924485783E-5</v>
      </c>
      <c r="H198" s="3">
        <f t="shared" si="134"/>
        <v>3.9367491924485783E-5</v>
      </c>
      <c r="I198" s="3">
        <f t="shared" si="134"/>
        <v>3.9367491924485783E-5</v>
      </c>
      <c r="J198" s="3">
        <f t="shared" si="134"/>
        <v>3.9367491924485783E-5</v>
      </c>
      <c r="K198" s="3">
        <f t="shared" si="134"/>
        <v>3.9367491924485783E-5</v>
      </c>
      <c r="L198" s="3">
        <f t="shared" si="134"/>
        <v>3.9367491924485783E-5</v>
      </c>
      <c r="M198" s="3">
        <f t="shared" si="134"/>
        <v>3.9367491924485783E-5</v>
      </c>
      <c r="N198" s="3">
        <f t="shared" si="134"/>
        <v>3.9367491924485783E-5</v>
      </c>
      <c r="O198" s="3">
        <f t="shared" si="134"/>
        <v>3.9367491924485783E-5</v>
      </c>
      <c r="P198" s="3">
        <f t="shared" si="134"/>
        <v>3.9367491924485783E-5</v>
      </c>
      <c r="Q198" s="3">
        <f t="shared" si="134"/>
        <v>3.9367491924485783E-5</v>
      </c>
      <c r="R198" s="3">
        <f t="shared" si="134"/>
        <v>3.9367491924485783E-5</v>
      </c>
      <c r="S198" s="3">
        <f t="shared" si="134"/>
        <v>3.9367491924485783E-5</v>
      </c>
      <c r="T198" s="3">
        <f t="shared" si="134"/>
        <v>3.9367491924485783E-5</v>
      </c>
      <c r="U198" s="3">
        <f t="shared" si="134"/>
        <v>3.9367491924485783E-5</v>
      </c>
      <c r="V198" s="3">
        <f t="shared" si="134"/>
        <v>3.9367491924485783E-5</v>
      </c>
      <c r="W198" s="3">
        <f t="shared" si="134"/>
        <v>3.9367491924485783E-5</v>
      </c>
      <c r="X198" s="3">
        <f t="shared" si="134"/>
        <v>3.9367491924485783E-5</v>
      </c>
      <c r="Y198" s="3">
        <f t="shared" si="134"/>
        <v>3.9367491924485783E-5</v>
      </c>
      <c r="Z198" s="3">
        <f t="shared" si="134"/>
        <v>3.9367491924485783E-5</v>
      </c>
      <c r="AA198" s="3">
        <f t="shared" si="134"/>
        <v>3.9367491924485783E-5</v>
      </c>
      <c r="AB198" s="3">
        <f t="shared" si="134"/>
        <v>3.9367491924485783E-5</v>
      </c>
      <c r="AC198" s="3">
        <f t="shared" si="134"/>
        <v>3.9367491924485783E-5</v>
      </c>
      <c r="AD198" s="3">
        <f t="shared" si="134"/>
        <v>3.9367491924485776E-5</v>
      </c>
      <c r="AE198" s="3">
        <f t="shared" si="134"/>
        <v>3.9367491924485749E-5</v>
      </c>
      <c r="AF198" s="3">
        <f t="shared" si="134"/>
        <v>3.9367491924485417E-5</v>
      </c>
      <c r="AG198" s="3"/>
      <c r="AH198" s="3"/>
    </row>
    <row r="199" spans="1:34" x14ac:dyDescent="0.25">
      <c r="B199" s="3">
        <f t="shared" ref="B199:AF199" si="135">$C46*EXP(-B$168/$A46/EXP(-$C$126))</f>
        <v>2.469113716916911E-6</v>
      </c>
      <c r="C199" s="3">
        <f t="shared" si="135"/>
        <v>2.469113716916911E-6</v>
      </c>
      <c r="D199" s="3">
        <f t="shared" si="135"/>
        <v>2.469113716916911E-6</v>
      </c>
      <c r="E199" s="3">
        <f t="shared" si="135"/>
        <v>2.469113716916911E-6</v>
      </c>
      <c r="F199" s="3">
        <f t="shared" si="135"/>
        <v>2.469113716916911E-6</v>
      </c>
      <c r="G199" s="3">
        <f t="shared" si="135"/>
        <v>2.469113716916911E-6</v>
      </c>
      <c r="H199" s="3">
        <f t="shared" si="135"/>
        <v>2.469113716916911E-6</v>
      </c>
      <c r="I199" s="3">
        <f t="shared" si="135"/>
        <v>2.469113716916911E-6</v>
      </c>
      <c r="J199" s="3">
        <f t="shared" si="135"/>
        <v>2.469113716916911E-6</v>
      </c>
      <c r="K199" s="3">
        <f t="shared" si="135"/>
        <v>2.469113716916911E-6</v>
      </c>
      <c r="L199" s="3">
        <f t="shared" si="135"/>
        <v>2.469113716916911E-6</v>
      </c>
      <c r="M199" s="3">
        <f t="shared" si="135"/>
        <v>2.469113716916911E-6</v>
      </c>
      <c r="N199" s="3">
        <f t="shared" si="135"/>
        <v>2.469113716916911E-6</v>
      </c>
      <c r="O199" s="3">
        <f t="shared" si="135"/>
        <v>2.469113716916911E-6</v>
      </c>
      <c r="P199" s="3">
        <f t="shared" si="135"/>
        <v>2.469113716916911E-6</v>
      </c>
      <c r="Q199" s="3">
        <f t="shared" si="135"/>
        <v>2.469113716916911E-6</v>
      </c>
      <c r="R199" s="3">
        <f t="shared" si="135"/>
        <v>2.469113716916911E-6</v>
      </c>
      <c r="S199" s="3">
        <f t="shared" si="135"/>
        <v>2.469113716916911E-6</v>
      </c>
      <c r="T199" s="3">
        <f t="shared" si="135"/>
        <v>2.469113716916911E-6</v>
      </c>
      <c r="U199" s="3">
        <f t="shared" si="135"/>
        <v>2.469113716916911E-6</v>
      </c>
      <c r="V199" s="3">
        <f t="shared" si="135"/>
        <v>2.469113716916911E-6</v>
      </c>
      <c r="W199" s="3">
        <f t="shared" si="135"/>
        <v>2.469113716916911E-6</v>
      </c>
      <c r="X199" s="3">
        <f t="shared" si="135"/>
        <v>2.469113716916911E-6</v>
      </c>
      <c r="Y199" s="3">
        <f t="shared" si="135"/>
        <v>2.469113716916911E-6</v>
      </c>
      <c r="Z199" s="3">
        <f t="shared" si="135"/>
        <v>2.469113716916911E-6</v>
      </c>
      <c r="AA199" s="3">
        <f t="shared" si="135"/>
        <v>2.469113716916911E-6</v>
      </c>
      <c r="AB199" s="3">
        <f t="shared" si="135"/>
        <v>2.469113716916911E-6</v>
      </c>
      <c r="AC199" s="3">
        <f t="shared" si="135"/>
        <v>2.469113716916911E-6</v>
      </c>
      <c r="AD199" s="3">
        <f t="shared" si="135"/>
        <v>2.469113716916911E-6</v>
      </c>
      <c r="AE199" s="3">
        <f t="shared" si="135"/>
        <v>2.4691137169169106E-6</v>
      </c>
      <c r="AF199" s="3">
        <f t="shared" si="135"/>
        <v>2.4691137169169089E-6</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80">
        <f>AVERAGE(B202:AF202)</f>
        <v>1.6932851325682546E-2</v>
      </c>
      <c r="B202" s="81">
        <f>IF($A$64&lt;=B168,IF($B$64&gt;=B168,ABS((B170-B169)/B169),0),0)</f>
        <v>0</v>
      </c>
      <c r="C202" s="81">
        <f t="shared" ref="C202:AF202" si="138">IF($A$64&lt;=C168,IF($B$64&gt;=C168,ABS((C170-C169)/C169),0),0)</f>
        <v>0</v>
      </c>
      <c r="D202" s="81">
        <f t="shared" si="138"/>
        <v>0</v>
      </c>
      <c r="E202" s="81">
        <f t="shared" si="138"/>
        <v>0</v>
      </c>
      <c r="F202" s="81">
        <f t="shared" si="138"/>
        <v>0</v>
      </c>
      <c r="G202" s="81">
        <f t="shared" si="138"/>
        <v>0</v>
      </c>
      <c r="H202" s="81">
        <f t="shared" si="138"/>
        <v>0</v>
      </c>
      <c r="I202" s="81">
        <f t="shared" si="138"/>
        <v>0</v>
      </c>
      <c r="J202" s="81">
        <f t="shared" si="138"/>
        <v>0</v>
      </c>
      <c r="K202" s="81">
        <f t="shared" si="138"/>
        <v>0</v>
      </c>
      <c r="L202" s="81">
        <f t="shared" si="138"/>
        <v>4.9145836933367909E-2</v>
      </c>
      <c r="M202" s="81">
        <f t="shared" si="138"/>
        <v>3.906047998215096E-2</v>
      </c>
      <c r="N202" s="81">
        <f t="shared" si="138"/>
        <v>0.10128714728757539</v>
      </c>
      <c r="O202" s="81">
        <f t="shared" si="138"/>
        <v>7.7689027830128363E-2</v>
      </c>
      <c r="P202" s="81">
        <f t="shared" si="138"/>
        <v>4.9595158140479052E-2</v>
      </c>
      <c r="Q202" s="81">
        <f t="shared" si="138"/>
        <v>1.7503869195346383E-2</v>
      </c>
      <c r="R202" s="81">
        <f t="shared" si="138"/>
        <v>1.6293357539475761E-2</v>
      </c>
      <c r="S202" s="81">
        <f t="shared" si="138"/>
        <v>3.8233502758216568E-2</v>
      </c>
      <c r="T202" s="81">
        <f t="shared" si="138"/>
        <v>2.2820038692481798E-2</v>
      </c>
      <c r="U202" s="81">
        <f t="shared" si="138"/>
        <v>4.6471259381945899E-2</v>
      </c>
      <c r="V202" s="81">
        <f t="shared" si="138"/>
        <v>6.6818713354990886E-2</v>
      </c>
      <c r="W202" s="81">
        <f t="shared" si="138"/>
        <v>0</v>
      </c>
      <c r="X202" s="81">
        <f t="shared" si="138"/>
        <v>0</v>
      </c>
      <c r="Y202" s="81">
        <f t="shared" si="138"/>
        <v>0</v>
      </c>
      <c r="Z202" s="81">
        <f t="shared" si="138"/>
        <v>0</v>
      </c>
      <c r="AA202" s="81">
        <f t="shared" si="138"/>
        <v>0</v>
      </c>
      <c r="AB202" s="81">
        <f t="shared" si="138"/>
        <v>0</v>
      </c>
      <c r="AC202" s="81">
        <f t="shared" si="138"/>
        <v>0</v>
      </c>
      <c r="AD202" s="81">
        <f t="shared" si="138"/>
        <v>0</v>
      </c>
      <c r="AE202" s="81">
        <f t="shared" si="138"/>
        <v>0</v>
      </c>
      <c r="AF202" s="81">
        <f t="shared" si="138"/>
        <v>0</v>
      </c>
    </row>
    <row r="203" spans="1:34" x14ac:dyDescent="0.25">
      <c r="B203" s="21">
        <f>(B170-B169)^2</f>
        <v>28.861534058910742</v>
      </c>
      <c r="C203" s="21">
        <f t="shared" ref="C203:AF203" si="139">(C170-C169)^2</f>
        <v>29.215883016064193</v>
      </c>
      <c r="D203" s="21">
        <f t="shared" si="139"/>
        <v>28.994706058773826</v>
      </c>
      <c r="E203" s="21">
        <f t="shared" si="139"/>
        <v>28.917511249448076</v>
      </c>
      <c r="F203" s="21">
        <f t="shared" si="139"/>
        <v>28.798493762946109</v>
      </c>
      <c r="G203" s="21">
        <f t="shared" si="139"/>
        <v>27.812601494546552</v>
      </c>
      <c r="H203" s="21">
        <f t="shared" si="139"/>
        <v>19.002432474367051</v>
      </c>
      <c r="I203" s="21">
        <f t="shared" si="139"/>
        <v>19.832159870245402</v>
      </c>
      <c r="J203" s="21">
        <f t="shared" si="139"/>
        <v>6154.8911955290259</v>
      </c>
      <c r="K203" s="21">
        <f t="shared" si="139"/>
        <v>54545.231568544034</v>
      </c>
      <c r="L203" s="21">
        <f t="shared" si="139"/>
        <v>66770.429174774428</v>
      </c>
      <c r="M203" s="21">
        <f t="shared" si="139"/>
        <v>40449.478103372661</v>
      </c>
      <c r="N203" s="21">
        <f t="shared" si="139"/>
        <v>259246.44192873462</v>
      </c>
      <c r="O203" s="21">
        <f t="shared" si="139"/>
        <v>144807.50429650114</v>
      </c>
      <c r="P203" s="21">
        <f t="shared" si="139"/>
        <v>55574.290575344319</v>
      </c>
      <c r="Q203" s="21">
        <f t="shared" si="139"/>
        <v>6475.6184601788582</v>
      </c>
      <c r="R203" s="21">
        <f t="shared" si="139"/>
        <v>5227.50086179965</v>
      </c>
      <c r="S203" s="21">
        <f t="shared" si="139"/>
        <v>26811.617463495386</v>
      </c>
      <c r="T203" s="21">
        <f t="shared" si="139"/>
        <v>8773.8344524146978</v>
      </c>
      <c r="U203" s="21">
        <f t="shared" si="139"/>
        <v>32237.314424609118</v>
      </c>
      <c r="V203" s="21">
        <f t="shared" si="139"/>
        <v>57642.378666427707</v>
      </c>
      <c r="W203" s="21">
        <f t="shared" si="139"/>
        <v>70708.928466146652</v>
      </c>
      <c r="X203" s="21">
        <f t="shared" si="139"/>
        <v>79920.703855374435</v>
      </c>
      <c r="Y203" s="21">
        <f t="shared" si="139"/>
        <v>89996.799074346432</v>
      </c>
      <c r="Z203" s="21">
        <f t="shared" si="139"/>
        <v>92270.92139688626</v>
      </c>
      <c r="AA203" s="21">
        <f t="shared" si="139"/>
        <v>93595.823442095949</v>
      </c>
      <c r="AB203" s="21">
        <f t="shared" si="139"/>
        <v>92659.361571901434</v>
      </c>
      <c r="AC203" s="21">
        <f t="shared" si="139"/>
        <v>96663.286919783946</v>
      </c>
      <c r="AD203" s="21">
        <f t="shared" si="139"/>
        <v>92902.993931049175</v>
      </c>
      <c r="AE203" s="21">
        <f t="shared" si="139"/>
        <v>91481.340698123036</v>
      </c>
      <c r="AF203" s="21">
        <f t="shared" si="139"/>
        <v>88567.388104974205</v>
      </c>
      <c r="AG203" s="3"/>
      <c r="AH203" s="3"/>
    </row>
    <row r="204" spans="1:34" x14ac:dyDescent="0.25">
      <c r="A204" s="72">
        <f>SUM(B204:AF204)</f>
        <v>704016.40840765252</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66770.429174774428</v>
      </c>
      <c r="M204" s="60">
        <f t="shared" ref="M204" si="150">IF($A$64&lt;=M168,IF($B$64&gt;=M168,ABS(M203),0),0)</f>
        <v>40449.478103372661</v>
      </c>
      <c r="N204" s="60">
        <f t="shared" ref="N204" si="151">IF($A$64&lt;=N168,IF($B$64&gt;=N168,ABS(N203),0),0)</f>
        <v>259246.44192873462</v>
      </c>
      <c r="O204" s="60">
        <f t="shared" ref="O204" si="152">IF($A$64&lt;=O168,IF($B$64&gt;=O168,ABS(O203),0),0)</f>
        <v>144807.50429650114</v>
      </c>
      <c r="P204" s="60">
        <f t="shared" ref="P204" si="153">IF($A$64&lt;=P168,IF($B$64&gt;=P168,ABS(P203),0),0)</f>
        <v>55574.290575344319</v>
      </c>
      <c r="Q204" s="60">
        <f t="shared" ref="Q204" si="154">IF($A$64&lt;=Q168,IF($B$64&gt;=Q168,ABS(Q203),0),0)</f>
        <v>6475.6184601788582</v>
      </c>
      <c r="R204" s="60">
        <f t="shared" ref="R204" si="155">IF($A$64&lt;=R168,IF($B$64&gt;=R168,ABS(R203),0),0)</f>
        <v>5227.50086179965</v>
      </c>
      <c r="S204" s="60">
        <f t="shared" ref="S204" si="156">IF($A$64&lt;=S168,IF($B$64&gt;=S168,ABS(S203),0),0)</f>
        <v>26811.617463495386</v>
      </c>
      <c r="T204" s="60">
        <f t="shared" ref="T204" si="157">IF($A$64&lt;=T168,IF($B$64&gt;=T168,ABS(T203),0),0)</f>
        <v>8773.8344524146978</v>
      </c>
      <c r="U204" s="60">
        <f t="shared" ref="U204" si="158">IF($A$64&lt;=U168,IF($B$64&gt;=U168,ABS(U203),0),0)</f>
        <v>32237.314424609118</v>
      </c>
      <c r="V204" s="60">
        <f t="shared" ref="V204" si="159">IF($A$64&lt;=V168,IF($B$64&gt;=V168,ABS(V203),0),0)</f>
        <v>57642.378666427707</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1" t="s">
        <v>22</v>
      </c>
      <c r="B209" s="27">
        <f>($C$17+SUM(B210:B240))*$B$51</f>
        <v>5614.1606541938781</v>
      </c>
      <c r="C209" s="27">
        <f t="shared" ref="C209:AF209" si="170">($C$17+SUM(C210:C240))*$B$51</f>
        <v>5614.1602419388782</v>
      </c>
      <c r="D209" s="27">
        <f t="shared" si="170"/>
        <v>5614.1561193974121</v>
      </c>
      <c r="E209" s="27">
        <f t="shared" si="170"/>
        <v>5614.1148948352175</v>
      </c>
      <c r="F209" s="27">
        <f t="shared" si="170"/>
        <v>5613.7027344487688</v>
      </c>
      <c r="G209" s="27">
        <f t="shared" si="170"/>
        <v>5609.5896422884352</v>
      </c>
      <c r="H209" s="27">
        <f t="shared" si="170"/>
        <v>5569.2981685430223</v>
      </c>
      <c r="I209" s="27">
        <f t="shared" si="170"/>
        <v>5239.7367220971182</v>
      </c>
      <c r="J209" s="27">
        <f t="shared" si="170"/>
        <v>4534.4810382471451</v>
      </c>
      <c r="K209" s="27">
        <f t="shared" si="170"/>
        <v>4517.6610844430479</v>
      </c>
      <c r="L209" s="27">
        <f t="shared" si="170"/>
        <v>4517.6290462226407</v>
      </c>
      <c r="M209" s="27">
        <f t="shared" si="170"/>
        <v>4517.308827452066</v>
      </c>
      <c r="N209" s="27">
        <f t="shared" si="170"/>
        <v>4514.1229251754412</v>
      </c>
      <c r="O209" s="27">
        <f t="shared" si="170"/>
        <v>4483.8360426257032</v>
      </c>
      <c r="P209" s="27">
        <f t="shared" si="170"/>
        <v>4294.195571248526</v>
      </c>
      <c r="Q209" s="27">
        <f t="shared" si="170"/>
        <v>4100.3954714763813</v>
      </c>
      <c r="R209" s="27">
        <f t="shared" si="170"/>
        <v>3919.3744880735962</v>
      </c>
      <c r="S209" s="27">
        <f t="shared" si="170"/>
        <v>3704.545195837125</v>
      </c>
      <c r="T209" s="27">
        <f t="shared" si="170"/>
        <v>3516.0312490077231</v>
      </c>
      <c r="U209" s="27">
        <f t="shared" si="170"/>
        <v>3350.3156757136007</v>
      </c>
      <c r="V209" s="27">
        <f t="shared" si="170"/>
        <v>3189.1940119545566</v>
      </c>
      <c r="W209" s="27">
        <f t="shared" si="170"/>
        <v>3032.2915309979139</v>
      </c>
      <c r="X209" s="27">
        <f t="shared" si="170"/>
        <v>2875.4874782281759</v>
      </c>
      <c r="Y209" s="27">
        <f t="shared" si="170"/>
        <v>2710.2598505348997</v>
      </c>
      <c r="Z209" s="27">
        <f t="shared" si="170"/>
        <v>2521.3702622467222</v>
      </c>
      <c r="AA209" s="27">
        <f t="shared" si="170"/>
        <v>2315.1046650853255</v>
      </c>
      <c r="AB209" s="27">
        <f t="shared" si="170"/>
        <v>2082.8097233432272</v>
      </c>
      <c r="AC209" s="27">
        <f t="shared" si="170"/>
        <v>1812.1512684223385</v>
      </c>
      <c r="AD209" s="27">
        <f t="shared" si="170"/>
        <v>1496.7375793051624</v>
      </c>
      <c r="AE209" s="27">
        <f t="shared" si="170"/>
        <v>1157.139334070823</v>
      </c>
      <c r="AF209" s="27">
        <f t="shared" si="170"/>
        <v>837.76846098191572</v>
      </c>
      <c r="AG209" s="27"/>
      <c r="AH209" s="27"/>
    </row>
    <row r="210" spans="1:34" x14ac:dyDescent="0.25">
      <c r="B210" s="3">
        <f t="shared" ref="B210:AF210" si="171">$C18*EXP(-B$207/$A18/EXP(-$D$126))</f>
        <v>0.19530898176197092</v>
      </c>
      <c r="C210" s="3">
        <f t="shared" si="171"/>
        <v>0.19530890833069792</v>
      </c>
      <c r="D210" s="3">
        <f t="shared" si="171"/>
        <v>0.19530817401948616</v>
      </c>
      <c r="E210" s="3">
        <f t="shared" si="171"/>
        <v>0.19530083105921248</v>
      </c>
      <c r="F210" s="3">
        <f t="shared" si="171"/>
        <v>0.19522741663870802</v>
      </c>
      <c r="G210" s="3">
        <f t="shared" si="171"/>
        <v>0.19449478854704477</v>
      </c>
      <c r="H210" s="3">
        <f t="shared" si="171"/>
        <v>0.18731803093456506</v>
      </c>
      <c r="I210" s="3">
        <f t="shared" si="171"/>
        <v>0.12861621742825266</v>
      </c>
      <c r="J210" s="3">
        <f t="shared" si="171"/>
        <v>2.9954165399228736E-3</v>
      </c>
      <c r="K210" s="3">
        <f t="shared" si="171"/>
        <v>1.4062810655360185E-19</v>
      </c>
      <c r="L210" s="3">
        <f t="shared" si="171"/>
        <v>7.3151155023491437E-183</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5.690665244985784E-2</v>
      </c>
      <c r="C211" s="3">
        <f t="shared" si="172"/>
        <v>5.6906652449852352E-2</v>
      </c>
      <c r="D211" s="3">
        <f t="shared" si="172"/>
        <v>5.6906652449797555E-2</v>
      </c>
      <c r="E211" s="3">
        <f t="shared" si="172"/>
        <v>5.6906652449249494E-2</v>
      </c>
      <c r="F211" s="3">
        <f t="shared" si="172"/>
        <v>5.6906652443768947E-2</v>
      </c>
      <c r="G211" s="3">
        <f t="shared" si="172"/>
        <v>5.6906652388963481E-2</v>
      </c>
      <c r="H211" s="3">
        <f t="shared" si="172"/>
        <v>5.6906651840908831E-2</v>
      </c>
      <c r="I211" s="3">
        <f t="shared" si="172"/>
        <v>5.6906646360362578E-2</v>
      </c>
      <c r="J211" s="3">
        <f t="shared" si="172"/>
        <v>5.6906591554929123E-2</v>
      </c>
      <c r="K211" s="3">
        <f t="shared" si="172"/>
        <v>5.690604350349756E-2</v>
      </c>
      <c r="L211" s="3">
        <f t="shared" si="172"/>
        <v>5.6900563279470677E-2</v>
      </c>
      <c r="M211" s="3">
        <f t="shared" si="172"/>
        <v>5.6845790057735102E-2</v>
      </c>
      <c r="N211" s="3">
        <f t="shared" si="172"/>
        <v>5.6300949379873712E-2</v>
      </c>
      <c r="O211" s="3">
        <f t="shared" si="172"/>
        <v>5.1131652965942916E-2</v>
      </c>
      <c r="P211" s="3">
        <f t="shared" si="172"/>
        <v>1.9517805101092918E-2</v>
      </c>
      <c r="Q211" s="3">
        <f t="shared" si="172"/>
        <v>1.2818653838227935E-6</v>
      </c>
      <c r="R211" s="3">
        <f t="shared" si="172"/>
        <v>1.9140657317545235E-48</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2.1914760342614789E-2</v>
      </c>
      <c r="C212" s="3">
        <f t="shared" si="173"/>
        <v>2.1914760342614598E-2</v>
      </c>
      <c r="D212" s="3">
        <f t="shared" si="173"/>
        <v>2.1914760342612697E-2</v>
      </c>
      <c r="E212" s="3">
        <f t="shared" si="173"/>
        <v>2.1914760342593653E-2</v>
      </c>
      <c r="F212" s="3">
        <f t="shared" si="173"/>
        <v>2.1914760342403264E-2</v>
      </c>
      <c r="G212" s="3">
        <f t="shared" si="173"/>
        <v>2.1914760340499367E-2</v>
      </c>
      <c r="H212" s="3">
        <f t="shared" si="173"/>
        <v>2.1914760321460364E-2</v>
      </c>
      <c r="I212" s="3">
        <f t="shared" si="173"/>
        <v>2.1914760131070358E-2</v>
      </c>
      <c r="J212" s="3">
        <f t="shared" si="173"/>
        <v>2.191475822717039E-2</v>
      </c>
      <c r="K212" s="3">
        <f t="shared" si="173"/>
        <v>2.191473918817978E-2</v>
      </c>
      <c r="L212" s="3">
        <f t="shared" si="173"/>
        <v>2.1914548799183423E-2</v>
      </c>
      <c r="M212" s="3">
        <f t="shared" si="173"/>
        <v>2.1912645000189978E-2</v>
      </c>
      <c r="N212" s="3">
        <f t="shared" si="173"/>
        <v>2.1893616104343691E-2</v>
      </c>
      <c r="O212" s="3">
        <f t="shared" si="173"/>
        <v>2.170423363821283E-2</v>
      </c>
      <c r="P212" s="3">
        <f t="shared" si="173"/>
        <v>1.989821080015805E-2</v>
      </c>
      <c r="Q212" s="3">
        <f t="shared" si="173"/>
        <v>8.3466027443568971E-3</v>
      </c>
      <c r="R212" s="3">
        <f t="shared" si="173"/>
        <v>1.4075599701844718E-6</v>
      </c>
      <c r="S212" s="3">
        <f t="shared" si="173"/>
        <v>2.6184153792339926E-44</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4.217998398295815E-2</v>
      </c>
      <c r="C213" s="3">
        <f t="shared" si="174"/>
        <v>4.2179983982958122E-2</v>
      </c>
      <c r="D213" s="3">
        <f t="shared" si="174"/>
        <v>4.2179983982957789E-2</v>
      </c>
      <c r="E213" s="3">
        <f t="shared" si="174"/>
        <v>4.2179983982954486E-2</v>
      </c>
      <c r="F213" s="3">
        <f t="shared" si="174"/>
        <v>4.2179983982921429E-2</v>
      </c>
      <c r="G213" s="3">
        <f t="shared" si="174"/>
        <v>4.217998398259086E-2</v>
      </c>
      <c r="H213" s="3">
        <f t="shared" si="174"/>
        <v>4.2179983979285185E-2</v>
      </c>
      <c r="I213" s="3">
        <f t="shared" si="174"/>
        <v>4.2179983946228412E-2</v>
      </c>
      <c r="J213" s="3">
        <f t="shared" si="174"/>
        <v>4.2179983615660707E-2</v>
      </c>
      <c r="K213" s="3">
        <f t="shared" si="174"/>
        <v>4.2179980309983788E-2</v>
      </c>
      <c r="L213" s="3">
        <f t="shared" si="174"/>
        <v>4.2179947253228864E-2</v>
      </c>
      <c r="M213" s="3">
        <f t="shared" si="174"/>
        <v>4.2179616687104508E-2</v>
      </c>
      <c r="N213" s="3">
        <f t="shared" si="174"/>
        <v>4.217631116834393E-2</v>
      </c>
      <c r="O213" s="3">
        <f t="shared" si="174"/>
        <v>4.214327022491033E-2</v>
      </c>
      <c r="P213" s="3">
        <f t="shared" si="174"/>
        <v>4.1814281086025154E-2</v>
      </c>
      <c r="Q213" s="3">
        <f t="shared" si="174"/>
        <v>3.8662385701231393E-2</v>
      </c>
      <c r="R213" s="3">
        <f t="shared" si="174"/>
        <v>1.7657482990126545E-2</v>
      </c>
      <c r="S213" s="3">
        <f t="shared" si="174"/>
        <v>6.9715648438043179E-6</v>
      </c>
      <c r="T213" s="3">
        <f t="shared" si="174"/>
        <v>6.4171917627755536E-40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3.9494315481295991E-2</v>
      </c>
      <c r="C214" s="3">
        <f t="shared" si="175"/>
        <v>3.9494315481295984E-2</v>
      </c>
      <c r="D214" s="3">
        <f t="shared" si="175"/>
        <v>3.9494315481295963E-2</v>
      </c>
      <c r="E214" s="3">
        <f t="shared" si="175"/>
        <v>3.9494315481295679E-2</v>
      </c>
      <c r="F214" s="3">
        <f t="shared" si="175"/>
        <v>3.949431548129289E-2</v>
      </c>
      <c r="G214" s="3">
        <f t="shared" si="175"/>
        <v>3.9494315481264967E-2</v>
      </c>
      <c r="H214" s="3">
        <f t="shared" si="175"/>
        <v>3.949431548098576E-2</v>
      </c>
      <c r="I214" s="3">
        <f t="shared" si="175"/>
        <v>3.9494315478193626E-2</v>
      </c>
      <c r="J214" s="3">
        <f t="shared" si="175"/>
        <v>3.9494315450272356E-2</v>
      </c>
      <c r="K214" s="3">
        <f t="shared" si="175"/>
        <v>3.9494315171059641E-2</v>
      </c>
      <c r="L214" s="3">
        <f t="shared" si="175"/>
        <v>3.949431237893257E-2</v>
      </c>
      <c r="M214" s="3">
        <f t="shared" si="175"/>
        <v>3.9494284457672765E-2</v>
      </c>
      <c r="N214" s="3">
        <f t="shared" si="175"/>
        <v>3.949400524616032E-2</v>
      </c>
      <c r="O214" s="3">
        <f t="shared" si="175"/>
        <v>3.9491213239599893E-2</v>
      </c>
      <c r="P214" s="3">
        <f t="shared" si="175"/>
        <v>3.9463304027557246E-2</v>
      </c>
      <c r="Q214" s="3">
        <f t="shared" si="175"/>
        <v>3.9185294429591497E-2</v>
      </c>
      <c r="R214" s="3">
        <f t="shared" si="175"/>
        <v>3.6510671800272704E-2</v>
      </c>
      <c r="S214" s="3">
        <f t="shared" si="175"/>
        <v>1.800474280356645E-2</v>
      </c>
      <c r="T214" s="3">
        <f t="shared" si="175"/>
        <v>1.5312915989220219E-5</v>
      </c>
      <c r="U214" s="3">
        <f t="shared" si="175"/>
        <v>3.0322686768999993E-36</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3.1232286968780269E-2</v>
      </c>
      <c r="C215" s="3">
        <f t="shared" si="176"/>
        <v>3.1232286968780269E-2</v>
      </c>
      <c r="D215" s="3">
        <f t="shared" si="176"/>
        <v>3.1232286968780266E-2</v>
      </c>
      <c r="E215" s="3">
        <f t="shared" si="176"/>
        <v>3.1232286968780248E-2</v>
      </c>
      <c r="F215" s="3">
        <f t="shared" si="176"/>
        <v>3.1232286968780047E-2</v>
      </c>
      <c r="G215" s="3">
        <f t="shared" si="176"/>
        <v>3.1232286968778056E-2</v>
      </c>
      <c r="H215" s="3">
        <f t="shared" si="176"/>
        <v>3.1232286968758138E-2</v>
      </c>
      <c r="I215" s="3">
        <f t="shared" si="176"/>
        <v>3.1232286968558953E-2</v>
      </c>
      <c r="J215" s="3">
        <f t="shared" si="176"/>
        <v>3.1232286966567133E-2</v>
      </c>
      <c r="K215" s="3">
        <f t="shared" si="176"/>
        <v>3.1232286946648893E-2</v>
      </c>
      <c r="L215" s="3">
        <f t="shared" si="176"/>
        <v>3.1232286747466479E-2</v>
      </c>
      <c r="M215" s="3">
        <f t="shared" si="176"/>
        <v>3.1232284755642454E-2</v>
      </c>
      <c r="N215" s="3">
        <f t="shared" si="176"/>
        <v>3.1232264837409169E-2</v>
      </c>
      <c r="O215" s="3">
        <f t="shared" si="176"/>
        <v>3.1232065655775004E-2</v>
      </c>
      <c r="P215" s="3">
        <f t="shared" si="176"/>
        <v>3.1230073909296656E-2</v>
      </c>
      <c r="Q215" s="3">
        <f t="shared" si="176"/>
        <v>3.1210163429201201E-2</v>
      </c>
      <c r="R215" s="3">
        <f t="shared" si="176"/>
        <v>3.1011755451707024E-2</v>
      </c>
      <c r="S215" s="3">
        <f t="shared" si="176"/>
        <v>2.9095741431201739E-2</v>
      </c>
      <c r="T215" s="3">
        <f t="shared" si="176"/>
        <v>1.5376596145448375E-2</v>
      </c>
      <c r="U215" s="3">
        <f t="shared" si="176"/>
        <v>2.6131720443713578E-5</v>
      </c>
      <c r="V215" s="3">
        <f t="shared" si="176"/>
        <v>5.2510476251747702E-33</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3.0546949875680195E-2</v>
      </c>
      <c r="C216" s="3">
        <f t="shared" si="177"/>
        <v>3.0546949875680195E-2</v>
      </c>
      <c r="D216" s="3">
        <f t="shared" si="177"/>
        <v>3.0546949875680195E-2</v>
      </c>
      <c r="E216" s="3">
        <f t="shared" si="177"/>
        <v>3.0546949875680192E-2</v>
      </c>
      <c r="F216" s="3">
        <f t="shared" si="177"/>
        <v>3.0546949875680175E-2</v>
      </c>
      <c r="G216" s="3">
        <f t="shared" si="177"/>
        <v>3.0546949875679998E-2</v>
      </c>
      <c r="H216" s="3">
        <f t="shared" si="177"/>
        <v>3.0546949875678242E-2</v>
      </c>
      <c r="I216" s="3">
        <f t="shared" si="177"/>
        <v>3.0546949875660669E-2</v>
      </c>
      <c r="J216" s="3">
        <f t="shared" si="177"/>
        <v>3.0546949875484931E-2</v>
      </c>
      <c r="K216" s="3">
        <f t="shared" si="177"/>
        <v>3.054694987372757E-2</v>
      </c>
      <c r="L216" s="3">
        <f t="shared" si="177"/>
        <v>3.0546949856153933E-2</v>
      </c>
      <c r="M216" s="3">
        <f t="shared" si="177"/>
        <v>3.054694968041757E-2</v>
      </c>
      <c r="N216" s="3">
        <f t="shared" si="177"/>
        <v>3.0546947923053975E-2</v>
      </c>
      <c r="O216" s="3">
        <f t="shared" si="177"/>
        <v>3.0546930349423591E-2</v>
      </c>
      <c r="P216" s="3">
        <f t="shared" si="177"/>
        <v>3.05467546136758E-2</v>
      </c>
      <c r="Q216" s="3">
        <f t="shared" si="177"/>
        <v>3.0544997311802154E-2</v>
      </c>
      <c r="R216" s="3">
        <f t="shared" si="177"/>
        <v>3.0527429852305478E-2</v>
      </c>
      <c r="S216" s="3">
        <f t="shared" si="177"/>
        <v>3.0352309999792645E-2</v>
      </c>
      <c r="T216" s="3">
        <f t="shared" si="177"/>
        <v>2.8655422842413066E-2</v>
      </c>
      <c r="U216" s="3">
        <f t="shared" si="177"/>
        <v>1.6119721819920819E-2</v>
      </c>
      <c r="V216" s="3">
        <f t="shared" si="177"/>
        <v>5.1152251955093834E-5</v>
      </c>
      <c r="W216" s="3">
        <f t="shared" si="177"/>
        <v>5.2958650571185837E-30</v>
      </c>
      <c r="X216" s="3">
        <f t="shared" si="177"/>
        <v>7.4930465998167303E-280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2.9181012135706209E-2</v>
      </c>
      <c r="C217" s="3">
        <f t="shared" si="178"/>
        <v>2.9181012135706209E-2</v>
      </c>
      <c r="D217" s="3">
        <f t="shared" si="178"/>
        <v>2.9181012135706209E-2</v>
      </c>
      <c r="E217" s="3">
        <f t="shared" si="178"/>
        <v>2.9181012135706209E-2</v>
      </c>
      <c r="F217" s="3">
        <f t="shared" si="178"/>
        <v>2.9181012135706206E-2</v>
      </c>
      <c r="G217" s="3">
        <f t="shared" si="178"/>
        <v>2.9181012135706192E-2</v>
      </c>
      <c r="H217" s="3">
        <f t="shared" si="178"/>
        <v>2.9181012135706039E-2</v>
      </c>
      <c r="I217" s="3">
        <f t="shared" si="178"/>
        <v>2.9181012135704527E-2</v>
      </c>
      <c r="J217" s="3">
        <f t="shared" si="178"/>
        <v>2.9181012135689383E-2</v>
      </c>
      <c r="K217" s="3">
        <f t="shared" si="178"/>
        <v>2.9181012135537945E-2</v>
      </c>
      <c r="L217" s="3">
        <f t="shared" si="178"/>
        <v>2.9181012134023541E-2</v>
      </c>
      <c r="M217" s="3">
        <f t="shared" si="178"/>
        <v>2.9181012118879537E-2</v>
      </c>
      <c r="N217" s="3">
        <f t="shared" si="178"/>
        <v>2.9181011967439493E-2</v>
      </c>
      <c r="O217" s="3">
        <f t="shared" si="178"/>
        <v>2.9181010453039089E-2</v>
      </c>
      <c r="P217" s="3">
        <f t="shared" si="178"/>
        <v>2.9180995309039379E-2</v>
      </c>
      <c r="Q217" s="3">
        <f t="shared" si="178"/>
        <v>2.9180843869474511E-2</v>
      </c>
      <c r="R217" s="3">
        <f t="shared" si="178"/>
        <v>2.9179329517050791E-2</v>
      </c>
      <c r="S217" s="3">
        <f t="shared" si="178"/>
        <v>2.916419031447906E-2</v>
      </c>
      <c r="T217" s="3">
        <f t="shared" si="178"/>
        <v>2.901322962662007E-2</v>
      </c>
      <c r="U217" s="3">
        <f t="shared" si="178"/>
        <v>2.7545939659012562E-2</v>
      </c>
      <c r="V217" s="3">
        <f t="shared" si="178"/>
        <v>1.6393540470661546E-2</v>
      </c>
      <c r="W217" s="3">
        <f t="shared" si="178"/>
        <v>9.1374373172856734E-5</v>
      </c>
      <c r="X217" s="3">
        <f t="shared" si="178"/>
        <v>2.6444840158213522E-27</v>
      </c>
      <c r="Y217" s="3">
        <f t="shared" si="178"/>
        <v>1.0902003132806668E-252</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2.8956161504827882E-2</v>
      </c>
      <c r="C218" s="3">
        <f t="shared" si="179"/>
        <v>2.8956161504827882E-2</v>
      </c>
      <c r="D218" s="3">
        <f t="shared" si="179"/>
        <v>2.8956161504827882E-2</v>
      </c>
      <c r="E218" s="3">
        <f t="shared" si="179"/>
        <v>2.8956161504827882E-2</v>
      </c>
      <c r="F218" s="3">
        <f t="shared" si="179"/>
        <v>2.8956161504827882E-2</v>
      </c>
      <c r="G218" s="3">
        <f t="shared" si="179"/>
        <v>2.8956161504827882E-2</v>
      </c>
      <c r="H218" s="3">
        <f t="shared" si="179"/>
        <v>2.8956161504827865E-2</v>
      </c>
      <c r="I218" s="3">
        <f t="shared" si="179"/>
        <v>2.8956161504827729E-2</v>
      </c>
      <c r="J218" s="3">
        <f t="shared" si="179"/>
        <v>2.8956161504826373E-2</v>
      </c>
      <c r="K218" s="3">
        <f t="shared" si="179"/>
        <v>2.8956161504812821E-2</v>
      </c>
      <c r="L218" s="3">
        <f t="shared" si="179"/>
        <v>2.8956161504677259E-2</v>
      </c>
      <c r="M218" s="3">
        <f t="shared" si="179"/>
        <v>2.895616150332167E-2</v>
      </c>
      <c r="N218" s="3">
        <f t="shared" si="179"/>
        <v>2.8956161489765785E-2</v>
      </c>
      <c r="O218" s="3">
        <f t="shared" si="179"/>
        <v>2.8956161354206908E-2</v>
      </c>
      <c r="P218" s="3">
        <f t="shared" si="179"/>
        <v>2.8956159998618183E-2</v>
      </c>
      <c r="Q218" s="3">
        <f t="shared" si="179"/>
        <v>2.8956146442734424E-2</v>
      </c>
      <c r="R218" s="3">
        <f t="shared" si="179"/>
        <v>2.8956010884245854E-2</v>
      </c>
      <c r="S218" s="3">
        <f t="shared" si="179"/>
        <v>2.8954655334263713E-2</v>
      </c>
      <c r="T218" s="3">
        <f t="shared" si="179"/>
        <v>2.8941103324190046E-2</v>
      </c>
      <c r="U218" s="3">
        <f t="shared" si="179"/>
        <v>2.8805931594504876E-2</v>
      </c>
      <c r="V218" s="3">
        <f t="shared" si="179"/>
        <v>2.7488455449387248E-2</v>
      </c>
      <c r="W218" s="3">
        <f t="shared" si="179"/>
        <v>1.7212124027375438E-2</v>
      </c>
      <c r="X218" s="3">
        <f t="shared" si="179"/>
        <v>1.5946881104440686E-4</v>
      </c>
      <c r="Y218" s="3">
        <f t="shared" si="179"/>
        <v>7.4317082185281017E-25</v>
      </c>
      <c r="Z218" s="3">
        <f t="shared" si="179"/>
        <v>3.5910180609644182E-228</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2.8549428510413092E-2</v>
      </c>
      <c r="C219" s="3">
        <f t="shared" si="180"/>
        <v>2.8549428510413092E-2</v>
      </c>
      <c r="D219" s="3">
        <f t="shared" si="180"/>
        <v>2.8549428510413092E-2</v>
      </c>
      <c r="E219" s="3">
        <f t="shared" si="180"/>
        <v>2.8549428510413092E-2</v>
      </c>
      <c r="F219" s="3">
        <f t="shared" si="180"/>
        <v>2.8549428510413092E-2</v>
      </c>
      <c r="G219" s="3">
        <f t="shared" si="180"/>
        <v>2.8549428510413092E-2</v>
      </c>
      <c r="H219" s="3">
        <f t="shared" si="180"/>
        <v>2.8549428510413092E-2</v>
      </c>
      <c r="I219" s="3">
        <f t="shared" si="180"/>
        <v>2.8549428510413078E-2</v>
      </c>
      <c r="J219" s="3">
        <f t="shared" si="180"/>
        <v>2.854942851041296E-2</v>
      </c>
      <c r="K219" s="3">
        <f t="shared" si="180"/>
        <v>2.8549428510411753E-2</v>
      </c>
      <c r="L219" s="3">
        <f t="shared" si="180"/>
        <v>2.8549428510399696E-2</v>
      </c>
      <c r="M219" s="3">
        <f t="shared" si="180"/>
        <v>2.8549428510279126E-2</v>
      </c>
      <c r="N219" s="3">
        <f t="shared" si="180"/>
        <v>2.8549428509073452E-2</v>
      </c>
      <c r="O219" s="3">
        <f t="shared" si="180"/>
        <v>2.8549428497016683E-2</v>
      </c>
      <c r="P219" s="3">
        <f t="shared" si="180"/>
        <v>2.8549428376448978E-2</v>
      </c>
      <c r="Q219" s="3">
        <f t="shared" si="180"/>
        <v>2.8549427170771999E-2</v>
      </c>
      <c r="R219" s="3">
        <f t="shared" si="180"/>
        <v>2.8549415114004998E-2</v>
      </c>
      <c r="S219" s="3">
        <f t="shared" si="180"/>
        <v>2.8549294546615037E-2</v>
      </c>
      <c r="T219" s="3">
        <f t="shared" si="180"/>
        <v>2.8548088900719384E-2</v>
      </c>
      <c r="U219" s="3">
        <f t="shared" si="180"/>
        <v>2.8536035241722893E-2</v>
      </c>
      <c r="V219" s="3">
        <f t="shared" si="180"/>
        <v>2.8415778210745958E-2</v>
      </c>
      <c r="W219" s="3">
        <f t="shared" si="180"/>
        <v>2.7240731864100053E-2</v>
      </c>
      <c r="X219" s="3">
        <f t="shared" si="180"/>
        <v>1.7857100442097242E-2</v>
      </c>
      <c r="Y219" s="3">
        <f t="shared" si="180"/>
        <v>2.6165717124464226E-4</v>
      </c>
      <c r="Z219" s="3">
        <f t="shared" si="180"/>
        <v>1.1938496794949138E-22</v>
      </c>
      <c r="AA219" s="3">
        <f t="shared" si="180"/>
        <v>4.6678801761362796E-206</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3.3916990026039671E-2</v>
      </c>
      <c r="C220" s="3">
        <f t="shared" si="181"/>
        <v>3.3916990026039671E-2</v>
      </c>
      <c r="D220" s="3">
        <f t="shared" si="181"/>
        <v>3.3916990026039671E-2</v>
      </c>
      <c r="E220" s="3">
        <f t="shared" si="181"/>
        <v>3.3916990026039671E-2</v>
      </c>
      <c r="F220" s="3">
        <f t="shared" si="181"/>
        <v>3.3916990026039671E-2</v>
      </c>
      <c r="G220" s="3">
        <f t="shared" si="181"/>
        <v>3.3916990026039671E-2</v>
      </c>
      <c r="H220" s="3">
        <f t="shared" si="181"/>
        <v>3.3916990026039671E-2</v>
      </c>
      <c r="I220" s="3">
        <f t="shared" si="181"/>
        <v>3.3916990026039671E-2</v>
      </c>
      <c r="J220" s="3">
        <f t="shared" si="181"/>
        <v>3.3916990026039658E-2</v>
      </c>
      <c r="K220" s="3">
        <f t="shared" si="181"/>
        <v>3.3916990026039526E-2</v>
      </c>
      <c r="L220" s="3">
        <f t="shared" si="181"/>
        <v>3.3916990026038235E-2</v>
      </c>
      <c r="M220" s="3">
        <f t="shared" si="181"/>
        <v>3.3916990026025315E-2</v>
      </c>
      <c r="N220" s="3">
        <f t="shared" si="181"/>
        <v>3.3916990025896106E-2</v>
      </c>
      <c r="O220" s="3">
        <f t="shared" si="181"/>
        <v>3.3916990024604E-2</v>
      </c>
      <c r="P220" s="3">
        <f t="shared" si="181"/>
        <v>3.3916990011682961E-2</v>
      </c>
      <c r="Q220" s="3">
        <f t="shared" si="181"/>
        <v>3.3916989882472562E-2</v>
      </c>
      <c r="R220" s="3">
        <f t="shared" si="181"/>
        <v>3.3916988590368638E-2</v>
      </c>
      <c r="S220" s="3">
        <f t="shared" si="181"/>
        <v>3.3916975669332106E-2</v>
      </c>
      <c r="T220" s="3">
        <f t="shared" si="181"/>
        <v>3.3916846459237447E-2</v>
      </c>
      <c r="U220" s="3">
        <f t="shared" si="181"/>
        <v>3.3915554385363693E-2</v>
      </c>
      <c r="V220" s="3">
        <f t="shared" si="181"/>
        <v>3.3902636353526611E-2</v>
      </c>
      <c r="W220" s="3">
        <f t="shared" si="181"/>
        <v>3.3773726344034978E-2</v>
      </c>
      <c r="X220" s="3">
        <f t="shared" si="181"/>
        <v>3.2511279973376481E-2</v>
      </c>
      <c r="Y220" s="3">
        <f t="shared" si="181"/>
        <v>2.2211861018368903E-2</v>
      </c>
      <c r="Z220" s="3">
        <f t="shared" si="181"/>
        <v>4.9214575181419655E-4</v>
      </c>
      <c r="AA220" s="3">
        <f t="shared" si="181"/>
        <v>1.4034006494655101E-20</v>
      </c>
      <c r="AB220" s="3">
        <f t="shared" si="181"/>
        <v>4.989545628299393E-186</v>
      </c>
      <c r="AC220" s="3">
        <f t="shared" si="181"/>
        <v>0</v>
      </c>
      <c r="AD220" s="3">
        <f t="shared" si="181"/>
        <v>0</v>
      </c>
      <c r="AE220" s="3">
        <f t="shared" si="181"/>
        <v>0</v>
      </c>
      <c r="AF220" s="3">
        <f t="shared" si="181"/>
        <v>0</v>
      </c>
      <c r="AG220" s="3"/>
      <c r="AH220" s="3"/>
    </row>
    <row r="221" spans="1:34" x14ac:dyDescent="0.25">
      <c r="B221" s="3">
        <f t="shared" ref="B221:AF221" si="182">$C29*EXP(-B$207/$A29/EXP(-$D$126))</f>
        <v>3.6686036889388041E-2</v>
      </c>
      <c r="C221" s="3">
        <f t="shared" si="182"/>
        <v>3.6686036889388041E-2</v>
      </c>
      <c r="D221" s="3">
        <f t="shared" si="182"/>
        <v>3.6686036889388041E-2</v>
      </c>
      <c r="E221" s="3">
        <f t="shared" si="182"/>
        <v>3.6686036889388041E-2</v>
      </c>
      <c r="F221" s="3">
        <f t="shared" si="182"/>
        <v>3.6686036889388041E-2</v>
      </c>
      <c r="G221" s="3">
        <f t="shared" si="182"/>
        <v>3.6686036889388041E-2</v>
      </c>
      <c r="H221" s="3">
        <f t="shared" si="182"/>
        <v>3.6686036889388041E-2</v>
      </c>
      <c r="I221" s="3">
        <f t="shared" si="182"/>
        <v>3.6686036889388041E-2</v>
      </c>
      <c r="J221" s="3">
        <f t="shared" si="182"/>
        <v>3.6686036889388041E-2</v>
      </c>
      <c r="K221" s="3">
        <f t="shared" si="182"/>
        <v>3.6686036889388027E-2</v>
      </c>
      <c r="L221" s="3">
        <f t="shared" si="182"/>
        <v>3.6686036889387902E-2</v>
      </c>
      <c r="M221" s="3">
        <f t="shared" si="182"/>
        <v>3.6686036889386639E-2</v>
      </c>
      <c r="N221" s="3">
        <f t="shared" si="182"/>
        <v>3.6686036889374031E-2</v>
      </c>
      <c r="O221" s="3">
        <f t="shared" si="182"/>
        <v>3.6686036889247958E-2</v>
      </c>
      <c r="P221" s="3">
        <f t="shared" si="182"/>
        <v>3.668603688798721E-2</v>
      </c>
      <c r="Q221" s="3">
        <f t="shared" si="182"/>
        <v>3.6686036875379753E-2</v>
      </c>
      <c r="R221" s="3">
        <f t="shared" si="182"/>
        <v>3.6686036749305172E-2</v>
      </c>
      <c r="S221" s="3">
        <f t="shared" si="182"/>
        <v>3.6686035488559365E-2</v>
      </c>
      <c r="T221" s="3">
        <f t="shared" si="182"/>
        <v>3.6686022881103682E-2</v>
      </c>
      <c r="U221" s="3">
        <f t="shared" si="182"/>
        <v>3.6685896806785162E-2</v>
      </c>
      <c r="V221" s="3">
        <f t="shared" si="182"/>
        <v>3.6684636087429265E-2</v>
      </c>
      <c r="W221" s="3">
        <f t="shared" si="182"/>
        <v>3.6672031276494814E-2</v>
      </c>
      <c r="X221" s="3">
        <f t="shared" si="182"/>
        <v>3.6546221126927313E-2</v>
      </c>
      <c r="Y221" s="3">
        <f t="shared" si="182"/>
        <v>3.531161579589806E-2</v>
      </c>
      <c r="Z221" s="3">
        <f t="shared" si="182"/>
        <v>2.5041983188857118E-2</v>
      </c>
      <c r="AA221" s="3">
        <f t="shared" si="182"/>
        <v>8.0571233178743931E-4</v>
      </c>
      <c r="AB221" s="3">
        <f t="shared" si="182"/>
        <v>9.5783989484370209E-19</v>
      </c>
      <c r="AC221" s="3">
        <f t="shared" si="182"/>
        <v>5.4003515505548067E-168</v>
      </c>
      <c r="AD221" s="3">
        <f t="shared" si="182"/>
        <v>0</v>
      </c>
      <c r="AE221" s="3">
        <f t="shared" si="182"/>
        <v>0</v>
      </c>
      <c r="AF221" s="3">
        <f t="shared" si="182"/>
        <v>0</v>
      </c>
      <c r="AG221" s="3"/>
      <c r="AH221" s="3"/>
    </row>
    <row r="222" spans="1:34" x14ac:dyDescent="0.25">
      <c r="B222" s="3">
        <f t="shared" ref="B222:AF222" si="183">$C30*EXP(-B$207/$A30/EXP(-$D$126))</f>
        <v>4.0919511658412108E-2</v>
      </c>
      <c r="C222" s="3">
        <f t="shared" si="183"/>
        <v>4.0919511658412108E-2</v>
      </c>
      <c r="D222" s="3">
        <f t="shared" si="183"/>
        <v>4.0919511658412108E-2</v>
      </c>
      <c r="E222" s="3">
        <f t="shared" si="183"/>
        <v>4.0919511658412108E-2</v>
      </c>
      <c r="F222" s="3">
        <f t="shared" si="183"/>
        <v>4.0919511658412108E-2</v>
      </c>
      <c r="G222" s="3">
        <f t="shared" si="183"/>
        <v>4.0919511658412108E-2</v>
      </c>
      <c r="H222" s="3">
        <f t="shared" si="183"/>
        <v>4.0919511658412108E-2</v>
      </c>
      <c r="I222" s="3">
        <f t="shared" si="183"/>
        <v>4.0919511658412108E-2</v>
      </c>
      <c r="J222" s="3">
        <f t="shared" si="183"/>
        <v>4.0919511658412108E-2</v>
      </c>
      <c r="K222" s="3">
        <f t="shared" si="183"/>
        <v>4.0919511658412108E-2</v>
      </c>
      <c r="L222" s="3">
        <f t="shared" si="183"/>
        <v>4.0919511658412094E-2</v>
      </c>
      <c r="M222" s="3">
        <f t="shared" si="183"/>
        <v>4.0919511658411969E-2</v>
      </c>
      <c r="N222" s="3">
        <f t="shared" si="183"/>
        <v>4.09195116584107E-2</v>
      </c>
      <c r="O222" s="3">
        <f t="shared" si="183"/>
        <v>4.0919511658398008E-2</v>
      </c>
      <c r="P222" s="3">
        <f t="shared" si="183"/>
        <v>4.0919511658271158E-2</v>
      </c>
      <c r="Q222" s="3">
        <f t="shared" si="183"/>
        <v>4.0919511657002625E-2</v>
      </c>
      <c r="R222" s="3">
        <f t="shared" si="183"/>
        <v>4.091951164431723E-2</v>
      </c>
      <c r="S222" s="3">
        <f t="shared" si="183"/>
        <v>4.0919511517463349E-2</v>
      </c>
      <c r="T222" s="3">
        <f t="shared" si="183"/>
        <v>4.0919510248924512E-2</v>
      </c>
      <c r="U222" s="3">
        <f t="shared" si="183"/>
        <v>4.0919497563538305E-2</v>
      </c>
      <c r="V222" s="3">
        <f t="shared" si="183"/>
        <v>4.0919370709892572E-2</v>
      </c>
      <c r="W222" s="3">
        <f t="shared" si="183"/>
        <v>4.0918102195064122E-2</v>
      </c>
      <c r="X222" s="3">
        <f t="shared" si="183"/>
        <v>4.0905419209420715E-2</v>
      </c>
      <c r="Y222" s="3">
        <f t="shared" si="183"/>
        <v>4.0778805369239834E-2</v>
      </c>
      <c r="Z222" s="3">
        <f t="shared" si="183"/>
        <v>3.9534022856690519E-2</v>
      </c>
      <c r="AA222" s="3">
        <f t="shared" si="183"/>
        <v>2.8995867809919963E-2</v>
      </c>
      <c r="AB222" s="3">
        <f t="shared" si="183"/>
        <v>1.3061321892368458E-3</v>
      </c>
      <c r="AC222" s="3">
        <f t="shared" si="183"/>
        <v>4.4925958067096202E-17</v>
      </c>
      <c r="AD222" s="3">
        <f t="shared" si="183"/>
        <v>1.0413566508739428E-151</v>
      </c>
      <c r="AE222" s="3">
        <f t="shared" si="183"/>
        <v>0</v>
      </c>
      <c r="AF222" s="3">
        <f t="shared" si="183"/>
        <v>0</v>
      </c>
      <c r="AG222" s="3"/>
      <c r="AH222" s="3"/>
    </row>
    <row r="223" spans="1:34" x14ac:dyDescent="0.25">
      <c r="B223" s="3">
        <f t="shared" ref="B223:AF223" si="184">$C31*EXP(-B$207/$A31/EXP(-$D$126))</f>
        <v>4.7755707575506505E-2</v>
      </c>
      <c r="C223" s="3">
        <f t="shared" si="184"/>
        <v>4.7755707575506505E-2</v>
      </c>
      <c r="D223" s="3">
        <f t="shared" si="184"/>
        <v>4.7755707575506505E-2</v>
      </c>
      <c r="E223" s="3">
        <f t="shared" si="184"/>
        <v>4.7755707575506505E-2</v>
      </c>
      <c r="F223" s="3">
        <f t="shared" si="184"/>
        <v>4.7755707575506505E-2</v>
      </c>
      <c r="G223" s="3">
        <f t="shared" si="184"/>
        <v>4.7755707575506505E-2</v>
      </c>
      <c r="H223" s="3">
        <f t="shared" si="184"/>
        <v>4.7755707575506505E-2</v>
      </c>
      <c r="I223" s="3">
        <f t="shared" si="184"/>
        <v>4.7755707575506505E-2</v>
      </c>
      <c r="J223" s="3">
        <f t="shared" si="184"/>
        <v>4.7755707575506505E-2</v>
      </c>
      <c r="K223" s="3">
        <f t="shared" si="184"/>
        <v>4.7755707575506505E-2</v>
      </c>
      <c r="L223" s="3">
        <f t="shared" si="184"/>
        <v>4.7755707575506505E-2</v>
      </c>
      <c r="M223" s="3">
        <f t="shared" si="184"/>
        <v>4.7755707575506491E-2</v>
      </c>
      <c r="N223" s="3">
        <f t="shared" si="184"/>
        <v>4.7755707575506359E-2</v>
      </c>
      <c r="O223" s="3">
        <f t="shared" si="184"/>
        <v>4.775570757550502E-2</v>
      </c>
      <c r="P223" s="3">
        <f t="shared" si="184"/>
        <v>4.7755707575491663E-2</v>
      </c>
      <c r="Q223" s="3">
        <f t="shared" si="184"/>
        <v>4.7755707575358117E-2</v>
      </c>
      <c r="R223" s="3">
        <f t="shared" si="184"/>
        <v>4.7755707574022609E-2</v>
      </c>
      <c r="S223" s="3">
        <f t="shared" si="184"/>
        <v>4.7755707560667569E-2</v>
      </c>
      <c r="T223" s="3">
        <f t="shared" si="184"/>
        <v>4.7755707427117169E-2</v>
      </c>
      <c r="U223" s="3">
        <f t="shared" si="184"/>
        <v>4.7755706091613143E-2</v>
      </c>
      <c r="V223" s="3">
        <f t="shared" si="184"/>
        <v>4.7755692736574935E-2</v>
      </c>
      <c r="W223" s="3">
        <f t="shared" si="184"/>
        <v>4.7755559186398289E-2</v>
      </c>
      <c r="X223" s="3">
        <f t="shared" si="184"/>
        <v>4.7754223705172863E-2</v>
      </c>
      <c r="Y223" s="3">
        <f t="shared" si="184"/>
        <v>4.774087094681205E-2</v>
      </c>
      <c r="Z223" s="3">
        <f t="shared" si="184"/>
        <v>4.7607548540180407E-2</v>
      </c>
      <c r="AA223" s="3">
        <f t="shared" si="184"/>
        <v>4.6294631450104269E-2</v>
      </c>
      <c r="AB223" s="3">
        <f t="shared" si="184"/>
        <v>3.5000862996588521E-2</v>
      </c>
      <c r="AC223" s="3">
        <f t="shared" si="184"/>
        <v>2.1357969823453051E-3</v>
      </c>
      <c r="AD223" s="3">
        <f t="shared" si="184"/>
        <v>1.5288755233042773E-15</v>
      </c>
      <c r="AE223" s="3">
        <f t="shared" si="184"/>
        <v>5.401243050033786E-137</v>
      </c>
      <c r="AF223" s="3">
        <f t="shared" si="184"/>
        <v>0</v>
      </c>
      <c r="AG223" s="3"/>
      <c r="AH223" s="3"/>
    </row>
    <row r="224" spans="1:34" x14ac:dyDescent="0.25">
      <c r="B224" s="3">
        <f t="shared" ref="B224:AF224" si="185">$C32*EXP(-B$207/$A32/EXP(-$D$126))</f>
        <v>5.7469214785363418E-2</v>
      </c>
      <c r="C224" s="3">
        <f t="shared" si="185"/>
        <v>5.7469214785363418E-2</v>
      </c>
      <c r="D224" s="3">
        <f t="shared" si="185"/>
        <v>5.7469214785363418E-2</v>
      </c>
      <c r="E224" s="3">
        <f t="shared" si="185"/>
        <v>5.7469214785363418E-2</v>
      </c>
      <c r="F224" s="3">
        <f t="shared" si="185"/>
        <v>5.7469214785363418E-2</v>
      </c>
      <c r="G224" s="3">
        <f t="shared" si="185"/>
        <v>5.7469214785363418E-2</v>
      </c>
      <c r="H224" s="3">
        <f t="shared" si="185"/>
        <v>5.7469214785363418E-2</v>
      </c>
      <c r="I224" s="3">
        <f t="shared" si="185"/>
        <v>5.7469214785363418E-2</v>
      </c>
      <c r="J224" s="3">
        <f t="shared" si="185"/>
        <v>5.7469214785363418E-2</v>
      </c>
      <c r="K224" s="3">
        <f t="shared" si="185"/>
        <v>5.7469214785363418E-2</v>
      </c>
      <c r="L224" s="3">
        <f t="shared" si="185"/>
        <v>5.7469214785363418E-2</v>
      </c>
      <c r="M224" s="3">
        <f t="shared" si="185"/>
        <v>5.7469214785363418E-2</v>
      </c>
      <c r="N224" s="3">
        <f t="shared" si="185"/>
        <v>5.7469214785363397E-2</v>
      </c>
      <c r="O224" s="3">
        <f t="shared" si="185"/>
        <v>5.7469214785363258E-2</v>
      </c>
      <c r="P224" s="3">
        <f t="shared" si="185"/>
        <v>5.7469214785361808E-2</v>
      </c>
      <c r="Q224" s="3">
        <f t="shared" si="185"/>
        <v>5.7469214785347306E-2</v>
      </c>
      <c r="R224" s="3">
        <f t="shared" si="185"/>
        <v>5.7469214785202331E-2</v>
      </c>
      <c r="S224" s="3">
        <f t="shared" si="185"/>
        <v>5.7469214783752554E-2</v>
      </c>
      <c r="T224" s="3">
        <f t="shared" si="185"/>
        <v>5.7469214769254762E-2</v>
      </c>
      <c r="U224" s="3">
        <f t="shared" si="185"/>
        <v>5.7469214624276871E-2</v>
      </c>
      <c r="V224" s="3">
        <f t="shared" si="185"/>
        <v>5.7469213174497977E-2</v>
      </c>
      <c r="W224" s="3">
        <f t="shared" si="185"/>
        <v>5.7469198676711068E-2</v>
      </c>
      <c r="X224" s="3">
        <f t="shared" si="185"/>
        <v>5.7469053699043149E-2</v>
      </c>
      <c r="Y224" s="3">
        <f t="shared" si="185"/>
        <v>5.7467603942479205E-2</v>
      </c>
      <c r="Z224" s="3">
        <f t="shared" si="185"/>
        <v>5.7453108388181851E-2</v>
      </c>
      <c r="AA224" s="3">
        <f t="shared" si="185"/>
        <v>5.7308353791805974E-2</v>
      </c>
      <c r="AB224" s="3">
        <f t="shared" si="185"/>
        <v>5.5880716183008279E-2</v>
      </c>
      <c r="AC224" s="3">
        <f t="shared" si="185"/>
        <v>4.3421244372409816E-2</v>
      </c>
      <c r="AD224" s="3">
        <f t="shared" si="185"/>
        <v>3.4842177100104319E-3</v>
      </c>
      <c r="AE224" s="3">
        <f t="shared" si="185"/>
        <v>3.8559861850003635E-14</v>
      </c>
      <c r="AF224" s="3">
        <f t="shared" si="185"/>
        <v>1.062765194566191E-123</v>
      </c>
      <c r="AG224" s="3"/>
      <c r="AH224" s="3"/>
    </row>
    <row r="225" spans="2:34" x14ac:dyDescent="0.25">
      <c r="B225" s="3">
        <f t="shared" ref="B225:AF225" si="186">$C33*EXP(-B$207/$A33/EXP(-$D$126))</f>
        <v>6.4260885650205518E-2</v>
      </c>
      <c r="C225" s="3">
        <f t="shared" si="186"/>
        <v>6.4260885650205518E-2</v>
      </c>
      <c r="D225" s="3">
        <f t="shared" si="186"/>
        <v>6.4260885650205518E-2</v>
      </c>
      <c r="E225" s="3">
        <f t="shared" si="186"/>
        <v>6.4260885650205518E-2</v>
      </c>
      <c r="F225" s="3">
        <f t="shared" si="186"/>
        <v>6.4260885650205518E-2</v>
      </c>
      <c r="G225" s="3">
        <f t="shared" si="186"/>
        <v>6.4260885650205518E-2</v>
      </c>
      <c r="H225" s="3">
        <f t="shared" si="186"/>
        <v>6.4260885650205518E-2</v>
      </c>
      <c r="I225" s="3">
        <f t="shared" si="186"/>
        <v>6.4260885650205518E-2</v>
      </c>
      <c r="J225" s="3">
        <f t="shared" si="186"/>
        <v>6.4260885650205518E-2</v>
      </c>
      <c r="K225" s="3">
        <f t="shared" si="186"/>
        <v>6.4260885650205518E-2</v>
      </c>
      <c r="L225" s="3">
        <f t="shared" si="186"/>
        <v>6.4260885650205518E-2</v>
      </c>
      <c r="M225" s="3">
        <f t="shared" si="186"/>
        <v>6.4260885650205518E-2</v>
      </c>
      <c r="N225" s="3">
        <f t="shared" si="186"/>
        <v>6.4260885650205518E-2</v>
      </c>
      <c r="O225" s="3">
        <f t="shared" si="186"/>
        <v>6.4260885650205504E-2</v>
      </c>
      <c r="P225" s="3">
        <f t="shared" si="186"/>
        <v>6.4260885650205352E-2</v>
      </c>
      <c r="Q225" s="3">
        <f t="shared" si="186"/>
        <v>6.4260885650203894E-2</v>
      </c>
      <c r="R225" s="3">
        <f t="shared" si="186"/>
        <v>6.4260885650189267E-2</v>
      </c>
      <c r="S225" s="3">
        <f t="shared" si="186"/>
        <v>6.4260885650043037E-2</v>
      </c>
      <c r="T225" s="3">
        <f t="shared" si="186"/>
        <v>6.4260885648580651E-2</v>
      </c>
      <c r="U225" s="3">
        <f t="shared" si="186"/>
        <v>6.4260885633956877E-2</v>
      </c>
      <c r="V225" s="3">
        <f t="shared" si="186"/>
        <v>6.4260885487719008E-2</v>
      </c>
      <c r="W225" s="3">
        <f t="shared" si="186"/>
        <v>6.426088402534047E-2</v>
      </c>
      <c r="X225" s="3">
        <f t="shared" si="186"/>
        <v>6.4260869401556828E-2</v>
      </c>
      <c r="Y225" s="3">
        <f t="shared" si="186"/>
        <v>6.4260723163903466E-2</v>
      </c>
      <c r="Z225" s="3">
        <f t="shared" si="186"/>
        <v>6.4259260805673207E-2</v>
      </c>
      <c r="AA225" s="3">
        <f t="shared" si="186"/>
        <v>6.424463905355568E-2</v>
      </c>
      <c r="AB225" s="3">
        <f t="shared" si="186"/>
        <v>6.409860439686639E-2</v>
      </c>
      <c r="AC225" s="3">
        <f t="shared" si="186"/>
        <v>6.2656391238479534E-2</v>
      </c>
      <c r="AD225" s="3">
        <f t="shared" si="186"/>
        <v>4.9903776846834669E-2</v>
      </c>
      <c r="AE225" s="3">
        <f t="shared" si="186"/>
        <v>5.1264153824745222E-3</v>
      </c>
      <c r="AF225" s="3">
        <f t="shared" si="186"/>
        <v>6.7083787031881374E-13</v>
      </c>
      <c r="AG225" s="3"/>
      <c r="AH225" s="3"/>
    </row>
    <row r="226" spans="2:34" x14ac:dyDescent="0.25">
      <c r="B226" s="3">
        <f t="shared" ref="B226:AF226" si="187">$C34*EXP(-B$207/$A34/EXP(-$D$126))</f>
        <v>6.2189536822504186E-2</v>
      </c>
      <c r="C226" s="3">
        <f t="shared" si="187"/>
        <v>6.2189536822504186E-2</v>
      </c>
      <c r="D226" s="3">
        <f t="shared" si="187"/>
        <v>6.2189536822504186E-2</v>
      </c>
      <c r="E226" s="3">
        <f t="shared" si="187"/>
        <v>6.2189536822504186E-2</v>
      </c>
      <c r="F226" s="3">
        <f t="shared" si="187"/>
        <v>6.2189536822504186E-2</v>
      </c>
      <c r="G226" s="3">
        <f t="shared" si="187"/>
        <v>6.2189536822504186E-2</v>
      </c>
      <c r="H226" s="3">
        <f t="shared" si="187"/>
        <v>6.2189536822504186E-2</v>
      </c>
      <c r="I226" s="3">
        <f t="shared" si="187"/>
        <v>6.2189536822504186E-2</v>
      </c>
      <c r="J226" s="3">
        <f t="shared" si="187"/>
        <v>6.2189536822504186E-2</v>
      </c>
      <c r="K226" s="3">
        <f t="shared" si="187"/>
        <v>6.2189536822504186E-2</v>
      </c>
      <c r="L226" s="3">
        <f t="shared" si="187"/>
        <v>6.2189536822504186E-2</v>
      </c>
      <c r="M226" s="3">
        <f t="shared" si="187"/>
        <v>6.2189536822504186E-2</v>
      </c>
      <c r="N226" s="3">
        <f t="shared" si="187"/>
        <v>6.2189536822504186E-2</v>
      </c>
      <c r="O226" s="3">
        <f t="shared" si="187"/>
        <v>6.2189536822504186E-2</v>
      </c>
      <c r="P226" s="3">
        <f t="shared" si="187"/>
        <v>6.2189536822504173E-2</v>
      </c>
      <c r="Q226" s="3">
        <f t="shared" si="187"/>
        <v>6.2189536822504041E-2</v>
      </c>
      <c r="R226" s="3">
        <f t="shared" si="187"/>
        <v>6.2189536822502771E-2</v>
      </c>
      <c r="S226" s="3">
        <f t="shared" si="187"/>
        <v>6.2189536822489996E-2</v>
      </c>
      <c r="T226" s="3">
        <f t="shared" si="187"/>
        <v>6.2189536822362335E-2</v>
      </c>
      <c r="U226" s="3">
        <f t="shared" si="187"/>
        <v>6.2189536821085675E-2</v>
      </c>
      <c r="V226" s="3">
        <f t="shared" si="187"/>
        <v>6.2189536808319019E-2</v>
      </c>
      <c r="W226" s="3">
        <f t="shared" si="187"/>
        <v>6.2189536680652503E-2</v>
      </c>
      <c r="X226" s="3">
        <f t="shared" si="187"/>
        <v>6.2189535403987313E-2</v>
      </c>
      <c r="Y226" s="3">
        <f t="shared" si="187"/>
        <v>6.218952263733693E-2</v>
      </c>
      <c r="Z226" s="3">
        <f t="shared" si="187"/>
        <v>6.2189394970977224E-2</v>
      </c>
      <c r="AA226" s="3">
        <f t="shared" si="187"/>
        <v>6.218811832179455E-2</v>
      </c>
      <c r="AB226" s="3">
        <f t="shared" si="187"/>
        <v>6.2175353271295565E-2</v>
      </c>
      <c r="AC226" s="3">
        <f t="shared" si="187"/>
        <v>6.2047846789665746E-2</v>
      </c>
      <c r="AD226" s="3">
        <f t="shared" si="187"/>
        <v>6.0787075513258973E-2</v>
      </c>
      <c r="AE226" s="3">
        <f t="shared" si="187"/>
        <v>4.9505858694521857E-2</v>
      </c>
      <c r="AF226" s="3">
        <f t="shared" si="187"/>
        <v>6.3549198636677516E-3</v>
      </c>
      <c r="AG226" s="3"/>
      <c r="AH226" s="3"/>
    </row>
    <row r="227" spans="2:34" x14ac:dyDescent="0.25">
      <c r="B227" s="3">
        <f t="shared" ref="B227:AF227" si="188">$C35*EXP(-B$207/$A35/EXP(-$D$126))</f>
        <v>4.8803099741359754E-2</v>
      </c>
      <c r="C227" s="3">
        <f t="shared" si="188"/>
        <v>4.8803099741359754E-2</v>
      </c>
      <c r="D227" s="3">
        <f t="shared" si="188"/>
        <v>4.8803099741359754E-2</v>
      </c>
      <c r="E227" s="3">
        <f t="shared" si="188"/>
        <v>4.8803099741359754E-2</v>
      </c>
      <c r="F227" s="3">
        <f t="shared" si="188"/>
        <v>4.8803099741359754E-2</v>
      </c>
      <c r="G227" s="3">
        <f t="shared" si="188"/>
        <v>4.8803099741359754E-2</v>
      </c>
      <c r="H227" s="3">
        <f t="shared" si="188"/>
        <v>4.8803099741359754E-2</v>
      </c>
      <c r="I227" s="3">
        <f t="shared" si="188"/>
        <v>4.8803099741359754E-2</v>
      </c>
      <c r="J227" s="3">
        <f t="shared" si="188"/>
        <v>4.8803099741359754E-2</v>
      </c>
      <c r="K227" s="3">
        <f t="shared" si="188"/>
        <v>4.8803099741359754E-2</v>
      </c>
      <c r="L227" s="3">
        <f t="shared" si="188"/>
        <v>4.8803099741359754E-2</v>
      </c>
      <c r="M227" s="3">
        <f t="shared" si="188"/>
        <v>4.8803099741359754E-2</v>
      </c>
      <c r="N227" s="3">
        <f t="shared" si="188"/>
        <v>4.8803099741359754E-2</v>
      </c>
      <c r="O227" s="3">
        <f t="shared" si="188"/>
        <v>4.8803099741359754E-2</v>
      </c>
      <c r="P227" s="3">
        <f t="shared" si="188"/>
        <v>4.8803099741359754E-2</v>
      </c>
      <c r="Q227" s="3">
        <f t="shared" si="188"/>
        <v>4.880309974135974E-2</v>
      </c>
      <c r="R227" s="3">
        <f t="shared" si="188"/>
        <v>4.880309974135965E-2</v>
      </c>
      <c r="S227" s="3">
        <f t="shared" si="188"/>
        <v>4.8803099741358755E-2</v>
      </c>
      <c r="T227" s="3">
        <f t="shared" si="188"/>
        <v>4.8803099741349713E-2</v>
      </c>
      <c r="U227" s="3">
        <f t="shared" si="188"/>
        <v>4.8803099741259341E-2</v>
      </c>
      <c r="V227" s="3">
        <f t="shared" si="188"/>
        <v>4.8803099740355578E-2</v>
      </c>
      <c r="W227" s="3">
        <f t="shared" si="188"/>
        <v>4.8803099731317967E-2</v>
      </c>
      <c r="X227" s="3">
        <f t="shared" si="188"/>
        <v>4.8803099640941844E-2</v>
      </c>
      <c r="Y227" s="3">
        <f t="shared" si="188"/>
        <v>4.8803098737180646E-2</v>
      </c>
      <c r="Z227" s="3">
        <f t="shared" si="188"/>
        <v>4.8803089699569598E-2</v>
      </c>
      <c r="AA227" s="3">
        <f t="shared" si="188"/>
        <v>4.8802999323551186E-2</v>
      </c>
      <c r="AB227" s="3">
        <f t="shared" si="188"/>
        <v>4.8802095572571945E-2</v>
      </c>
      <c r="AC227" s="3">
        <f t="shared" si="188"/>
        <v>4.8793058983207065E-2</v>
      </c>
      <c r="AD227" s="3">
        <f t="shared" si="188"/>
        <v>4.8702785069278443E-2</v>
      </c>
      <c r="AE227" s="3">
        <f t="shared" si="188"/>
        <v>4.7809181189826376E-2</v>
      </c>
      <c r="AF227" s="3">
        <f t="shared" si="188"/>
        <v>3.9727056931618307E-2</v>
      </c>
      <c r="AG227" s="3"/>
      <c r="AH227" s="3"/>
    </row>
    <row r="228" spans="2:34" x14ac:dyDescent="0.25">
      <c r="B228" s="3">
        <f t="shared" ref="B228:AF228" si="189">$C36*EXP(-B$207/$A36/EXP(-$D$126))</f>
        <v>3.0415227107223403E-2</v>
      </c>
      <c r="C228" s="3">
        <f t="shared" si="189"/>
        <v>3.0415227107223403E-2</v>
      </c>
      <c r="D228" s="3">
        <f t="shared" si="189"/>
        <v>3.0415227107223403E-2</v>
      </c>
      <c r="E228" s="3">
        <f t="shared" si="189"/>
        <v>3.0415227107223403E-2</v>
      </c>
      <c r="F228" s="3">
        <f t="shared" si="189"/>
        <v>3.0415227107223403E-2</v>
      </c>
      <c r="G228" s="3">
        <f t="shared" si="189"/>
        <v>3.0415227107223403E-2</v>
      </c>
      <c r="H228" s="3">
        <f t="shared" si="189"/>
        <v>3.0415227107223403E-2</v>
      </c>
      <c r="I228" s="3">
        <f t="shared" si="189"/>
        <v>3.0415227107223403E-2</v>
      </c>
      <c r="J228" s="3">
        <f t="shared" si="189"/>
        <v>3.0415227107223403E-2</v>
      </c>
      <c r="K228" s="3">
        <f t="shared" si="189"/>
        <v>3.0415227107223403E-2</v>
      </c>
      <c r="L228" s="3">
        <f t="shared" si="189"/>
        <v>3.0415227107223403E-2</v>
      </c>
      <c r="M228" s="3">
        <f t="shared" si="189"/>
        <v>3.0415227107223403E-2</v>
      </c>
      <c r="N228" s="3">
        <f t="shared" si="189"/>
        <v>3.0415227107223403E-2</v>
      </c>
      <c r="O228" s="3">
        <f t="shared" si="189"/>
        <v>3.0415227107223403E-2</v>
      </c>
      <c r="P228" s="3">
        <f t="shared" si="189"/>
        <v>3.0415227107223403E-2</v>
      </c>
      <c r="Q228" s="3">
        <f t="shared" si="189"/>
        <v>3.0415227107223403E-2</v>
      </c>
      <c r="R228" s="3">
        <f t="shared" si="189"/>
        <v>3.0415227107223396E-2</v>
      </c>
      <c r="S228" s="3">
        <f t="shared" si="189"/>
        <v>3.0415227107223344E-2</v>
      </c>
      <c r="T228" s="3">
        <f t="shared" si="189"/>
        <v>3.0415227107222838E-2</v>
      </c>
      <c r="U228" s="3">
        <f t="shared" si="189"/>
        <v>3.0415227107217759E-2</v>
      </c>
      <c r="V228" s="3">
        <f t="shared" si="189"/>
        <v>3.0415227107166948E-2</v>
      </c>
      <c r="W228" s="3">
        <f t="shared" si="189"/>
        <v>3.0415227106658855E-2</v>
      </c>
      <c r="X228" s="3">
        <f t="shared" si="189"/>
        <v>3.0415227101577916E-2</v>
      </c>
      <c r="Y228" s="3">
        <f t="shared" si="189"/>
        <v>3.0415227050768531E-2</v>
      </c>
      <c r="Z228" s="3">
        <f t="shared" si="189"/>
        <v>3.041522654267468E-2</v>
      </c>
      <c r="AA228" s="3">
        <f t="shared" si="189"/>
        <v>3.0415221461736641E-2</v>
      </c>
      <c r="AB228" s="3">
        <f t="shared" si="189"/>
        <v>3.0415170652402942E-2</v>
      </c>
      <c r="AC228" s="3">
        <f t="shared" si="189"/>
        <v>3.0414662563734214E-2</v>
      </c>
      <c r="AD228" s="3">
        <f t="shared" si="189"/>
        <v>3.040958214384569E-2</v>
      </c>
      <c r="AE228" s="3">
        <f t="shared" si="189"/>
        <v>3.0358824595995999E-2</v>
      </c>
      <c r="AF228" s="3">
        <f t="shared" si="189"/>
        <v>2.985588551471666E-2</v>
      </c>
      <c r="AG228" s="3"/>
      <c r="AH228" s="3"/>
    </row>
    <row r="229" spans="2:34" x14ac:dyDescent="0.25">
      <c r="B229" s="3">
        <f t="shared" ref="B229:AF229" si="190">$C37*EXP(-B$207/$A37/EXP(-$D$126))</f>
        <v>1.5463317607252298E-2</v>
      </c>
      <c r="C229" s="3">
        <f t="shared" si="190"/>
        <v>1.5463317607252298E-2</v>
      </c>
      <c r="D229" s="3">
        <f t="shared" si="190"/>
        <v>1.5463317607252298E-2</v>
      </c>
      <c r="E229" s="3">
        <f t="shared" si="190"/>
        <v>1.5463317607252298E-2</v>
      </c>
      <c r="F229" s="3">
        <f t="shared" si="190"/>
        <v>1.5463317607252298E-2</v>
      </c>
      <c r="G229" s="3">
        <f t="shared" si="190"/>
        <v>1.5463317607252298E-2</v>
      </c>
      <c r="H229" s="3">
        <f t="shared" si="190"/>
        <v>1.5463317607252298E-2</v>
      </c>
      <c r="I229" s="3">
        <f t="shared" si="190"/>
        <v>1.5463317607252298E-2</v>
      </c>
      <c r="J229" s="3">
        <f t="shared" si="190"/>
        <v>1.5463317607252298E-2</v>
      </c>
      <c r="K229" s="3">
        <f t="shared" si="190"/>
        <v>1.5463317607252298E-2</v>
      </c>
      <c r="L229" s="3">
        <f t="shared" si="190"/>
        <v>1.5463317607252298E-2</v>
      </c>
      <c r="M229" s="3">
        <f t="shared" si="190"/>
        <v>1.5463317607252298E-2</v>
      </c>
      <c r="N229" s="3">
        <f t="shared" si="190"/>
        <v>1.5463317607252298E-2</v>
      </c>
      <c r="O229" s="3">
        <f t="shared" si="190"/>
        <v>1.5463317607252298E-2</v>
      </c>
      <c r="P229" s="3">
        <f t="shared" si="190"/>
        <v>1.5463317607252298E-2</v>
      </c>
      <c r="Q229" s="3">
        <f t="shared" si="190"/>
        <v>1.5463317607252298E-2</v>
      </c>
      <c r="R229" s="3">
        <f t="shared" si="190"/>
        <v>1.5463317607252298E-2</v>
      </c>
      <c r="S229" s="3">
        <f t="shared" si="190"/>
        <v>1.5463317607252294E-2</v>
      </c>
      <c r="T229" s="3">
        <f t="shared" si="190"/>
        <v>1.5463317607252272E-2</v>
      </c>
      <c r="U229" s="3">
        <f t="shared" si="190"/>
        <v>1.5463317607252039E-2</v>
      </c>
      <c r="V229" s="3">
        <f t="shared" si="190"/>
        <v>1.546331760724971E-2</v>
      </c>
      <c r="W229" s="3">
        <f t="shared" si="190"/>
        <v>1.5463317607226405E-2</v>
      </c>
      <c r="X229" s="3">
        <f t="shared" si="190"/>
        <v>1.5463317606993382E-2</v>
      </c>
      <c r="Y229" s="3">
        <f t="shared" si="190"/>
        <v>1.5463317604663133E-2</v>
      </c>
      <c r="Z229" s="3">
        <f t="shared" si="190"/>
        <v>1.5463317581360653E-2</v>
      </c>
      <c r="AA229" s="3">
        <f t="shared" si="190"/>
        <v>1.5463317348335854E-2</v>
      </c>
      <c r="AB229" s="3">
        <f t="shared" si="190"/>
        <v>1.5463315018088055E-2</v>
      </c>
      <c r="AC229" s="3">
        <f t="shared" si="190"/>
        <v>1.5463291715629376E-2</v>
      </c>
      <c r="AD229" s="3">
        <f t="shared" si="190"/>
        <v>1.5463058692973928E-2</v>
      </c>
      <c r="AE229" s="3">
        <f t="shared" si="190"/>
        <v>1.5460728659543977E-2</v>
      </c>
      <c r="AF229" s="3">
        <f t="shared" si="190"/>
        <v>1.5437447626931973E-2</v>
      </c>
      <c r="AG229" s="3"/>
      <c r="AH229" s="3"/>
    </row>
    <row r="230" spans="2:34" x14ac:dyDescent="0.25">
      <c r="B230" s="3">
        <f t="shared" ref="B230:AF230" si="191">$C38*EXP(-B$207/$A38/EXP(-$D$126))</f>
        <v>6.4979326784240111E-3</v>
      </c>
      <c r="C230" s="3">
        <f t="shared" si="191"/>
        <v>6.4979326784240111E-3</v>
      </c>
      <c r="D230" s="3">
        <f t="shared" si="191"/>
        <v>6.4979326784240111E-3</v>
      </c>
      <c r="E230" s="3">
        <f t="shared" si="191"/>
        <v>6.4979326784240111E-3</v>
      </c>
      <c r="F230" s="3">
        <f t="shared" si="191"/>
        <v>6.4979326784240111E-3</v>
      </c>
      <c r="G230" s="3">
        <f t="shared" si="191"/>
        <v>6.4979326784240111E-3</v>
      </c>
      <c r="H230" s="3">
        <f t="shared" si="191"/>
        <v>6.4979326784240111E-3</v>
      </c>
      <c r="I230" s="3">
        <f t="shared" si="191"/>
        <v>6.4979326784240111E-3</v>
      </c>
      <c r="J230" s="3">
        <f t="shared" si="191"/>
        <v>6.4979326784240111E-3</v>
      </c>
      <c r="K230" s="3">
        <f t="shared" si="191"/>
        <v>6.4979326784240111E-3</v>
      </c>
      <c r="L230" s="3">
        <f t="shared" si="191"/>
        <v>6.4979326784240111E-3</v>
      </c>
      <c r="M230" s="3">
        <f t="shared" si="191"/>
        <v>6.4979326784240111E-3</v>
      </c>
      <c r="N230" s="3">
        <f t="shared" si="191"/>
        <v>6.4979326784240111E-3</v>
      </c>
      <c r="O230" s="3">
        <f t="shared" si="191"/>
        <v>6.4979326784240111E-3</v>
      </c>
      <c r="P230" s="3">
        <f t="shared" si="191"/>
        <v>6.4979326784240111E-3</v>
      </c>
      <c r="Q230" s="3">
        <f t="shared" si="191"/>
        <v>6.4979326784240111E-3</v>
      </c>
      <c r="R230" s="3">
        <f t="shared" si="191"/>
        <v>6.4979326784240111E-3</v>
      </c>
      <c r="S230" s="3">
        <f t="shared" si="191"/>
        <v>6.4979326784240111E-3</v>
      </c>
      <c r="T230" s="3">
        <f t="shared" si="191"/>
        <v>6.4979326784240102E-3</v>
      </c>
      <c r="U230" s="3">
        <f t="shared" si="191"/>
        <v>6.4979326784240007E-3</v>
      </c>
      <c r="V230" s="3">
        <f t="shared" si="191"/>
        <v>6.4979326784239131E-3</v>
      </c>
      <c r="W230" s="3">
        <f t="shared" si="191"/>
        <v>6.4979326784230301E-3</v>
      </c>
      <c r="X230" s="3">
        <f t="shared" si="191"/>
        <v>6.497932678414196E-3</v>
      </c>
      <c r="Y230" s="3">
        <f t="shared" si="191"/>
        <v>6.4979326783258639E-3</v>
      </c>
      <c r="Z230" s="3">
        <f t="shared" si="191"/>
        <v>6.4979326774425366E-3</v>
      </c>
      <c r="AA230" s="3">
        <f t="shared" si="191"/>
        <v>6.4979326686092726E-3</v>
      </c>
      <c r="AB230" s="3">
        <f t="shared" si="191"/>
        <v>6.4979325802766216E-3</v>
      </c>
      <c r="AC230" s="3">
        <f t="shared" si="191"/>
        <v>6.4979316969501757E-3</v>
      </c>
      <c r="AD230" s="3">
        <f t="shared" si="191"/>
        <v>6.4979228636923249E-3</v>
      </c>
      <c r="AE230" s="3">
        <f t="shared" si="191"/>
        <v>6.4978345317742497E-3</v>
      </c>
      <c r="AF230" s="3">
        <f t="shared" si="191"/>
        <v>6.4969512786333056E-3</v>
      </c>
      <c r="AG230" s="3"/>
      <c r="AH230" s="3"/>
    </row>
    <row r="231" spans="2:34" x14ac:dyDescent="0.25">
      <c r="B231" s="3">
        <f t="shared" ref="B231:AF231" si="192">$C39*EXP(-B$207/$A39/EXP(-$D$126))</f>
        <v>1.7266189453767201E-3</v>
      </c>
      <c r="C231" s="3">
        <f t="shared" si="192"/>
        <v>1.7266189453767201E-3</v>
      </c>
      <c r="D231" s="3">
        <f t="shared" si="192"/>
        <v>1.7266189453767201E-3</v>
      </c>
      <c r="E231" s="3">
        <f t="shared" si="192"/>
        <v>1.7266189453767201E-3</v>
      </c>
      <c r="F231" s="3">
        <f t="shared" si="192"/>
        <v>1.7266189453767201E-3</v>
      </c>
      <c r="G231" s="3">
        <f t="shared" si="192"/>
        <v>1.7266189453767201E-3</v>
      </c>
      <c r="H231" s="3">
        <f t="shared" si="192"/>
        <v>1.7266189453767201E-3</v>
      </c>
      <c r="I231" s="3">
        <f t="shared" si="192"/>
        <v>1.7266189453767201E-3</v>
      </c>
      <c r="J231" s="3">
        <f t="shared" si="192"/>
        <v>1.7266189453767201E-3</v>
      </c>
      <c r="K231" s="3">
        <f t="shared" si="192"/>
        <v>1.7266189453767201E-3</v>
      </c>
      <c r="L231" s="3">
        <f t="shared" si="192"/>
        <v>1.7266189453767201E-3</v>
      </c>
      <c r="M231" s="3">
        <f t="shared" si="192"/>
        <v>1.7266189453767201E-3</v>
      </c>
      <c r="N231" s="3">
        <f t="shared" si="192"/>
        <v>1.7266189453767201E-3</v>
      </c>
      <c r="O231" s="3">
        <f t="shared" si="192"/>
        <v>1.7266189453767201E-3</v>
      </c>
      <c r="P231" s="3">
        <f t="shared" si="192"/>
        <v>1.7266189453767201E-3</v>
      </c>
      <c r="Q231" s="3">
        <f t="shared" si="192"/>
        <v>1.7266189453767201E-3</v>
      </c>
      <c r="R231" s="3">
        <f t="shared" si="192"/>
        <v>1.7266189453767201E-3</v>
      </c>
      <c r="S231" s="3">
        <f t="shared" si="192"/>
        <v>1.7266189453767201E-3</v>
      </c>
      <c r="T231" s="3">
        <f t="shared" si="192"/>
        <v>1.7266189453767201E-3</v>
      </c>
      <c r="U231" s="3">
        <f t="shared" si="192"/>
        <v>1.7266189453767193E-3</v>
      </c>
      <c r="V231" s="3">
        <f t="shared" si="192"/>
        <v>1.7266189453767128E-3</v>
      </c>
      <c r="W231" s="3">
        <f t="shared" si="192"/>
        <v>1.7266189453766481E-3</v>
      </c>
      <c r="X231" s="3">
        <f t="shared" si="192"/>
        <v>1.7266189453759987E-3</v>
      </c>
      <c r="Y231" s="3">
        <f t="shared" si="192"/>
        <v>1.7266189453695071E-3</v>
      </c>
      <c r="Z231" s="3">
        <f t="shared" si="192"/>
        <v>1.7266189453045905E-3</v>
      </c>
      <c r="AA231" s="3">
        <f t="shared" si="192"/>
        <v>1.7266189446554251E-3</v>
      </c>
      <c r="AB231" s="3">
        <f t="shared" si="192"/>
        <v>1.7266189381637703E-3</v>
      </c>
      <c r="AC231" s="3">
        <f t="shared" si="192"/>
        <v>1.7266188732472227E-3</v>
      </c>
      <c r="AD231" s="3">
        <f t="shared" si="192"/>
        <v>1.7266182240818812E-3</v>
      </c>
      <c r="AE231" s="3">
        <f t="shared" si="192"/>
        <v>1.726611732441888E-3</v>
      </c>
      <c r="AF231" s="3">
        <f t="shared" si="192"/>
        <v>1.7265468173843226E-3</v>
      </c>
      <c r="AG231" s="3"/>
      <c r="AH231" s="3"/>
    </row>
    <row r="232" spans="2:34" x14ac:dyDescent="0.25">
      <c r="B232" s="3">
        <f t="shared" ref="B232:AF232" si="193">$C40*EXP(-B$207/$A40/EXP(-$D$126))</f>
        <v>4.5003340048363309E-3</v>
      </c>
      <c r="C232" s="3">
        <f t="shared" si="193"/>
        <v>4.5003340048363309E-3</v>
      </c>
      <c r="D232" s="3">
        <f t="shared" si="193"/>
        <v>4.5003340048363309E-3</v>
      </c>
      <c r="E232" s="3">
        <f t="shared" si="193"/>
        <v>4.5003340048363309E-3</v>
      </c>
      <c r="F232" s="3">
        <f t="shared" si="193"/>
        <v>4.5003340048363309E-3</v>
      </c>
      <c r="G232" s="3">
        <f t="shared" si="193"/>
        <v>4.5003340048363309E-3</v>
      </c>
      <c r="H232" s="3">
        <f t="shared" si="193"/>
        <v>4.5003340048363309E-3</v>
      </c>
      <c r="I232" s="3">
        <f t="shared" si="193"/>
        <v>4.5003340048363309E-3</v>
      </c>
      <c r="J232" s="3">
        <f t="shared" si="193"/>
        <v>4.5003340048363309E-3</v>
      </c>
      <c r="K232" s="3">
        <f t="shared" si="193"/>
        <v>4.5003340048363309E-3</v>
      </c>
      <c r="L232" s="3">
        <f t="shared" si="193"/>
        <v>4.5003340048363309E-3</v>
      </c>
      <c r="M232" s="3">
        <f t="shared" si="193"/>
        <v>4.5003340048363309E-3</v>
      </c>
      <c r="N232" s="3">
        <f t="shared" si="193"/>
        <v>4.5003340048363309E-3</v>
      </c>
      <c r="O232" s="3">
        <f t="shared" si="193"/>
        <v>4.5003340048363309E-3</v>
      </c>
      <c r="P232" s="3">
        <f t="shared" si="193"/>
        <v>4.5003340048363309E-3</v>
      </c>
      <c r="Q232" s="3">
        <f t="shared" si="193"/>
        <v>4.5003340048363309E-3</v>
      </c>
      <c r="R232" s="3">
        <f t="shared" si="193"/>
        <v>4.5003340048363309E-3</v>
      </c>
      <c r="S232" s="3">
        <f t="shared" si="193"/>
        <v>4.5003340048363309E-3</v>
      </c>
      <c r="T232" s="3">
        <f t="shared" si="193"/>
        <v>4.5003340048363309E-3</v>
      </c>
      <c r="U232" s="3">
        <f t="shared" si="193"/>
        <v>4.5003340048363309E-3</v>
      </c>
      <c r="V232" s="3">
        <f t="shared" si="193"/>
        <v>4.5003340048363292E-3</v>
      </c>
      <c r="W232" s="3">
        <f t="shared" si="193"/>
        <v>4.5003340048363118E-3</v>
      </c>
      <c r="X232" s="3">
        <f t="shared" si="193"/>
        <v>4.5003340048361427E-3</v>
      </c>
      <c r="Y232" s="3">
        <f t="shared" si="193"/>
        <v>4.5003340048344505E-3</v>
      </c>
      <c r="Z232" s="3">
        <f t="shared" si="193"/>
        <v>4.5003340048175309E-3</v>
      </c>
      <c r="AA232" s="3">
        <f t="shared" si="193"/>
        <v>4.5003340046483294E-3</v>
      </c>
      <c r="AB232" s="3">
        <f t="shared" si="193"/>
        <v>4.5003340029563165E-3</v>
      </c>
      <c r="AC232" s="3">
        <f t="shared" si="193"/>
        <v>4.5003339860361872E-3</v>
      </c>
      <c r="AD232" s="3">
        <f t="shared" si="193"/>
        <v>4.5003338168349014E-3</v>
      </c>
      <c r="AE232" s="3">
        <f t="shared" si="193"/>
        <v>4.5003321248223878E-3</v>
      </c>
      <c r="AF232" s="3">
        <f t="shared" si="193"/>
        <v>4.5003152047322394E-3</v>
      </c>
      <c r="AG232" s="3"/>
      <c r="AH232" s="3"/>
    </row>
    <row r="233" spans="2:34" x14ac:dyDescent="0.25">
      <c r="B233" s="3">
        <f t="shared" ref="B233:AF233" si="194">$C41*EXP(-B$207/$A41/EXP(-$D$126))</f>
        <v>6.1948117203855881E-4</v>
      </c>
      <c r="C233" s="3">
        <f t="shared" si="194"/>
        <v>6.1948117203855881E-4</v>
      </c>
      <c r="D233" s="3">
        <f t="shared" si="194"/>
        <v>6.1948117203855881E-4</v>
      </c>
      <c r="E233" s="3">
        <f t="shared" si="194"/>
        <v>6.1948117203855881E-4</v>
      </c>
      <c r="F233" s="3">
        <f t="shared" si="194"/>
        <v>6.1948117203855881E-4</v>
      </c>
      <c r="G233" s="3">
        <f t="shared" si="194"/>
        <v>6.1948117203855881E-4</v>
      </c>
      <c r="H233" s="3">
        <f t="shared" si="194"/>
        <v>6.1948117203855881E-4</v>
      </c>
      <c r="I233" s="3">
        <f t="shared" si="194"/>
        <v>6.1948117203855881E-4</v>
      </c>
      <c r="J233" s="3">
        <f t="shared" si="194"/>
        <v>6.1948117203855881E-4</v>
      </c>
      <c r="K233" s="3">
        <f t="shared" si="194"/>
        <v>6.1948117203855881E-4</v>
      </c>
      <c r="L233" s="3">
        <f t="shared" si="194"/>
        <v>6.1948117203855881E-4</v>
      </c>
      <c r="M233" s="3">
        <f t="shared" si="194"/>
        <v>6.1948117203855881E-4</v>
      </c>
      <c r="N233" s="3">
        <f t="shared" si="194"/>
        <v>6.1948117203855881E-4</v>
      </c>
      <c r="O233" s="3">
        <f t="shared" si="194"/>
        <v>6.1948117203855881E-4</v>
      </c>
      <c r="P233" s="3">
        <f t="shared" si="194"/>
        <v>6.1948117203855881E-4</v>
      </c>
      <c r="Q233" s="3">
        <f t="shared" si="194"/>
        <v>6.1948117203855881E-4</v>
      </c>
      <c r="R233" s="3">
        <f t="shared" si="194"/>
        <v>6.1948117203855881E-4</v>
      </c>
      <c r="S233" s="3">
        <f t="shared" si="194"/>
        <v>6.1948117203855881E-4</v>
      </c>
      <c r="T233" s="3">
        <f t="shared" si="194"/>
        <v>6.1948117203855881E-4</v>
      </c>
      <c r="U233" s="3">
        <f t="shared" si="194"/>
        <v>6.1948117203855881E-4</v>
      </c>
      <c r="V233" s="3">
        <f t="shared" si="194"/>
        <v>6.1948117203855881E-4</v>
      </c>
      <c r="W233" s="3">
        <f t="shared" si="194"/>
        <v>6.1948117203855849E-4</v>
      </c>
      <c r="X233" s="3">
        <f t="shared" si="194"/>
        <v>6.1948117203855621E-4</v>
      </c>
      <c r="Y233" s="3">
        <f t="shared" si="194"/>
        <v>6.194811720385329E-4</v>
      </c>
      <c r="Z233" s="3">
        <f t="shared" si="194"/>
        <v>6.1948117203830002E-4</v>
      </c>
      <c r="AA233" s="3">
        <f t="shared" si="194"/>
        <v>6.1948117203597093E-4</v>
      </c>
      <c r="AB233" s="3">
        <f t="shared" si="194"/>
        <v>6.1948117201267999E-4</v>
      </c>
      <c r="AC233" s="3">
        <f t="shared" si="194"/>
        <v>6.194811717797706E-4</v>
      </c>
      <c r="AD233" s="3">
        <f t="shared" si="194"/>
        <v>6.1948116945067643E-4</v>
      </c>
      <c r="AE233" s="3">
        <f t="shared" si="194"/>
        <v>6.1948114615973607E-4</v>
      </c>
      <c r="AF233" s="3">
        <f t="shared" si="194"/>
        <v>6.194809132503801E-4</v>
      </c>
      <c r="AG233" s="3"/>
      <c r="AH233" s="3"/>
    </row>
    <row r="234" spans="2:34" x14ac:dyDescent="0.25">
      <c r="B234" s="3">
        <f t="shared" ref="B234:AF234" si="195">$C42*EXP(-B$207/$A42/EXP(-$D$126))</f>
        <v>7.8921984991154562E-4</v>
      </c>
      <c r="C234" s="3">
        <f t="shared" si="195"/>
        <v>7.8921984991154562E-4</v>
      </c>
      <c r="D234" s="3">
        <f t="shared" si="195"/>
        <v>7.8921984991154562E-4</v>
      </c>
      <c r="E234" s="3">
        <f t="shared" si="195"/>
        <v>7.8921984991154562E-4</v>
      </c>
      <c r="F234" s="3">
        <f t="shared" si="195"/>
        <v>7.8921984991154562E-4</v>
      </c>
      <c r="G234" s="3">
        <f t="shared" si="195"/>
        <v>7.8921984991154562E-4</v>
      </c>
      <c r="H234" s="3">
        <f t="shared" si="195"/>
        <v>7.8921984991154562E-4</v>
      </c>
      <c r="I234" s="3">
        <f t="shared" si="195"/>
        <v>7.8921984991154562E-4</v>
      </c>
      <c r="J234" s="3">
        <f t="shared" si="195"/>
        <v>7.8921984991154562E-4</v>
      </c>
      <c r="K234" s="3">
        <f t="shared" si="195"/>
        <v>7.8921984991154562E-4</v>
      </c>
      <c r="L234" s="3">
        <f t="shared" si="195"/>
        <v>7.8921984991154562E-4</v>
      </c>
      <c r="M234" s="3">
        <f t="shared" si="195"/>
        <v>7.8921984991154562E-4</v>
      </c>
      <c r="N234" s="3">
        <f t="shared" si="195"/>
        <v>7.8921984991154562E-4</v>
      </c>
      <c r="O234" s="3">
        <f t="shared" si="195"/>
        <v>7.8921984991154562E-4</v>
      </c>
      <c r="P234" s="3">
        <f t="shared" si="195"/>
        <v>7.8921984991154562E-4</v>
      </c>
      <c r="Q234" s="3">
        <f t="shared" si="195"/>
        <v>7.8921984991154562E-4</v>
      </c>
      <c r="R234" s="3">
        <f t="shared" si="195"/>
        <v>7.8921984991154562E-4</v>
      </c>
      <c r="S234" s="3">
        <f t="shared" si="195"/>
        <v>7.8921984991154562E-4</v>
      </c>
      <c r="T234" s="3">
        <f t="shared" si="195"/>
        <v>7.8921984991154562E-4</v>
      </c>
      <c r="U234" s="3">
        <f t="shared" si="195"/>
        <v>7.8921984991154562E-4</v>
      </c>
      <c r="V234" s="3">
        <f t="shared" si="195"/>
        <v>7.8921984991154562E-4</v>
      </c>
      <c r="W234" s="3">
        <f t="shared" si="195"/>
        <v>7.8921984991154562E-4</v>
      </c>
      <c r="X234" s="3">
        <f t="shared" si="195"/>
        <v>7.892198499115453E-4</v>
      </c>
      <c r="Y234" s="3">
        <f t="shared" si="195"/>
        <v>7.8921984991154226E-4</v>
      </c>
      <c r="Z234" s="3">
        <f t="shared" si="195"/>
        <v>7.8921984991151266E-4</v>
      </c>
      <c r="AA234" s="3">
        <f t="shared" si="195"/>
        <v>7.8921984991121592E-4</v>
      </c>
      <c r="AB234" s="3">
        <f t="shared" si="195"/>
        <v>7.8921984990824867E-4</v>
      </c>
      <c r="AC234" s="3">
        <f t="shared" si="195"/>
        <v>7.892198498785759E-4</v>
      </c>
      <c r="AD234" s="3">
        <f t="shared" si="195"/>
        <v>7.8921984958184907E-4</v>
      </c>
      <c r="AE234" s="3">
        <f t="shared" si="195"/>
        <v>7.8921984661458006E-4</v>
      </c>
      <c r="AF234" s="3">
        <f t="shared" si="195"/>
        <v>7.8921981694189051E-4</v>
      </c>
      <c r="AG234" s="3"/>
      <c r="AH234" s="3"/>
    </row>
    <row r="235" spans="2:34" x14ac:dyDescent="0.25">
      <c r="B235" s="3">
        <f t="shared" ref="B235:AF235" si="196">$C43*EXP(-B$207/$A43/EXP(-$D$126))</f>
        <v>3.1383864234018747E-3</v>
      </c>
      <c r="C235" s="3">
        <f t="shared" si="196"/>
        <v>3.1383864234018747E-3</v>
      </c>
      <c r="D235" s="3">
        <f t="shared" si="196"/>
        <v>3.1383864234018747E-3</v>
      </c>
      <c r="E235" s="3">
        <f t="shared" si="196"/>
        <v>3.1383864234018747E-3</v>
      </c>
      <c r="F235" s="3">
        <f t="shared" si="196"/>
        <v>3.1383864234018747E-3</v>
      </c>
      <c r="G235" s="3">
        <f t="shared" si="196"/>
        <v>3.1383864234018747E-3</v>
      </c>
      <c r="H235" s="3">
        <f t="shared" si="196"/>
        <v>3.1383864234018747E-3</v>
      </c>
      <c r="I235" s="3">
        <f t="shared" si="196"/>
        <v>3.1383864234018747E-3</v>
      </c>
      <c r="J235" s="3">
        <f t="shared" si="196"/>
        <v>3.1383864234018747E-3</v>
      </c>
      <c r="K235" s="3">
        <f t="shared" si="196"/>
        <v>3.1383864234018747E-3</v>
      </c>
      <c r="L235" s="3">
        <f t="shared" si="196"/>
        <v>3.1383864234018747E-3</v>
      </c>
      <c r="M235" s="3">
        <f t="shared" si="196"/>
        <v>3.1383864234018747E-3</v>
      </c>
      <c r="N235" s="3">
        <f t="shared" si="196"/>
        <v>3.1383864234018747E-3</v>
      </c>
      <c r="O235" s="3">
        <f t="shared" si="196"/>
        <v>3.1383864234018747E-3</v>
      </c>
      <c r="P235" s="3">
        <f t="shared" si="196"/>
        <v>3.1383864234018747E-3</v>
      </c>
      <c r="Q235" s="3">
        <f t="shared" si="196"/>
        <v>3.1383864234018747E-3</v>
      </c>
      <c r="R235" s="3">
        <f t="shared" si="196"/>
        <v>3.1383864234018747E-3</v>
      </c>
      <c r="S235" s="3">
        <f t="shared" si="196"/>
        <v>3.1383864234018747E-3</v>
      </c>
      <c r="T235" s="3">
        <f t="shared" si="196"/>
        <v>3.1383864234018747E-3</v>
      </c>
      <c r="U235" s="3">
        <f t="shared" si="196"/>
        <v>3.1383864234018747E-3</v>
      </c>
      <c r="V235" s="3">
        <f t="shared" si="196"/>
        <v>3.1383864234018747E-3</v>
      </c>
      <c r="W235" s="3">
        <f t="shared" si="196"/>
        <v>3.1383864234018747E-3</v>
      </c>
      <c r="X235" s="3">
        <f t="shared" si="196"/>
        <v>3.1383864234018747E-3</v>
      </c>
      <c r="Y235" s="3">
        <f t="shared" si="196"/>
        <v>3.1383864234018734E-3</v>
      </c>
      <c r="Z235" s="3">
        <f t="shared" si="196"/>
        <v>3.1383864234018613E-3</v>
      </c>
      <c r="AA235" s="3">
        <f t="shared" si="196"/>
        <v>3.1383864234017437E-3</v>
      </c>
      <c r="AB235" s="3">
        <f t="shared" si="196"/>
        <v>3.1383864234005637E-3</v>
      </c>
      <c r="AC235" s="3">
        <f t="shared" si="196"/>
        <v>3.1383864233887641E-3</v>
      </c>
      <c r="AD235" s="3">
        <f t="shared" si="196"/>
        <v>3.1383864232707686E-3</v>
      </c>
      <c r="AE235" s="3">
        <f t="shared" si="196"/>
        <v>3.1383864220908141E-3</v>
      </c>
      <c r="AF235" s="3">
        <f t="shared" si="196"/>
        <v>3.1383864102912666E-3</v>
      </c>
      <c r="AG235" s="3"/>
      <c r="AH235" s="3"/>
    </row>
    <row r="236" spans="2:34" x14ac:dyDescent="0.25">
      <c r="B236" s="3">
        <f t="shared" ref="B236:AF236" si="197">$C44*EXP(-B$207/$A44/EXP(-$D$126))</f>
        <v>4.3963079363277776E-4</v>
      </c>
      <c r="C236" s="3">
        <f t="shared" si="197"/>
        <v>4.3963079363277776E-4</v>
      </c>
      <c r="D236" s="3">
        <f t="shared" si="197"/>
        <v>4.3963079363277776E-4</v>
      </c>
      <c r="E236" s="3">
        <f t="shared" si="197"/>
        <v>4.3963079363277776E-4</v>
      </c>
      <c r="F236" s="3">
        <f t="shared" si="197"/>
        <v>4.3963079363277776E-4</v>
      </c>
      <c r="G236" s="3">
        <f t="shared" si="197"/>
        <v>4.3963079363277776E-4</v>
      </c>
      <c r="H236" s="3">
        <f t="shared" si="197"/>
        <v>4.3963079363277776E-4</v>
      </c>
      <c r="I236" s="3">
        <f t="shared" si="197"/>
        <v>4.3963079363277776E-4</v>
      </c>
      <c r="J236" s="3">
        <f t="shared" si="197"/>
        <v>4.3963079363277776E-4</v>
      </c>
      <c r="K236" s="3">
        <f t="shared" si="197"/>
        <v>4.3963079363277776E-4</v>
      </c>
      <c r="L236" s="3">
        <f t="shared" si="197"/>
        <v>4.3963079363277776E-4</v>
      </c>
      <c r="M236" s="3">
        <f t="shared" si="197"/>
        <v>4.3963079363277776E-4</v>
      </c>
      <c r="N236" s="3">
        <f t="shared" si="197"/>
        <v>4.3963079363277776E-4</v>
      </c>
      <c r="O236" s="3">
        <f t="shared" si="197"/>
        <v>4.3963079363277776E-4</v>
      </c>
      <c r="P236" s="3">
        <f t="shared" si="197"/>
        <v>4.3963079363277776E-4</v>
      </c>
      <c r="Q236" s="3">
        <f t="shared" si="197"/>
        <v>4.3963079363277776E-4</v>
      </c>
      <c r="R236" s="3">
        <f t="shared" si="197"/>
        <v>4.3963079363277776E-4</v>
      </c>
      <c r="S236" s="3">
        <f t="shared" si="197"/>
        <v>4.3963079363277776E-4</v>
      </c>
      <c r="T236" s="3">
        <f t="shared" si="197"/>
        <v>4.3963079363277776E-4</v>
      </c>
      <c r="U236" s="3">
        <f t="shared" si="197"/>
        <v>4.3963079363277776E-4</v>
      </c>
      <c r="V236" s="3">
        <f t="shared" si="197"/>
        <v>4.3963079363277776E-4</v>
      </c>
      <c r="W236" s="3">
        <f t="shared" si="197"/>
        <v>4.3963079363277776E-4</v>
      </c>
      <c r="X236" s="3">
        <f t="shared" si="197"/>
        <v>4.3963079363277776E-4</v>
      </c>
      <c r="Y236" s="3">
        <f t="shared" si="197"/>
        <v>4.3963079363277776E-4</v>
      </c>
      <c r="Z236" s="3">
        <f t="shared" si="197"/>
        <v>4.3963079363277754E-4</v>
      </c>
      <c r="AA236" s="3">
        <f t="shared" si="197"/>
        <v>4.3963079363277592E-4</v>
      </c>
      <c r="AB236" s="3">
        <f t="shared" si="197"/>
        <v>4.3963079363275938E-4</v>
      </c>
      <c r="AC236" s="3">
        <f t="shared" si="197"/>
        <v>4.3963079363259409E-4</v>
      </c>
      <c r="AD236" s="3">
        <f t="shared" si="197"/>
        <v>4.3963079363094117E-4</v>
      </c>
      <c r="AE236" s="3">
        <f t="shared" si="197"/>
        <v>4.3963079361441219E-4</v>
      </c>
      <c r="AF236" s="3">
        <f t="shared" si="197"/>
        <v>4.3963079344912204E-4</v>
      </c>
      <c r="AG236" s="3"/>
      <c r="AH236" s="3"/>
    </row>
    <row r="237" spans="2:34" x14ac:dyDescent="0.25">
      <c r="B237" s="3">
        <f t="shared" ref="B237:AF237" si="198">$C45*EXP(-B$207/$A45/EXP(-$D$126))</f>
        <v>3.9367491924485783E-5</v>
      </c>
      <c r="C237" s="3">
        <f t="shared" si="198"/>
        <v>3.9367491924485783E-5</v>
      </c>
      <c r="D237" s="3">
        <f t="shared" si="198"/>
        <v>3.9367491924485783E-5</v>
      </c>
      <c r="E237" s="3">
        <f t="shared" si="198"/>
        <v>3.9367491924485783E-5</v>
      </c>
      <c r="F237" s="3">
        <f t="shared" si="198"/>
        <v>3.9367491924485783E-5</v>
      </c>
      <c r="G237" s="3">
        <f t="shared" si="198"/>
        <v>3.9367491924485783E-5</v>
      </c>
      <c r="H237" s="3">
        <f t="shared" si="198"/>
        <v>3.9367491924485783E-5</v>
      </c>
      <c r="I237" s="3">
        <f t="shared" si="198"/>
        <v>3.9367491924485783E-5</v>
      </c>
      <c r="J237" s="3">
        <f t="shared" si="198"/>
        <v>3.9367491924485783E-5</v>
      </c>
      <c r="K237" s="3">
        <f t="shared" si="198"/>
        <v>3.9367491924485783E-5</v>
      </c>
      <c r="L237" s="3">
        <f t="shared" si="198"/>
        <v>3.9367491924485783E-5</v>
      </c>
      <c r="M237" s="3">
        <f t="shared" si="198"/>
        <v>3.9367491924485783E-5</v>
      </c>
      <c r="N237" s="3">
        <f t="shared" si="198"/>
        <v>3.9367491924485783E-5</v>
      </c>
      <c r="O237" s="3">
        <f t="shared" si="198"/>
        <v>3.9367491924485783E-5</v>
      </c>
      <c r="P237" s="3">
        <f t="shared" si="198"/>
        <v>3.9367491924485783E-5</v>
      </c>
      <c r="Q237" s="3">
        <f t="shared" si="198"/>
        <v>3.9367491924485783E-5</v>
      </c>
      <c r="R237" s="3">
        <f t="shared" si="198"/>
        <v>3.9367491924485783E-5</v>
      </c>
      <c r="S237" s="3">
        <f t="shared" si="198"/>
        <v>3.9367491924485783E-5</v>
      </c>
      <c r="T237" s="3">
        <f t="shared" si="198"/>
        <v>3.9367491924485783E-5</v>
      </c>
      <c r="U237" s="3">
        <f t="shared" si="198"/>
        <v>3.9367491924485783E-5</v>
      </c>
      <c r="V237" s="3">
        <f t="shared" si="198"/>
        <v>3.9367491924485783E-5</v>
      </c>
      <c r="W237" s="3">
        <f t="shared" si="198"/>
        <v>3.9367491924485783E-5</v>
      </c>
      <c r="X237" s="3">
        <f t="shared" si="198"/>
        <v>3.9367491924485783E-5</v>
      </c>
      <c r="Y237" s="3">
        <f t="shared" si="198"/>
        <v>3.9367491924485783E-5</v>
      </c>
      <c r="Z237" s="3">
        <f t="shared" si="198"/>
        <v>3.9367491924485783E-5</v>
      </c>
      <c r="AA237" s="3">
        <f t="shared" si="198"/>
        <v>3.9367491924485763E-5</v>
      </c>
      <c r="AB237" s="3">
        <f t="shared" si="198"/>
        <v>3.9367491924485614E-5</v>
      </c>
      <c r="AC237" s="3">
        <f t="shared" si="198"/>
        <v>3.9367491924484136E-5</v>
      </c>
      <c r="AD237" s="3">
        <f t="shared" si="198"/>
        <v>3.9367491924469337E-5</v>
      </c>
      <c r="AE237" s="3">
        <f t="shared" si="198"/>
        <v>3.9367491924321323E-5</v>
      </c>
      <c r="AF237" s="3">
        <f t="shared" si="198"/>
        <v>3.9367491922841204E-5</v>
      </c>
      <c r="AG237" s="3"/>
      <c r="AH237" s="3"/>
    </row>
    <row r="238" spans="2:34" x14ac:dyDescent="0.25">
      <c r="B238" s="3">
        <f t="shared" ref="B238:AF238" si="199">$C46*EXP(-B$207/$A46/EXP(-$D$126))</f>
        <v>2.469113716916911E-6</v>
      </c>
      <c r="C238" s="3">
        <f t="shared" si="199"/>
        <v>2.469113716916911E-6</v>
      </c>
      <c r="D238" s="3">
        <f t="shared" si="199"/>
        <v>2.469113716916911E-6</v>
      </c>
      <c r="E238" s="3">
        <f t="shared" si="199"/>
        <v>2.469113716916911E-6</v>
      </c>
      <c r="F238" s="3">
        <f t="shared" si="199"/>
        <v>2.469113716916911E-6</v>
      </c>
      <c r="G238" s="3">
        <f t="shared" si="199"/>
        <v>2.469113716916911E-6</v>
      </c>
      <c r="H238" s="3">
        <f t="shared" si="199"/>
        <v>2.469113716916911E-6</v>
      </c>
      <c r="I238" s="3">
        <f t="shared" si="199"/>
        <v>2.469113716916911E-6</v>
      </c>
      <c r="J238" s="3">
        <f t="shared" si="199"/>
        <v>2.469113716916911E-6</v>
      </c>
      <c r="K238" s="3">
        <f t="shared" si="199"/>
        <v>2.469113716916911E-6</v>
      </c>
      <c r="L238" s="3">
        <f t="shared" si="199"/>
        <v>2.469113716916911E-6</v>
      </c>
      <c r="M238" s="3">
        <f t="shared" si="199"/>
        <v>2.469113716916911E-6</v>
      </c>
      <c r="N238" s="3">
        <f t="shared" si="199"/>
        <v>2.469113716916911E-6</v>
      </c>
      <c r="O238" s="3">
        <f t="shared" si="199"/>
        <v>2.469113716916911E-6</v>
      </c>
      <c r="P238" s="3">
        <f t="shared" si="199"/>
        <v>2.469113716916911E-6</v>
      </c>
      <c r="Q238" s="3">
        <f t="shared" si="199"/>
        <v>2.469113716916911E-6</v>
      </c>
      <c r="R238" s="3">
        <f t="shared" si="199"/>
        <v>2.469113716916911E-6</v>
      </c>
      <c r="S238" s="3">
        <f t="shared" si="199"/>
        <v>2.469113716916911E-6</v>
      </c>
      <c r="T238" s="3">
        <f t="shared" si="199"/>
        <v>2.469113716916911E-6</v>
      </c>
      <c r="U238" s="3">
        <f t="shared" si="199"/>
        <v>2.469113716916911E-6</v>
      </c>
      <c r="V238" s="3">
        <f t="shared" si="199"/>
        <v>2.469113716916911E-6</v>
      </c>
      <c r="W238" s="3">
        <f t="shared" si="199"/>
        <v>2.469113716916911E-6</v>
      </c>
      <c r="X238" s="3">
        <f t="shared" si="199"/>
        <v>2.469113716916911E-6</v>
      </c>
      <c r="Y238" s="3">
        <f t="shared" si="199"/>
        <v>2.469113716916911E-6</v>
      </c>
      <c r="Z238" s="3">
        <f t="shared" si="199"/>
        <v>2.469113716916911E-6</v>
      </c>
      <c r="AA238" s="3">
        <f t="shared" si="199"/>
        <v>2.469113716916911E-6</v>
      </c>
      <c r="AB238" s="3">
        <f t="shared" si="199"/>
        <v>2.4691137169169098E-6</v>
      </c>
      <c r="AC238" s="3">
        <f t="shared" si="199"/>
        <v>2.4691137169169005E-6</v>
      </c>
      <c r="AD238" s="3">
        <f t="shared" si="199"/>
        <v>2.4691137169168081E-6</v>
      </c>
      <c r="AE238" s="3">
        <f t="shared" si="199"/>
        <v>2.4691137169158794E-6</v>
      </c>
      <c r="AF238" s="3">
        <f t="shared" si="199"/>
        <v>2.4691137169065963E-6</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80">
        <f>AVERAGE(B241:AF241)</f>
        <v>8.2241943211885868E-3</v>
      </c>
      <c r="B241" s="81">
        <f>IF($A$64&lt;=B207,IF($B$64&gt;=B207,ABS((B209-B208)/B208),0),0)</f>
        <v>0</v>
      </c>
      <c r="C241" s="81">
        <f t="shared" ref="C241:AF241" si="202">IF($A$64&lt;=C207,IF($B$64&gt;=C207,ABS((C209-C208)/C208),0),0)</f>
        <v>0</v>
      </c>
      <c r="D241" s="81">
        <f t="shared" si="202"/>
        <v>0</v>
      </c>
      <c r="E241" s="81">
        <f t="shared" si="202"/>
        <v>0</v>
      </c>
      <c r="F241" s="81">
        <f t="shared" si="202"/>
        <v>0</v>
      </c>
      <c r="G241" s="81">
        <f t="shared" si="202"/>
        <v>0</v>
      </c>
      <c r="H241" s="81">
        <f t="shared" si="202"/>
        <v>0</v>
      </c>
      <c r="I241" s="81">
        <f t="shared" si="202"/>
        <v>0</v>
      </c>
      <c r="J241" s="81">
        <f t="shared" si="202"/>
        <v>0</v>
      </c>
      <c r="K241" s="81">
        <f t="shared" si="202"/>
        <v>0</v>
      </c>
      <c r="L241" s="81">
        <f t="shared" si="202"/>
        <v>8.1903435325648269E-2</v>
      </c>
      <c r="M241" s="81">
        <f t="shared" si="202"/>
        <v>5.4683638739292093E-2</v>
      </c>
      <c r="N241" s="81">
        <f t="shared" si="202"/>
        <v>2.3937046467434407E-2</v>
      </c>
      <c r="O241" s="81">
        <f t="shared" si="202"/>
        <v>4.343864054381078E-3</v>
      </c>
      <c r="P241" s="81">
        <f t="shared" si="202"/>
        <v>3.9828327650209472E-3</v>
      </c>
      <c r="Q241" s="81">
        <f t="shared" si="202"/>
        <v>1.2592717091316142E-2</v>
      </c>
      <c r="R241" s="81">
        <f t="shared" si="202"/>
        <v>9.7497444265703531E-3</v>
      </c>
      <c r="S241" s="81">
        <f t="shared" si="202"/>
        <v>6.9813763608221405E-3</v>
      </c>
      <c r="T241" s="81">
        <f t="shared" si="202"/>
        <v>4.5601848857837694E-3</v>
      </c>
      <c r="U241" s="81">
        <f t="shared" si="202"/>
        <v>1.8529028246488929E-2</v>
      </c>
      <c r="V241" s="81">
        <f t="shared" si="202"/>
        <v>3.3686155594088059E-2</v>
      </c>
      <c r="W241" s="81">
        <f t="shared" si="202"/>
        <v>0</v>
      </c>
      <c r="X241" s="81">
        <f t="shared" si="202"/>
        <v>0</v>
      </c>
      <c r="Y241" s="81">
        <f t="shared" si="202"/>
        <v>0</v>
      </c>
      <c r="Z241" s="81">
        <f t="shared" si="202"/>
        <v>0</v>
      </c>
      <c r="AA241" s="81">
        <f t="shared" si="202"/>
        <v>0</v>
      </c>
      <c r="AB241" s="81">
        <f t="shared" si="202"/>
        <v>0</v>
      </c>
      <c r="AC241" s="81">
        <f t="shared" si="202"/>
        <v>0</v>
      </c>
      <c r="AD241" s="81">
        <f t="shared" si="202"/>
        <v>0</v>
      </c>
      <c r="AE241" s="81">
        <f t="shared" si="202"/>
        <v>0</v>
      </c>
      <c r="AF241" s="81">
        <f t="shared" si="202"/>
        <v>0</v>
      </c>
    </row>
    <row r="242" spans="1:34" x14ac:dyDescent="0.25">
      <c r="B242" s="21">
        <f>(B209-B208)^2</f>
        <v>9.7807182391964566E-7</v>
      </c>
      <c r="C242" s="21">
        <f t="shared" ref="C242:AF242" si="203">(C209-C208)^2</f>
        <v>7.0956357290892415E-4</v>
      </c>
      <c r="D242" s="21">
        <f t="shared" si="203"/>
        <v>2.1177748425818287E-3</v>
      </c>
      <c r="E242" s="21">
        <f t="shared" si="203"/>
        <v>0.32583902567485279</v>
      </c>
      <c r="F242" s="21">
        <f t="shared" si="203"/>
        <v>31.53076539181448</v>
      </c>
      <c r="G242" s="21">
        <f t="shared" si="203"/>
        <v>2354.9513630221286</v>
      </c>
      <c r="H242" s="21">
        <f t="shared" si="203"/>
        <v>31540.692154849599</v>
      </c>
      <c r="I242" s="21">
        <f t="shared" si="203"/>
        <v>1158.9903146356514</v>
      </c>
      <c r="J242" s="21">
        <f t="shared" si="203"/>
        <v>400257.44074495172</v>
      </c>
      <c r="K242" s="21">
        <f t="shared" si="203"/>
        <v>279632.42131617712</v>
      </c>
      <c r="L242" s="21">
        <f t="shared" si="203"/>
        <v>162423.41799306832</v>
      </c>
      <c r="M242" s="21">
        <f t="shared" si="203"/>
        <v>68284.168665474368</v>
      </c>
      <c r="N242" s="21">
        <f t="shared" si="203"/>
        <v>12255.533725144845</v>
      </c>
      <c r="O242" s="21">
        <f t="shared" si="203"/>
        <v>376.08588690350877</v>
      </c>
      <c r="P242" s="21">
        <f t="shared" si="203"/>
        <v>294.8588273086566</v>
      </c>
      <c r="Q242" s="21">
        <f t="shared" si="203"/>
        <v>2734.6246943119049</v>
      </c>
      <c r="R242" s="21">
        <f t="shared" si="203"/>
        <v>1489.121244545159</v>
      </c>
      <c r="S242" s="21">
        <f t="shared" si="203"/>
        <v>678.3238860307772</v>
      </c>
      <c r="T242" s="21">
        <f t="shared" si="203"/>
        <v>254.75248661564603</v>
      </c>
      <c r="U242" s="21">
        <f t="shared" si="203"/>
        <v>3714.752840857966</v>
      </c>
      <c r="V242" s="21">
        <f t="shared" si="203"/>
        <v>10801.58235400973</v>
      </c>
      <c r="W242" s="21">
        <f t="shared" si="203"/>
        <v>16108.142706265435</v>
      </c>
      <c r="X242" s="21">
        <f t="shared" si="203"/>
        <v>20323.752419817232</v>
      </c>
      <c r="Y242" s="21">
        <f t="shared" si="203"/>
        <v>20183.565789033364</v>
      </c>
      <c r="Z242" s="21">
        <f t="shared" si="203"/>
        <v>18294.69211968542</v>
      </c>
      <c r="AA242" s="21">
        <f t="shared" si="203"/>
        <v>14003.559911456938</v>
      </c>
      <c r="AB242" s="21">
        <f t="shared" si="203"/>
        <v>9102.1328944310499</v>
      </c>
      <c r="AC242" s="21">
        <f t="shared" si="203"/>
        <v>3104.4756391130036</v>
      </c>
      <c r="AD242" s="21">
        <f t="shared" si="203"/>
        <v>68.736053926494705</v>
      </c>
      <c r="AE242" s="21">
        <f t="shared" si="203"/>
        <v>814.2593123121502</v>
      </c>
      <c r="AF242" s="21">
        <f t="shared" si="203"/>
        <v>1575.6409920858209</v>
      </c>
      <c r="AG242" s="3"/>
      <c r="AH242" s="3"/>
    </row>
    <row r="243" spans="1:34" x14ac:dyDescent="0.25">
      <c r="A243" s="72">
        <f>SUM(B243:AF243)</f>
        <v>263307.22260427085</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162423.41799306832</v>
      </c>
      <c r="M243" s="60">
        <f t="shared" ref="M243" si="214">IF($A$64&lt;=M207,IF($B$64&gt;=M207,ABS(M242),0),0)</f>
        <v>68284.168665474368</v>
      </c>
      <c r="N243" s="60">
        <f t="shared" ref="N243" si="215">IF($A$64&lt;=N207,IF($B$64&gt;=N207,ABS(N242),0),0)</f>
        <v>12255.533725144845</v>
      </c>
      <c r="O243" s="60">
        <f t="shared" ref="O243" si="216">IF($A$64&lt;=O207,IF($B$64&gt;=O207,ABS(O242),0),0)</f>
        <v>376.08588690350877</v>
      </c>
      <c r="P243" s="60">
        <f t="shared" ref="P243" si="217">IF($A$64&lt;=P207,IF($B$64&gt;=P207,ABS(P242),0),0)</f>
        <v>294.8588273086566</v>
      </c>
      <c r="Q243" s="60">
        <f t="shared" ref="Q243" si="218">IF($A$64&lt;=Q207,IF($B$64&gt;=Q207,ABS(Q242),0),0)</f>
        <v>2734.6246943119049</v>
      </c>
      <c r="R243" s="60">
        <f t="shared" ref="R243" si="219">IF($A$64&lt;=R207,IF($B$64&gt;=R207,ABS(R242),0),0)</f>
        <v>1489.121244545159</v>
      </c>
      <c r="S243" s="60">
        <f t="shared" ref="S243" si="220">IF($A$64&lt;=S207,IF($B$64&gt;=S207,ABS(S242),0),0)</f>
        <v>678.3238860307772</v>
      </c>
      <c r="T243" s="60">
        <f t="shared" ref="T243" si="221">IF($A$64&lt;=T207,IF($B$64&gt;=T207,ABS(T242),0),0)</f>
        <v>254.75248661564603</v>
      </c>
      <c r="U243" s="60">
        <f t="shared" ref="U243" si="222">IF($A$64&lt;=U207,IF($B$64&gt;=U207,ABS(U242),0),0)</f>
        <v>3714.752840857966</v>
      </c>
      <c r="V243" s="60">
        <f t="shared" ref="V243" si="223">IF($A$64&lt;=V207,IF($B$64&gt;=V207,ABS(V242),0),0)</f>
        <v>10801.58235400973</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1" t="s">
        <v>22</v>
      </c>
      <c r="B248" s="27">
        <f>($C$17+SUM(B249:B279))*$B$51</f>
        <v>5614.1540240523473</v>
      </c>
      <c r="C248" s="27">
        <f t="shared" ref="C248:AF248" si="234">($C$17+SUM(C249:C279))*$B$51</f>
        <v>5614.0939423525333</v>
      </c>
      <c r="D248" s="27">
        <f t="shared" si="234"/>
        <v>5613.4933063930102</v>
      </c>
      <c r="E248" s="27">
        <f t="shared" si="234"/>
        <v>5607.5050140085386</v>
      </c>
      <c r="F248" s="27">
        <f t="shared" si="234"/>
        <v>5549.3927114764956</v>
      </c>
      <c r="G248" s="27">
        <f t="shared" si="234"/>
        <v>5114.1348742603977</v>
      </c>
      <c r="H248" s="27">
        <f t="shared" si="234"/>
        <v>4520.1519770061777</v>
      </c>
      <c r="I248" s="27">
        <f t="shared" si="234"/>
        <v>4517.6594559749328</v>
      </c>
      <c r="J248" s="27">
        <f t="shared" si="234"/>
        <v>4517.6127633978494</v>
      </c>
      <c r="K248" s="27">
        <f t="shared" si="234"/>
        <v>4517.1461847186138</v>
      </c>
      <c r="L248" s="27">
        <f t="shared" si="234"/>
        <v>4512.5149280199003</v>
      </c>
      <c r="M248" s="27">
        <f t="shared" si="234"/>
        <v>4469.4830780496077</v>
      </c>
      <c r="N248" s="27">
        <f t="shared" si="234"/>
        <v>4245.9376763084374</v>
      </c>
      <c r="O248" s="27">
        <f t="shared" si="234"/>
        <v>4074.3333412569136</v>
      </c>
      <c r="P248" s="27">
        <f t="shared" si="234"/>
        <v>3878.9428182767424</v>
      </c>
      <c r="Q248" s="27">
        <f t="shared" si="234"/>
        <v>3668.2398556785324</v>
      </c>
      <c r="R248" s="27">
        <f t="shared" si="234"/>
        <v>3486.9401363001343</v>
      </c>
      <c r="S248" s="27">
        <f t="shared" si="234"/>
        <v>3322.7814965457069</v>
      </c>
      <c r="T248" s="27">
        <f t="shared" si="234"/>
        <v>3163.5717844258565</v>
      </c>
      <c r="U248" s="27">
        <f t="shared" si="234"/>
        <v>3007.6985158889688</v>
      </c>
      <c r="V248" s="27">
        <f t="shared" si="234"/>
        <v>2851.410174658577</v>
      </c>
      <c r="W248" s="27">
        <f t="shared" si="234"/>
        <v>2683.1747826145706</v>
      </c>
      <c r="X248" s="27">
        <f t="shared" si="234"/>
        <v>2492.5787062664485</v>
      </c>
      <c r="Y248" s="27">
        <f t="shared" si="234"/>
        <v>2283.5126682984019</v>
      </c>
      <c r="Z248" s="27">
        <f t="shared" si="234"/>
        <v>2046.5056821511637</v>
      </c>
      <c r="AA248" s="27">
        <f t="shared" si="234"/>
        <v>1769.2830974386268</v>
      </c>
      <c r="AB248" s="27">
        <f t="shared" si="234"/>
        <v>1448.1866738477268</v>
      </c>
      <c r="AC248" s="27">
        <f t="shared" si="234"/>
        <v>1107.2072168828331</v>
      </c>
      <c r="AD248" s="27">
        <f t="shared" si="234"/>
        <v>793.13715503517051</v>
      </c>
      <c r="AE248" s="27">
        <f t="shared" si="234"/>
        <v>553.35228864187184</v>
      </c>
      <c r="AF248" s="27">
        <f t="shared" si="234"/>
        <v>403.34127859857165</v>
      </c>
      <c r="AG248" s="27"/>
      <c r="AH248" s="27"/>
    </row>
    <row r="249" spans="1:34" x14ac:dyDescent="0.25">
      <c r="B249" s="3">
        <f t="shared" ref="B249:AF249" si="235">$C18*EXP(-B$246/$A18/EXP(-$E$126))</f>
        <v>0.19530780079452639</v>
      </c>
      <c r="C249" s="3">
        <f t="shared" si="235"/>
        <v>0.19529709898202849</v>
      </c>
      <c r="D249" s="3">
        <f t="shared" si="235"/>
        <v>0.19519011310383186</v>
      </c>
      <c r="E249" s="3">
        <f t="shared" si="235"/>
        <v>0.1941234724717768</v>
      </c>
      <c r="F249" s="3">
        <f t="shared" si="235"/>
        <v>0.18377245101590722</v>
      </c>
      <c r="G249" s="3">
        <f t="shared" si="235"/>
        <v>0.1062438917568776</v>
      </c>
      <c r="H249" s="3">
        <f t="shared" si="235"/>
        <v>4.4313862021542533E-4</v>
      </c>
      <c r="I249" s="3">
        <f t="shared" si="235"/>
        <v>7.0614827947049572E-28</v>
      </c>
      <c r="J249" s="3">
        <f t="shared" si="235"/>
        <v>7.4551939632359288E-266</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5.6906652449769696E-2</v>
      </c>
      <c r="C250" s="3">
        <f t="shared" si="236"/>
        <v>5.6906652448970939E-2</v>
      </c>
      <c r="D250" s="3">
        <f t="shared" si="236"/>
        <v>5.690665244098337E-2</v>
      </c>
      <c r="E250" s="3">
        <f t="shared" si="236"/>
        <v>5.690665236110768E-2</v>
      </c>
      <c r="F250" s="3">
        <f t="shared" si="236"/>
        <v>5.6906651562350835E-2</v>
      </c>
      <c r="G250" s="3">
        <f t="shared" si="236"/>
        <v>5.6906643574783013E-2</v>
      </c>
      <c r="H250" s="3">
        <f t="shared" si="236"/>
        <v>5.6906563699166454E-2</v>
      </c>
      <c r="I250" s="3">
        <f t="shared" si="236"/>
        <v>5.6905764949167173E-2</v>
      </c>
      <c r="J250" s="3">
        <f t="shared" si="236"/>
        <v>5.6897778065774736E-2</v>
      </c>
      <c r="K250" s="3">
        <f t="shared" si="236"/>
        <v>5.6817970859876901E-2</v>
      </c>
      <c r="L250" s="3">
        <f t="shared" si="236"/>
        <v>5.6026029717356575E-2</v>
      </c>
      <c r="M250" s="3">
        <f t="shared" si="236"/>
        <v>4.8689030080855476E-2</v>
      </c>
      <c r="N250" s="3">
        <f t="shared" si="236"/>
        <v>1.1963104106070861E-2</v>
      </c>
      <c r="O250" s="3">
        <f t="shared" si="236"/>
        <v>9.5933761056550709E-9</v>
      </c>
      <c r="P250" s="3">
        <f t="shared" si="236"/>
        <v>1.054987617310871E-69</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2.1914760342611726E-2</v>
      </c>
      <c r="C251" s="3">
        <f t="shared" si="237"/>
        <v>2.1914760342583977E-2</v>
      </c>
      <c r="D251" s="3">
        <f t="shared" si="237"/>
        <v>2.1914760342306498E-2</v>
      </c>
      <c r="E251" s="3">
        <f t="shared" si="237"/>
        <v>2.1914760339531675E-2</v>
      </c>
      <c r="F251" s="3">
        <f t="shared" si="237"/>
        <v>2.1914760311783472E-2</v>
      </c>
      <c r="G251" s="3">
        <f t="shared" si="237"/>
        <v>2.1914760034301439E-2</v>
      </c>
      <c r="H251" s="3">
        <f t="shared" si="237"/>
        <v>2.1914757259481284E-2</v>
      </c>
      <c r="I251" s="3">
        <f t="shared" si="237"/>
        <v>2.1914729511299073E-2</v>
      </c>
      <c r="J251" s="3">
        <f t="shared" si="237"/>
        <v>2.1914452031409352E-2</v>
      </c>
      <c r="K251" s="3">
        <f t="shared" si="237"/>
        <v>2.1911677425741499E-2</v>
      </c>
      <c r="L251" s="3">
        <f t="shared" si="237"/>
        <v>2.1883950682948936E-2</v>
      </c>
      <c r="M251" s="3">
        <f t="shared" si="237"/>
        <v>2.160860562583385E-2</v>
      </c>
      <c r="N251" s="3">
        <f t="shared" si="237"/>
        <v>1.9038683006122253E-2</v>
      </c>
      <c r="O251" s="3">
        <f t="shared" si="237"/>
        <v>5.3670853127613166E-3</v>
      </c>
      <c r="P251" s="3">
        <f t="shared" si="237"/>
        <v>1.7011964051756432E-8</v>
      </c>
      <c r="Q251" s="3">
        <f t="shared" si="237"/>
        <v>1.7414621220614097E-63</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4.2179983982957622E-2</v>
      </c>
      <c r="C252" s="3">
        <f t="shared" si="238"/>
        <v>4.2179983982952807E-2</v>
      </c>
      <c r="D252" s="3">
        <f t="shared" si="238"/>
        <v>4.2179983982904623E-2</v>
      </c>
      <c r="E252" s="3">
        <f t="shared" si="238"/>
        <v>4.2179983982422842E-2</v>
      </c>
      <c r="F252" s="3">
        <f t="shared" si="238"/>
        <v>4.2179983977605015E-2</v>
      </c>
      <c r="G252" s="3">
        <f t="shared" si="238"/>
        <v>4.2179983929426748E-2</v>
      </c>
      <c r="H252" s="3">
        <f t="shared" si="238"/>
        <v>4.2179983447644114E-2</v>
      </c>
      <c r="I252" s="3">
        <f t="shared" si="238"/>
        <v>4.2179978629818024E-2</v>
      </c>
      <c r="J252" s="3">
        <f t="shared" si="238"/>
        <v>4.2179930451587383E-2</v>
      </c>
      <c r="K252" s="3">
        <f t="shared" si="238"/>
        <v>4.2179448672307586E-2</v>
      </c>
      <c r="L252" s="3">
        <f t="shared" si="238"/>
        <v>4.2174631182157883E-2</v>
      </c>
      <c r="M252" s="3">
        <f t="shared" si="238"/>
        <v>4.2126486532700631E-2</v>
      </c>
      <c r="N252" s="3">
        <f t="shared" si="238"/>
        <v>4.1648052496058172E-2</v>
      </c>
      <c r="O252" s="3">
        <f t="shared" si="238"/>
        <v>3.7152606467548636E-2</v>
      </c>
      <c r="P252" s="3">
        <f t="shared" si="238"/>
        <v>1.1855917801840411E-2</v>
      </c>
      <c r="Q252" s="3">
        <f t="shared" si="238"/>
        <v>1.2983569350517743E-7</v>
      </c>
      <c r="R252" s="3">
        <f t="shared" si="238"/>
        <v>3.220945125322733E-57</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3.949431548129595E-2</v>
      </c>
      <c r="C253" s="3">
        <f t="shared" si="239"/>
        <v>3.949431548129554E-2</v>
      </c>
      <c r="D253" s="3">
        <f t="shared" si="239"/>
        <v>3.9494315481291474E-2</v>
      </c>
      <c r="E253" s="3">
        <f t="shared" si="239"/>
        <v>3.9494315481250777E-2</v>
      </c>
      <c r="F253" s="3">
        <f t="shared" si="239"/>
        <v>3.9494315480843839E-2</v>
      </c>
      <c r="G253" s="3">
        <f t="shared" si="239"/>
        <v>3.9494315476774483E-2</v>
      </c>
      <c r="H253" s="3">
        <f t="shared" si="239"/>
        <v>3.9494315436080896E-2</v>
      </c>
      <c r="I253" s="3">
        <f t="shared" si="239"/>
        <v>3.9494315029145084E-2</v>
      </c>
      <c r="J253" s="3">
        <f t="shared" si="239"/>
        <v>3.9494310959787123E-2</v>
      </c>
      <c r="K253" s="3">
        <f t="shared" si="239"/>
        <v>3.949427026623064E-2</v>
      </c>
      <c r="L253" s="3">
        <f t="shared" si="239"/>
        <v>3.9493863332971842E-2</v>
      </c>
      <c r="M253" s="3">
        <f t="shared" si="239"/>
        <v>3.9489794230985108E-2</v>
      </c>
      <c r="N253" s="3">
        <f t="shared" si="239"/>
        <v>3.9449126262447828E-2</v>
      </c>
      <c r="O253" s="3">
        <f t="shared" si="239"/>
        <v>3.9044742946272776E-2</v>
      </c>
      <c r="P253" s="3">
        <f t="shared" si="239"/>
        <v>3.5222028217933542E-2</v>
      </c>
      <c r="Q253" s="3">
        <f t="shared" si="239"/>
        <v>1.2569913461016593E-2</v>
      </c>
      <c r="R253" s="3">
        <f t="shared" si="239"/>
        <v>4.2122249717681978E-7</v>
      </c>
      <c r="S253" s="3">
        <f t="shared" si="239"/>
        <v>7.5214966385500292E-52</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3.1232286968780266E-2</v>
      </c>
      <c r="C254" s="3">
        <f t="shared" si="240"/>
        <v>3.1232286968780238E-2</v>
      </c>
      <c r="D254" s="3">
        <f t="shared" si="240"/>
        <v>3.1232286968779947E-2</v>
      </c>
      <c r="E254" s="3">
        <f t="shared" si="240"/>
        <v>3.1232286968777046E-2</v>
      </c>
      <c r="F254" s="3">
        <f t="shared" si="240"/>
        <v>3.1232286968748014E-2</v>
      </c>
      <c r="G254" s="3">
        <f t="shared" si="240"/>
        <v>3.1232286968457718E-2</v>
      </c>
      <c r="H254" s="3">
        <f t="shared" si="240"/>
        <v>3.1232286965554752E-2</v>
      </c>
      <c r="I254" s="3">
        <f t="shared" si="240"/>
        <v>3.1232286936525112E-2</v>
      </c>
      <c r="J254" s="3">
        <f t="shared" si="240"/>
        <v>3.1232286646228673E-2</v>
      </c>
      <c r="K254" s="3">
        <f t="shared" si="240"/>
        <v>3.1232283743264456E-2</v>
      </c>
      <c r="L254" s="3">
        <f t="shared" si="240"/>
        <v>3.1232254713637123E-2</v>
      </c>
      <c r="M254" s="3">
        <f t="shared" si="240"/>
        <v>3.1231964418847843E-2</v>
      </c>
      <c r="N254" s="3">
        <f t="shared" si="240"/>
        <v>3.1229061619352235E-2</v>
      </c>
      <c r="O254" s="3">
        <f t="shared" si="240"/>
        <v>3.1200048459014487E-2</v>
      </c>
      <c r="P254" s="3">
        <f t="shared" si="240"/>
        <v>3.0911395228418157E-2</v>
      </c>
      <c r="Q254" s="3">
        <f t="shared" si="240"/>
        <v>2.816773993216231E-2</v>
      </c>
      <c r="R254" s="3">
        <f t="shared" si="240"/>
        <v>1.1119517575221161E-2</v>
      </c>
      <c r="S254" s="3">
        <f t="shared" si="240"/>
        <v>1.0219399535860575E-6</v>
      </c>
      <c r="T254" s="3">
        <f t="shared" si="240"/>
        <v>4.3935918333840339E-47</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3.0546949875680195E-2</v>
      </c>
      <c r="C255" s="3">
        <f t="shared" si="241"/>
        <v>3.0546949875680192E-2</v>
      </c>
      <c r="D255" s="3">
        <f t="shared" si="241"/>
        <v>3.0546949875680168E-2</v>
      </c>
      <c r="E255" s="3">
        <f t="shared" si="241"/>
        <v>3.0546949875679911E-2</v>
      </c>
      <c r="F255" s="3">
        <f t="shared" si="241"/>
        <v>3.054694987567735E-2</v>
      </c>
      <c r="G255" s="3">
        <f t="shared" si="241"/>
        <v>3.0546949875651739E-2</v>
      </c>
      <c r="H255" s="3">
        <f t="shared" si="241"/>
        <v>3.0546949875395614E-2</v>
      </c>
      <c r="I255" s="3">
        <f t="shared" si="241"/>
        <v>3.0546949872834361E-2</v>
      </c>
      <c r="J255" s="3">
        <f t="shared" si="241"/>
        <v>3.0546949847221835E-2</v>
      </c>
      <c r="K255" s="3">
        <f t="shared" si="241"/>
        <v>3.0546949591096606E-2</v>
      </c>
      <c r="L255" s="3">
        <f t="shared" si="241"/>
        <v>3.054694702984442E-2</v>
      </c>
      <c r="M255" s="3">
        <f t="shared" si="241"/>
        <v>3.0546921417334387E-2</v>
      </c>
      <c r="N255" s="3">
        <f t="shared" si="241"/>
        <v>3.0546665293415175E-2</v>
      </c>
      <c r="O255" s="3">
        <f t="shared" si="241"/>
        <v>3.0544104172332495E-2</v>
      </c>
      <c r="P255" s="3">
        <f t="shared" si="241"/>
        <v>3.0518504768785967E-2</v>
      </c>
      <c r="Q255" s="3">
        <f t="shared" si="241"/>
        <v>3.0263687806556677E-2</v>
      </c>
      <c r="R255" s="3">
        <f t="shared" si="241"/>
        <v>2.7829654310847746E-2</v>
      </c>
      <c r="S255" s="3">
        <f t="shared" si="241"/>
        <v>1.2032820739832183E-2</v>
      </c>
      <c r="T255" s="3">
        <f t="shared" si="241"/>
        <v>2.7476651002358728E-6</v>
      </c>
      <c r="U255" s="3">
        <f t="shared" si="241"/>
        <v>1.0590764349571337E-42</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2.9181012135706209E-2</v>
      </c>
      <c r="C256" s="3">
        <f t="shared" si="242"/>
        <v>2.9181012135706209E-2</v>
      </c>
      <c r="D256" s="3">
        <f t="shared" si="242"/>
        <v>2.9181012135706206E-2</v>
      </c>
      <c r="E256" s="3">
        <f t="shared" si="242"/>
        <v>2.9181012135706185E-2</v>
      </c>
      <c r="F256" s="3">
        <f t="shared" si="242"/>
        <v>2.9181012135705963E-2</v>
      </c>
      <c r="G256" s="3">
        <f t="shared" si="242"/>
        <v>2.9181012135703756E-2</v>
      </c>
      <c r="H256" s="3">
        <f t="shared" si="242"/>
        <v>2.9181012135681684E-2</v>
      </c>
      <c r="I256" s="3">
        <f t="shared" si="242"/>
        <v>2.9181012135460972E-2</v>
      </c>
      <c r="J256" s="3">
        <f t="shared" si="242"/>
        <v>2.9181012133253824E-2</v>
      </c>
      <c r="K256" s="3">
        <f t="shared" si="242"/>
        <v>2.918101211118234E-2</v>
      </c>
      <c r="L256" s="3">
        <f t="shared" si="242"/>
        <v>2.9181011890467543E-2</v>
      </c>
      <c r="M256" s="3">
        <f t="shared" si="242"/>
        <v>2.9181009683319659E-2</v>
      </c>
      <c r="N256" s="3">
        <f t="shared" si="242"/>
        <v>2.9180987611849948E-2</v>
      </c>
      <c r="O256" s="3">
        <f t="shared" si="242"/>
        <v>2.9180766898071028E-2</v>
      </c>
      <c r="P256" s="3">
        <f t="shared" si="242"/>
        <v>2.9178559852096435E-2</v>
      </c>
      <c r="Q256" s="3">
        <f t="shared" si="242"/>
        <v>2.9156498571241463E-2</v>
      </c>
      <c r="R256" s="3">
        <f t="shared" si="242"/>
        <v>2.893680108821816E-2</v>
      </c>
      <c r="S256" s="3">
        <f t="shared" si="242"/>
        <v>2.6828848229715541E-2</v>
      </c>
      <c r="T256" s="3">
        <f t="shared" si="242"/>
        <v>1.2592649803074087E-2</v>
      </c>
      <c r="U256" s="3">
        <f t="shared" si="242"/>
        <v>6.5353386774636154E-6</v>
      </c>
      <c r="V256" s="3">
        <f t="shared" si="242"/>
        <v>9.2635580273429783E-39</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2.8956161504827882E-2</v>
      </c>
      <c r="C257" s="3">
        <f t="shared" si="243"/>
        <v>2.8956161504827882E-2</v>
      </c>
      <c r="D257" s="3">
        <f t="shared" si="243"/>
        <v>2.8956161504827882E-2</v>
      </c>
      <c r="E257" s="3">
        <f t="shared" si="243"/>
        <v>2.8956161504827879E-2</v>
      </c>
      <c r="F257" s="3">
        <f t="shared" si="243"/>
        <v>2.8956161504827861E-2</v>
      </c>
      <c r="G257" s="3">
        <f t="shared" si="243"/>
        <v>2.8956161504827663E-2</v>
      </c>
      <c r="H257" s="3">
        <f t="shared" si="243"/>
        <v>2.8956161504825686E-2</v>
      </c>
      <c r="I257" s="3">
        <f t="shared" si="243"/>
        <v>2.8956161504805931E-2</v>
      </c>
      <c r="J257" s="3">
        <f t="shared" si="243"/>
        <v>2.895616150460836E-2</v>
      </c>
      <c r="K257" s="3">
        <f t="shared" si="243"/>
        <v>2.8956161502632673E-2</v>
      </c>
      <c r="L257" s="3">
        <f t="shared" si="243"/>
        <v>2.8956161482875779E-2</v>
      </c>
      <c r="M257" s="3">
        <f t="shared" si="243"/>
        <v>2.8956161285306831E-2</v>
      </c>
      <c r="N257" s="3">
        <f t="shared" si="243"/>
        <v>2.8956159309617448E-2</v>
      </c>
      <c r="O257" s="3">
        <f t="shared" si="243"/>
        <v>2.8956139552731044E-2</v>
      </c>
      <c r="P257" s="3">
        <f t="shared" si="243"/>
        <v>2.895594198460839E-2</v>
      </c>
      <c r="Q257" s="3">
        <f t="shared" si="243"/>
        <v>2.8953966377520884E-2</v>
      </c>
      <c r="R257" s="3">
        <f t="shared" si="243"/>
        <v>2.8934217718677248E-2</v>
      </c>
      <c r="S257" s="3">
        <f t="shared" si="243"/>
        <v>2.8737470465609993E-2</v>
      </c>
      <c r="T257" s="3">
        <f t="shared" si="243"/>
        <v>2.6842098578053156E-2</v>
      </c>
      <c r="U257" s="3">
        <f t="shared" si="243"/>
        <v>1.3567372763839748E-2</v>
      </c>
      <c r="V257" s="3">
        <f t="shared" si="243"/>
        <v>1.4766877145109146E-5</v>
      </c>
      <c r="W257" s="3">
        <f t="shared" si="243"/>
        <v>3.4452259113482682E-35</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2.8549428510413092E-2</v>
      </c>
      <c r="C258" s="3">
        <f t="shared" si="244"/>
        <v>2.8549428510413092E-2</v>
      </c>
      <c r="D258" s="3">
        <f t="shared" si="244"/>
        <v>2.8549428510413092E-2</v>
      </c>
      <c r="E258" s="3">
        <f t="shared" si="244"/>
        <v>2.8549428510413092E-2</v>
      </c>
      <c r="F258" s="3">
        <f t="shared" si="244"/>
        <v>2.8549428510413088E-2</v>
      </c>
      <c r="G258" s="3">
        <f t="shared" si="244"/>
        <v>2.8549428510413075E-2</v>
      </c>
      <c r="H258" s="3">
        <f t="shared" si="244"/>
        <v>2.8549428510412894E-2</v>
      </c>
      <c r="I258" s="3">
        <f t="shared" si="244"/>
        <v>2.8549428510411139E-2</v>
      </c>
      <c r="J258" s="3">
        <f t="shared" si="244"/>
        <v>2.8549428510393566E-2</v>
      </c>
      <c r="K258" s="3">
        <f t="shared" si="244"/>
        <v>2.8549428510217845E-2</v>
      </c>
      <c r="L258" s="3">
        <f t="shared" si="244"/>
        <v>2.8549428508460647E-2</v>
      </c>
      <c r="M258" s="3">
        <f t="shared" si="244"/>
        <v>2.8549428490888623E-2</v>
      </c>
      <c r="N258" s="3">
        <f t="shared" si="244"/>
        <v>2.8549428315168417E-2</v>
      </c>
      <c r="O258" s="3">
        <f t="shared" si="244"/>
        <v>2.8549426557966426E-2</v>
      </c>
      <c r="P258" s="3">
        <f t="shared" si="244"/>
        <v>2.8549408985952433E-2</v>
      </c>
      <c r="Q258" s="3">
        <f t="shared" si="244"/>
        <v>2.8549233266407369E-2</v>
      </c>
      <c r="R258" s="3">
        <f t="shared" si="244"/>
        <v>2.8547476130440379E-2</v>
      </c>
      <c r="S258" s="3">
        <f t="shared" si="244"/>
        <v>2.8529910717782166E-2</v>
      </c>
      <c r="T258" s="3">
        <f t="shared" si="244"/>
        <v>2.835484994026263E-2</v>
      </c>
      <c r="U258" s="3">
        <f t="shared" si="244"/>
        <v>2.6662247778004508E-2</v>
      </c>
      <c r="V258" s="3">
        <f t="shared" si="244"/>
        <v>1.440757299419709E-2</v>
      </c>
      <c r="W258" s="3">
        <f t="shared" si="244"/>
        <v>3.0586621803257553E-5</v>
      </c>
      <c r="X258" s="3">
        <f t="shared" si="244"/>
        <v>5.6877219751306957E-32</v>
      </c>
      <c r="Y258" s="3">
        <f t="shared" si="244"/>
        <v>2.8119449875127209E-299</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3.3916990026039671E-2</v>
      </c>
      <c r="C259" s="3">
        <f t="shared" si="245"/>
        <v>3.3916990026039671E-2</v>
      </c>
      <c r="D259" s="3">
        <f t="shared" si="245"/>
        <v>3.3916990026039671E-2</v>
      </c>
      <c r="E259" s="3">
        <f t="shared" si="245"/>
        <v>3.3916990026039671E-2</v>
      </c>
      <c r="F259" s="3">
        <f t="shared" si="245"/>
        <v>3.3916990026039671E-2</v>
      </c>
      <c r="G259" s="3">
        <f t="shared" si="245"/>
        <v>3.3916990026039665E-2</v>
      </c>
      <c r="H259" s="3">
        <f t="shared" si="245"/>
        <v>3.3916990026039651E-2</v>
      </c>
      <c r="I259" s="3">
        <f t="shared" si="245"/>
        <v>3.3916990026039463E-2</v>
      </c>
      <c r="J259" s="3">
        <f t="shared" si="245"/>
        <v>3.3916990026037576E-2</v>
      </c>
      <c r="K259" s="3">
        <f t="shared" si="245"/>
        <v>3.3916990026018744E-2</v>
      </c>
      <c r="L259" s="3">
        <f t="shared" si="245"/>
        <v>3.3916990025830429E-2</v>
      </c>
      <c r="M259" s="3">
        <f t="shared" si="245"/>
        <v>3.3916990023947262E-2</v>
      </c>
      <c r="N259" s="3">
        <f t="shared" si="245"/>
        <v>3.3916990005115624E-2</v>
      </c>
      <c r="O259" s="3">
        <f t="shared" si="245"/>
        <v>3.3916989816799206E-2</v>
      </c>
      <c r="P259" s="3">
        <f t="shared" si="245"/>
        <v>3.3916987933635116E-2</v>
      </c>
      <c r="Q259" s="3">
        <f t="shared" si="245"/>
        <v>3.3916969101999948E-2</v>
      </c>
      <c r="R259" s="3">
        <f t="shared" si="245"/>
        <v>3.391678078622333E-2</v>
      </c>
      <c r="S259" s="3">
        <f t="shared" si="245"/>
        <v>3.3914897685962987E-2</v>
      </c>
      <c r="T259" s="3">
        <f t="shared" si="245"/>
        <v>3.3896072432760736E-2</v>
      </c>
      <c r="U259" s="3">
        <f t="shared" si="245"/>
        <v>3.3708393661488409E-2</v>
      </c>
      <c r="V259" s="3">
        <f t="shared" si="245"/>
        <v>3.1887820624292615E-2</v>
      </c>
      <c r="W259" s="3">
        <f t="shared" si="245"/>
        <v>1.8301751338734108E-2</v>
      </c>
      <c r="X259" s="3">
        <f t="shared" si="245"/>
        <v>7.0985683896430005E-5</v>
      </c>
      <c r="Y259" s="3">
        <f t="shared" si="245"/>
        <v>5.4695547609881726E-29</v>
      </c>
      <c r="Z259" s="3">
        <f t="shared" si="245"/>
        <v>4.0342612157327061E-270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3.6686036889388041E-2</v>
      </c>
      <c r="C260" s="3">
        <f t="shared" si="246"/>
        <v>3.6686036889388041E-2</v>
      </c>
      <c r="D260" s="3">
        <f t="shared" si="246"/>
        <v>3.6686036889388041E-2</v>
      </c>
      <c r="E260" s="3">
        <f t="shared" si="246"/>
        <v>3.6686036889388041E-2</v>
      </c>
      <c r="F260" s="3">
        <f t="shared" si="246"/>
        <v>3.6686036889388041E-2</v>
      </c>
      <c r="G260" s="3">
        <f t="shared" si="246"/>
        <v>3.6686036889388041E-2</v>
      </c>
      <c r="H260" s="3">
        <f t="shared" si="246"/>
        <v>3.6686036889388034E-2</v>
      </c>
      <c r="I260" s="3">
        <f t="shared" si="246"/>
        <v>3.668603688938802E-2</v>
      </c>
      <c r="J260" s="3">
        <f t="shared" si="246"/>
        <v>3.6686036889387839E-2</v>
      </c>
      <c r="K260" s="3">
        <f t="shared" si="246"/>
        <v>3.6686036889386001E-2</v>
      </c>
      <c r="L260" s="3">
        <f t="shared" si="246"/>
        <v>3.6686036889367619E-2</v>
      </c>
      <c r="M260" s="3">
        <f t="shared" si="246"/>
        <v>3.6686036889183878E-2</v>
      </c>
      <c r="N260" s="3">
        <f t="shared" si="246"/>
        <v>3.6686036887346417E-2</v>
      </c>
      <c r="O260" s="3">
        <f t="shared" si="246"/>
        <v>3.6686036868971802E-2</v>
      </c>
      <c r="P260" s="3">
        <f t="shared" si="246"/>
        <v>3.6686036685225645E-2</v>
      </c>
      <c r="Q260" s="3">
        <f t="shared" si="246"/>
        <v>3.6686034847764129E-2</v>
      </c>
      <c r="R260" s="3">
        <f t="shared" si="246"/>
        <v>3.6686016473154046E-2</v>
      </c>
      <c r="S260" s="3">
        <f t="shared" si="246"/>
        <v>3.6685832727559389E-2</v>
      </c>
      <c r="T260" s="3">
        <f t="shared" si="246"/>
        <v>3.6683995322228977E-2</v>
      </c>
      <c r="U260" s="3">
        <f t="shared" si="246"/>
        <v>3.6665626329606307E-2</v>
      </c>
      <c r="V260" s="3">
        <f t="shared" si="246"/>
        <v>3.6482441534938334E-2</v>
      </c>
      <c r="W260" s="3">
        <f t="shared" si="246"/>
        <v>3.4700183050003136E-2</v>
      </c>
      <c r="X260" s="3">
        <f t="shared" si="246"/>
        <v>2.102860541898682E-2</v>
      </c>
      <c r="Y260" s="3">
        <f t="shared" si="246"/>
        <v>1.4047451260382787E-4</v>
      </c>
      <c r="Z260" s="3">
        <f t="shared" si="246"/>
        <v>2.4858112741751324E-26</v>
      </c>
      <c r="AA260" s="3">
        <f t="shared" si="246"/>
        <v>7.4846991438123004E-244</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4.0919511658412108E-2</v>
      </c>
      <c r="C261" s="3">
        <f t="shared" si="247"/>
        <v>4.0919511658412108E-2</v>
      </c>
      <c r="D261" s="3">
        <f t="shared" si="247"/>
        <v>4.0919511658412108E-2</v>
      </c>
      <c r="E261" s="3">
        <f t="shared" si="247"/>
        <v>4.0919511658412108E-2</v>
      </c>
      <c r="F261" s="3">
        <f t="shared" si="247"/>
        <v>4.0919511658412108E-2</v>
      </c>
      <c r="G261" s="3">
        <f t="shared" si="247"/>
        <v>4.0919511658412108E-2</v>
      </c>
      <c r="H261" s="3">
        <f t="shared" si="247"/>
        <v>4.0919511658412108E-2</v>
      </c>
      <c r="I261" s="3">
        <f t="shared" si="247"/>
        <v>4.0919511658412108E-2</v>
      </c>
      <c r="J261" s="3">
        <f t="shared" si="247"/>
        <v>4.0919511658412087E-2</v>
      </c>
      <c r="K261" s="3">
        <f t="shared" si="247"/>
        <v>4.0919511658411907E-2</v>
      </c>
      <c r="L261" s="3">
        <f t="shared" si="247"/>
        <v>4.0919511658410054E-2</v>
      </c>
      <c r="M261" s="3">
        <f t="shared" si="247"/>
        <v>4.0919511658391562E-2</v>
      </c>
      <c r="N261" s="3">
        <f t="shared" si="247"/>
        <v>4.0919511658206682E-2</v>
      </c>
      <c r="O261" s="3">
        <f t="shared" si="247"/>
        <v>4.0919511656357863E-2</v>
      </c>
      <c r="P261" s="3">
        <f t="shared" si="247"/>
        <v>4.0919511637869665E-2</v>
      </c>
      <c r="Q261" s="3">
        <f t="shared" si="247"/>
        <v>4.0919511452987722E-2</v>
      </c>
      <c r="R261" s="3">
        <f t="shared" si="247"/>
        <v>4.0919509604168333E-2</v>
      </c>
      <c r="S261" s="3">
        <f t="shared" si="247"/>
        <v>4.091949111597902E-2</v>
      </c>
      <c r="T261" s="3">
        <f t="shared" si="247"/>
        <v>4.0919306234545302E-2</v>
      </c>
      <c r="U261" s="3">
        <f t="shared" si="247"/>
        <v>4.0917457466150449E-2</v>
      </c>
      <c r="V261" s="3">
        <f t="shared" si="247"/>
        <v>4.0898974375668709E-2</v>
      </c>
      <c r="W261" s="3">
        <f t="shared" si="247"/>
        <v>4.0714602050553522E-2</v>
      </c>
      <c r="X261" s="3">
        <f t="shared" si="247"/>
        <v>3.8915979325616142E-2</v>
      </c>
      <c r="Y261" s="3">
        <f t="shared" si="247"/>
        <v>2.4768839613622189E-2</v>
      </c>
      <c r="Z261" s="3">
        <f t="shared" si="247"/>
        <v>2.7019831138207613E-4</v>
      </c>
      <c r="AA261" s="3">
        <f t="shared" si="247"/>
        <v>6.4484053030718099E-24</v>
      </c>
      <c r="AB261" s="3">
        <f t="shared" si="247"/>
        <v>3.8649981075692605E-220</v>
      </c>
      <c r="AC261" s="3">
        <f t="shared" si="247"/>
        <v>0</v>
      </c>
      <c r="AD261" s="3">
        <f t="shared" si="247"/>
        <v>0</v>
      </c>
      <c r="AE261" s="3">
        <f t="shared" si="247"/>
        <v>0</v>
      </c>
      <c r="AF261" s="3">
        <f t="shared" si="247"/>
        <v>0</v>
      </c>
      <c r="AG261" s="3"/>
      <c r="AH261" s="3"/>
    </row>
    <row r="262" spans="2:34" x14ac:dyDescent="0.25">
      <c r="B262" s="3">
        <f t="shared" ref="B262:AF262" si="248">$C31*EXP(-B$246/$A31/EXP(-$E$126))</f>
        <v>4.7755707575506505E-2</v>
      </c>
      <c r="C262" s="3">
        <f t="shared" si="248"/>
        <v>4.7755707575506505E-2</v>
      </c>
      <c r="D262" s="3">
        <f t="shared" si="248"/>
        <v>4.7755707575506505E-2</v>
      </c>
      <c r="E262" s="3">
        <f t="shared" si="248"/>
        <v>4.7755707575506505E-2</v>
      </c>
      <c r="F262" s="3">
        <f t="shared" si="248"/>
        <v>4.7755707575506505E-2</v>
      </c>
      <c r="G262" s="3">
        <f t="shared" si="248"/>
        <v>4.7755707575506505E-2</v>
      </c>
      <c r="H262" s="3">
        <f t="shared" si="248"/>
        <v>4.7755707575506505E-2</v>
      </c>
      <c r="I262" s="3">
        <f t="shared" si="248"/>
        <v>4.7755707575506505E-2</v>
      </c>
      <c r="J262" s="3">
        <f t="shared" si="248"/>
        <v>4.7755707575506505E-2</v>
      </c>
      <c r="K262" s="3">
        <f t="shared" si="248"/>
        <v>4.7755707575506484E-2</v>
      </c>
      <c r="L262" s="3">
        <f t="shared" si="248"/>
        <v>4.775570757550629E-2</v>
      </c>
      <c r="M262" s="3">
        <f t="shared" si="248"/>
        <v>4.775570757550434E-2</v>
      </c>
      <c r="N262" s="3">
        <f t="shared" si="248"/>
        <v>4.7755707575484876E-2</v>
      </c>
      <c r="O262" s="3">
        <f t="shared" si="248"/>
        <v>4.775570757529024E-2</v>
      </c>
      <c r="P262" s="3">
        <f t="shared" si="248"/>
        <v>4.7755707573343818E-2</v>
      </c>
      <c r="Q262" s="3">
        <f t="shared" si="248"/>
        <v>4.7755707553879652E-2</v>
      </c>
      <c r="R262" s="3">
        <f t="shared" si="248"/>
        <v>4.7755707359237926E-2</v>
      </c>
      <c r="S262" s="3">
        <f t="shared" si="248"/>
        <v>4.775570541282078E-2</v>
      </c>
      <c r="T262" s="3">
        <f t="shared" si="248"/>
        <v>4.7755685948653682E-2</v>
      </c>
      <c r="U262" s="3">
        <f t="shared" si="248"/>
        <v>4.7755491307419018E-2</v>
      </c>
      <c r="V262" s="3">
        <f t="shared" si="248"/>
        <v>4.7753544938704061E-2</v>
      </c>
      <c r="W262" s="3">
        <f t="shared" si="248"/>
        <v>4.7734085614065142E-2</v>
      </c>
      <c r="X262" s="3">
        <f t="shared" si="248"/>
        <v>4.7539927961576328E-2</v>
      </c>
      <c r="Y262" s="3">
        <f t="shared" si="248"/>
        <v>4.5641261034461041E-2</v>
      </c>
      <c r="Z262" s="3">
        <f t="shared" si="248"/>
        <v>3.0363287632407879E-2</v>
      </c>
      <c r="AA262" s="3">
        <f t="shared" si="248"/>
        <v>5.1553763988530896E-4</v>
      </c>
      <c r="AB262" s="3">
        <f t="shared" si="248"/>
        <v>1.0265408408611013E-21</v>
      </c>
      <c r="AC262" s="3">
        <f t="shared" si="248"/>
        <v>1.0058535811440893E-198</v>
      </c>
      <c r="AD262" s="3">
        <f t="shared" si="248"/>
        <v>0</v>
      </c>
      <c r="AE262" s="3">
        <f t="shared" si="248"/>
        <v>0</v>
      </c>
      <c r="AF262" s="3">
        <f t="shared" si="248"/>
        <v>0</v>
      </c>
      <c r="AG262" s="3"/>
      <c r="AH262" s="3"/>
    </row>
    <row r="263" spans="2:34" x14ac:dyDescent="0.25">
      <c r="B263" s="3">
        <f t="shared" ref="B263:AF263" si="249">$C32*EXP(-B$246/$A32/EXP(-$E$126))</f>
        <v>5.7469214785363418E-2</v>
      </c>
      <c r="C263" s="3">
        <f t="shared" si="249"/>
        <v>5.7469214785363418E-2</v>
      </c>
      <c r="D263" s="3">
        <f t="shared" si="249"/>
        <v>5.7469214785363418E-2</v>
      </c>
      <c r="E263" s="3">
        <f t="shared" si="249"/>
        <v>5.7469214785363418E-2</v>
      </c>
      <c r="F263" s="3">
        <f t="shared" si="249"/>
        <v>5.7469214785363418E-2</v>
      </c>
      <c r="G263" s="3">
        <f t="shared" si="249"/>
        <v>5.7469214785363418E-2</v>
      </c>
      <c r="H263" s="3">
        <f t="shared" si="249"/>
        <v>5.7469214785363418E-2</v>
      </c>
      <c r="I263" s="3">
        <f t="shared" si="249"/>
        <v>5.7469214785363418E-2</v>
      </c>
      <c r="J263" s="3">
        <f t="shared" si="249"/>
        <v>5.7469214785363418E-2</v>
      </c>
      <c r="K263" s="3">
        <f t="shared" si="249"/>
        <v>5.7469214785363418E-2</v>
      </c>
      <c r="L263" s="3">
        <f t="shared" si="249"/>
        <v>5.746921478536339E-2</v>
      </c>
      <c r="M263" s="3">
        <f t="shared" si="249"/>
        <v>5.7469214785363182E-2</v>
      </c>
      <c r="N263" s="3">
        <f t="shared" si="249"/>
        <v>5.7469214785361072E-2</v>
      </c>
      <c r="O263" s="3">
        <f t="shared" si="249"/>
        <v>5.7469214785339937E-2</v>
      </c>
      <c r="P263" s="3">
        <f t="shared" si="249"/>
        <v>5.7469214785128647E-2</v>
      </c>
      <c r="Q263" s="3">
        <f t="shared" si="249"/>
        <v>5.7469214783015678E-2</v>
      </c>
      <c r="R263" s="3">
        <f t="shared" si="249"/>
        <v>5.7469214761886017E-2</v>
      </c>
      <c r="S263" s="3">
        <f t="shared" si="249"/>
        <v>5.7469214550589426E-2</v>
      </c>
      <c r="T263" s="3">
        <f t="shared" si="249"/>
        <v>5.7469212437623499E-2</v>
      </c>
      <c r="U263" s="3">
        <f t="shared" si="249"/>
        <v>5.7469191307968556E-2</v>
      </c>
      <c r="V263" s="3">
        <f t="shared" si="249"/>
        <v>5.746898001184636E-2</v>
      </c>
      <c r="W263" s="3">
        <f t="shared" si="249"/>
        <v>5.7466867093351789E-2</v>
      </c>
      <c r="X263" s="3">
        <f t="shared" si="249"/>
        <v>5.7445742180558979E-2</v>
      </c>
      <c r="Y263" s="3">
        <f t="shared" si="249"/>
        <v>5.7234919687319127E-2</v>
      </c>
      <c r="Z263" s="3">
        <f t="shared" si="249"/>
        <v>5.5168783503789107E-2</v>
      </c>
      <c r="AA263" s="3">
        <f t="shared" si="249"/>
        <v>3.8195896420987599E-2</v>
      </c>
      <c r="AB263" s="3">
        <f t="shared" si="249"/>
        <v>9.6660647443438952E-4</v>
      </c>
      <c r="AC263" s="3">
        <f t="shared" si="249"/>
        <v>1.0413090139719075E-19</v>
      </c>
      <c r="AD263" s="3">
        <f t="shared" si="249"/>
        <v>2.1921936148963976E-179</v>
      </c>
      <c r="AE263" s="3">
        <f t="shared" si="249"/>
        <v>0</v>
      </c>
      <c r="AF263" s="3">
        <f t="shared" si="249"/>
        <v>0</v>
      </c>
      <c r="AG263" s="3"/>
      <c r="AH263" s="3"/>
    </row>
    <row r="264" spans="2:34" x14ac:dyDescent="0.25">
      <c r="B264" s="3">
        <f t="shared" ref="B264:AF264" si="250">$C33*EXP(-B$246/$A33/EXP(-$E$126))</f>
        <v>6.4260885650205518E-2</v>
      </c>
      <c r="C264" s="3">
        <f t="shared" si="250"/>
        <v>6.4260885650205518E-2</v>
      </c>
      <c r="D264" s="3">
        <f t="shared" si="250"/>
        <v>6.4260885650205518E-2</v>
      </c>
      <c r="E264" s="3">
        <f t="shared" si="250"/>
        <v>6.4260885650205518E-2</v>
      </c>
      <c r="F264" s="3">
        <f t="shared" si="250"/>
        <v>6.4260885650205518E-2</v>
      </c>
      <c r="G264" s="3">
        <f t="shared" si="250"/>
        <v>6.4260885650205518E-2</v>
      </c>
      <c r="H264" s="3">
        <f t="shared" si="250"/>
        <v>6.4260885650205518E-2</v>
      </c>
      <c r="I264" s="3">
        <f t="shared" si="250"/>
        <v>6.4260885650205518E-2</v>
      </c>
      <c r="J264" s="3">
        <f t="shared" si="250"/>
        <v>6.4260885650205518E-2</v>
      </c>
      <c r="K264" s="3">
        <f t="shared" si="250"/>
        <v>6.4260885650205518E-2</v>
      </c>
      <c r="L264" s="3">
        <f t="shared" si="250"/>
        <v>6.4260885650205518E-2</v>
      </c>
      <c r="M264" s="3">
        <f t="shared" si="250"/>
        <v>6.426088565020549E-2</v>
      </c>
      <c r="N264" s="3">
        <f t="shared" si="250"/>
        <v>6.4260885650205282E-2</v>
      </c>
      <c r="O264" s="3">
        <f t="shared" si="250"/>
        <v>6.4260885650203145E-2</v>
      </c>
      <c r="P264" s="3">
        <f t="shared" si="250"/>
        <v>6.4260885650181843E-2</v>
      </c>
      <c r="Q264" s="3">
        <f t="shared" si="250"/>
        <v>6.4260885649968708E-2</v>
      </c>
      <c r="R264" s="3">
        <f t="shared" si="250"/>
        <v>6.4260885647837371E-2</v>
      </c>
      <c r="S264" s="3">
        <f t="shared" si="250"/>
        <v>6.4260885626524086E-2</v>
      </c>
      <c r="T264" s="3">
        <f t="shared" si="250"/>
        <v>6.4260885413391158E-2</v>
      </c>
      <c r="U264" s="3">
        <f t="shared" si="250"/>
        <v>6.4260883282062004E-2</v>
      </c>
      <c r="V264" s="3">
        <f t="shared" si="250"/>
        <v>6.426086196877423E-2</v>
      </c>
      <c r="W264" s="3">
        <f t="shared" si="250"/>
        <v>6.4260648836285267E-2</v>
      </c>
      <c r="X264" s="3">
        <f t="shared" si="250"/>
        <v>6.4258517550274355E-2</v>
      </c>
      <c r="Y264" s="3">
        <f t="shared" si="250"/>
        <v>6.4237208577552732E-2</v>
      </c>
      <c r="Z264" s="3">
        <f t="shared" si="250"/>
        <v>6.4024507112466475E-2</v>
      </c>
      <c r="AA264" s="3">
        <f t="shared" si="250"/>
        <v>6.1935846407532615E-2</v>
      </c>
      <c r="AB264" s="3">
        <f t="shared" si="250"/>
        <v>4.445293178778402E-2</v>
      </c>
      <c r="AC264" s="3">
        <f t="shared" si="250"/>
        <v>1.6124406207585697E-3</v>
      </c>
      <c r="AD264" s="3">
        <f t="shared" si="250"/>
        <v>6.3579475860230228E-18</v>
      </c>
      <c r="AE264" s="3">
        <f t="shared" si="250"/>
        <v>5.7762911124515797E-162</v>
      </c>
      <c r="AF264" s="3">
        <f t="shared" si="250"/>
        <v>0</v>
      </c>
      <c r="AG264" s="3"/>
      <c r="AH264" s="3"/>
    </row>
    <row r="265" spans="2:34" x14ac:dyDescent="0.25">
      <c r="B265" s="3">
        <f t="shared" ref="B265:AF265" si="251">$C34*EXP(-B$246/$A34/EXP(-$E$126))</f>
        <v>6.2189536822504186E-2</v>
      </c>
      <c r="C265" s="3">
        <f t="shared" si="251"/>
        <v>6.2189536822504186E-2</v>
      </c>
      <c r="D265" s="3">
        <f t="shared" si="251"/>
        <v>6.2189536822504186E-2</v>
      </c>
      <c r="E265" s="3">
        <f t="shared" si="251"/>
        <v>6.2189536822504186E-2</v>
      </c>
      <c r="F265" s="3">
        <f t="shared" si="251"/>
        <v>6.2189536822504186E-2</v>
      </c>
      <c r="G265" s="3">
        <f t="shared" si="251"/>
        <v>6.2189536822504186E-2</v>
      </c>
      <c r="H265" s="3">
        <f t="shared" si="251"/>
        <v>6.2189536822504186E-2</v>
      </c>
      <c r="I265" s="3">
        <f t="shared" si="251"/>
        <v>6.2189536822504186E-2</v>
      </c>
      <c r="J265" s="3">
        <f t="shared" si="251"/>
        <v>6.2189536822504186E-2</v>
      </c>
      <c r="K265" s="3">
        <f t="shared" si="251"/>
        <v>6.2189536822504186E-2</v>
      </c>
      <c r="L265" s="3">
        <f t="shared" si="251"/>
        <v>6.2189536822504186E-2</v>
      </c>
      <c r="M265" s="3">
        <f t="shared" si="251"/>
        <v>6.2189536822504186E-2</v>
      </c>
      <c r="N265" s="3">
        <f t="shared" si="251"/>
        <v>6.2189536822504166E-2</v>
      </c>
      <c r="O265" s="3">
        <f t="shared" si="251"/>
        <v>6.2189536822503978E-2</v>
      </c>
      <c r="P265" s="3">
        <f t="shared" si="251"/>
        <v>6.2189536822502119E-2</v>
      </c>
      <c r="Q265" s="3">
        <f t="shared" si="251"/>
        <v>6.2189536822483515E-2</v>
      </c>
      <c r="R265" s="3">
        <f t="shared" si="251"/>
        <v>6.2189536822297449E-2</v>
      </c>
      <c r="S265" s="3">
        <f t="shared" si="251"/>
        <v>6.2189536820436778E-2</v>
      </c>
      <c r="T265" s="3">
        <f t="shared" si="251"/>
        <v>6.2189536801830154E-2</v>
      </c>
      <c r="U265" s="3">
        <f t="shared" si="251"/>
        <v>6.2189536615763846E-2</v>
      </c>
      <c r="V265" s="3">
        <f t="shared" si="251"/>
        <v>6.2189534755100785E-2</v>
      </c>
      <c r="W265" s="3">
        <f t="shared" si="251"/>
        <v>6.2189516148473255E-2</v>
      </c>
      <c r="X265" s="3">
        <f t="shared" si="251"/>
        <v>6.2189330082504136E-2</v>
      </c>
      <c r="Y265" s="3">
        <f t="shared" si="251"/>
        <v>6.2187469453430858E-2</v>
      </c>
      <c r="Z265" s="3">
        <f t="shared" si="251"/>
        <v>6.2168866224149924E-2</v>
      </c>
      <c r="AA265" s="3">
        <f t="shared" si="251"/>
        <v>6.198313973789258E-2</v>
      </c>
      <c r="AB265" s="3">
        <f t="shared" si="251"/>
        <v>6.0156119691317476E-2</v>
      </c>
      <c r="AC265" s="3">
        <f t="shared" si="251"/>
        <v>4.460075877308859E-2</v>
      </c>
      <c r="AD265" s="3">
        <f t="shared" si="251"/>
        <v>2.2385488285863032E-3</v>
      </c>
      <c r="AE265" s="3">
        <f t="shared" si="251"/>
        <v>2.2709617464054378E-16</v>
      </c>
      <c r="AF265" s="3">
        <f t="shared" si="251"/>
        <v>2.6220579568013967E-146</v>
      </c>
      <c r="AG265" s="3"/>
      <c r="AH265" s="3"/>
    </row>
    <row r="266" spans="2:34" x14ac:dyDescent="0.25">
      <c r="B266" s="3">
        <f t="shared" ref="B266:AF266" si="252">$C35*EXP(-B$246/$A35/EXP(-$E$126))</f>
        <v>4.8803099741359754E-2</v>
      </c>
      <c r="C266" s="3">
        <f t="shared" si="252"/>
        <v>4.8803099741359754E-2</v>
      </c>
      <c r="D266" s="3">
        <f t="shared" si="252"/>
        <v>4.8803099741359754E-2</v>
      </c>
      <c r="E266" s="3">
        <f t="shared" si="252"/>
        <v>4.8803099741359754E-2</v>
      </c>
      <c r="F266" s="3">
        <f t="shared" si="252"/>
        <v>4.8803099741359754E-2</v>
      </c>
      <c r="G266" s="3">
        <f t="shared" si="252"/>
        <v>4.8803099741359754E-2</v>
      </c>
      <c r="H266" s="3">
        <f t="shared" si="252"/>
        <v>4.8803099741359754E-2</v>
      </c>
      <c r="I266" s="3">
        <f t="shared" si="252"/>
        <v>4.8803099741359754E-2</v>
      </c>
      <c r="J266" s="3">
        <f t="shared" si="252"/>
        <v>4.8803099741359754E-2</v>
      </c>
      <c r="K266" s="3">
        <f t="shared" si="252"/>
        <v>4.8803099741359754E-2</v>
      </c>
      <c r="L266" s="3">
        <f t="shared" si="252"/>
        <v>4.8803099741359754E-2</v>
      </c>
      <c r="M266" s="3">
        <f t="shared" si="252"/>
        <v>4.8803099741359754E-2</v>
      </c>
      <c r="N266" s="3">
        <f t="shared" si="252"/>
        <v>4.8803099741359754E-2</v>
      </c>
      <c r="O266" s="3">
        <f t="shared" si="252"/>
        <v>4.880309974135974E-2</v>
      </c>
      <c r="P266" s="3">
        <f t="shared" si="252"/>
        <v>4.8803099741359608E-2</v>
      </c>
      <c r="Q266" s="3">
        <f t="shared" si="252"/>
        <v>4.880309974135829E-2</v>
      </c>
      <c r="R266" s="3">
        <f t="shared" si="252"/>
        <v>4.880309974134512E-2</v>
      </c>
      <c r="S266" s="3">
        <f t="shared" si="252"/>
        <v>4.8803099741213399E-2</v>
      </c>
      <c r="T266" s="3">
        <f t="shared" si="252"/>
        <v>4.8803099739896223E-2</v>
      </c>
      <c r="U266" s="3">
        <f t="shared" si="252"/>
        <v>4.8803099726724447E-2</v>
      </c>
      <c r="V266" s="3">
        <f t="shared" si="252"/>
        <v>4.8803099595006665E-2</v>
      </c>
      <c r="W266" s="3">
        <f t="shared" si="252"/>
        <v>4.8803098277828832E-2</v>
      </c>
      <c r="X266" s="3">
        <f t="shared" si="252"/>
        <v>4.8803085106052489E-2</v>
      </c>
      <c r="Y266" s="3">
        <f t="shared" si="252"/>
        <v>4.8802953388484643E-2</v>
      </c>
      <c r="Z266" s="3">
        <f t="shared" si="252"/>
        <v>4.8801636232358531E-2</v>
      </c>
      <c r="AA266" s="3">
        <f t="shared" si="252"/>
        <v>4.8788466626138623E-2</v>
      </c>
      <c r="AB266" s="3">
        <f t="shared" si="252"/>
        <v>4.8656965872975591E-2</v>
      </c>
      <c r="AC266" s="3">
        <f t="shared" si="252"/>
        <v>4.7361295606170403E-2</v>
      </c>
      <c r="AD266" s="3">
        <f t="shared" si="252"/>
        <v>3.6158389498241315E-2</v>
      </c>
      <c r="AE266" s="3">
        <f t="shared" si="252"/>
        <v>2.4325631410557986E-3</v>
      </c>
      <c r="AF266" s="3">
        <f t="shared" si="252"/>
        <v>4.6197083012265294E-15</v>
      </c>
      <c r="AG266" s="3"/>
      <c r="AH266" s="3"/>
    </row>
    <row r="267" spans="2:34" x14ac:dyDescent="0.25">
      <c r="B267" s="3">
        <f t="shared" ref="B267:AF267" si="253">$C36*EXP(-B$246/$A36/EXP(-$E$126))</f>
        <v>3.0415227107223403E-2</v>
      </c>
      <c r="C267" s="3">
        <f t="shared" si="253"/>
        <v>3.0415227107223403E-2</v>
      </c>
      <c r="D267" s="3">
        <f t="shared" si="253"/>
        <v>3.0415227107223403E-2</v>
      </c>
      <c r="E267" s="3">
        <f t="shared" si="253"/>
        <v>3.0415227107223403E-2</v>
      </c>
      <c r="F267" s="3">
        <f t="shared" si="253"/>
        <v>3.0415227107223403E-2</v>
      </c>
      <c r="G267" s="3">
        <f t="shared" si="253"/>
        <v>3.0415227107223403E-2</v>
      </c>
      <c r="H267" s="3">
        <f t="shared" si="253"/>
        <v>3.0415227107223403E-2</v>
      </c>
      <c r="I267" s="3">
        <f t="shared" si="253"/>
        <v>3.0415227107223403E-2</v>
      </c>
      <c r="J267" s="3">
        <f t="shared" si="253"/>
        <v>3.0415227107223403E-2</v>
      </c>
      <c r="K267" s="3">
        <f t="shared" si="253"/>
        <v>3.0415227107223403E-2</v>
      </c>
      <c r="L267" s="3">
        <f t="shared" si="253"/>
        <v>3.0415227107223403E-2</v>
      </c>
      <c r="M267" s="3">
        <f t="shared" si="253"/>
        <v>3.0415227107223403E-2</v>
      </c>
      <c r="N267" s="3">
        <f t="shared" si="253"/>
        <v>3.0415227107223403E-2</v>
      </c>
      <c r="O267" s="3">
        <f t="shared" si="253"/>
        <v>3.0415227107223403E-2</v>
      </c>
      <c r="P267" s="3">
        <f t="shared" si="253"/>
        <v>3.0415227107223396E-2</v>
      </c>
      <c r="Q267" s="3">
        <f t="shared" si="253"/>
        <v>3.0415227107223324E-2</v>
      </c>
      <c r="R267" s="3">
        <f t="shared" si="253"/>
        <v>3.0415227107222581E-2</v>
      </c>
      <c r="S267" s="3">
        <f t="shared" si="253"/>
        <v>3.0415227107215174E-2</v>
      </c>
      <c r="T267" s="3">
        <f t="shared" si="253"/>
        <v>3.0415227107141125E-2</v>
      </c>
      <c r="U267" s="3">
        <f t="shared" si="253"/>
        <v>3.0415227106400607E-2</v>
      </c>
      <c r="V267" s="3">
        <f t="shared" si="253"/>
        <v>3.0415227098995443E-2</v>
      </c>
      <c r="W267" s="3">
        <f t="shared" si="253"/>
        <v>3.0415227024943804E-2</v>
      </c>
      <c r="X267" s="3">
        <f t="shared" si="253"/>
        <v>3.0415226284427443E-2</v>
      </c>
      <c r="Y267" s="3">
        <f t="shared" si="253"/>
        <v>3.041521887926479E-2</v>
      </c>
      <c r="Z267" s="3">
        <f t="shared" si="253"/>
        <v>3.0415144827737457E-2</v>
      </c>
      <c r="AA267" s="3">
        <f t="shared" si="253"/>
        <v>3.0414404322380087E-2</v>
      </c>
      <c r="AB267" s="3">
        <f t="shared" si="253"/>
        <v>3.0407000260317316E-2</v>
      </c>
      <c r="AC267" s="3">
        <f t="shared" si="253"/>
        <v>3.0333058701518319E-2</v>
      </c>
      <c r="AD267" s="3">
        <f t="shared" si="253"/>
        <v>2.9603460636203647E-2</v>
      </c>
      <c r="AE267" s="3">
        <f t="shared" si="253"/>
        <v>2.3206265493332857E-2</v>
      </c>
      <c r="AF267" s="3">
        <f t="shared" si="253"/>
        <v>2.0334476323395916E-3</v>
      </c>
      <c r="AG267" s="3"/>
      <c r="AH267" s="3"/>
    </row>
    <row r="268" spans="2:34" x14ac:dyDescent="0.25">
      <c r="B268" s="3">
        <f t="shared" ref="B268:AF268" si="254">$C37*EXP(-B$246/$A37/EXP(-$E$126))</f>
        <v>1.5463317607252298E-2</v>
      </c>
      <c r="C268" s="3">
        <f t="shared" si="254"/>
        <v>1.5463317607252298E-2</v>
      </c>
      <c r="D268" s="3">
        <f t="shared" si="254"/>
        <v>1.5463317607252298E-2</v>
      </c>
      <c r="E268" s="3">
        <f t="shared" si="254"/>
        <v>1.5463317607252298E-2</v>
      </c>
      <c r="F268" s="3">
        <f t="shared" si="254"/>
        <v>1.5463317607252298E-2</v>
      </c>
      <c r="G268" s="3">
        <f t="shared" si="254"/>
        <v>1.5463317607252298E-2</v>
      </c>
      <c r="H268" s="3">
        <f t="shared" si="254"/>
        <v>1.5463317607252298E-2</v>
      </c>
      <c r="I268" s="3">
        <f t="shared" si="254"/>
        <v>1.5463317607252298E-2</v>
      </c>
      <c r="J268" s="3">
        <f t="shared" si="254"/>
        <v>1.5463317607252298E-2</v>
      </c>
      <c r="K268" s="3">
        <f t="shared" si="254"/>
        <v>1.5463317607252298E-2</v>
      </c>
      <c r="L268" s="3">
        <f t="shared" si="254"/>
        <v>1.5463317607252298E-2</v>
      </c>
      <c r="M268" s="3">
        <f t="shared" si="254"/>
        <v>1.5463317607252298E-2</v>
      </c>
      <c r="N268" s="3">
        <f t="shared" si="254"/>
        <v>1.5463317607252298E-2</v>
      </c>
      <c r="O268" s="3">
        <f t="shared" si="254"/>
        <v>1.5463317607252298E-2</v>
      </c>
      <c r="P268" s="3">
        <f t="shared" si="254"/>
        <v>1.5463317607252298E-2</v>
      </c>
      <c r="Q268" s="3">
        <f t="shared" si="254"/>
        <v>1.5463317607252294E-2</v>
      </c>
      <c r="R268" s="3">
        <f t="shared" si="254"/>
        <v>1.546331760725226E-2</v>
      </c>
      <c r="S268" s="3">
        <f t="shared" si="254"/>
        <v>1.546331760725192E-2</v>
      </c>
      <c r="T268" s="3">
        <f t="shared" si="254"/>
        <v>1.5463317607248525E-2</v>
      </c>
      <c r="U268" s="3">
        <f t="shared" si="254"/>
        <v>1.5463317607214562E-2</v>
      </c>
      <c r="V268" s="3">
        <f t="shared" si="254"/>
        <v>1.5463317606874942E-2</v>
      </c>
      <c r="W268" s="3">
        <f t="shared" si="254"/>
        <v>1.5463317603478747E-2</v>
      </c>
      <c r="X268" s="3">
        <f t="shared" si="254"/>
        <v>1.5463317569516776E-2</v>
      </c>
      <c r="Y268" s="3">
        <f t="shared" si="254"/>
        <v>1.5463317229897085E-2</v>
      </c>
      <c r="Z268" s="3">
        <f t="shared" si="254"/>
        <v>1.546331383370057E-2</v>
      </c>
      <c r="AA268" s="3">
        <f t="shared" si="254"/>
        <v>1.5463279871776469E-2</v>
      </c>
      <c r="AB268" s="3">
        <f t="shared" si="254"/>
        <v>1.5462940256637874E-2</v>
      </c>
      <c r="AC268" s="3">
        <f t="shared" si="254"/>
        <v>1.5459544515462212E-2</v>
      </c>
      <c r="AD268" s="3">
        <f t="shared" si="254"/>
        <v>1.5425628091418418E-2</v>
      </c>
      <c r="AE268" s="3">
        <f t="shared" si="254"/>
        <v>1.5090529509260651E-2</v>
      </c>
      <c r="AF268" s="3">
        <f t="shared" si="254"/>
        <v>1.211492428404924E-2</v>
      </c>
      <c r="AG268" s="3"/>
      <c r="AH268" s="3"/>
    </row>
    <row r="269" spans="2:34" x14ac:dyDescent="0.25">
      <c r="B269" s="3">
        <f t="shared" ref="B269:AF269" si="255">$C38*EXP(-B$246/$A38/EXP(-$E$126))</f>
        <v>6.4979326784240111E-3</v>
      </c>
      <c r="C269" s="3">
        <f t="shared" si="255"/>
        <v>6.4979326784240111E-3</v>
      </c>
      <c r="D269" s="3">
        <f t="shared" si="255"/>
        <v>6.4979326784240111E-3</v>
      </c>
      <c r="E269" s="3">
        <f t="shared" si="255"/>
        <v>6.4979326784240111E-3</v>
      </c>
      <c r="F269" s="3">
        <f t="shared" si="255"/>
        <v>6.4979326784240111E-3</v>
      </c>
      <c r="G269" s="3">
        <f t="shared" si="255"/>
        <v>6.4979326784240111E-3</v>
      </c>
      <c r="H269" s="3">
        <f t="shared" si="255"/>
        <v>6.4979326784240111E-3</v>
      </c>
      <c r="I269" s="3">
        <f t="shared" si="255"/>
        <v>6.4979326784240111E-3</v>
      </c>
      <c r="J269" s="3">
        <f t="shared" si="255"/>
        <v>6.4979326784240111E-3</v>
      </c>
      <c r="K269" s="3">
        <f t="shared" si="255"/>
        <v>6.4979326784240111E-3</v>
      </c>
      <c r="L269" s="3">
        <f t="shared" si="255"/>
        <v>6.4979326784240111E-3</v>
      </c>
      <c r="M269" s="3">
        <f t="shared" si="255"/>
        <v>6.4979326784240111E-3</v>
      </c>
      <c r="N269" s="3">
        <f t="shared" si="255"/>
        <v>6.4979326784240111E-3</v>
      </c>
      <c r="O269" s="3">
        <f t="shared" si="255"/>
        <v>6.4979326784240111E-3</v>
      </c>
      <c r="P269" s="3">
        <f t="shared" si="255"/>
        <v>6.4979326784240111E-3</v>
      </c>
      <c r="Q269" s="3">
        <f t="shared" si="255"/>
        <v>6.4979326784240111E-3</v>
      </c>
      <c r="R269" s="3">
        <f t="shared" si="255"/>
        <v>6.4979326784240093E-3</v>
      </c>
      <c r="S269" s="3">
        <f t="shared" si="255"/>
        <v>6.4979326784239963E-3</v>
      </c>
      <c r="T269" s="3">
        <f t="shared" si="255"/>
        <v>6.497932678423868E-3</v>
      </c>
      <c r="U269" s="3">
        <f t="shared" si="255"/>
        <v>6.4979326784225808E-3</v>
      </c>
      <c r="V269" s="3">
        <f t="shared" si="255"/>
        <v>6.4979326784097066E-3</v>
      </c>
      <c r="W269" s="3">
        <f t="shared" si="255"/>
        <v>6.4979326782809675E-3</v>
      </c>
      <c r="X269" s="3">
        <f t="shared" si="255"/>
        <v>6.497932676993572E-3</v>
      </c>
      <c r="Y269" s="3">
        <f t="shared" si="255"/>
        <v>6.4979326641196166E-3</v>
      </c>
      <c r="Z269" s="3">
        <f t="shared" si="255"/>
        <v>6.4979325353800663E-3</v>
      </c>
      <c r="AA269" s="3">
        <f t="shared" si="255"/>
        <v>6.497931247984705E-3</v>
      </c>
      <c r="AB269" s="3">
        <f t="shared" si="255"/>
        <v>6.4979183740451274E-3</v>
      </c>
      <c r="AC269" s="3">
        <f t="shared" si="255"/>
        <v>6.4977896360521809E-3</v>
      </c>
      <c r="AD269" s="3">
        <f t="shared" si="255"/>
        <v>6.496502396396364E-3</v>
      </c>
      <c r="AE269" s="3">
        <f t="shared" si="255"/>
        <v>6.4836440169256312E-3</v>
      </c>
      <c r="AF269" s="3">
        <f t="shared" si="255"/>
        <v>6.3564517098473978E-3</v>
      </c>
      <c r="AG269" s="3"/>
      <c r="AH269" s="3"/>
    </row>
    <row r="270" spans="2:34" x14ac:dyDescent="0.25">
      <c r="B270" s="3">
        <f t="shared" ref="B270:AF270" si="256">$C39*EXP(-B$246/$A39/EXP(-$E$126))</f>
        <v>1.7266189453767201E-3</v>
      </c>
      <c r="C270" s="3">
        <f t="shared" si="256"/>
        <v>1.7266189453767201E-3</v>
      </c>
      <c r="D270" s="3">
        <f t="shared" si="256"/>
        <v>1.7266189453767201E-3</v>
      </c>
      <c r="E270" s="3">
        <f t="shared" si="256"/>
        <v>1.7266189453767201E-3</v>
      </c>
      <c r="F270" s="3">
        <f t="shared" si="256"/>
        <v>1.7266189453767201E-3</v>
      </c>
      <c r="G270" s="3">
        <f t="shared" si="256"/>
        <v>1.7266189453767201E-3</v>
      </c>
      <c r="H270" s="3">
        <f t="shared" si="256"/>
        <v>1.7266189453767201E-3</v>
      </c>
      <c r="I270" s="3">
        <f t="shared" si="256"/>
        <v>1.7266189453767201E-3</v>
      </c>
      <c r="J270" s="3">
        <f t="shared" si="256"/>
        <v>1.7266189453767201E-3</v>
      </c>
      <c r="K270" s="3">
        <f t="shared" si="256"/>
        <v>1.7266189453767201E-3</v>
      </c>
      <c r="L270" s="3">
        <f t="shared" si="256"/>
        <v>1.7266189453767201E-3</v>
      </c>
      <c r="M270" s="3">
        <f t="shared" si="256"/>
        <v>1.7266189453767201E-3</v>
      </c>
      <c r="N270" s="3">
        <f t="shared" si="256"/>
        <v>1.7266189453767201E-3</v>
      </c>
      <c r="O270" s="3">
        <f t="shared" si="256"/>
        <v>1.7266189453767201E-3</v>
      </c>
      <c r="P270" s="3">
        <f t="shared" si="256"/>
        <v>1.7266189453767201E-3</v>
      </c>
      <c r="Q270" s="3">
        <f t="shared" si="256"/>
        <v>1.7266189453767201E-3</v>
      </c>
      <c r="R270" s="3">
        <f t="shared" si="256"/>
        <v>1.7266189453767199E-3</v>
      </c>
      <c r="S270" s="3">
        <f t="shared" si="256"/>
        <v>1.7266189453767193E-3</v>
      </c>
      <c r="T270" s="3">
        <f t="shared" si="256"/>
        <v>1.7266189453767095E-3</v>
      </c>
      <c r="U270" s="3">
        <f t="shared" si="256"/>
        <v>1.7266189453766152E-3</v>
      </c>
      <c r="V270" s="3">
        <f t="shared" si="256"/>
        <v>1.7266189453756689E-3</v>
      </c>
      <c r="W270" s="3">
        <f t="shared" si="256"/>
        <v>1.7266189453662077E-3</v>
      </c>
      <c r="X270" s="3">
        <f t="shared" si="256"/>
        <v>1.7266189452715957E-3</v>
      </c>
      <c r="Y270" s="3">
        <f t="shared" si="256"/>
        <v>1.726618944325476E-3</v>
      </c>
      <c r="Z270" s="3">
        <f t="shared" si="256"/>
        <v>1.7266189348642774E-3</v>
      </c>
      <c r="AA270" s="3">
        <f t="shared" si="256"/>
        <v>1.7266188402522969E-3</v>
      </c>
      <c r="AB270" s="3">
        <f t="shared" si="256"/>
        <v>1.7266178941327765E-3</v>
      </c>
      <c r="AC270" s="3">
        <f t="shared" si="256"/>
        <v>1.7266084329660843E-3</v>
      </c>
      <c r="AD270" s="3">
        <f t="shared" si="256"/>
        <v>1.7265138241505035E-3</v>
      </c>
      <c r="AE270" s="3">
        <f t="shared" si="256"/>
        <v>1.7255680210706925E-3</v>
      </c>
      <c r="AF270" s="3">
        <f t="shared" si="256"/>
        <v>1.716138440159134E-3</v>
      </c>
      <c r="AG270" s="3"/>
      <c r="AH270" s="3"/>
    </row>
    <row r="271" spans="2:34" x14ac:dyDescent="0.25">
      <c r="B271" s="3">
        <f t="shared" ref="B271:AF271" si="257">$C40*EXP(-B$246/$A40/EXP(-$E$126))</f>
        <v>4.5003340048363309E-3</v>
      </c>
      <c r="C271" s="3">
        <f t="shared" si="257"/>
        <v>4.5003340048363309E-3</v>
      </c>
      <c r="D271" s="3">
        <f t="shared" si="257"/>
        <v>4.5003340048363309E-3</v>
      </c>
      <c r="E271" s="3">
        <f t="shared" si="257"/>
        <v>4.5003340048363309E-3</v>
      </c>
      <c r="F271" s="3">
        <f t="shared" si="257"/>
        <v>4.5003340048363309E-3</v>
      </c>
      <c r="G271" s="3">
        <f t="shared" si="257"/>
        <v>4.5003340048363309E-3</v>
      </c>
      <c r="H271" s="3">
        <f t="shared" si="257"/>
        <v>4.5003340048363309E-3</v>
      </c>
      <c r="I271" s="3">
        <f t="shared" si="257"/>
        <v>4.5003340048363309E-3</v>
      </c>
      <c r="J271" s="3">
        <f t="shared" si="257"/>
        <v>4.5003340048363309E-3</v>
      </c>
      <c r="K271" s="3">
        <f t="shared" si="257"/>
        <v>4.5003340048363309E-3</v>
      </c>
      <c r="L271" s="3">
        <f t="shared" si="257"/>
        <v>4.5003340048363309E-3</v>
      </c>
      <c r="M271" s="3">
        <f t="shared" si="257"/>
        <v>4.5003340048363309E-3</v>
      </c>
      <c r="N271" s="3">
        <f t="shared" si="257"/>
        <v>4.5003340048363309E-3</v>
      </c>
      <c r="O271" s="3">
        <f t="shared" si="257"/>
        <v>4.5003340048363309E-3</v>
      </c>
      <c r="P271" s="3">
        <f t="shared" si="257"/>
        <v>4.5003340048363309E-3</v>
      </c>
      <c r="Q271" s="3">
        <f t="shared" si="257"/>
        <v>4.5003340048363309E-3</v>
      </c>
      <c r="R271" s="3">
        <f t="shared" si="257"/>
        <v>4.5003340048363309E-3</v>
      </c>
      <c r="S271" s="3">
        <f t="shared" si="257"/>
        <v>4.5003340048363301E-3</v>
      </c>
      <c r="T271" s="3">
        <f t="shared" si="257"/>
        <v>4.5003340048363283E-3</v>
      </c>
      <c r="U271" s="3">
        <f t="shared" si="257"/>
        <v>4.5003340048363032E-3</v>
      </c>
      <c r="V271" s="3">
        <f t="shared" si="257"/>
        <v>4.5003340048360568E-3</v>
      </c>
      <c r="W271" s="3">
        <f t="shared" si="257"/>
        <v>4.5003340048335909E-3</v>
      </c>
      <c r="X271" s="3">
        <f t="shared" si="257"/>
        <v>4.500334004808931E-3</v>
      </c>
      <c r="Y271" s="3">
        <f t="shared" si="257"/>
        <v>4.5003340045623305E-3</v>
      </c>
      <c r="Z271" s="3">
        <f t="shared" si="257"/>
        <v>4.500334002096323E-3</v>
      </c>
      <c r="AA271" s="3">
        <f t="shared" si="257"/>
        <v>4.5003339774362478E-3</v>
      </c>
      <c r="AB271" s="3">
        <f t="shared" si="257"/>
        <v>4.5003337308355054E-3</v>
      </c>
      <c r="AC271" s="3">
        <f t="shared" si="257"/>
        <v>4.5003312648288262E-3</v>
      </c>
      <c r="AD271" s="3">
        <f t="shared" si="257"/>
        <v>4.500306604836358E-3</v>
      </c>
      <c r="AE271" s="3">
        <f t="shared" si="257"/>
        <v>4.5000600123435231E-3</v>
      </c>
      <c r="AF271" s="3">
        <f t="shared" si="257"/>
        <v>4.4975948304495387E-3</v>
      </c>
      <c r="AG271" s="3"/>
      <c r="AH271" s="3"/>
    </row>
    <row r="272" spans="2:34" x14ac:dyDescent="0.25">
      <c r="B272" s="3">
        <f t="shared" ref="B272:AF272" si="258">$C41*EXP(-B$246/$A41/EXP(-$E$126))</f>
        <v>6.1948117203855881E-4</v>
      </c>
      <c r="C272" s="3">
        <f t="shared" si="258"/>
        <v>6.1948117203855881E-4</v>
      </c>
      <c r="D272" s="3">
        <f t="shared" si="258"/>
        <v>6.1948117203855881E-4</v>
      </c>
      <c r="E272" s="3">
        <f t="shared" si="258"/>
        <v>6.1948117203855881E-4</v>
      </c>
      <c r="F272" s="3">
        <f t="shared" si="258"/>
        <v>6.1948117203855881E-4</v>
      </c>
      <c r="G272" s="3">
        <f t="shared" si="258"/>
        <v>6.1948117203855881E-4</v>
      </c>
      <c r="H272" s="3">
        <f t="shared" si="258"/>
        <v>6.1948117203855881E-4</v>
      </c>
      <c r="I272" s="3">
        <f t="shared" si="258"/>
        <v>6.1948117203855881E-4</v>
      </c>
      <c r="J272" s="3">
        <f t="shared" si="258"/>
        <v>6.1948117203855881E-4</v>
      </c>
      <c r="K272" s="3">
        <f t="shared" si="258"/>
        <v>6.1948117203855881E-4</v>
      </c>
      <c r="L272" s="3">
        <f t="shared" si="258"/>
        <v>6.1948117203855881E-4</v>
      </c>
      <c r="M272" s="3">
        <f t="shared" si="258"/>
        <v>6.1948117203855881E-4</v>
      </c>
      <c r="N272" s="3">
        <f t="shared" si="258"/>
        <v>6.1948117203855881E-4</v>
      </c>
      <c r="O272" s="3">
        <f t="shared" si="258"/>
        <v>6.1948117203855881E-4</v>
      </c>
      <c r="P272" s="3">
        <f t="shared" si="258"/>
        <v>6.1948117203855881E-4</v>
      </c>
      <c r="Q272" s="3">
        <f t="shared" si="258"/>
        <v>6.1948117203855881E-4</v>
      </c>
      <c r="R272" s="3">
        <f t="shared" si="258"/>
        <v>6.1948117203855881E-4</v>
      </c>
      <c r="S272" s="3">
        <f t="shared" si="258"/>
        <v>6.1948117203855881E-4</v>
      </c>
      <c r="T272" s="3">
        <f t="shared" si="258"/>
        <v>6.1948117203855871E-4</v>
      </c>
      <c r="U272" s="3">
        <f t="shared" si="258"/>
        <v>6.1948117203855849E-4</v>
      </c>
      <c r="V272" s="3">
        <f t="shared" si="258"/>
        <v>6.1948117203855502E-4</v>
      </c>
      <c r="W272" s="3">
        <f t="shared" si="258"/>
        <v>6.1948117203852108E-4</v>
      </c>
      <c r="X272" s="3">
        <f t="shared" si="258"/>
        <v>6.1948117203818162E-4</v>
      </c>
      <c r="Y272" s="3">
        <f t="shared" si="258"/>
        <v>6.1948117203478709E-4</v>
      </c>
      <c r="Z272" s="3">
        <f t="shared" si="258"/>
        <v>6.1948117200084202E-4</v>
      </c>
      <c r="AA272" s="3">
        <f t="shared" si="258"/>
        <v>6.1948117166139047E-4</v>
      </c>
      <c r="AB272" s="3">
        <f t="shared" si="258"/>
        <v>6.1948116826687522E-4</v>
      </c>
      <c r="AC272" s="3">
        <f t="shared" si="258"/>
        <v>6.1948113432172438E-4</v>
      </c>
      <c r="AD272" s="3">
        <f t="shared" si="258"/>
        <v>6.1948079487031784E-4</v>
      </c>
      <c r="AE272" s="3">
        <f t="shared" si="258"/>
        <v>6.1947740036648314E-4</v>
      </c>
      <c r="AF272" s="3">
        <f t="shared" si="258"/>
        <v>6.194434563511472E-4</v>
      </c>
      <c r="AG272" s="3"/>
      <c r="AH272" s="3"/>
    </row>
    <row r="273" spans="1:34" x14ac:dyDescent="0.25">
      <c r="B273" s="3">
        <f t="shared" ref="B273:AF273" si="259">$C42*EXP(-B$246/$A42/EXP(-$E$126))</f>
        <v>7.8921984991154562E-4</v>
      </c>
      <c r="C273" s="3">
        <f t="shared" si="259"/>
        <v>7.8921984991154562E-4</v>
      </c>
      <c r="D273" s="3">
        <f t="shared" si="259"/>
        <v>7.8921984991154562E-4</v>
      </c>
      <c r="E273" s="3">
        <f t="shared" si="259"/>
        <v>7.8921984991154562E-4</v>
      </c>
      <c r="F273" s="3">
        <f t="shared" si="259"/>
        <v>7.8921984991154562E-4</v>
      </c>
      <c r="G273" s="3">
        <f t="shared" si="259"/>
        <v>7.8921984991154562E-4</v>
      </c>
      <c r="H273" s="3">
        <f t="shared" si="259"/>
        <v>7.8921984991154562E-4</v>
      </c>
      <c r="I273" s="3">
        <f t="shared" si="259"/>
        <v>7.8921984991154562E-4</v>
      </c>
      <c r="J273" s="3">
        <f t="shared" si="259"/>
        <v>7.8921984991154562E-4</v>
      </c>
      <c r="K273" s="3">
        <f t="shared" si="259"/>
        <v>7.8921984991154562E-4</v>
      </c>
      <c r="L273" s="3">
        <f t="shared" si="259"/>
        <v>7.8921984991154562E-4</v>
      </c>
      <c r="M273" s="3">
        <f t="shared" si="259"/>
        <v>7.8921984991154562E-4</v>
      </c>
      <c r="N273" s="3">
        <f t="shared" si="259"/>
        <v>7.8921984991154562E-4</v>
      </c>
      <c r="O273" s="3">
        <f t="shared" si="259"/>
        <v>7.8921984991154562E-4</v>
      </c>
      <c r="P273" s="3">
        <f t="shared" si="259"/>
        <v>7.8921984991154562E-4</v>
      </c>
      <c r="Q273" s="3">
        <f t="shared" si="259"/>
        <v>7.8921984991154562E-4</v>
      </c>
      <c r="R273" s="3">
        <f t="shared" si="259"/>
        <v>7.8921984991154562E-4</v>
      </c>
      <c r="S273" s="3">
        <f t="shared" si="259"/>
        <v>7.8921984991154562E-4</v>
      </c>
      <c r="T273" s="3">
        <f t="shared" si="259"/>
        <v>7.8921984991154562E-4</v>
      </c>
      <c r="U273" s="3">
        <f t="shared" si="259"/>
        <v>7.8921984991154551E-4</v>
      </c>
      <c r="V273" s="3">
        <f t="shared" si="259"/>
        <v>7.8921984991154519E-4</v>
      </c>
      <c r="W273" s="3">
        <f t="shared" si="259"/>
        <v>7.8921984991154085E-4</v>
      </c>
      <c r="X273" s="3">
        <f t="shared" si="259"/>
        <v>7.8921984991149759E-4</v>
      </c>
      <c r="Y273" s="3">
        <f t="shared" si="259"/>
        <v>7.892198499110651E-4</v>
      </c>
      <c r="Z273" s="3">
        <f t="shared" si="259"/>
        <v>7.8921984990674044E-4</v>
      </c>
      <c r="AA273" s="3">
        <f t="shared" si="259"/>
        <v>7.8921984986349432E-4</v>
      </c>
      <c r="AB273" s="3">
        <f t="shared" si="259"/>
        <v>7.8921984943103264E-4</v>
      </c>
      <c r="AC273" s="3">
        <f t="shared" si="259"/>
        <v>7.892198451064157E-4</v>
      </c>
      <c r="AD273" s="3">
        <f t="shared" si="259"/>
        <v>7.8921980186024766E-4</v>
      </c>
      <c r="AE273" s="3">
        <f t="shared" si="259"/>
        <v>7.8921936939869725E-4</v>
      </c>
      <c r="AF273" s="3">
        <f t="shared" si="259"/>
        <v>7.8921504479622685E-4</v>
      </c>
      <c r="AG273" s="3"/>
      <c r="AH273" s="3"/>
    </row>
    <row r="274" spans="1:34" x14ac:dyDescent="0.25">
      <c r="B274" s="3">
        <f t="shared" ref="B274:AF274" si="260">$C43*EXP(-B$246/$A43/EXP(-$E$126))</f>
        <v>3.1383864234018747E-3</v>
      </c>
      <c r="C274" s="3">
        <f t="shared" si="260"/>
        <v>3.1383864234018747E-3</v>
      </c>
      <c r="D274" s="3">
        <f t="shared" si="260"/>
        <v>3.1383864234018747E-3</v>
      </c>
      <c r="E274" s="3">
        <f t="shared" si="260"/>
        <v>3.1383864234018747E-3</v>
      </c>
      <c r="F274" s="3">
        <f t="shared" si="260"/>
        <v>3.1383864234018747E-3</v>
      </c>
      <c r="G274" s="3">
        <f t="shared" si="260"/>
        <v>3.1383864234018747E-3</v>
      </c>
      <c r="H274" s="3">
        <f t="shared" si="260"/>
        <v>3.1383864234018747E-3</v>
      </c>
      <c r="I274" s="3">
        <f t="shared" si="260"/>
        <v>3.1383864234018747E-3</v>
      </c>
      <c r="J274" s="3">
        <f t="shared" si="260"/>
        <v>3.1383864234018747E-3</v>
      </c>
      <c r="K274" s="3">
        <f t="shared" si="260"/>
        <v>3.1383864234018747E-3</v>
      </c>
      <c r="L274" s="3">
        <f t="shared" si="260"/>
        <v>3.1383864234018747E-3</v>
      </c>
      <c r="M274" s="3">
        <f t="shared" si="260"/>
        <v>3.1383864234018747E-3</v>
      </c>
      <c r="N274" s="3">
        <f t="shared" si="260"/>
        <v>3.1383864234018747E-3</v>
      </c>
      <c r="O274" s="3">
        <f t="shared" si="260"/>
        <v>3.1383864234018747E-3</v>
      </c>
      <c r="P274" s="3">
        <f t="shared" si="260"/>
        <v>3.1383864234018747E-3</v>
      </c>
      <c r="Q274" s="3">
        <f t="shared" si="260"/>
        <v>3.1383864234018747E-3</v>
      </c>
      <c r="R274" s="3">
        <f t="shared" si="260"/>
        <v>3.1383864234018747E-3</v>
      </c>
      <c r="S274" s="3">
        <f t="shared" si="260"/>
        <v>3.1383864234018747E-3</v>
      </c>
      <c r="T274" s="3">
        <f t="shared" si="260"/>
        <v>3.1383864234018747E-3</v>
      </c>
      <c r="U274" s="3">
        <f t="shared" si="260"/>
        <v>3.1383864234018747E-3</v>
      </c>
      <c r="V274" s="3">
        <f t="shared" si="260"/>
        <v>3.1383864234018743E-3</v>
      </c>
      <c r="W274" s="3">
        <f t="shared" si="260"/>
        <v>3.138386423401873E-3</v>
      </c>
      <c r="X274" s="3">
        <f t="shared" si="260"/>
        <v>3.1383864234018556E-3</v>
      </c>
      <c r="Y274" s="3">
        <f t="shared" si="260"/>
        <v>3.1383864234016839E-3</v>
      </c>
      <c r="Z274" s="3">
        <f t="shared" si="260"/>
        <v>3.1383864233999639E-3</v>
      </c>
      <c r="AA274" s="3">
        <f t="shared" si="260"/>
        <v>3.1383864233827667E-3</v>
      </c>
      <c r="AB274" s="3">
        <f t="shared" si="260"/>
        <v>3.1383864232107954E-3</v>
      </c>
      <c r="AC274" s="3">
        <f t="shared" si="260"/>
        <v>3.138386421491082E-3</v>
      </c>
      <c r="AD274" s="3">
        <f t="shared" si="260"/>
        <v>3.1383864042939485E-3</v>
      </c>
      <c r="AE274" s="3">
        <f t="shared" si="260"/>
        <v>3.1383862323226194E-3</v>
      </c>
      <c r="AF274" s="3">
        <f t="shared" si="260"/>
        <v>3.138384512609844E-3</v>
      </c>
      <c r="AG274" s="3"/>
      <c r="AH274" s="3"/>
    </row>
    <row r="275" spans="1:34" x14ac:dyDescent="0.25">
      <c r="B275" s="3">
        <f t="shared" ref="B275:AF275" si="261">$C44*EXP(-B$246/$A44/EXP(-$E$126))</f>
        <v>4.3963079363277776E-4</v>
      </c>
      <c r="C275" s="3">
        <f t="shared" si="261"/>
        <v>4.3963079363277776E-4</v>
      </c>
      <c r="D275" s="3">
        <f t="shared" si="261"/>
        <v>4.3963079363277776E-4</v>
      </c>
      <c r="E275" s="3">
        <f t="shared" si="261"/>
        <v>4.3963079363277776E-4</v>
      </c>
      <c r="F275" s="3">
        <f t="shared" si="261"/>
        <v>4.3963079363277776E-4</v>
      </c>
      <c r="G275" s="3">
        <f t="shared" si="261"/>
        <v>4.3963079363277776E-4</v>
      </c>
      <c r="H275" s="3">
        <f t="shared" si="261"/>
        <v>4.3963079363277776E-4</v>
      </c>
      <c r="I275" s="3">
        <f t="shared" si="261"/>
        <v>4.3963079363277776E-4</v>
      </c>
      <c r="J275" s="3">
        <f t="shared" si="261"/>
        <v>4.3963079363277776E-4</v>
      </c>
      <c r="K275" s="3">
        <f t="shared" si="261"/>
        <v>4.3963079363277776E-4</v>
      </c>
      <c r="L275" s="3">
        <f t="shared" si="261"/>
        <v>4.3963079363277776E-4</v>
      </c>
      <c r="M275" s="3">
        <f t="shared" si="261"/>
        <v>4.3963079363277776E-4</v>
      </c>
      <c r="N275" s="3">
        <f t="shared" si="261"/>
        <v>4.3963079363277776E-4</v>
      </c>
      <c r="O275" s="3">
        <f t="shared" si="261"/>
        <v>4.3963079363277776E-4</v>
      </c>
      <c r="P275" s="3">
        <f t="shared" si="261"/>
        <v>4.3963079363277776E-4</v>
      </c>
      <c r="Q275" s="3">
        <f t="shared" si="261"/>
        <v>4.3963079363277776E-4</v>
      </c>
      <c r="R275" s="3">
        <f t="shared" si="261"/>
        <v>4.3963079363277776E-4</v>
      </c>
      <c r="S275" s="3">
        <f t="shared" si="261"/>
        <v>4.3963079363277776E-4</v>
      </c>
      <c r="T275" s="3">
        <f t="shared" si="261"/>
        <v>4.3963079363277776E-4</v>
      </c>
      <c r="U275" s="3">
        <f t="shared" si="261"/>
        <v>4.3963079363277776E-4</v>
      </c>
      <c r="V275" s="3">
        <f t="shared" si="261"/>
        <v>4.3963079363277776E-4</v>
      </c>
      <c r="W275" s="3">
        <f t="shared" si="261"/>
        <v>4.396307936327777E-4</v>
      </c>
      <c r="X275" s="3">
        <f t="shared" si="261"/>
        <v>4.3963079363277749E-4</v>
      </c>
      <c r="Y275" s="3">
        <f t="shared" si="261"/>
        <v>4.3963079363277505E-4</v>
      </c>
      <c r="Z275" s="3">
        <f t="shared" si="261"/>
        <v>4.3963079363275103E-4</v>
      </c>
      <c r="AA275" s="3">
        <f t="shared" si="261"/>
        <v>4.3963079363251007E-4</v>
      </c>
      <c r="AB275" s="3">
        <f t="shared" si="261"/>
        <v>4.3963079363010108E-4</v>
      </c>
      <c r="AC275" s="3">
        <f t="shared" si="261"/>
        <v>4.3963079360601103E-4</v>
      </c>
      <c r="AD275" s="3">
        <f t="shared" si="261"/>
        <v>4.3963079336511052E-4</v>
      </c>
      <c r="AE275" s="3">
        <f t="shared" si="261"/>
        <v>4.3963079095610524E-4</v>
      </c>
      <c r="AF275" s="3">
        <f t="shared" si="261"/>
        <v>4.3963076686605329E-4</v>
      </c>
      <c r="AG275" s="3"/>
      <c r="AH275" s="3"/>
    </row>
    <row r="276" spans="1:34" x14ac:dyDescent="0.25">
      <c r="B276" s="3">
        <f t="shared" ref="B276:AF276" si="262">$C45*EXP(-B$246/$A45/EXP(-$E$126))</f>
        <v>3.9367491924485783E-5</v>
      </c>
      <c r="C276" s="3">
        <f t="shared" si="262"/>
        <v>3.9367491924485783E-5</v>
      </c>
      <c r="D276" s="3">
        <f t="shared" si="262"/>
        <v>3.9367491924485783E-5</v>
      </c>
      <c r="E276" s="3">
        <f t="shared" si="262"/>
        <v>3.9367491924485783E-5</v>
      </c>
      <c r="F276" s="3">
        <f t="shared" si="262"/>
        <v>3.9367491924485783E-5</v>
      </c>
      <c r="G276" s="3">
        <f t="shared" si="262"/>
        <v>3.9367491924485783E-5</v>
      </c>
      <c r="H276" s="3">
        <f t="shared" si="262"/>
        <v>3.9367491924485783E-5</v>
      </c>
      <c r="I276" s="3">
        <f t="shared" si="262"/>
        <v>3.9367491924485783E-5</v>
      </c>
      <c r="J276" s="3">
        <f t="shared" si="262"/>
        <v>3.9367491924485783E-5</v>
      </c>
      <c r="K276" s="3">
        <f t="shared" si="262"/>
        <v>3.9367491924485783E-5</v>
      </c>
      <c r="L276" s="3">
        <f t="shared" si="262"/>
        <v>3.9367491924485783E-5</v>
      </c>
      <c r="M276" s="3">
        <f t="shared" si="262"/>
        <v>3.9367491924485783E-5</v>
      </c>
      <c r="N276" s="3">
        <f t="shared" si="262"/>
        <v>3.9367491924485783E-5</v>
      </c>
      <c r="O276" s="3">
        <f t="shared" si="262"/>
        <v>3.9367491924485783E-5</v>
      </c>
      <c r="P276" s="3">
        <f t="shared" si="262"/>
        <v>3.9367491924485783E-5</v>
      </c>
      <c r="Q276" s="3">
        <f t="shared" si="262"/>
        <v>3.9367491924485783E-5</v>
      </c>
      <c r="R276" s="3">
        <f t="shared" si="262"/>
        <v>3.9367491924485783E-5</v>
      </c>
      <c r="S276" s="3">
        <f t="shared" si="262"/>
        <v>3.9367491924485783E-5</v>
      </c>
      <c r="T276" s="3">
        <f t="shared" si="262"/>
        <v>3.9367491924485783E-5</v>
      </c>
      <c r="U276" s="3">
        <f t="shared" si="262"/>
        <v>3.9367491924485783E-5</v>
      </c>
      <c r="V276" s="3">
        <f t="shared" si="262"/>
        <v>3.9367491924485783E-5</v>
      </c>
      <c r="W276" s="3">
        <f t="shared" si="262"/>
        <v>3.9367491924485783E-5</v>
      </c>
      <c r="X276" s="3">
        <f t="shared" si="262"/>
        <v>3.9367491924485776E-5</v>
      </c>
      <c r="Y276" s="3">
        <f t="shared" si="262"/>
        <v>3.9367491924485763E-5</v>
      </c>
      <c r="Z276" s="3">
        <f t="shared" si="262"/>
        <v>3.9367491924485546E-5</v>
      </c>
      <c r="AA276" s="3">
        <f t="shared" si="262"/>
        <v>3.9367491924483391E-5</v>
      </c>
      <c r="AB276" s="3">
        <f t="shared" si="262"/>
        <v>3.9367491924461815E-5</v>
      </c>
      <c r="AC276" s="3">
        <f t="shared" si="262"/>
        <v>3.9367491924246093E-5</v>
      </c>
      <c r="AD276" s="3">
        <f t="shared" si="262"/>
        <v>3.936749192208891E-5</v>
      </c>
      <c r="AE276" s="3">
        <f t="shared" si="262"/>
        <v>3.9367491900517061E-5</v>
      </c>
      <c r="AF276" s="3">
        <f t="shared" si="262"/>
        <v>3.9367491684798559E-5</v>
      </c>
      <c r="AG276" s="3"/>
      <c r="AH276" s="3"/>
    </row>
    <row r="277" spans="1:34" x14ac:dyDescent="0.25">
      <c r="B277" s="3">
        <f t="shared" ref="B277:AF277" si="263">$C46*EXP(-B$246/$A46/EXP(-$E$126))</f>
        <v>2.469113716916911E-6</v>
      </c>
      <c r="C277" s="3">
        <f t="shared" si="263"/>
        <v>2.469113716916911E-6</v>
      </c>
      <c r="D277" s="3">
        <f t="shared" si="263"/>
        <v>2.469113716916911E-6</v>
      </c>
      <c r="E277" s="3">
        <f t="shared" si="263"/>
        <v>2.469113716916911E-6</v>
      </c>
      <c r="F277" s="3">
        <f t="shared" si="263"/>
        <v>2.469113716916911E-6</v>
      </c>
      <c r="G277" s="3">
        <f t="shared" si="263"/>
        <v>2.469113716916911E-6</v>
      </c>
      <c r="H277" s="3">
        <f t="shared" si="263"/>
        <v>2.469113716916911E-6</v>
      </c>
      <c r="I277" s="3">
        <f t="shared" si="263"/>
        <v>2.469113716916911E-6</v>
      </c>
      <c r="J277" s="3">
        <f t="shared" si="263"/>
        <v>2.469113716916911E-6</v>
      </c>
      <c r="K277" s="3">
        <f t="shared" si="263"/>
        <v>2.469113716916911E-6</v>
      </c>
      <c r="L277" s="3">
        <f t="shared" si="263"/>
        <v>2.469113716916911E-6</v>
      </c>
      <c r="M277" s="3">
        <f t="shared" si="263"/>
        <v>2.469113716916911E-6</v>
      </c>
      <c r="N277" s="3">
        <f t="shared" si="263"/>
        <v>2.469113716916911E-6</v>
      </c>
      <c r="O277" s="3">
        <f t="shared" si="263"/>
        <v>2.469113716916911E-6</v>
      </c>
      <c r="P277" s="3">
        <f t="shared" si="263"/>
        <v>2.469113716916911E-6</v>
      </c>
      <c r="Q277" s="3">
        <f t="shared" si="263"/>
        <v>2.469113716916911E-6</v>
      </c>
      <c r="R277" s="3">
        <f t="shared" si="263"/>
        <v>2.469113716916911E-6</v>
      </c>
      <c r="S277" s="3">
        <f t="shared" si="263"/>
        <v>2.469113716916911E-6</v>
      </c>
      <c r="T277" s="3">
        <f t="shared" si="263"/>
        <v>2.469113716916911E-6</v>
      </c>
      <c r="U277" s="3">
        <f t="shared" si="263"/>
        <v>2.469113716916911E-6</v>
      </c>
      <c r="V277" s="3">
        <f t="shared" si="263"/>
        <v>2.469113716916911E-6</v>
      </c>
      <c r="W277" s="3">
        <f t="shared" si="263"/>
        <v>2.469113716916911E-6</v>
      </c>
      <c r="X277" s="3">
        <f t="shared" si="263"/>
        <v>2.469113716916911E-6</v>
      </c>
      <c r="Y277" s="3">
        <f t="shared" si="263"/>
        <v>2.4691137169169106E-6</v>
      </c>
      <c r="Z277" s="3">
        <f t="shared" si="263"/>
        <v>2.4691137169169098E-6</v>
      </c>
      <c r="AA277" s="3">
        <f t="shared" si="263"/>
        <v>2.4691137169168958E-6</v>
      </c>
      <c r="AB277" s="3">
        <f t="shared" si="263"/>
        <v>2.4691137169167607E-6</v>
      </c>
      <c r="AC277" s="3">
        <f t="shared" si="263"/>
        <v>2.4691137169154076E-6</v>
      </c>
      <c r="AD277" s="3">
        <f t="shared" si="263"/>
        <v>2.4691137169018779E-6</v>
      </c>
      <c r="AE277" s="3">
        <f t="shared" si="263"/>
        <v>2.4691137167665801E-6</v>
      </c>
      <c r="AF277" s="3">
        <f t="shared" si="263"/>
        <v>2.469113715413602E-6</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80">
        <f>AVERAGE(B280:AF280)</f>
        <v>2.4004630318612021E-2</v>
      </c>
      <c r="B280" s="81">
        <f>IF($D$61&lt;=B246,IF($E$61&gt;=B246,ABS((B248-B247)/B247),0),0)</f>
        <v>9.974901271949917E-4</v>
      </c>
      <c r="C280" s="81">
        <f t="shared" ref="C280:AF280" si="266">IF($D$61&lt;=C246,IF($E$61&gt;=C246,ABS((C248-C247)/C247),0),0)</f>
        <v>1.1655945383719931E-3</v>
      </c>
      <c r="D280" s="81">
        <f t="shared" si="266"/>
        <v>2.845562327950604E-3</v>
      </c>
      <c r="E280" s="81">
        <f t="shared" si="266"/>
        <v>1.6611884528304966E-2</v>
      </c>
      <c r="F280" s="81">
        <f t="shared" si="266"/>
        <v>3.6411527463943619E-2</v>
      </c>
      <c r="G280" s="81">
        <f t="shared" si="266"/>
        <v>2.4578913340392767E-2</v>
      </c>
      <c r="H280" s="81">
        <f t="shared" si="266"/>
        <v>0.11951683264890066</v>
      </c>
      <c r="I280" s="81">
        <f t="shared" si="266"/>
        <v>9.8609074088554294E-2</v>
      </c>
      <c r="J280" s="81">
        <f t="shared" si="266"/>
        <v>7.4775953391539113E-2</v>
      </c>
      <c r="K280" s="81">
        <f t="shared" si="266"/>
        <v>4.6549409130274194E-2</v>
      </c>
      <c r="L280" s="81">
        <f t="shared" si="266"/>
        <v>1.5101225105133053E-2</v>
      </c>
      <c r="M280" s="81">
        <f t="shared" si="266"/>
        <v>1.0542283196702197E-2</v>
      </c>
      <c r="N280" s="81">
        <f t="shared" si="266"/>
        <v>5.7357376766423223E-3</v>
      </c>
      <c r="O280" s="81">
        <f t="shared" si="266"/>
        <v>7.4514684811645311E-3</v>
      </c>
      <c r="P280" s="81">
        <f t="shared" si="266"/>
        <v>6.4659394674724622E-3</v>
      </c>
      <c r="Q280" s="81">
        <f t="shared" si="266"/>
        <v>5.7200446467015418E-3</v>
      </c>
      <c r="R280" s="81">
        <f t="shared" si="266"/>
        <v>2.5518872953421545E-3</v>
      </c>
      <c r="S280" s="81">
        <f t="shared" si="266"/>
        <v>4.5005046100226485E-3</v>
      </c>
      <c r="T280" s="81">
        <f t="shared" si="266"/>
        <v>1.9260870941372882E-2</v>
      </c>
      <c r="U280" s="81">
        <f t="shared" si="266"/>
        <v>3.3001308132202027E-2</v>
      </c>
      <c r="V280" s="81">
        <f t="shared" si="266"/>
        <v>4.4771254627452024E-2</v>
      </c>
      <c r="W280" s="81">
        <f t="shared" si="266"/>
        <v>5.192582494994049E-2</v>
      </c>
      <c r="X280" s="81">
        <f t="shared" si="266"/>
        <v>5.7008780178483147E-2</v>
      </c>
      <c r="Y280" s="81">
        <f t="shared" si="266"/>
        <v>5.8044168982914125E-2</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31.29823746622354</v>
      </c>
      <c r="C281" s="21">
        <f t="shared" ref="C281:AF281" si="267">(C248-C247)^2</f>
        <v>42.721109752518849</v>
      </c>
      <c r="D281" s="21">
        <f t="shared" si="267"/>
        <v>253.70820310823146</v>
      </c>
      <c r="E281" s="21">
        <f t="shared" si="267"/>
        <v>8395.8908412379296</v>
      </c>
      <c r="F281" s="21">
        <f t="shared" si="267"/>
        <v>38010.558010377594</v>
      </c>
      <c r="G281" s="21">
        <f t="shared" si="267"/>
        <v>16606.779974737365</v>
      </c>
      <c r="H281" s="21">
        <f t="shared" si="267"/>
        <v>376462.83542191004</v>
      </c>
      <c r="I281" s="21">
        <f t="shared" si="267"/>
        <v>244249.89126466666</v>
      </c>
      <c r="J281" s="21">
        <f t="shared" si="267"/>
        <v>133305.50923512658</v>
      </c>
      <c r="K281" s="21">
        <f t="shared" si="267"/>
        <v>48636.26901346352</v>
      </c>
      <c r="L281" s="21">
        <f t="shared" si="267"/>
        <v>4787.1658257094177</v>
      </c>
      <c r="M281" s="21">
        <f t="shared" si="267"/>
        <v>2174.0772501701813</v>
      </c>
      <c r="N281" s="21">
        <f t="shared" si="267"/>
        <v>599.95977373927178</v>
      </c>
      <c r="O281" s="21">
        <f t="shared" si="267"/>
        <v>935.60675994123073</v>
      </c>
      <c r="P281" s="21">
        <f t="shared" si="267"/>
        <v>637.27151030578921</v>
      </c>
      <c r="Q281" s="21">
        <f t="shared" si="267"/>
        <v>445.3453471926374</v>
      </c>
      <c r="R281" s="21">
        <f t="shared" si="267"/>
        <v>79.585021261169999</v>
      </c>
      <c r="S281" s="21">
        <f t="shared" si="267"/>
        <v>221.62853209453067</v>
      </c>
      <c r="T281" s="21">
        <f t="shared" si="267"/>
        <v>3573.8516836575527</v>
      </c>
      <c r="U281" s="21">
        <f t="shared" si="267"/>
        <v>9232.7094848765992</v>
      </c>
      <c r="V281" s="21">
        <f t="shared" si="267"/>
        <v>14930.539105408769</v>
      </c>
      <c r="W281" s="21">
        <f t="shared" si="267"/>
        <v>17542.621884815948</v>
      </c>
      <c r="X281" s="21">
        <f t="shared" si="267"/>
        <v>18072.742816399812</v>
      </c>
      <c r="Y281" s="21">
        <f t="shared" si="267"/>
        <v>15693.378522614626</v>
      </c>
      <c r="Z281" s="21">
        <f t="shared" si="267"/>
        <v>11464.574636823789</v>
      </c>
      <c r="AA281" s="21">
        <f t="shared" si="267"/>
        <v>5196.7433138896395</v>
      </c>
      <c r="AB281" s="21">
        <f t="shared" si="267"/>
        <v>945.62481508809856</v>
      </c>
      <c r="AC281" s="21">
        <f t="shared" si="267"/>
        <v>0.55795439630551058</v>
      </c>
      <c r="AD281" s="21">
        <f t="shared" si="267"/>
        <v>164.25404176377293</v>
      </c>
      <c r="AE281" s="21">
        <f t="shared" si="267"/>
        <v>154.8362944151599</v>
      </c>
      <c r="AF281" s="21">
        <f t="shared" si="267"/>
        <v>28.224328323857069</v>
      </c>
      <c r="AG281" s="3"/>
      <c r="AH281" s="3"/>
    </row>
    <row r="282" spans="1:34" s="3" customFormat="1" x14ac:dyDescent="0.25">
      <c r="A282" s="72">
        <f>SUM(B282:AF282)</f>
        <v>954921.94483003404</v>
      </c>
      <c r="B282" s="21">
        <f>IF($D$61&lt;=B246,IF($E$61&gt;=B246,ABS(B281),0),0)</f>
        <v>31.29823746622354</v>
      </c>
      <c r="C282" s="21">
        <f t="shared" ref="C282:AF282" si="268">IF($D$61&lt;=C246,IF($E$61&gt;=C246,ABS(C281),0),0)</f>
        <v>42.721109752518849</v>
      </c>
      <c r="D282" s="21">
        <f t="shared" si="268"/>
        <v>253.70820310823146</v>
      </c>
      <c r="E282" s="21">
        <f t="shared" si="268"/>
        <v>8395.8908412379296</v>
      </c>
      <c r="F282" s="21">
        <f t="shared" si="268"/>
        <v>38010.558010377594</v>
      </c>
      <c r="G282" s="21">
        <f t="shared" si="268"/>
        <v>16606.779974737365</v>
      </c>
      <c r="H282" s="21">
        <f t="shared" si="268"/>
        <v>376462.83542191004</v>
      </c>
      <c r="I282" s="21">
        <f t="shared" si="268"/>
        <v>244249.89126466666</v>
      </c>
      <c r="J282" s="21">
        <f t="shared" si="268"/>
        <v>133305.50923512658</v>
      </c>
      <c r="K282" s="21">
        <f t="shared" si="268"/>
        <v>48636.26901346352</v>
      </c>
      <c r="L282" s="21">
        <f t="shared" si="268"/>
        <v>4787.1658257094177</v>
      </c>
      <c r="M282" s="21">
        <f t="shared" si="268"/>
        <v>2174.0772501701813</v>
      </c>
      <c r="N282" s="21">
        <f t="shared" si="268"/>
        <v>599.95977373927178</v>
      </c>
      <c r="O282" s="21">
        <f t="shared" si="268"/>
        <v>935.60675994123073</v>
      </c>
      <c r="P282" s="21">
        <f t="shared" si="268"/>
        <v>637.27151030578921</v>
      </c>
      <c r="Q282" s="21">
        <f t="shared" si="268"/>
        <v>445.3453471926374</v>
      </c>
      <c r="R282" s="21">
        <f t="shared" si="268"/>
        <v>79.585021261169999</v>
      </c>
      <c r="S282" s="21">
        <f t="shared" si="268"/>
        <v>221.62853209453067</v>
      </c>
      <c r="T282" s="21">
        <f t="shared" si="268"/>
        <v>3573.8516836575527</v>
      </c>
      <c r="U282" s="21">
        <f t="shared" si="268"/>
        <v>9232.7094848765992</v>
      </c>
      <c r="V282" s="21">
        <f t="shared" si="268"/>
        <v>14930.539105408769</v>
      </c>
      <c r="W282" s="21">
        <f t="shared" si="268"/>
        <v>17542.621884815948</v>
      </c>
      <c r="X282" s="21">
        <f t="shared" si="268"/>
        <v>18072.742816399812</v>
      </c>
      <c r="Y282" s="21">
        <f t="shared" si="268"/>
        <v>15693.378522614626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1" t="s">
        <v>22</v>
      </c>
      <c r="B287" s="27">
        <f>($C$17+SUM(B288:B318))*$B$51</f>
        <v>5604.487469067456</v>
      </c>
      <c r="C287" s="27">
        <f t="shared" ref="C287:AF287" si="269">($C$17+SUM(C288:C318))*$B$51</f>
        <v>5521.179583013115</v>
      </c>
      <c r="D287" s="27">
        <f t="shared" si="269"/>
        <v>4969.7024058093202</v>
      </c>
      <c r="E287" s="27">
        <f t="shared" si="269"/>
        <v>4517.8193727677581</v>
      </c>
      <c r="F287" s="27">
        <f t="shared" si="269"/>
        <v>4517.657093219188</v>
      </c>
      <c r="G287" s="27">
        <f t="shared" si="269"/>
        <v>4517.5891397625173</v>
      </c>
      <c r="H287" s="27">
        <f t="shared" si="269"/>
        <v>4516.9103402010287</v>
      </c>
      <c r="I287" s="27">
        <f t="shared" si="269"/>
        <v>4510.1952941781901</v>
      </c>
      <c r="J287" s="27">
        <f t="shared" si="269"/>
        <v>4449.8187840449846</v>
      </c>
      <c r="K287" s="27">
        <f t="shared" si="269"/>
        <v>4203.6825640281959</v>
      </c>
      <c r="L287" s="27">
        <f t="shared" si="269"/>
        <v>4047.1357147607096</v>
      </c>
      <c r="M287" s="27">
        <f t="shared" si="269"/>
        <v>3838.7866083917143</v>
      </c>
      <c r="N287" s="27">
        <f t="shared" si="269"/>
        <v>3631.5145133843562</v>
      </c>
      <c r="O287" s="27">
        <f t="shared" si="269"/>
        <v>3456.3437905283186</v>
      </c>
      <c r="P287" s="27">
        <f t="shared" si="269"/>
        <v>3293.1519747135499</v>
      </c>
      <c r="Q287" s="27">
        <f t="shared" si="269"/>
        <v>3135.4073533001388</v>
      </c>
      <c r="R287" s="27">
        <f t="shared" si="269"/>
        <v>2980.2461521559567</v>
      </c>
      <c r="S287" s="27">
        <f t="shared" si="269"/>
        <v>2824.1477080157874</v>
      </c>
      <c r="T287" s="27">
        <f t="shared" si="269"/>
        <v>2652.3857181077342</v>
      </c>
      <c r="U287" s="27">
        <f t="shared" si="269"/>
        <v>2460.2202640961027</v>
      </c>
      <c r="V287" s="27">
        <f t="shared" si="269"/>
        <v>2248.4744544128375</v>
      </c>
      <c r="W287" s="27">
        <f t="shared" si="269"/>
        <v>2007.007774669896</v>
      </c>
      <c r="X287" s="27">
        <f t="shared" si="269"/>
        <v>1724.0016209368912</v>
      </c>
      <c r="Y287" s="27">
        <f t="shared" si="269"/>
        <v>1399.5786478106672</v>
      </c>
      <c r="Z287" s="27">
        <f t="shared" si="269"/>
        <v>1060.8414462234841</v>
      </c>
      <c r="AA287" s="27">
        <f t="shared" si="269"/>
        <v>755.28709493663359</v>
      </c>
      <c r="AB287" s="27">
        <f t="shared" si="269"/>
        <v>527.10392099885348</v>
      </c>
      <c r="AC287" s="27">
        <f t="shared" si="269"/>
        <v>387.71212732171313</v>
      </c>
      <c r="AD287" s="27">
        <f t="shared" si="269"/>
        <v>316.21947530380453</v>
      </c>
      <c r="AE287" s="27">
        <f t="shared" si="269"/>
        <v>281.90368532204286</v>
      </c>
      <c r="AF287" s="27">
        <f t="shared" si="269"/>
        <v>263.40671028211301</v>
      </c>
      <c r="AG287" s="27"/>
      <c r="AH287" s="27"/>
    </row>
    <row r="288" spans="1:34" x14ac:dyDescent="0.25">
      <c r="B288" s="3">
        <f t="shared" ref="B288:AF288" si="270">$C18*EXP(-B$285/$A18/EXP(-$F$126))</f>
        <v>0.19358598434736252</v>
      </c>
      <c r="C288" s="3">
        <f t="shared" si="270"/>
        <v>0.1787471003698915</v>
      </c>
      <c r="D288" s="3">
        <f t="shared" si="270"/>
        <v>8.0517438144124986E-2</v>
      </c>
      <c r="E288" s="3">
        <f t="shared" si="270"/>
        <v>2.7694872956393562E-5</v>
      </c>
      <c r="F288" s="3">
        <f t="shared" si="270"/>
        <v>6.4193886019311729E-40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5.6906652320691274E-2</v>
      </c>
      <c r="C289" s="3">
        <f t="shared" si="271"/>
        <v>5.6906651158186779E-2</v>
      </c>
      <c r="D289" s="3">
        <f t="shared" si="271"/>
        <v>5.6906639533143094E-2</v>
      </c>
      <c r="E289" s="3">
        <f t="shared" si="271"/>
        <v>5.6906523282836845E-2</v>
      </c>
      <c r="F289" s="3">
        <f t="shared" si="271"/>
        <v>5.6905360792835695E-2</v>
      </c>
      <c r="G289" s="3">
        <f t="shared" si="271"/>
        <v>5.6893737198852067E-2</v>
      </c>
      <c r="H289" s="3">
        <f t="shared" si="271"/>
        <v>5.677763176314983E-2</v>
      </c>
      <c r="I289" s="3">
        <f t="shared" si="271"/>
        <v>5.5629529715182702E-2</v>
      </c>
      <c r="J289" s="3">
        <f t="shared" si="271"/>
        <v>4.5350965259647068E-2</v>
      </c>
      <c r="K289" s="3">
        <f t="shared" si="271"/>
        <v>5.8802799333454005E-3</v>
      </c>
      <c r="L289" s="3">
        <f t="shared" si="271"/>
        <v>7.8979187888088284E-12</v>
      </c>
      <c r="M289" s="3">
        <f t="shared" si="271"/>
        <v>1.508895932014205E-100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2.1914760338127642E-2</v>
      </c>
      <c r="C290" s="3">
        <f t="shared" si="272"/>
        <v>2.191476029774312E-2</v>
      </c>
      <c r="D290" s="3">
        <f t="shared" si="272"/>
        <v>2.1914759893897927E-2</v>
      </c>
      <c r="E290" s="3">
        <f t="shared" si="272"/>
        <v>2.1914755855446378E-2</v>
      </c>
      <c r="F290" s="3">
        <f t="shared" si="272"/>
        <v>2.1914715470971843E-2</v>
      </c>
      <c r="G290" s="3">
        <f t="shared" si="272"/>
        <v>2.1914311630319587E-2</v>
      </c>
      <c r="H290" s="3">
        <f t="shared" si="272"/>
        <v>2.1910273633079271E-2</v>
      </c>
      <c r="I290" s="3">
        <f t="shared" si="272"/>
        <v>2.1869934561008806E-2</v>
      </c>
      <c r="J290" s="3">
        <f t="shared" si="272"/>
        <v>2.1470606123186454E-2</v>
      </c>
      <c r="K290" s="3">
        <f t="shared" si="272"/>
        <v>1.7857165285455601E-2</v>
      </c>
      <c r="L290" s="3">
        <f t="shared" si="272"/>
        <v>2.828099298219409E-3</v>
      </c>
      <c r="M290" s="3">
        <f t="shared" si="272"/>
        <v>2.8074757246957702E-11</v>
      </c>
      <c r="N290" s="3">
        <f t="shared" si="272"/>
        <v>2.6093333613386664E-91</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4.2179983982179065E-2</v>
      </c>
      <c r="C291" s="3">
        <f t="shared" si="273"/>
        <v>4.2179983975167236E-2</v>
      </c>
      <c r="D291" s="3">
        <f t="shared" si="273"/>
        <v>4.2179983905048971E-2</v>
      </c>
      <c r="E291" s="3">
        <f t="shared" si="273"/>
        <v>4.2179983203866254E-2</v>
      </c>
      <c r="F291" s="3">
        <f t="shared" si="273"/>
        <v>4.2179976192039829E-2</v>
      </c>
      <c r="G291" s="3">
        <f t="shared" si="273"/>
        <v>4.2179906073839618E-2</v>
      </c>
      <c r="H291" s="3">
        <f t="shared" si="273"/>
        <v>4.2179204898248404E-2</v>
      </c>
      <c r="I291" s="3">
        <f t="shared" si="273"/>
        <v>4.2172193783381912E-2</v>
      </c>
      <c r="J291" s="3">
        <f t="shared" si="273"/>
        <v>4.2102146699877087E-2</v>
      </c>
      <c r="K291" s="3">
        <f t="shared" si="273"/>
        <v>4.1408043150704101E-2</v>
      </c>
      <c r="L291" s="3">
        <f t="shared" si="273"/>
        <v>3.5066254289531092E-2</v>
      </c>
      <c r="M291" s="3">
        <f t="shared" si="273"/>
        <v>6.6517525396387455E-3</v>
      </c>
      <c r="N291" s="3">
        <f t="shared" si="273"/>
        <v>4.0123900672283365E-10</v>
      </c>
      <c r="O291" s="3">
        <f t="shared" si="273"/>
        <v>2.559020541030739E-82</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3.9494315481230183E-2</v>
      </c>
      <c r="C292" s="3">
        <f t="shared" si="274"/>
        <v>3.9494315480637934E-2</v>
      </c>
      <c r="D292" s="3">
        <f t="shared" si="274"/>
        <v>3.9494315474715422E-2</v>
      </c>
      <c r="E292" s="3">
        <f t="shared" si="274"/>
        <v>3.9494315415490297E-2</v>
      </c>
      <c r="F292" s="3">
        <f t="shared" si="274"/>
        <v>3.949431482323907E-2</v>
      </c>
      <c r="G292" s="3">
        <f t="shared" si="274"/>
        <v>3.9494308900727297E-2</v>
      </c>
      <c r="H292" s="3">
        <f t="shared" si="274"/>
        <v>3.9494249675658379E-2</v>
      </c>
      <c r="I292" s="3">
        <f t="shared" si="274"/>
        <v>3.9493657429853932E-2</v>
      </c>
      <c r="J292" s="3">
        <f t="shared" si="274"/>
        <v>3.9487735460251736E-2</v>
      </c>
      <c r="K292" s="3">
        <f t="shared" si="274"/>
        <v>3.9428564581369889E-2</v>
      </c>
      <c r="L292" s="3">
        <f t="shared" si="274"/>
        <v>3.8841710528830876E-2</v>
      </c>
      <c r="M292" s="3">
        <f t="shared" si="274"/>
        <v>3.3432754105576612E-2</v>
      </c>
      <c r="N292" s="3">
        <f t="shared" si="274"/>
        <v>7.4629446814854462E-3</v>
      </c>
      <c r="O292" s="3">
        <f t="shared" si="274"/>
        <v>2.2924026697917835E-9</v>
      </c>
      <c r="P292" s="3">
        <f t="shared" si="274"/>
        <v>1.7143430722617265E-74</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3.1232286968775575E-2</v>
      </c>
      <c r="C293" s="3">
        <f t="shared" si="275"/>
        <v>3.1232286968733328E-2</v>
      </c>
      <c r="D293" s="3">
        <f t="shared" si="275"/>
        <v>3.1232286968310832E-2</v>
      </c>
      <c r="E293" s="3">
        <f t="shared" si="275"/>
        <v>3.1232286964085879E-2</v>
      </c>
      <c r="F293" s="3">
        <f t="shared" si="275"/>
        <v>3.1232286921836362E-2</v>
      </c>
      <c r="G293" s="3">
        <f t="shared" si="275"/>
        <v>3.1232286499341184E-2</v>
      </c>
      <c r="H293" s="3">
        <f t="shared" si="275"/>
        <v>3.123228227438973E-2</v>
      </c>
      <c r="I293" s="3">
        <f t="shared" si="275"/>
        <v>3.123224002490662E-2</v>
      </c>
      <c r="J293" s="3">
        <f t="shared" si="275"/>
        <v>3.1231817533218947E-2</v>
      </c>
      <c r="K293" s="3">
        <f t="shared" si="275"/>
        <v>3.122759293066675E-2</v>
      </c>
      <c r="L293" s="3">
        <f t="shared" si="275"/>
        <v>3.1185378321870495E-2</v>
      </c>
      <c r="M293" s="3">
        <f t="shared" si="275"/>
        <v>3.0766358238584736E-2</v>
      </c>
      <c r="N293" s="3">
        <f t="shared" si="275"/>
        <v>2.6873661863613296E-2</v>
      </c>
      <c r="O293" s="3">
        <f t="shared" si="275"/>
        <v>6.9475935966337582E-3</v>
      </c>
      <c r="P293" s="3">
        <f t="shared" si="275"/>
        <v>9.2663774113690313E-9</v>
      </c>
      <c r="Q293" s="3">
        <f t="shared" si="275"/>
        <v>1.6506909454006603E-67</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3.0546949875679782E-2</v>
      </c>
      <c r="C294" s="3">
        <f t="shared" si="276"/>
        <v>3.0546949875676053E-2</v>
      </c>
      <c r="D294" s="3">
        <f t="shared" si="276"/>
        <v>3.0546949875638777E-2</v>
      </c>
      <c r="E294" s="3">
        <f t="shared" si="276"/>
        <v>3.0546949875266016E-2</v>
      </c>
      <c r="F294" s="3">
        <f t="shared" si="276"/>
        <v>3.054694987153839E-2</v>
      </c>
      <c r="G294" s="3">
        <f t="shared" si="276"/>
        <v>3.0546949834262122E-2</v>
      </c>
      <c r="H294" s="3">
        <f t="shared" si="276"/>
        <v>3.0546949461499454E-2</v>
      </c>
      <c r="I294" s="3">
        <f t="shared" si="276"/>
        <v>3.0546945733873013E-2</v>
      </c>
      <c r="J294" s="3">
        <f t="shared" si="276"/>
        <v>3.0546908457633633E-2</v>
      </c>
      <c r="K294" s="3">
        <f t="shared" si="276"/>
        <v>3.0546535697741677E-2</v>
      </c>
      <c r="L294" s="3">
        <f t="shared" si="276"/>
        <v>3.0542808348993623E-2</v>
      </c>
      <c r="M294" s="3">
        <f t="shared" si="276"/>
        <v>3.0505559867374174E-2</v>
      </c>
      <c r="N294" s="3">
        <f t="shared" si="276"/>
        <v>3.0135564383675401E-2</v>
      </c>
      <c r="O294" s="3">
        <f t="shared" si="276"/>
        <v>2.6673660773837454E-2</v>
      </c>
      <c r="P294" s="3">
        <f t="shared" si="276"/>
        <v>7.8725525120556701E-3</v>
      </c>
      <c r="Q294" s="3">
        <f t="shared" si="276"/>
        <v>3.9486168212759173E-8</v>
      </c>
      <c r="R294" s="3">
        <f t="shared" si="276"/>
        <v>3.9786821225683835E-61</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2.9181012135706175E-2</v>
      </c>
      <c r="C295" s="3">
        <f t="shared" si="277"/>
        <v>2.9181012135705852E-2</v>
      </c>
      <c r="D295" s="3">
        <f t="shared" si="277"/>
        <v>2.9181012135702639E-2</v>
      </c>
      <c r="E295" s="3">
        <f t="shared" si="277"/>
        <v>2.9181012135670516E-2</v>
      </c>
      <c r="F295" s="3">
        <f t="shared" si="277"/>
        <v>2.918101213534929E-2</v>
      </c>
      <c r="G295" s="3">
        <f t="shared" si="277"/>
        <v>2.9181012132137026E-2</v>
      </c>
      <c r="H295" s="3">
        <f t="shared" si="277"/>
        <v>2.9181012100014364E-2</v>
      </c>
      <c r="I295" s="3">
        <f t="shared" si="277"/>
        <v>2.9181011778787763E-2</v>
      </c>
      <c r="J295" s="3">
        <f t="shared" si="277"/>
        <v>2.9181008566521945E-2</v>
      </c>
      <c r="K295" s="3">
        <f t="shared" si="277"/>
        <v>2.9180976443883202E-2</v>
      </c>
      <c r="L295" s="3">
        <f t="shared" si="277"/>
        <v>2.9180655219440618E-2</v>
      </c>
      <c r="M295" s="3">
        <f t="shared" si="277"/>
        <v>2.9177443169490638E-2</v>
      </c>
      <c r="N295" s="3">
        <f t="shared" si="277"/>
        <v>2.9145342109657957E-2</v>
      </c>
      <c r="O295" s="3">
        <f t="shared" si="277"/>
        <v>2.8826267583556688E-2</v>
      </c>
      <c r="P295" s="3">
        <f t="shared" si="277"/>
        <v>2.582147080134627E-2</v>
      </c>
      <c r="Q295" s="3">
        <f t="shared" si="277"/>
        <v>8.5882880336099754E-3</v>
      </c>
      <c r="R295" s="3">
        <f t="shared" si="277"/>
        <v>1.4228622350938028E-7</v>
      </c>
      <c r="S295" s="3">
        <f t="shared" si="277"/>
        <v>2.2167941468375268E-55</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2.8956161504827879E-2</v>
      </c>
      <c r="C296" s="3">
        <f t="shared" si="278"/>
        <v>2.8956161504827851E-2</v>
      </c>
      <c r="D296" s="3">
        <f t="shared" si="278"/>
        <v>2.8956161504827563E-2</v>
      </c>
      <c r="E296" s="3">
        <f t="shared" si="278"/>
        <v>2.8956161504824687E-2</v>
      </c>
      <c r="F296" s="3">
        <f t="shared" si="278"/>
        <v>2.8956161504795932E-2</v>
      </c>
      <c r="G296" s="3">
        <f t="shared" si="278"/>
        <v>2.8956161504508394E-2</v>
      </c>
      <c r="H296" s="3">
        <f t="shared" si="278"/>
        <v>2.895616150163299E-2</v>
      </c>
      <c r="I296" s="3">
        <f t="shared" si="278"/>
        <v>2.8956161472878956E-2</v>
      </c>
      <c r="J296" s="3">
        <f t="shared" si="278"/>
        <v>2.8956161185338648E-2</v>
      </c>
      <c r="K296" s="3">
        <f t="shared" si="278"/>
        <v>2.8956158309935729E-2</v>
      </c>
      <c r="L296" s="3">
        <f t="shared" si="278"/>
        <v>2.8956129555922243E-2</v>
      </c>
      <c r="M296" s="3">
        <f t="shared" si="278"/>
        <v>2.8955842017357757E-2</v>
      </c>
      <c r="N296" s="3">
        <f t="shared" si="278"/>
        <v>2.8952966788749729E-2</v>
      </c>
      <c r="O296" s="3">
        <f t="shared" si="278"/>
        <v>2.8924230200581307E-2</v>
      </c>
      <c r="P296" s="3">
        <f t="shared" si="278"/>
        <v>2.8638428357691099E-2</v>
      </c>
      <c r="Q296" s="3">
        <f t="shared" si="278"/>
        <v>2.593121672736582E-2</v>
      </c>
      <c r="R296" s="3">
        <f t="shared" si="278"/>
        <v>9.606386078230925E-3</v>
      </c>
      <c r="S296" s="3">
        <f t="shared" si="278"/>
        <v>4.6766132520425012E-7</v>
      </c>
      <c r="T296" s="3">
        <f t="shared" si="278"/>
        <v>3.4965975374715596E-50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2.8549428510413092E-2</v>
      </c>
      <c r="C297" s="3">
        <f t="shared" si="279"/>
        <v>2.8549428510413088E-2</v>
      </c>
      <c r="D297" s="3">
        <f t="shared" si="279"/>
        <v>2.8549428510413064E-2</v>
      </c>
      <c r="E297" s="3">
        <f t="shared" si="279"/>
        <v>2.8549428510412807E-2</v>
      </c>
      <c r="F297" s="3">
        <f t="shared" si="279"/>
        <v>2.854942851041025E-2</v>
      </c>
      <c r="G297" s="3">
        <f t="shared" si="279"/>
        <v>2.8549428510384677E-2</v>
      </c>
      <c r="H297" s="3">
        <f t="shared" si="279"/>
        <v>2.8549428510128934E-2</v>
      </c>
      <c r="I297" s="3">
        <f t="shared" si="279"/>
        <v>2.8549428507571514E-2</v>
      </c>
      <c r="J297" s="3">
        <f t="shared" si="279"/>
        <v>2.8549428481997333E-2</v>
      </c>
      <c r="K297" s="3">
        <f t="shared" si="279"/>
        <v>2.8549428226255513E-2</v>
      </c>
      <c r="L297" s="3">
        <f t="shared" si="279"/>
        <v>2.854942566883743E-2</v>
      </c>
      <c r="M297" s="3">
        <f t="shared" si="279"/>
        <v>2.8549400094669192E-2</v>
      </c>
      <c r="N297" s="3">
        <f t="shared" si="279"/>
        <v>2.8549144354246825E-2</v>
      </c>
      <c r="O297" s="3">
        <f t="shared" si="279"/>
        <v>2.8546587076018003E-2</v>
      </c>
      <c r="P297" s="3">
        <f t="shared" si="279"/>
        <v>2.8521026889039593E-2</v>
      </c>
      <c r="Q297" s="3">
        <f t="shared" si="279"/>
        <v>2.8266680385623542E-2</v>
      </c>
      <c r="R297" s="3">
        <f t="shared" si="279"/>
        <v>2.5844689016052511E-2</v>
      </c>
      <c r="S297" s="3">
        <f t="shared" si="279"/>
        <v>1.0552037723676038E-2</v>
      </c>
      <c r="T297" s="3">
        <f t="shared" si="279"/>
        <v>1.3582714715229449E-6</v>
      </c>
      <c r="U297" s="3">
        <f t="shared" si="279"/>
        <v>1.6962467101051119E-45</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3.3916990026039671E-2</v>
      </c>
      <c r="C298" s="3">
        <f t="shared" si="280"/>
        <v>3.3916990026039671E-2</v>
      </c>
      <c r="D298" s="3">
        <f t="shared" si="280"/>
        <v>3.3916990026039665E-2</v>
      </c>
      <c r="E298" s="3">
        <f t="shared" si="280"/>
        <v>3.3916990026039644E-2</v>
      </c>
      <c r="F298" s="3">
        <f t="shared" si="280"/>
        <v>3.3916990026039366E-2</v>
      </c>
      <c r="G298" s="3">
        <f t="shared" si="280"/>
        <v>3.3916990026036625E-2</v>
      </c>
      <c r="H298" s="3">
        <f t="shared" si="280"/>
        <v>3.3916990026009217E-2</v>
      </c>
      <c r="I298" s="3">
        <f t="shared" si="280"/>
        <v>3.3916990025735144E-2</v>
      </c>
      <c r="J298" s="3">
        <f t="shared" si="280"/>
        <v>3.3916990022994399E-2</v>
      </c>
      <c r="K298" s="3">
        <f t="shared" si="280"/>
        <v>3.3916989995586976E-2</v>
      </c>
      <c r="L298" s="3">
        <f t="shared" si="280"/>
        <v>3.3916989721512733E-2</v>
      </c>
      <c r="M298" s="3">
        <f t="shared" si="280"/>
        <v>3.3916986980770385E-2</v>
      </c>
      <c r="N298" s="3">
        <f t="shared" si="280"/>
        <v>3.3916959573359128E-2</v>
      </c>
      <c r="O298" s="3">
        <f t="shared" si="280"/>
        <v>3.3916685500464679E-2</v>
      </c>
      <c r="P298" s="3">
        <f t="shared" si="280"/>
        <v>3.3913944893325797E-2</v>
      </c>
      <c r="Q298" s="3">
        <f t="shared" si="280"/>
        <v>3.3886550998860544E-2</v>
      </c>
      <c r="R298" s="3">
        <f t="shared" si="280"/>
        <v>3.3613826113677303E-2</v>
      </c>
      <c r="S298" s="3">
        <f t="shared" si="280"/>
        <v>3.1004430454628029E-2</v>
      </c>
      <c r="T298" s="3">
        <f t="shared" si="280"/>
        <v>1.38191663666515E-2</v>
      </c>
      <c r="U298" s="3">
        <f t="shared" si="280"/>
        <v>4.2762463781625356E-6</v>
      </c>
      <c r="V298" s="3">
        <f t="shared" si="280"/>
        <v>3.4424802740119074E-41</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3.6686036889388041E-2</v>
      </c>
      <c r="C299" s="3">
        <f t="shared" si="281"/>
        <v>3.6686036889388041E-2</v>
      </c>
      <c r="D299" s="3">
        <f t="shared" si="281"/>
        <v>3.6686036889388041E-2</v>
      </c>
      <c r="E299" s="3">
        <f t="shared" si="281"/>
        <v>3.6686036889388034E-2</v>
      </c>
      <c r="F299" s="3">
        <f t="shared" si="281"/>
        <v>3.6686036889388013E-2</v>
      </c>
      <c r="G299" s="3">
        <f t="shared" si="281"/>
        <v>3.6686036889387742E-2</v>
      </c>
      <c r="H299" s="3">
        <f t="shared" si="281"/>
        <v>3.6686036889385071E-2</v>
      </c>
      <c r="I299" s="3">
        <f t="shared" si="281"/>
        <v>3.6686036889358328E-2</v>
      </c>
      <c r="J299" s="3">
        <f t="shared" si="281"/>
        <v>3.6686036889090903E-2</v>
      </c>
      <c r="K299" s="3">
        <f t="shared" si="281"/>
        <v>3.6686036886416674E-2</v>
      </c>
      <c r="L299" s="3">
        <f t="shared" si="281"/>
        <v>3.6686036859674406E-2</v>
      </c>
      <c r="M299" s="3">
        <f t="shared" si="281"/>
        <v>3.6686036592251677E-2</v>
      </c>
      <c r="N299" s="3">
        <f t="shared" si="281"/>
        <v>3.6686033918024503E-2</v>
      </c>
      <c r="O299" s="3">
        <f t="shared" si="281"/>
        <v>3.6686007175763501E-2</v>
      </c>
      <c r="P299" s="3">
        <f t="shared" si="281"/>
        <v>3.6685739754225614E-2</v>
      </c>
      <c r="Q299" s="3">
        <f t="shared" si="281"/>
        <v>3.668306564605929E-2</v>
      </c>
      <c r="R299" s="3">
        <f t="shared" si="281"/>
        <v>3.6656335282757115E-2</v>
      </c>
      <c r="S299" s="3">
        <f t="shared" si="281"/>
        <v>3.6390100600605324E-2</v>
      </c>
      <c r="T299" s="3">
        <f t="shared" si="281"/>
        <v>3.3831821138637412E-2</v>
      </c>
      <c r="U299" s="3">
        <f t="shared" si="281"/>
        <v>1.6320992883419816E-2</v>
      </c>
      <c r="V299" s="3">
        <f t="shared" si="281"/>
        <v>1.1141882349620496E-5</v>
      </c>
      <c r="W299" s="3">
        <f t="shared" si="281"/>
        <v>2.4495059414923536E-37</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4.0919511658412108E-2</v>
      </c>
      <c r="C300" s="3">
        <f t="shared" si="282"/>
        <v>4.0919511658412108E-2</v>
      </c>
      <c r="D300" s="3">
        <f t="shared" si="282"/>
        <v>4.0919511658412108E-2</v>
      </c>
      <c r="E300" s="3">
        <f t="shared" si="282"/>
        <v>4.0919511658412108E-2</v>
      </c>
      <c r="F300" s="3">
        <f t="shared" si="282"/>
        <v>4.0919511658412101E-2</v>
      </c>
      <c r="G300" s="3">
        <f t="shared" si="282"/>
        <v>4.0919511658412074E-2</v>
      </c>
      <c r="H300" s="3">
        <f t="shared" si="282"/>
        <v>4.091951165841181E-2</v>
      </c>
      <c r="I300" s="3">
        <f t="shared" si="282"/>
        <v>4.0919511658409118E-2</v>
      </c>
      <c r="J300" s="3">
        <f t="shared" si="282"/>
        <v>4.0919511658382209E-2</v>
      </c>
      <c r="K300" s="3">
        <f t="shared" si="282"/>
        <v>4.0919511658113132E-2</v>
      </c>
      <c r="L300" s="3">
        <f t="shared" si="282"/>
        <v>4.0919511655422382E-2</v>
      </c>
      <c r="M300" s="3">
        <f t="shared" si="282"/>
        <v>4.0919511628514801E-2</v>
      </c>
      <c r="N300" s="3">
        <f t="shared" si="282"/>
        <v>4.0919511359439061E-2</v>
      </c>
      <c r="O300" s="3">
        <f t="shared" si="282"/>
        <v>4.0919508668681714E-2</v>
      </c>
      <c r="P300" s="3">
        <f t="shared" si="282"/>
        <v>4.0919481761118037E-2</v>
      </c>
      <c r="Q300" s="3">
        <f t="shared" si="282"/>
        <v>4.0919212686454397E-2</v>
      </c>
      <c r="R300" s="3">
        <f t="shared" si="282"/>
        <v>4.0916522037130656E-2</v>
      </c>
      <c r="S300" s="3">
        <f t="shared" si="282"/>
        <v>4.0889625272798012E-2</v>
      </c>
      <c r="T300" s="3">
        <f t="shared" si="282"/>
        <v>4.0621628157039222E-2</v>
      </c>
      <c r="U300" s="3">
        <f t="shared" si="282"/>
        <v>3.803638940162201E-2</v>
      </c>
      <c r="V300" s="3">
        <f t="shared" si="282"/>
        <v>1.9706925274929336E-2</v>
      </c>
      <c r="W300" s="3">
        <f t="shared" si="282"/>
        <v>2.7467220834519392E-5</v>
      </c>
      <c r="X300" s="3">
        <f t="shared" si="282"/>
        <v>7.5992934127998058E-34</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4.7755707575506505E-2</v>
      </c>
      <c r="C301" s="3">
        <f t="shared" si="283"/>
        <v>4.7755707575506505E-2</v>
      </c>
      <c r="D301" s="3">
        <f t="shared" si="283"/>
        <v>4.7755707575506505E-2</v>
      </c>
      <c r="E301" s="3">
        <f t="shared" si="283"/>
        <v>4.7755707575506505E-2</v>
      </c>
      <c r="F301" s="3">
        <f t="shared" si="283"/>
        <v>4.7755707575506505E-2</v>
      </c>
      <c r="G301" s="3">
        <f t="shared" si="283"/>
        <v>4.7755707575506498E-2</v>
      </c>
      <c r="H301" s="3">
        <f t="shared" si="283"/>
        <v>4.775570757550647E-2</v>
      </c>
      <c r="I301" s="3">
        <f t="shared" si="283"/>
        <v>4.7755707575506193E-2</v>
      </c>
      <c r="J301" s="3">
        <f t="shared" si="283"/>
        <v>4.7755707575503355E-2</v>
      </c>
      <c r="K301" s="3">
        <f t="shared" si="283"/>
        <v>4.775570757547503E-2</v>
      </c>
      <c r="L301" s="3">
        <f t="shared" si="283"/>
        <v>4.775570757519175E-2</v>
      </c>
      <c r="M301" s="3">
        <f t="shared" si="283"/>
        <v>4.7755707572358953E-2</v>
      </c>
      <c r="N301" s="3">
        <f t="shared" si="283"/>
        <v>4.7755707544030947E-2</v>
      </c>
      <c r="O301" s="3">
        <f t="shared" si="283"/>
        <v>4.7755707260750901E-2</v>
      </c>
      <c r="P301" s="3">
        <f t="shared" si="283"/>
        <v>4.7755704427950539E-2</v>
      </c>
      <c r="Q301" s="3">
        <f t="shared" si="283"/>
        <v>4.7755676099956207E-2</v>
      </c>
      <c r="R301" s="3">
        <f t="shared" si="283"/>
        <v>4.775539282093709E-2</v>
      </c>
      <c r="S301" s="3">
        <f t="shared" si="283"/>
        <v>4.7752560123164395E-2</v>
      </c>
      <c r="T301" s="3">
        <f t="shared" si="283"/>
        <v>4.7724242385256577E-2</v>
      </c>
      <c r="U301" s="3">
        <f t="shared" si="283"/>
        <v>4.7441986963359897E-2</v>
      </c>
      <c r="V301" s="3">
        <f t="shared" si="283"/>
        <v>4.4709636668574401E-2</v>
      </c>
      <c r="W301" s="3">
        <f t="shared" si="283"/>
        <v>2.4704942545300142E-2</v>
      </c>
      <c r="X301" s="3">
        <f t="shared" si="283"/>
        <v>6.5555770225340381E-5</v>
      </c>
      <c r="Y301" s="3">
        <f t="shared" si="283"/>
        <v>1.1347016482407629E-30</v>
      </c>
      <c r="Z301" s="3">
        <f t="shared" si="283"/>
        <v>2.7389827638171544E-288</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5.7469214785363418E-2</v>
      </c>
      <c r="C302" s="3">
        <f t="shared" si="284"/>
        <v>5.7469214785363418E-2</v>
      </c>
      <c r="D302" s="3">
        <f t="shared" si="284"/>
        <v>5.7469214785363418E-2</v>
      </c>
      <c r="E302" s="3">
        <f t="shared" si="284"/>
        <v>5.7469214785363418E-2</v>
      </c>
      <c r="F302" s="3">
        <f t="shared" si="284"/>
        <v>5.7469214785363418E-2</v>
      </c>
      <c r="G302" s="3">
        <f t="shared" si="284"/>
        <v>5.7469214785363418E-2</v>
      </c>
      <c r="H302" s="3">
        <f t="shared" si="284"/>
        <v>5.7469214785363411E-2</v>
      </c>
      <c r="I302" s="3">
        <f t="shared" si="284"/>
        <v>5.7469214785363383E-2</v>
      </c>
      <c r="J302" s="3">
        <f t="shared" si="284"/>
        <v>5.7469214785363071E-2</v>
      </c>
      <c r="K302" s="3">
        <f t="shared" si="284"/>
        <v>5.7469214785359997E-2</v>
      </c>
      <c r="L302" s="3">
        <f t="shared" si="284"/>
        <v>5.7469214785329251E-2</v>
      </c>
      <c r="M302" s="3">
        <f t="shared" si="284"/>
        <v>5.7469214785021733E-2</v>
      </c>
      <c r="N302" s="3">
        <f t="shared" si="284"/>
        <v>5.7469214781946533E-2</v>
      </c>
      <c r="O302" s="3">
        <f t="shared" si="284"/>
        <v>5.7469214751194597E-2</v>
      </c>
      <c r="P302" s="3">
        <f t="shared" si="284"/>
        <v>5.7469214443675171E-2</v>
      </c>
      <c r="Q302" s="3">
        <f t="shared" si="284"/>
        <v>5.7469211368481016E-2</v>
      </c>
      <c r="R302" s="3">
        <f t="shared" si="284"/>
        <v>5.7469180616548543E-2</v>
      </c>
      <c r="S302" s="3">
        <f t="shared" si="284"/>
        <v>5.7468873098128884E-2</v>
      </c>
      <c r="T302" s="3">
        <f t="shared" si="284"/>
        <v>5.7465798004435249E-2</v>
      </c>
      <c r="U302" s="3">
        <f t="shared" si="284"/>
        <v>5.7435056116007466E-2</v>
      </c>
      <c r="V302" s="3">
        <f t="shared" si="284"/>
        <v>5.7128540293646335E-2</v>
      </c>
      <c r="W302" s="3">
        <f t="shared" si="284"/>
        <v>5.4151925609986384E-2</v>
      </c>
      <c r="X302" s="3">
        <f t="shared" si="284"/>
        <v>3.1711857046622834E-2</v>
      </c>
      <c r="Y302" s="3">
        <f t="shared" si="284"/>
        <v>1.5041785138606025E-4</v>
      </c>
      <c r="Z302" s="3">
        <f t="shared" si="284"/>
        <v>8.6711447904610228E-28</v>
      </c>
      <c r="AA302" s="3">
        <f t="shared" si="284"/>
        <v>3.5143661836953476E-260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6.4260885650205518E-2</v>
      </c>
      <c r="C303" s="3">
        <f t="shared" si="285"/>
        <v>6.4260885650205518E-2</v>
      </c>
      <c r="D303" s="3">
        <f t="shared" si="285"/>
        <v>6.4260885650205518E-2</v>
      </c>
      <c r="E303" s="3">
        <f t="shared" si="285"/>
        <v>6.4260885650205518E-2</v>
      </c>
      <c r="F303" s="3">
        <f t="shared" si="285"/>
        <v>6.4260885650205518E-2</v>
      </c>
      <c r="G303" s="3">
        <f t="shared" si="285"/>
        <v>6.4260885650205518E-2</v>
      </c>
      <c r="H303" s="3">
        <f t="shared" si="285"/>
        <v>6.4260885650205518E-2</v>
      </c>
      <c r="I303" s="3">
        <f t="shared" si="285"/>
        <v>6.4260885650205518E-2</v>
      </c>
      <c r="J303" s="3">
        <f t="shared" si="285"/>
        <v>6.4260885650205476E-2</v>
      </c>
      <c r="K303" s="3">
        <f t="shared" si="285"/>
        <v>6.4260885650205171E-2</v>
      </c>
      <c r="L303" s="3">
        <f t="shared" si="285"/>
        <v>6.4260885650202076E-2</v>
      </c>
      <c r="M303" s="3">
        <f t="shared" si="285"/>
        <v>6.4260885650171046E-2</v>
      </c>
      <c r="N303" s="3">
        <f t="shared" si="285"/>
        <v>6.4260885649860863E-2</v>
      </c>
      <c r="O303" s="3">
        <f t="shared" si="285"/>
        <v>6.4260885646758942E-2</v>
      </c>
      <c r="P303" s="3">
        <f t="shared" si="285"/>
        <v>6.4260885615739741E-2</v>
      </c>
      <c r="Q303" s="3">
        <f t="shared" si="285"/>
        <v>6.4260885305547744E-2</v>
      </c>
      <c r="R303" s="3">
        <f t="shared" si="285"/>
        <v>6.426088220362787E-2</v>
      </c>
      <c r="S303" s="3">
        <f t="shared" si="285"/>
        <v>6.426085118443732E-2</v>
      </c>
      <c r="T303" s="3">
        <f t="shared" si="285"/>
        <v>6.4260540993355403E-2</v>
      </c>
      <c r="U303" s="3">
        <f t="shared" si="285"/>
        <v>6.4257439164887062E-2</v>
      </c>
      <c r="V303" s="3">
        <f t="shared" si="285"/>
        <v>6.4226429113826838E-2</v>
      </c>
      <c r="W303" s="3">
        <f t="shared" si="285"/>
        <v>6.3917150496884886E-2</v>
      </c>
      <c r="X303" s="3">
        <f t="shared" si="285"/>
        <v>6.0905104538035472E-2</v>
      </c>
      <c r="Y303" s="3">
        <f t="shared" si="285"/>
        <v>3.7585174319982081E-2</v>
      </c>
      <c r="Z303" s="3">
        <f t="shared" si="285"/>
        <v>3.010546417688511E-4</v>
      </c>
      <c r="AA303" s="3">
        <f t="shared" si="285"/>
        <v>3.2729013579870874E-25</v>
      </c>
      <c r="AB303" s="3">
        <f t="shared" si="285"/>
        <v>7.5475987216691001E-235</v>
      </c>
      <c r="AC303" s="3">
        <f t="shared" si="285"/>
        <v>0</v>
      </c>
      <c r="AD303" s="3">
        <f t="shared" si="285"/>
        <v>0</v>
      </c>
      <c r="AE303" s="3">
        <f t="shared" si="285"/>
        <v>0</v>
      </c>
      <c r="AF303" s="3">
        <f t="shared" si="285"/>
        <v>0</v>
      </c>
      <c r="AG303" s="3"/>
      <c r="AH303" s="3"/>
    </row>
    <row r="304" spans="2:34" x14ac:dyDescent="0.25">
      <c r="B304" s="3">
        <f t="shared" ref="B304:AF304" si="286">$C34*EXP(-B$285/$A34/EXP(-$F$126))</f>
        <v>6.2189536822504186E-2</v>
      </c>
      <c r="C304" s="3">
        <f t="shared" si="286"/>
        <v>6.2189536822504186E-2</v>
      </c>
      <c r="D304" s="3">
        <f t="shared" si="286"/>
        <v>6.2189536822504186E-2</v>
      </c>
      <c r="E304" s="3">
        <f t="shared" si="286"/>
        <v>6.2189536822504186E-2</v>
      </c>
      <c r="F304" s="3">
        <f t="shared" si="286"/>
        <v>6.2189536822504186E-2</v>
      </c>
      <c r="G304" s="3">
        <f t="shared" si="286"/>
        <v>6.2189536822504186E-2</v>
      </c>
      <c r="H304" s="3">
        <f t="shared" si="286"/>
        <v>6.2189536822504186E-2</v>
      </c>
      <c r="I304" s="3">
        <f t="shared" si="286"/>
        <v>6.2189536822504186E-2</v>
      </c>
      <c r="J304" s="3">
        <f t="shared" si="286"/>
        <v>6.2189536822504186E-2</v>
      </c>
      <c r="K304" s="3">
        <f t="shared" si="286"/>
        <v>6.2189536822504159E-2</v>
      </c>
      <c r="L304" s="3">
        <f t="shared" si="286"/>
        <v>6.2189536822503881E-2</v>
      </c>
      <c r="M304" s="3">
        <f t="shared" si="286"/>
        <v>6.2189536822501175E-2</v>
      </c>
      <c r="N304" s="3">
        <f t="shared" si="286"/>
        <v>6.2189536822474099E-2</v>
      </c>
      <c r="O304" s="3">
        <f t="shared" si="286"/>
        <v>6.2189536822203295E-2</v>
      </c>
      <c r="P304" s="3">
        <f t="shared" si="286"/>
        <v>6.2189536819495309E-2</v>
      </c>
      <c r="Q304" s="3">
        <f t="shared" si="286"/>
        <v>6.2189536792415359E-2</v>
      </c>
      <c r="R304" s="3">
        <f t="shared" si="286"/>
        <v>6.21895365216159E-2</v>
      </c>
      <c r="S304" s="3">
        <f t="shared" si="286"/>
        <v>6.2189533813621363E-2</v>
      </c>
      <c r="T304" s="3">
        <f t="shared" si="286"/>
        <v>6.2189506733682495E-2</v>
      </c>
      <c r="U304" s="3">
        <f t="shared" si="286"/>
        <v>6.2189235934942383E-2</v>
      </c>
      <c r="V304" s="3">
        <f t="shared" si="286"/>
        <v>6.2186528012394701E-2</v>
      </c>
      <c r="W304" s="3">
        <f t="shared" si="286"/>
        <v>6.2159455271219577E-2</v>
      </c>
      <c r="X304" s="3">
        <f t="shared" si="286"/>
        <v>6.1889375246147058E-2</v>
      </c>
      <c r="Y304" s="3">
        <f t="shared" si="286"/>
        <v>5.925228267248496E-2</v>
      </c>
      <c r="Z304" s="3">
        <f t="shared" si="286"/>
        <v>3.8334955191590095E-2</v>
      </c>
      <c r="AA304" s="3">
        <f t="shared" si="286"/>
        <v>4.9259919656562655E-4</v>
      </c>
      <c r="AB304" s="3">
        <f t="shared" si="286"/>
        <v>6.0461802624390593E-23</v>
      </c>
      <c r="AC304" s="3">
        <f t="shared" si="286"/>
        <v>4.6919676773395946E-212</v>
      </c>
      <c r="AD304" s="3">
        <f t="shared" si="286"/>
        <v>0</v>
      </c>
      <c r="AE304" s="3">
        <f t="shared" si="286"/>
        <v>0</v>
      </c>
      <c r="AF304" s="3">
        <f t="shared" si="286"/>
        <v>0</v>
      </c>
      <c r="AG304" s="3"/>
      <c r="AH304" s="3"/>
    </row>
    <row r="305" spans="1:34" x14ac:dyDescent="0.25">
      <c r="B305" s="3">
        <f t="shared" ref="B305:AF305" si="287">$C35*EXP(-B$285/$A35/EXP(-$F$126))</f>
        <v>4.8803099741359754E-2</v>
      </c>
      <c r="C305" s="3">
        <f t="shared" si="287"/>
        <v>4.8803099741359754E-2</v>
      </c>
      <c r="D305" s="3">
        <f t="shared" si="287"/>
        <v>4.8803099741359754E-2</v>
      </c>
      <c r="E305" s="3">
        <f t="shared" si="287"/>
        <v>4.8803099741359754E-2</v>
      </c>
      <c r="F305" s="3">
        <f t="shared" si="287"/>
        <v>4.8803099741359754E-2</v>
      </c>
      <c r="G305" s="3">
        <f t="shared" si="287"/>
        <v>4.8803099741359754E-2</v>
      </c>
      <c r="H305" s="3">
        <f t="shared" si="287"/>
        <v>4.8803099741359754E-2</v>
      </c>
      <c r="I305" s="3">
        <f t="shared" si="287"/>
        <v>4.8803099741359754E-2</v>
      </c>
      <c r="J305" s="3">
        <f t="shared" si="287"/>
        <v>4.8803099741359754E-2</v>
      </c>
      <c r="K305" s="3">
        <f t="shared" si="287"/>
        <v>4.8803099741359754E-2</v>
      </c>
      <c r="L305" s="3">
        <f t="shared" si="287"/>
        <v>4.8803099741359733E-2</v>
      </c>
      <c r="M305" s="3">
        <f t="shared" si="287"/>
        <v>4.8803099741359546E-2</v>
      </c>
      <c r="N305" s="3">
        <f t="shared" si="287"/>
        <v>4.8803099741357624E-2</v>
      </c>
      <c r="O305" s="3">
        <f t="shared" si="287"/>
        <v>4.8803099741338452E-2</v>
      </c>
      <c r="P305" s="3">
        <f t="shared" si="287"/>
        <v>4.8803099741146751E-2</v>
      </c>
      <c r="Q305" s="3">
        <f t="shared" si="287"/>
        <v>4.8803099739229742E-2</v>
      </c>
      <c r="R305" s="3">
        <f t="shared" si="287"/>
        <v>4.8803099720059639E-2</v>
      </c>
      <c r="S305" s="3">
        <f t="shared" si="287"/>
        <v>4.8803099528358596E-2</v>
      </c>
      <c r="T305" s="3">
        <f t="shared" si="287"/>
        <v>4.8803097611348233E-2</v>
      </c>
      <c r="U305" s="3">
        <f t="shared" si="287"/>
        <v>4.8803078441248746E-2</v>
      </c>
      <c r="V305" s="3">
        <f t="shared" si="287"/>
        <v>4.8802886740668031E-2</v>
      </c>
      <c r="W305" s="3">
        <f t="shared" si="287"/>
        <v>4.8800969776275772E-2</v>
      </c>
      <c r="X305" s="3">
        <f t="shared" si="287"/>
        <v>4.8781804273247097E-2</v>
      </c>
      <c r="Y305" s="3">
        <f t="shared" si="287"/>
        <v>4.8590562731144635E-2</v>
      </c>
      <c r="Z305" s="3">
        <f t="shared" si="287"/>
        <v>4.6718901435592979E-2</v>
      </c>
      <c r="AA305" s="3">
        <f t="shared" si="287"/>
        <v>3.1542750148721106E-2</v>
      </c>
      <c r="AB305" s="3">
        <f t="shared" si="287"/>
        <v>6.2082456684669129E-4</v>
      </c>
      <c r="AC305" s="3">
        <f t="shared" si="287"/>
        <v>5.4157957501278236E-21</v>
      </c>
      <c r="AD305" s="3">
        <f t="shared" si="287"/>
        <v>1.3822802611214724E-191</v>
      </c>
      <c r="AE305" s="3">
        <f t="shared" si="287"/>
        <v>0</v>
      </c>
      <c r="AF305" s="3">
        <f t="shared" si="287"/>
        <v>0</v>
      </c>
      <c r="AG305" s="3"/>
      <c r="AH305" s="3"/>
    </row>
    <row r="306" spans="1:34" x14ac:dyDescent="0.25">
      <c r="B306" s="3">
        <f t="shared" ref="B306:AF306" si="288">$C36*EXP(-B$285/$A36/EXP(-$F$126))</f>
        <v>3.0415227107223403E-2</v>
      </c>
      <c r="C306" s="3">
        <f t="shared" si="288"/>
        <v>3.0415227107223403E-2</v>
      </c>
      <c r="D306" s="3">
        <f t="shared" si="288"/>
        <v>3.0415227107223403E-2</v>
      </c>
      <c r="E306" s="3">
        <f t="shared" si="288"/>
        <v>3.0415227107223403E-2</v>
      </c>
      <c r="F306" s="3">
        <f t="shared" si="288"/>
        <v>3.0415227107223403E-2</v>
      </c>
      <c r="G306" s="3">
        <f t="shared" si="288"/>
        <v>3.0415227107223403E-2</v>
      </c>
      <c r="H306" s="3">
        <f t="shared" si="288"/>
        <v>3.0415227107223403E-2</v>
      </c>
      <c r="I306" s="3">
        <f t="shared" si="288"/>
        <v>3.0415227107223403E-2</v>
      </c>
      <c r="J306" s="3">
        <f t="shared" si="288"/>
        <v>3.0415227107223403E-2</v>
      </c>
      <c r="K306" s="3">
        <f t="shared" si="288"/>
        <v>3.0415227107223403E-2</v>
      </c>
      <c r="L306" s="3">
        <f t="shared" si="288"/>
        <v>3.0415227107223403E-2</v>
      </c>
      <c r="M306" s="3">
        <f t="shared" si="288"/>
        <v>3.0415227107223389E-2</v>
      </c>
      <c r="N306" s="3">
        <f t="shared" si="288"/>
        <v>3.0415227107223285E-2</v>
      </c>
      <c r="O306" s="3">
        <f t="shared" si="288"/>
        <v>3.0415227107222203E-2</v>
      </c>
      <c r="P306" s="3">
        <f t="shared" si="288"/>
        <v>3.041522710721143E-2</v>
      </c>
      <c r="Q306" s="3">
        <f t="shared" si="288"/>
        <v>3.0415227107103652E-2</v>
      </c>
      <c r="R306" s="3">
        <f t="shared" si="288"/>
        <v>3.0415227106025913E-2</v>
      </c>
      <c r="S306" s="3">
        <f t="shared" si="288"/>
        <v>3.0415227095248493E-2</v>
      </c>
      <c r="T306" s="3">
        <f t="shared" si="288"/>
        <v>3.0415226987474318E-2</v>
      </c>
      <c r="U306" s="3">
        <f t="shared" si="288"/>
        <v>3.0415225909732564E-2</v>
      </c>
      <c r="V306" s="3">
        <f t="shared" si="288"/>
        <v>3.0415215132317115E-2</v>
      </c>
      <c r="W306" s="3">
        <f t="shared" si="288"/>
        <v>3.0415107358372686E-2</v>
      </c>
      <c r="X306" s="3">
        <f t="shared" si="288"/>
        <v>3.0414029639932033E-2</v>
      </c>
      <c r="Y306" s="3">
        <f t="shared" si="288"/>
        <v>3.0403254555614986E-2</v>
      </c>
      <c r="Z306" s="3">
        <f t="shared" si="288"/>
        <v>3.0295713446316864E-2</v>
      </c>
      <c r="AA306" s="3">
        <f t="shared" si="288"/>
        <v>2.9241003351903268E-2</v>
      </c>
      <c r="AB306" s="3">
        <f t="shared" si="288"/>
        <v>2.0516493308476495E-2</v>
      </c>
      <c r="AC306" s="3">
        <f t="shared" si="288"/>
        <v>5.9321449767380614E-4</v>
      </c>
      <c r="AD306" s="3">
        <f t="shared" si="288"/>
        <v>2.4226907998696336E-19</v>
      </c>
      <c r="AE306" s="3">
        <f t="shared" si="288"/>
        <v>3.1272336319102626E-173</v>
      </c>
      <c r="AF306" s="3">
        <f t="shared" si="288"/>
        <v>0</v>
      </c>
      <c r="AG306" s="3"/>
      <c r="AH306" s="3"/>
    </row>
    <row r="307" spans="1:34" x14ac:dyDescent="0.25">
      <c r="B307" s="3">
        <f t="shared" ref="B307:AF307" si="289">$C37*EXP(-B$285/$A37/EXP(-$F$126))</f>
        <v>1.5463317607252298E-2</v>
      </c>
      <c r="C307" s="3">
        <f t="shared" si="289"/>
        <v>1.5463317607252298E-2</v>
      </c>
      <c r="D307" s="3">
        <f t="shared" si="289"/>
        <v>1.5463317607252298E-2</v>
      </c>
      <c r="E307" s="3">
        <f t="shared" si="289"/>
        <v>1.5463317607252298E-2</v>
      </c>
      <c r="F307" s="3">
        <f t="shared" si="289"/>
        <v>1.5463317607252298E-2</v>
      </c>
      <c r="G307" s="3">
        <f t="shared" si="289"/>
        <v>1.5463317607252298E-2</v>
      </c>
      <c r="H307" s="3">
        <f t="shared" si="289"/>
        <v>1.5463317607252298E-2</v>
      </c>
      <c r="I307" s="3">
        <f t="shared" si="289"/>
        <v>1.5463317607252298E-2</v>
      </c>
      <c r="J307" s="3">
        <f t="shared" si="289"/>
        <v>1.5463317607252298E-2</v>
      </c>
      <c r="K307" s="3">
        <f t="shared" si="289"/>
        <v>1.5463317607252298E-2</v>
      </c>
      <c r="L307" s="3">
        <f t="shared" si="289"/>
        <v>1.5463317607252298E-2</v>
      </c>
      <c r="M307" s="3">
        <f t="shared" si="289"/>
        <v>1.5463317607252298E-2</v>
      </c>
      <c r="N307" s="3">
        <f t="shared" si="289"/>
        <v>1.5463317607252293E-2</v>
      </c>
      <c r="O307" s="3">
        <f t="shared" si="289"/>
        <v>1.5463317607252242E-2</v>
      </c>
      <c r="P307" s="3">
        <f t="shared" si="289"/>
        <v>1.5463317607251748E-2</v>
      </c>
      <c r="Q307" s="3">
        <f t="shared" si="289"/>
        <v>1.5463317607246806E-2</v>
      </c>
      <c r="R307" s="3">
        <f t="shared" si="289"/>
        <v>1.5463317607197378E-2</v>
      </c>
      <c r="S307" s="3">
        <f t="shared" si="289"/>
        <v>1.5463317606703098E-2</v>
      </c>
      <c r="T307" s="3">
        <f t="shared" si="289"/>
        <v>1.5463317601760299E-2</v>
      </c>
      <c r="U307" s="3">
        <f t="shared" si="289"/>
        <v>1.5463317552332313E-2</v>
      </c>
      <c r="V307" s="3">
        <f t="shared" si="289"/>
        <v>1.5463317058052454E-2</v>
      </c>
      <c r="W307" s="3">
        <f t="shared" si="289"/>
        <v>1.5463312115254741E-2</v>
      </c>
      <c r="X307" s="3">
        <f t="shared" si="289"/>
        <v>1.5463262687364521E-2</v>
      </c>
      <c r="Y307" s="3">
        <f t="shared" si="289"/>
        <v>1.5462768417151926E-2</v>
      </c>
      <c r="Z307" s="3">
        <f t="shared" si="289"/>
        <v>1.5457826583883932E-2</v>
      </c>
      <c r="AA307" s="3">
        <f t="shared" si="289"/>
        <v>1.5408495034329246E-2</v>
      </c>
      <c r="AB307" s="3">
        <f t="shared" si="289"/>
        <v>1.4923756085179329E-2</v>
      </c>
      <c r="AC307" s="3">
        <f t="shared" si="289"/>
        <v>1.0840700290365232E-2</v>
      </c>
      <c r="AD307" s="3">
        <f t="shared" si="289"/>
        <v>4.4345473110463525E-4</v>
      </c>
      <c r="AE307" s="3">
        <f t="shared" si="289"/>
        <v>5.8179346834928011E-18</v>
      </c>
      <c r="AF307" s="3">
        <f t="shared" si="289"/>
        <v>8.7895031697835355E-157</v>
      </c>
      <c r="AG307" s="3"/>
      <c r="AH307" s="3"/>
    </row>
    <row r="308" spans="1:34" x14ac:dyDescent="0.25">
      <c r="B308" s="3">
        <f t="shared" ref="B308:AF308" si="290">$C38*EXP(-B$285/$A38/EXP(-$F$126))</f>
        <v>6.4979326784240111E-3</v>
      </c>
      <c r="C308" s="3">
        <f t="shared" si="290"/>
        <v>6.4979326784240111E-3</v>
      </c>
      <c r="D308" s="3">
        <f t="shared" si="290"/>
        <v>6.4979326784240111E-3</v>
      </c>
      <c r="E308" s="3">
        <f t="shared" si="290"/>
        <v>6.4979326784240111E-3</v>
      </c>
      <c r="F308" s="3">
        <f t="shared" si="290"/>
        <v>6.4979326784240111E-3</v>
      </c>
      <c r="G308" s="3">
        <f t="shared" si="290"/>
        <v>6.4979326784240111E-3</v>
      </c>
      <c r="H308" s="3">
        <f t="shared" si="290"/>
        <v>6.4979326784240111E-3</v>
      </c>
      <c r="I308" s="3">
        <f t="shared" si="290"/>
        <v>6.4979326784240111E-3</v>
      </c>
      <c r="J308" s="3">
        <f t="shared" si="290"/>
        <v>6.4979326784240111E-3</v>
      </c>
      <c r="K308" s="3">
        <f t="shared" si="290"/>
        <v>6.4979326784240111E-3</v>
      </c>
      <c r="L308" s="3">
        <f t="shared" si="290"/>
        <v>6.4979326784240111E-3</v>
      </c>
      <c r="M308" s="3">
        <f t="shared" si="290"/>
        <v>6.4979326784240111E-3</v>
      </c>
      <c r="N308" s="3">
        <f t="shared" si="290"/>
        <v>6.4979326784240111E-3</v>
      </c>
      <c r="O308" s="3">
        <f t="shared" si="290"/>
        <v>6.4979326784240093E-3</v>
      </c>
      <c r="P308" s="3">
        <f t="shared" si="290"/>
        <v>6.4979326784239903E-3</v>
      </c>
      <c r="Q308" s="3">
        <f t="shared" si="290"/>
        <v>6.4979326784238029E-3</v>
      </c>
      <c r="R308" s="3">
        <f t="shared" si="290"/>
        <v>6.4979326784219294E-3</v>
      </c>
      <c r="S308" s="3">
        <f t="shared" si="290"/>
        <v>6.4979326784031927E-3</v>
      </c>
      <c r="T308" s="3">
        <f t="shared" si="290"/>
        <v>6.497932678215826E-3</v>
      </c>
      <c r="U308" s="3">
        <f t="shared" si="290"/>
        <v>6.4979326763421608E-3</v>
      </c>
      <c r="V308" s="3">
        <f t="shared" si="290"/>
        <v>6.4979326576055062E-3</v>
      </c>
      <c r="W308" s="3">
        <f t="shared" si="290"/>
        <v>6.4979324702389664E-3</v>
      </c>
      <c r="X308" s="3">
        <f t="shared" si="290"/>
        <v>6.4979305965738657E-3</v>
      </c>
      <c r="Y308" s="3">
        <f t="shared" si="290"/>
        <v>6.4979118599525739E-3</v>
      </c>
      <c r="Z308" s="3">
        <f t="shared" si="290"/>
        <v>6.4977244967110862E-3</v>
      </c>
      <c r="AA308" s="3">
        <f t="shared" si="290"/>
        <v>6.4958511614081468E-3</v>
      </c>
      <c r="AB308" s="3">
        <f t="shared" si="290"/>
        <v>6.4771474878975669E-3</v>
      </c>
      <c r="AC308" s="3">
        <f t="shared" si="290"/>
        <v>6.2930472827144044E-3</v>
      </c>
      <c r="AD308" s="3">
        <f t="shared" si="290"/>
        <v>4.7166438078539222E-3</v>
      </c>
      <c r="AE308" s="3">
        <f t="shared" si="290"/>
        <v>2.6384807858568393E-4</v>
      </c>
      <c r="AF308" s="3">
        <f t="shared" si="290"/>
        <v>7.9170336503054771E-17</v>
      </c>
      <c r="AG308" s="3"/>
      <c r="AH308" s="3"/>
    </row>
    <row r="309" spans="1:34" x14ac:dyDescent="0.25">
      <c r="B309" s="3">
        <f t="shared" ref="B309:AF309" si="291">$C39*EXP(-B$285/$A39/EXP(-$F$126))</f>
        <v>1.7266189453767201E-3</v>
      </c>
      <c r="C309" s="3">
        <f t="shared" si="291"/>
        <v>1.7266189453767201E-3</v>
      </c>
      <c r="D309" s="3">
        <f t="shared" si="291"/>
        <v>1.7266189453767201E-3</v>
      </c>
      <c r="E309" s="3">
        <f t="shared" si="291"/>
        <v>1.7266189453767201E-3</v>
      </c>
      <c r="F309" s="3">
        <f t="shared" si="291"/>
        <v>1.7266189453767201E-3</v>
      </c>
      <c r="G309" s="3">
        <f t="shared" si="291"/>
        <v>1.7266189453767201E-3</v>
      </c>
      <c r="H309" s="3">
        <f t="shared" si="291"/>
        <v>1.7266189453767201E-3</v>
      </c>
      <c r="I309" s="3">
        <f t="shared" si="291"/>
        <v>1.7266189453767201E-3</v>
      </c>
      <c r="J309" s="3">
        <f t="shared" si="291"/>
        <v>1.7266189453767201E-3</v>
      </c>
      <c r="K309" s="3">
        <f t="shared" si="291"/>
        <v>1.7266189453767201E-3</v>
      </c>
      <c r="L309" s="3">
        <f t="shared" si="291"/>
        <v>1.7266189453767201E-3</v>
      </c>
      <c r="M309" s="3">
        <f t="shared" si="291"/>
        <v>1.7266189453767201E-3</v>
      </c>
      <c r="N309" s="3">
        <f t="shared" si="291"/>
        <v>1.7266189453767201E-3</v>
      </c>
      <c r="O309" s="3">
        <f t="shared" si="291"/>
        <v>1.7266189453767199E-3</v>
      </c>
      <c r="P309" s="3">
        <f t="shared" si="291"/>
        <v>1.7266189453767186E-3</v>
      </c>
      <c r="Q309" s="3">
        <f t="shared" si="291"/>
        <v>1.7266189453767047E-3</v>
      </c>
      <c r="R309" s="3">
        <f t="shared" si="291"/>
        <v>1.7266189453765673E-3</v>
      </c>
      <c r="S309" s="3">
        <f t="shared" si="291"/>
        <v>1.7266189453751903E-3</v>
      </c>
      <c r="T309" s="3">
        <f t="shared" si="291"/>
        <v>1.7266189453614203E-3</v>
      </c>
      <c r="U309" s="3">
        <f t="shared" si="291"/>
        <v>1.7266189452237229E-3</v>
      </c>
      <c r="V309" s="3">
        <f t="shared" si="291"/>
        <v>1.7266189438467474E-3</v>
      </c>
      <c r="W309" s="3">
        <f t="shared" si="291"/>
        <v>1.7266189300769929E-3</v>
      </c>
      <c r="X309" s="3">
        <f t="shared" si="291"/>
        <v>1.7266187923794536E-3</v>
      </c>
      <c r="Y309" s="3">
        <f t="shared" si="291"/>
        <v>1.7266174154046655E-3</v>
      </c>
      <c r="Z309" s="3">
        <f t="shared" si="291"/>
        <v>1.72660364571718E-3</v>
      </c>
      <c r="AA309" s="3">
        <f t="shared" si="291"/>
        <v>1.726465954881873E-3</v>
      </c>
      <c r="AB309" s="3">
        <f t="shared" si="291"/>
        <v>1.7250896503053057E-3</v>
      </c>
      <c r="AC309" s="3">
        <f t="shared" si="291"/>
        <v>1.7113868044105489E-3</v>
      </c>
      <c r="AD309" s="3">
        <f t="shared" si="291"/>
        <v>1.5802044240495036E-3</v>
      </c>
      <c r="AE309" s="3">
        <f t="shared" si="291"/>
        <v>7.1181021513180365E-4</v>
      </c>
      <c r="AF309" s="3">
        <f t="shared" si="291"/>
        <v>2.4483508084114131E-7</v>
      </c>
      <c r="AG309" s="3"/>
      <c r="AH309" s="3"/>
    </row>
    <row r="310" spans="1:34" x14ac:dyDescent="0.25">
      <c r="B310" s="3">
        <f t="shared" ref="B310:AF310" si="292">$C40*EXP(-B$285/$A40/EXP(-$F$126))</f>
        <v>4.5003340048363309E-3</v>
      </c>
      <c r="C310" s="3">
        <f t="shared" si="292"/>
        <v>4.5003340048363309E-3</v>
      </c>
      <c r="D310" s="3">
        <f t="shared" si="292"/>
        <v>4.5003340048363309E-3</v>
      </c>
      <c r="E310" s="3">
        <f t="shared" si="292"/>
        <v>4.5003340048363309E-3</v>
      </c>
      <c r="F310" s="3">
        <f t="shared" si="292"/>
        <v>4.5003340048363309E-3</v>
      </c>
      <c r="G310" s="3">
        <f t="shared" si="292"/>
        <v>4.5003340048363309E-3</v>
      </c>
      <c r="H310" s="3">
        <f t="shared" si="292"/>
        <v>4.5003340048363309E-3</v>
      </c>
      <c r="I310" s="3">
        <f t="shared" si="292"/>
        <v>4.5003340048363309E-3</v>
      </c>
      <c r="J310" s="3">
        <f t="shared" si="292"/>
        <v>4.5003340048363309E-3</v>
      </c>
      <c r="K310" s="3">
        <f t="shared" si="292"/>
        <v>4.5003340048363309E-3</v>
      </c>
      <c r="L310" s="3">
        <f t="shared" si="292"/>
        <v>4.5003340048363309E-3</v>
      </c>
      <c r="M310" s="3">
        <f t="shared" si="292"/>
        <v>4.5003340048363309E-3</v>
      </c>
      <c r="N310" s="3">
        <f t="shared" si="292"/>
        <v>4.5003340048363309E-3</v>
      </c>
      <c r="O310" s="3">
        <f t="shared" si="292"/>
        <v>4.5003340048363309E-3</v>
      </c>
      <c r="P310" s="3">
        <f t="shared" si="292"/>
        <v>4.5003340048363301E-3</v>
      </c>
      <c r="Q310" s="3">
        <f t="shared" si="292"/>
        <v>4.5003340048363266E-3</v>
      </c>
      <c r="R310" s="3">
        <f t="shared" si="292"/>
        <v>4.500334004836291E-3</v>
      </c>
      <c r="S310" s="3">
        <f t="shared" si="292"/>
        <v>4.5003340048359319E-3</v>
      </c>
      <c r="T310" s="3">
        <f t="shared" si="292"/>
        <v>4.5003340048323437E-3</v>
      </c>
      <c r="U310" s="3">
        <f t="shared" si="292"/>
        <v>4.5003340047964531E-3</v>
      </c>
      <c r="V310" s="3">
        <f t="shared" si="292"/>
        <v>4.5003340044375527E-3</v>
      </c>
      <c r="W310" s="3">
        <f t="shared" si="292"/>
        <v>4.5003340008485443E-3</v>
      </c>
      <c r="X310" s="3">
        <f t="shared" si="292"/>
        <v>4.5003339649584626E-3</v>
      </c>
      <c r="Y310" s="3">
        <f t="shared" si="292"/>
        <v>4.5003336060576646E-3</v>
      </c>
      <c r="Z310" s="3">
        <f t="shared" si="292"/>
        <v>4.5003300170512539E-3</v>
      </c>
      <c r="AA310" s="3">
        <f t="shared" si="292"/>
        <v>4.5002941271445702E-3</v>
      </c>
      <c r="AB310" s="3">
        <f t="shared" si="292"/>
        <v>4.4999352438194768E-3</v>
      </c>
      <c r="AC310" s="3">
        <f t="shared" si="292"/>
        <v>4.4963479842776294E-3</v>
      </c>
      <c r="AD310" s="3">
        <f t="shared" si="292"/>
        <v>4.4606322963962183E-3</v>
      </c>
      <c r="AE310" s="3">
        <f t="shared" si="292"/>
        <v>4.1187128886687784E-3</v>
      </c>
      <c r="AF310" s="3">
        <f t="shared" si="292"/>
        <v>1.8552928106835953E-3</v>
      </c>
      <c r="AG310" s="3"/>
      <c r="AH310" s="3"/>
    </row>
    <row r="311" spans="1:34" x14ac:dyDescent="0.25">
      <c r="B311" s="3">
        <f t="shared" ref="B311:AF311" si="293">$C41*EXP(-B$285/$A41/EXP(-$F$126))</f>
        <v>6.1948117203855881E-4</v>
      </c>
      <c r="C311" s="3">
        <f t="shared" si="293"/>
        <v>6.1948117203855881E-4</v>
      </c>
      <c r="D311" s="3">
        <f t="shared" si="293"/>
        <v>6.1948117203855881E-4</v>
      </c>
      <c r="E311" s="3">
        <f t="shared" si="293"/>
        <v>6.1948117203855881E-4</v>
      </c>
      <c r="F311" s="3">
        <f t="shared" si="293"/>
        <v>6.1948117203855881E-4</v>
      </c>
      <c r="G311" s="3">
        <f t="shared" si="293"/>
        <v>6.1948117203855881E-4</v>
      </c>
      <c r="H311" s="3">
        <f t="shared" si="293"/>
        <v>6.1948117203855881E-4</v>
      </c>
      <c r="I311" s="3">
        <f t="shared" si="293"/>
        <v>6.1948117203855881E-4</v>
      </c>
      <c r="J311" s="3">
        <f t="shared" si="293"/>
        <v>6.1948117203855881E-4</v>
      </c>
      <c r="K311" s="3">
        <f t="shared" si="293"/>
        <v>6.1948117203855881E-4</v>
      </c>
      <c r="L311" s="3">
        <f t="shared" si="293"/>
        <v>6.1948117203855881E-4</v>
      </c>
      <c r="M311" s="3">
        <f t="shared" si="293"/>
        <v>6.1948117203855881E-4</v>
      </c>
      <c r="N311" s="3">
        <f t="shared" si="293"/>
        <v>6.1948117203855881E-4</v>
      </c>
      <c r="O311" s="3">
        <f t="shared" si="293"/>
        <v>6.1948117203855881E-4</v>
      </c>
      <c r="P311" s="3">
        <f t="shared" si="293"/>
        <v>6.1948117203855881E-4</v>
      </c>
      <c r="Q311" s="3">
        <f t="shared" si="293"/>
        <v>6.1948117203855871E-4</v>
      </c>
      <c r="R311" s="3">
        <f t="shared" si="293"/>
        <v>6.1948117203855827E-4</v>
      </c>
      <c r="S311" s="3">
        <f t="shared" si="293"/>
        <v>6.1948117203855328E-4</v>
      </c>
      <c r="T311" s="3">
        <f t="shared" si="293"/>
        <v>6.1948117203850395E-4</v>
      </c>
      <c r="U311" s="3">
        <f t="shared" si="293"/>
        <v>6.1948117203800988E-4</v>
      </c>
      <c r="V311" s="3">
        <f t="shared" si="293"/>
        <v>6.194811720330695E-4</v>
      </c>
      <c r="W311" s="3">
        <f t="shared" si="293"/>
        <v>6.1948117198366598E-4</v>
      </c>
      <c r="X311" s="3">
        <f t="shared" si="293"/>
        <v>6.1948117148963094E-4</v>
      </c>
      <c r="Y311" s="3">
        <f t="shared" si="293"/>
        <v>6.1948116654927997E-4</v>
      </c>
      <c r="Z311" s="3">
        <f t="shared" si="293"/>
        <v>6.1948111714577188E-4</v>
      </c>
      <c r="AA311" s="3">
        <f t="shared" si="293"/>
        <v>6.1948062311090798E-4</v>
      </c>
      <c r="AB311" s="3">
        <f t="shared" si="293"/>
        <v>6.194756827839383E-4</v>
      </c>
      <c r="AC311" s="3">
        <f t="shared" si="293"/>
        <v>6.1942628168112793E-4</v>
      </c>
      <c r="AD311" s="3">
        <f t="shared" si="293"/>
        <v>6.1893248727764541E-4</v>
      </c>
      <c r="AE311" s="3">
        <f t="shared" si="293"/>
        <v>6.1401614192079792E-4</v>
      </c>
      <c r="AF311" s="3">
        <f t="shared" si="293"/>
        <v>5.6695016077048827E-4</v>
      </c>
      <c r="AG311" s="3"/>
      <c r="AH311" s="3"/>
    </row>
    <row r="312" spans="1:34" x14ac:dyDescent="0.25">
      <c r="B312" s="3">
        <f t="shared" ref="B312:AF312" si="294">$C42*EXP(-B$285/$A42/EXP(-$F$126))</f>
        <v>7.8921984991154562E-4</v>
      </c>
      <c r="C312" s="3">
        <f t="shared" si="294"/>
        <v>7.8921984991154562E-4</v>
      </c>
      <c r="D312" s="3">
        <f t="shared" si="294"/>
        <v>7.8921984991154562E-4</v>
      </c>
      <c r="E312" s="3">
        <f t="shared" si="294"/>
        <v>7.8921984991154562E-4</v>
      </c>
      <c r="F312" s="3">
        <f t="shared" si="294"/>
        <v>7.8921984991154562E-4</v>
      </c>
      <c r="G312" s="3">
        <f t="shared" si="294"/>
        <v>7.8921984991154562E-4</v>
      </c>
      <c r="H312" s="3">
        <f t="shared" si="294"/>
        <v>7.8921984991154562E-4</v>
      </c>
      <c r="I312" s="3">
        <f t="shared" si="294"/>
        <v>7.8921984991154562E-4</v>
      </c>
      <c r="J312" s="3">
        <f t="shared" si="294"/>
        <v>7.8921984991154562E-4</v>
      </c>
      <c r="K312" s="3">
        <f t="shared" si="294"/>
        <v>7.8921984991154562E-4</v>
      </c>
      <c r="L312" s="3">
        <f t="shared" si="294"/>
        <v>7.8921984991154562E-4</v>
      </c>
      <c r="M312" s="3">
        <f t="shared" si="294"/>
        <v>7.8921984991154562E-4</v>
      </c>
      <c r="N312" s="3">
        <f t="shared" si="294"/>
        <v>7.8921984991154562E-4</v>
      </c>
      <c r="O312" s="3">
        <f t="shared" si="294"/>
        <v>7.8921984991154562E-4</v>
      </c>
      <c r="P312" s="3">
        <f t="shared" si="294"/>
        <v>7.8921984991154562E-4</v>
      </c>
      <c r="Q312" s="3">
        <f t="shared" si="294"/>
        <v>7.8921984991154562E-4</v>
      </c>
      <c r="R312" s="3">
        <f t="shared" si="294"/>
        <v>7.8921984991154551E-4</v>
      </c>
      <c r="S312" s="3">
        <f t="shared" si="294"/>
        <v>7.8921984991154497E-4</v>
      </c>
      <c r="T312" s="3">
        <f t="shared" si="294"/>
        <v>7.8921984991153857E-4</v>
      </c>
      <c r="U312" s="3">
        <f t="shared" si="294"/>
        <v>7.8921984991147569E-4</v>
      </c>
      <c r="V312" s="3">
        <f t="shared" si="294"/>
        <v>7.8921984991084631E-4</v>
      </c>
      <c r="W312" s="3">
        <f t="shared" si="294"/>
        <v>7.8921984990455219E-4</v>
      </c>
      <c r="X312" s="3">
        <f t="shared" si="294"/>
        <v>7.892198498416122E-4</v>
      </c>
      <c r="Y312" s="3">
        <f t="shared" si="294"/>
        <v>7.8921984921221072E-4</v>
      </c>
      <c r="Z312" s="3">
        <f t="shared" si="294"/>
        <v>7.8921984291819691E-4</v>
      </c>
      <c r="AA312" s="3">
        <f t="shared" si="294"/>
        <v>7.8921977997806084E-4</v>
      </c>
      <c r="AB312" s="3">
        <f t="shared" si="294"/>
        <v>7.8921915057697696E-4</v>
      </c>
      <c r="AC312" s="3">
        <f t="shared" si="294"/>
        <v>7.8921285659374479E-4</v>
      </c>
      <c r="AD312" s="3">
        <f t="shared" si="294"/>
        <v>7.891499195220381E-4</v>
      </c>
      <c r="AE312" s="3">
        <f t="shared" si="294"/>
        <v>7.8852082478503239E-4</v>
      </c>
      <c r="AF312" s="3">
        <f t="shared" si="294"/>
        <v>7.8225739415989143E-4</v>
      </c>
      <c r="AG312" s="3"/>
      <c r="AH312" s="3"/>
    </row>
    <row r="313" spans="1:34" x14ac:dyDescent="0.25">
      <c r="B313" s="3">
        <f t="shared" ref="B313:AF313" si="295">$C43*EXP(-B$285/$A43/EXP(-$F$126))</f>
        <v>3.1383864234018747E-3</v>
      </c>
      <c r="C313" s="3">
        <f t="shared" si="295"/>
        <v>3.1383864234018747E-3</v>
      </c>
      <c r="D313" s="3">
        <f t="shared" si="295"/>
        <v>3.1383864234018747E-3</v>
      </c>
      <c r="E313" s="3">
        <f t="shared" si="295"/>
        <v>3.1383864234018747E-3</v>
      </c>
      <c r="F313" s="3">
        <f t="shared" si="295"/>
        <v>3.1383864234018747E-3</v>
      </c>
      <c r="G313" s="3">
        <f t="shared" si="295"/>
        <v>3.1383864234018747E-3</v>
      </c>
      <c r="H313" s="3">
        <f t="shared" si="295"/>
        <v>3.1383864234018747E-3</v>
      </c>
      <c r="I313" s="3">
        <f t="shared" si="295"/>
        <v>3.1383864234018747E-3</v>
      </c>
      <c r="J313" s="3">
        <f t="shared" si="295"/>
        <v>3.1383864234018747E-3</v>
      </c>
      <c r="K313" s="3">
        <f t="shared" si="295"/>
        <v>3.1383864234018747E-3</v>
      </c>
      <c r="L313" s="3">
        <f t="shared" si="295"/>
        <v>3.1383864234018747E-3</v>
      </c>
      <c r="M313" s="3">
        <f t="shared" si="295"/>
        <v>3.1383864234018747E-3</v>
      </c>
      <c r="N313" s="3">
        <f t="shared" si="295"/>
        <v>3.1383864234018747E-3</v>
      </c>
      <c r="O313" s="3">
        <f t="shared" si="295"/>
        <v>3.1383864234018747E-3</v>
      </c>
      <c r="P313" s="3">
        <f t="shared" si="295"/>
        <v>3.1383864234018747E-3</v>
      </c>
      <c r="Q313" s="3">
        <f t="shared" si="295"/>
        <v>3.1383864234018747E-3</v>
      </c>
      <c r="R313" s="3">
        <f t="shared" si="295"/>
        <v>3.1383864234018747E-3</v>
      </c>
      <c r="S313" s="3">
        <f t="shared" si="295"/>
        <v>3.1383864234018743E-3</v>
      </c>
      <c r="T313" s="3">
        <f t="shared" si="295"/>
        <v>3.1383864234018721E-3</v>
      </c>
      <c r="U313" s="3">
        <f t="shared" si="295"/>
        <v>3.138386423401847E-3</v>
      </c>
      <c r="V313" s="3">
        <f t="shared" si="295"/>
        <v>3.1383864234015967E-3</v>
      </c>
      <c r="W313" s="3">
        <f t="shared" si="295"/>
        <v>3.138386423399094E-3</v>
      </c>
      <c r="X313" s="3">
        <f t="shared" si="295"/>
        <v>3.1383864233740649E-3</v>
      </c>
      <c r="Y313" s="3">
        <f t="shared" si="295"/>
        <v>3.1383864231237795E-3</v>
      </c>
      <c r="Z313" s="3">
        <f t="shared" si="295"/>
        <v>3.1383864206209222E-3</v>
      </c>
      <c r="AA313" s="3">
        <f t="shared" si="295"/>
        <v>3.1383863955923479E-3</v>
      </c>
      <c r="AB313" s="3">
        <f t="shared" si="295"/>
        <v>3.1383861453066152E-3</v>
      </c>
      <c r="AC313" s="3">
        <f t="shared" si="295"/>
        <v>3.1383836424503874E-3</v>
      </c>
      <c r="AD313" s="3">
        <f t="shared" si="295"/>
        <v>3.1383586139978876E-3</v>
      </c>
      <c r="AE313" s="3">
        <f t="shared" si="295"/>
        <v>3.1381083404506691E-3</v>
      </c>
      <c r="AF313" s="3">
        <f t="shared" si="295"/>
        <v>3.1356067024319676E-3</v>
      </c>
      <c r="AG313" s="3"/>
      <c r="AH313" s="3"/>
    </row>
    <row r="314" spans="1:34" x14ac:dyDescent="0.25">
      <c r="B314" s="3">
        <f t="shared" ref="B314:AF314" si="296">$C44*EXP(-B$285/$A44/EXP(-$F$126))</f>
        <v>4.3963079363277776E-4</v>
      </c>
      <c r="C314" s="3">
        <f t="shared" si="296"/>
        <v>4.3963079363277776E-4</v>
      </c>
      <c r="D314" s="3">
        <f t="shared" si="296"/>
        <v>4.3963079363277776E-4</v>
      </c>
      <c r="E314" s="3">
        <f t="shared" si="296"/>
        <v>4.3963079363277776E-4</v>
      </c>
      <c r="F314" s="3">
        <f t="shared" si="296"/>
        <v>4.3963079363277776E-4</v>
      </c>
      <c r="G314" s="3">
        <f t="shared" si="296"/>
        <v>4.3963079363277776E-4</v>
      </c>
      <c r="H314" s="3">
        <f t="shared" si="296"/>
        <v>4.3963079363277776E-4</v>
      </c>
      <c r="I314" s="3">
        <f t="shared" si="296"/>
        <v>4.3963079363277776E-4</v>
      </c>
      <c r="J314" s="3">
        <f t="shared" si="296"/>
        <v>4.3963079363277776E-4</v>
      </c>
      <c r="K314" s="3">
        <f t="shared" si="296"/>
        <v>4.3963079363277776E-4</v>
      </c>
      <c r="L314" s="3">
        <f t="shared" si="296"/>
        <v>4.3963079363277776E-4</v>
      </c>
      <c r="M314" s="3">
        <f t="shared" si="296"/>
        <v>4.3963079363277776E-4</v>
      </c>
      <c r="N314" s="3">
        <f t="shared" si="296"/>
        <v>4.3963079363277776E-4</v>
      </c>
      <c r="O314" s="3">
        <f t="shared" si="296"/>
        <v>4.3963079363277776E-4</v>
      </c>
      <c r="P314" s="3">
        <f t="shared" si="296"/>
        <v>4.3963079363277776E-4</v>
      </c>
      <c r="Q314" s="3">
        <f t="shared" si="296"/>
        <v>4.3963079363277776E-4</v>
      </c>
      <c r="R314" s="3">
        <f t="shared" si="296"/>
        <v>4.3963079363277776E-4</v>
      </c>
      <c r="S314" s="3">
        <f t="shared" si="296"/>
        <v>4.3963079363277776E-4</v>
      </c>
      <c r="T314" s="3">
        <f t="shared" si="296"/>
        <v>4.396307936327777E-4</v>
      </c>
      <c r="U314" s="3">
        <f t="shared" si="296"/>
        <v>4.3963079363277738E-4</v>
      </c>
      <c r="V314" s="3">
        <f t="shared" si="296"/>
        <v>4.3963079363277386E-4</v>
      </c>
      <c r="W314" s="3">
        <f t="shared" si="296"/>
        <v>4.3963079363273884E-4</v>
      </c>
      <c r="X314" s="3">
        <f t="shared" si="296"/>
        <v>4.396307936323882E-4</v>
      </c>
      <c r="Y314" s="3">
        <f t="shared" si="296"/>
        <v>4.3963079362888211E-4</v>
      </c>
      <c r="Z314" s="3">
        <f t="shared" si="296"/>
        <v>4.3963079359382167E-4</v>
      </c>
      <c r="AA314" s="3">
        <f t="shared" si="296"/>
        <v>4.3963079324321693E-4</v>
      </c>
      <c r="AB314" s="3">
        <f t="shared" si="296"/>
        <v>4.3963078973716942E-4</v>
      </c>
      <c r="AC314" s="3">
        <f t="shared" si="296"/>
        <v>4.3963075467669548E-4</v>
      </c>
      <c r="AD314" s="3">
        <f t="shared" si="296"/>
        <v>4.396304040721104E-4</v>
      </c>
      <c r="AE314" s="3">
        <f t="shared" si="296"/>
        <v>4.3962689804163762E-4</v>
      </c>
      <c r="AF314" s="3">
        <f t="shared" si="296"/>
        <v>4.3959183927469659E-4</v>
      </c>
      <c r="AG314" s="3"/>
      <c r="AH314" s="3"/>
    </row>
    <row r="315" spans="1:34" x14ac:dyDescent="0.25">
      <c r="B315" s="3">
        <f t="shared" ref="B315:AF315" si="297">$C45*EXP(-B$285/$A45/EXP(-$F$126))</f>
        <v>3.9367491924485783E-5</v>
      </c>
      <c r="C315" s="3">
        <f t="shared" si="297"/>
        <v>3.9367491924485783E-5</v>
      </c>
      <c r="D315" s="3">
        <f t="shared" si="297"/>
        <v>3.9367491924485783E-5</v>
      </c>
      <c r="E315" s="3">
        <f t="shared" si="297"/>
        <v>3.9367491924485783E-5</v>
      </c>
      <c r="F315" s="3">
        <f t="shared" si="297"/>
        <v>3.9367491924485783E-5</v>
      </c>
      <c r="G315" s="3">
        <f t="shared" si="297"/>
        <v>3.9367491924485783E-5</v>
      </c>
      <c r="H315" s="3">
        <f t="shared" si="297"/>
        <v>3.9367491924485783E-5</v>
      </c>
      <c r="I315" s="3">
        <f t="shared" si="297"/>
        <v>3.9367491924485783E-5</v>
      </c>
      <c r="J315" s="3">
        <f t="shared" si="297"/>
        <v>3.9367491924485783E-5</v>
      </c>
      <c r="K315" s="3">
        <f t="shared" si="297"/>
        <v>3.9367491924485783E-5</v>
      </c>
      <c r="L315" s="3">
        <f t="shared" si="297"/>
        <v>3.9367491924485783E-5</v>
      </c>
      <c r="M315" s="3">
        <f t="shared" si="297"/>
        <v>3.9367491924485783E-5</v>
      </c>
      <c r="N315" s="3">
        <f t="shared" si="297"/>
        <v>3.9367491924485783E-5</v>
      </c>
      <c r="O315" s="3">
        <f t="shared" si="297"/>
        <v>3.9367491924485783E-5</v>
      </c>
      <c r="P315" s="3">
        <f t="shared" si="297"/>
        <v>3.9367491924485783E-5</v>
      </c>
      <c r="Q315" s="3">
        <f t="shared" si="297"/>
        <v>3.9367491924485783E-5</v>
      </c>
      <c r="R315" s="3">
        <f t="shared" si="297"/>
        <v>3.9367491924485783E-5</v>
      </c>
      <c r="S315" s="3">
        <f t="shared" si="297"/>
        <v>3.9367491924485783E-5</v>
      </c>
      <c r="T315" s="3">
        <f t="shared" si="297"/>
        <v>3.9367491924485783E-5</v>
      </c>
      <c r="U315" s="3">
        <f t="shared" si="297"/>
        <v>3.9367491924485776E-5</v>
      </c>
      <c r="V315" s="3">
        <f t="shared" si="297"/>
        <v>3.9367491924485749E-5</v>
      </c>
      <c r="W315" s="3">
        <f t="shared" si="297"/>
        <v>3.9367491924485431E-5</v>
      </c>
      <c r="X315" s="3">
        <f t="shared" si="297"/>
        <v>3.9367491924482293E-5</v>
      </c>
      <c r="Y315" s="3">
        <f t="shared" si="297"/>
        <v>3.9367491924450899E-5</v>
      </c>
      <c r="Z315" s="3">
        <f t="shared" si="297"/>
        <v>3.9367491924136941E-5</v>
      </c>
      <c r="AA315" s="3">
        <f t="shared" si="297"/>
        <v>3.9367491920997396E-5</v>
      </c>
      <c r="AB315" s="3">
        <f t="shared" si="297"/>
        <v>3.936749188960189E-5</v>
      </c>
      <c r="AC315" s="3">
        <f t="shared" si="297"/>
        <v>3.9367491575646865E-5</v>
      </c>
      <c r="AD315" s="3">
        <f t="shared" si="297"/>
        <v>3.9367488436096715E-5</v>
      </c>
      <c r="AE315" s="3">
        <f t="shared" si="297"/>
        <v>3.9367457040609024E-5</v>
      </c>
      <c r="AF315" s="3">
        <f t="shared" si="297"/>
        <v>3.9367143087109121E-5</v>
      </c>
      <c r="AG315" s="3"/>
      <c r="AH315" s="3"/>
    </row>
    <row r="316" spans="1:34" x14ac:dyDescent="0.25">
      <c r="B316" s="3">
        <f t="shared" ref="B316:AF316" si="298">$C46*EXP(-B$285/$A46/EXP(-$F$126))</f>
        <v>2.469113716916911E-6</v>
      </c>
      <c r="C316" s="3">
        <f t="shared" si="298"/>
        <v>2.469113716916911E-6</v>
      </c>
      <c r="D316" s="3">
        <f t="shared" si="298"/>
        <v>2.469113716916911E-6</v>
      </c>
      <c r="E316" s="3">
        <f t="shared" si="298"/>
        <v>2.469113716916911E-6</v>
      </c>
      <c r="F316" s="3">
        <f t="shared" si="298"/>
        <v>2.469113716916911E-6</v>
      </c>
      <c r="G316" s="3">
        <f t="shared" si="298"/>
        <v>2.469113716916911E-6</v>
      </c>
      <c r="H316" s="3">
        <f t="shared" si="298"/>
        <v>2.469113716916911E-6</v>
      </c>
      <c r="I316" s="3">
        <f t="shared" si="298"/>
        <v>2.469113716916911E-6</v>
      </c>
      <c r="J316" s="3">
        <f t="shared" si="298"/>
        <v>2.469113716916911E-6</v>
      </c>
      <c r="K316" s="3">
        <f t="shared" si="298"/>
        <v>2.469113716916911E-6</v>
      </c>
      <c r="L316" s="3">
        <f t="shared" si="298"/>
        <v>2.469113716916911E-6</v>
      </c>
      <c r="M316" s="3">
        <f t="shared" si="298"/>
        <v>2.469113716916911E-6</v>
      </c>
      <c r="N316" s="3">
        <f t="shared" si="298"/>
        <v>2.469113716916911E-6</v>
      </c>
      <c r="O316" s="3">
        <f t="shared" si="298"/>
        <v>2.469113716916911E-6</v>
      </c>
      <c r="P316" s="3">
        <f t="shared" si="298"/>
        <v>2.469113716916911E-6</v>
      </c>
      <c r="Q316" s="3">
        <f t="shared" si="298"/>
        <v>2.469113716916911E-6</v>
      </c>
      <c r="R316" s="3">
        <f t="shared" si="298"/>
        <v>2.469113716916911E-6</v>
      </c>
      <c r="S316" s="3">
        <f t="shared" si="298"/>
        <v>2.469113716916911E-6</v>
      </c>
      <c r="T316" s="3">
        <f t="shared" si="298"/>
        <v>2.469113716916911E-6</v>
      </c>
      <c r="U316" s="3">
        <f t="shared" si="298"/>
        <v>2.469113716916911E-6</v>
      </c>
      <c r="V316" s="3">
        <f t="shared" si="298"/>
        <v>2.4691137169169106E-6</v>
      </c>
      <c r="W316" s="3">
        <f t="shared" si="298"/>
        <v>2.4691137169169089E-6</v>
      </c>
      <c r="X316" s="3">
        <f t="shared" si="298"/>
        <v>2.469113716916889E-6</v>
      </c>
      <c r="Y316" s="3">
        <f t="shared" si="298"/>
        <v>2.4691137169166921E-6</v>
      </c>
      <c r="Z316" s="3">
        <f t="shared" si="298"/>
        <v>2.4691137169147232E-6</v>
      </c>
      <c r="AA316" s="3">
        <f t="shared" si="298"/>
        <v>2.4691137168950318E-6</v>
      </c>
      <c r="AB316" s="3">
        <f t="shared" si="298"/>
        <v>2.4691137166981207E-6</v>
      </c>
      <c r="AC316" s="3">
        <f t="shared" si="298"/>
        <v>2.4691137147290071E-6</v>
      </c>
      <c r="AD316" s="3">
        <f t="shared" si="298"/>
        <v>2.4691136950378704E-6</v>
      </c>
      <c r="AE316" s="3">
        <f t="shared" si="298"/>
        <v>2.4691134981265114E-6</v>
      </c>
      <c r="AF316" s="3">
        <f t="shared" si="298"/>
        <v>2.4691115290137859E-6</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80">
        <f>AVERAGE(B319:AF319)</f>
        <v>5.1162727025781379E-3</v>
      </c>
      <c r="B319" s="81">
        <f>IF($A$64&lt;=B285,IF($B$64&gt;=B285,ABS((B287-B286)/B286),0),0)</f>
        <v>0</v>
      </c>
      <c r="C319" s="81">
        <f t="shared" ref="C319:AF319" si="301">IF($A$64&lt;=C285,IF($B$64&gt;=C285,ABS((C287-C286)/C286),0),0)</f>
        <v>0</v>
      </c>
      <c r="D319" s="81">
        <f t="shared" si="301"/>
        <v>0</v>
      </c>
      <c r="E319" s="81">
        <f t="shared" si="301"/>
        <v>0</v>
      </c>
      <c r="F319" s="81">
        <f t="shared" si="301"/>
        <v>0</v>
      </c>
      <c r="G319" s="81">
        <f t="shared" si="301"/>
        <v>0</v>
      </c>
      <c r="H319" s="81">
        <f t="shared" si="301"/>
        <v>0</v>
      </c>
      <c r="I319" s="81">
        <f t="shared" si="301"/>
        <v>0</v>
      </c>
      <c r="J319" s="81">
        <f t="shared" si="301"/>
        <v>0</v>
      </c>
      <c r="K319" s="81">
        <f t="shared" si="301"/>
        <v>0</v>
      </c>
      <c r="L319" s="81">
        <f t="shared" si="301"/>
        <v>1.0163156381704428E-2</v>
      </c>
      <c r="M319" s="81">
        <f t="shared" si="301"/>
        <v>1.2288212272880839E-2</v>
      </c>
      <c r="N319" s="81">
        <f t="shared" si="301"/>
        <v>1.1576641661799839E-2</v>
      </c>
      <c r="O319" s="81">
        <f t="shared" si="301"/>
        <v>9.7844832457388061E-3</v>
      </c>
      <c r="P319" s="81">
        <f t="shared" si="301"/>
        <v>1.0663681279996375E-2</v>
      </c>
      <c r="Q319" s="81">
        <f t="shared" si="301"/>
        <v>8.6154056271214446E-3</v>
      </c>
      <c r="R319" s="81">
        <f t="shared" si="301"/>
        <v>2.9484999293292423E-3</v>
      </c>
      <c r="S319" s="81">
        <f t="shared" si="301"/>
        <v>9.278334733320865E-3</v>
      </c>
      <c r="T319" s="81">
        <f t="shared" si="301"/>
        <v>2.0343367009309093E-2</v>
      </c>
      <c r="U319" s="81">
        <f t="shared" si="301"/>
        <v>2.9351561400516025E-2</v>
      </c>
      <c r="V319" s="81">
        <f t="shared" si="301"/>
        <v>3.3591110238205303E-2</v>
      </c>
      <c r="W319" s="81">
        <f t="shared" si="301"/>
        <v>0</v>
      </c>
      <c r="X319" s="81">
        <f t="shared" si="301"/>
        <v>0</v>
      </c>
      <c r="Y319" s="81">
        <f t="shared" si="301"/>
        <v>0</v>
      </c>
      <c r="Z319" s="81">
        <f t="shared" si="301"/>
        <v>0</v>
      </c>
      <c r="AA319" s="81">
        <f t="shared" si="301"/>
        <v>0</v>
      </c>
      <c r="AB319" s="81">
        <f t="shared" si="301"/>
        <v>0</v>
      </c>
      <c r="AC319" s="81">
        <f t="shared" si="301"/>
        <v>0</v>
      </c>
      <c r="AD319" s="81">
        <f t="shared" si="301"/>
        <v>0</v>
      </c>
      <c r="AE319" s="81">
        <f t="shared" si="301"/>
        <v>0</v>
      </c>
      <c r="AF319" s="81">
        <f t="shared" si="301"/>
        <v>0</v>
      </c>
    </row>
    <row r="320" spans="1:34" x14ac:dyDescent="0.25">
      <c r="B320" s="21">
        <f>(B287-B286)^2</f>
        <v>3988.3125892258727</v>
      </c>
      <c r="C320" s="21">
        <f t="shared" ref="C320:AF320" si="302">(C287-C286)^2</f>
        <v>31679.881366584439</v>
      </c>
      <c r="D320" s="21">
        <f t="shared" si="302"/>
        <v>68007.470546640368</v>
      </c>
      <c r="E320" s="21">
        <f t="shared" si="302"/>
        <v>362795.68263010331</v>
      </c>
      <c r="F320" s="21">
        <f t="shared" si="302"/>
        <v>231027.20305835948</v>
      </c>
      <c r="G320" s="21">
        <f t="shared" si="302"/>
        <v>122991.08368210161</v>
      </c>
      <c r="H320" s="21">
        <f t="shared" si="302"/>
        <v>42366.823904370351</v>
      </c>
      <c r="I320" s="21">
        <f t="shared" si="302"/>
        <v>3166.2562333705969</v>
      </c>
      <c r="J320" s="21">
        <f t="shared" si="302"/>
        <v>1712.6356497580339</v>
      </c>
      <c r="K320" s="21">
        <f t="shared" si="302"/>
        <v>2758.1015958063995</v>
      </c>
      <c r="L320" s="21">
        <f t="shared" si="302"/>
        <v>1726.7343255320122</v>
      </c>
      <c r="M320" s="21">
        <f t="shared" si="302"/>
        <v>2280.8928220224902</v>
      </c>
      <c r="N320" s="21">
        <f t="shared" si="302"/>
        <v>1809.0674071479409</v>
      </c>
      <c r="O320" s="21">
        <f t="shared" si="302"/>
        <v>1166.4072229339213</v>
      </c>
      <c r="P320" s="21">
        <f t="shared" si="302"/>
        <v>1259.9402621619161</v>
      </c>
      <c r="Q320" s="21">
        <f t="shared" si="302"/>
        <v>742.42924763003111</v>
      </c>
      <c r="R320" s="21">
        <f t="shared" si="302"/>
        <v>77.673224163139338</v>
      </c>
      <c r="S320" s="21">
        <f t="shared" si="302"/>
        <v>674.05135510061996</v>
      </c>
      <c r="T320" s="21">
        <f t="shared" si="302"/>
        <v>2796.5741482140643</v>
      </c>
      <c r="U320" s="21">
        <f t="shared" si="302"/>
        <v>4921.3351905329373</v>
      </c>
      <c r="V320" s="21">
        <f t="shared" si="302"/>
        <v>5339.8259455780617</v>
      </c>
      <c r="W320" s="21">
        <f t="shared" si="302"/>
        <v>3876.7911116240189</v>
      </c>
      <c r="X320" s="21">
        <f t="shared" si="302"/>
        <v>1004.515579816553</v>
      </c>
      <c r="Y320" s="21">
        <f t="shared" si="302"/>
        <v>27.871548562237297</v>
      </c>
      <c r="Z320" s="21">
        <f t="shared" si="302"/>
        <v>936.4261313489983</v>
      </c>
      <c r="AA320" s="21">
        <f t="shared" si="302"/>
        <v>1243.8139171264463</v>
      </c>
      <c r="AB320" s="21">
        <f t="shared" si="302"/>
        <v>747.38632367355206</v>
      </c>
      <c r="AC320" s="21">
        <f t="shared" si="302"/>
        <v>212.8896071749503</v>
      </c>
      <c r="AD320" s="21">
        <f t="shared" si="302"/>
        <v>53.348645479470235</v>
      </c>
      <c r="AE320" s="21">
        <f t="shared" si="302"/>
        <v>5.9911709456477267</v>
      </c>
      <c r="AF320" s="21">
        <f t="shared" si="302"/>
        <v>2.3121880661584542</v>
      </c>
      <c r="AG320" s="3"/>
      <c r="AH320" s="3"/>
    </row>
    <row r="321" spans="1:34" x14ac:dyDescent="0.25">
      <c r="A321" s="72">
        <f>SUM(B321:AF321)</f>
        <v>22794.931151017132</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1726.7343255320122</v>
      </c>
      <c r="M321" s="60">
        <f t="shared" ref="M321" si="313">IF($A$64&lt;=M285,IF($B$64&gt;=M285,ABS(M320),0),0)</f>
        <v>2280.8928220224902</v>
      </c>
      <c r="N321" s="60">
        <f t="shared" ref="N321" si="314">IF($A$64&lt;=N285,IF($B$64&gt;=N285,ABS(N320),0),0)</f>
        <v>1809.0674071479409</v>
      </c>
      <c r="O321" s="60">
        <f t="shared" ref="O321" si="315">IF($A$64&lt;=O285,IF($B$64&gt;=O285,ABS(O320),0),0)</f>
        <v>1166.4072229339213</v>
      </c>
      <c r="P321" s="60">
        <f t="shared" ref="P321" si="316">IF($A$64&lt;=P285,IF($B$64&gt;=P285,ABS(P320),0),0)</f>
        <v>1259.9402621619161</v>
      </c>
      <c r="Q321" s="60">
        <f t="shared" ref="Q321" si="317">IF($A$64&lt;=Q285,IF($B$64&gt;=Q285,ABS(Q320),0),0)</f>
        <v>742.42924763003111</v>
      </c>
      <c r="R321" s="60">
        <f t="shared" ref="R321" si="318">IF($A$64&lt;=R285,IF($B$64&gt;=R285,ABS(R320),0),0)</f>
        <v>77.673224163139338</v>
      </c>
      <c r="S321" s="60">
        <f t="shared" ref="S321" si="319">IF($A$64&lt;=S285,IF($B$64&gt;=S285,ABS(S320),0),0)</f>
        <v>674.05135510061996</v>
      </c>
      <c r="T321" s="60">
        <f t="shared" ref="T321" si="320">IF($A$64&lt;=T285,IF($B$64&gt;=T285,ABS(T320),0),0)</f>
        <v>2796.5741482140643</v>
      </c>
      <c r="U321" s="60">
        <f t="shared" ref="U321" si="321">IF($A$64&lt;=U285,IF($B$64&gt;=U285,ABS(U320),0),0)</f>
        <v>4921.3351905329373</v>
      </c>
      <c r="V321" s="60">
        <f t="shared" ref="V321" si="322">IF($A$64&lt;=V285,IF($B$64&gt;=V285,ABS(V320),0),0)</f>
        <v>5339.8259455780617</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8" t="s">
        <v>22</v>
      </c>
      <c r="B326" s="27">
        <f>($C$17+SUM(B327:B357))*$B$51</f>
        <v>4509.2472234088873</v>
      </c>
      <c r="C326" s="27">
        <f t="shared" ref="C326:AF326" si="333">($C$17+SUM(C327:C357))*$B$51</f>
        <v>4442.1216120067538</v>
      </c>
      <c r="D326" s="27">
        <f t="shared" si="333"/>
        <v>4192.124772971827</v>
      </c>
      <c r="E326" s="27">
        <f t="shared" si="333"/>
        <v>4038.341154265273</v>
      </c>
      <c r="F326" s="27">
        <f t="shared" si="333"/>
        <v>3826.5539896641908</v>
      </c>
      <c r="G326" s="27">
        <f t="shared" si="333"/>
        <v>3620.2298590651062</v>
      </c>
      <c r="H326" s="27">
        <f t="shared" si="333"/>
        <v>3446.6267421552257</v>
      </c>
      <c r="I326" s="27">
        <f t="shared" si="333"/>
        <v>3283.5731079450366</v>
      </c>
      <c r="J326" s="27">
        <f t="shared" si="333"/>
        <v>3126.1174764787643</v>
      </c>
      <c r="K326" s="27">
        <f t="shared" si="333"/>
        <v>2971.0305899834079</v>
      </c>
      <c r="L326" s="27">
        <f t="shared" si="333"/>
        <v>2814.7997079696065</v>
      </c>
      <c r="M326" s="27">
        <f t="shared" si="333"/>
        <v>2641.7196885367548</v>
      </c>
      <c r="N326" s="27">
        <f t="shared" si="333"/>
        <v>2448.8980006496299</v>
      </c>
      <c r="O326" s="27">
        <f t="shared" si="333"/>
        <v>2236.129729097142</v>
      </c>
      <c r="P326" s="27">
        <f t="shared" si="333"/>
        <v>1993.0657502224381</v>
      </c>
      <c r="Q326" s="27">
        <f t="shared" si="333"/>
        <v>1708.1145732727298</v>
      </c>
      <c r="R326" s="27">
        <f t="shared" si="333"/>
        <v>1382.8501959858404</v>
      </c>
      <c r="S326" s="27">
        <f t="shared" si="333"/>
        <v>1045.4690201986243</v>
      </c>
      <c r="T326" s="27">
        <f t="shared" si="333"/>
        <v>743.47837860618199</v>
      </c>
      <c r="U326" s="27">
        <f t="shared" si="333"/>
        <v>519.52715379757433</v>
      </c>
      <c r="V326" s="27">
        <f t="shared" si="333"/>
        <v>383.51542090280253</v>
      </c>
      <c r="W326" s="27">
        <f t="shared" si="333"/>
        <v>314.10967533537786</v>
      </c>
      <c r="X326" s="27">
        <f t="shared" si="333"/>
        <v>280.70723427381319</v>
      </c>
      <c r="Y326" s="27">
        <f t="shared" si="333"/>
        <v>262.24168340029593</v>
      </c>
      <c r="Z326" s="27">
        <f t="shared" si="333"/>
        <v>250.54255895588091</v>
      </c>
      <c r="AA326" s="27">
        <f t="shared" si="333"/>
        <v>245.35932199753518</v>
      </c>
      <c r="AB326" s="27">
        <f t="shared" si="333"/>
        <v>234.05624604675268</v>
      </c>
      <c r="AC326" s="27">
        <f t="shared" si="333"/>
        <v>226.2306523080274</v>
      </c>
      <c r="AD326" s="27">
        <f t="shared" si="333"/>
        <v>225.20210481496881</v>
      </c>
      <c r="AE326" s="27">
        <f t="shared" si="333"/>
        <v>225.11325080708798</v>
      </c>
      <c r="AF326" s="27">
        <f t="shared" si="333"/>
        <v>225.10814174827595</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5.5467504256249509E-2</v>
      </c>
      <c r="C328" s="3">
        <f t="shared" si="335"/>
        <v>4.4047260610311015E-2</v>
      </c>
      <c r="D328" s="3">
        <f t="shared" si="335"/>
        <v>4.3926003258304399E-3</v>
      </c>
      <c r="E328" s="3">
        <f t="shared" si="335"/>
        <v>4.2731638406779992E-13</v>
      </c>
      <c r="F328" s="3">
        <f t="shared" si="335"/>
        <v>3.2436060202081477E-113</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2.1864180850079643E-2</v>
      </c>
      <c r="C329" s="3">
        <f t="shared" si="336"/>
        <v>2.1414186425125721E-2</v>
      </c>
      <c r="D329" s="3">
        <f t="shared" si="336"/>
        <v>1.7393431104280165E-2</v>
      </c>
      <c r="E329" s="3">
        <f t="shared" si="336"/>
        <v>2.1738125025629568E-3</v>
      </c>
      <c r="F329" s="3">
        <f t="shared" si="336"/>
        <v>2.0211115870068046E-12</v>
      </c>
      <c r="G329" s="3">
        <f t="shared" si="336"/>
        <v>9.7560134025484328E-103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4.2171192803565495E-2</v>
      </c>
      <c r="C330" s="3">
        <f t="shared" si="337"/>
        <v>4.2092154595069382E-2</v>
      </c>
      <c r="D330" s="3">
        <f t="shared" si="337"/>
        <v>4.1309874307464273E-2</v>
      </c>
      <c r="E330" s="3">
        <f t="shared" si="337"/>
        <v>3.4243728193468818E-2</v>
      </c>
      <c r="F330" s="3">
        <f t="shared" si="337"/>
        <v>5.2462951256414588E-3</v>
      </c>
      <c r="G330" s="3">
        <f t="shared" si="337"/>
        <v>3.7373991586987738E-11</v>
      </c>
      <c r="H330" s="3">
        <f t="shared" si="337"/>
        <v>1.2581636699248378E-92</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3.9493572867364053E-2</v>
      </c>
      <c r="C331" s="3">
        <f t="shared" si="338"/>
        <v>3.94868899702987E-2</v>
      </c>
      <c r="D331" s="3">
        <f t="shared" si="338"/>
        <v>3.9420123164562448E-2</v>
      </c>
      <c r="E331" s="3">
        <f t="shared" si="338"/>
        <v>3.8758632850073457E-2</v>
      </c>
      <c r="F331" s="3">
        <f t="shared" si="338"/>
        <v>3.2724511850903498E-2</v>
      </c>
      <c r="G331" s="3">
        <f t="shared" si="338"/>
        <v>6.0244922541552049E-3</v>
      </c>
      <c r="H331" s="3">
        <f t="shared" si="338"/>
        <v>2.6939726624215654E-10</v>
      </c>
      <c r="I331" s="3">
        <f t="shared" si="338"/>
        <v>8.6123272608690859E-84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3.1232233992361837E-2</v>
      </c>
      <c r="C332" s="3">
        <f t="shared" si="339"/>
        <v>3.1231757208639577E-2</v>
      </c>
      <c r="D332" s="3">
        <f t="shared" si="339"/>
        <v>3.1226989771714224E-2</v>
      </c>
      <c r="E332" s="3">
        <f t="shared" si="339"/>
        <v>3.1179355409583106E-2</v>
      </c>
      <c r="F332" s="3">
        <f t="shared" si="339"/>
        <v>3.0706989994977708E-2</v>
      </c>
      <c r="G332" s="3">
        <f t="shared" si="339"/>
        <v>2.635957460893092E-2</v>
      </c>
      <c r="H332" s="3">
        <f t="shared" si="339"/>
        <v>5.727299517332995E-3</v>
      </c>
      <c r="I332" s="3">
        <f t="shared" si="339"/>
        <v>1.3429655742532629E-9</v>
      </c>
      <c r="J332" s="3">
        <f t="shared" si="339"/>
        <v>6.7486160891662778E-76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3.05469452016277E-2</v>
      </c>
      <c r="C333" s="3">
        <f t="shared" si="340"/>
        <v>3.0546903135187441E-2</v>
      </c>
      <c r="D333" s="3">
        <f t="shared" si="340"/>
        <v>3.0546482473970977E-2</v>
      </c>
      <c r="E333" s="3">
        <f t="shared" si="340"/>
        <v>3.0542276180403911E-2</v>
      </c>
      <c r="F333" s="3">
        <f t="shared" si="340"/>
        <v>3.050024508826624E-2</v>
      </c>
      <c r="G333" s="3">
        <f t="shared" si="340"/>
        <v>3.0083102354535644E-2</v>
      </c>
      <c r="H333" s="3">
        <f t="shared" si="340"/>
        <v>2.621292850450066E-2</v>
      </c>
      <c r="I333" s="3">
        <f t="shared" si="340"/>
        <v>6.6137040807712384E-3</v>
      </c>
      <c r="J333" s="3">
        <f t="shared" si="340"/>
        <v>6.9141201426693461E-9</v>
      </c>
      <c r="K333" s="3">
        <f t="shared" si="340"/>
        <v>1.0780987613303868E-68</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2.9181011732921751E-2</v>
      </c>
      <c r="C334" s="3">
        <f t="shared" si="341"/>
        <v>2.9181008107861867E-2</v>
      </c>
      <c r="D334" s="3">
        <f t="shared" si="341"/>
        <v>2.9180971857287803E-2</v>
      </c>
      <c r="E334" s="3">
        <f t="shared" si="341"/>
        <v>2.9180609354023987E-2</v>
      </c>
      <c r="F334" s="3">
        <f t="shared" si="341"/>
        <v>2.9176984569054185E-2</v>
      </c>
      <c r="G334" s="3">
        <f t="shared" si="341"/>
        <v>2.9140761474815979E-2</v>
      </c>
      <c r="H334" s="3">
        <f t="shared" si="341"/>
        <v>2.878099473755585E-2</v>
      </c>
      <c r="I334" s="3">
        <f t="shared" si="341"/>
        <v>2.541878805352368E-2</v>
      </c>
      <c r="J334" s="3">
        <f t="shared" si="341"/>
        <v>7.3391411150625389E-3</v>
      </c>
      <c r="K334" s="3">
        <f t="shared" si="341"/>
        <v>2.9549437759035332E-8</v>
      </c>
      <c r="L334" s="3">
        <f t="shared" si="341"/>
        <v>3.308179440693292E-62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2.8956161468773344E-2</v>
      </c>
      <c r="C335" s="3">
        <f t="shared" si="342"/>
        <v>2.89561611442825E-2</v>
      </c>
      <c r="D335" s="3">
        <f t="shared" si="342"/>
        <v>2.8956157899374273E-2</v>
      </c>
      <c r="E335" s="3">
        <f t="shared" si="342"/>
        <v>2.8956125450312016E-2</v>
      </c>
      <c r="F335" s="3">
        <f t="shared" si="342"/>
        <v>2.8955800961689409E-2</v>
      </c>
      <c r="G335" s="3">
        <f t="shared" si="342"/>
        <v>2.8952556275452547E-2</v>
      </c>
      <c r="H335" s="3">
        <f t="shared" si="342"/>
        <v>2.8920129403716251E-2</v>
      </c>
      <c r="I335" s="3">
        <f t="shared" si="342"/>
        <v>2.8597851485611253E-2</v>
      </c>
      <c r="J335" s="3">
        <f t="shared" si="342"/>
        <v>2.5566139370803119E-2</v>
      </c>
      <c r="K335" s="3">
        <f t="shared" si="342"/>
        <v>8.3364780027051257E-3</v>
      </c>
      <c r="L335" s="3">
        <f t="shared" si="342"/>
        <v>1.1328102579490546E-7</v>
      </c>
      <c r="M335" s="3">
        <f t="shared" si="342"/>
        <v>2.4316598157446522E-56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2.8549428507206358E-2</v>
      </c>
      <c r="C336" s="3">
        <f t="shared" si="343"/>
        <v>2.854942847834575E-2</v>
      </c>
      <c r="D336" s="3">
        <f t="shared" si="343"/>
        <v>2.8549428189739677E-2</v>
      </c>
      <c r="E336" s="3">
        <f t="shared" si="343"/>
        <v>2.8549425303679109E-2</v>
      </c>
      <c r="F336" s="3">
        <f t="shared" si="343"/>
        <v>2.8549396443089476E-2</v>
      </c>
      <c r="G336" s="3">
        <f t="shared" si="343"/>
        <v>2.8549107838797789E-2</v>
      </c>
      <c r="H336" s="3">
        <f t="shared" si="343"/>
        <v>2.8546221956337717E-2</v>
      </c>
      <c r="I336" s="3">
        <f t="shared" si="343"/>
        <v>2.8517379171418111E-2</v>
      </c>
      <c r="J336" s="3">
        <f t="shared" si="343"/>
        <v>2.8230549307156422E-2</v>
      </c>
      <c r="K336" s="3">
        <f t="shared" si="343"/>
        <v>2.5516230368943515E-2</v>
      </c>
      <c r="L336" s="3">
        <f t="shared" si="343"/>
        <v>9.2851381982139158E-3</v>
      </c>
      <c r="M336" s="3">
        <f t="shared" si="343"/>
        <v>3.7801318517208564E-7</v>
      </c>
      <c r="N336" s="3">
        <f t="shared" si="343"/>
        <v>4.7281659527670224E-51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3.3916990025696009E-2</v>
      </c>
      <c r="C337" s="3">
        <f t="shared" si="344"/>
        <v>3.3916990022603066E-2</v>
      </c>
      <c r="D337" s="3">
        <f t="shared" si="344"/>
        <v>3.3916989991673641E-2</v>
      </c>
      <c r="E337" s="3">
        <f t="shared" si="344"/>
        <v>3.3916989682379321E-2</v>
      </c>
      <c r="F337" s="3">
        <f t="shared" si="344"/>
        <v>3.3916986589436302E-2</v>
      </c>
      <c r="G337" s="3">
        <f t="shared" si="344"/>
        <v>3.3916955660021612E-2</v>
      </c>
      <c r="H337" s="3">
        <f t="shared" si="344"/>
        <v>3.3916646367426057E-2</v>
      </c>
      <c r="I337" s="3">
        <f t="shared" si="344"/>
        <v>3.391355359659233E-2</v>
      </c>
      <c r="J337" s="3">
        <f t="shared" si="344"/>
        <v>3.3882641395207982E-2</v>
      </c>
      <c r="K337" s="3">
        <f t="shared" si="344"/>
        <v>3.3575064857209347E-2</v>
      </c>
      <c r="L337" s="3">
        <f t="shared" si="344"/>
        <v>3.064875725621077E-2</v>
      </c>
      <c r="M337" s="3">
        <f t="shared" si="344"/>
        <v>1.2313257491816984E-2</v>
      </c>
      <c r="N337" s="3">
        <f t="shared" si="344"/>
        <v>1.3488817568025385E-6</v>
      </c>
      <c r="O337" s="3">
        <f t="shared" si="344"/>
        <v>3.3572453184869696E-46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3.6686036889354505E-2</v>
      </c>
      <c r="C338" s="3">
        <f t="shared" si="345"/>
        <v>3.6686036889052719E-2</v>
      </c>
      <c r="D338" s="3">
        <f t="shared" si="345"/>
        <v>3.6686036886034841E-2</v>
      </c>
      <c r="E338" s="3">
        <f t="shared" si="345"/>
        <v>3.6686036855856037E-2</v>
      </c>
      <c r="F338" s="3">
        <f t="shared" si="345"/>
        <v>3.6686036554067998E-2</v>
      </c>
      <c r="G338" s="3">
        <f t="shared" si="345"/>
        <v>3.6686033536187712E-2</v>
      </c>
      <c r="H338" s="3">
        <f t="shared" si="345"/>
        <v>3.6686003357398571E-2</v>
      </c>
      <c r="I338" s="3">
        <f t="shared" si="345"/>
        <v>3.6685701570872524E-2</v>
      </c>
      <c r="J338" s="3">
        <f t="shared" si="345"/>
        <v>3.6682683842149365E-2</v>
      </c>
      <c r="K338" s="3">
        <f t="shared" si="345"/>
        <v>3.6652520204491397E-2</v>
      </c>
      <c r="L338" s="3">
        <f t="shared" si="345"/>
        <v>3.6352244639865354E-2</v>
      </c>
      <c r="M338" s="3">
        <f t="shared" si="345"/>
        <v>3.3481517840704265E-2</v>
      </c>
      <c r="N338" s="3">
        <f t="shared" si="345"/>
        <v>1.4707680722419727E-2</v>
      </c>
      <c r="O338" s="3">
        <f t="shared" si="345"/>
        <v>3.9349095107193607E-6</v>
      </c>
      <c r="P338" s="3">
        <f t="shared" si="345"/>
        <v>7.3933337160736325E-42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4.0919511658408736E-2</v>
      </c>
      <c r="C339" s="3">
        <f t="shared" si="346"/>
        <v>4.0919511658378364E-2</v>
      </c>
      <c r="D339" s="3">
        <f t="shared" si="346"/>
        <v>4.0919511658074711E-2</v>
      </c>
      <c r="E339" s="3">
        <f t="shared" si="346"/>
        <v>4.0919511655038182E-2</v>
      </c>
      <c r="F339" s="3">
        <f t="shared" si="346"/>
        <v>4.0919511624672833E-2</v>
      </c>
      <c r="G339" s="3">
        <f t="shared" si="346"/>
        <v>4.0919511321019356E-2</v>
      </c>
      <c r="H339" s="3">
        <f t="shared" si="346"/>
        <v>4.0919508284484679E-2</v>
      </c>
      <c r="I339" s="3">
        <f t="shared" si="346"/>
        <v>4.0919477919150384E-2</v>
      </c>
      <c r="J339" s="3">
        <f t="shared" si="346"/>
        <v>4.0919174267046735E-2</v>
      </c>
      <c r="K339" s="3">
        <f t="shared" si="346"/>
        <v>4.0916137869939979E-2</v>
      </c>
      <c r="L339" s="3">
        <f t="shared" si="346"/>
        <v>4.0885786288443998E-2</v>
      </c>
      <c r="M339" s="3">
        <f t="shared" si="346"/>
        <v>4.0583506035608521E-2</v>
      </c>
      <c r="N339" s="3">
        <f t="shared" si="346"/>
        <v>3.7680933553168108E-2</v>
      </c>
      <c r="O339" s="3">
        <f t="shared" si="346"/>
        <v>1.7940831234196594E-2</v>
      </c>
      <c r="P339" s="3">
        <f t="shared" si="346"/>
        <v>1.0741170982862864E-5</v>
      </c>
      <c r="Q339" s="3">
        <f t="shared" si="346"/>
        <v>6.3553916689232567E-38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4.7755707575506151E-2</v>
      </c>
      <c r="C340" s="3">
        <f t="shared" si="347"/>
        <v>4.7755707575502952E-2</v>
      </c>
      <c r="D340" s="3">
        <f t="shared" si="347"/>
        <v>4.7755707575470985E-2</v>
      </c>
      <c r="E340" s="3">
        <f t="shared" si="347"/>
        <v>4.7755707575151303E-2</v>
      </c>
      <c r="F340" s="3">
        <f t="shared" si="347"/>
        <v>4.7755707571954471E-2</v>
      </c>
      <c r="G340" s="3">
        <f t="shared" si="347"/>
        <v>4.7755707539986161E-2</v>
      </c>
      <c r="H340" s="3">
        <f t="shared" si="347"/>
        <v>4.7755707220303048E-2</v>
      </c>
      <c r="I340" s="3">
        <f t="shared" si="347"/>
        <v>4.775570402347204E-2</v>
      </c>
      <c r="J340" s="3">
        <f t="shared" si="347"/>
        <v>4.775567205517374E-2</v>
      </c>
      <c r="K340" s="3">
        <f t="shared" si="347"/>
        <v>4.775535237336774E-2</v>
      </c>
      <c r="L340" s="3">
        <f t="shared" si="347"/>
        <v>4.7752155673004559E-2</v>
      </c>
      <c r="M340" s="3">
        <f t="shared" si="347"/>
        <v>4.7720200436143334E-2</v>
      </c>
      <c r="N340" s="3">
        <f t="shared" si="347"/>
        <v>4.7401821835370221E-2</v>
      </c>
      <c r="O340" s="3">
        <f t="shared" si="347"/>
        <v>4.4332556712270828E-2</v>
      </c>
      <c r="P340" s="3">
        <f t="shared" si="347"/>
        <v>2.2698660294287073E-2</v>
      </c>
      <c r="Q340" s="3">
        <f t="shared" si="347"/>
        <v>2.8104424410193595E-5</v>
      </c>
      <c r="R340" s="3">
        <f t="shared" si="347"/>
        <v>2.3796845674204369E-34</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5.7469214785363376E-2</v>
      </c>
      <c r="C341" s="3">
        <f t="shared" si="348"/>
        <v>5.7469214785363036E-2</v>
      </c>
      <c r="D341" s="3">
        <f t="shared" si="348"/>
        <v>5.7469214785359567E-2</v>
      </c>
      <c r="E341" s="3">
        <f t="shared" si="348"/>
        <v>5.7469214785324858E-2</v>
      </c>
      <c r="F341" s="3">
        <f t="shared" si="348"/>
        <v>5.7469214784977823E-2</v>
      </c>
      <c r="G341" s="3">
        <f t="shared" si="348"/>
        <v>5.7469214781507447E-2</v>
      </c>
      <c r="H341" s="3">
        <f t="shared" si="348"/>
        <v>5.7469214746803707E-2</v>
      </c>
      <c r="I341" s="3">
        <f t="shared" si="348"/>
        <v>5.7469214399766322E-2</v>
      </c>
      <c r="J341" s="3">
        <f t="shared" si="348"/>
        <v>5.7469210929392563E-2</v>
      </c>
      <c r="K341" s="3">
        <f t="shared" si="348"/>
        <v>5.7469176225666503E-2</v>
      </c>
      <c r="L341" s="3">
        <f t="shared" si="348"/>
        <v>5.7468829189558548E-2</v>
      </c>
      <c r="M341" s="3">
        <f t="shared" si="348"/>
        <v>5.746535894373643E-2</v>
      </c>
      <c r="N341" s="3">
        <f t="shared" si="348"/>
        <v>5.7430668008690025E-2</v>
      </c>
      <c r="O341" s="3">
        <f t="shared" si="348"/>
        <v>5.7084908405224614E-2</v>
      </c>
      <c r="P341" s="3">
        <f t="shared" si="348"/>
        <v>5.3739759150310012E-2</v>
      </c>
      <c r="Q341" s="3">
        <f t="shared" si="348"/>
        <v>2.9379187916441916E-2</v>
      </c>
      <c r="R341" s="3">
        <f t="shared" si="348"/>
        <v>7.0061672590463351E-5</v>
      </c>
      <c r="S341" s="3">
        <f t="shared" si="348"/>
        <v>4.1676154645063454E-31</v>
      </c>
      <c r="T341" s="3">
        <f t="shared" si="348"/>
        <v>2.3118467347498081E-293</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6.4260885650205504E-2</v>
      </c>
      <c r="C342" s="3">
        <f t="shared" si="349"/>
        <v>6.4260885650205476E-2</v>
      </c>
      <c r="D342" s="3">
        <f t="shared" si="349"/>
        <v>6.426088565020513E-2</v>
      </c>
      <c r="E342" s="3">
        <f t="shared" si="349"/>
        <v>6.4260885650201632E-2</v>
      </c>
      <c r="F342" s="3">
        <f t="shared" si="349"/>
        <v>6.4260885650166619E-2</v>
      </c>
      <c r="G342" s="3">
        <f t="shared" si="349"/>
        <v>6.4260885649816579E-2</v>
      </c>
      <c r="H342" s="3">
        <f t="shared" si="349"/>
        <v>6.4260885646316032E-2</v>
      </c>
      <c r="I342" s="3">
        <f t="shared" si="349"/>
        <v>6.42608856113107E-2</v>
      </c>
      <c r="J342" s="3">
        <f t="shared" si="349"/>
        <v>6.4260885261257297E-2</v>
      </c>
      <c r="K342" s="3">
        <f t="shared" si="349"/>
        <v>6.4260881760723407E-2</v>
      </c>
      <c r="L342" s="3">
        <f t="shared" si="349"/>
        <v>6.4260846755394993E-2</v>
      </c>
      <c r="M342" s="3">
        <f t="shared" si="349"/>
        <v>6.4260496703159614E-2</v>
      </c>
      <c r="N342" s="3">
        <f t="shared" si="349"/>
        <v>6.4256996285681448E-2</v>
      </c>
      <c r="O342" s="3">
        <f t="shared" si="349"/>
        <v>6.4222002596356048E-2</v>
      </c>
      <c r="P342" s="3">
        <f t="shared" si="349"/>
        <v>6.3873112138420618E-2</v>
      </c>
      <c r="Q342" s="3">
        <f t="shared" si="349"/>
        <v>6.0486772348399762E-2</v>
      </c>
      <c r="R342" s="3">
        <f t="shared" si="349"/>
        <v>3.5081951629772554E-2</v>
      </c>
      <c r="S342" s="3">
        <f t="shared" si="349"/>
        <v>1.5111831188619748E-4</v>
      </c>
      <c r="T342" s="3">
        <f t="shared" si="349"/>
        <v>3.3239200904153504E-28</v>
      </c>
      <c r="U342" s="3">
        <f t="shared" si="349"/>
        <v>8.8101922201205177E-265</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6.2189536822504186E-2</v>
      </c>
      <c r="C343" s="3">
        <f t="shared" si="350"/>
        <v>6.2189536822504186E-2</v>
      </c>
      <c r="D343" s="3">
        <f t="shared" si="350"/>
        <v>6.2189536822504152E-2</v>
      </c>
      <c r="E343" s="3">
        <f t="shared" si="350"/>
        <v>6.2189536822503846E-2</v>
      </c>
      <c r="F343" s="3">
        <f t="shared" si="350"/>
        <v>6.2189536822500786E-2</v>
      </c>
      <c r="G343" s="3">
        <f t="shared" si="350"/>
        <v>6.2189536822470227E-2</v>
      </c>
      <c r="H343" s="3">
        <f t="shared" si="350"/>
        <v>6.2189536822164632E-2</v>
      </c>
      <c r="I343" s="3">
        <f t="shared" si="350"/>
        <v>6.2189536819108646E-2</v>
      </c>
      <c r="J343" s="3">
        <f t="shared" si="350"/>
        <v>6.2189536788548772E-2</v>
      </c>
      <c r="K343" s="3">
        <f t="shared" si="350"/>
        <v>6.2189536482950072E-2</v>
      </c>
      <c r="L343" s="3">
        <f t="shared" si="350"/>
        <v>6.218953342696313E-2</v>
      </c>
      <c r="M343" s="3">
        <f t="shared" si="350"/>
        <v>6.2189502867101946E-2</v>
      </c>
      <c r="N343" s="3">
        <f t="shared" si="350"/>
        <v>6.2189197269316071E-2</v>
      </c>
      <c r="O343" s="3">
        <f t="shared" si="350"/>
        <v>6.2186141374049618E-2</v>
      </c>
      <c r="P343" s="3">
        <f t="shared" si="350"/>
        <v>6.2155590679114497E-2</v>
      </c>
      <c r="Q343" s="3">
        <f t="shared" si="350"/>
        <v>6.1850908003278755E-2</v>
      </c>
      <c r="R343" s="3">
        <f t="shared" si="350"/>
        <v>5.8885029417207663E-2</v>
      </c>
      <c r="S343" s="3">
        <f t="shared" si="350"/>
        <v>3.6024093658024538E-2</v>
      </c>
      <c r="T343" s="3">
        <f t="shared" si="350"/>
        <v>2.6452987713788137E-4</v>
      </c>
      <c r="U343" s="3">
        <f t="shared" si="350"/>
        <v>1.2058447635422001E-25</v>
      </c>
      <c r="V343" s="3">
        <f t="shared" si="350"/>
        <v>4.6715189754165266E-239</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4.8803099741359754E-2</v>
      </c>
      <c r="C344" s="3">
        <f t="shared" si="351"/>
        <v>4.8803099741359754E-2</v>
      </c>
      <c r="D344" s="3">
        <f t="shared" si="351"/>
        <v>4.8803099741359754E-2</v>
      </c>
      <c r="E344" s="3">
        <f t="shared" si="351"/>
        <v>4.8803099741359733E-2</v>
      </c>
      <c r="F344" s="3">
        <f t="shared" si="351"/>
        <v>4.8803099741359518E-2</v>
      </c>
      <c r="G344" s="3">
        <f t="shared" si="351"/>
        <v>4.8803099741357346E-2</v>
      </c>
      <c r="H344" s="3">
        <f t="shared" si="351"/>
        <v>4.8803099741335718E-2</v>
      </c>
      <c r="I344" s="3">
        <f t="shared" si="351"/>
        <v>4.8803099741119377E-2</v>
      </c>
      <c r="J344" s="3">
        <f t="shared" si="351"/>
        <v>4.8803099738956024E-2</v>
      </c>
      <c r="K344" s="3">
        <f t="shared" si="351"/>
        <v>4.8803099717322454E-2</v>
      </c>
      <c r="L344" s="3">
        <f t="shared" si="351"/>
        <v>4.8803099500986762E-2</v>
      </c>
      <c r="M344" s="3">
        <f t="shared" si="351"/>
        <v>4.8803097337629865E-2</v>
      </c>
      <c r="N344" s="3">
        <f t="shared" si="351"/>
        <v>4.8803075704066216E-2</v>
      </c>
      <c r="O344" s="3">
        <f t="shared" si="351"/>
        <v>4.8802859368957133E-2</v>
      </c>
      <c r="P344" s="3">
        <f t="shared" si="351"/>
        <v>4.8800696070609224E-2</v>
      </c>
      <c r="Q344" s="3">
        <f t="shared" si="351"/>
        <v>4.8779068360551819E-2</v>
      </c>
      <c r="R344" s="3">
        <f t="shared" si="351"/>
        <v>4.8563317738259879E-2</v>
      </c>
      <c r="S344" s="3">
        <f t="shared" si="351"/>
        <v>4.6457605985388943E-2</v>
      </c>
      <c r="T344" s="3">
        <f t="shared" si="351"/>
        <v>2.9822331851570429E-2</v>
      </c>
      <c r="U344" s="3">
        <f t="shared" si="351"/>
        <v>3.5431482224753899E-4</v>
      </c>
      <c r="V344" s="3">
        <f t="shared" si="351"/>
        <v>1.9854846923843414E-23</v>
      </c>
      <c r="W344" s="3">
        <f t="shared" si="351"/>
        <v>6.0623187341643736E-216</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3.0415227107223403E-2</v>
      </c>
      <c r="C345" s="3">
        <f t="shared" si="352"/>
        <v>3.0415227107223403E-2</v>
      </c>
      <c r="D345" s="3">
        <f t="shared" si="352"/>
        <v>3.0415227107223403E-2</v>
      </c>
      <c r="E345" s="3">
        <f t="shared" si="352"/>
        <v>3.0415227107223403E-2</v>
      </c>
      <c r="F345" s="3">
        <f t="shared" si="352"/>
        <v>3.0415227107223389E-2</v>
      </c>
      <c r="G345" s="3">
        <f t="shared" si="352"/>
        <v>3.0415227107223268E-2</v>
      </c>
      <c r="H345" s="3">
        <f t="shared" si="352"/>
        <v>3.0415227107222054E-2</v>
      </c>
      <c r="I345" s="3">
        <f t="shared" si="352"/>
        <v>3.041522710720989E-2</v>
      </c>
      <c r="J345" s="3">
        <f t="shared" si="352"/>
        <v>3.0415227107088265E-2</v>
      </c>
      <c r="K345" s="3">
        <f t="shared" si="352"/>
        <v>3.0415227105872026E-2</v>
      </c>
      <c r="L345" s="3">
        <f t="shared" si="352"/>
        <v>3.0415227093709654E-2</v>
      </c>
      <c r="M345" s="3">
        <f t="shared" si="352"/>
        <v>3.0415226972085891E-2</v>
      </c>
      <c r="N345" s="3">
        <f t="shared" si="352"/>
        <v>3.0415225755848305E-2</v>
      </c>
      <c r="O345" s="3">
        <f t="shared" si="352"/>
        <v>3.041521359347513E-2</v>
      </c>
      <c r="P345" s="3">
        <f t="shared" si="352"/>
        <v>3.0415091970010869E-2</v>
      </c>
      <c r="Q345" s="3">
        <f t="shared" si="352"/>
        <v>3.0413875762116866E-2</v>
      </c>
      <c r="R345" s="3">
        <f t="shared" si="352"/>
        <v>3.0401716357642904E-2</v>
      </c>
      <c r="S345" s="3">
        <f t="shared" si="352"/>
        <v>3.0280389364234005E-2</v>
      </c>
      <c r="T345" s="3">
        <f t="shared" si="352"/>
        <v>2.9093433638532461E-2</v>
      </c>
      <c r="U345" s="3">
        <f t="shared" si="352"/>
        <v>1.9504293743622034E-2</v>
      </c>
      <c r="V345" s="3">
        <f t="shared" si="352"/>
        <v>3.5767016677425948E-4</v>
      </c>
      <c r="W345" s="3">
        <f t="shared" si="352"/>
        <v>1.5381815552897363E-21</v>
      </c>
      <c r="X345" s="3">
        <f t="shared" si="352"/>
        <v>3.3285602341542893E-195</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1.5463317607252298E-2</v>
      </c>
      <c r="C346" s="3">
        <f t="shared" si="353"/>
        <v>1.5463317607252298E-2</v>
      </c>
      <c r="D346" s="3">
        <f t="shared" si="353"/>
        <v>1.5463317607252298E-2</v>
      </c>
      <c r="E346" s="3">
        <f t="shared" si="353"/>
        <v>1.5463317607252298E-2</v>
      </c>
      <c r="F346" s="3">
        <f t="shared" si="353"/>
        <v>1.5463317607252298E-2</v>
      </c>
      <c r="G346" s="3">
        <f t="shared" si="353"/>
        <v>1.5463317607252291E-2</v>
      </c>
      <c r="H346" s="3">
        <f t="shared" si="353"/>
        <v>1.5463317607252235E-2</v>
      </c>
      <c r="I346" s="3">
        <f t="shared" si="353"/>
        <v>1.5463317607251678E-2</v>
      </c>
      <c r="J346" s="3">
        <f t="shared" si="353"/>
        <v>1.54633176072461E-2</v>
      </c>
      <c r="K346" s="3">
        <f t="shared" si="353"/>
        <v>1.5463317607190321E-2</v>
      </c>
      <c r="L346" s="3">
        <f t="shared" si="353"/>
        <v>1.5463317606632523E-2</v>
      </c>
      <c r="M346" s="3">
        <f t="shared" si="353"/>
        <v>1.5463317601054545E-2</v>
      </c>
      <c r="N346" s="3">
        <f t="shared" si="353"/>
        <v>1.5463317545274788E-2</v>
      </c>
      <c r="O346" s="3">
        <f t="shared" si="353"/>
        <v>1.5463316987477209E-2</v>
      </c>
      <c r="P346" s="3">
        <f t="shared" si="353"/>
        <v>1.546331140950253E-2</v>
      </c>
      <c r="Q346" s="3">
        <f t="shared" si="353"/>
        <v>1.5463255629866409E-2</v>
      </c>
      <c r="R346" s="3">
        <f t="shared" si="353"/>
        <v>1.5462697844571618E-2</v>
      </c>
      <c r="S346" s="3">
        <f t="shared" si="353"/>
        <v>1.5457121098117232E-2</v>
      </c>
      <c r="T346" s="3">
        <f t="shared" si="353"/>
        <v>1.540146413538776E-2</v>
      </c>
      <c r="U346" s="3">
        <f t="shared" si="353"/>
        <v>1.4855798617703267E-2</v>
      </c>
      <c r="V346" s="3">
        <f t="shared" si="353"/>
        <v>1.0357047081415239E-2</v>
      </c>
      <c r="W346" s="3">
        <f t="shared" si="353"/>
        <v>2.8095412943426488E-4</v>
      </c>
      <c r="X346" s="3">
        <f t="shared" si="353"/>
        <v>6.0621979282749029E-20</v>
      </c>
      <c r="Y346" s="3">
        <f t="shared" si="353"/>
        <v>1.3261023139581661E-176</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6.4979326784240111E-3</v>
      </c>
      <c r="C347" s="3">
        <f t="shared" si="354"/>
        <v>6.4979326784240111E-3</v>
      </c>
      <c r="D347" s="3">
        <f t="shared" si="354"/>
        <v>6.4979326784240111E-3</v>
      </c>
      <c r="E347" s="3">
        <f t="shared" si="354"/>
        <v>6.4979326784240111E-3</v>
      </c>
      <c r="F347" s="3">
        <f t="shared" si="354"/>
        <v>6.4979326784240111E-3</v>
      </c>
      <c r="G347" s="3">
        <f t="shared" si="354"/>
        <v>6.4979326784240111E-3</v>
      </c>
      <c r="H347" s="3">
        <f t="shared" si="354"/>
        <v>6.4979326784240093E-3</v>
      </c>
      <c r="I347" s="3">
        <f t="shared" si="354"/>
        <v>6.4979326784239877E-3</v>
      </c>
      <c r="J347" s="3">
        <f t="shared" si="354"/>
        <v>6.497932678423776E-3</v>
      </c>
      <c r="K347" s="3">
        <f t="shared" si="354"/>
        <v>6.4979326784216614E-3</v>
      </c>
      <c r="L347" s="3">
        <f t="shared" si="354"/>
        <v>6.4979326784005177E-3</v>
      </c>
      <c r="M347" s="3">
        <f t="shared" si="354"/>
        <v>6.4979326781890731E-3</v>
      </c>
      <c r="N347" s="3">
        <f t="shared" si="354"/>
        <v>6.4979326760746317E-3</v>
      </c>
      <c r="O347" s="3">
        <f t="shared" si="354"/>
        <v>6.4979326549302122E-3</v>
      </c>
      <c r="P347" s="3">
        <f t="shared" si="354"/>
        <v>6.4979324434860262E-3</v>
      </c>
      <c r="Q347" s="3">
        <f t="shared" si="354"/>
        <v>6.4979303290445449E-3</v>
      </c>
      <c r="R347" s="3">
        <f t="shared" si="354"/>
        <v>6.4979091846675786E-3</v>
      </c>
      <c r="S347" s="3">
        <f t="shared" si="354"/>
        <v>6.4976977446821009E-3</v>
      </c>
      <c r="T347" s="3">
        <f t="shared" si="354"/>
        <v>6.4955837232009905E-3</v>
      </c>
      <c r="U347" s="3">
        <f t="shared" si="354"/>
        <v>6.4744813002399508E-3</v>
      </c>
      <c r="V347" s="3">
        <f t="shared" si="354"/>
        <v>6.2671911480170492E-3</v>
      </c>
      <c r="W347" s="3">
        <f t="shared" si="354"/>
        <v>4.5263959346491583E-3</v>
      </c>
      <c r="X347" s="3">
        <f t="shared" si="354"/>
        <v>1.7480285947646908E-4</v>
      </c>
      <c r="Y347" s="3">
        <f t="shared" si="354"/>
        <v>1.2897586785948138E-18</v>
      </c>
      <c r="Z347" s="3">
        <f t="shared" si="354"/>
        <v>6.1674795865148251E-160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1.7266189453767201E-3</v>
      </c>
      <c r="C348" s="3">
        <f t="shared" si="355"/>
        <v>1.7266189453767201E-3</v>
      </c>
      <c r="D348" s="3">
        <f t="shared" si="355"/>
        <v>1.7266189453767201E-3</v>
      </c>
      <c r="E348" s="3">
        <f t="shared" si="355"/>
        <v>1.7266189453767201E-3</v>
      </c>
      <c r="F348" s="3">
        <f t="shared" si="355"/>
        <v>1.7266189453767201E-3</v>
      </c>
      <c r="G348" s="3">
        <f t="shared" si="355"/>
        <v>1.7266189453767201E-3</v>
      </c>
      <c r="H348" s="3">
        <f t="shared" si="355"/>
        <v>1.7266189453767199E-3</v>
      </c>
      <c r="I348" s="3">
        <f t="shared" si="355"/>
        <v>1.7266189453767184E-3</v>
      </c>
      <c r="J348" s="3">
        <f t="shared" si="355"/>
        <v>1.7266189453767028E-3</v>
      </c>
      <c r="K348" s="3">
        <f t="shared" si="355"/>
        <v>1.7266189453765473E-3</v>
      </c>
      <c r="L348" s="3">
        <f t="shared" si="355"/>
        <v>1.7266189453749936E-3</v>
      </c>
      <c r="M348" s="3">
        <f t="shared" si="355"/>
        <v>1.7266189453594544E-3</v>
      </c>
      <c r="N348" s="3">
        <f t="shared" si="355"/>
        <v>1.7266189452040618E-3</v>
      </c>
      <c r="O348" s="3">
        <f t="shared" si="355"/>
        <v>1.7266189436501373E-3</v>
      </c>
      <c r="P348" s="3">
        <f t="shared" si="355"/>
        <v>1.7266189281108925E-3</v>
      </c>
      <c r="Q348" s="3">
        <f t="shared" si="355"/>
        <v>1.7266187727184516E-3</v>
      </c>
      <c r="R348" s="3">
        <f t="shared" si="355"/>
        <v>1.7266172187948112E-3</v>
      </c>
      <c r="S348" s="3">
        <f t="shared" si="355"/>
        <v>1.7266016796353249E-3</v>
      </c>
      <c r="T348" s="3">
        <f t="shared" si="355"/>
        <v>1.7264462957319435E-3</v>
      </c>
      <c r="U348" s="3">
        <f t="shared" si="355"/>
        <v>1.7248932255901216E-3</v>
      </c>
      <c r="V348" s="3">
        <f t="shared" si="355"/>
        <v>1.7094391579507142E-3</v>
      </c>
      <c r="W348" s="3">
        <f t="shared" si="355"/>
        <v>1.5623127015527659E-3</v>
      </c>
      <c r="X348" s="3">
        <f t="shared" si="355"/>
        <v>6.3520092024178364E-4</v>
      </c>
      <c r="Y348" s="3">
        <f t="shared" si="355"/>
        <v>7.8404803155441299E-8</v>
      </c>
      <c r="Z348" s="3">
        <f t="shared" si="355"/>
        <v>6.4366244539894328E-47</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4.5003340048363309E-3</v>
      </c>
      <c r="C349" s="3">
        <f t="shared" si="356"/>
        <v>4.5003340048363309E-3</v>
      </c>
      <c r="D349" s="3">
        <f t="shared" si="356"/>
        <v>4.5003340048363309E-3</v>
      </c>
      <c r="E349" s="3">
        <f t="shared" si="356"/>
        <v>4.5003340048363309E-3</v>
      </c>
      <c r="F349" s="3">
        <f t="shared" si="356"/>
        <v>4.5003340048363309E-3</v>
      </c>
      <c r="G349" s="3">
        <f t="shared" si="356"/>
        <v>4.5003340048363309E-3</v>
      </c>
      <c r="H349" s="3">
        <f t="shared" si="356"/>
        <v>4.5003340048363309E-3</v>
      </c>
      <c r="I349" s="3">
        <f t="shared" si="356"/>
        <v>4.5003340048363301E-3</v>
      </c>
      <c r="J349" s="3">
        <f t="shared" si="356"/>
        <v>4.5003340048363266E-3</v>
      </c>
      <c r="K349" s="3">
        <f t="shared" si="356"/>
        <v>4.5003340048362858E-3</v>
      </c>
      <c r="L349" s="3">
        <f t="shared" si="356"/>
        <v>4.5003340048358808E-3</v>
      </c>
      <c r="M349" s="3">
        <f t="shared" si="356"/>
        <v>4.500334004831831E-3</v>
      </c>
      <c r="N349" s="3">
        <f t="shared" si="356"/>
        <v>4.5003340047913287E-3</v>
      </c>
      <c r="O349" s="3">
        <f t="shared" si="356"/>
        <v>4.5003340043863072E-3</v>
      </c>
      <c r="P349" s="3">
        <f t="shared" si="356"/>
        <v>4.5003340003360913E-3</v>
      </c>
      <c r="Q349" s="3">
        <f t="shared" si="356"/>
        <v>4.5003339598339341E-3</v>
      </c>
      <c r="R349" s="3">
        <f t="shared" si="356"/>
        <v>4.5003335548123814E-3</v>
      </c>
      <c r="S349" s="3">
        <f t="shared" si="356"/>
        <v>4.5003295045988592E-3</v>
      </c>
      <c r="T349" s="3">
        <f t="shared" si="356"/>
        <v>4.5002890026641217E-3</v>
      </c>
      <c r="U349" s="3">
        <f t="shared" si="356"/>
        <v>4.4998840033641527E-3</v>
      </c>
      <c r="V349" s="3">
        <f t="shared" si="356"/>
        <v>4.4958360144376711E-3</v>
      </c>
      <c r="W349" s="3">
        <f t="shared" si="356"/>
        <v>4.4555558667554677E-3</v>
      </c>
      <c r="X349" s="3">
        <f t="shared" si="356"/>
        <v>4.0720791323482159E-3</v>
      </c>
      <c r="Y349" s="3">
        <f t="shared" si="356"/>
        <v>1.6556150440268252E-3</v>
      </c>
      <c r="Z349" s="3">
        <f t="shared" si="356"/>
        <v>2.0435765675323671E-7</v>
      </c>
      <c r="AA349" s="3">
        <f t="shared" si="356"/>
        <v>1.6776695277329767E-46</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6.1948117203855881E-4</v>
      </c>
      <c r="C350" s="3">
        <f t="shared" si="357"/>
        <v>6.1948117203855881E-4</v>
      </c>
      <c r="D350" s="3">
        <f t="shared" si="357"/>
        <v>6.1948117203855881E-4</v>
      </c>
      <c r="E350" s="3">
        <f t="shared" si="357"/>
        <v>6.1948117203855881E-4</v>
      </c>
      <c r="F350" s="3">
        <f t="shared" si="357"/>
        <v>6.1948117203855881E-4</v>
      </c>
      <c r="G350" s="3">
        <f t="shared" si="357"/>
        <v>6.1948117203855881E-4</v>
      </c>
      <c r="H350" s="3">
        <f t="shared" si="357"/>
        <v>6.1948117203855881E-4</v>
      </c>
      <c r="I350" s="3">
        <f t="shared" si="357"/>
        <v>6.1948117203855881E-4</v>
      </c>
      <c r="J350" s="3">
        <f t="shared" si="357"/>
        <v>6.1948117203855871E-4</v>
      </c>
      <c r="K350" s="3">
        <f t="shared" si="357"/>
        <v>6.1948117203855816E-4</v>
      </c>
      <c r="L350" s="3">
        <f t="shared" si="357"/>
        <v>6.1948117203855263E-4</v>
      </c>
      <c r="M350" s="3">
        <f t="shared" si="357"/>
        <v>6.194811720384968E-4</v>
      </c>
      <c r="N350" s="3">
        <f t="shared" si="357"/>
        <v>6.194811720379393E-4</v>
      </c>
      <c r="O350" s="3">
        <f t="shared" si="357"/>
        <v>6.1948117203236412E-4</v>
      </c>
      <c r="P350" s="3">
        <f t="shared" si="357"/>
        <v>6.1948117197661195E-4</v>
      </c>
      <c r="Q350" s="3">
        <f t="shared" si="357"/>
        <v>6.1948117141909058E-4</v>
      </c>
      <c r="R350" s="3">
        <f t="shared" si="357"/>
        <v>6.1948116584387689E-4</v>
      </c>
      <c r="S350" s="3">
        <f t="shared" si="357"/>
        <v>6.1948111009174254E-4</v>
      </c>
      <c r="T350" s="3">
        <f t="shared" si="357"/>
        <v>6.1948055257067482E-4</v>
      </c>
      <c r="U350" s="3">
        <f t="shared" si="357"/>
        <v>6.194749773875941E-4</v>
      </c>
      <c r="V350" s="3">
        <f t="shared" si="357"/>
        <v>6.1941922831635851E-4</v>
      </c>
      <c r="W350" s="3">
        <f t="shared" si="357"/>
        <v>6.1886201346922028E-4</v>
      </c>
      <c r="X350" s="3">
        <f t="shared" si="357"/>
        <v>6.1331735987923302E-4</v>
      </c>
      <c r="Y350" s="3">
        <f t="shared" si="357"/>
        <v>5.6053091855624881E-4</v>
      </c>
      <c r="Z350" s="3">
        <f t="shared" si="357"/>
        <v>2.2789916188803143E-4</v>
      </c>
      <c r="AA350" s="3">
        <f t="shared" si="357"/>
        <v>2.8130294459144845E-8</v>
      </c>
      <c r="AB350" s="3">
        <f t="shared" si="357"/>
        <v>2.3093501153837067E-47</v>
      </c>
      <c r="AC350" s="3">
        <f t="shared" si="357"/>
        <v>0</v>
      </c>
      <c r="AD350" s="3">
        <f t="shared" si="357"/>
        <v>0</v>
      </c>
      <c r="AE350" s="3">
        <f t="shared" si="357"/>
        <v>0</v>
      </c>
      <c r="AF350" s="3">
        <f t="shared" si="357"/>
        <v>0</v>
      </c>
      <c r="AG350" s="3"/>
      <c r="AH350" s="3"/>
    </row>
    <row r="351" spans="2:34" x14ac:dyDescent="0.25">
      <c r="B351" s="3">
        <f t="shared" ref="B351:AF351" si="358">$C42*EXP(-B$363/$A42/EXP(-$G$126))</f>
        <v>7.8921984991154562E-4</v>
      </c>
      <c r="C351" s="3">
        <f t="shared" si="358"/>
        <v>7.8921984991154562E-4</v>
      </c>
      <c r="D351" s="3">
        <f t="shared" si="358"/>
        <v>7.8921984991154562E-4</v>
      </c>
      <c r="E351" s="3">
        <f t="shared" si="358"/>
        <v>7.8921984991154562E-4</v>
      </c>
      <c r="F351" s="3">
        <f t="shared" si="358"/>
        <v>7.8921984991154562E-4</v>
      </c>
      <c r="G351" s="3">
        <f t="shared" si="358"/>
        <v>7.8921984991154562E-4</v>
      </c>
      <c r="H351" s="3">
        <f t="shared" si="358"/>
        <v>7.8921984991154562E-4</v>
      </c>
      <c r="I351" s="3">
        <f t="shared" si="358"/>
        <v>7.8921984991154562E-4</v>
      </c>
      <c r="J351" s="3">
        <f t="shared" si="358"/>
        <v>7.8921984991154562E-4</v>
      </c>
      <c r="K351" s="3">
        <f t="shared" si="358"/>
        <v>7.8921984991154551E-4</v>
      </c>
      <c r="L351" s="3">
        <f t="shared" si="358"/>
        <v>7.8921984991154486E-4</v>
      </c>
      <c r="M351" s="3">
        <f t="shared" si="358"/>
        <v>7.8921984991153771E-4</v>
      </c>
      <c r="N351" s="3">
        <f t="shared" si="358"/>
        <v>7.8921984991146669E-4</v>
      </c>
      <c r="O351" s="3">
        <f t="shared" si="358"/>
        <v>7.8921984991075643E-4</v>
      </c>
      <c r="P351" s="3">
        <f t="shared" si="358"/>
        <v>7.8921984990365361E-4</v>
      </c>
      <c r="Q351" s="3">
        <f t="shared" si="358"/>
        <v>7.8921984983262524E-4</v>
      </c>
      <c r="R351" s="3">
        <f t="shared" si="358"/>
        <v>7.8921984912234228E-4</v>
      </c>
      <c r="S351" s="3">
        <f t="shared" si="358"/>
        <v>7.8921984201951246E-4</v>
      </c>
      <c r="T351" s="3">
        <f t="shared" si="358"/>
        <v>7.8921977099121799E-4</v>
      </c>
      <c r="U351" s="3">
        <f t="shared" si="358"/>
        <v>7.8921906070862473E-4</v>
      </c>
      <c r="V351" s="3">
        <f t="shared" si="358"/>
        <v>7.8921195791784948E-4</v>
      </c>
      <c r="W351" s="3">
        <f t="shared" si="358"/>
        <v>7.8914093352579488E-4</v>
      </c>
      <c r="X351" s="3">
        <f t="shared" si="358"/>
        <v>7.884310410579097E-4</v>
      </c>
      <c r="Y351" s="3">
        <f t="shared" si="358"/>
        <v>7.8136714489509152E-4</v>
      </c>
      <c r="Z351" s="3">
        <f t="shared" si="358"/>
        <v>7.141171473508609E-4</v>
      </c>
      <c r="AA351" s="3">
        <f t="shared" si="358"/>
        <v>2.9034384006919241E-4</v>
      </c>
      <c r="AB351" s="3">
        <f t="shared" si="358"/>
        <v>3.583803313659387E-8</v>
      </c>
      <c r="AC351" s="3">
        <f t="shared" si="358"/>
        <v>2.9421151662425261E-47</v>
      </c>
      <c r="AD351" s="3">
        <f t="shared" si="358"/>
        <v>0</v>
      </c>
      <c r="AE351" s="3">
        <f t="shared" si="358"/>
        <v>0</v>
      </c>
      <c r="AF351" s="3">
        <f t="shared" si="358"/>
        <v>0</v>
      </c>
      <c r="AG351" s="3"/>
      <c r="AH351" s="3"/>
    </row>
    <row r="352" spans="2:34" x14ac:dyDescent="0.25">
      <c r="B352" s="3">
        <f t="shared" ref="B352:AF352" si="359">$C43*EXP(-B$363/$A43/EXP(-$G$126))</f>
        <v>3.1383864234018747E-3</v>
      </c>
      <c r="C352" s="3">
        <f t="shared" si="359"/>
        <v>3.1383864234018747E-3</v>
      </c>
      <c r="D352" s="3">
        <f t="shared" si="359"/>
        <v>3.1383864234018747E-3</v>
      </c>
      <c r="E352" s="3">
        <f t="shared" si="359"/>
        <v>3.1383864234018747E-3</v>
      </c>
      <c r="F352" s="3">
        <f t="shared" si="359"/>
        <v>3.1383864234018747E-3</v>
      </c>
      <c r="G352" s="3">
        <f t="shared" si="359"/>
        <v>3.1383864234018747E-3</v>
      </c>
      <c r="H352" s="3">
        <f t="shared" si="359"/>
        <v>3.1383864234018747E-3</v>
      </c>
      <c r="I352" s="3">
        <f t="shared" si="359"/>
        <v>3.1383864234018747E-3</v>
      </c>
      <c r="J352" s="3">
        <f t="shared" si="359"/>
        <v>3.1383864234018747E-3</v>
      </c>
      <c r="K352" s="3">
        <f t="shared" si="359"/>
        <v>3.1383864234018747E-3</v>
      </c>
      <c r="L352" s="3">
        <f t="shared" si="359"/>
        <v>3.1383864234018743E-3</v>
      </c>
      <c r="M352" s="3">
        <f t="shared" si="359"/>
        <v>3.1383864234018717E-3</v>
      </c>
      <c r="N352" s="3">
        <f t="shared" si="359"/>
        <v>3.1383864234018435E-3</v>
      </c>
      <c r="O352" s="3">
        <f t="shared" si="359"/>
        <v>3.1383864234015607E-3</v>
      </c>
      <c r="P352" s="3">
        <f t="shared" si="359"/>
        <v>3.1383864233987366E-3</v>
      </c>
      <c r="Q352" s="3">
        <f t="shared" si="359"/>
        <v>3.1383864233704914E-3</v>
      </c>
      <c r="R352" s="3">
        <f t="shared" si="359"/>
        <v>3.1383864230880429E-3</v>
      </c>
      <c r="S352" s="3">
        <f t="shared" si="359"/>
        <v>3.1383864202635539E-3</v>
      </c>
      <c r="T352" s="3">
        <f t="shared" si="359"/>
        <v>3.1383863920186683E-3</v>
      </c>
      <c r="U352" s="3">
        <f t="shared" si="359"/>
        <v>3.1383861095698232E-3</v>
      </c>
      <c r="V352" s="3">
        <f t="shared" si="359"/>
        <v>3.1383832850827706E-3</v>
      </c>
      <c r="W352" s="3">
        <f t="shared" si="359"/>
        <v>3.138355040352054E-3</v>
      </c>
      <c r="X352" s="3">
        <f t="shared" si="359"/>
        <v>3.138072607025295E-3</v>
      </c>
      <c r="Y352" s="3">
        <f t="shared" si="359"/>
        <v>3.1352496713331224E-3</v>
      </c>
      <c r="Z352" s="3">
        <f t="shared" si="359"/>
        <v>3.1071596076883805E-3</v>
      </c>
      <c r="AA352" s="3">
        <f t="shared" si="359"/>
        <v>2.8397354174703091E-3</v>
      </c>
      <c r="AB352" s="3">
        <f t="shared" si="359"/>
        <v>1.154572031980247E-3</v>
      </c>
      <c r="AC352" s="3">
        <f t="shared" si="359"/>
        <v>1.4251237681099703E-7</v>
      </c>
      <c r="AD352" s="3">
        <f t="shared" si="359"/>
        <v>1.1699521109175305E-46</v>
      </c>
      <c r="AE352" s="3">
        <f t="shared" si="359"/>
        <v>0</v>
      </c>
      <c r="AF352" s="3">
        <f t="shared" si="359"/>
        <v>0</v>
      </c>
      <c r="AG352" s="3"/>
      <c r="AH352" s="3"/>
    </row>
    <row r="353" spans="1:34" x14ac:dyDescent="0.25">
      <c r="B353" s="3">
        <f t="shared" ref="B353:AF353" si="360">$C44*EXP(-B$363/$A44/EXP(-$G$126))</f>
        <v>4.3963079363277776E-4</v>
      </c>
      <c r="C353" s="3">
        <f t="shared" si="360"/>
        <v>4.3963079363277776E-4</v>
      </c>
      <c r="D353" s="3">
        <f t="shared" si="360"/>
        <v>4.3963079363277776E-4</v>
      </c>
      <c r="E353" s="3">
        <f t="shared" si="360"/>
        <v>4.3963079363277776E-4</v>
      </c>
      <c r="F353" s="3">
        <f t="shared" si="360"/>
        <v>4.3963079363277776E-4</v>
      </c>
      <c r="G353" s="3">
        <f t="shared" si="360"/>
        <v>4.3963079363277776E-4</v>
      </c>
      <c r="H353" s="3">
        <f t="shared" si="360"/>
        <v>4.3963079363277776E-4</v>
      </c>
      <c r="I353" s="3">
        <f t="shared" si="360"/>
        <v>4.3963079363277776E-4</v>
      </c>
      <c r="J353" s="3">
        <f t="shared" si="360"/>
        <v>4.3963079363277776E-4</v>
      </c>
      <c r="K353" s="3">
        <f t="shared" si="360"/>
        <v>4.3963079363277776E-4</v>
      </c>
      <c r="L353" s="3">
        <f t="shared" si="360"/>
        <v>4.3963079363277776E-4</v>
      </c>
      <c r="M353" s="3">
        <f t="shared" si="360"/>
        <v>4.396307936327777E-4</v>
      </c>
      <c r="N353" s="3">
        <f t="shared" si="360"/>
        <v>4.3963079363277733E-4</v>
      </c>
      <c r="O353" s="3">
        <f t="shared" si="360"/>
        <v>4.3963079363277337E-4</v>
      </c>
      <c r="P353" s="3">
        <f t="shared" si="360"/>
        <v>4.3963079363273379E-4</v>
      </c>
      <c r="Q353" s="3">
        <f t="shared" si="360"/>
        <v>4.3963079363233811E-4</v>
      </c>
      <c r="R353" s="3">
        <f t="shared" si="360"/>
        <v>4.3963079362838154E-4</v>
      </c>
      <c r="S353" s="3">
        <f t="shared" si="360"/>
        <v>4.3963079358881558E-4</v>
      </c>
      <c r="T353" s="3">
        <f t="shared" si="360"/>
        <v>4.3963079319315617E-4</v>
      </c>
      <c r="U353" s="3">
        <f t="shared" si="360"/>
        <v>4.3963078923656195E-4</v>
      </c>
      <c r="V353" s="3">
        <f t="shared" si="360"/>
        <v>4.3963074967062163E-4</v>
      </c>
      <c r="W353" s="3">
        <f t="shared" si="360"/>
        <v>4.396303540114143E-4</v>
      </c>
      <c r="X353" s="3">
        <f t="shared" si="360"/>
        <v>4.3962639743892588E-4</v>
      </c>
      <c r="Y353" s="3">
        <f t="shared" si="360"/>
        <v>4.3958683367244212E-4</v>
      </c>
      <c r="Z353" s="3">
        <f t="shared" si="360"/>
        <v>4.391913917824728E-4</v>
      </c>
      <c r="AA353" s="3">
        <f t="shared" si="360"/>
        <v>4.3525648533460868E-4</v>
      </c>
      <c r="AB353" s="3">
        <f t="shared" si="360"/>
        <v>3.9779522559122278E-4</v>
      </c>
      <c r="AC353" s="3">
        <f t="shared" si="360"/>
        <v>1.6173451903207133E-4</v>
      </c>
      <c r="AD353" s="3">
        <f t="shared" si="360"/>
        <v>1.9963389101077983E-8</v>
      </c>
      <c r="AE353" s="3">
        <f t="shared" si="360"/>
        <v>1.6388898804803258E-47</v>
      </c>
      <c r="AF353" s="3">
        <f t="shared" si="360"/>
        <v>0</v>
      </c>
      <c r="AG353" s="3"/>
      <c r="AH353" s="3"/>
    </row>
    <row r="354" spans="1:34" x14ac:dyDescent="0.25">
      <c r="B354" s="3">
        <f t="shared" ref="B354:AF354" si="361">$C45*EXP(-B$363/$A45/EXP(-$G$126))</f>
        <v>3.9367491924485783E-5</v>
      </c>
      <c r="C354" s="3">
        <f t="shared" si="361"/>
        <v>3.9367491924485783E-5</v>
      </c>
      <c r="D354" s="3">
        <f t="shared" si="361"/>
        <v>3.9367491924485783E-5</v>
      </c>
      <c r="E354" s="3">
        <f t="shared" si="361"/>
        <v>3.9367491924485783E-5</v>
      </c>
      <c r="F354" s="3">
        <f t="shared" si="361"/>
        <v>3.9367491924485783E-5</v>
      </c>
      <c r="G354" s="3">
        <f t="shared" si="361"/>
        <v>3.9367491924485783E-5</v>
      </c>
      <c r="H354" s="3">
        <f t="shared" si="361"/>
        <v>3.9367491924485783E-5</v>
      </c>
      <c r="I354" s="3">
        <f t="shared" si="361"/>
        <v>3.9367491924485783E-5</v>
      </c>
      <c r="J354" s="3">
        <f t="shared" si="361"/>
        <v>3.9367491924485783E-5</v>
      </c>
      <c r="K354" s="3">
        <f t="shared" si="361"/>
        <v>3.9367491924485783E-5</v>
      </c>
      <c r="L354" s="3">
        <f t="shared" si="361"/>
        <v>3.9367491924485783E-5</v>
      </c>
      <c r="M354" s="3">
        <f t="shared" si="361"/>
        <v>3.9367491924485783E-5</v>
      </c>
      <c r="N354" s="3">
        <f t="shared" si="361"/>
        <v>3.9367491924485776E-5</v>
      </c>
      <c r="O354" s="3">
        <f t="shared" si="361"/>
        <v>3.9367491924485742E-5</v>
      </c>
      <c r="P354" s="3">
        <f t="shared" si="361"/>
        <v>3.936749192448539E-5</v>
      </c>
      <c r="Q354" s="3">
        <f t="shared" si="361"/>
        <v>3.9367491924481846E-5</v>
      </c>
      <c r="R354" s="3">
        <f t="shared" si="361"/>
        <v>3.936749192444642E-5</v>
      </c>
      <c r="S354" s="3">
        <f t="shared" si="361"/>
        <v>3.9367491924092116E-5</v>
      </c>
      <c r="T354" s="3">
        <f t="shared" si="361"/>
        <v>3.936749192054912E-5</v>
      </c>
      <c r="U354" s="3">
        <f t="shared" si="361"/>
        <v>3.9367491885119114E-5</v>
      </c>
      <c r="V354" s="3">
        <f t="shared" si="361"/>
        <v>3.9367491530819116E-5</v>
      </c>
      <c r="W354" s="3">
        <f t="shared" si="361"/>
        <v>3.9367487987819266E-5</v>
      </c>
      <c r="X354" s="3">
        <f t="shared" si="361"/>
        <v>3.9367452557838302E-5</v>
      </c>
      <c r="Y354" s="3">
        <f t="shared" si="361"/>
        <v>3.9367098259782422E-5</v>
      </c>
      <c r="Z354" s="3">
        <f t="shared" si="361"/>
        <v>3.9363555454592006E-5</v>
      </c>
      <c r="AA354" s="3">
        <f t="shared" si="361"/>
        <v>3.9328144933683463E-5</v>
      </c>
      <c r="AB354" s="3">
        <f t="shared" si="361"/>
        <v>3.8975787000496258E-5</v>
      </c>
      <c r="AC354" s="3">
        <f t="shared" si="361"/>
        <v>3.5621254374966237E-5</v>
      </c>
      <c r="AD354" s="3">
        <f t="shared" si="361"/>
        <v>1.448279434498409E-5</v>
      </c>
      <c r="AE354" s="3">
        <f t="shared" si="361"/>
        <v>1.7876558480535418E-9</v>
      </c>
      <c r="AF354" s="3">
        <f t="shared" si="361"/>
        <v>1.4675719960786733E-48</v>
      </c>
      <c r="AG354" s="3"/>
      <c r="AH354" s="3"/>
    </row>
    <row r="355" spans="1:34" x14ac:dyDescent="0.25">
      <c r="B355" s="3">
        <f t="shared" ref="B355:AF355" si="362">$C46*EXP(-B$363/$A46/EXP(-$G$126))</f>
        <v>2.469113716916911E-6</v>
      </c>
      <c r="C355" s="3">
        <f t="shared" si="362"/>
        <v>2.469113716916911E-6</v>
      </c>
      <c r="D355" s="3">
        <f t="shared" si="362"/>
        <v>2.469113716916911E-6</v>
      </c>
      <c r="E355" s="3">
        <f t="shared" si="362"/>
        <v>2.469113716916911E-6</v>
      </c>
      <c r="F355" s="3">
        <f t="shared" si="362"/>
        <v>2.469113716916911E-6</v>
      </c>
      <c r="G355" s="3">
        <f t="shared" si="362"/>
        <v>2.469113716916911E-6</v>
      </c>
      <c r="H355" s="3">
        <f t="shared" si="362"/>
        <v>2.469113716916911E-6</v>
      </c>
      <c r="I355" s="3">
        <f t="shared" si="362"/>
        <v>2.469113716916911E-6</v>
      </c>
      <c r="J355" s="3">
        <f t="shared" si="362"/>
        <v>2.469113716916911E-6</v>
      </c>
      <c r="K355" s="3">
        <f t="shared" si="362"/>
        <v>2.469113716916911E-6</v>
      </c>
      <c r="L355" s="3">
        <f t="shared" si="362"/>
        <v>2.469113716916911E-6</v>
      </c>
      <c r="M355" s="3">
        <f t="shared" si="362"/>
        <v>2.469113716916911E-6</v>
      </c>
      <c r="N355" s="3">
        <f t="shared" si="362"/>
        <v>2.469113716916911E-6</v>
      </c>
      <c r="O355" s="3">
        <f t="shared" si="362"/>
        <v>2.4691137169169106E-6</v>
      </c>
      <c r="P355" s="3">
        <f t="shared" si="362"/>
        <v>2.4691137169169085E-6</v>
      </c>
      <c r="Q355" s="3">
        <f t="shared" si="362"/>
        <v>2.4691137169168865E-6</v>
      </c>
      <c r="R355" s="3">
        <f t="shared" si="362"/>
        <v>2.4691137169166641E-6</v>
      </c>
      <c r="S355" s="3">
        <f t="shared" si="362"/>
        <v>2.4691137169144419E-6</v>
      </c>
      <c r="T355" s="3">
        <f t="shared" si="362"/>
        <v>2.4691137168922205E-6</v>
      </c>
      <c r="U355" s="3">
        <f t="shared" si="362"/>
        <v>2.4691137166700047E-6</v>
      </c>
      <c r="V355" s="3">
        <f t="shared" si="362"/>
        <v>2.469113714447849E-6</v>
      </c>
      <c r="W355" s="3">
        <f t="shared" si="362"/>
        <v>2.4691136922262911E-6</v>
      </c>
      <c r="X355" s="3">
        <f t="shared" si="362"/>
        <v>2.4691134700107244E-6</v>
      </c>
      <c r="Y355" s="3">
        <f t="shared" si="362"/>
        <v>2.4691112478561572E-6</v>
      </c>
      <c r="Z355" s="3">
        <f t="shared" si="362"/>
        <v>2.4690890264204782E-6</v>
      </c>
      <c r="AA355" s="3">
        <f t="shared" si="362"/>
        <v>2.4688668230627226E-6</v>
      </c>
      <c r="AB355" s="3">
        <f t="shared" si="362"/>
        <v>2.466645889022369E-6</v>
      </c>
      <c r="AC355" s="3">
        <f t="shared" si="362"/>
        <v>2.4445461370806939E-6</v>
      </c>
      <c r="AD355" s="3">
        <f t="shared" si="362"/>
        <v>2.2341511610576015E-6</v>
      </c>
      <c r="AE355" s="3">
        <f t="shared" si="362"/>
        <v>9.0835520446871795E-7</v>
      </c>
      <c r="AF355" s="3">
        <f t="shared" si="362"/>
        <v>1.1212107654768733E-10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80">
        <f>AVERAGE(B358:AF358)</f>
        <v>3.0050006013889018E-5</v>
      </c>
      <c r="B358" s="81">
        <f>IF($A$64&lt;=B324,IF($B$64&gt;=B324,ABS((B326-B325)/B325),0),0)</f>
        <v>0</v>
      </c>
      <c r="C358" s="81">
        <f t="shared" ref="C358:AF358" si="365">IF($A$64&lt;=C324,IF($B$64&gt;=C324,ABS((C326-C325)/C325),0),0)</f>
        <v>0</v>
      </c>
      <c r="D358" s="81">
        <f t="shared" si="365"/>
        <v>0</v>
      </c>
      <c r="E358" s="81">
        <f t="shared" si="365"/>
        <v>0</v>
      </c>
      <c r="F358" s="81">
        <f t="shared" si="365"/>
        <v>0</v>
      </c>
      <c r="G358" s="81">
        <f t="shared" si="365"/>
        <v>0</v>
      </c>
      <c r="H358" s="81">
        <f t="shared" si="365"/>
        <v>0</v>
      </c>
      <c r="I358" s="81">
        <f t="shared" si="365"/>
        <v>0</v>
      </c>
      <c r="J358" s="81">
        <f t="shared" si="365"/>
        <v>0</v>
      </c>
      <c r="K358" s="81">
        <f t="shared" si="365"/>
        <v>0</v>
      </c>
      <c r="L358" s="81">
        <f t="shared" si="365"/>
        <v>5.4499340256751825E-5</v>
      </c>
      <c r="M358" s="81">
        <f t="shared" si="365"/>
        <v>9.067650177951049E-5</v>
      </c>
      <c r="N358" s="81">
        <f t="shared" si="365"/>
        <v>1.1656960428807025E-4</v>
      </c>
      <c r="O358" s="81">
        <f t="shared" si="365"/>
        <v>1.3640434446499138E-4</v>
      </c>
      <c r="P358" s="81">
        <f t="shared" si="365"/>
        <v>1.354364580790099E-4</v>
      </c>
      <c r="Q358" s="81">
        <f t="shared" si="365"/>
        <v>1.1974502297827056E-4</v>
      </c>
      <c r="R358" s="81">
        <f t="shared" si="365"/>
        <v>1.0118915433122447E-4</v>
      </c>
      <c r="S358" s="81">
        <f t="shared" si="365"/>
        <v>8.0735424395722373E-5</v>
      </c>
      <c r="T358" s="81">
        <f t="shared" si="365"/>
        <v>3.56516340562729E-5</v>
      </c>
      <c r="U358" s="81">
        <f t="shared" si="365"/>
        <v>5.9965045335813933E-5</v>
      </c>
      <c r="V358" s="81">
        <f t="shared" si="365"/>
        <v>6.7765646492140057E-7</v>
      </c>
      <c r="W358" s="81">
        <f t="shared" si="365"/>
        <v>0</v>
      </c>
      <c r="X358" s="81">
        <f t="shared" si="365"/>
        <v>0</v>
      </c>
      <c r="Y358" s="81">
        <f t="shared" si="365"/>
        <v>0</v>
      </c>
      <c r="Z358" s="81">
        <f t="shared" si="365"/>
        <v>0</v>
      </c>
      <c r="AA358" s="81">
        <f t="shared" si="365"/>
        <v>0</v>
      </c>
      <c r="AB358" s="81">
        <f t="shared" si="365"/>
        <v>0</v>
      </c>
      <c r="AC358" s="81">
        <f t="shared" si="365"/>
        <v>0</v>
      </c>
      <c r="AD358" s="81">
        <f t="shared" si="365"/>
        <v>0</v>
      </c>
      <c r="AE358" s="81">
        <f t="shared" si="365"/>
        <v>0</v>
      </c>
      <c r="AF358" s="81">
        <f t="shared" si="365"/>
        <v>0</v>
      </c>
    </row>
    <row r="359" spans="1:34" x14ac:dyDescent="0.25">
      <c r="B359" s="21">
        <f>(B326-B325)^2</f>
        <v>3289.7554972988746</v>
      </c>
      <c r="C359" s="21">
        <f t="shared" ref="C359:AF359" si="366">(C326-C325)^2</f>
        <v>5506.0029578261001</v>
      </c>
      <c r="D359" s="21">
        <f t="shared" si="366"/>
        <v>385.02783148146835</v>
      </c>
      <c r="E359" s="21">
        <f t="shared" si="366"/>
        <v>10.398466260755225</v>
      </c>
      <c r="F359" s="21">
        <f t="shared" si="366"/>
        <v>0.18399205790789697</v>
      </c>
      <c r="G359" s="21">
        <f t="shared" si="366"/>
        <v>4.9977161023445479E-3</v>
      </c>
      <c r="H359" s="21">
        <f t="shared" si="366"/>
        <v>1.2204457684920816E-5</v>
      </c>
      <c r="I359" s="21">
        <f t="shared" si="366"/>
        <v>1.1636194451796582E-3</v>
      </c>
      <c r="J359" s="21">
        <f t="shared" si="366"/>
        <v>1.1603404770566574E-3</v>
      </c>
      <c r="K359" s="21">
        <f t="shared" si="366"/>
        <v>1.134894344935016E-2</v>
      </c>
      <c r="L359" s="21">
        <f t="shared" si="366"/>
        <v>2.3535575554759863E-2</v>
      </c>
      <c r="M359" s="21">
        <f t="shared" si="366"/>
        <v>5.7369917195582827E-2</v>
      </c>
      <c r="N359" s="21">
        <f t="shared" si="366"/>
        <v>8.151045072979303E-2</v>
      </c>
      <c r="O359" s="21">
        <f t="shared" si="366"/>
        <v>9.3010488517260875E-2</v>
      </c>
      <c r="P359" s="21">
        <f t="shared" si="366"/>
        <v>7.2883978947461875E-2</v>
      </c>
      <c r="Q359" s="21">
        <f t="shared" si="366"/>
        <v>4.1825865482355742E-2</v>
      </c>
      <c r="R359" s="21">
        <f t="shared" si="366"/>
        <v>1.9584211929205911E-2</v>
      </c>
      <c r="S359" s="21">
        <f t="shared" si="366"/>
        <v>7.1232875855127579E-3</v>
      </c>
      <c r="T359" s="21">
        <f t="shared" si="366"/>
        <v>7.0262974897068785E-4</v>
      </c>
      <c r="U359" s="21">
        <f t="shared" si="366"/>
        <v>9.7042226501655978E-4</v>
      </c>
      <c r="V359" s="21">
        <f t="shared" si="366"/>
        <v>6.7543789544238165E-8</v>
      </c>
      <c r="W359" s="21">
        <f t="shared" si="366"/>
        <v>3.5487076126366679E-5</v>
      </c>
      <c r="X359" s="21">
        <f t="shared" si="366"/>
        <v>2.6477563224189732E-4</v>
      </c>
      <c r="Y359" s="21">
        <f t="shared" si="366"/>
        <v>7.4269200559428108E-6</v>
      </c>
      <c r="Z359" s="21">
        <f t="shared" si="366"/>
        <v>1.6096407038259855E-5</v>
      </c>
      <c r="AA359" s="21">
        <f t="shared" si="366"/>
        <v>1.092778525010687E-3</v>
      </c>
      <c r="AB359" s="21">
        <f t="shared" si="366"/>
        <v>1.8723840114328599E-4</v>
      </c>
      <c r="AC359" s="21">
        <f t="shared" si="366"/>
        <v>2.3039149354257445E-3</v>
      </c>
      <c r="AD359" s="21">
        <f t="shared" si="366"/>
        <v>1.3116913334439372E-3</v>
      </c>
      <c r="AE359" s="21">
        <f t="shared" si="366"/>
        <v>5.429789853431151E-4</v>
      </c>
      <c r="AF359" s="21">
        <f t="shared" si="366"/>
        <v>4.7034085620725908E-3</v>
      </c>
      <c r="AG359" s="3"/>
      <c r="AH359" s="3"/>
    </row>
    <row r="360" spans="1:34" x14ac:dyDescent="0.25">
      <c r="A360" s="72">
        <f>SUM(B360:AF360)</f>
        <v>0.39851689549970964</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2.3535575554759863E-2</v>
      </c>
      <c r="M360" s="60">
        <f t="shared" si="367"/>
        <v>5.7369917195582827E-2</v>
      </c>
      <c r="N360" s="60">
        <f t="shared" si="367"/>
        <v>8.151045072979303E-2</v>
      </c>
      <c r="O360" s="60">
        <f t="shared" si="367"/>
        <v>9.3010488517260875E-2</v>
      </c>
      <c r="P360" s="60">
        <f t="shared" si="367"/>
        <v>7.2883978947461875E-2</v>
      </c>
      <c r="Q360" s="60">
        <f t="shared" si="367"/>
        <v>4.1825865482355742E-2</v>
      </c>
      <c r="R360" s="60">
        <f t="shared" si="367"/>
        <v>1.9584211929205911E-2</v>
      </c>
      <c r="S360" s="60">
        <f t="shared" si="367"/>
        <v>7.1232875855127579E-3</v>
      </c>
      <c r="T360" s="60">
        <f t="shared" si="367"/>
        <v>7.0262974897068785E-4</v>
      </c>
      <c r="U360" s="60">
        <f t="shared" si="367"/>
        <v>9.7042226501655978E-4</v>
      </c>
      <c r="V360" s="60">
        <f t="shared" si="367"/>
        <v>6.7543789544238165E-8</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1" t="s">
        <v>22</v>
      </c>
      <c r="B365" s="27">
        <f>($C$17+SUM(B366:B396))*$B$51</f>
        <v>3413.3747133589495</v>
      </c>
      <c r="C365" s="27">
        <f t="shared" ref="C365:AF365" si="368">($C$17+SUM(C366:C396))*$B$51</f>
        <v>3250.2787942845212</v>
      </c>
      <c r="D365" s="27">
        <f t="shared" si="368"/>
        <v>3093.0719994091951</v>
      </c>
      <c r="E365" s="27">
        <f t="shared" si="368"/>
        <v>2937.5308162328406</v>
      </c>
      <c r="F365" s="27">
        <f t="shared" si="368"/>
        <v>2779.7179572918935</v>
      </c>
      <c r="G365" s="27">
        <f t="shared" si="368"/>
        <v>2601.1231692735037</v>
      </c>
      <c r="H365" s="27">
        <f t="shared" si="368"/>
        <v>2404.9064305268671</v>
      </c>
      <c r="I365" s="27">
        <f t="shared" si="368"/>
        <v>2187.2363465114008</v>
      </c>
      <c r="J365" s="27">
        <f t="shared" si="368"/>
        <v>1936.9843582917583</v>
      </c>
      <c r="K365" s="27">
        <f t="shared" si="368"/>
        <v>1643.6594161582727</v>
      </c>
      <c r="L365" s="27">
        <f t="shared" si="368"/>
        <v>1314.9030219340109</v>
      </c>
      <c r="M365" s="27">
        <f t="shared" si="368"/>
        <v>983.65751095251858</v>
      </c>
      <c r="N365" s="27">
        <f t="shared" si="368"/>
        <v>697.35906564816287</v>
      </c>
      <c r="O365" s="27">
        <f t="shared" si="368"/>
        <v>491.53518591677403</v>
      </c>
      <c r="P365" s="27">
        <f t="shared" si="368"/>
        <v>369.17286156285451</v>
      </c>
      <c r="Q365" s="27">
        <f t="shared" si="368"/>
        <v>307.40503910534932</v>
      </c>
      <c r="R365" s="27">
        <f t="shared" si="368"/>
        <v>277.04993817561922</v>
      </c>
      <c r="S365" s="27">
        <f t="shared" si="368"/>
        <v>258.03943253111663</v>
      </c>
      <c r="T365" s="27">
        <f t="shared" si="368"/>
        <v>249.67329024288932</v>
      </c>
      <c r="U365" s="27">
        <f t="shared" si="368"/>
        <v>243.77368445900444</v>
      </c>
      <c r="V365" s="27">
        <f t="shared" si="368"/>
        <v>231.14661979574348</v>
      </c>
      <c r="W365" s="27">
        <f t="shared" si="368"/>
        <v>225.8285594398713</v>
      </c>
      <c r="X365" s="27">
        <f t="shared" si="368"/>
        <v>225.16635843077455</v>
      </c>
      <c r="Y365" s="27">
        <f t="shared" si="368"/>
        <v>225.11104879180354</v>
      </c>
      <c r="Z365" s="27">
        <f t="shared" si="368"/>
        <v>225.10814112109566</v>
      </c>
      <c r="AA365" s="27">
        <f t="shared" si="368"/>
        <v>225.10814111881024</v>
      </c>
      <c r="AB365" s="27">
        <f t="shared" si="368"/>
        <v>225.10814111881024</v>
      </c>
      <c r="AC365" s="27">
        <f t="shared" si="368"/>
        <v>225.10814111881024</v>
      </c>
      <c r="AD365" s="27">
        <f t="shared" si="368"/>
        <v>225.10814111881024</v>
      </c>
      <c r="AE365" s="27">
        <f t="shared" si="368"/>
        <v>225.10814111881024</v>
      </c>
      <c r="AF365" s="27">
        <f t="shared" si="368"/>
        <v>225.10814111881024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1.7323873942427185E-143</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6.9550387029094245E-15</v>
      </c>
      <c r="C370" s="3">
        <f t="shared" si="373"/>
        <v>1.1328807353214137E-129</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2.2083386871433394E-3</v>
      </c>
      <c r="C371" s="3">
        <f t="shared" si="374"/>
        <v>9.7548979457011229E-14</v>
      </c>
      <c r="D371" s="3">
        <f t="shared" si="374"/>
        <v>2.7592638093798613E-117</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2.4053581114331632E-2</v>
      </c>
      <c r="C372" s="3">
        <f t="shared" si="375"/>
        <v>2.7995405695844305E-3</v>
      </c>
      <c r="D372" s="3">
        <f t="shared" si="375"/>
        <v>1.276900285639312E-12</v>
      </c>
      <c r="E372" s="3">
        <f t="shared" si="375"/>
        <v>4.9757570919184448E-106</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2.8558658310456762E-2</v>
      </c>
      <c r="C373" s="3">
        <f t="shared" si="376"/>
        <v>2.3522032345298712E-2</v>
      </c>
      <c r="D373" s="3">
        <f t="shared" si="376"/>
        <v>3.379444103239912E-3</v>
      </c>
      <c r="E373" s="3">
        <f t="shared" si="376"/>
        <v>1.2663376353812175E-11</v>
      </c>
      <c r="F373" s="3">
        <f t="shared" si="376"/>
        <v>6.911813028243953E-96</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2.8899904677338727E-2</v>
      </c>
      <c r="C374" s="3">
        <f t="shared" si="377"/>
        <v>2.8398486213943589E-2</v>
      </c>
      <c r="D374" s="3">
        <f t="shared" si="377"/>
        <v>2.3838723304917302E-2</v>
      </c>
      <c r="E374" s="3">
        <f t="shared" si="377"/>
        <v>4.1415319477596732E-3</v>
      </c>
      <c r="F374" s="3">
        <f t="shared" si="377"/>
        <v>1.037388062448107E-10</v>
      </c>
      <c r="G374" s="3">
        <f t="shared" si="377"/>
        <v>1.0086570974839379E-86</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2.8544420532727887E-2</v>
      </c>
      <c r="C375" s="3">
        <f t="shared" si="378"/>
        <v>2.8499388246263056E-2</v>
      </c>
      <c r="D375" s="3">
        <f t="shared" si="378"/>
        <v>2.8052954360819213E-2</v>
      </c>
      <c r="E375" s="3">
        <f t="shared" si="378"/>
        <v>2.3955722809281748E-2</v>
      </c>
      <c r="F375" s="3">
        <f t="shared" si="378"/>
        <v>4.9398756870028615E-3</v>
      </c>
      <c r="G375" s="3">
        <f t="shared" si="378"/>
        <v>6.8672589981093474E-10</v>
      </c>
      <c r="H375" s="3">
        <f t="shared" si="378"/>
        <v>1.8512177186793803E-78</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3.3916453286588669E-2</v>
      </c>
      <c r="C376" s="3">
        <f t="shared" si="379"/>
        <v>3.391162301374126E-2</v>
      </c>
      <c r="D376" s="3">
        <f t="shared" si="379"/>
        <v>3.3863358104267605E-2</v>
      </c>
      <c r="E376" s="3">
        <f t="shared" si="379"/>
        <v>3.3384471055430007E-2</v>
      </c>
      <c r="F376" s="3">
        <f t="shared" si="379"/>
        <v>2.8952712861197008E-2</v>
      </c>
      <c r="G376" s="3">
        <f t="shared" si="379"/>
        <v>6.9684614073913277E-3</v>
      </c>
      <c r="H376" s="3">
        <f t="shared" si="379"/>
        <v>4.5458307133943119E-9</v>
      </c>
      <c r="I376" s="3">
        <f t="shared" si="379"/>
        <v>6.344199808856981E-71</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3.6685984517681014E-2</v>
      </c>
      <c r="C377" s="3">
        <f t="shared" si="380"/>
        <v>3.6685513175682166E-2</v>
      </c>
      <c r="D377" s="3">
        <f t="shared" si="380"/>
        <v>3.6680800088750229E-2</v>
      </c>
      <c r="E377" s="3">
        <f t="shared" si="380"/>
        <v>3.6633702509263975E-2</v>
      </c>
      <c r="F377" s="3">
        <f t="shared" si="380"/>
        <v>3.6166039926643107E-2</v>
      </c>
      <c r="G377" s="3">
        <f t="shared" si="380"/>
        <v>3.1805511791038965E-2</v>
      </c>
      <c r="H377" s="3">
        <f t="shared" si="380"/>
        <v>8.8006894707953615E-3</v>
      </c>
      <c r="I377" s="3">
        <f t="shared" si="380"/>
        <v>2.3155799875529043E-8</v>
      </c>
      <c r="J377" s="3">
        <f t="shared" si="380"/>
        <v>3.6820585427922703E-64</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4.0919506388865545E-2</v>
      </c>
      <c r="C378" s="3">
        <f t="shared" si="381"/>
        <v>4.0919458962977023E-2</v>
      </c>
      <c r="D378" s="3">
        <f t="shared" si="381"/>
        <v>4.0918984707114942E-2</v>
      </c>
      <c r="E378" s="3">
        <f t="shared" si="381"/>
        <v>4.0914242450797611E-2</v>
      </c>
      <c r="F378" s="3">
        <f t="shared" si="381"/>
        <v>4.0866850105010885E-2</v>
      </c>
      <c r="G378" s="3">
        <f t="shared" si="381"/>
        <v>4.0395935467695675E-2</v>
      </c>
      <c r="H378" s="3">
        <f t="shared" si="381"/>
        <v>3.597515869795595E-2</v>
      </c>
      <c r="I378" s="3">
        <f t="shared" si="381"/>
        <v>1.1288941050747119E-2</v>
      </c>
      <c r="J378" s="3">
        <f t="shared" si="381"/>
        <v>1.0451005425124765E-7</v>
      </c>
      <c r="K378" s="3">
        <f t="shared" si="381"/>
        <v>4.8328882460809773E-58</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4.7755707020734284E-2</v>
      </c>
      <c r="C379" s="3">
        <f t="shared" si="382"/>
        <v>4.7755702027784605E-2</v>
      </c>
      <c r="D379" s="3">
        <f t="shared" si="382"/>
        <v>4.7755652098316538E-2</v>
      </c>
      <c r="E379" s="3">
        <f t="shared" si="382"/>
        <v>4.7755152806506933E-2</v>
      </c>
      <c r="F379" s="3">
        <f t="shared" si="382"/>
        <v>4.7750160175510876E-2</v>
      </c>
      <c r="G379" s="3">
        <f t="shared" si="382"/>
        <v>4.7700262564445817E-2</v>
      </c>
      <c r="H379" s="3">
        <f t="shared" si="382"/>
        <v>4.7204145272387608E-2</v>
      </c>
      <c r="I379" s="3">
        <f t="shared" si="382"/>
        <v>4.2518097617318278E-2</v>
      </c>
      <c r="J379" s="3">
        <f t="shared" si="382"/>
        <v>1.4945508267730279E-2</v>
      </c>
      <c r="K379" s="3">
        <f t="shared" si="382"/>
        <v>4.3040700757372956E-7</v>
      </c>
      <c r="L379" s="3">
        <f t="shared" si="382"/>
        <v>1.688751617574047E-52</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5.7469214725139182E-2</v>
      </c>
      <c r="C380" s="3">
        <f t="shared" si="383"/>
        <v>5.7469214183121092E-2</v>
      </c>
      <c r="D380" s="3">
        <f t="shared" si="383"/>
        <v>5.7469208762940434E-2</v>
      </c>
      <c r="E380" s="3">
        <f t="shared" si="383"/>
        <v>5.7469154561162014E-2</v>
      </c>
      <c r="F380" s="3">
        <f t="shared" si="383"/>
        <v>5.746861254618936E-2</v>
      </c>
      <c r="G380" s="3">
        <f t="shared" si="383"/>
        <v>5.7463192677612907E-2</v>
      </c>
      <c r="H380" s="3">
        <f t="shared" si="383"/>
        <v>5.7409022097044439E-2</v>
      </c>
      <c r="I380" s="3">
        <f t="shared" si="383"/>
        <v>5.6870117027968278E-2</v>
      </c>
      <c r="J380" s="3">
        <f t="shared" si="383"/>
        <v>5.1751608138441797E-2</v>
      </c>
      <c r="K380" s="3">
        <f t="shared" si="383"/>
        <v>2.0152137929758972E-2</v>
      </c>
      <c r="L380" s="3">
        <f t="shared" si="383"/>
        <v>1.6154514115777831E-6</v>
      </c>
      <c r="M380" s="3">
        <f t="shared" si="383"/>
        <v>1.7701971272473881E-47</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6.4260885644130752E-2</v>
      </c>
      <c r="C381" s="3">
        <f t="shared" si="384"/>
        <v>6.4260885589457889E-2</v>
      </c>
      <c r="D381" s="3">
        <f t="shared" si="384"/>
        <v>6.4260885042729254E-2</v>
      </c>
      <c r="E381" s="3">
        <f t="shared" si="384"/>
        <v>6.4260879575443186E-2</v>
      </c>
      <c r="F381" s="3">
        <f t="shared" si="384"/>
        <v>6.4260824902608066E-2</v>
      </c>
      <c r="G381" s="3">
        <f t="shared" si="384"/>
        <v>6.4260278176815108E-2</v>
      </c>
      <c r="H381" s="3">
        <f t="shared" si="384"/>
        <v>6.4254811174711449E-2</v>
      </c>
      <c r="I381" s="3">
        <f t="shared" si="384"/>
        <v>6.4200166728208982E-2</v>
      </c>
      <c r="J381" s="3">
        <f t="shared" si="384"/>
        <v>6.3656271684167653E-2</v>
      </c>
      <c r="K381" s="3">
        <f t="shared" si="384"/>
        <v>5.8464417290773507E-2</v>
      </c>
      <c r="L381" s="3">
        <f t="shared" si="384"/>
        <v>2.4968697851188961E-2</v>
      </c>
      <c r="M381" s="3">
        <f t="shared" si="384"/>
        <v>5.0400933312384354E-6</v>
      </c>
      <c r="N381" s="3">
        <f t="shared" si="384"/>
        <v>5.6606385683111013E-43</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6.2189536821973861E-2</v>
      </c>
      <c r="C382" s="3">
        <f t="shared" si="385"/>
        <v>6.218953681720088E-2</v>
      </c>
      <c r="D382" s="3">
        <f t="shared" si="385"/>
        <v>6.218953676947115E-2</v>
      </c>
      <c r="E382" s="3">
        <f t="shared" si="385"/>
        <v>6.2189536292173796E-2</v>
      </c>
      <c r="F382" s="3">
        <f t="shared" si="385"/>
        <v>6.2189531519200474E-2</v>
      </c>
      <c r="G382" s="3">
        <f t="shared" si="385"/>
        <v>6.2189483789487361E-2</v>
      </c>
      <c r="H382" s="3">
        <f t="shared" si="385"/>
        <v>6.2189006494371042E-2</v>
      </c>
      <c r="I382" s="3">
        <f t="shared" si="385"/>
        <v>6.2184233744677547E-2</v>
      </c>
      <c r="J382" s="3">
        <f t="shared" si="385"/>
        <v>6.213652638899167E-2</v>
      </c>
      <c r="K382" s="3">
        <f t="shared" si="385"/>
        <v>6.1661461249241767E-2</v>
      </c>
      <c r="L382" s="3">
        <f t="shared" si="385"/>
        <v>5.710606344557688E-2</v>
      </c>
      <c r="M382" s="3">
        <f t="shared" si="385"/>
        <v>2.6507351347962605E-2</v>
      </c>
      <c r="N382" s="3">
        <f t="shared" si="385"/>
        <v>1.2308565621499995E-5</v>
      </c>
      <c r="O382" s="3">
        <f t="shared" si="385"/>
        <v>5.7361242942790906E-39</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4.8803099741322208E-2</v>
      </c>
      <c r="C383" s="3">
        <f t="shared" si="386"/>
        <v>4.8803099740984332E-2</v>
      </c>
      <c r="D383" s="3">
        <f t="shared" si="386"/>
        <v>4.8803099737605507E-2</v>
      </c>
      <c r="E383" s="3">
        <f t="shared" si="386"/>
        <v>4.8803099703817257E-2</v>
      </c>
      <c r="F383" s="3">
        <f t="shared" si="386"/>
        <v>4.880309936593475E-2</v>
      </c>
      <c r="G383" s="3">
        <f t="shared" si="386"/>
        <v>4.8803095987109857E-2</v>
      </c>
      <c r="H383" s="3">
        <f t="shared" si="386"/>
        <v>4.8803062198873794E-2</v>
      </c>
      <c r="I383" s="3">
        <f t="shared" si="386"/>
        <v>4.8802724317799778E-2</v>
      </c>
      <c r="J383" s="3">
        <f t="shared" si="386"/>
        <v>4.8799345635716855E-2</v>
      </c>
      <c r="K383" s="3">
        <f t="shared" si="386"/>
        <v>4.8765571677319375E-2</v>
      </c>
      <c r="L383" s="3">
        <f t="shared" si="386"/>
        <v>4.8429115047706146E-2</v>
      </c>
      <c r="M383" s="3">
        <f t="shared" si="386"/>
        <v>4.5189617682871629E-2</v>
      </c>
      <c r="N383" s="3">
        <f t="shared" si="386"/>
        <v>2.2613094938447015E-2</v>
      </c>
      <c r="O383" s="3">
        <f t="shared" si="386"/>
        <v>2.2262472494946111E-5</v>
      </c>
      <c r="P383" s="3">
        <f t="shared" si="386"/>
        <v>1.904176908287106E-35</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3.0415227107221294E-2</v>
      </c>
      <c r="C384" s="3">
        <f t="shared" si="387"/>
        <v>3.0415227107202299E-2</v>
      </c>
      <c r="D384" s="3">
        <f t="shared" si="387"/>
        <v>3.041522710701234E-2</v>
      </c>
      <c r="E384" s="3">
        <f t="shared" si="387"/>
        <v>3.0415227105112769E-2</v>
      </c>
      <c r="F384" s="3">
        <f t="shared" si="387"/>
        <v>3.041522708611704E-2</v>
      </c>
      <c r="G384" s="3">
        <f t="shared" si="387"/>
        <v>3.0415226896159754E-2</v>
      </c>
      <c r="H384" s="3">
        <f t="shared" si="387"/>
        <v>3.0415224996586991E-2</v>
      </c>
      <c r="I384" s="3">
        <f t="shared" si="387"/>
        <v>3.0415206000865867E-2</v>
      </c>
      <c r="J384" s="3">
        <f t="shared" si="387"/>
        <v>3.0415016044307127E-2</v>
      </c>
      <c r="K384" s="3">
        <f t="shared" si="387"/>
        <v>3.0413116543968506E-2</v>
      </c>
      <c r="L384" s="3">
        <f t="shared" si="387"/>
        <v>3.0394128063952482E-2</v>
      </c>
      <c r="M384" s="3">
        <f t="shared" si="387"/>
        <v>3.0204894095890351E-2</v>
      </c>
      <c r="N384" s="3">
        <f t="shared" si="387"/>
        <v>2.8376158462187825E-2</v>
      </c>
      <c r="O384" s="3">
        <f t="shared" si="387"/>
        <v>1.5195550368161264E-2</v>
      </c>
      <c r="P384" s="3">
        <f t="shared" si="387"/>
        <v>2.9467600372931855E-5</v>
      </c>
      <c r="Q384" s="3">
        <f t="shared" si="387"/>
        <v>2.2162979374325738E-32</v>
      </c>
      <c r="R384" s="3">
        <f t="shared" si="387"/>
        <v>1.2836950013748479E-303</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1.5463317607252202E-2</v>
      </c>
      <c r="C385" s="3">
        <f t="shared" si="388"/>
        <v>1.546331760725133E-2</v>
      </c>
      <c r="D385" s="3">
        <f t="shared" si="388"/>
        <v>1.5463317607242618E-2</v>
      </c>
      <c r="E385" s="3">
        <f t="shared" si="388"/>
        <v>1.5463317607155498E-2</v>
      </c>
      <c r="F385" s="3">
        <f t="shared" si="388"/>
        <v>1.5463317606284305E-2</v>
      </c>
      <c r="G385" s="3">
        <f t="shared" si="388"/>
        <v>1.5463317597572381E-2</v>
      </c>
      <c r="H385" s="3">
        <f t="shared" si="388"/>
        <v>1.5463317510453125E-2</v>
      </c>
      <c r="I385" s="3">
        <f t="shared" si="388"/>
        <v>1.5463316639260602E-2</v>
      </c>
      <c r="J385" s="3">
        <f t="shared" si="388"/>
        <v>1.5463307927338075E-2</v>
      </c>
      <c r="K385" s="3">
        <f t="shared" si="388"/>
        <v>1.5463220808382748E-2</v>
      </c>
      <c r="L385" s="3">
        <f t="shared" si="388"/>
        <v>1.5462349645824174E-2</v>
      </c>
      <c r="M385" s="3">
        <f t="shared" si="388"/>
        <v>1.5453640719144287E-2</v>
      </c>
      <c r="N385" s="3">
        <f t="shared" si="388"/>
        <v>1.5366820781176599E-2</v>
      </c>
      <c r="O385" s="3">
        <f t="shared" si="388"/>
        <v>1.4525001214462686E-2</v>
      </c>
      <c r="P385" s="3">
        <f t="shared" si="388"/>
        <v>8.2687086289606592E-3</v>
      </c>
      <c r="Q385" s="3">
        <f t="shared" si="388"/>
        <v>2.9556486135428536E-5</v>
      </c>
      <c r="R385" s="3">
        <f t="shared" si="388"/>
        <v>1.0064771641285144E-29</v>
      </c>
      <c r="S385" s="3">
        <f t="shared" si="388"/>
        <v>2.1101589564024915E-274</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6.4979326784240076E-3</v>
      </c>
      <c r="C386" s="3">
        <f t="shared" si="389"/>
        <v>6.4979326784239747E-3</v>
      </c>
      <c r="D386" s="3">
        <f t="shared" si="389"/>
        <v>6.4979326784236442E-3</v>
      </c>
      <c r="E386" s="3">
        <f t="shared" si="389"/>
        <v>6.4979326784203421E-3</v>
      </c>
      <c r="F386" s="3">
        <f t="shared" si="389"/>
        <v>6.4979326783873173E-3</v>
      </c>
      <c r="G386" s="3">
        <f t="shared" si="389"/>
        <v>6.4979326780570746E-3</v>
      </c>
      <c r="H386" s="3">
        <f t="shared" si="389"/>
        <v>6.4979326747546477E-3</v>
      </c>
      <c r="I386" s="3">
        <f t="shared" si="389"/>
        <v>6.4979326417303734E-3</v>
      </c>
      <c r="J386" s="3">
        <f t="shared" si="389"/>
        <v>6.4979323114876452E-3</v>
      </c>
      <c r="K386" s="3">
        <f t="shared" si="389"/>
        <v>6.4979290090612886E-3</v>
      </c>
      <c r="L386" s="3">
        <f t="shared" si="389"/>
        <v>6.4978959848900342E-3</v>
      </c>
      <c r="M386" s="3">
        <f t="shared" si="389"/>
        <v>6.4975657524084058E-3</v>
      </c>
      <c r="N386" s="3">
        <f t="shared" si="389"/>
        <v>6.4942643505105004E-3</v>
      </c>
      <c r="O386" s="3">
        <f t="shared" si="389"/>
        <v>6.4613424500563786E-3</v>
      </c>
      <c r="P386" s="3">
        <f t="shared" si="389"/>
        <v>6.1411644041826884E-3</v>
      </c>
      <c r="Q386" s="3">
        <f t="shared" si="389"/>
        <v>3.6942847895872068E-3</v>
      </c>
      <c r="R386" s="3">
        <f t="shared" si="389"/>
        <v>2.2925924105046918E-5</v>
      </c>
      <c r="S386" s="3">
        <f t="shared" si="389"/>
        <v>1.9421896517075561E-27</v>
      </c>
      <c r="T386" s="3">
        <f t="shared" si="389"/>
        <v>3.6977665555646428E-248</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1.7266189453767199E-3</v>
      </c>
      <c r="C387" s="3">
        <f t="shared" si="390"/>
        <v>1.7266189453767175E-3</v>
      </c>
      <c r="D387" s="3">
        <f t="shared" si="390"/>
        <v>1.726618945376693E-3</v>
      </c>
      <c r="E387" s="3">
        <f t="shared" si="390"/>
        <v>1.7266189453764504E-3</v>
      </c>
      <c r="F387" s="3">
        <f t="shared" si="390"/>
        <v>1.7266189453740233E-3</v>
      </c>
      <c r="G387" s="3">
        <f t="shared" si="390"/>
        <v>1.7266189453497536E-3</v>
      </c>
      <c r="H387" s="3">
        <f t="shared" si="390"/>
        <v>1.726618945107055E-3</v>
      </c>
      <c r="I387" s="3">
        <f t="shared" si="390"/>
        <v>1.726618942680068E-3</v>
      </c>
      <c r="J387" s="3">
        <f t="shared" si="390"/>
        <v>1.7266189184101991E-3</v>
      </c>
      <c r="K387" s="3">
        <f t="shared" si="390"/>
        <v>1.7266186757115296E-3</v>
      </c>
      <c r="L387" s="3">
        <f t="shared" si="390"/>
        <v>1.7266162487267114E-3</v>
      </c>
      <c r="M387" s="3">
        <f t="shared" si="390"/>
        <v>1.7265919790661556E-3</v>
      </c>
      <c r="N387" s="3">
        <f t="shared" si="390"/>
        <v>1.7263493012224615E-3</v>
      </c>
      <c r="O387" s="3">
        <f t="shared" si="390"/>
        <v>1.7239243979963992E-3</v>
      </c>
      <c r="P387" s="3">
        <f t="shared" si="390"/>
        <v>1.6998619152144075E-3</v>
      </c>
      <c r="Q387" s="3">
        <f t="shared" si="390"/>
        <v>1.4769572355015166E-3</v>
      </c>
      <c r="R387" s="3">
        <f t="shared" si="390"/>
        <v>3.621685131292245E-4</v>
      </c>
      <c r="S387" s="3">
        <f t="shared" si="390"/>
        <v>2.8466782562114739E-10</v>
      </c>
      <c r="T387" s="3">
        <f t="shared" si="390"/>
        <v>2.5622135510541143E-71</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4.5003340048363309E-3</v>
      </c>
      <c r="C388" s="3">
        <f t="shared" si="391"/>
        <v>4.5003340048363301E-3</v>
      </c>
      <c r="D388" s="3">
        <f t="shared" si="391"/>
        <v>4.500334004836324E-3</v>
      </c>
      <c r="E388" s="3">
        <f t="shared" si="391"/>
        <v>4.5003340048362607E-3</v>
      </c>
      <c r="F388" s="3">
        <f t="shared" si="391"/>
        <v>4.5003340048356284E-3</v>
      </c>
      <c r="G388" s="3">
        <f t="shared" si="391"/>
        <v>4.5003340048293018E-3</v>
      </c>
      <c r="H388" s="3">
        <f t="shared" si="391"/>
        <v>4.5003340047660443E-3</v>
      </c>
      <c r="I388" s="3">
        <f t="shared" si="391"/>
        <v>4.5003340041334643E-3</v>
      </c>
      <c r="J388" s="3">
        <f t="shared" si="391"/>
        <v>4.5003339978076607E-3</v>
      </c>
      <c r="K388" s="3">
        <f t="shared" si="391"/>
        <v>4.5003339345496291E-3</v>
      </c>
      <c r="L388" s="3">
        <f t="shared" si="391"/>
        <v>4.5003333019693606E-3</v>
      </c>
      <c r="M388" s="3">
        <f t="shared" si="391"/>
        <v>4.5003269761715722E-3</v>
      </c>
      <c r="N388" s="3">
        <f t="shared" si="391"/>
        <v>4.5002637186827218E-3</v>
      </c>
      <c r="O388" s="3">
        <f t="shared" si="391"/>
        <v>4.4996311926959543E-3</v>
      </c>
      <c r="P388" s="3">
        <f t="shared" si="391"/>
        <v>4.4933108204586944E-3</v>
      </c>
      <c r="Q388" s="3">
        <f t="shared" si="391"/>
        <v>4.4305933286840635E-3</v>
      </c>
      <c r="R388" s="3">
        <f t="shared" si="391"/>
        <v>3.8496049683772655E-3</v>
      </c>
      <c r="S388" s="3">
        <f t="shared" si="391"/>
        <v>9.4397161543993658E-4</v>
      </c>
      <c r="T388" s="3">
        <f t="shared" si="391"/>
        <v>7.4197048466079077E-10</v>
      </c>
      <c r="U388" s="3">
        <f t="shared" si="391"/>
        <v>6.6782637838746998E-71</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6.1948117203855881E-4</v>
      </c>
      <c r="C389" s="3">
        <f t="shared" si="392"/>
        <v>6.1948117203855881E-4</v>
      </c>
      <c r="D389" s="3">
        <f t="shared" si="392"/>
        <v>6.1948117203855871E-4</v>
      </c>
      <c r="E389" s="3">
        <f t="shared" si="392"/>
        <v>6.1948117203855784E-4</v>
      </c>
      <c r="F389" s="3">
        <f t="shared" si="392"/>
        <v>6.1948117203854916E-4</v>
      </c>
      <c r="G389" s="3">
        <f t="shared" si="392"/>
        <v>6.1948117203846199E-4</v>
      </c>
      <c r="H389" s="3">
        <f t="shared" si="392"/>
        <v>6.1948117203759127E-4</v>
      </c>
      <c r="I389" s="3">
        <f t="shared" si="392"/>
        <v>6.1948117202888372E-4</v>
      </c>
      <c r="J389" s="3">
        <f t="shared" si="392"/>
        <v>6.1948117194180754E-4</v>
      </c>
      <c r="K389" s="3">
        <f t="shared" si="392"/>
        <v>6.1948117107104639E-4</v>
      </c>
      <c r="L389" s="3">
        <f t="shared" si="392"/>
        <v>6.1948116236343505E-4</v>
      </c>
      <c r="M389" s="3">
        <f t="shared" si="392"/>
        <v>6.1948107528732787E-4</v>
      </c>
      <c r="N389" s="3">
        <f t="shared" si="392"/>
        <v>6.1948020452693006E-4</v>
      </c>
      <c r="O389" s="3">
        <f t="shared" si="392"/>
        <v>6.1947149699026927E-4</v>
      </c>
      <c r="P389" s="3">
        <f t="shared" si="392"/>
        <v>6.1938442835509538E-4</v>
      </c>
      <c r="Q389" s="3">
        <f t="shared" si="392"/>
        <v>6.1851441479675729E-4</v>
      </c>
      <c r="R389" s="3">
        <f t="shared" si="392"/>
        <v>6.0988120995682455E-4</v>
      </c>
      <c r="S389" s="3">
        <f t="shared" si="392"/>
        <v>5.2990684583255441E-4</v>
      </c>
      <c r="T389" s="3">
        <f t="shared" si="392"/>
        <v>1.2993983159370652E-4</v>
      </c>
      <c r="U389" s="3">
        <f t="shared" si="392"/>
        <v>1.0213391827400606E-10</v>
      </c>
      <c r="V389" s="3">
        <f t="shared" si="392"/>
        <v>9.1927814059388188E-72</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7.8921984991154562E-4</v>
      </c>
      <c r="C390" s="3">
        <f t="shared" si="393"/>
        <v>7.8921984991154562E-4</v>
      </c>
      <c r="D390" s="3">
        <f t="shared" si="393"/>
        <v>7.8921984991154562E-4</v>
      </c>
      <c r="E390" s="3">
        <f t="shared" si="393"/>
        <v>7.8921984991154551E-4</v>
      </c>
      <c r="F390" s="3">
        <f t="shared" si="393"/>
        <v>7.8921984991154443E-4</v>
      </c>
      <c r="G390" s="3">
        <f t="shared" si="393"/>
        <v>7.8921984991153326E-4</v>
      </c>
      <c r="H390" s="3">
        <f t="shared" si="393"/>
        <v>7.8921984991142235E-4</v>
      </c>
      <c r="I390" s="3">
        <f t="shared" si="393"/>
        <v>7.8921984991031299E-4</v>
      </c>
      <c r="J390" s="3">
        <f t="shared" si="393"/>
        <v>7.8921984989921954E-4</v>
      </c>
      <c r="K390" s="3">
        <f t="shared" si="393"/>
        <v>7.8921984978828441E-4</v>
      </c>
      <c r="L390" s="3">
        <f t="shared" si="393"/>
        <v>7.8921984867893352E-4</v>
      </c>
      <c r="M390" s="3">
        <f t="shared" si="393"/>
        <v>7.8921983758542481E-4</v>
      </c>
      <c r="N390" s="3">
        <f t="shared" si="393"/>
        <v>7.8921972665034674E-4</v>
      </c>
      <c r="O390" s="3">
        <f t="shared" si="393"/>
        <v>7.8921861730042384E-4</v>
      </c>
      <c r="P390" s="3">
        <f t="shared" si="393"/>
        <v>7.8920752388695671E-4</v>
      </c>
      <c r="Q390" s="3">
        <f t="shared" si="393"/>
        <v>7.8909659832814135E-4</v>
      </c>
      <c r="R390" s="3">
        <f t="shared" si="393"/>
        <v>7.8798819987968961E-4</v>
      </c>
      <c r="S390" s="3">
        <f t="shared" si="393"/>
        <v>7.769894852527288E-4</v>
      </c>
      <c r="T390" s="3">
        <f t="shared" si="393"/>
        <v>6.751020373368797E-4</v>
      </c>
      <c r="U390" s="3">
        <f t="shared" si="393"/>
        <v>1.6554352096036489E-4</v>
      </c>
      <c r="V390" s="3">
        <f t="shared" si="393"/>
        <v>1.3011874983356542E-10</v>
      </c>
      <c r="W390" s="3">
        <f t="shared" si="393"/>
        <v>1.1711615927873745E-71</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3.1383864234018747E-3</v>
      </c>
      <c r="C391" s="3">
        <f t="shared" si="394"/>
        <v>3.1383864234018747E-3</v>
      </c>
      <c r="D391" s="3">
        <f t="shared" si="394"/>
        <v>3.1383864234018747E-3</v>
      </c>
      <c r="E391" s="3">
        <f t="shared" si="394"/>
        <v>3.1383864234018747E-3</v>
      </c>
      <c r="F391" s="3">
        <f t="shared" si="394"/>
        <v>3.1383864234018743E-3</v>
      </c>
      <c r="G391" s="3">
        <f t="shared" si="394"/>
        <v>3.1383864234018699E-3</v>
      </c>
      <c r="H391" s="3">
        <f t="shared" si="394"/>
        <v>3.1383864234018257E-3</v>
      </c>
      <c r="I391" s="3">
        <f t="shared" si="394"/>
        <v>3.1383864234013847E-3</v>
      </c>
      <c r="J391" s="3">
        <f t="shared" si="394"/>
        <v>3.1383864233969728E-3</v>
      </c>
      <c r="K391" s="3">
        <f t="shared" si="394"/>
        <v>3.1383864233528592E-3</v>
      </c>
      <c r="L391" s="3">
        <f t="shared" si="394"/>
        <v>3.1383864229117182E-3</v>
      </c>
      <c r="M391" s="3">
        <f t="shared" si="394"/>
        <v>3.138386418500309E-3</v>
      </c>
      <c r="N391" s="3">
        <f t="shared" si="394"/>
        <v>3.1383863743862169E-3</v>
      </c>
      <c r="O391" s="3">
        <f t="shared" si="394"/>
        <v>3.1383859332453322E-3</v>
      </c>
      <c r="P391" s="3">
        <f t="shared" si="394"/>
        <v>3.1383815218398951E-3</v>
      </c>
      <c r="Q391" s="3">
        <f t="shared" si="394"/>
        <v>3.1383374081265635E-3</v>
      </c>
      <c r="R391" s="3">
        <f t="shared" si="394"/>
        <v>3.1378963050957246E-3</v>
      </c>
      <c r="S391" s="3">
        <f t="shared" si="394"/>
        <v>3.1334886832616684E-3</v>
      </c>
      <c r="T391" s="3">
        <f t="shared" si="394"/>
        <v>3.0897515463105462E-3</v>
      </c>
      <c r="U391" s="3">
        <f t="shared" si="394"/>
        <v>2.6845891783214425E-3</v>
      </c>
      <c r="V391" s="3">
        <f t="shared" si="394"/>
        <v>6.5829507294118601E-4</v>
      </c>
      <c r="W391" s="3">
        <f t="shared" si="394"/>
        <v>5.174260606261427E-10</v>
      </c>
      <c r="X391" s="3">
        <f t="shared" si="394"/>
        <v>4.6572037472518733E-71</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4.3963079363277776E-4</v>
      </c>
      <c r="C392" s="3">
        <f t="shared" si="395"/>
        <v>4.3963079363277776E-4</v>
      </c>
      <c r="D392" s="3">
        <f t="shared" si="395"/>
        <v>4.3963079363277776E-4</v>
      </c>
      <c r="E392" s="3">
        <f t="shared" si="395"/>
        <v>4.3963079363277776E-4</v>
      </c>
      <c r="F392" s="3">
        <f t="shared" si="395"/>
        <v>4.3963079363277776E-4</v>
      </c>
      <c r="G392" s="3">
        <f t="shared" si="395"/>
        <v>4.396307936327777E-4</v>
      </c>
      <c r="H392" s="3">
        <f t="shared" si="395"/>
        <v>4.3963079363277705E-4</v>
      </c>
      <c r="I392" s="3">
        <f t="shared" si="395"/>
        <v>4.3963079363277087E-4</v>
      </c>
      <c r="J392" s="3">
        <f t="shared" si="395"/>
        <v>4.3963079363270907E-4</v>
      </c>
      <c r="K392" s="3">
        <f t="shared" si="395"/>
        <v>4.3963079363209113E-4</v>
      </c>
      <c r="L392" s="3">
        <f t="shared" si="395"/>
        <v>4.3963079362591156E-4</v>
      </c>
      <c r="M392" s="3">
        <f t="shared" si="395"/>
        <v>4.3963079356411578E-4</v>
      </c>
      <c r="N392" s="3">
        <f t="shared" si="395"/>
        <v>4.3963079294615762E-4</v>
      </c>
      <c r="O392" s="3">
        <f t="shared" si="395"/>
        <v>4.3963078676657657E-4</v>
      </c>
      <c r="P392" s="3">
        <f t="shared" si="395"/>
        <v>4.3963072497077101E-4</v>
      </c>
      <c r="Q392" s="3">
        <f t="shared" si="395"/>
        <v>4.3963010701319289E-4</v>
      </c>
      <c r="R392" s="3">
        <f t="shared" si="395"/>
        <v>4.3962392748518532E-4</v>
      </c>
      <c r="S392" s="3">
        <f t="shared" si="395"/>
        <v>4.3956213698224548E-4</v>
      </c>
      <c r="T392" s="3">
        <f t="shared" si="395"/>
        <v>4.3894470941803916E-4</v>
      </c>
      <c r="U392" s="3">
        <f t="shared" si="395"/>
        <v>4.3281793290458328E-4</v>
      </c>
      <c r="V392" s="3">
        <f t="shared" si="395"/>
        <v>3.7606206241617198E-4</v>
      </c>
      <c r="W392" s="3">
        <f t="shared" si="395"/>
        <v>9.2215153367881502E-5</v>
      </c>
      <c r="X392" s="3">
        <f t="shared" si="395"/>
        <v>7.2481969710020066E-11</v>
      </c>
      <c r="Y392" s="3">
        <f t="shared" si="395"/>
        <v>6.5238944581417742E-72</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3.9367491924485783E-5</v>
      </c>
      <c r="C393" s="3">
        <f t="shared" si="396"/>
        <v>3.9367491924485783E-5</v>
      </c>
      <c r="D393" s="3">
        <f t="shared" si="396"/>
        <v>3.9367491924485783E-5</v>
      </c>
      <c r="E393" s="3">
        <f t="shared" si="396"/>
        <v>3.9367491924485783E-5</v>
      </c>
      <c r="F393" s="3">
        <f t="shared" si="396"/>
        <v>3.9367491924485783E-5</v>
      </c>
      <c r="G393" s="3">
        <f t="shared" si="396"/>
        <v>3.9367491924485783E-5</v>
      </c>
      <c r="H393" s="3">
        <f t="shared" si="396"/>
        <v>3.9367491924485776E-5</v>
      </c>
      <c r="I393" s="3">
        <f t="shared" si="396"/>
        <v>3.9367491924485722E-5</v>
      </c>
      <c r="J393" s="3">
        <f t="shared" si="396"/>
        <v>3.9367491924485166E-5</v>
      </c>
      <c r="K393" s="3">
        <f t="shared" si="396"/>
        <v>3.936749192447963E-5</v>
      </c>
      <c r="L393" s="3">
        <f t="shared" si="396"/>
        <v>3.9367491924424295E-5</v>
      </c>
      <c r="M393" s="3">
        <f t="shared" si="396"/>
        <v>3.9367491923870939E-5</v>
      </c>
      <c r="N393" s="3">
        <f t="shared" si="396"/>
        <v>3.9367491918337327E-5</v>
      </c>
      <c r="O393" s="3">
        <f t="shared" si="396"/>
        <v>3.9367491863001206E-5</v>
      </c>
      <c r="P393" s="3">
        <f t="shared" si="396"/>
        <v>3.9367491309640044E-5</v>
      </c>
      <c r="Q393" s="3">
        <f t="shared" si="396"/>
        <v>3.9367485776028863E-5</v>
      </c>
      <c r="R393" s="3">
        <f t="shared" si="396"/>
        <v>3.9367430439959783E-5</v>
      </c>
      <c r="S393" s="3">
        <f t="shared" si="396"/>
        <v>3.9366877083546947E-5</v>
      </c>
      <c r="T393" s="3">
        <f t="shared" si="396"/>
        <v>3.9361343947195437E-5</v>
      </c>
      <c r="U393" s="3">
        <f t="shared" si="396"/>
        <v>3.9306055339118195E-5</v>
      </c>
      <c r="V393" s="3">
        <f t="shared" si="396"/>
        <v>3.8757422649120429E-5</v>
      </c>
      <c r="W393" s="3">
        <f t="shared" si="396"/>
        <v>3.367512107816627E-5</v>
      </c>
      <c r="X393" s="3">
        <f t="shared" si="396"/>
        <v>8.2575637514547125E-6</v>
      </c>
      <c r="Y393" s="3">
        <f t="shared" si="396"/>
        <v>6.4905220438527839E-12</v>
      </c>
      <c r="Z393" s="3">
        <f t="shared" si="396"/>
        <v>5.8419329609477407E-73</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2.469113716916911E-6</v>
      </c>
      <c r="C394" s="3">
        <f t="shared" si="397"/>
        <v>2.469113716916911E-6</v>
      </c>
      <c r="D394" s="3">
        <f t="shared" si="397"/>
        <v>2.469113716916911E-6</v>
      </c>
      <c r="E394" s="3">
        <f t="shared" si="397"/>
        <v>2.469113716916911E-6</v>
      </c>
      <c r="F394" s="3">
        <f t="shared" si="397"/>
        <v>2.469113716916911E-6</v>
      </c>
      <c r="G394" s="3">
        <f t="shared" si="397"/>
        <v>2.469113716916911E-6</v>
      </c>
      <c r="H394" s="3">
        <f t="shared" si="397"/>
        <v>2.469113716916911E-6</v>
      </c>
      <c r="I394" s="3">
        <f t="shared" si="397"/>
        <v>2.4691137169169106E-6</v>
      </c>
      <c r="J394" s="3">
        <f t="shared" si="397"/>
        <v>2.4691137169169072E-6</v>
      </c>
      <c r="K394" s="3">
        <f t="shared" si="397"/>
        <v>2.4691137169168725E-6</v>
      </c>
      <c r="L394" s="3">
        <f t="shared" si="397"/>
        <v>2.4691137169165252E-6</v>
      </c>
      <c r="M394" s="3">
        <f t="shared" si="397"/>
        <v>2.4691137169130545E-6</v>
      </c>
      <c r="N394" s="3">
        <f t="shared" si="397"/>
        <v>2.4691137168783482E-6</v>
      </c>
      <c r="O394" s="3">
        <f t="shared" si="397"/>
        <v>2.4691137165312824E-6</v>
      </c>
      <c r="P394" s="3">
        <f t="shared" si="397"/>
        <v>2.4691137130606224E-6</v>
      </c>
      <c r="Q394" s="3">
        <f t="shared" si="397"/>
        <v>2.4691136783540264E-6</v>
      </c>
      <c r="R394" s="3">
        <f t="shared" si="397"/>
        <v>2.4691133312880945E-6</v>
      </c>
      <c r="S394" s="3">
        <f t="shared" si="397"/>
        <v>2.4691098606314554E-6</v>
      </c>
      <c r="T394" s="3">
        <f t="shared" si="397"/>
        <v>2.4690751543333787E-6</v>
      </c>
      <c r="U394" s="3">
        <f t="shared" si="397"/>
        <v>2.468728118182605E-6</v>
      </c>
      <c r="V394" s="3">
        <f t="shared" si="397"/>
        <v>2.4652604382792314E-6</v>
      </c>
      <c r="W394" s="3">
        <f t="shared" si="397"/>
        <v>2.430850410253546E-6</v>
      </c>
      <c r="X394" s="3">
        <f t="shared" si="397"/>
        <v>2.1120904408243987E-6</v>
      </c>
      <c r="Y394" s="3">
        <f t="shared" si="397"/>
        <v>5.1791117316140819E-7</v>
      </c>
      <c r="Z394" s="3">
        <f t="shared" si="397"/>
        <v>4.0708300745114898E-13</v>
      </c>
      <c r="AA394" s="3">
        <f t="shared" si="397"/>
        <v>3.6640375350438335E-74</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2.208647945424367E-3</v>
      </c>
      <c r="B397" s="81">
        <f>IF($A$64&lt;=B363,IF($B$64&gt;=B363,ABS((B365-B364)/B364),0),0)</f>
        <v>0</v>
      </c>
      <c r="C397" s="81">
        <f t="shared" ref="C397:AF397" si="400">IF($A$64&lt;=C363,IF($B$64&gt;=C363,ABS((C365-C364)/C364),0),0)</f>
        <v>0</v>
      </c>
      <c r="D397" s="81">
        <f t="shared" si="400"/>
        <v>0</v>
      </c>
      <c r="E397" s="81">
        <f t="shared" si="400"/>
        <v>0</v>
      </c>
      <c r="F397" s="81">
        <f t="shared" si="400"/>
        <v>0</v>
      </c>
      <c r="G397" s="81">
        <f t="shared" si="400"/>
        <v>0</v>
      </c>
      <c r="H397" s="81">
        <f t="shared" si="400"/>
        <v>0</v>
      </c>
      <c r="I397" s="81">
        <f t="shared" si="400"/>
        <v>0</v>
      </c>
      <c r="J397" s="81">
        <f t="shared" si="400"/>
        <v>0</v>
      </c>
      <c r="K397" s="81">
        <f t="shared" si="400"/>
        <v>0</v>
      </c>
      <c r="L397" s="81">
        <f t="shared" si="400"/>
        <v>3.6130600865777367E-3</v>
      </c>
      <c r="M397" s="81">
        <f t="shared" si="400"/>
        <v>4.2788751660364638E-5</v>
      </c>
      <c r="N397" s="81">
        <f t="shared" si="400"/>
        <v>5.3311596195457578E-3</v>
      </c>
      <c r="O397" s="81">
        <f t="shared" si="400"/>
        <v>1.1514164831756161E-2</v>
      </c>
      <c r="P397" s="81">
        <f t="shared" si="400"/>
        <v>4.8803862755436161E-3</v>
      </c>
      <c r="Q397" s="81">
        <f t="shared" si="400"/>
        <v>7.5935325575079201E-4</v>
      </c>
      <c r="R397" s="81">
        <f t="shared" si="400"/>
        <v>7.2329457241444338E-3</v>
      </c>
      <c r="S397" s="81">
        <f t="shared" si="400"/>
        <v>1.3880972407545161E-2</v>
      </c>
      <c r="T397" s="81">
        <f t="shared" si="400"/>
        <v>6.6579653883347021E-3</v>
      </c>
      <c r="U397" s="81">
        <f t="shared" si="400"/>
        <v>9.5707969474496148E-3</v>
      </c>
      <c r="V397" s="81">
        <f t="shared" si="400"/>
        <v>4.9844930198470368E-3</v>
      </c>
      <c r="W397" s="81">
        <f t="shared" si="400"/>
        <v>0</v>
      </c>
      <c r="X397" s="81">
        <f t="shared" si="400"/>
        <v>0</v>
      </c>
      <c r="Y397" s="81">
        <f t="shared" si="400"/>
        <v>0</v>
      </c>
      <c r="Z397" s="81">
        <f t="shared" si="400"/>
        <v>0</v>
      </c>
      <c r="AA397" s="81">
        <f t="shared" si="400"/>
        <v>0</v>
      </c>
      <c r="AB397" s="81">
        <f t="shared" si="400"/>
        <v>0</v>
      </c>
      <c r="AC397" s="81">
        <f t="shared" si="400"/>
        <v>0</v>
      </c>
      <c r="AD397" s="81">
        <f t="shared" si="400"/>
        <v>0</v>
      </c>
      <c r="AE397" s="81">
        <f t="shared" si="400"/>
        <v>0</v>
      </c>
      <c r="AF397" s="81">
        <f t="shared" si="400"/>
        <v>0</v>
      </c>
    </row>
    <row r="398" spans="1:34" x14ac:dyDescent="0.25">
      <c r="B398" s="21">
        <f>(B365-B364)^2</f>
        <v>1218.7922202424795</v>
      </c>
      <c r="C398" s="21">
        <f t="shared" ref="C398:AF398" si="401">(C365-C364)^2</f>
        <v>114.19976572968552</v>
      </c>
      <c r="D398" s="21">
        <f t="shared" si="401"/>
        <v>123.2778346647671</v>
      </c>
      <c r="E398" s="21">
        <f t="shared" si="401"/>
        <v>153.84466800100358</v>
      </c>
      <c r="F398" s="21">
        <f t="shared" si="401"/>
        <v>121.89102902072116</v>
      </c>
      <c r="G398" s="21">
        <f t="shared" si="401"/>
        <v>175.60546340587169</v>
      </c>
      <c r="H398" s="21">
        <f t="shared" si="401"/>
        <v>154.69104025062202</v>
      </c>
      <c r="I398" s="21">
        <f t="shared" si="401"/>
        <v>208.92006773052211</v>
      </c>
      <c r="J398" s="21">
        <f t="shared" si="401"/>
        <v>81.359691413915471</v>
      </c>
      <c r="K398" s="21">
        <f t="shared" si="401"/>
        <v>1.4150869916919324E-3</v>
      </c>
      <c r="L398" s="21">
        <f t="shared" si="401"/>
        <v>22.734309199968351</v>
      </c>
      <c r="M398" s="21">
        <f t="shared" si="401"/>
        <v>1.7713724774682147E-3</v>
      </c>
      <c r="N398" s="21">
        <f t="shared" si="401"/>
        <v>13.675335413256784</v>
      </c>
      <c r="O398" s="21">
        <f t="shared" si="401"/>
        <v>31.306186663035128</v>
      </c>
      <c r="P398" s="21">
        <f t="shared" si="401"/>
        <v>3.2146906791625325</v>
      </c>
      <c r="Q398" s="21">
        <f t="shared" si="401"/>
        <v>5.4406447310267871E-2</v>
      </c>
      <c r="R398" s="21">
        <f t="shared" si="401"/>
        <v>4.0742888445449275</v>
      </c>
      <c r="S398" s="21">
        <f t="shared" si="401"/>
        <v>13.193294613768506</v>
      </c>
      <c r="T398" s="21">
        <f t="shared" si="401"/>
        <v>2.8004615102117794</v>
      </c>
      <c r="U398" s="21">
        <f t="shared" si="401"/>
        <v>5.5491053928832956</v>
      </c>
      <c r="V398" s="21">
        <f t="shared" si="401"/>
        <v>1.340779557507616</v>
      </c>
      <c r="W398" s="21">
        <f t="shared" si="401"/>
        <v>1.994527412262344</v>
      </c>
      <c r="X398" s="21">
        <f t="shared" si="401"/>
        <v>1.5463731012718624</v>
      </c>
      <c r="Y398" s="21">
        <f t="shared" si="401"/>
        <v>1.4186028190116968</v>
      </c>
      <c r="Z398" s="21">
        <f t="shared" si="401"/>
        <v>0.74514376110804148</v>
      </c>
      <c r="AA398" s="21">
        <f t="shared" si="401"/>
        <v>0.24811543679005124</v>
      </c>
      <c r="AB398" s="21">
        <f t="shared" si="401"/>
        <v>0.14681898626229961</v>
      </c>
      <c r="AC398" s="21">
        <f t="shared" si="401"/>
        <v>7.4633793247733213E-2</v>
      </c>
      <c r="AD398" s="21">
        <f t="shared" si="401"/>
        <v>3.2515824271876125E-2</v>
      </c>
      <c r="AE398" s="21">
        <f t="shared" si="401"/>
        <v>2.3483077577976422E-2</v>
      </c>
      <c r="AF398" s="21">
        <f t="shared" si="401"/>
        <v>1.9294424115371269E-2</v>
      </c>
      <c r="AG398" s="3"/>
      <c r="AH398" s="3"/>
    </row>
    <row r="399" spans="1:34" x14ac:dyDescent="0.25">
      <c r="A399" s="72">
        <f>SUM(B399:AF399)</f>
        <v>97.944629694126647</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22.734309199968351</v>
      </c>
      <c r="M399" s="60">
        <f t="shared" ref="M399" si="412">IF($A$64&lt;=M363,IF($B$64&gt;=M363,ABS(M398),0),0)</f>
        <v>1.7713724774682147E-3</v>
      </c>
      <c r="N399" s="60">
        <f t="shared" ref="N399" si="413">IF($A$64&lt;=N363,IF($B$64&gt;=N363,ABS(N398),0),0)</f>
        <v>13.675335413256784</v>
      </c>
      <c r="O399" s="60">
        <f t="shared" ref="O399" si="414">IF($A$64&lt;=O363,IF($B$64&gt;=O363,ABS(O398),0),0)</f>
        <v>31.306186663035128</v>
      </c>
      <c r="P399" s="60">
        <f t="shared" ref="P399" si="415">IF($A$64&lt;=P363,IF($B$64&gt;=P363,ABS(P398),0),0)</f>
        <v>3.2146906791625325</v>
      </c>
      <c r="Q399" s="60">
        <f t="shared" ref="Q399" si="416">IF($A$64&lt;=Q363,IF($B$64&gt;=Q363,ABS(Q398),0),0)</f>
        <v>5.4406447310267871E-2</v>
      </c>
      <c r="R399" s="60">
        <f t="shared" ref="R399" si="417">IF($A$64&lt;=R363,IF($B$64&gt;=R363,ABS(R398),0),0)</f>
        <v>4.0742888445449275</v>
      </c>
      <c r="S399" s="60">
        <f t="shared" ref="S399" si="418">IF($A$64&lt;=S363,IF($B$64&gt;=S363,ABS(S398),0),0)</f>
        <v>13.193294613768506</v>
      </c>
      <c r="T399" s="60">
        <f t="shared" ref="T399" si="419">IF($A$64&lt;=T363,IF($B$64&gt;=T363,ABS(T398),0),0)</f>
        <v>2.8004615102117794</v>
      </c>
      <c r="U399" s="60">
        <f t="shared" ref="U399" si="420">IF($A$64&lt;=U363,IF($B$64&gt;=U363,ABS(U398),0),0)</f>
        <v>5.5491053928832956</v>
      </c>
      <c r="V399" s="60">
        <f t="shared" ref="V399" si="421">IF($A$64&lt;=V363,IF($B$64&gt;=V363,ABS(V398),0),0)</f>
        <v>1.340779557507616</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06"/>
      <c r="B532" s="106"/>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7"/>
      <c r="B534" s="107"/>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06"/>
      <c r="B581" s="106"/>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06"/>
      <c r="B596" s="106"/>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7"/>
      <c r="B597" s="107"/>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7"/>
      <c r="B626" s="107"/>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7"/>
      <c r="B627" s="107"/>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06"/>
      <c r="B650" s="106"/>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7"/>
      <c r="B651" s="107"/>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7"/>
      <c r="B652" s="107"/>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7"/>
      <c r="B653" s="107"/>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7"/>
      <c r="B654" s="107"/>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-52.940377327368104</v>
      </c>
      <c r="M1" s="54">
        <v>1</v>
      </c>
      <c r="N1" s="56">
        <f>INDEX($H$217:$P$217,1,Q1)</f>
        <v>0.39041401671763959</v>
      </c>
      <c r="O1" s="11"/>
      <c r="P1" s="55">
        <v>1</v>
      </c>
      <c r="Q1" s="11">
        <v>2</v>
      </c>
    </row>
    <row r="2" spans="1:17" x14ac:dyDescent="0.25">
      <c r="A2" s="11">
        <f>'Mastercurve bestimmen'!M119</f>
        <v>0</v>
      </c>
      <c r="B2" s="11">
        <f>'Mastercurve bestimmen'!N119</f>
        <v>-36.907821236349747</v>
      </c>
      <c r="M2" s="54">
        <v>2</v>
      </c>
      <c r="N2" s="56">
        <f t="shared" ref="N2:N9" si="0">INDEX($H$217:$P$217,1,Q2)</f>
        <v>5.2469203816574465E-4</v>
      </c>
      <c r="O2" s="11"/>
      <c r="P2" s="55">
        <v>2</v>
      </c>
      <c r="Q2" s="11">
        <f>Q1+1</f>
        <v>3</v>
      </c>
    </row>
    <row r="3" spans="1:17" x14ac:dyDescent="0.25">
      <c r="A3" s="11">
        <f>'Mastercurve bestimmen'!M120</f>
        <v>25</v>
      </c>
      <c r="B3" s="11">
        <f>'Mastercurve bestimmen'!N120</f>
        <v>-28.503893330887131</v>
      </c>
      <c r="M3" s="54">
        <v>3</v>
      </c>
      <c r="N3" s="56">
        <f t="shared" si="0"/>
        <v>1.5193190543468682E-5</v>
      </c>
      <c r="O3" s="11"/>
      <c r="P3" s="55">
        <v>3</v>
      </c>
      <c r="Q3" s="11">
        <f t="shared" ref="Q3:Q8" si="1">Q2+1</f>
        <v>4</v>
      </c>
    </row>
    <row r="4" spans="1:17" x14ac:dyDescent="0.25">
      <c r="A4" s="11">
        <f>'Mastercurve bestimmen'!M121</f>
        <v>50</v>
      </c>
      <c r="B4" s="11">
        <f>'Mastercurve bestimmen'!N121</f>
        <v>-23.522041583623768</v>
      </c>
      <c r="M4" s="54">
        <v>4</v>
      </c>
      <c r="N4" s="56">
        <f t="shared" si="0"/>
        <v>1.8993355210255015E-7</v>
      </c>
      <c r="O4" s="11"/>
      <c r="P4" s="55">
        <v>4</v>
      </c>
      <c r="Q4" s="11">
        <f t="shared" si="1"/>
        <v>5</v>
      </c>
    </row>
    <row r="5" spans="1:17" x14ac:dyDescent="0.25">
      <c r="A5" s="11">
        <f>'Mastercurve bestimmen'!M122</f>
        <v>80</v>
      </c>
      <c r="B5" s="11">
        <f>'Mastercurve bestimmen'!N122</f>
        <v>-16.239010866946504</v>
      </c>
      <c r="M5" s="54">
        <v>5</v>
      </c>
      <c r="N5" s="56">
        <f t="shared" si="0"/>
        <v>-1.1913630715071386E-8</v>
      </c>
      <c r="O5" s="11"/>
      <c r="P5" s="55">
        <v>5</v>
      </c>
      <c r="Q5" s="11">
        <f t="shared" si="1"/>
        <v>6</v>
      </c>
    </row>
    <row r="6" spans="1:17" x14ac:dyDescent="0.25">
      <c r="A6" s="11">
        <f>'Mastercurve bestimmen'!M123</f>
        <v>125</v>
      </c>
      <c r="B6" s="11">
        <f>'Mastercurve bestimmen'!N123</f>
        <v>0</v>
      </c>
      <c r="M6" s="54">
        <v>6</v>
      </c>
      <c r="N6" s="56">
        <f t="shared" si="0"/>
        <v>-2.2775286839727752E-10</v>
      </c>
      <c r="O6" s="11"/>
      <c r="P6" s="55">
        <v>6</v>
      </c>
      <c r="Q6" s="11">
        <f t="shared" si="1"/>
        <v>7</v>
      </c>
    </row>
    <row r="7" spans="1:17" x14ac:dyDescent="0.25">
      <c r="A7" s="11">
        <f>'Mastercurve bestimmen'!M124</f>
        <v>160</v>
      </c>
      <c r="B7" s="11">
        <f>'Mastercurve bestimmen'!N124</f>
        <v>14.261356474642833</v>
      </c>
      <c r="M7" s="54">
        <v>7</v>
      </c>
      <c r="N7" s="56">
        <f t="shared" si="0"/>
        <v>-1.3765596042418378E-12</v>
      </c>
      <c r="O7" s="11"/>
      <c r="P7" s="55">
        <v>7</v>
      </c>
      <c r="Q7" s="11">
        <f t="shared" si="1"/>
        <v>8</v>
      </c>
    </row>
    <row r="8" spans="1:17" x14ac:dyDescent="0.25">
      <c r="A8" s="11"/>
      <c r="B8" s="11"/>
      <c r="M8" s="54">
        <v>8</v>
      </c>
      <c r="N8" s="56">
        <f t="shared" si="0"/>
        <v>-2.7662025787663929E-15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-52.940377327368104</v>
      </c>
      <c r="E15" s="11">
        <f>A15-'Mastercurve bestimmen'!$B$2</f>
        <v>-165</v>
      </c>
      <c r="F15" s="11">
        <f>B15</f>
        <v>-52.940377327368104</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-52.648888789510011</v>
      </c>
      <c r="E16" s="11">
        <f>A16-'Mastercurve bestimmen'!$B$2</f>
        <v>-164</v>
      </c>
      <c r="F16" s="11">
        <f t="shared" ref="F16:F79" si="4">B16</f>
        <v>-52.648888789510011</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-52.35699002514378</v>
      </c>
      <c r="E17" s="11">
        <f>A17-'Mastercurve bestimmen'!$B$2</f>
        <v>-163</v>
      </c>
      <c r="F17" s="11">
        <f t="shared" si="4"/>
        <v>-52.35699002514378</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-52.064270807761289</v>
      </c>
      <c r="E18" s="11">
        <f>A18-'Mastercurve bestimmen'!$B$2</f>
        <v>-162</v>
      </c>
      <c r="F18" s="11">
        <f t="shared" si="4"/>
        <v>-52.064270807761289</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-51.770320910854394</v>
      </c>
      <c r="E19" s="11">
        <f>A19-'Mastercurve bestimmen'!$B$2</f>
        <v>-161</v>
      </c>
      <c r="F19" s="11">
        <f t="shared" si="4"/>
        <v>-51.770320910854394</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-51.474730107914972</v>
      </c>
      <c r="E20" s="11">
        <f>A20-'Mastercurve bestimmen'!$B$2</f>
        <v>-160</v>
      </c>
      <c r="F20" s="11">
        <f t="shared" si="4"/>
        <v>-51.474730107914972</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-51.177088172434892</v>
      </c>
      <c r="E21" s="11">
        <f>A21-'Mastercurve bestimmen'!$B$2</f>
        <v>-159</v>
      </c>
      <c r="F21" s="11">
        <f t="shared" si="4"/>
        <v>-51.177088172434892</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-50.876984877906011</v>
      </c>
      <c r="E22" s="11">
        <f>A22-'Mastercurve bestimmen'!$B$2</f>
        <v>-158</v>
      </c>
      <c r="F22" s="11">
        <f t="shared" si="4"/>
        <v>-50.876984877906011</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-50.574009997820205</v>
      </c>
      <c r="E23" s="11">
        <f>A23-'Mastercurve bestimmen'!$B$2</f>
        <v>-157</v>
      </c>
      <c r="F23" s="11">
        <f t="shared" si="4"/>
        <v>-50.574009997820205</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-50.267753305669331</v>
      </c>
      <c r="E24" s="11">
        <f>A24-'Mastercurve bestimmen'!$B$2</f>
        <v>-156</v>
      </c>
      <c r="F24" s="11">
        <f t="shared" si="4"/>
        <v>-50.267753305669331</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-49.957804574945264</v>
      </c>
      <c r="E25" s="11">
        <f>A25-'Mastercurve bestimmen'!$B$2</f>
        <v>-155</v>
      </c>
      <c r="F25" s="11">
        <f t="shared" si="4"/>
        <v>-49.957804574945264</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-49.643753579139869</v>
      </c>
      <c r="E26" s="11">
        <f>A26-'Mastercurve bestimmen'!$B$2</f>
        <v>-154</v>
      </c>
      <c r="F26" s="11">
        <f t="shared" si="4"/>
        <v>-49.643753579139869</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-49.325190091745021</v>
      </c>
      <c r="E27" s="11">
        <f>A27-'Mastercurve bestimmen'!$B$2</f>
        <v>-153</v>
      </c>
      <c r="F27" s="11">
        <f t="shared" si="4"/>
        <v>-49.325190091745021</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-49.001703886252578</v>
      </c>
      <c r="E28" s="11">
        <f>A28-'Mastercurve bestimmen'!$B$2</f>
        <v>-152</v>
      </c>
      <c r="F28" s="11">
        <f t="shared" si="4"/>
        <v>-49.001703886252578</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-48.672884736154401</v>
      </c>
      <c r="E29" s="11">
        <f>A29-'Mastercurve bestimmen'!$B$2</f>
        <v>-151</v>
      </c>
      <c r="F29" s="11">
        <f t="shared" si="4"/>
        <v>-48.672884736154401</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-48.338322414942382</v>
      </c>
      <c r="E30" s="11">
        <f>A30-'Mastercurve bestimmen'!$B$2</f>
        <v>-150</v>
      </c>
      <c r="F30" s="11">
        <f t="shared" si="4"/>
        <v>-48.338322414942382</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-47.997606696108363</v>
      </c>
      <c r="E31" s="11">
        <f>A31-'Mastercurve bestimmen'!$B$2</f>
        <v>-149</v>
      </c>
      <c r="F31" s="11">
        <f t="shared" si="4"/>
        <v>-47.997606696108363</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-47.65032735314422</v>
      </c>
      <c r="E32" s="11">
        <f>A32-'Mastercurve bestimmen'!$B$2</f>
        <v>-148</v>
      </c>
      <c r="F32" s="11">
        <f t="shared" si="4"/>
        <v>-47.65032735314422</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-47.296074159541817</v>
      </c>
      <c r="E33" s="11">
        <f>A33-'Mastercurve bestimmen'!$B$2</f>
        <v>-147</v>
      </c>
      <c r="F33" s="11">
        <f t="shared" si="4"/>
        <v>-47.296074159541817</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-46.934436888793037</v>
      </c>
      <c r="E34" s="11">
        <f>A34-'Mastercurve bestimmen'!$B$2</f>
        <v>-146</v>
      </c>
      <c r="F34" s="11">
        <f t="shared" si="4"/>
        <v>-46.934436888793037</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-46.56500531438973</v>
      </c>
      <c r="E35" s="11">
        <f>A35-'Mastercurve bestimmen'!$B$2</f>
        <v>-145</v>
      </c>
      <c r="F35" s="11">
        <f t="shared" si="4"/>
        <v>-46.56500531438973</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-46.187369209823771</v>
      </c>
      <c r="E36" s="11">
        <f>A36-'Mastercurve bestimmen'!$B$2</f>
        <v>-144</v>
      </c>
      <c r="F36" s="11">
        <f t="shared" si="4"/>
        <v>-46.187369209823771</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-45.801118348587018</v>
      </c>
      <c r="E37" s="11">
        <f>A37-'Mastercurve bestimmen'!$B$2</f>
        <v>-143</v>
      </c>
      <c r="F37" s="11">
        <f t="shared" si="4"/>
        <v>-45.801118348587018</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-45.405842504171346</v>
      </c>
      <c r="E38" s="11">
        <f>A38-'Mastercurve bestimmen'!$B$2</f>
        <v>-142</v>
      </c>
      <c r="F38" s="11">
        <f t="shared" si="4"/>
        <v>-45.405842504171346</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-45.001131450068627</v>
      </c>
      <c r="E39" s="11">
        <f>A39-'Mastercurve bestimmen'!$B$2</f>
        <v>-141</v>
      </c>
      <c r="F39" s="11">
        <f t="shared" si="4"/>
        <v>-45.001131450068627</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-44.586574959770729</v>
      </c>
      <c r="E40" s="11">
        <f>A40-'Mastercurve bestimmen'!$B$2</f>
        <v>-140</v>
      </c>
      <c r="F40" s="11">
        <f t="shared" si="4"/>
        <v>-44.586574959770729</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-44.161762806769502</v>
      </c>
      <c r="E41" s="11">
        <f>A41-'Mastercurve bestimmen'!$B$2</f>
        <v>-139</v>
      </c>
      <c r="F41" s="11">
        <f t="shared" si="4"/>
        <v>-44.161762806769502</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-43.72628476455683</v>
      </c>
      <c r="E42" s="11">
        <f>A42-'Mastercurve bestimmen'!$B$2</f>
        <v>-138</v>
      </c>
      <c r="F42" s="11">
        <f t="shared" si="4"/>
        <v>-43.72628476455683</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-43.279730606624575</v>
      </c>
      <c r="E43" s="11">
        <f>A43-'Mastercurve bestimmen'!$B$2</f>
        <v>-137</v>
      </c>
      <c r="F43" s="11">
        <f t="shared" si="4"/>
        <v>-43.279730606624575</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-42.821690106464608</v>
      </c>
      <c r="E44" s="11">
        <f>A44-'Mastercurve bestimmen'!$B$2</f>
        <v>-136</v>
      </c>
      <c r="F44" s="11">
        <f t="shared" si="4"/>
        <v>-42.821690106464608</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-42.351753037568791</v>
      </c>
      <c r="E45" s="11">
        <f>A45-'Mastercurve bestimmen'!$B$2</f>
        <v>-135</v>
      </c>
      <c r="F45" s="11">
        <f t="shared" si="4"/>
        <v>-42.351753037568791</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-41.869509173428987</v>
      </c>
      <c r="E46" s="11">
        <f>A46-'Mastercurve bestimmen'!$B$2</f>
        <v>-134</v>
      </c>
      <c r="F46" s="11">
        <f t="shared" si="4"/>
        <v>-41.869509173428987</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-41.374548287537074</v>
      </c>
      <c r="E47" s="11">
        <f>A47-'Mastercurve bestimmen'!$B$2</f>
        <v>-133</v>
      </c>
      <c r="F47" s="11">
        <f t="shared" si="4"/>
        <v>-41.374548287537074</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-40.866460153384914</v>
      </c>
      <c r="E48" s="11">
        <f>A48-'Mastercurve bestimmen'!$B$2</f>
        <v>-132</v>
      </c>
      <c r="F48" s="11">
        <f t="shared" si="4"/>
        <v>-40.866460153384914</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-40.344834544464376</v>
      </c>
      <c r="E49" s="11">
        <f>A49-'Mastercurve bestimmen'!$B$2</f>
        <v>-131</v>
      </c>
      <c r="F49" s="11">
        <f t="shared" si="4"/>
        <v>-40.344834544464376</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-39.809261234267325</v>
      </c>
      <c r="E50" s="11">
        <f>A50-'Mastercurve bestimmen'!$B$2</f>
        <v>-130</v>
      </c>
      <c r="F50" s="11">
        <f t="shared" si="4"/>
        <v>-39.809261234267325</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-39.259329996285622</v>
      </c>
      <c r="E51" s="11">
        <f>A51-'Mastercurve bestimmen'!$B$2</f>
        <v>-129</v>
      </c>
      <c r="F51" s="11">
        <f t="shared" si="4"/>
        <v>-39.259329996285622</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-38.694630604011152</v>
      </c>
      <c r="E52" s="11">
        <f>A52-'Mastercurve bestimmen'!$B$2</f>
        <v>-128</v>
      </c>
      <c r="F52" s="11">
        <f t="shared" si="4"/>
        <v>-38.694630604011152</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-38.114752830935771</v>
      </c>
      <c r="E53" s="11">
        <f>A53-'Mastercurve bestimmen'!$B$2</f>
        <v>-127</v>
      </c>
      <c r="F53" s="11">
        <f t="shared" si="4"/>
        <v>-38.114752830935771</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-37.519286450551348</v>
      </c>
      <c r="E54" s="11">
        <f>A54-'Mastercurve bestimmen'!$B$2</f>
        <v>-126</v>
      </c>
      <c r="F54" s="11">
        <f t="shared" si="4"/>
        <v>-37.519286450551348</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-36.907821236349747</v>
      </c>
      <c r="E55" s="11">
        <f>A55-'Mastercurve bestimmen'!$B$2</f>
        <v>-125</v>
      </c>
      <c r="F55" s="11">
        <f t="shared" si="4"/>
        <v>-36.907821236349747</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-36.644465479067541</v>
      </c>
      <c r="E56" s="11">
        <f>A56-'Mastercurve bestimmen'!$B$2</f>
        <v>-124</v>
      </c>
      <c r="F56" s="11">
        <f t="shared" si="4"/>
        <v>-36.644465479067541</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-36.365894001507776</v>
      </c>
      <c r="E57" s="11">
        <f>A57-'Mastercurve bestimmen'!$B$2</f>
        <v>-123</v>
      </c>
      <c r="F57" s="11">
        <f t="shared" si="4"/>
        <v>-36.365894001507776</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-36.073300143718242</v>
      </c>
      <c r="E58" s="11">
        <f>A58-'Mastercurve bestimmen'!$B$2</f>
        <v>-122</v>
      </c>
      <c r="F58" s="11">
        <f t="shared" si="4"/>
        <v>-36.073300143718242</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-35.767877245746689</v>
      </c>
      <c r="E59" s="11">
        <f>A59-'Mastercurve bestimmen'!$B$2</f>
        <v>-121</v>
      </c>
      <c r="F59" s="11">
        <f t="shared" si="4"/>
        <v>-35.767877245746689</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-35.45081864764088</v>
      </c>
      <c r="E60" s="11">
        <f>A60-'Mastercurve bestimmen'!$B$2</f>
        <v>-120</v>
      </c>
      <c r="F60" s="11">
        <f t="shared" si="4"/>
        <v>-35.45081864764088</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-35.123317689448584</v>
      </c>
      <c r="E61" s="11">
        <f>A61-'Mastercurve bestimmen'!$B$2</f>
        <v>-119</v>
      </c>
      <c r="F61" s="11">
        <f t="shared" si="4"/>
        <v>-35.123317689448584</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-34.78656771121755</v>
      </c>
      <c r="E62" s="11">
        <f>A62-'Mastercurve bestimmen'!$B$2</f>
        <v>-118</v>
      </c>
      <c r="F62" s="11">
        <f t="shared" si="4"/>
        <v>-34.78656771121755</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-34.441762052995571</v>
      </c>
      <c r="E63" s="11">
        <f>A63-'Mastercurve bestimmen'!$B$2</f>
        <v>-117</v>
      </c>
      <c r="F63" s="11">
        <f t="shared" si="4"/>
        <v>-34.441762052995571</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-34.090094054830374</v>
      </c>
      <c r="E64" s="11">
        <f>A64-'Mastercurve bestimmen'!$B$2</f>
        <v>-116</v>
      </c>
      <c r="F64" s="11">
        <f t="shared" si="4"/>
        <v>-34.090094054830374</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-33.732757056769749</v>
      </c>
      <c r="E65" s="11">
        <f>A65-'Mastercurve bestimmen'!$B$2</f>
        <v>-115</v>
      </c>
      <c r="F65" s="11">
        <f t="shared" si="4"/>
        <v>-33.732757056769749</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-33.370944398861454</v>
      </c>
      <c r="E66" s="11">
        <f>A66-'Mastercurve bestimmen'!$B$2</f>
        <v>-114</v>
      </c>
      <c r="F66" s="11">
        <f t="shared" si="4"/>
        <v>-33.370944398861454</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-33.005849421153236</v>
      </c>
      <c r="E67" s="11">
        <f>A67-'Mastercurve bestimmen'!$B$2</f>
        <v>-113</v>
      </c>
      <c r="F67" s="11">
        <f t="shared" si="4"/>
        <v>-33.005849421153236</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-32.638665463692888</v>
      </c>
      <c r="E68" s="11">
        <f>A68-'Mastercurve bestimmen'!$B$2</f>
        <v>-112</v>
      </c>
      <c r="F68" s="11">
        <f t="shared" si="4"/>
        <v>-32.638665463692888</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-32.270585866528144</v>
      </c>
      <c r="E69" s="11">
        <f>A69-'Mastercurve bestimmen'!$B$2</f>
        <v>-111</v>
      </c>
      <c r="F69" s="11">
        <f t="shared" si="4"/>
        <v>-32.270585866528144</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-31.902803969706788</v>
      </c>
      <c r="E70" s="11">
        <f>A70-'Mastercurve bestimmen'!$B$2</f>
        <v>-110</v>
      </c>
      <c r="F70" s="11">
        <f t="shared" si="4"/>
        <v>-31.902803969706788</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-31.536513113276577</v>
      </c>
      <c r="E71" s="11">
        <f>A71-'Mastercurve bestimmen'!$B$2</f>
        <v>-109</v>
      </c>
      <c r="F71" s="11">
        <f t="shared" si="4"/>
        <v>-31.536513113276577</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-31.172906637285269</v>
      </c>
      <c r="E72" s="11">
        <f>A72-'Mastercurve bestimmen'!$B$2</f>
        <v>-108</v>
      </c>
      <c r="F72" s="11">
        <f t="shared" si="4"/>
        <v>-31.172906637285269</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-30.813177881780639</v>
      </c>
      <c r="E73" s="11">
        <f>A73-'Mastercurve bestimmen'!$B$2</f>
        <v>-107</v>
      </c>
      <c r="F73" s="11">
        <f t="shared" si="4"/>
        <v>-30.813177881780639</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-30.458520186810439</v>
      </c>
      <c r="E74" s="11">
        <f>A74-'Mastercurve bestimmen'!$B$2</f>
        <v>-106</v>
      </c>
      <c r="F74" s="11">
        <f t="shared" si="4"/>
        <v>-30.458520186810439</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-30.110126892422439</v>
      </c>
      <c r="E75" s="11">
        <f>A75-'Mastercurve bestimmen'!$B$2</f>
        <v>-105</v>
      </c>
      <c r="F75" s="11">
        <f t="shared" si="4"/>
        <v>-30.110126892422439</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-29.769191338664399</v>
      </c>
      <c r="E76" s="11">
        <f>A76-'Mastercurve bestimmen'!$B$2</f>
        <v>-104</v>
      </c>
      <c r="F76" s="11">
        <f t="shared" si="4"/>
        <v>-29.769191338664399</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-29.436906865584085</v>
      </c>
      <c r="E77" s="11">
        <f>A77-'Mastercurve bestimmen'!$B$2</f>
        <v>-103</v>
      </c>
      <c r="F77" s="11">
        <f t="shared" si="4"/>
        <v>-29.436906865584085</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-29.114466813229264</v>
      </c>
      <c r="E78" s="11">
        <f>A78-'Mastercurve bestimmen'!$B$2</f>
        <v>-102</v>
      </c>
      <c r="F78" s="11">
        <f t="shared" si="4"/>
        <v>-29.114466813229264</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-28.803064521647688</v>
      </c>
      <c r="E79" s="11">
        <f>A79-'Mastercurve bestimmen'!$B$2</f>
        <v>-101</v>
      </c>
      <c r="F79" s="11">
        <f t="shared" si="4"/>
        <v>-28.803064521647688</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-28.503893330887131</v>
      </c>
      <c r="E80" s="11">
        <f>A80-'Mastercurve bestimmen'!$B$2</f>
        <v>-100</v>
      </c>
      <c r="F80" s="11">
        <f t="shared" ref="F80:F143" si="10">B80</f>
        <v>-28.503893330887131</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-28.21782861623473</v>
      </c>
      <c r="E81" s="11">
        <f>A81-'Mastercurve bestimmen'!$B$2</f>
        <v>-99</v>
      </c>
      <c r="F81" s="11">
        <f t="shared" si="10"/>
        <v>-28.21782861623473</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-27.944473893935108</v>
      </c>
      <c r="E82" s="11">
        <f>A82-'Mastercurve bestimmen'!$B$2</f>
        <v>-98</v>
      </c>
      <c r="F82" s="11">
        <f t="shared" si="10"/>
        <v>-27.944473893935108</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-27.683114715472279</v>
      </c>
      <c r="E83" s="11">
        <f>A83-'Mastercurve bestimmen'!$B$2</f>
        <v>-97</v>
      </c>
      <c r="F83" s="11">
        <f t="shared" si="10"/>
        <v>-27.683114715472279</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-27.433036632330243</v>
      </c>
      <c r="E84" s="11">
        <f>A84-'Mastercurve bestimmen'!$B$2</f>
        <v>-96</v>
      </c>
      <c r="F84" s="11">
        <f t="shared" si="10"/>
        <v>-27.433036632330243</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-27.193525195993004</v>
      </c>
      <c r="E85" s="11">
        <f>A85-'Mastercurve bestimmen'!$B$2</f>
        <v>-95</v>
      </c>
      <c r="F85" s="11">
        <f t="shared" si="10"/>
        <v>-27.193525195993004</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-26.963865957944574</v>
      </c>
      <c r="E86" s="11">
        <f>A86-'Mastercurve bestimmen'!$B$2</f>
        <v>-94</v>
      </c>
      <c r="F86" s="11">
        <f t="shared" si="10"/>
        <v>-26.963865957944574</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-26.743344469668951</v>
      </c>
      <c r="E87" s="11">
        <f>A87-'Mastercurve bestimmen'!$B$2</f>
        <v>-93</v>
      </c>
      <c r="F87" s="11">
        <f t="shared" si="10"/>
        <v>-26.743344469668951</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-26.531246282650137</v>
      </c>
      <c r="E88" s="11">
        <f>A88-'Mastercurve bestimmen'!$B$2</f>
        <v>-92</v>
      </c>
      <c r="F88" s="11">
        <f t="shared" si="10"/>
        <v>-26.531246282650137</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-26.32685694837215</v>
      </c>
      <c r="E89" s="11">
        <f>A89-'Mastercurve bestimmen'!$B$2</f>
        <v>-91</v>
      </c>
      <c r="F89" s="11">
        <f t="shared" si="10"/>
        <v>-26.32685694837215</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-26.129462018318986</v>
      </c>
      <c r="E90" s="11">
        <f>A90-'Mastercurve bestimmen'!$B$2</f>
        <v>-90</v>
      </c>
      <c r="F90" s="11">
        <f t="shared" si="10"/>
        <v>-26.129462018318986</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-25.938347043974645</v>
      </c>
      <c r="E91" s="11">
        <f>A91-'Mastercurve bestimmen'!$B$2</f>
        <v>-89</v>
      </c>
      <c r="F91" s="11">
        <f t="shared" si="10"/>
        <v>-25.938347043974645</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-25.752797576823141</v>
      </c>
      <c r="E92" s="11">
        <f>A92-'Mastercurve bestimmen'!$B$2</f>
        <v>-88</v>
      </c>
      <c r="F92" s="11">
        <f t="shared" si="10"/>
        <v>-25.752797576823141</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-25.57209916834848</v>
      </c>
      <c r="E93" s="11">
        <f>A93-'Mastercurve bestimmen'!$B$2</f>
        <v>-87</v>
      </c>
      <c r="F93" s="11">
        <f t="shared" si="10"/>
        <v>-25.57209916834848</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-25.39553737003466</v>
      </c>
      <c r="E94" s="11">
        <f>A94-'Mastercurve bestimmen'!$B$2</f>
        <v>-86</v>
      </c>
      <c r="F94" s="11">
        <f t="shared" si="10"/>
        <v>-25.39553737003466</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-25.222397733365689</v>
      </c>
      <c r="E95" s="11">
        <f>A95-'Mastercurve bestimmen'!$B$2</f>
        <v>-85</v>
      </c>
      <c r="F95" s="11">
        <f t="shared" si="10"/>
        <v>-25.222397733365689</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-25.051965809825571</v>
      </c>
      <c r="E96" s="11">
        <f>A96-'Mastercurve bestimmen'!$B$2</f>
        <v>-84</v>
      </c>
      <c r="F96" s="11">
        <f t="shared" si="10"/>
        <v>-25.051965809825571</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-24.883527150898313</v>
      </c>
      <c r="E97" s="11">
        <f>A97-'Mastercurve bestimmen'!$B$2</f>
        <v>-83</v>
      </c>
      <c r="F97" s="11">
        <f t="shared" si="10"/>
        <v>-24.883527150898313</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-24.716367308067916</v>
      </c>
      <c r="E98" s="11">
        <f>A98-'Mastercurve bestimmen'!$B$2</f>
        <v>-82</v>
      </c>
      <c r="F98" s="11">
        <f t="shared" si="10"/>
        <v>-24.716367308067916</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-24.549771832818394</v>
      </c>
      <c r="E99" s="11">
        <f>A99-'Mastercurve bestimmen'!$B$2</f>
        <v>-81</v>
      </c>
      <c r="F99" s="11">
        <f t="shared" si="10"/>
        <v>-24.549771832818394</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-24.383026276633743</v>
      </c>
      <c r="E100" s="11">
        <f>A100-'Mastercurve bestimmen'!$B$2</f>
        <v>-80</v>
      </c>
      <c r="F100" s="11">
        <f t="shared" si="10"/>
        <v>-24.383026276633743</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-24.215416190997971</v>
      </c>
      <c r="E101" s="11">
        <f>A101-'Mastercurve bestimmen'!$B$2</f>
        <v>-79</v>
      </c>
      <c r="F101" s="11">
        <f t="shared" si="10"/>
        <v>-24.215416190997971</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-24.046227127395081</v>
      </c>
      <c r="E102" s="11">
        <f>A102-'Mastercurve bestimmen'!$B$2</f>
        <v>-78</v>
      </c>
      <c r="F102" s="11">
        <f t="shared" si="10"/>
        <v>-24.046227127395081</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-23.874744637309082</v>
      </c>
      <c r="E103" s="11">
        <f>A103-'Mastercurve bestimmen'!$B$2</f>
        <v>-77</v>
      </c>
      <c r="F103" s="11">
        <f t="shared" si="10"/>
        <v>-23.874744637309082</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-23.700254272223972</v>
      </c>
      <c r="E104" s="11">
        <f>A104-'Mastercurve bestimmen'!$B$2</f>
        <v>-76</v>
      </c>
      <c r="F104" s="11">
        <f t="shared" si="10"/>
        <v>-23.700254272223972</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-23.522041583623768</v>
      </c>
      <c r="E105" s="11">
        <f>A105-'Mastercurve bestimmen'!$B$2</f>
        <v>-75</v>
      </c>
      <c r="F105" s="11">
        <f t="shared" si="10"/>
        <v>-23.522041583623768</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-23.339515748733767</v>
      </c>
      <c r="E106" s="11">
        <f>A106-'Mastercurve bestimmen'!$B$2</f>
        <v>-74</v>
      </c>
      <c r="F106" s="11">
        <f t="shared" si="10"/>
        <v>-23.339515748733767</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-23.152580447744494</v>
      </c>
      <c r="E107" s="11">
        <f>A107-'Mastercurve bestimmen'!$B$2</f>
        <v>-73</v>
      </c>
      <c r="F107" s="11">
        <f t="shared" si="10"/>
        <v>-23.152580447744494</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-22.961262986587776</v>
      </c>
      <c r="E108" s="11">
        <f>A108-'Mastercurve bestimmen'!$B$2</f>
        <v>-72</v>
      </c>
      <c r="F108" s="11">
        <f t="shared" si="10"/>
        <v>-22.961262986587776</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-22.765590671195433</v>
      </c>
      <c r="E109" s="11">
        <f>A109-'Mastercurve bestimmen'!$B$2</f>
        <v>-71</v>
      </c>
      <c r="F109" s="11">
        <f t="shared" si="10"/>
        <v>-22.765590671195433</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-22.565590807499291</v>
      </c>
      <c r="E110" s="11">
        <f>A110-'Mastercurve bestimmen'!$B$2</f>
        <v>-70</v>
      </c>
      <c r="F110" s="11">
        <f t="shared" si="10"/>
        <v>-22.565590807499291</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-22.361290701431173</v>
      </c>
      <c r="E111" s="11">
        <f>A111-'Mastercurve bestimmen'!$B$2</f>
        <v>-69</v>
      </c>
      <c r="F111" s="11">
        <f t="shared" si="10"/>
        <v>-22.361290701431173</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-22.152717658922899</v>
      </c>
      <c r="E112" s="11">
        <f>A112-'Mastercurve bestimmen'!$B$2</f>
        <v>-68</v>
      </c>
      <c r="F112" s="11">
        <f t="shared" si="10"/>
        <v>-22.152717658922899</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-21.939898985906304</v>
      </c>
      <c r="E113" s="11">
        <f>A113-'Mastercurve bestimmen'!$B$2</f>
        <v>-67</v>
      </c>
      <c r="F113" s="11">
        <f t="shared" si="10"/>
        <v>-21.939898985906304</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-21.722861988313202</v>
      </c>
      <c r="E114" s="11">
        <f>A114-'Mastercurve bestimmen'!$B$2</f>
        <v>-66</v>
      </c>
      <c r="F114" s="11">
        <f t="shared" si="10"/>
        <v>-21.722861988313202</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-21.501633972075425</v>
      </c>
      <c r="E115" s="11">
        <f>A115-'Mastercurve bestimmen'!$B$2</f>
        <v>-65</v>
      </c>
      <c r="F115" s="11">
        <f t="shared" si="10"/>
        <v>-21.501633972075425</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-21.276242243124791</v>
      </c>
      <c r="E116" s="11">
        <f>A116-'Mastercurve bestimmen'!$B$2</f>
        <v>-64</v>
      </c>
      <c r="F116" s="11">
        <f t="shared" si="10"/>
        <v>-21.276242243124791</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-21.046714107393129</v>
      </c>
      <c r="E117" s="11">
        <f>A117-'Mastercurve bestimmen'!$B$2</f>
        <v>-63</v>
      </c>
      <c r="F117" s="11">
        <f t="shared" si="10"/>
        <v>-21.046714107393129</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-20.813076870812257</v>
      </c>
      <c r="E118" s="11">
        <f>A118-'Mastercurve bestimmen'!$B$2</f>
        <v>-62</v>
      </c>
      <c r="F118" s="11">
        <f t="shared" si="10"/>
        <v>-20.813076870812257</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-20.575357839314005</v>
      </c>
      <c r="E119" s="11">
        <f>A119-'Mastercurve bestimmen'!$B$2</f>
        <v>-61</v>
      </c>
      <c r="F119" s="11">
        <f t="shared" si="10"/>
        <v>-20.575357839314005</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-20.333584318830194</v>
      </c>
      <c r="E120" s="11">
        <f>A120-'Mastercurve bestimmen'!$B$2</f>
        <v>-60</v>
      </c>
      <c r="F120" s="11">
        <f t="shared" si="10"/>
        <v>-20.333584318830194</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-20.087783615292651</v>
      </c>
      <c r="E121" s="11">
        <f>A121-'Mastercurve bestimmen'!$B$2</f>
        <v>-59</v>
      </c>
      <c r="F121" s="11">
        <f t="shared" si="10"/>
        <v>-20.087783615292651</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-19.837983034633197</v>
      </c>
      <c r="E122" s="11">
        <f>A122-'Mastercurve bestimmen'!$B$2</f>
        <v>-58</v>
      </c>
      <c r="F122" s="11">
        <f t="shared" si="10"/>
        <v>-19.837983034633197</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-19.584209882783654</v>
      </c>
      <c r="E123" s="11">
        <f>A123-'Mastercurve bestimmen'!$B$2</f>
        <v>-57</v>
      </c>
      <c r="F123" s="11">
        <f t="shared" si="10"/>
        <v>-19.584209882783654</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-19.326491465675858</v>
      </c>
      <c r="E124" s="11">
        <f>A124-'Mastercurve bestimmen'!$B$2</f>
        <v>-56</v>
      </c>
      <c r="F124" s="11">
        <f t="shared" si="10"/>
        <v>-19.326491465675858</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-19.064855089241618</v>
      </c>
      <c r="E125" s="11">
        <f>A125-'Mastercurve bestimmen'!$B$2</f>
        <v>-55</v>
      </c>
      <c r="F125" s="11">
        <f t="shared" si="10"/>
        <v>-19.064855089241618</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-18.799328059412765</v>
      </c>
      <c r="E126" s="11">
        <f>A126-'Mastercurve bestimmen'!$B$2</f>
        <v>-54</v>
      </c>
      <c r="F126" s="11">
        <f t="shared" si="10"/>
        <v>-18.799328059412765</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-18.529937682121126</v>
      </c>
      <c r="E127" s="11">
        <f>A127-'Mastercurve bestimmen'!$B$2</f>
        <v>-53</v>
      </c>
      <c r="F127" s="11">
        <f t="shared" si="10"/>
        <v>-18.529937682121126</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-18.25671126329852</v>
      </c>
      <c r="E128" s="11">
        <f>A128-'Mastercurve bestimmen'!$B$2</f>
        <v>-52</v>
      </c>
      <c r="F128" s="11">
        <f t="shared" si="10"/>
        <v>-18.25671126329852</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-17.979676108876774</v>
      </c>
      <c r="E129" s="11">
        <f>A129-'Mastercurve bestimmen'!$B$2</f>
        <v>-51</v>
      </c>
      <c r="F129" s="11">
        <f t="shared" si="10"/>
        <v>-17.979676108876774</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-17.698859524787714</v>
      </c>
      <c r="E130" s="11">
        <f>A130-'Mastercurve bestimmen'!$B$2</f>
        <v>-50</v>
      </c>
      <c r="F130" s="11">
        <f t="shared" si="10"/>
        <v>-17.698859524787714</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-17.414288816963161</v>
      </c>
      <c r="E131" s="11">
        <f>A131-'Mastercurve bestimmen'!$B$2</f>
        <v>-49</v>
      </c>
      <c r="F131" s="11">
        <f t="shared" si="10"/>
        <v>-17.414288816963161</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-17.125991291334937</v>
      </c>
      <c r="E132" s="11">
        <f>A132-'Mastercurve bestimmen'!$B$2</f>
        <v>-48</v>
      </c>
      <c r="F132" s="11">
        <f t="shared" si="10"/>
        <v>-17.125991291334937</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-16.83399425383487</v>
      </c>
      <c r="E133" s="11">
        <f>A133-'Mastercurve bestimmen'!$B$2</f>
        <v>-47</v>
      </c>
      <c r="F133" s="11">
        <f t="shared" si="10"/>
        <v>-16.83399425383487</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-16.538325010394786</v>
      </c>
      <c r="E134" s="11">
        <f>A134-'Mastercurve bestimmen'!$B$2</f>
        <v>-46</v>
      </c>
      <c r="F134" s="11">
        <f t="shared" si="10"/>
        <v>-16.538325010394786</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-16.239010866946504</v>
      </c>
      <c r="E135" s="11">
        <f>A135-'Mastercurve bestimmen'!$B$2</f>
        <v>-45</v>
      </c>
      <c r="F135" s="11">
        <f t="shared" si="10"/>
        <v>-16.239010866946504</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-15.936085272976442</v>
      </c>
      <c r="E136" s="11">
        <f>A136-'Mastercurve bestimmen'!$B$2</f>
        <v>-44</v>
      </c>
      <c r="F136" s="11">
        <f t="shared" si="10"/>
        <v>-15.936085272976442</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-15.629606252189385</v>
      </c>
      <c r="E137" s="11">
        <f>A137-'Mastercurve bestimmen'!$B$2</f>
        <v>-43</v>
      </c>
      <c r="F137" s="11">
        <f t="shared" si="10"/>
        <v>-15.629606252189385</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-15.319637971844708</v>
      </c>
      <c r="E138" s="11">
        <f>A138-'Mastercurve bestimmen'!$B$2</f>
        <v>-42</v>
      </c>
      <c r="F138" s="11">
        <f t="shared" si="10"/>
        <v>-15.319637971844708</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-15.006244599201782</v>
      </c>
      <c r="E139" s="11">
        <f>A139-'Mastercurve bestimmen'!$B$2</f>
        <v>-41</v>
      </c>
      <c r="F139" s="11">
        <f t="shared" si="10"/>
        <v>-15.006244599201782</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-14.689490301519985</v>
      </c>
      <c r="E140" s="11">
        <f>A140-'Mastercurve bestimmen'!$B$2</f>
        <v>-40</v>
      </c>
      <c r="F140" s="11">
        <f t="shared" si="10"/>
        <v>-14.689490301519985</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-14.369439246058691</v>
      </c>
      <c r="E141" s="11">
        <f>A141-'Mastercurve bestimmen'!$B$2</f>
        <v>-39</v>
      </c>
      <c r="F141" s="11">
        <f t="shared" si="10"/>
        <v>-14.369439246058691</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-14.046155600077279</v>
      </c>
      <c r="E142" s="11">
        <f>A142-'Mastercurve bestimmen'!$B$2</f>
        <v>-38</v>
      </c>
      <c r="F142" s="11">
        <f t="shared" si="10"/>
        <v>-14.046155600077279</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-13.719703530835121</v>
      </c>
      <c r="E143" s="11">
        <f>A143-'Mastercurve bestimmen'!$B$2</f>
        <v>-37</v>
      </c>
      <c r="F143" s="11">
        <f t="shared" si="10"/>
        <v>-13.719703530835121</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-13.390147205591591</v>
      </c>
      <c r="E144" s="11">
        <f>A144-'Mastercurve bestimmen'!$B$2</f>
        <v>-36</v>
      </c>
      <c r="F144" s="11">
        <f t="shared" ref="F144:F207" si="15">B144</f>
        <v>-13.390147205591591</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-13.057550791606065</v>
      </c>
      <c r="E145" s="11">
        <f>A145-'Mastercurve bestimmen'!$B$2</f>
        <v>-35</v>
      </c>
      <c r="F145" s="11">
        <f t="shared" si="15"/>
        <v>-13.057550791606065</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-12.72197845613792</v>
      </c>
      <c r="E146" s="11">
        <f>A146-'Mastercurve bestimmen'!$B$2</f>
        <v>-34</v>
      </c>
      <c r="F146" s="11">
        <f t="shared" si="15"/>
        <v>-12.72197845613792</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-12.383494366446529</v>
      </c>
      <c r="E147" s="11">
        <f>A147-'Mastercurve bestimmen'!$B$2</f>
        <v>-33</v>
      </c>
      <c r="F147" s="11">
        <f t="shared" si="15"/>
        <v>-12.383494366446529</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-12.042162689791267</v>
      </c>
      <c r="E148" s="11">
        <f>A148-'Mastercurve bestimmen'!$B$2</f>
        <v>-32</v>
      </c>
      <c r="F148" s="11">
        <f t="shared" si="15"/>
        <v>-12.042162689791267</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-11.698047593431511</v>
      </c>
      <c r="E149" s="11">
        <f>A149-'Mastercurve bestimmen'!$B$2</f>
        <v>-31</v>
      </c>
      <c r="F149" s="11">
        <f t="shared" si="15"/>
        <v>-11.698047593431511</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-11.351213244626633</v>
      </c>
      <c r="E150" s="11">
        <f>A150-'Mastercurve bestimmen'!$B$2</f>
        <v>-30</v>
      </c>
      <c r="F150" s="11">
        <f t="shared" si="15"/>
        <v>-11.351213244626633</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-11.001723810636014</v>
      </c>
      <c r="E151" s="11">
        <f>A151-'Mastercurve bestimmen'!$B$2</f>
        <v>-29</v>
      </c>
      <c r="F151" s="11">
        <f t="shared" si="15"/>
        <v>-11.001723810636014</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-10.649643458719021</v>
      </c>
      <c r="E152" s="11">
        <f>A152-'Mastercurve bestimmen'!$B$2</f>
        <v>-28</v>
      </c>
      <c r="F152" s="11">
        <f t="shared" si="15"/>
        <v>-10.649643458719021</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-10.295036356135034</v>
      </c>
      <c r="E153" s="11">
        <f>A153-'Mastercurve bestimmen'!$B$2</f>
        <v>-27</v>
      </c>
      <c r="F153" s="11">
        <f t="shared" si="15"/>
        <v>-10.295036356135034</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-9.9379666701434299</v>
      </c>
      <c r="E154" s="11">
        <f>A154-'Mastercurve bestimmen'!$B$2</f>
        <v>-26</v>
      </c>
      <c r="F154" s="11">
        <f t="shared" si="15"/>
        <v>-9.9379666701434299</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-9.5784985680035799</v>
      </c>
      <c r="E155" s="11">
        <f>A155-'Mastercurve bestimmen'!$B$2</f>
        <v>-25</v>
      </c>
      <c r="F155" s="11">
        <f t="shared" si="15"/>
        <v>-9.5784985680035799</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-9.2166962169748583</v>
      </c>
      <c r="E156" s="11">
        <f>A156-'Mastercurve bestimmen'!$B$2</f>
        <v>-24</v>
      </c>
      <c r="F156" s="11">
        <f t="shared" si="15"/>
        <v>-9.2166962169748583</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-8.8526237843166431</v>
      </c>
      <c r="E157" s="11">
        <f>A157-'Mastercurve bestimmen'!$B$2</f>
        <v>-23</v>
      </c>
      <c r="F157" s="11">
        <f t="shared" si="15"/>
        <v>-8.8526237843166431</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-8.4863454372883105</v>
      </c>
      <c r="E158" s="11">
        <f>A158-'Mastercurve bestimmen'!$B$2</f>
        <v>-22</v>
      </c>
      <c r="F158" s="11">
        <f t="shared" si="15"/>
        <v>-8.4863454372883105</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-8.1179253431492331</v>
      </c>
      <c r="E159" s="11">
        <f>A159-'Mastercurve bestimmen'!$B$2</f>
        <v>-21</v>
      </c>
      <c r="F159" s="11">
        <f t="shared" si="15"/>
        <v>-8.1179253431492331</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-7.7474276691587853</v>
      </c>
      <c r="E160" s="11">
        <f>A160-'Mastercurve bestimmen'!$B$2</f>
        <v>-20</v>
      </c>
      <c r="F160" s="11">
        <f t="shared" si="15"/>
        <v>-7.7474276691587853</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-7.3749165825763443</v>
      </c>
      <c r="E161" s="11">
        <f>A161-'Mastercurve bestimmen'!$B$2</f>
        <v>-19</v>
      </c>
      <c r="F161" s="11">
        <f t="shared" si="15"/>
        <v>-7.3749165825763443</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-7.0004562506612853</v>
      </c>
      <c r="E162" s="11">
        <f>A162-'Mastercurve bestimmen'!$B$2</f>
        <v>-18</v>
      </c>
      <c r="F162" s="11">
        <f t="shared" si="15"/>
        <v>-7.0004562506612853</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-6.6241108406729818</v>
      </c>
      <c r="E163" s="11">
        <f>A163-'Mastercurve bestimmen'!$B$2</f>
        <v>-17</v>
      </c>
      <c r="F163" s="11">
        <f t="shared" si="15"/>
        <v>-6.6241108406729818</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-6.2459445198708092</v>
      </c>
      <c r="E164" s="11">
        <f>A164-'Mastercurve bestimmen'!$B$2</f>
        <v>-16</v>
      </c>
      <c r="F164" s="11">
        <f t="shared" si="15"/>
        <v>-6.2459445198708092</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-5.8660214555141437</v>
      </c>
      <c r="E165" s="11">
        <f>A165-'Mastercurve bestimmen'!$B$2</f>
        <v>-15</v>
      </c>
      <c r="F165" s="11">
        <f t="shared" si="15"/>
        <v>-5.8660214555141437</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-5.4844058148623596</v>
      </c>
      <c r="E166" s="11">
        <f>A166-'Mastercurve bestimmen'!$B$2</f>
        <v>-14</v>
      </c>
      <c r="F166" s="11">
        <f t="shared" si="15"/>
        <v>-5.4844058148623596</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-5.1011617651748322</v>
      </c>
      <c r="E167" s="11">
        <f>A167-'Mastercurve bestimmen'!$B$2</f>
        <v>-13</v>
      </c>
      <c r="F167" s="11">
        <f t="shared" si="15"/>
        <v>-5.1011617651748322</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-4.7163534737109369</v>
      </c>
      <c r="E168" s="11">
        <f>A168-'Mastercurve bestimmen'!$B$2</f>
        <v>-12</v>
      </c>
      <c r="F168" s="11">
        <f t="shared" si="15"/>
        <v>-4.7163534737109369</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-4.3300451077300472</v>
      </c>
      <c r="E169" s="11">
        <f>A169-'Mastercurve bestimmen'!$B$2</f>
        <v>-11</v>
      </c>
      <c r="F169" s="11">
        <f t="shared" si="15"/>
        <v>-4.3300451077300472</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-3.9423008344915407</v>
      </c>
      <c r="E170" s="11">
        <f>A170-'Mastercurve bestimmen'!$B$2</f>
        <v>-10</v>
      </c>
      <c r="F170" s="11">
        <f t="shared" si="15"/>
        <v>-3.9423008344915407</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-3.5531848212547907</v>
      </c>
      <c r="E171" s="11">
        <f>A171-'Mastercurve bestimmen'!$B$2</f>
        <v>-9</v>
      </c>
      <c r="F171" s="11">
        <f t="shared" si="15"/>
        <v>-3.5531848212547907</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-3.1627612352791727</v>
      </c>
      <c r="E172" s="11">
        <f>A172-'Mastercurve bestimmen'!$B$2</f>
        <v>-8</v>
      </c>
      <c r="F172" s="11">
        <f t="shared" si="15"/>
        <v>-3.1627612352791727</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-2.771094243824062</v>
      </c>
      <c r="E173" s="11">
        <f>A173-'Mastercurve bestimmen'!$B$2</f>
        <v>-7</v>
      </c>
      <c r="F173" s="11">
        <f t="shared" si="15"/>
        <v>-2.771094243824062</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-2.3782480141488342</v>
      </c>
      <c r="E174" s="11">
        <f>A174-'Mastercurve bestimmen'!$B$2</f>
        <v>-6</v>
      </c>
      <c r="F174" s="11">
        <f t="shared" si="15"/>
        <v>-2.3782480141488342</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-1.9842867135128632</v>
      </c>
      <c r="E175" s="11">
        <f>A175-'Mastercurve bestimmen'!$B$2</f>
        <v>-5</v>
      </c>
      <c r="F175" s="11">
        <f t="shared" si="15"/>
        <v>-1.9842867135128632</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-1.5892745091755252</v>
      </c>
      <c r="E176" s="11">
        <f>A176-'Mastercurve bestimmen'!$B$2</f>
        <v>-4</v>
      </c>
      <c r="F176" s="11">
        <f t="shared" si="15"/>
        <v>-1.5892745091755252</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-1.1932755683961946</v>
      </c>
      <c r="E177" s="11">
        <f>A177-'Mastercurve bestimmen'!$B$2</f>
        <v>-3</v>
      </c>
      <c r="F177" s="11">
        <f t="shared" si="15"/>
        <v>-1.1932755683961946</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-0.79635405843424689</v>
      </c>
      <c r="E178" s="11">
        <f>A178-'Mastercurve bestimmen'!$B$2</f>
        <v>-2</v>
      </c>
      <c r="F178" s="11">
        <f t="shared" si="15"/>
        <v>-0.79635405843424689</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-0.39857414654905698</v>
      </c>
      <c r="E179" s="11">
        <f>A179-'Mastercurve bestimmen'!$B$2</f>
        <v>-1</v>
      </c>
      <c r="F179" s="11">
        <f t="shared" si="15"/>
        <v>-0.39857414654905698</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-5.5511151231257827E-17</v>
      </c>
      <c r="E180" s="11">
        <f>A180-'Mastercurve bestimmen'!$B$2</f>
        <v>0</v>
      </c>
      <c r="F180" s="11">
        <f t="shared" si="15"/>
        <v>-5.5511151231257827E-17</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0.39931143198532804</v>
      </c>
      <c r="E181" s="11">
        <f>A181-'Mastercurve bestimmen'!$B$2</f>
        <v>1</v>
      </c>
      <c r="F181" s="11">
        <f t="shared" si="15"/>
        <v>0.39931143198532804</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0.79933207230644832</v>
      </c>
      <c r="E182" s="11">
        <f>A182-'Mastercurve bestimmen'!$B$2</f>
        <v>2</v>
      </c>
      <c r="F182" s="11">
        <f t="shared" si="15"/>
        <v>0.79933207230644832</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1.2000410618946611</v>
      </c>
      <c r="E183" s="11">
        <f>A183-'Mastercurve bestimmen'!$B$2</f>
        <v>3</v>
      </c>
      <c r="F183" s="11">
        <f t="shared" si="15"/>
        <v>1.2000410618946611</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1.6014175416812662</v>
      </c>
      <c r="E184" s="11">
        <f>A184-'Mastercurve bestimmen'!$B$2</f>
        <v>4</v>
      </c>
      <c r="F184" s="11">
        <f t="shared" si="15"/>
        <v>1.6014175416812662</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2.0034406525975643</v>
      </c>
      <c r="E185" s="11">
        <f>A185-'Mastercurve bestimmen'!$B$2</f>
        <v>5</v>
      </c>
      <c r="F185" s="11">
        <f t="shared" si="15"/>
        <v>2.0034406525975643</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2.4060895355748557</v>
      </c>
      <c r="E186" s="11">
        <f>A186-'Mastercurve bestimmen'!$B$2</f>
        <v>6</v>
      </c>
      <c r="F186" s="11">
        <f t="shared" si="15"/>
        <v>2.4060895355748557</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2.80934333154444</v>
      </c>
      <c r="E187" s="11">
        <f>A187-'Mastercurve bestimmen'!$B$2</f>
        <v>7</v>
      </c>
      <c r="F187" s="11">
        <f t="shared" si="15"/>
        <v>2.80934333154444</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3.2131811814376183</v>
      </c>
      <c r="E188" s="11">
        <f>A188-'Mastercurve bestimmen'!$B$2</f>
        <v>8</v>
      </c>
      <c r="F188" s="11">
        <f t="shared" si="15"/>
        <v>3.2131811814376183</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3.6175822261856903</v>
      </c>
      <c r="E189" s="11">
        <f>A189-'Mastercurve bestimmen'!$B$2</f>
        <v>9</v>
      </c>
      <c r="F189" s="11">
        <f t="shared" si="15"/>
        <v>3.6175822261856903</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4.022525606719956</v>
      </c>
      <c r="E190" s="11">
        <f>A190-'Mastercurve bestimmen'!$B$2</f>
        <v>10</v>
      </c>
      <c r="F190" s="11">
        <f t="shared" si="15"/>
        <v>4.022525606719956</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4.4279904639717165</v>
      </c>
      <c r="E191" s="11">
        <f>A191-'Mastercurve bestimmen'!$B$2</f>
        <v>11</v>
      </c>
      <c r="F191" s="11">
        <f t="shared" si="15"/>
        <v>4.4279904639717165</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4.833955938872271</v>
      </c>
      <c r="E192" s="11">
        <f>A192-'Mastercurve bestimmen'!$B$2</f>
        <v>12</v>
      </c>
      <c r="F192" s="11">
        <f t="shared" si="15"/>
        <v>4.833955938872271</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5.2404011723529198</v>
      </c>
      <c r="E193" s="11">
        <f>A193-'Mastercurve bestimmen'!$B$2</f>
        <v>13</v>
      </c>
      <c r="F193" s="11">
        <f t="shared" si="15"/>
        <v>5.2404011723529198</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5.6473053053449647</v>
      </c>
      <c r="E194" s="11">
        <f>A194-'Mastercurve bestimmen'!$B$2</f>
        <v>14</v>
      </c>
      <c r="F194" s="11">
        <f t="shared" si="15"/>
        <v>5.6473053053449647</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6.0546474787797049</v>
      </c>
      <c r="E195" s="11">
        <f>A195-'Mastercurve bestimmen'!$B$2</f>
        <v>15</v>
      </c>
      <c r="F195" s="11">
        <f t="shared" si="15"/>
        <v>6.0546474787797049</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6.4624068335884388</v>
      </c>
      <c r="E196" s="11">
        <f>A196-'Mastercurve bestimmen'!$B$2</f>
        <v>16</v>
      </c>
      <c r="F196" s="11">
        <f t="shared" si="15"/>
        <v>6.4624068335884388</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6.8705625107024693</v>
      </c>
      <c r="E197" s="11">
        <f>A197-'Mastercurve bestimmen'!$B$2</f>
        <v>17</v>
      </c>
      <c r="F197" s="11">
        <f t="shared" si="15"/>
        <v>6.8705625107024693</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7.2790936510530955</v>
      </c>
      <c r="E198" s="11">
        <f>A198-'Mastercurve bestimmen'!$B$2</f>
        <v>18</v>
      </c>
      <c r="F198" s="11">
        <f t="shared" si="15"/>
        <v>7.2790936510530955</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7.6879793955716185</v>
      </c>
      <c r="E199" s="11">
        <f>A199-'Mastercurve bestimmen'!$B$2</f>
        <v>19</v>
      </c>
      <c r="F199" s="11">
        <f t="shared" si="15"/>
        <v>7.6879793955716185</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8.0971988851893375</v>
      </c>
      <c r="E200" s="11">
        <f>A200-'Mastercurve bestimmen'!$B$2</f>
        <v>20</v>
      </c>
      <c r="F200" s="11">
        <f t="shared" si="15"/>
        <v>8.0971988851893375</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8.5067312608375509</v>
      </c>
      <c r="E201" s="11">
        <f>A201-'Mastercurve bestimmen'!$B$2</f>
        <v>21</v>
      </c>
      <c r="F201" s="11">
        <f t="shared" si="15"/>
        <v>8.5067312608375509</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8.9165556634475642</v>
      </c>
      <c r="E202" s="11">
        <f>A202-'Mastercurve bestimmen'!$B$2</f>
        <v>22</v>
      </c>
      <c r="F202" s="11">
        <f t="shared" si="15"/>
        <v>8.9165556634475642</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9.326651233950674</v>
      </c>
      <c r="E203" s="11">
        <f>A203-'Mastercurve bestimmen'!$B$2</f>
        <v>23</v>
      </c>
      <c r="F203" s="11">
        <f t="shared" si="15"/>
        <v>9.326651233950674</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9.7369971132781803</v>
      </c>
      <c r="E204" s="11">
        <f>A204-'Mastercurve bestimmen'!$B$2</f>
        <v>24</v>
      </c>
      <c r="F204" s="11">
        <f t="shared" si="15"/>
        <v>9.7369971132781803</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10.147572442361383</v>
      </c>
      <c r="E205" s="11">
        <f>A205-'Mastercurve bestimmen'!$B$2</f>
        <v>25</v>
      </c>
      <c r="F205" s="11">
        <f t="shared" si="15"/>
        <v>10.147572442361383</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10.558356362131583</v>
      </c>
      <c r="E206" s="11">
        <f>A206-'Mastercurve bestimmen'!$B$2</f>
        <v>26</v>
      </c>
      <c r="F206" s="11">
        <f t="shared" si="15"/>
        <v>10.558356362131583</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10.969328013520085</v>
      </c>
      <c r="E207" s="11">
        <f>A207-'Mastercurve bestimmen'!$B$2</f>
        <v>27</v>
      </c>
      <c r="F207" s="11">
        <f t="shared" si="15"/>
        <v>10.969328013520085</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11.380466537458181</v>
      </c>
      <c r="E208" s="11">
        <f>A208-'Mastercurve bestimmen'!$B$2</f>
        <v>28</v>
      </c>
      <c r="F208" s="11">
        <f t="shared" ref="F208:F215" si="21">B208</f>
        <v>11.380466537458181</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11.791751074877178</v>
      </c>
      <c r="E209" s="11">
        <f>A209-'Mastercurve bestimmen'!$B$2</f>
        <v>29</v>
      </c>
      <c r="F209" s="11">
        <f t="shared" si="21"/>
        <v>11.791751074877178</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12.203160766708374</v>
      </c>
      <c r="E210" s="11">
        <f>A210-'Mastercurve bestimmen'!$B$2</f>
        <v>30</v>
      </c>
      <c r="F210" s="11">
        <f t="shared" si="21"/>
        <v>12.203160766708374</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12.614674753883065</v>
      </c>
      <c r="E211" s="11">
        <f>A211-'Mastercurve bestimmen'!$B$2</f>
        <v>31</v>
      </c>
      <c r="F211" s="11">
        <f t="shared" si="21"/>
        <v>12.614674753883065</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13.026272177332558</v>
      </c>
      <c r="E212" s="11">
        <f>A212-'Mastercurve bestimmen'!$B$2</f>
        <v>32</v>
      </c>
      <c r="F212" s="11">
        <f t="shared" si="21"/>
        <v>13.026272177332558</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13.437932177988149</v>
      </c>
      <c r="E213" s="11">
        <f>A213-'Mastercurve bestimmen'!$B$2</f>
        <v>33</v>
      </c>
      <c r="F213" s="11">
        <f t="shared" si="21"/>
        <v>13.437932177988149</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13.849633896781141</v>
      </c>
      <c r="E214" s="11">
        <f>A214-'Mastercurve bestimmen'!$B$2</f>
        <v>34</v>
      </c>
      <c r="F214" s="11">
        <f t="shared" si="21"/>
        <v>13.849633896781141</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14.261356474642833</v>
      </c>
      <c r="E215" s="11">
        <f>A215-'Mastercurve bestimmen'!$B$2</f>
        <v>35</v>
      </c>
      <c r="F215" s="11">
        <f t="shared" si="21"/>
        <v>14.261356474642833</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0.39041401671763959</v>
      </c>
      <c r="J217" s="99">
        <v>5.2469203816574465E-4</v>
      </c>
      <c r="K217" s="99">
        <v>1.5193190543468682E-5</v>
      </c>
      <c r="L217" s="99">
        <v>1.8993355210255015E-7</v>
      </c>
      <c r="M217" s="99">
        <v>-1.1913630715071386E-8</v>
      </c>
      <c r="N217" s="99">
        <v>-2.2775286839727752E-10</v>
      </c>
      <c r="O217" s="99">
        <v>-1.3765596042418378E-12</v>
      </c>
      <c r="P217" s="99">
        <v>-2.7662025787663929E-15</v>
      </c>
    </row>
    <row r="218" spans="1:16" x14ac:dyDescent="0.25">
      <c r="G218" s="11"/>
      <c r="H218" s="11">
        <v>0</v>
      </c>
      <c r="I218" s="11">
        <v>1.6101513039063749E-3</v>
      </c>
      <c r="J218" s="11">
        <v>6.5403748149828476E-5</v>
      </c>
      <c r="K218" s="3">
        <v>2.0158640975681538E-6</v>
      </c>
      <c r="L218" s="3">
        <v>5.1802572705838921E-8</v>
      </c>
      <c r="M218" s="3">
        <v>1.4427717167618598E-9</v>
      </c>
      <c r="N218" s="3">
        <v>1.7112081418856667E-11</v>
      </c>
      <c r="O218" s="11">
        <v>8.9911573058835587E-14</v>
      </c>
      <c r="P218" s="11">
        <v>1.7552695678995832E-16</v>
      </c>
    </row>
    <row r="219" spans="1:16" x14ac:dyDescent="0.25">
      <c r="G219" s="11"/>
      <c r="H219" s="11">
        <v>0.99997541963467584</v>
      </c>
      <c r="I219" s="11">
        <v>0.13842512818105471</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-52.803697438241215</v>
      </c>
      <c r="G222">
        <f>F15</f>
        <v>-52.940377327368104</v>
      </c>
    </row>
    <row r="223" spans="1:16" x14ac:dyDescent="0.25">
      <c r="E223" s="11">
        <f t="shared" ref="E223:E286" si="25">E16</f>
        <v>-164</v>
      </c>
      <c r="F223" s="11">
        <f t="shared" ref="F223:F286" si="26">$H$217*0+E223*$I$217+E223^2*$J$217+E223^3*$K$217+E223^4*$L$217+E223^5*$M$217+E223^6*$N$217+E223^7*$O$217+E223^8*$P$217</f>
        <v>-52.550995645023477</v>
      </c>
      <c r="G223" s="11">
        <f t="shared" ref="G223:G286" si="27">F16</f>
        <v>-52.648888789510011</v>
      </c>
    </row>
    <row r="224" spans="1:16" x14ac:dyDescent="0.25">
      <c r="E224" s="11">
        <f t="shared" si="25"/>
        <v>-163</v>
      </c>
      <c r="F224" s="11">
        <f t="shared" si="26"/>
        <v>-52.297462293917306</v>
      </c>
      <c r="G224" s="11">
        <f t="shared" si="27"/>
        <v>-52.35699002514378</v>
      </c>
    </row>
    <row r="225" spans="5:7" x14ac:dyDescent="0.25">
      <c r="E225" s="11">
        <f t="shared" si="25"/>
        <v>-162</v>
      </c>
      <c r="F225" s="11">
        <f t="shared" si="26"/>
        <v>-52.041388169402808</v>
      </c>
      <c r="G225" s="11">
        <f t="shared" si="27"/>
        <v>-52.064270807761289</v>
      </c>
    </row>
    <row r="226" spans="5:7" x14ac:dyDescent="0.25">
      <c r="E226" s="11">
        <f t="shared" si="25"/>
        <v>-161</v>
      </c>
      <c r="F226" s="11">
        <f t="shared" si="26"/>
        <v>-51.781277813611268</v>
      </c>
      <c r="G226" s="11">
        <f t="shared" si="27"/>
        <v>-51.770320910854394</v>
      </c>
    </row>
    <row r="227" spans="5:7" x14ac:dyDescent="0.25">
      <c r="E227" s="11">
        <f t="shared" si="25"/>
        <v>-160</v>
      </c>
      <c r="F227" s="11">
        <f t="shared" si="26"/>
        <v>-51.515836142808666</v>
      </c>
      <c r="G227" s="11">
        <f t="shared" si="27"/>
        <v>-51.474730107914972</v>
      </c>
    </row>
    <row r="228" spans="5:7" x14ac:dyDescent="0.25">
      <c r="E228" s="11">
        <f t="shared" si="25"/>
        <v>-159</v>
      </c>
      <c r="F228" s="11">
        <f t="shared" si="26"/>
        <v>-51.243955567482317</v>
      </c>
      <c r="G228" s="11">
        <f t="shared" si="27"/>
        <v>-51.177088172434892</v>
      </c>
    </row>
    <row r="229" spans="5:7" x14ac:dyDescent="0.25">
      <c r="E229" s="11">
        <f t="shared" si="25"/>
        <v>-158</v>
      </c>
      <c r="F229" s="11">
        <f t="shared" si="26"/>
        <v>-50.964703604981423</v>
      </c>
      <c r="G229" s="11">
        <f t="shared" si="27"/>
        <v>-50.876984877906011</v>
      </c>
    </row>
    <row r="230" spans="5:7" x14ac:dyDescent="0.25">
      <c r="E230" s="11">
        <f t="shared" si="25"/>
        <v>-157</v>
      </c>
      <c r="F230" s="11">
        <f t="shared" si="26"/>
        <v>-50.677310973729391</v>
      </c>
      <c r="G230" s="11">
        <f t="shared" si="27"/>
        <v>-50.574009997820205</v>
      </c>
    </row>
    <row r="231" spans="5:7" x14ac:dyDescent="0.25">
      <c r="E231" s="11">
        <f t="shared" si="25"/>
        <v>-156</v>
      </c>
      <c r="F231" s="11">
        <f t="shared" si="26"/>
        <v>-50.381160158162515</v>
      </c>
      <c r="G231" s="11">
        <f t="shared" si="27"/>
        <v>-50.267753305669331</v>
      </c>
    </row>
    <row r="232" spans="5:7" x14ac:dyDescent="0.25">
      <c r="E232" s="11">
        <f t="shared" si="25"/>
        <v>-155</v>
      </c>
      <c r="F232" s="11">
        <f t="shared" si="26"/>
        <v>-50.075774433661763</v>
      </c>
      <c r="G232" s="11">
        <f t="shared" si="27"/>
        <v>-49.957804574945264</v>
      </c>
    </row>
    <row r="233" spans="5:7" x14ac:dyDescent="0.25">
      <c r="E233" s="11">
        <f t="shared" si="25"/>
        <v>-154</v>
      </c>
      <c r="F233" s="11">
        <f t="shared" si="26"/>
        <v>-49.760807340831661</v>
      </c>
      <c r="G233" s="11">
        <f t="shared" si="27"/>
        <v>-49.643753579139869</v>
      </c>
    </row>
    <row r="234" spans="5:7" x14ac:dyDescent="0.25">
      <c r="E234" s="11">
        <f t="shared" si="25"/>
        <v>-153</v>
      </c>
      <c r="F234" s="11">
        <f t="shared" si="26"/>
        <v>-49.436032598630959</v>
      </c>
      <c r="G234" s="11">
        <f t="shared" si="27"/>
        <v>-49.325190091745021</v>
      </c>
    </row>
    <row r="235" spans="5:7" x14ac:dyDescent="0.25">
      <c r="E235" s="11">
        <f t="shared" si="25"/>
        <v>-152</v>
      </c>
      <c r="F235" s="11">
        <f t="shared" si="26"/>
        <v>-49.101334445931229</v>
      </c>
      <c r="G235" s="11">
        <f t="shared" si="27"/>
        <v>-49.001703886252578</v>
      </c>
    </row>
    <row r="236" spans="5:7" x14ac:dyDescent="0.25">
      <c r="E236" s="11">
        <f t="shared" si="25"/>
        <v>-151</v>
      </c>
      <c r="F236" s="11">
        <f t="shared" si="26"/>
        <v>-48.756698401219069</v>
      </c>
      <c r="G236" s="11">
        <f t="shared" si="27"/>
        <v>-48.672884736154401</v>
      </c>
    </row>
    <row r="237" spans="5:7" x14ac:dyDescent="0.25">
      <c r="E237" s="11">
        <f t="shared" si="25"/>
        <v>-150</v>
      </c>
      <c r="F237" s="11">
        <f t="shared" si="26"/>
        <v>-48.402202430256693</v>
      </c>
      <c r="G237" s="11">
        <f t="shared" si="27"/>
        <v>-48.338322414942382</v>
      </c>
    </row>
    <row r="238" spans="5:7" x14ac:dyDescent="0.25">
      <c r="E238" s="11">
        <f t="shared" si="25"/>
        <v>-149</v>
      </c>
      <c r="F238" s="11">
        <f t="shared" si="26"/>
        <v>-48.03800851163237</v>
      </c>
      <c r="G238" s="11">
        <f t="shared" si="27"/>
        <v>-47.997606696108363</v>
      </c>
    </row>
    <row r="239" spans="5:7" x14ac:dyDescent="0.25">
      <c r="E239" s="11">
        <f t="shared" si="25"/>
        <v>-148</v>
      </c>
      <c r="F239" s="11">
        <f t="shared" si="26"/>
        <v>-47.664354590234552</v>
      </c>
      <c r="G239" s="11">
        <f t="shared" si="27"/>
        <v>-47.65032735314422</v>
      </c>
    </row>
    <row r="240" spans="5:7" x14ac:dyDescent="0.25">
      <c r="E240" s="11">
        <f t="shared" si="25"/>
        <v>-147</v>
      </c>
      <c r="F240" s="11">
        <f t="shared" si="26"/>
        <v>-47.281546908809446</v>
      </c>
      <c r="G240" s="11">
        <f t="shared" si="27"/>
        <v>-47.296074159541817</v>
      </c>
    </row>
    <row r="241" spans="5:7" x14ac:dyDescent="0.25">
      <c r="E241" s="11">
        <f t="shared" si="25"/>
        <v>-146</v>
      </c>
      <c r="F241" s="11">
        <f t="shared" si="26"/>
        <v>-46.889952707864268</v>
      </c>
      <c r="G241" s="11">
        <f t="shared" si="27"/>
        <v>-46.934436888793037</v>
      </c>
    </row>
    <row r="242" spans="5:7" x14ac:dyDescent="0.25">
      <c r="E242" s="11">
        <f t="shared" si="25"/>
        <v>-145</v>
      </c>
      <c r="F242" s="11">
        <f t="shared" si="26"/>
        <v>-46.489993284285106</v>
      </c>
      <c r="G242" s="11">
        <f t="shared" si="27"/>
        <v>-46.56500531438973</v>
      </c>
    </row>
    <row r="243" spans="5:7" x14ac:dyDescent="0.25">
      <c r="E243" s="11">
        <f t="shared" si="25"/>
        <v>-144</v>
      </c>
      <c r="F243" s="11">
        <f t="shared" si="26"/>
        <v>-46.082137399163116</v>
      </c>
      <c r="G243" s="11">
        <f t="shared" si="27"/>
        <v>-46.187369209823771</v>
      </c>
    </row>
    <row r="244" spans="5:7" x14ac:dyDescent="0.25">
      <c r="E244" s="11">
        <f t="shared" si="25"/>
        <v>-143</v>
      </c>
      <c r="F244" s="11">
        <f t="shared" si="26"/>
        <v>-45.666895025428346</v>
      </c>
      <c r="G244" s="11">
        <f t="shared" si="27"/>
        <v>-45.801118348587018</v>
      </c>
    </row>
    <row r="245" spans="5:7" x14ac:dyDescent="0.25">
      <c r="E245" s="11">
        <f t="shared" si="25"/>
        <v>-142</v>
      </c>
      <c r="F245" s="11">
        <f t="shared" si="26"/>
        <v>-45.244811425988928</v>
      </c>
      <c r="G245" s="11">
        <f t="shared" si="27"/>
        <v>-45.405842504171346</v>
      </c>
    </row>
    <row r="246" spans="5:7" x14ac:dyDescent="0.25">
      <c r="E246" s="11">
        <f t="shared" si="25"/>
        <v>-141</v>
      </c>
      <c r="F246" s="11">
        <f t="shared" si="26"/>
        <v>-44.816461553214197</v>
      </c>
      <c r="G246" s="11">
        <f t="shared" si="27"/>
        <v>-45.001131450068627</v>
      </c>
    </row>
    <row r="247" spans="5:7" x14ac:dyDescent="0.25">
      <c r="E247" s="11">
        <f t="shared" si="25"/>
        <v>-140</v>
      </c>
      <c r="F247" s="11">
        <f t="shared" si="26"/>
        <v>-44.382444760679448</v>
      </c>
      <c r="G247" s="11">
        <f t="shared" si="27"/>
        <v>-44.586574959770729</v>
      </c>
    </row>
    <row r="248" spans="5:7" x14ac:dyDescent="0.25">
      <c r="E248" s="11">
        <f t="shared" si="25"/>
        <v>-139</v>
      </c>
      <c r="F248" s="11">
        <f t="shared" si="26"/>
        <v>-43.943379818228436</v>
      </c>
      <c r="G248" s="11">
        <f t="shared" si="27"/>
        <v>-44.161762806769502</v>
      </c>
    </row>
    <row r="249" spans="5:7" x14ac:dyDescent="0.25">
      <c r="E249" s="11">
        <f t="shared" si="25"/>
        <v>-138</v>
      </c>
      <c r="F249" s="11">
        <f t="shared" si="26"/>
        <v>-43.49990022149899</v>
      </c>
      <c r="G249" s="11">
        <f t="shared" si="27"/>
        <v>-43.72628476455683</v>
      </c>
    </row>
    <row r="250" spans="5:7" x14ac:dyDescent="0.25">
      <c r="E250" s="11">
        <f t="shared" si="25"/>
        <v>-137</v>
      </c>
      <c r="F250" s="11">
        <f t="shared" si="26"/>
        <v>-43.052649787187363</v>
      </c>
      <c r="G250" s="11">
        <f t="shared" si="27"/>
        <v>-43.279730606624575</v>
      </c>
    </row>
    <row r="251" spans="5:7" x14ac:dyDescent="0.25">
      <c r="E251" s="11">
        <f t="shared" si="25"/>
        <v>-136</v>
      </c>
      <c r="F251" s="11">
        <f t="shared" si="26"/>
        <v>-42.602278525427721</v>
      </c>
      <c r="G251" s="11">
        <f t="shared" si="27"/>
        <v>-42.821690106464608</v>
      </c>
    </row>
    <row r="252" spans="5:7" x14ac:dyDescent="0.25">
      <c r="E252" s="11">
        <f t="shared" si="25"/>
        <v>-135</v>
      </c>
      <c r="F252" s="11">
        <f t="shared" si="26"/>
        <v>-42.149438780775085</v>
      </c>
      <c r="G252" s="11">
        <f t="shared" si="27"/>
        <v>-42.351753037568791</v>
      </c>
    </row>
    <row r="253" spans="5:7" x14ac:dyDescent="0.25">
      <c r="E253" s="11">
        <f t="shared" si="25"/>
        <v>-134</v>
      </c>
      <c r="F253" s="11">
        <f t="shared" si="26"/>
        <v>-41.694781633395053</v>
      </c>
      <c r="G253" s="11">
        <f t="shared" si="27"/>
        <v>-41.869509173428987</v>
      </c>
    </row>
    <row r="254" spans="5:7" x14ac:dyDescent="0.25">
      <c r="E254" s="11">
        <f t="shared" si="25"/>
        <v>-133</v>
      </c>
      <c r="F254" s="11">
        <f t="shared" si="26"/>
        <v>-41.238953552177293</v>
      </c>
      <c r="G254" s="11">
        <f t="shared" si="27"/>
        <v>-41.374548287537074</v>
      </c>
    </row>
    <row r="255" spans="5:7" x14ac:dyDescent="0.25">
      <c r="E255" s="11">
        <f t="shared" si="25"/>
        <v>-132</v>
      </c>
      <c r="F255" s="11">
        <f t="shared" si="26"/>
        <v>-40.782593291591809</v>
      </c>
      <c r="G255" s="11">
        <f t="shared" si="27"/>
        <v>-40.866460153384914</v>
      </c>
    </row>
    <row r="256" spans="5:7" x14ac:dyDescent="0.25">
      <c r="E256" s="11">
        <f t="shared" si="25"/>
        <v>-131</v>
      </c>
      <c r="F256" s="11">
        <f t="shared" si="26"/>
        <v>-40.326329024229551</v>
      </c>
      <c r="G256" s="11">
        <f t="shared" si="27"/>
        <v>-40.344834544464376</v>
      </c>
    </row>
    <row r="257" spans="5:7" x14ac:dyDescent="0.25">
      <c r="E257" s="11">
        <f t="shared" si="25"/>
        <v>-130</v>
      </c>
      <c r="F257" s="11">
        <f t="shared" si="26"/>
        <v>-39.870775701072631</v>
      </c>
      <c r="G257" s="11">
        <f t="shared" si="27"/>
        <v>-39.809261234267325</v>
      </c>
    </row>
    <row r="258" spans="5:7" x14ac:dyDescent="0.25">
      <c r="E258" s="11">
        <f t="shared" si="25"/>
        <v>-129</v>
      </c>
      <c r="F258" s="11">
        <f t="shared" si="26"/>
        <v>-39.416532631655627</v>
      </c>
      <c r="G258" s="11">
        <f t="shared" si="27"/>
        <v>-39.259329996285622</v>
      </c>
    </row>
    <row r="259" spans="5:7" x14ac:dyDescent="0.25">
      <c r="E259" s="11">
        <f t="shared" si="25"/>
        <v>-128</v>
      </c>
      <c r="F259" s="11">
        <f t="shared" si="26"/>
        <v>-38.96418127638799</v>
      </c>
      <c r="G259" s="11">
        <f t="shared" si="27"/>
        <v>-38.694630604011152</v>
      </c>
    </row>
    <row r="260" spans="5:7" x14ac:dyDescent="0.25">
      <c r="E260" s="11">
        <f t="shared" si="25"/>
        <v>-127</v>
      </c>
      <c r="F260" s="11">
        <f t="shared" si="26"/>
        <v>-38.514283243421687</v>
      </c>
      <c r="G260" s="11">
        <f t="shared" si="27"/>
        <v>-38.114752830935771</v>
      </c>
    </row>
    <row r="261" spans="5:7" x14ac:dyDescent="0.25">
      <c r="E261" s="11">
        <f t="shared" si="25"/>
        <v>-126</v>
      </c>
      <c r="F261" s="11">
        <f t="shared" si="26"/>
        <v>-38.067378482556137</v>
      </c>
      <c r="G261" s="11">
        <f t="shared" si="27"/>
        <v>-37.519286450551348</v>
      </c>
    </row>
    <row r="262" spans="5:7" x14ac:dyDescent="0.25">
      <c r="E262" s="11">
        <f t="shared" si="25"/>
        <v>-125</v>
      </c>
      <c r="F262" s="11">
        <f t="shared" si="26"/>
        <v>-37.623983668789322</v>
      </c>
      <c r="G262" s="11">
        <f t="shared" si="27"/>
        <v>-36.907821236349747</v>
      </c>
    </row>
    <row r="263" spans="5:7" x14ac:dyDescent="0.25">
      <c r="E263" s="11">
        <f t="shared" si="25"/>
        <v>-124</v>
      </c>
      <c r="F263" s="11">
        <f t="shared" si="26"/>
        <v>-37.184590768228645</v>
      </c>
      <c r="G263" s="11">
        <f t="shared" si="27"/>
        <v>-36.644465479067541</v>
      </c>
    </row>
    <row r="264" spans="5:7" x14ac:dyDescent="0.25">
      <c r="E264" s="11">
        <f t="shared" si="25"/>
        <v>-123</v>
      </c>
      <c r="F264" s="11">
        <f t="shared" si="26"/>
        <v>-36.749665779195624</v>
      </c>
      <c r="G264" s="11">
        <f t="shared" si="27"/>
        <v>-36.365894001507776</v>
      </c>
    </row>
    <row r="265" spans="5:7" x14ac:dyDescent="0.25">
      <c r="E265" s="11">
        <f t="shared" si="25"/>
        <v>-122</v>
      </c>
      <c r="F265" s="11">
        <f t="shared" si="26"/>
        <v>-36.319647641458431</v>
      </c>
      <c r="G265" s="11">
        <f t="shared" si="27"/>
        <v>-36.073300143718242</v>
      </c>
    </row>
    <row r="266" spans="5:7" x14ac:dyDescent="0.25">
      <c r="E266" s="11">
        <f t="shared" si="25"/>
        <v>-121</v>
      </c>
      <c r="F266" s="11">
        <f t="shared" si="26"/>
        <v>-35.894947306649726</v>
      </c>
      <c r="G266" s="11">
        <f t="shared" si="27"/>
        <v>-35.767877245746689</v>
      </c>
    </row>
    <row r="267" spans="5:7" x14ac:dyDescent="0.25">
      <c r="E267" s="11">
        <f t="shared" si="25"/>
        <v>-120</v>
      </c>
      <c r="F267" s="11">
        <f t="shared" si="26"/>
        <v>-35.47594696303068</v>
      </c>
      <c r="G267" s="11">
        <f t="shared" si="27"/>
        <v>-35.45081864764088</v>
      </c>
    </row>
    <row r="268" spans="5:7" x14ac:dyDescent="0.25">
      <c r="E268" s="11">
        <f t="shared" si="25"/>
        <v>-119</v>
      </c>
      <c r="F268" s="11">
        <f t="shared" si="26"/>
        <v>-35.06299940787666</v>
      </c>
      <c r="G268" s="11">
        <f t="shared" si="27"/>
        <v>-35.123317689448584</v>
      </c>
    </row>
    <row r="269" spans="5:7" x14ac:dyDescent="0.25">
      <c r="E269" s="11">
        <f t="shared" si="25"/>
        <v>-118</v>
      </c>
      <c r="F269" s="11">
        <f t="shared" si="26"/>
        <v>-34.656427560871094</v>
      </c>
      <c r="G269" s="11">
        <f t="shared" si="27"/>
        <v>-34.78656771121755</v>
      </c>
    </row>
    <row r="270" spans="5:7" x14ac:dyDescent="0.25">
      <c r="E270" s="11">
        <f t="shared" si="25"/>
        <v>-117</v>
      </c>
      <c r="F270" s="11">
        <f t="shared" si="26"/>
        <v>-34.25652411200582</v>
      </c>
      <c r="G270" s="11">
        <f t="shared" si="27"/>
        <v>-34.441762052995571</v>
      </c>
    </row>
    <row r="271" spans="5:7" x14ac:dyDescent="0.25">
      <c r="E271" s="11">
        <f t="shared" si="25"/>
        <v>-116</v>
      </c>
      <c r="F271" s="11">
        <f t="shared" si="26"/>
        <v>-33.863551297597098</v>
      </c>
      <c r="G271" s="11">
        <f t="shared" si="27"/>
        <v>-34.090094054830374</v>
      </c>
    </row>
    <row r="272" spans="5:7" x14ac:dyDescent="0.25">
      <c r="E272" s="11">
        <f t="shared" si="25"/>
        <v>-115</v>
      </c>
      <c r="F272" s="11">
        <f t="shared" si="26"/>
        <v>-33.477740798139763</v>
      </c>
      <c r="G272" s="11">
        <f t="shared" si="27"/>
        <v>-33.732757056769749</v>
      </c>
    </row>
    <row r="273" spans="5:7" x14ac:dyDescent="0.25">
      <c r="E273" s="11">
        <f t="shared" si="25"/>
        <v>-114</v>
      </c>
      <c r="F273" s="11">
        <f t="shared" si="26"/>
        <v>-33.099293751829919</v>
      </c>
      <c r="G273" s="11">
        <f t="shared" si="27"/>
        <v>-33.370944398861454</v>
      </c>
    </row>
    <row r="274" spans="5:7" x14ac:dyDescent="0.25">
      <c r="E274" s="11">
        <f t="shared" si="25"/>
        <v>-113</v>
      </c>
      <c r="F274" s="11">
        <f t="shared" si="26"/>
        <v>-32.728380877702961</v>
      </c>
      <c r="G274" s="11">
        <f t="shared" si="27"/>
        <v>-33.005849421153236</v>
      </c>
    </row>
    <row r="275" spans="5:7" x14ac:dyDescent="0.25">
      <c r="E275" s="11">
        <f t="shared" si="25"/>
        <v>-112</v>
      </c>
      <c r="F275" s="11">
        <f t="shared" si="26"/>
        <v>-32.365142702440068</v>
      </c>
      <c r="G275" s="11">
        <f t="shared" si="27"/>
        <v>-32.638665463692888</v>
      </c>
    </row>
    <row r="276" spans="5:7" x14ac:dyDescent="0.25">
      <c r="E276" s="11">
        <f t="shared" si="25"/>
        <v>-111</v>
      </c>
      <c r="F276" s="11">
        <f t="shared" si="26"/>
        <v>-32.009689885013863</v>
      </c>
      <c r="G276" s="11">
        <f t="shared" si="27"/>
        <v>-32.270585866528144</v>
      </c>
    </row>
    <row r="277" spans="5:7" x14ac:dyDescent="0.25">
      <c r="E277" s="11">
        <f t="shared" si="25"/>
        <v>-110</v>
      </c>
      <c r="F277" s="11">
        <f t="shared" si="26"/>
        <v>-31.662103633448133</v>
      </c>
      <c r="G277" s="11">
        <f t="shared" si="27"/>
        <v>-31.902803969706788</v>
      </c>
    </row>
    <row r="278" spans="5:7" x14ac:dyDescent="0.25">
      <c r="E278" s="11">
        <f t="shared" si="25"/>
        <v>-109</v>
      </c>
      <c r="F278" s="11">
        <f t="shared" si="26"/>
        <v>-31.322436208084667</v>
      </c>
      <c r="G278" s="11">
        <f t="shared" si="27"/>
        <v>-31.536513113276577</v>
      </c>
    </row>
    <row r="279" spans="5:7" x14ac:dyDescent="0.25">
      <c r="E279" s="11">
        <f t="shared" si="25"/>
        <v>-108</v>
      </c>
      <c r="F279" s="11">
        <f t="shared" si="26"/>
        <v>-30.990711505858918</v>
      </c>
      <c r="G279" s="11">
        <f t="shared" si="27"/>
        <v>-31.172906637285269</v>
      </c>
    </row>
    <row r="280" spans="5:7" x14ac:dyDescent="0.25">
      <c r="E280" s="11">
        <f t="shared" si="25"/>
        <v>-107</v>
      </c>
      <c r="F280" s="11">
        <f t="shared" si="26"/>
        <v>-30.666925720196311</v>
      </c>
      <c r="G280" s="11">
        <f t="shared" si="27"/>
        <v>-30.813177881780639</v>
      </c>
    </row>
    <row r="281" spans="5:7" x14ac:dyDescent="0.25">
      <c r="E281" s="11">
        <f t="shared" si="25"/>
        <v>-106</v>
      </c>
      <c r="F281" s="11">
        <f t="shared" si="26"/>
        <v>-30.351048071255931</v>
      </c>
      <c r="G281" s="11">
        <f t="shared" si="27"/>
        <v>-30.458520186810439</v>
      </c>
    </row>
    <row r="282" spans="5:7" x14ac:dyDescent="0.25">
      <c r="E282" s="11">
        <f t="shared" si="25"/>
        <v>-105</v>
      </c>
      <c r="F282" s="11">
        <f t="shared" si="26"/>
        <v>-30.043021601357111</v>
      </c>
      <c r="G282" s="11">
        <f t="shared" si="27"/>
        <v>-30.110126892422439</v>
      </c>
    </row>
    <row r="283" spans="5:7" x14ac:dyDescent="0.25">
      <c r="E283" s="11">
        <f t="shared" si="25"/>
        <v>-104</v>
      </c>
      <c r="F283" s="11">
        <f t="shared" si="26"/>
        <v>-29.742764030537607</v>
      </c>
      <c r="G283" s="11">
        <f t="shared" si="27"/>
        <v>-29.769191338664399</v>
      </c>
    </row>
    <row r="284" spans="5:7" x14ac:dyDescent="0.25">
      <c r="E284" s="11">
        <f t="shared" si="25"/>
        <v>-103</v>
      </c>
      <c r="F284" s="11">
        <f t="shared" si="26"/>
        <v>-29.45016866730159</v>
      </c>
      <c r="G284" s="11">
        <f t="shared" si="27"/>
        <v>-29.436906865584085</v>
      </c>
    </row>
    <row r="285" spans="5:7" x14ac:dyDescent="0.25">
      <c r="E285" s="11">
        <f t="shared" si="25"/>
        <v>-102</v>
      </c>
      <c r="F285" s="11">
        <f t="shared" si="26"/>
        <v>-29.165105369730547</v>
      </c>
      <c r="G285" s="11">
        <f t="shared" si="27"/>
        <v>-29.114466813229264</v>
      </c>
    </row>
    <row r="286" spans="5:7" x14ac:dyDescent="0.25">
      <c r="E286" s="11">
        <f t="shared" si="25"/>
        <v>-101</v>
      </c>
      <c r="F286" s="11">
        <f t="shared" si="26"/>
        <v>-28.887421552238266</v>
      </c>
      <c r="G286" s="11">
        <f t="shared" si="27"/>
        <v>-28.803064521647688</v>
      </c>
    </row>
    <row r="287" spans="5:7" x14ac:dyDescent="0.25">
      <c r="E287" s="11">
        <f t="shared" ref="E287:E350" si="28">E80</f>
        <v>-100</v>
      </c>
      <c r="F287" s="11">
        <f t="shared" ref="F287:F350" si="29">$H$217*0+E287*$I$217+E287^2*$J$217+E287^3*$K$217+E287^4*$L$217+E287^5*$M$217+E287^6*$N$217+E287^7*$O$217+E287^8*$P$217</f>
        <v>-28.61694323336399</v>
      </c>
      <c r="G287" s="11">
        <f t="shared" ref="G287:G350" si="30">F80</f>
        <v>-28.503893330887131</v>
      </c>
    </row>
    <row r="288" spans="5:7" x14ac:dyDescent="0.25">
      <c r="E288" s="11">
        <f t="shared" si="28"/>
        <v>-99</v>
      </c>
      <c r="F288" s="11">
        <f t="shared" si="29"/>
        <v>-28.353476120110816</v>
      </c>
      <c r="G288" s="11">
        <f t="shared" si="30"/>
        <v>-28.21782861623473</v>
      </c>
    </row>
    <row r="289" spans="5:7" x14ac:dyDescent="0.25">
      <c r="E289" s="11">
        <f t="shared" si="28"/>
        <v>-98</v>
      </c>
      <c r="F289" s="11">
        <f t="shared" si="29"/>
        <v>-28.096806724445031</v>
      </c>
      <c r="G289" s="11">
        <f t="shared" si="30"/>
        <v>-27.944473893935108</v>
      </c>
    </row>
    <row r="290" spans="5:7" x14ac:dyDescent="0.25">
      <c r="E290" s="11">
        <f t="shared" si="28"/>
        <v>-97</v>
      </c>
      <c r="F290" s="11">
        <f t="shared" si="29"/>
        <v>-27.846703507685902</v>
      </c>
      <c r="G290" s="11">
        <f t="shared" si="30"/>
        <v>-27.683114715472279</v>
      </c>
    </row>
    <row r="291" spans="5:7" x14ac:dyDescent="0.25">
      <c r="E291" s="11">
        <f t="shared" si="28"/>
        <v>-96</v>
      </c>
      <c r="F291" s="11">
        <f t="shared" si="29"/>
        <v>-27.602918048626474</v>
      </c>
      <c r="G291" s="11">
        <f t="shared" si="30"/>
        <v>-27.433036632330243</v>
      </c>
    </row>
    <row r="292" spans="5:7" x14ac:dyDescent="0.25">
      <c r="E292" s="11">
        <f t="shared" si="28"/>
        <v>-95</v>
      </c>
      <c r="F292" s="11">
        <f t="shared" si="29"/>
        <v>-27.365186231336224</v>
      </c>
      <c r="G292" s="11">
        <f t="shared" si="30"/>
        <v>-27.193525195993004</v>
      </c>
    </row>
    <row r="293" spans="5:7" x14ac:dyDescent="0.25">
      <c r="E293" s="11">
        <f t="shared" si="28"/>
        <v>-94</v>
      </c>
      <c r="F293" s="11">
        <f t="shared" si="29"/>
        <v>-27.1332294487102</v>
      </c>
      <c r="G293" s="11">
        <f t="shared" si="30"/>
        <v>-26.963865957944574</v>
      </c>
    </row>
    <row r="294" spans="5:7" x14ac:dyDescent="0.25">
      <c r="E294" s="11">
        <f t="shared" si="28"/>
        <v>-93</v>
      </c>
      <c r="F294" s="11">
        <f t="shared" si="29"/>
        <v>-26.906755817938453</v>
      </c>
      <c r="G294" s="11">
        <f t="shared" si="30"/>
        <v>-26.743344469668951</v>
      </c>
    </row>
    <row r="295" spans="5:7" x14ac:dyDescent="0.25">
      <c r="E295" s="11">
        <f t="shared" si="28"/>
        <v>-92</v>
      </c>
      <c r="F295" s="11">
        <f t="shared" si="29"/>
        <v>-26.685461404182767</v>
      </c>
      <c r="G295" s="11">
        <f t="shared" si="30"/>
        <v>-26.531246282650137</v>
      </c>
    </row>
    <row r="296" spans="5:7" x14ac:dyDescent="0.25">
      <c r="E296" s="11">
        <f t="shared" si="28"/>
        <v>-91</v>
      </c>
      <c r="F296" s="11">
        <f t="shared" si="29"/>
        <v>-26.469031448858658</v>
      </c>
      <c r="G296" s="11">
        <f t="shared" si="30"/>
        <v>-26.32685694837215</v>
      </c>
    </row>
    <row r="297" spans="5:7" x14ac:dyDescent="0.25">
      <c r="E297" s="11">
        <f t="shared" si="28"/>
        <v>-90</v>
      </c>
      <c r="F297" s="11">
        <f t="shared" si="29"/>
        <v>-26.25714159903189</v>
      </c>
      <c r="G297" s="11">
        <f t="shared" si="30"/>
        <v>-26.129462018318986</v>
      </c>
    </row>
    <row r="298" spans="5:7" x14ac:dyDescent="0.25">
      <c r="E298" s="11">
        <f t="shared" si="28"/>
        <v>-89</v>
      </c>
      <c r="F298" s="11">
        <f t="shared" si="29"/>
        <v>-26.049459134550517</v>
      </c>
      <c r="G298" s="11">
        <f t="shared" si="30"/>
        <v>-25.938347043974645</v>
      </c>
    </row>
    <row r="299" spans="5:7" x14ac:dyDescent="0.25">
      <c r="E299" s="11">
        <f t="shared" si="28"/>
        <v>-88</v>
      </c>
      <c r="F299" s="11">
        <f t="shared" si="29"/>
        <v>-25.845644189645544</v>
      </c>
      <c r="G299" s="11">
        <f t="shared" si="30"/>
        <v>-25.752797576823141</v>
      </c>
    </row>
    <row r="300" spans="5:7" x14ac:dyDescent="0.25">
      <c r="E300" s="11">
        <f t="shared" si="28"/>
        <v>-87</v>
      </c>
      <c r="F300" s="11">
        <f t="shared" si="29"/>
        <v>-25.645350965843441</v>
      </c>
      <c r="G300" s="11">
        <f t="shared" si="30"/>
        <v>-25.57209916834848</v>
      </c>
    </row>
    <row r="301" spans="5:7" x14ac:dyDescent="0.25">
      <c r="E301" s="11">
        <f t="shared" si="28"/>
        <v>-86</v>
      </c>
      <c r="F301" s="11">
        <f t="shared" si="29"/>
        <v>-25.44822893314705</v>
      </c>
      <c r="G301" s="11">
        <f t="shared" si="30"/>
        <v>-25.39553737003466</v>
      </c>
    </row>
    <row r="302" spans="5:7" x14ac:dyDescent="0.25">
      <c r="E302" s="11">
        <f t="shared" si="28"/>
        <v>-85</v>
      </c>
      <c r="F302" s="11">
        <f t="shared" si="29"/>
        <v>-25.253924016551299</v>
      </c>
      <c r="G302" s="11">
        <f t="shared" si="30"/>
        <v>-25.222397733365689</v>
      </c>
    </row>
    <row r="303" spans="5:7" x14ac:dyDescent="0.25">
      <c r="E303" s="11">
        <f t="shared" si="28"/>
        <v>-84</v>
      </c>
      <c r="F303" s="11">
        <f t="shared" si="29"/>
        <v>-25.062079765072909</v>
      </c>
      <c r="G303" s="11">
        <f t="shared" si="30"/>
        <v>-25.051965809825571</v>
      </c>
    </row>
    <row r="304" spans="5:7" x14ac:dyDescent="0.25">
      <c r="E304" s="11">
        <f t="shared" si="28"/>
        <v>-83</v>
      </c>
      <c r="F304" s="11">
        <f t="shared" si="29"/>
        <v>-24.872338500584096</v>
      </c>
      <c r="G304" s="11">
        <f t="shared" si="30"/>
        <v>-24.883527150898313</v>
      </c>
    </row>
    <row r="305" spans="5:7" x14ac:dyDescent="0.25">
      <c r="E305" s="11">
        <f t="shared" si="28"/>
        <v>-82</v>
      </c>
      <c r="F305" s="11">
        <f t="shared" si="29"/>
        <v>-24.684342443852067</v>
      </c>
      <c r="G305" s="11">
        <f t="shared" si="30"/>
        <v>-24.716367308067916</v>
      </c>
    </row>
    <row r="306" spans="5:7" x14ac:dyDescent="0.25">
      <c r="E306" s="11">
        <f t="shared" si="28"/>
        <v>-81</v>
      </c>
      <c r="F306" s="11">
        <f t="shared" si="29"/>
        <v>-24.497734815297733</v>
      </c>
      <c r="G306" s="11">
        <f t="shared" si="30"/>
        <v>-24.549771832818394</v>
      </c>
    </row>
    <row r="307" spans="5:7" x14ac:dyDescent="0.25">
      <c r="E307" s="11">
        <f t="shared" si="28"/>
        <v>-80</v>
      </c>
      <c r="F307" s="11">
        <f t="shared" si="29"/>
        <v>-24.312160908098203</v>
      </c>
      <c r="G307" s="11">
        <f t="shared" si="30"/>
        <v>-24.383026276633743</v>
      </c>
    </row>
    <row r="308" spans="5:7" x14ac:dyDescent="0.25">
      <c r="E308" s="11">
        <f t="shared" si="28"/>
        <v>-79</v>
      </c>
      <c r="F308" s="11">
        <f t="shared" si="29"/>
        <v>-24.127269131369772</v>
      </c>
      <c r="G308" s="11">
        <f t="shared" si="30"/>
        <v>-24.215416190997971</v>
      </c>
    </row>
    <row r="309" spans="5:7" x14ac:dyDescent="0.25">
      <c r="E309" s="11">
        <f t="shared" si="28"/>
        <v>-78</v>
      </c>
      <c r="F309" s="11">
        <f t="shared" si="29"/>
        <v>-23.942712021278943</v>
      </c>
      <c r="G309" s="11">
        <f t="shared" si="30"/>
        <v>-24.046227127395081</v>
      </c>
    </row>
    <row r="310" spans="5:7" x14ac:dyDescent="0.25">
      <c r="E310" s="11">
        <f t="shared" si="28"/>
        <v>-77</v>
      </c>
      <c r="F310" s="11">
        <f t="shared" si="29"/>
        <v>-23.758147218041234</v>
      </c>
      <c r="G310" s="11">
        <f t="shared" si="30"/>
        <v>-23.874744637309082</v>
      </c>
    </row>
    <row r="311" spans="5:7" x14ac:dyDescent="0.25">
      <c r="E311" s="11">
        <f t="shared" si="28"/>
        <v>-76</v>
      </c>
      <c r="F311" s="11">
        <f t="shared" si="29"/>
        <v>-23.573238406878488</v>
      </c>
      <c r="G311" s="11">
        <f t="shared" si="30"/>
        <v>-23.700254272223972</v>
      </c>
    </row>
    <row r="312" spans="5:7" x14ac:dyDescent="0.25">
      <c r="E312" s="11">
        <f t="shared" si="28"/>
        <v>-75</v>
      </c>
      <c r="F312" s="11">
        <f t="shared" si="29"/>
        <v>-23.38765622111729</v>
      </c>
      <c r="G312" s="11">
        <f t="shared" si="30"/>
        <v>-23.522041583623768</v>
      </c>
    </row>
    <row r="313" spans="5:7" x14ac:dyDescent="0.25">
      <c r="E313" s="11">
        <f t="shared" si="28"/>
        <v>-74</v>
      </c>
      <c r="F313" s="11">
        <f t="shared" si="29"/>
        <v>-23.201079105722592</v>
      </c>
      <c r="G313" s="11">
        <f t="shared" si="30"/>
        <v>-23.339515748733767</v>
      </c>
    </row>
    <row r="314" spans="5:7" x14ac:dyDescent="0.25">
      <c r="E314" s="11">
        <f t="shared" si="28"/>
        <v>-73</v>
      </c>
      <c r="F314" s="11">
        <f t="shared" si="29"/>
        <v>-23.013194139671931</v>
      </c>
      <c r="G314" s="11">
        <f t="shared" si="30"/>
        <v>-23.152580447744494</v>
      </c>
    </row>
    <row r="315" spans="5:7" x14ac:dyDescent="0.25">
      <c r="E315" s="11">
        <f t="shared" si="28"/>
        <v>-72</v>
      </c>
      <c r="F315" s="11">
        <f t="shared" si="29"/>
        <v>-22.823697815687549</v>
      </c>
      <c r="G315" s="11">
        <f t="shared" si="30"/>
        <v>-22.961262986587776</v>
      </c>
    </row>
    <row r="316" spans="5:7" x14ac:dyDescent="0.25">
      <c r="E316" s="11">
        <f t="shared" si="28"/>
        <v>-71</v>
      </c>
      <c r="F316" s="11">
        <f t="shared" si="29"/>
        <v>-22.632296775954767</v>
      </c>
      <c r="G316" s="11">
        <f t="shared" si="30"/>
        <v>-22.765590671195433</v>
      </c>
    </row>
    <row r="317" spans="5:7" x14ac:dyDescent="0.25">
      <c r="E317" s="11">
        <f t="shared" si="28"/>
        <v>-70</v>
      </c>
      <c r="F317" s="11">
        <f t="shared" si="29"/>
        <v>-22.438708502567124</v>
      </c>
      <c r="G317" s="11">
        <f t="shared" si="30"/>
        <v>-22.565590807499291</v>
      </c>
    </row>
    <row r="318" spans="5:7" x14ac:dyDescent="0.25">
      <c r="E318" s="11">
        <f t="shared" si="28"/>
        <v>-69</v>
      </c>
      <c r="F318" s="11">
        <f t="shared" si="29"/>
        <v>-22.242661961549711</v>
      </c>
      <c r="G318" s="11">
        <f t="shared" si="30"/>
        <v>-22.361290701431173</v>
      </c>
    </row>
    <row r="319" spans="5:7" x14ac:dyDescent="0.25">
      <c r="E319" s="11">
        <f t="shared" si="28"/>
        <v>-68</v>
      </c>
      <c r="F319" s="11">
        <f t="shared" si="29"/>
        <v>-22.043898199423989</v>
      </c>
      <c r="G319" s="11">
        <f t="shared" si="30"/>
        <v>-22.152717658922899</v>
      </c>
    </row>
    <row r="320" spans="5:7" x14ac:dyDescent="0.25">
      <c r="E320" s="11">
        <f t="shared" si="28"/>
        <v>-67</v>
      </c>
      <c r="F320" s="11">
        <f t="shared" si="29"/>
        <v>-21.842170891388971</v>
      </c>
      <c r="G320" s="11">
        <f t="shared" si="30"/>
        <v>-21.939898985906304</v>
      </c>
    </row>
    <row r="321" spans="5:7" x14ac:dyDescent="0.25">
      <c r="E321" s="11">
        <f t="shared" si="28"/>
        <v>-66</v>
      </c>
      <c r="F321" s="11">
        <f t="shared" si="29"/>
        <v>-21.637246840304876</v>
      </c>
      <c r="G321" s="11">
        <f t="shared" si="30"/>
        <v>-21.722861988313202</v>
      </c>
    </row>
    <row r="322" spans="5:7" x14ac:dyDescent="0.25">
      <c r="E322" s="11">
        <f t="shared" si="28"/>
        <v>-65</v>
      </c>
      <c r="F322" s="11">
        <f t="shared" si="29"/>
        <v>-21.428906425777249</v>
      </c>
      <c r="G322" s="11">
        <f t="shared" si="30"/>
        <v>-21.501633972075425</v>
      </c>
    </row>
    <row r="323" spans="5:7" x14ac:dyDescent="0.25">
      <c r="E323" s="11">
        <f t="shared" si="28"/>
        <v>-64</v>
      </c>
      <c r="F323" s="11">
        <f t="shared" si="29"/>
        <v>-21.216944002750882</v>
      </c>
      <c r="G323" s="11">
        <f t="shared" si="30"/>
        <v>-21.276242243124791</v>
      </c>
    </row>
    <row r="324" spans="5:7" x14ac:dyDescent="0.25">
      <c r="E324" s="11">
        <f t="shared" si="28"/>
        <v>-63</v>
      </c>
      <c r="F324" s="11">
        <f t="shared" si="29"/>
        <v>-21.001168249134249</v>
      </c>
      <c r="G324" s="11">
        <f t="shared" si="30"/>
        <v>-21.046714107393129</v>
      </c>
    </row>
    <row r="325" spans="5:7" x14ac:dyDescent="0.25">
      <c r="E325" s="11">
        <f t="shared" si="28"/>
        <v>-62</v>
      </c>
      <c r="F325" s="11">
        <f t="shared" si="29"/>
        <v>-20.781402462087229</v>
      </c>
      <c r="G325" s="11">
        <f t="shared" si="30"/>
        <v>-20.813076870812257</v>
      </c>
    </row>
    <row r="326" spans="5:7" x14ac:dyDescent="0.25">
      <c r="E326" s="11">
        <f t="shared" si="28"/>
        <v>-61</v>
      </c>
      <c r="F326" s="11">
        <f t="shared" si="29"/>
        <v>-20.557484802715759</v>
      </c>
      <c r="G326" s="11">
        <f t="shared" si="30"/>
        <v>-20.575357839314005</v>
      </c>
    </row>
    <row r="327" spans="5:7" x14ac:dyDescent="0.25">
      <c r="E327" s="11">
        <f t="shared" si="28"/>
        <v>-60</v>
      </c>
      <c r="F327" s="11">
        <f t="shared" si="29"/>
        <v>-20.329268489029051</v>
      </c>
      <c r="G327" s="11">
        <f t="shared" si="30"/>
        <v>-20.333584318830194</v>
      </c>
    </row>
    <row r="328" spans="5:7" x14ac:dyDescent="0.25">
      <c r="E328" s="11">
        <f t="shared" si="28"/>
        <v>-59</v>
      </c>
      <c r="F328" s="11">
        <f t="shared" si="29"/>
        <v>-20.096621937126422</v>
      </c>
      <c r="G328" s="11">
        <f t="shared" si="30"/>
        <v>-20.087783615292651</v>
      </c>
    </row>
    <row r="329" spans="5:7" x14ac:dyDescent="0.25">
      <c r="E329" s="11">
        <f t="shared" si="28"/>
        <v>-58</v>
      </c>
      <c r="F329" s="11">
        <f t="shared" si="29"/>
        <v>-19.859428850692282</v>
      </c>
      <c r="G329" s="11">
        <f t="shared" si="30"/>
        <v>-19.837983034633197</v>
      </c>
    </row>
    <row r="330" spans="5:7" x14ac:dyDescent="0.25">
      <c r="E330" s="11">
        <f t="shared" si="28"/>
        <v>-57</v>
      </c>
      <c r="F330" s="11">
        <f t="shared" si="29"/>
        <v>-19.617588258989326</v>
      </c>
      <c r="G330" s="11">
        <f t="shared" si="30"/>
        <v>-19.584209882783654</v>
      </c>
    </row>
    <row r="331" spans="5:7" x14ac:dyDescent="0.25">
      <c r="E331" s="11">
        <f t="shared" si="28"/>
        <v>-56</v>
      </c>
      <c r="F331" s="11">
        <f t="shared" si="29"/>
        <v>-19.371014503651612</v>
      </c>
      <c r="G331" s="11">
        <f t="shared" si="30"/>
        <v>-19.326491465675858</v>
      </c>
    </row>
    <row r="332" spans="5:7" x14ac:dyDescent="0.25">
      <c r="E332" s="11">
        <f t="shared" si="28"/>
        <v>-55</v>
      </c>
      <c r="F332" s="11">
        <f t="shared" si="29"/>
        <v>-19.119637174690688</v>
      </c>
      <c r="G332" s="11">
        <f t="shared" si="30"/>
        <v>-19.064855089241618</v>
      </c>
    </row>
    <row r="333" spans="5:7" x14ac:dyDescent="0.25">
      <c r="E333" s="11">
        <f t="shared" si="28"/>
        <v>-54</v>
      </c>
      <c r="F333" s="11">
        <f t="shared" si="29"/>
        <v>-18.863400996239434</v>
      </c>
      <c r="G333" s="11">
        <f t="shared" si="30"/>
        <v>-18.799328059412765</v>
      </c>
    </row>
    <row r="334" spans="5:7" x14ac:dyDescent="0.25">
      <c r="E334" s="11">
        <f t="shared" si="28"/>
        <v>-53</v>
      </c>
      <c r="F334" s="11">
        <f t="shared" si="29"/>
        <v>-18.602265662669879</v>
      </c>
      <c r="G334" s="11">
        <f t="shared" si="30"/>
        <v>-18.529937682121126</v>
      </c>
    </row>
    <row r="335" spans="5:7" x14ac:dyDescent="0.25">
      <c r="E335" s="11">
        <f t="shared" si="28"/>
        <v>-52</v>
      </c>
      <c r="F335" s="11">
        <f t="shared" si="29"/>
        <v>-18.336205625832729</v>
      </c>
      <c r="G335" s="11">
        <f t="shared" si="30"/>
        <v>-18.25671126329852</v>
      </c>
    </row>
    <row r="336" spans="5:7" x14ac:dyDescent="0.25">
      <c r="E336" s="11">
        <f t="shared" si="28"/>
        <v>-51</v>
      </c>
      <c r="F336" s="11">
        <f t="shared" si="29"/>
        <v>-18.065209834277926</v>
      </c>
      <c r="G336" s="11">
        <f t="shared" si="30"/>
        <v>-17.979676108876774</v>
      </c>
    </row>
    <row r="337" spans="5:7" x14ac:dyDescent="0.25">
      <c r="E337" s="11">
        <f t="shared" si="28"/>
        <v>-50</v>
      </c>
      <c r="F337" s="11">
        <f t="shared" si="29"/>
        <v>-17.789281425427045</v>
      </c>
      <c r="G337" s="11">
        <f t="shared" si="30"/>
        <v>-17.698859524787714</v>
      </c>
    </row>
    <row r="338" spans="5:7" x14ac:dyDescent="0.25">
      <c r="E338" s="11">
        <f t="shared" si="28"/>
        <v>-49</v>
      </c>
      <c r="F338" s="11">
        <f t="shared" si="29"/>
        <v>-17.50843737177993</v>
      </c>
      <c r="G338" s="11">
        <f t="shared" si="30"/>
        <v>-17.414288816963161</v>
      </c>
    </row>
    <row r="339" spans="5:7" x14ac:dyDescent="0.25">
      <c r="E339" s="11">
        <f t="shared" si="28"/>
        <v>-48</v>
      </c>
      <c r="F339" s="11">
        <f t="shared" si="29"/>
        <v>-17.222708082349403</v>
      </c>
      <c r="G339" s="11">
        <f t="shared" si="30"/>
        <v>-17.125991291334937</v>
      </c>
    </row>
    <row r="340" spans="5:7" x14ac:dyDescent="0.25">
      <c r="E340" s="11">
        <f t="shared" si="28"/>
        <v>-47</v>
      </c>
      <c r="F340" s="11">
        <f t="shared" si="29"/>
        <v>-16.932136960629538</v>
      </c>
      <c r="G340" s="11">
        <f t="shared" si="30"/>
        <v>-16.83399425383487</v>
      </c>
    </row>
    <row r="341" spans="5:7" x14ac:dyDescent="0.25">
      <c r="E341" s="11">
        <f t="shared" si="28"/>
        <v>-46</v>
      </c>
      <c r="F341" s="11">
        <f t="shared" si="29"/>
        <v>-16.636779920514435</v>
      </c>
      <c r="G341" s="11">
        <f t="shared" si="30"/>
        <v>-16.538325010394786</v>
      </c>
    </row>
    <row r="342" spans="5:7" x14ac:dyDescent="0.25">
      <c r="E342" s="11">
        <f t="shared" si="28"/>
        <v>-45</v>
      </c>
      <c r="F342" s="11">
        <f t="shared" si="29"/>
        <v>-16.336704861695956</v>
      </c>
      <c r="G342" s="11">
        <f t="shared" si="30"/>
        <v>-16.239010866946504</v>
      </c>
    </row>
    <row r="343" spans="5:7" x14ac:dyDescent="0.25">
      <c r="E343" s="11">
        <f t="shared" si="28"/>
        <v>-44</v>
      </c>
      <c r="F343" s="11">
        <f t="shared" si="29"/>
        <v>-16.031991106180538</v>
      </c>
      <c r="G343" s="11">
        <f t="shared" si="30"/>
        <v>-15.936085272976442</v>
      </c>
    </row>
    <row r="344" spans="5:7" x14ac:dyDescent="0.25">
      <c r="E344" s="11">
        <f t="shared" si="28"/>
        <v>-43</v>
      </c>
      <c r="F344" s="11">
        <f t="shared" si="29"/>
        <v>-15.72272879767656</v>
      </c>
      <c r="G344" s="11">
        <f t="shared" si="30"/>
        <v>-15.629606252189385</v>
      </c>
    </row>
    <row r="345" spans="5:7" x14ac:dyDescent="0.25">
      <c r="E345" s="11">
        <f t="shared" si="28"/>
        <v>-42</v>
      </c>
      <c r="F345" s="11">
        <f t="shared" si="29"/>
        <v>-15.409018265715428</v>
      </c>
      <c r="G345" s="11">
        <f t="shared" si="30"/>
        <v>-15.319637971844708</v>
      </c>
    </row>
    <row r="346" spans="5:7" x14ac:dyDescent="0.25">
      <c r="E346" s="11">
        <f t="shared" si="28"/>
        <v>-41</v>
      </c>
      <c r="F346" s="11">
        <f t="shared" si="29"/>
        <v>-15.090969356480914</v>
      </c>
      <c r="G346" s="11">
        <f t="shared" si="30"/>
        <v>-15.006244599201782</v>
      </c>
    </row>
    <row r="347" spans="5:7" x14ac:dyDescent="0.25">
      <c r="E347" s="11">
        <f t="shared" si="28"/>
        <v>-40</v>
      </c>
      <c r="F347" s="11">
        <f t="shared" si="29"/>
        <v>-14.76870073243302</v>
      </c>
      <c r="G347" s="11">
        <f t="shared" si="30"/>
        <v>-14.689490301519985</v>
      </c>
    </row>
    <row r="348" spans="5:7" x14ac:dyDescent="0.25">
      <c r="E348" s="11">
        <f t="shared" si="28"/>
        <v>-39</v>
      </c>
      <c r="F348" s="11">
        <f t="shared" si="29"/>
        <v>-14.442339142924025</v>
      </c>
      <c r="G348" s="11">
        <f t="shared" si="30"/>
        <v>-14.369439246058691</v>
      </c>
    </row>
    <row r="349" spans="5:7" x14ac:dyDescent="0.25">
      <c r="E349" s="11">
        <f t="shared" si="28"/>
        <v>-38</v>
      </c>
      <c r="F349" s="11">
        <f t="shared" si="29"/>
        <v>-14.112018668115869</v>
      </c>
      <c r="G349" s="11">
        <f t="shared" si="30"/>
        <v>-14.046155600077279</v>
      </c>
    </row>
    <row r="350" spans="5:7" x14ac:dyDescent="0.25">
      <c r="E350" s="11">
        <f t="shared" si="28"/>
        <v>-37</v>
      </c>
      <c r="F350" s="11">
        <f t="shared" si="29"/>
        <v>-13.777879938619781</v>
      </c>
      <c r="G350" s="11">
        <f t="shared" si="30"/>
        <v>-13.719703530835121</v>
      </c>
    </row>
    <row r="351" spans="5:7" x14ac:dyDescent="0.25">
      <c r="E351" s="11">
        <f t="shared" ref="E351:E414" si="31">E144</f>
        <v>-36</v>
      </c>
      <c r="F351" s="11">
        <f t="shared" ref="F351:F414" si="32">$H$217*0+E351*$I$217+E351^2*$J$217+E351^3*$K$217+E351^4*$L$217+E351^5*$M$217+E351^6*$N$217+E351^7*$O$217+E351^8*$P$217</f>
        <v>-13.440069333390289</v>
      </c>
      <c r="G351" s="11">
        <f t="shared" ref="G351:G414" si="33">F144</f>
        <v>-13.390147205591591</v>
      </c>
    </row>
    <row r="352" spans="5:7" x14ac:dyDescent="0.25">
      <c r="E352" s="11">
        <f t="shared" si="31"/>
        <v>-35</v>
      </c>
      <c r="F352" s="11">
        <f t="shared" si="32"/>
        <v>-13.098738158517563</v>
      </c>
      <c r="G352" s="11">
        <f t="shared" si="33"/>
        <v>-13.057550791606065</v>
      </c>
    </row>
    <row r="353" spans="5:7" x14ac:dyDescent="0.25">
      <c r="E353" s="11">
        <f t="shared" si="31"/>
        <v>-34</v>
      </c>
      <c r="F353" s="11">
        <f t="shared" si="32"/>
        <v>-12.754041809673405</v>
      </c>
      <c r="G353" s="11">
        <f t="shared" si="33"/>
        <v>-12.72197845613792</v>
      </c>
    </row>
    <row r="354" spans="5:7" x14ac:dyDescent="0.25">
      <c r="E354" s="11">
        <f t="shared" si="31"/>
        <v>-33</v>
      </c>
      <c r="F354" s="11">
        <f t="shared" si="32"/>
        <v>-12.406138921077758</v>
      </c>
      <c r="G354" s="11">
        <f t="shared" si="33"/>
        <v>-12.383494366446529</v>
      </c>
    </row>
    <row r="355" spans="5:7" x14ac:dyDescent="0.25">
      <c r="E355" s="11">
        <f t="shared" si="31"/>
        <v>-32</v>
      </c>
      <c r="F355" s="11">
        <f t="shared" si="32"/>
        <v>-12.055190503964225</v>
      </c>
      <c r="G355" s="11">
        <f t="shared" si="33"/>
        <v>-12.042162689791267</v>
      </c>
    </row>
    <row r="356" spans="5:7" x14ac:dyDescent="0.25">
      <c r="E356" s="11">
        <f t="shared" si="31"/>
        <v>-31</v>
      </c>
      <c r="F356" s="11">
        <f t="shared" si="32"/>
        <v>-11.701359077634477</v>
      </c>
      <c r="G356" s="11">
        <f t="shared" si="33"/>
        <v>-11.698047593431511</v>
      </c>
    </row>
    <row r="357" spans="5:7" x14ac:dyDescent="0.25">
      <c r="E357" s="11">
        <f t="shared" si="31"/>
        <v>-30</v>
      </c>
      <c r="F357" s="11">
        <f t="shared" si="32"/>
        <v>-11.344807796303146</v>
      </c>
      <c r="G357" s="11">
        <f t="shared" si="33"/>
        <v>-11.351213244626633</v>
      </c>
    </row>
    <row r="358" spans="5:7" x14ac:dyDescent="0.25">
      <c r="E358" s="11">
        <f t="shared" si="31"/>
        <v>-29</v>
      </c>
      <c r="F358" s="11">
        <f t="shared" si="32"/>
        <v>-10.985699575046123</v>
      </c>
      <c r="G358" s="11">
        <f t="shared" si="33"/>
        <v>-11.001723810636014</v>
      </c>
    </row>
    <row r="359" spans="5:7" x14ac:dyDescent="0.25">
      <c r="E359" s="11">
        <f t="shared" si="31"/>
        <v>-28</v>
      </c>
      <c r="F359" s="11">
        <f t="shared" si="32"/>
        <v>-10.624196218276918</v>
      </c>
      <c r="G359" s="11">
        <f t="shared" si="33"/>
        <v>-10.649643458719021</v>
      </c>
    </row>
    <row r="360" spans="5:7" x14ac:dyDescent="0.25">
      <c r="E360" s="11">
        <f t="shared" si="31"/>
        <v>-27</v>
      </c>
      <c r="F360" s="11">
        <f t="shared" si="32"/>
        <v>-10.260457554287109</v>
      </c>
      <c r="G360" s="11">
        <f t="shared" si="33"/>
        <v>-10.295036356135034</v>
      </c>
    </row>
    <row r="361" spans="5:7" x14ac:dyDescent="0.25">
      <c r="E361" s="11">
        <f t="shared" si="31"/>
        <v>-26</v>
      </c>
      <c r="F361" s="11">
        <f t="shared" si="32"/>
        <v>-9.8946405794985619</v>
      </c>
      <c r="G361" s="11">
        <f t="shared" si="33"/>
        <v>-9.9379666701434299</v>
      </c>
    </row>
    <row r="362" spans="5:7" x14ac:dyDescent="0.25">
      <c r="E362" s="11">
        <f t="shared" si="31"/>
        <v>-25</v>
      </c>
      <c r="F362" s="11">
        <f t="shared" si="32"/>
        <v>-9.5268986161865232</v>
      </c>
      <c r="G362" s="11">
        <f t="shared" si="33"/>
        <v>-9.5784985680035799</v>
      </c>
    </row>
    <row r="363" spans="5:7" x14ac:dyDescent="0.25">
      <c r="E363" s="11">
        <f t="shared" si="31"/>
        <v>-24</v>
      </c>
      <c r="F363" s="11">
        <f t="shared" si="32"/>
        <v>-9.1573804875443514</v>
      </c>
      <c r="G363" s="11">
        <f t="shared" si="33"/>
        <v>-9.2166962169748583</v>
      </c>
    </row>
    <row r="364" spans="5:7" x14ac:dyDescent="0.25">
      <c r="E364" s="11">
        <f t="shared" si="31"/>
        <v>-23</v>
      </c>
      <c r="F364" s="11">
        <f t="shared" si="32"/>
        <v>-8.7862297140720376</v>
      </c>
      <c r="G364" s="11">
        <f t="shared" si="33"/>
        <v>-8.8526237843166431</v>
      </c>
    </row>
    <row r="365" spans="5:7" x14ac:dyDescent="0.25">
      <c r="E365" s="11">
        <f t="shared" si="31"/>
        <v>-22</v>
      </c>
      <c r="F365" s="11">
        <f t="shared" si="32"/>
        <v>-8.4135837353823479</v>
      </c>
      <c r="G365" s="11">
        <f t="shared" si="33"/>
        <v>-8.4863454372883105</v>
      </c>
    </row>
    <row r="366" spans="5:7" x14ac:dyDescent="0.25">
      <c r="E366" s="11">
        <f t="shared" si="31"/>
        <v>-21</v>
      </c>
      <c r="F366" s="11">
        <f t="shared" si="32"/>
        <v>-8.0395731616298463</v>
      </c>
      <c r="G366" s="11">
        <f t="shared" si="33"/>
        <v>-8.1179253431492331</v>
      </c>
    </row>
    <row r="367" spans="5:7" x14ac:dyDescent="0.25">
      <c r="E367" s="11">
        <f t="shared" si="31"/>
        <v>-20</v>
      </c>
      <c r="F367" s="11">
        <f t="shared" si="32"/>
        <v>-7.6643210588796205</v>
      </c>
      <c r="G367" s="11">
        <f t="shared" si="33"/>
        <v>-7.7474276691587853</v>
      </c>
    </row>
    <row r="368" spans="5:7" x14ac:dyDescent="0.25">
      <c r="E368" s="11">
        <f t="shared" si="31"/>
        <v>-19</v>
      </c>
      <c r="F368" s="11">
        <f t="shared" si="32"/>
        <v>-7.2879422728440826</v>
      </c>
      <c r="G368" s="11">
        <f t="shared" si="33"/>
        <v>-7.3749165825763443</v>
      </c>
    </row>
    <row r="369" spans="5:7" x14ac:dyDescent="0.25">
      <c r="E369" s="11">
        <f t="shared" si="31"/>
        <v>-18</v>
      </c>
      <c r="F369" s="11">
        <f t="shared" si="32"/>
        <v>-6.9105427955277614</v>
      </c>
      <c r="G369" s="11">
        <f t="shared" si="33"/>
        <v>-7.0004562506612853</v>
      </c>
    </row>
    <row r="370" spans="5:7" x14ac:dyDescent="0.25">
      <c r="E370" s="11">
        <f t="shared" si="31"/>
        <v>-17</v>
      </c>
      <c r="F370" s="11">
        <f t="shared" si="32"/>
        <v>-6.5322191794314683</v>
      </c>
      <c r="G370" s="11">
        <f t="shared" si="33"/>
        <v>-6.6241108406729818</v>
      </c>
    </row>
    <row r="371" spans="5:7" x14ac:dyDescent="0.25">
      <c r="E371" s="11">
        <f t="shared" si="31"/>
        <v>-16</v>
      </c>
      <c r="F371" s="11">
        <f t="shared" si="32"/>
        <v>-6.1530580040788259</v>
      </c>
      <c r="G371" s="11">
        <f t="shared" si="33"/>
        <v>-6.2459445198708092</v>
      </c>
    </row>
    <row r="372" spans="5:7" x14ac:dyDescent="0.25">
      <c r="E372" s="11">
        <f t="shared" si="31"/>
        <v>-15</v>
      </c>
      <c r="F372" s="11">
        <f t="shared" si="32"/>
        <v>-5.7731353997396715</v>
      </c>
      <c r="G372" s="11">
        <f t="shared" si="33"/>
        <v>-5.8660214555141437</v>
      </c>
    </row>
    <row r="373" spans="5:7" x14ac:dyDescent="0.25">
      <c r="E373" s="11">
        <f t="shared" si="31"/>
        <v>-14</v>
      </c>
      <c r="F373" s="11">
        <f t="shared" si="32"/>
        <v>-5.3925166333363173</v>
      </c>
      <c r="G373" s="11">
        <f t="shared" si="33"/>
        <v>-5.4844058148623596</v>
      </c>
    </row>
    <row r="374" spans="5:7" x14ac:dyDescent="0.25">
      <c r="E374" s="11">
        <f t="shared" si="31"/>
        <v>-13</v>
      </c>
      <c r="F374" s="11">
        <f t="shared" si="32"/>
        <v>-5.0112557616302649</v>
      </c>
      <c r="G374" s="11">
        <f t="shared" si="33"/>
        <v>-5.1011617651748322</v>
      </c>
    </row>
    <row r="375" spans="5:7" x14ac:dyDescent="0.25">
      <c r="E375" s="11">
        <f t="shared" si="31"/>
        <v>-12</v>
      </c>
      <c r="F375" s="11">
        <f t="shared" si="32"/>
        <v>-4.6293953568984563</v>
      </c>
      <c r="G375" s="11">
        <f t="shared" si="33"/>
        <v>-4.7163534737109369</v>
      </c>
    </row>
    <row r="376" spans="5:7" x14ac:dyDescent="0.25">
      <c r="E376" s="11">
        <f t="shared" si="31"/>
        <v>-11</v>
      </c>
      <c r="F376" s="11">
        <f t="shared" si="32"/>
        <v>-4.2469663104196904</v>
      </c>
      <c r="G376" s="11">
        <f t="shared" si="33"/>
        <v>-4.3300451077300472</v>
      </c>
    </row>
    <row r="377" spans="5:7" x14ac:dyDescent="0.25">
      <c r="E377" s="11">
        <f t="shared" si="31"/>
        <v>-10</v>
      </c>
      <c r="F377" s="11">
        <f t="shared" si="32"/>
        <v>-3.8639877192033696</v>
      </c>
      <c r="G377" s="11">
        <f t="shared" si="33"/>
        <v>-3.9423008344915407</v>
      </c>
    </row>
    <row r="378" spans="5:7" x14ac:dyDescent="0.25">
      <c r="E378" s="11">
        <f t="shared" si="31"/>
        <v>-9</v>
      </c>
      <c r="F378" s="11">
        <f t="shared" si="32"/>
        <v>-3.4804668615042509</v>
      </c>
      <c r="G378" s="11">
        <f t="shared" si="33"/>
        <v>-3.5531848212547907</v>
      </c>
    </row>
    <row r="379" spans="5:7" x14ac:dyDescent="0.25">
      <c r="E379" s="11">
        <f t="shared" si="31"/>
        <v>-8</v>
      </c>
      <c r="F379" s="11">
        <f t="shared" si="32"/>
        <v>-3.0963992667784659</v>
      </c>
      <c r="G379" s="11">
        <f t="shared" si="33"/>
        <v>-3.1627612352791727</v>
      </c>
    </row>
    <row r="380" spans="5:7" x14ac:dyDescent="0.25">
      <c r="E380" s="11">
        <f t="shared" si="31"/>
        <v>-7</v>
      </c>
      <c r="F380" s="11">
        <f t="shared" si="32"/>
        <v>-2.7117688858475346</v>
      </c>
      <c r="G380" s="11">
        <f t="shared" si="33"/>
        <v>-2.771094243824062</v>
      </c>
    </row>
    <row r="381" spans="5:7" x14ac:dyDescent="0.25">
      <c r="E381" s="11">
        <f t="shared" si="31"/>
        <v>-6</v>
      </c>
      <c r="F381" s="11">
        <f t="shared" si="32"/>
        <v>-2.3265483671486917</v>
      </c>
      <c r="G381" s="11">
        <f t="shared" si="33"/>
        <v>-2.3782480141488342</v>
      </c>
    </row>
    <row r="382" spans="5:7" x14ac:dyDescent="0.25">
      <c r="E382" s="11">
        <f t="shared" si="31"/>
        <v>-5</v>
      </c>
      <c r="F382" s="11">
        <f t="shared" si="32"/>
        <v>-1.9406994450613368</v>
      </c>
      <c r="G382" s="11">
        <f t="shared" si="33"/>
        <v>-1.9842867135128632</v>
      </c>
    </row>
    <row r="383" spans="5:7" x14ac:dyDescent="0.25">
      <c r="E383" s="11">
        <f t="shared" si="31"/>
        <v>-4</v>
      </c>
      <c r="F383" s="11">
        <f t="shared" si="32"/>
        <v>-1.5541734464109804</v>
      </c>
      <c r="G383" s="11">
        <f t="shared" si="33"/>
        <v>-1.5892745091755252</v>
      </c>
    </row>
    <row r="384" spans="5:7" x14ac:dyDescent="0.25">
      <c r="E384" s="11">
        <f t="shared" si="31"/>
        <v>-3</v>
      </c>
      <c r="F384" s="11">
        <f t="shared" si="32"/>
        <v>-1.1669119213635712</v>
      </c>
      <c r="G384" s="11">
        <f t="shared" si="33"/>
        <v>-1.1932755683961946</v>
      </c>
    </row>
    <row r="385" spans="5:7" x14ac:dyDescent="0.25">
      <c r="E385" s="11">
        <f t="shared" si="31"/>
        <v>-2</v>
      </c>
      <c r="F385" s="11">
        <f t="shared" si="32"/>
        <v>-0.77884740503463956</v>
      </c>
      <c r="G385" s="11">
        <f t="shared" si="33"/>
        <v>-0.79635405843424689</v>
      </c>
    </row>
    <row r="386" spans="5:7" x14ac:dyDescent="0.25">
      <c r="E386" s="11">
        <f t="shared" si="31"/>
        <v>-1</v>
      </c>
      <c r="F386" s="11">
        <f t="shared" si="32"/>
        <v>-0.38990431624921362</v>
      </c>
      <c r="G386" s="11">
        <f t="shared" si="33"/>
        <v>-0.39857414654905698</v>
      </c>
    </row>
    <row r="387" spans="5:7" x14ac:dyDescent="0.25">
      <c r="E387" s="11">
        <f t="shared" si="31"/>
        <v>0</v>
      </c>
      <c r="F387" s="11">
        <f t="shared" si="32"/>
        <v>0</v>
      </c>
      <c r="G387" s="11">
        <f t="shared" si="33"/>
        <v>-5.5511151231257827E-17</v>
      </c>
    </row>
    <row r="388" spans="5:7" x14ac:dyDescent="0.25">
      <c r="E388" s="11">
        <f t="shared" si="31"/>
        <v>1</v>
      </c>
      <c r="F388" s="11">
        <f t="shared" si="32"/>
        <v>0.39095407973713803</v>
      </c>
      <c r="G388" s="11">
        <f t="shared" si="33"/>
        <v>0.39931143198532804</v>
      </c>
    </row>
    <row r="389" spans="5:7" x14ac:dyDescent="0.25">
      <c r="E389" s="11">
        <f t="shared" si="31"/>
        <v>2</v>
      </c>
      <c r="F389" s="11">
        <f t="shared" si="32"/>
        <v>0.78305099005984935</v>
      </c>
      <c r="G389" s="11">
        <f t="shared" si="33"/>
        <v>0.79933207230644832</v>
      </c>
    </row>
    <row r="390" spans="5:7" x14ac:dyDescent="0.25">
      <c r="E390" s="11">
        <f t="shared" si="31"/>
        <v>3</v>
      </c>
      <c r="F390" s="11">
        <f t="shared" si="32"/>
        <v>1.1763868151860148</v>
      </c>
      <c r="G390" s="11">
        <f t="shared" si="33"/>
        <v>1.2000410618946611</v>
      </c>
    </row>
    <row r="391" spans="5:7" x14ac:dyDescent="0.25">
      <c r="E391" s="11">
        <f t="shared" si="31"/>
        <v>4</v>
      </c>
      <c r="F391" s="11">
        <f t="shared" si="32"/>
        <v>1.571058971496891</v>
      </c>
      <c r="G391" s="11">
        <f t="shared" si="33"/>
        <v>1.6014175416812662</v>
      </c>
    </row>
    <row r="392" spans="5:7" x14ac:dyDescent="0.25">
      <c r="E392" s="11">
        <f t="shared" si="31"/>
        <v>5</v>
      </c>
      <c r="F392" s="11">
        <f t="shared" si="32"/>
        <v>1.967164344471519</v>
      </c>
      <c r="G392" s="11">
        <f t="shared" si="33"/>
        <v>2.0034406525975643</v>
      </c>
    </row>
    <row r="393" spans="5:7" x14ac:dyDescent="0.25">
      <c r="E393" s="11">
        <f t="shared" si="31"/>
        <v>6</v>
      </c>
      <c r="F393" s="11">
        <f t="shared" si="32"/>
        <v>2.3647972402957027</v>
      </c>
      <c r="G393" s="11">
        <f t="shared" si="33"/>
        <v>2.4060895355748557</v>
      </c>
    </row>
    <row r="394" spans="5:7" x14ac:dyDescent="0.25">
      <c r="E394" s="11">
        <f t="shared" si="31"/>
        <v>7</v>
      </c>
      <c r="F394" s="11">
        <f t="shared" si="32"/>
        <v>2.7640471448173307</v>
      </c>
      <c r="G394" s="11">
        <f t="shared" si="33"/>
        <v>2.80934333154444</v>
      </c>
    </row>
    <row r="395" spans="5:7" x14ac:dyDescent="0.25">
      <c r="E395" s="11">
        <f t="shared" si="31"/>
        <v>8</v>
      </c>
      <c r="F395" s="11">
        <f t="shared" si="32"/>
        <v>3.164996282408282</v>
      </c>
      <c r="G395" s="11">
        <f t="shared" si="33"/>
        <v>3.2131811814376183</v>
      </c>
    </row>
    <row r="396" spans="5:7" x14ac:dyDescent="0.25">
      <c r="E396" s="11">
        <f t="shared" si="31"/>
        <v>9</v>
      </c>
      <c r="F396" s="11">
        <f t="shared" si="32"/>
        <v>3.5677169671816227</v>
      </c>
      <c r="G396" s="11">
        <f t="shared" si="33"/>
        <v>3.6175822261856903</v>
      </c>
    </row>
    <row r="397" spans="5:7" x14ac:dyDescent="0.25">
      <c r="E397" s="11">
        <f t="shared" si="31"/>
        <v>10</v>
      </c>
      <c r="F397" s="11">
        <f t="shared" si="32"/>
        <v>3.9722687389012599</v>
      </c>
      <c r="G397" s="11">
        <f t="shared" si="33"/>
        <v>4.022525606719956</v>
      </c>
    </row>
    <row r="398" spans="5:7" x14ac:dyDescent="0.25">
      <c r="E398" s="11">
        <f t="shared" si="31"/>
        <v>11</v>
      </c>
      <c r="F398" s="11">
        <f t="shared" si="32"/>
        <v>4.378695275809708</v>
      </c>
      <c r="G398" s="11">
        <f t="shared" si="33"/>
        <v>4.4279904639717165</v>
      </c>
    </row>
    <row r="399" spans="5:7" x14ac:dyDescent="0.25">
      <c r="E399" s="11">
        <f t="shared" si="31"/>
        <v>12</v>
      </c>
      <c r="F399" s="11">
        <f t="shared" si="32"/>
        <v>4.7870210764880579</v>
      </c>
      <c r="G399" s="11">
        <f t="shared" si="33"/>
        <v>4.833955938872271</v>
      </c>
    </row>
    <row r="400" spans="5:7" x14ac:dyDescent="0.25">
      <c r="E400" s="11">
        <f t="shared" si="31"/>
        <v>13</v>
      </c>
      <c r="F400" s="11">
        <f t="shared" si="32"/>
        <v>5.1972479027507266</v>
      </c>
      <c r="G400" s="11">
        <f t="shared" si="33"/>
        <v>5.2404011723529198</v>
      </c>
    </row>
    <row r="401" spans="5:7" x14ac:dyDescent="0.25">
      <c r="E401" s="11">
        <f t="shared" si="31"/>
        <v>14</v>
      </c>
      <c r="F401" s="11">
        <f t="shared" si="32"/>
        <v>5.6093509754660449</v>
      </c>
      <c r="G401" s="11">
        <f t="shared" si="33"/>
        <v>5.6473053053449647</v>
      </c>
    </row>
    <row r="402" spans="5:7" x14ac:dyDescent="0.25">
      <c r="E402" s="11">
        <f t="shared" si="31"/>
        <v>15</v>
      </c>
      <c r="F402" s="11">
        <f t="shared" si="32"/>
        <v>6.0232749150821521</v>
      </c>
      <c r="G402" s="11">
        <f t="shared" si="33"/>
        <v>6.0546474787797049</v>
      </c>
    </row>
    <row r="403" spans="5:7" x14ac:dyDescent="0.25">
      <c r="E403" s="11">
        <f t="shared" si="31"/>
        <v>16</v>
      </c>
      <c r="F403" s="11">
        <f t="shared" si="32"/>
        <v>6.4389294185262109</v>
      </c>
      <c r="G403" s="11">
        <f t="shared" si="33"/>
        <v>6.4624068335884388</v>
      </c>
    </row>
    <row r="404" spans="5:7" x14ac:dyDescent="0.25">
      <c r="E404" s="11">
        <f t="shared" si="31"/>
        <v>17</v>
      </c>
      <c r="F404" s="11">
        <f t="shared" si="32"/>
        <v>6.8561846640333641</v>
      </c>
      <c r="G404" s="11">
        <f t="shared" si="33"/>
        <v>6.8705625107024693</v>
      </c>
    </row>
    <row r="405" spans="5:7" x14ac:dyDescent="0.25">
      <c r="E405" s="11">
        <f t="shared" si="31"/>
        <v>18</v>
      </c>
      <c r="F405" s="11">
        <f t="shared" si="32"/>
        <v>7.2748664353503321</v>
      </c>
      <c r="G405" s="11">
        <f t="shared" si="33"/>
        <v>7.2790936510530955</v>
      </c>
    </row>
    <row r="406" spans="5:7" x14ac:dyDescent="0.25">
      <c r="E406" s="11">
        <f t="shared" si="31"/>
        <v>19</v>
      </c>
      <c r="F406" s="11">
        <f t="shared" si="32"/>
        <v>7.6947509566470487</v>
      </c>
      <c r="G406" s="11">
        <f t="shared" si="33"/>
        <v>7.6879793955716185</v>
      </c>
    </row>
    <row r="407" spans="5:7" x14ac:dyDescent="0.25">
      <c r="E407" s="11">
        <f t="shared" si="31"/>
        <v>20</v>
      </c>
      <c r="F407" s="11">
        <f t="shared" si="32"/>
        <v>8.1155594293581466</v>
      </c>
      <c r="G407" s="11">
        <f t="shared" si="33"/>
        <v>8.0971988851893375</v>
      </c>
    </row>
    <row r="408" spans="5:7" x14ac:dyDescent="0.25">
      <c r="E408" s="11">
        <f t="shared" si="31"/>
        <v>21</v>
      </c>
      <c r="F408" s="11">
        <f t="shared" si="32"/>
        <v>8.5369522620646272</v>
      </c>
      <c r="G408" s="11">
        <f t="shared" si="33"/>
        <v>8.5067312608375509</v>
      </c>
    </row>
    <row r="409" spans="5:7" x14ac:dyDescent="0.25">
      <c r="E409" s="11">
        <f t="shared" si="31"/>
        <v>22</v>
      </c>
      <c r="F409" s="11">
        <f t="shared" si="32"/>
        <v>8.9585229844144703</v>
      </c>
      <c r="G409" s="11">
        <f t="shared" si="33"/>
        <v>8.9165556634475642</v>
      </c>
    </row>
    <row r="410" spans="5:7" x14ac:dyDescent="0.25">
      <c r="E410" s="11">
        <f t="shared" si="31"/>
        <v>23</v>
      </c>
      <c r="F410" s="11">
        <f t="shared" si="32"/>
        <v>9.3797918359694119</v>
      </c>
      <c r="G410" s="11">
        <f t="shared" si="33"/>
        <v>9.326651233950674</v>
      </c>
    </row>
    <row r="411" spans="5:7" x14ac:dyDescent="0.25">
      <c r="E411" s="11">
        <f t="shared" si="31"/>
        <v>24</v>
      </c>
      <c r="F411" s="11">
        <f t="shared" si="32"/>
        <v>9.8001990207536629</v>
      </c>
      <c r="G411" s="11">
        <f t="shared" si="33"/>
        <v>9.7369971132781803</v>
      </c>
    </row>
    <row r="412" spans="5:7" x14ac:dyDescent="0.25">
      <c r="E412" s="11">
        <f t="shared" si="31"/>
        <v>25</v>
      </c>
      <c r="F412" s="11">
        <f t="shared" si="32"/>
        <v>10.219097618168645</v>
      </c>
      <c r="G412" s="11">
        <f t="shared" si="33"/>
        <v>10.147572442361383</v>
      </c>
    </row>
    <row r="413" spans="5:7" x14ac:dyDescent="0.25">
      <c r="E413" s="11">
        <f t="shared" si="31"/>
        <v>26</v>
      </c>
      <c r="F413" s="11">
        <f t="shared" si="32"/>
        <v>10.635746140826443</v>
      </c>
      <c r="G413" s="11">
        <f t="shared" si="33"/>
        <v>10.558356362131583</v>
      </c>
    </row>
    <row r="414" spans="5:7" x14ac:dyDescent="0.25">
      <c r="E414" s="11">
        <f t="shared" si="31"/>
        <v>27</v>
      </c>
      <c r="F414" s="11">
        <f t="shared" si="32"/>
        <v>11.049300729743107</v>
      </c>
      <c r="G414" s="11">
        <f t="shared" si="33"/>
        <v>10.969328013520085</v>
      </c>
    </row>
    <row r="415" spans="5:7" x14ac:dyDescent="0.25">
      <c r="E415" s="11">
        <f t="shared" ref="E415:E422" si="34">E208</f>
        <v>28</v>
      </c>
      <c r="F415" s="11">
        <f t="shared" ref="F415:F422" si="35">$H$217*0+E415*$I$217+E415^2*$J$217+E415^3*$K$217+E415^4*$L$217+E415^5*$M$217+E415^6*$N$217+E415^7*$O$217+E415^8*$P$217</f>
        <v>11.458806977221304</v>
      </c>
      <c r="G415" s="11">
        <f t="shared" ref="G415:G422" si="36">F208</f>
        <v>11.380466537458181</v>
      </c>
    </row>
    <row r="416" spans="5:7" x14ac:dyDescent="0.25">
      <c r="E416" s="11">
        <f t="shared" si="34"/>
        <v>29</v>
      </c>
      <c r="F416" s="11">
        <f t="shared" si="35"/>
        <v>11.8631913676404</v>
      </c>
      <c r="G416" s="11">
        <f t="shared" si="36"/>
        <v>11.791751074877178</v>
      </c>
    </row>
    <row r="417" spans="5:7" x14ac:dyDescent="0.25">
      <c r="E417" s="11">
        <f t="shared" si="34"/>
        <v>30</v>
      </c>
      <c r="F417" s="11">
        <f t="shared" si="35"/>
        <v>12.26125232626053</v>
      </c>
      <c r="G417" s="11">
        <f t="shared" si="36"/>
        <v>12.203160766708374</v>
      </c>
    </row>
    <row r="418" spans="5:7" x14ac:dyDescent="0.25">
      <c r="E418" s="11">
        <f t="shared" si="34"/>
        <v>31</v>
      </c>
      <c r="F418" s="11">
        <f t="shared" si="35"/>
        <v>12.651650866035501</v>
      </c>
      <c r="G418" s="11">
        <f t="shared" si="36"/>
        <v>12.614674753883065</v>
      </c>
    </row>
    <row r="419" spans="5:7" x14ac:dyDescent="0.25">
      <c r="E419" s="11">
        <f t="shared" si="34"/>
        <v>32</v>
      </c>
      <c r="F419" s="11">
        <f t="shared" si="35"/>
        <v>13.03290082231811</v>
      </c>
      <c r="G419" s="11">
        <f t="shared" si="36"/>
        <v>13.026272177332558</v>
      </c>
    </row>
    <row r="420" spans="5:7" x14ac:dyDescent="0.25">
      <c r="E420" s="11">
        <f t="shared" si="34"/>
        <v>33</v>
      </c>
      <c r="F420" s="11">
        <f t="shared" si="35"/>
        <v>13.4033586652297</v>
      </c>
      <c r="G420" s="11">
        <f t="shared" si="36"/>
        <v>13.437932177988149</v>
      </c>
    </row>
    <row r="421" spans="5:7" x14ac:dyDescent="0.25">
      <c r="E421" s="11">
        <f t="shared" si="34"/>
        <v>34</v>
      </c>
      <c r="F421" s="11">
        <f t="shared" si="35"/>
        <v>13.761212879354334</v>
      </c>
      <c r="G421" s="11">
        <f t="shared" si="36"/>
        <v>13.849633896781141</v>
      </c>
    </row>
    <row r="422" spans="5:7" x14ac:dyDescent="0.25">
      <c r="E422" s="11">
        <f t="shared" si="34"/>
        <v>35</v>
      </c>
      <c r="F422" s="11">
        <f t="shared" si="35"/>
        <v>14.104472900306472</v>
      </c>
      <c r="G422" s="11">
        <f t="shared" si="36"/>
        <v>14.261356474642833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2022-01-07T07:30:59Z</dcterms:modified>
</cp:coreProperties>
</file>