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Universal Mastercurve" sheetId="52" r:id="rId7"/>
    <sheet name="Shiftfunktion bestimmen" sheetId="44" r:id="rId8"/>
    <sheet name="creep_res-40" sheetId="2" r:id="rId9"/>
    <sheet name="creep_res0" sheetId="34" r:id="rId10"/>
    <sheet name="creep_res25" sheetId="4" r:id="rId11"/>
    <sheet name="creep_res50" sheetId="5" r:id="rId12"/>
    <sheet name="creep_res80" sheetId="11" r:id="rId13"/>
    <sheet name="creep_res125" sheetId="36" r:id="rId14"/>
    <sheet name="creep_res160" sheetId="35" r:id="rId15"/>
  </sheets>
  <definedNames>
    <definedName name="creep_res_25" localSheetId="8">'creep_res-40'!$A$1:$J$33</definedName>
    <definedName name="creep_res110" localSheetId="14">creep_res160!$A$1:$J$33</definedName>
    <definedName name="creep_res120" localSheetId="13">creep_res125!$A$1:$J$33</definedName>
    <definedName name="creep_res50" localSheetId="9">creep_res0!$A$1:$J$33</definedName>
    <definedName name="creep_res75_1" localSheetId="10">creep_res25!$A$1:$J$33</definedName>
    <definedName name="creep_res80" localSheetId="11">creep_res50!$A$1:$J$33</definedName>
    <definedName name="CTE_res100" localSheetId="2">CTE!$A$1:$J$14</definedName>
    <definedName name="res_z80" localSheetId="12">creep_res80!$A$1:$J$33</definedName>
    <definedName name="solver_adj" localSheetId="5" hidden="1">'Mastercurve bestimmen'!$B$126:$H$126</definedName>
    <definedName name="solver_adj" localSheetId="6" hidden="1">'Universal Mastercurve'!$B$110:$B$141</definedName>
    <definedName name="solver_cvg" localSheetId="5" hidden="1">0.000000000000001</definedName>
    <definedName name="solver_cvg" localSheetId="6" hidden="1">"""""""""""""""""""""""""""""""0,0001"""""""""""""""""""""""""""""""</definedName>
    <definedName name="solver_drv" localSheetId="5" hidden="1">1</definedName>
    <definedName name="solver_drv" localSheetId="6" hidden="1">2</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'Mastercurve bestimmen'!$C$18:$C$48</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0.000000000000001</definedName>
    <definedName name="solver_mrt" localSheetId="6" hidden="1">"""""""""""""""""""""""""""""""0,075"""""""""""""""""""""""""""""""</definedName>
    <definedName name="solver_msl" localSheetId="5" hidden="1">2</definedName>
    <definedName name="solver_msl" localSheetId="6" hidden="1">2</definedName>
    <definedName name="solver_neg" localSheetId="5" hidden="1">2</definedName>
    <definedName name="solver_neg" localSheetId="6" hidden="1">1</definedName>
    <definedName name="solver_nod" localSheetId="5" hidden="1">2147483647</definedName>
    <definedName name="solver_nod" localSheetId="6" hidden="1">2147483647</definedName>
    <definedName name="solver_num" localSheetId="5" hidden="1">0</definedName>
    <definedName name="solver_num" localSheetId="6" hidden="1">0</definedName>
    <definedName name="solver_nwt" localSheetId="5" hidden="1">1</definedName>
    <definedName name="solver_nwt" localSheetId="6" hidden="1">1</definedName>
    <definedName name="solver_opt" localSheetId="5" hidden="1">'Mastercurve bestimmen'!$A$121</definedName>
    <definedName name="solver_opt" localSheetId="6" hidden="1">'Universal Mastercurve'!$G$146</definedName>
    <definedName name="solver_pre" localSheetId="5" hidden="1">0.000000000000001</definedName>
    <definedName name="solver_pre" localSheetId="6" hidden="1">"""""""""""""""""""""""""""""""0,000001"""""""""""""""""""""""""""""""</definedName>
    <definedName name="solver_rbv" localSheetId="5" hidden="1">2</definedName>
    <definedName name="solver_rbv" localSheetId="6" hidden="1">2</definedName>
    <definedName name="solver_rel1" localSheetId="5" hidden="1">3</definedName>
    <definedName name="solver_rhs1" localSheetId="5" hidden="1">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2</definedName>
    <definedName name="solver_scl" localSheetId="6" hidden="1">2</definedName>
    <definedName name="solver_sho" localSheetId="5" hidden="1">2</definedName>
    <definedName name="solver_sho" localSheetId="6" hidden="1">2</definedName>
    <definedName name="solver_ssz" localSheetId="5" hidden="1">0</definedName>
    <definedName name="solver_ssz" localSheetId="6" hidden="1">100</definedName>
    <definedName name="solver_tim" localSheetId="5" hidden="1">2147483647</definedName>
    <definedName name="solver_tim" localSheetId="6" hidden="1">2147483647</definedName>
    <definedName name="solver_tol" localSheetId="5" hidden="1">1</definedName>
    <definedName name="solver_tol" localSheetId="6" hidden="1">1</definedName>
    <definedName name="solver_typ" localSheetId="5" hidden="1">2</definedName>
    <definedName name="solver_typ" localSheetId="6" hidden="1">2</definedName>
    <definedName name="solver_val" localSheetId="5" hidden="1">0</definedName>
    <definedName name="solver_val" localSheetId="6" hidden="1">0</definedName>
    <definedName name="solver_ver" localSheetId="5" hidden="1">3</definedName>
    <definedName name="solver_ver" localSheetId="6" hidden="1">3</definedName>
    <definedName name="STUTT" localSheetId="3">STUTT!$A$1:$D$10</definedName>
  </definedNames>
  <calcPr calcId="152511"/>
</workbook>
</file>

<file path=xl/calcChain.xml><?xml version="1.0" encoding="utf-8"?>
<calcChain xmlns="http://schemas.openxmlformats.org/spreadsheetml/2006/main">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144" i="52" l="1"/>
  <c r="G108" i="52"/>
  <c r="H108" i="52"/>
  <c r="I108" i="52"/>
  <c r="J108" i="52"/>
  <c r="K108" i="52"/>
  <c r="L108" i="52"/>
  <c r="M108" i="52"/>
  <c r="N108" i="52"/>
  <c r="O108" i="52"/>
  <c r="P108" i="52"/>
  <c r="Q108" i="52"/>
  <c r="R108" i="52"/>
  <c r="S108" i="52"/>
  <c r="T108" i="52"/>
  <c r="U108" i="52"/>
  <c r="V108" i="52"/>
  <c r="W108" i="52"/>
  <c r="X108" i="52"/>
  <c r="Y108" i="52"/>
  <c r="Z108" i="52"/>
  <c r="AA108" i="52"/>
  <c r="AB108" i="52"/>
  <c r="AC108" i="52"/>
  <c r="AD108" i="52"/>
  <c r="AE108" i="52"/>
  <c r="AF108" i="52"/>
  <c r="AG108" i="52"/>
  <c r="AH108" i="52"/>
  <c r="AI108" i="52"/>
  <c r="AJ108" i="52"/>
  <c r="F108" i="52"/>
  <c r="A132" i="52"/>
  <c r="A133" i="52" s="1"/>
  <c r="A111" i="52"/>
  <c r="A73" i="52"/>
  <c r="A74" i="52"/>
  <c r="A75" i="52"/>
  <c r="A76" i="52"/>
  <c r="A77" i="52"/>
  <c r="A78" i="52"/>
  <c r="A79" i="52"/>
  <c r="A80" i="52"/>
  <c r="A81" i="52"/>
  <c r="A82" i="52"/>
  <c r="A83" i="52"/>
  <c r="A84" i="52"/>
  <c r="A85" i="52"/>
  <c r="A86" i="52"/>
  <c r="A87" i="52"/>
  <c r="A88" i="52"/>
  <c r="A89" i="52"/>
  <c r="A90" i="52"/>
  <c r="A91" i="52"/>
  <c r="A92" i="52"/>
  <c r="A93" i="52"/>
  <c r="A94" i="52"/>
  <c r="A95" i="52"/>
  <c r="A96" i="52"/>
  <c r="A97" i="52"/>
  <c r="A98" i="52"/>
  <c r="A99" i="52"/>
  <c r="A100" i="52"/>
  <c r="A101" i="52"/>
  <c r="A102" i="52"/>
  <c r="A72" i="52"/>
  <c r="B142" i="52" l="1"/>
  <c r="C140" i="52" s="1"/>
  <c r="Z140" i="52" s="1"/>
  <c r="A134" i="52"/>
  <c r="A39" i="52"/>
  <c r="A40" i="52"/>
  <c r="A41" i="52" s="1"/>
  <c r="A42" i="52" s="1"/>
  <c r="A43" i="52" s="1"/>
  <c r="A44" i="52" s="1"/>
  <c r="A45" i="52" s="1"/>
  <c r="A46" i="52" s="1"/>
  <c r="A47" i="52" s="1"/>
  <c r="A48" i="52" s="1"/>
  <c r="A49" i="52" s="1"/>
  <c r="A50" i="52" s="1"/>
  <c r="A51" i="52" s="1"/>
  <c r="A52" i="52" s="1"/>
  <c r="A53" i="52" s="1"/>
  <c r="A54" i="52" s="1"/>
  <c r="A55" i="52" s="1"/>
  <c r="A56" i="52" s="1"/>
  <c r="A57" i="52" s="1"/>
  <c r="A58" i="52" s="1"/>
  <c r="A59" i="52" s="1"/>
  <c r="A60" i="52" s="1"/>
  <c r="A61" i="52" s="1"/>
  <c r="A62" i="52" s="1"/>
  <c r="A63" i="52" s="1"/>
  <c r="A64" i="52" s="1"/>
  <c r="A65" i="52" s="1"/>
  <c r="A66" i="52" s="1"/>
  <c r="A67" i="52" s="1"/>
  <c r="A38" i="52"/>
  <c r="A37" i="52"/>
  <c r="B436" i="43"/>
  <c r="C1" i="52"/>
  <c r="I441" i="43"/>
  <c r="I7" i="52" s="1"/>
  <c r="I449" i="43"/>
  <c r="I15" i="52" s="1"/>
  <c r="I453" i="43"/>
  <c r="I19" i="52" s="1"/>
  <c r="I457" i="43"/>
  <c r="I23" i="52" s="1"/>
  <c r="B459" i="43"/>
  <c r="B25" i="52" s="1"/>
  <c r="C459" i="43"/>
  <c r="C25" i="52" s="1"/>
  <c r="D459" i="43"/>
  <c r="D25" i="52" s="1"/>
  <c r="E459" i="43"/>
  <c r="E25" i="52" s="1"/>
  <c r="H459" i="43"/>
  <c r="H25" i="52" s="1"/>
  <c r="I459" i="43"/>
  <c r="I25" i="52" s="1"/>
  <c r="J459" i="43"/>
  <c r="J25" i="52" s="1"/>
  <c r="K459" i="43"/>
  <c r="K25" i="52" s="1"/>
  <c r="N459" i="43"/>
  <c r="N25" i="52" s="1"/>
  <c r="O459" i="43"/>
  <c r="O25" i="52" s="1"/>
  <c r="P459" i="43"/>
  <c r="P25" i="52" s="1"/>
  <c r="B460" i="43"/>
  <c r="B26" i="52" s="1"/>
  <c r="E460" i="43"/>
  <c r="E26" i="52" s="1"/>
  <c r="F460" i="43"/>
  <c r="F26" i="52" s="1"/>
  <c r="G460" i="43"/>
  <c r="G26" i="52" s="1"/>
  <c r="H460" i="43"/>
  <c r="H26" i="52" s="1"/>
  <c r="K460" i="43"/>
  <c r="K26" i="52" s="1"/>
  <c r="L460" i="43"/>
  <c r="L26" i="52" s="1"/>
  <c r="M460" i="43"/>
  <c r="M26" i="52" s="1"/>
  <c r="N460" i="43"/>
  <c r="N26" i="52" s="1"/>
  <c r="B461" i="43"/>
  <c r="B27" i="52" s="1"/>
  <c r="C461" i="43"/>
  <c r="C27" i="52" s="1"/>
  <c r="D461" i="43"/>
  <c r="D27" i="52" s="1"/>
  <c r="E461" i="43"/>
  <c r="E27" i="52" s="1"/>
  <c r="H461" i="43"/>
  <c r="H27" i="52" s="1"/>
  <c r="I461" i="43"/>
  <c r="I27" i="52" s="1"/>
  <c r="J461" i="43"/>
  <c r="J27" i="52" s="1"/>
  <c r="K461" i="43"/>
  <c r="K27" i="52" s="1"/>
  <c r="N461" i="43"/>
  <c r="N27" i="52" s="1"/>
  <c r="O461" i="43"/>
  <c r="O27" i="52" s="1"/>
  <c r="P461" i="43"/>
  <c r="P27" i="52" s="1"/>
  <c r="B462" i="43"/>
  <c r="B28" i="52" s="1"/>
  <c r="E462" i="43"/>
  <c r="E28" i="52" s="1"/>
  <c r="F462" i="43"/>
  <c r="F28" i="52" s="1"/>
  <c r="G462" i="43"/>
  <c r="G28" i="52" s="1"/>
  <c r="H462" i="43"/>
  <c r="H28" i="52" s="1"/>
  <c r="K462" i="43"/>
  <c r="K28" i="52" s="1"/>
  <c r="L462" i="43"/>
  <c r="L28" i="52" s="1"/>
  <c r="M462" i="43"/>
  <c r="M28" i="52" s="1"/>
  <c r="N462" i="43"/>
  <c r="N28" i="52" s="1"/>
  <c r="B463" i="43"/>
  <c r="B29" i="52" s="1"/>
  <c r="C463" i="43"/>
  <c r="C29" i="52" s="1"/>
  <c r="D463" i="43"/>
  <c r="D29" i="52" s="1"/>
  <c r="E463" i="43"/>
  <c r="E29" i="52" s="1"/>
  <c r="H463" i="43"/>
  <c r="H29" i="52" s="1"/>
  <c r="I463" i="43"/>
  <c r="I29" i="52" s="1"/>
  <c r="J463" i="43"/>
  <c r="J29" i="52" s="1"/>
  <c r="K463" i="43"/>
  <c r="K29" i="52" s="1"/>
  <c r="N463" i="43"/>
  <c r="N29" i="52" s="1"/>
  <c r="O463" i="43"/>
  <c r="O29" i="52" s="1"/>
  <c r="P463" i="43"/>
  <c r="P29" i="52" s="1"/>
  <c r="B464" i="43"/>
  <c r="B30" i="52" s="1"/>
  <c r="E464" i="43"/>
  <c r="E30" i="52" s="1"/>
  <c r="F464" i="43"/>
  <c r="F30" i="52" s="1"/>
  <c r="G464" i="43"/>
  <c r="G30" i="52" s="1"/>
  <c r="H464" i="43"/>
  <c r="H30" i="52" s="1"/>
  <c r="K464" i="43"/>
  <c r="K30" i="52" s="1"/>
  <c r="L464" i="43"/>
  <c r="L30" i="52" s="1"/>
  <c r="M464" i="43"/>
  <c r="M30" i="52" s="1"/>
  <c r="N464" i="43"/>
  <c r="N30" i="52" s="1"/>
  <c r="B465" i="43"/>
  <c r="B31" i="52" s="1"/>
  <c r="C465" i="43"/>
  <c r="C31" i="52" s="1"/>
  <c r="D465" i="43"/>
  <c r="D31" i="52" s="1"/>
  <c r="E465" i="43"/>
  <c r="E31" i="52" s="1"/>
  <c r="H465" i="43"/>
  <c r="H31" i="52" s="1"/>
  <c r="I465" i="43"/>
  <c r="I31" i="52" s="1"/>
  <c r="J465" i="43"/>
  <c r="J31" i="52" s="1"/>
  <c r="K465" i="43"/>
  <c r="K31" i="52" s="1"/>
  <c r="N465" i="43"/>
  <c r="N31" i="52" s="1"/>
  <c r="O465" i="43"/>
  <c r="O31" i="52" s="1"/>
  <c r="P465" i="43"/>
  <c r="P31" i="52" s="1"/>
  <c r="B466" i="43"/>
  <c r="B32" i="52" s="1"/>
  <c r="E466" i="43"/>
  <c r="E32" i="52" s="1"/>
  <c r="F466" i="43"/>
  <c r="F32" i="52" s="1"/>
  <c r="G466" i="43"/>
  <c r="G32" i="52" s="1"/>
  <c r="H466" i="43"/>
  <c r="H32" i="52" s="1"/>
  <c r="K466" i="43"/>
  <c r="K32" i="52" s="1"/>
  <c r="L466" i="43"/>
  <c r="L32" i="52" s="1"/>
  <c r="M466" i="43"/>
  <c r="M32" i="52" s="1"/>
  <c r="N466" i="43"/>
  <c r="N32" i="52" s="1"/>
  <c r="B467" i="43"/>
  <c r="B33" i="52" s="1"/>
  <c r="C467" i="43"/>
  <c r="C33" i="52" s="1"/>
  <c r="D467" i="43"/>
  <c r="D33" i="52" s="1"/>
  <c r="E467" i="43"/>
  <c r="E33" i="52" s="1"/>
  <c r="H467" i="43"/>
  <c r="H33" i="52" s="1"/>
  <c r="I467" i="43"/>
  <c r="I33" i="52" s="1"/>
  <c r="J467" i="43"/>
  <c r="J33" i="52" s="1"/>
  <c r="K467" i="43"/>
  <c r="K33" i="52" s="1"/>
  <c r="N467" i="43"/>
  <c r="N33" i="52" s="1"/>
  <c r="O467" i="43"/>
  <c r="O33" i="52" s="1"/>
  <c r="P467" i="43"/>
  <c r="P33" i="52" s="1"/>
  <c r="B468" i="43"/>
  <c r="B34" i="52" s="1"/>
  <c r="E468" i="43"/>
  <c r="E34" i="52" s="1"/>
  <c r="F468" i="43"/>
  <c r="F34" i="52" s="1"/>
  <c r="G468" i="43"/>
  <c r="G34" i="52" s="1"/>
  <c r="H468" i="43"/>
  <c r="H34" i="52" s="1"/>
  <c r="K468" i="43"/>
  <c r="K34" i="52" s="1"/>
  <c r="L468" i="43"/>
  <c r="L34" i="52" s="1"/>
  <c r="M468" i="43"/>
  <c r="M34" i="52" s="1"/>
  <c r="N468" i="43"/>
  <c r="N34" i="52" s="1"/>
  <c r="A439" i="43"/>
  <c r="A5" i="52" s="1"/>
  <c r="A440" i="43"/>
  <c r="A6" i="52" s="1"/>
  <c r="A441" i="43"/>
  <c r="A7" i="52" s="1"/>
  <c r="A442" i="43"/>
  <c r="A8" i="52" s="1"/>
  <c r="A443" i="43"/>
  <c r="A9" i="52" s="1"/>
  <c r="A444" i="43"/>
  <c r="A10" i="52" s="1"/>
  <c r="A445" i="43"/>
  <c r="A11" i="52" s="1"/>
  <c r="A446" i="43"/>
  <c r="A12" i="52" s="1"/>
  <c r="A447" i="43"/>
  <c r="A13" i="52" s="1"/>
  <c r="A448" i="43"/>
  <c r="A14" i="52" s="1"/>
  <c r="A449" i="43"/>
  <c r="A15" i="52" s="1"/>
  <c r="A450" i="43"/>
  <c r="A16" i="52" s="1"/>
  <c r="A451" i="43"/>
  <c r="A17" i="52" s="1"/>
  <c r="A452" i="43"/>
  <c r="A18" i="52" s="1"/>
  <c r="A453" i="43"/>
  <c r="A19" i="52" s="1"/>
  <c r="A454" i="43"/>
  <c r="A20" i="52" s="1"/>
  <c r="A455" i="43"/>
  <c r="A21" i="52" s="1"/>
  <c r="A456" i="43"/>
  <c r="A22" i="52" s="1"/>
  <c r="A457" i="43"/>
  <c r="A23" i="52" s="1"/>
  <c r="A458" i="43"/>
  <c r="A24" i="52" s="1"/>
  <c r="A459" i="43"/>
  <c r="A25" i="52" s="1"/>
  <c r="A460" i="43"/>
  <c r="A26" i="52" s="1"/>
  <c r="A461" i="43"/>
  <c r="A27" i="52" s="1"/>
  <c r="A462" i="43"/>
  <c r="A28" i="52" s="1"/>
  <c r="A463" i="43"/>
  <c r="A29" i="52" s="1"/>
  <c r="A464" i="43"/>
  <c r="A30" i="52" s="1"/>
  <c r="A465" i="43"/>
  <c r="A31" i="52" s="1"/>
  <c r="A466" i="43"/>
  <c r="A32" i="52" s="1"/>
  <c r="A467" i="43"/>
  <c r="A33" i="52" s="1"/>
  <c r="A468" i="43"/>
  <c r="A34" i="52" s="1"/>
  <c r="A438" i="43"/>
  <c r="A4" i="52" s="1"/>
  <c r="D436" i="43"/>
  <c r="A1" i="52" s="1"/>
  <c r="G140" i="52" l="1"/>
  <c r="I140" i="52"/>
  <c r="C123" i="52"/>
  <c r="L123" i="52" s="1"/>
  <c r="C137" i="52"/>
  <c r="G137" i="52" s="1"/>
  <c r="C115" i="52"/>
  <c r="I115" i="52" s="1"/>
  <c r="AB140" i="52"/>
  <c r="P140" i="52"/>
  <c r="C113" i="52"/>
  <c r="G113" i="52" s="1"/>
  <c r="X140" i="52"/>
  <c r="C112" i="52"/>
  <c r="L112" i="52" s="1"/>
  <c r="AC140" i="52"/>
  <c r="AG140" i="52"/>
  <c r="C120" i="52"/>
  <c r="H120" i="52" s="1"/>
  <c r="AF140" i="52"/>
  <c r="C130" i="52"/>
  <c r="B93" i="39" s="1"/>
  <c r="C127" i="52"/>
  <c r="I127" i="52" s="1"/>
  <c r="C110" i="52"/>
  <c r="C126" i="52"/>
  <c r="W126" i="52" s="1"/>
  <c r="T140" i="52"/>
  <c r="C132" i="52"/>
  <c r="S132" i="52" s="1"/>
  <c r="O140" i="52"/>
  <c r="AA140" i="52"/>
  <c r="R140" i="52"/>
  <c r="AH140" i="52"/>
  <c r="AD140" i="52"/>
  <c r="V140" i="52"/>
  <c r="Y140" i="52"/>
  <c r="AI140" i="52"/>
  <c r="Q140" i="52"/>
  <c r="M140" i="52"/>
  <c r="AE140" i="52"/>
  <c r="K140" i="52"/>
  <c r="N140" i="52"/>
  <c r="U140" i="52"/>
  <c r="F140" i="52"/>
  <c r="W140" i="52"/>
  <c r="J140" i="52"/>
  <c r="H140" i="52"/>
  <c r="L140" i="52"/>
  <c r="AJ140" i="52"/>
  <c r="C129" i="52"/>
  <c r="M129" i="52" s="1"/>
  <c r="C124" i="52"/>
  <c r="AD124" i="52" s="1"/>
  <c r="C141" i="52"/>
  <c r="W141" i="52" s="1"/>
  <c r="C128" i="52"/>
  <c r="M128" i="52" s="1"/>
  <c r="C111" i="52"/>
  <c r="B74" i="39" s="1"/>
  <c r="C118" i="52"/>
  <c r="T118" i="52" s="1"/>
  <c r="C116" i="52"/>
  <c r="G116" i="52" s="1"/>
  <c r="C134" i="52"/>
  <c r="I134" i="52" s="1"/>
  <c r="C131" i="52"/>
  <c r="O131" i="52" s="1"/>
  <c r="C121" i="52"/>
  <c r="L121" i="52" s="1"/>
  <c r="C136" i="52"/>
  <c r="H136" i="52" s="1"/>
  <c r="C138" i="52"/>
  <c r="M138" i="52" s="1"/>
  <c r="C122" i="52"/>
  <c r="J122" i="52" s="1"/>
  <c r="C133" i="52"/>
  <c r="Z133" i="52" s="1"/>
  <c r="C117" i="52"/>
  <c r="AG117" i="52" s="1"/>
  <c r="C125" i="52"/>
  <c r="Z125" i="52" s="1"/>
  <c r="C119" i="52"/>
  <c r="G119" i="52" s="1"/>
  <c r="C135" i="52"/>
  <c r="H135" i="52" s="1"/>
  <c r="C139" i="52"/>
  <c r="AC139" i="52" s="1"/>
  <c r="C114" i="52"/>
  <c r="V114" i="52" s="1"/>
  <c r="S140" i="52"/>
  <c r="B103" i="39"/>
  <c r="A135" i="52"/>
  <c r="I438" i="43"/>
  <c r="I4" i="52" s="1"/>
  <c r="I440" i="43"/>
  <c r="I6" i="52" s="1"/>
  <c r="I442" i="43"/>
  <c r="I8" i="52" s="1"/>
  <c r="I444" i="43"/>
  <c r="I10" i="52" s="1"/>
  <c r="I446" i="43"/>
  <c r="I12" i="52" s="1"/>
  <c r="I448" i="43"/>
  <c r="I14" i="52" s="1"/>
  <c r="I450" i="43"/>
  <c r="I16" i="52" s="1"/>
  <c r="I452" i="43"/>
  <c r="I18" i="52" s="1"/>
  <c r="I454" i="43"/>
  <c r="I20" i="52" s="1"/>
  <c r="I456" i="43"/>
  <c r="I22" i="52" s="1"/>
  <c r="I458" i="43"/>
  <c r="I24" i="52" s="1"/>
  <c r="F459" i="43"/>
  <c r="F25" i="52" s="1"/>
  <c r="L459" i="43"/>
  <c r="L25" i="52" s="1"/>
  <c r="C460" i="43"/>
  <c r="C26" i="52" s="1"/>
  <c r="I460" i="43"/>
  <c r="I26" i="52" s="1"/>
  <c r="O460" i="43"/>
  <c r="O26" i="52" s="1"/>
  <c r="F461" i="43"/>
  <c r="F27" i="52" s="1"/>
  <c r="L461" i="43"/>
  <c r="L27" i="52" s="1"/>
  <c r="C462" i="43"/>
  <c r="C28" i="52" s="1"/>
  <c r="I462" i="43"/>
  <c r="I28" i="52" s="1"/>
  <c r="O462" i="43"/>
  <c r="O28" i="52" s="1"/>
  <c r="F463" i="43"/>
  <c r="F29" i="52" s="1"/>
  <c r="L463" i="43"/>
  <c r="L29" i="52" s="1"/>
  <c r="C464" i="43"/>
  <c r="C30" i="52" s="1"/>
  <c r="I464" i="43"/>
  <c r="I30" i="52" s="1"/>
  <c r="O464" i="43"/>
  <c r="O30" i="52" s="1"/>
  <c r="F465" i="43"/>
  <c r="F31" i="52" s="1"/>
  <c r="L465" i="43"/>
  <c r="L31" i="52" s="1"/>
  <c r="C466" i="43"/>
  <c r="C32" i="52" s="1"/>
  <c r="I466" i="43"/>
  <c r="I32" i="52" s="1"/>
  <c r="O466" i="43"/>
  <c r="O32" i="52" s="1"/>
  <c r="F467" i="43"/>
  <c r="F33" i="52" s="1"/>
  <c r="L467" i="43"/>
  <c r="L33" i="52" s="1"/>
  <c r="C468" i="43"/>
  <c r="C34" i="52" s="1"/>
  <c r="I468" i="43"/>
  <c r="I34" i="52" s="1"/>
  <c r="O468" i="43"/>
  <c r="O34" i="52" s="1"/>
  <c r="G459" i="43"/>
  <c r="G25" i="52" s="1"/>
  <c r="M459" i="43"/>
  <c r="M25" i="52" s="1"/>
  <c r="D460" i="43"/>
  <c r="D26" i="52" s="1"/>
  <c r="J460" i="43"/>
  <c r="J26" i="52" s="1"/>
  <c r="P460" i="43"/>
  <c r="P26" i="52" s="1"/>
  <c r="G461" i="43"/>
  <c r="G27" i="52" s="1"/>
  <c r="M461" i="43"/>
  <c r="M27" i="52" s="1"/>
  <c r="D462" i="43"/>
  <c r="D28" i="52" s="1"/>
  <c r="J462" i="43"/>
  <c r="J28" i="52" s="1"/>
  <c r="P462" i="43"/>
  <c r="P28" i="52" s="1"/>
  <c r="G463" i="43"/>
  <c r="G29" i="52" s="1"/>
  <c r="M463" i="43"/>
  <c r="M29" i="52" s="1"/>
  <c r="D464" i="43"/>
  <c r="D30" i="52" s="1"/>
  <c r="J464" i="43"/>
  <c r="J30" i="52" s="1"/>
  <c r="P464" i="43"/>
  <c r="P30" i="52" s="1"/>
  <c r="G465" i="43"/>
  <c r="G31" i="52" s="1"/>
  <c r="M465" i="43"/>
  <c r="M31" i="52" s="1"/>
  <c r="D466" i="43"/>
  <c r="D32" i="52" s="1"/>
  <c r="J466" i="43"/>
  <c r="J32" i="52" s="1"/>
  <c r="P466" i="43"/>
  <c r="P32" i="52" s="1"/>
  <c r="G467" i="43"/>
  <c r="G33" i="52" s="1"/>
  <c r="M467" i="43"/>
  <c r="M33" i="52" s="1"/>
  <c r="D468" i="43"/>
  <c r="D34" i="52" s="1"/>
  <c r="J468" i="43"/>
  <c r="J34" i="52" s="1"/>
  <c r="P468" i="43"/>
  <c r="P34" i="52" s="1"/>
  <c r="I443" i="43"/>
  <c r="I9" i="52" s="1"/>
  <c r="I445" i="43"/>
  <c r="I11" i="52" s="1"/>
  <c r="I439" i="43"/>
  <c r="I5" i="52" s="1"/>
  <c r="I455" i="43"/>
  <c r="I21" i="52" s="1"/>
  <c r="I451" i="43"/>
  <c r="I17" i="52" s="1"/>
  <c r="I447" i="43"/>
  <c r="I13" i="52" s="1"/>
  <c r="I404" i="43"/>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L141" i="52" l="1"/>
  <c r="F123" i="52"/>
  <c r="AI113" i="52"/>
  <c r="M132" i="52"/>
  <c r="AC123" i="52"/>
  <c r="X130" i="52"/>
  <c r="AH123" i="52"/>
  <c r="AE113" i="52"/>
  <c r="F130" i="52"/>
  <c r="Z123" i="52"/>
  <c r="P120" i="52"/>
  <c r="I120" i="52"/>
  <c r="U111" i="52"/>
  <c r="V119" i="52"/>
  <c r="O132" i="52"/>
  <c r="Z121" i="52"/>
  <c r="L128" i="52"/>
  <c r="Y121" i="52"/>
  <c r="J113" i="52"/>
  <c r="Y113" i="52"/>
  <c r="O141" i="52"/>
  <c r="Z120" i="52"/>
  <c r="AC115" i="52"/>
  <c r="AF115" i="52"/>
  <c r="AI136" i="52"/>
  <c r="L113" i="52"/>
  <c r="N123" i="52"/>
  <c r="U128" i="52"/>
  <c r="H123" i="52"/>
  <c r="K123" i="52"/>
  <c r="V130" i="52"/>
  <c r="AH120" i="52"/>
  <c r="H131" i="52"/>
  <c r="F141" i="52"/>
  <c r="Y123" i="52"/>
  <c r="H130" i="52"/>
  <c r="AG119" i="52"/>
  <c r="N125" i="52"/>
  <c r="AB131" i="52"/>
  <c r="S141" i="52"/>
  <c r="F131" i="52"/>
  <c r="Z136" i="52"/>
  <c r="L119" i="52"/>
  <c r="V136" i="52"/>
  <c r="V128" i="52"/>
  <c r="Q121" i="52"/>
  <c r="U121" i="52"/>
  <c r="AJ121" i="52"/>
  <c r="O125" i="52"/>
  <c r="Q115" i="52"/>
  <c r="J121" i="52"/>
  <c r="AE123" i="52"/>
  <c r="W123" i="52"/>
  <c r="J130" i="52"/>
  <c r="T128" i="52"/>
  <c r="Q138" i="52"/>
  <c r="P127" i="52"/>
  <c r="Q137" i="52"/>
  <c r="R127" i="52"/>
  <c r="L127" i="52"/>
  <c r="AJ123" i="52"/>
  <c r="AG123" i="52"/>
  <c r="I130" i="52"/>
  <c r="AD131" i="52"/>
  <c r="AH130" i="52"/>
  <c r="T130" i="52"/>
  <c r="AJ137" i="52"/>
  <c r="AC127" i="52"/>
  <c r="X120" i="52"/>
  <c r="AA141" i="52"/>
  <c r="U127" i="52"/>
  <c r="P137" i="52"/>
  <c r="X138" i="52"/>
  <c r="S112" i="52"/>
  <c r="N137" i="52"/>
  <c r="AA123" i="52"/>
  <c r="AF123" i="52"/>
  <c r="J137" i="52"/>
  <c r="AG112" i="52"/>
  <c r="AJ130" i="52"/>
  <c r="Q136" i="52"/>
  <c r="AH119" i="52"/>
  <c r="L120" i="52"/>
  <c r="AE141" i="52"/>
  <c r="K119" i="52"/>
  <c r="AJ112" i="52"/>
  <c r="AB121" i="52"/>
  <c r="AG121" i="52"/>
  <c r="X113" i="52"/>
  <c r="AC113" i="52"/>
  <c r="T113" i="52"/>
  <c r="AI131" i="52"/>
  <c r="AF131" i="52"/>
  <c r="AI128" i="52"/>
  <c r="U125" i="52"/>
  <c r="AF120" i="52"/>
  <c r="AJ120" i="52"/>
  <c r="H141" i="52"/>
  <c r="T141" i="52"/>
  <c r="M131" i="52"/>
  <c r="Y138" i="52"/>
  <c r="AF121" i="52"/>
  <c r="P121" i="52"/>
  <c r="AH121" i="52"/>
  <c r="F113" i="52"/>
  <c r="AJ113" i="52"/>
  <c r="AG113" i="52"/>
  <c r="I112" i="52"/>
  <c r="AA131" i="52"/>
  <c r="AG131" i="52"/>
  <c r="Z131" i="52"/>
  <c r="T112" i="52"/>
  <c r="Z137" i="52"/>
  <c r="Q128" i="52"/>
  <c r="W127" i="52"/>
  <c r="S125" i="52"/>
  <c r="W120" i="52"/>
  <c r="N120" i="52"/>
  <c r="Y141" i="52"/>
  <c r="J141" i="52"/>
  <c r="K137" i="52"/>
  <c r="H117" i="52"/>
  <c r="B83" i="39"/>
  <c r="P117" i="52"/>
  <c r="W121" i="52"/>
  <c r="L131" i="52"/>
  <c r="L117" i="52"/>
  <c r="AD121" i="52"/>
  <c r="T121" i="52"/>
  <c r="W113" i="52"/>
  <c r="R113" i="52"/>
  <c r="AA113" i="52"/>
  <c r="J120" i="52"/>
  <c r="AC131" i="52"/>
  <c r="AE131" i="52"/>
  <c r="AD128" i="52"/>
  <c r="AH128" i="52"/>
  <c r="T125" i="52"/>
  <c r="AI120" i="52"/>
  <c r="S120" i="52"/>
  <c r="AJ141" i="52"/>
  <c r="Q141" i="52"/>
  <c r="G120" i="52"/>
  <c r="M120" i="52"/>
  <c r="AF138" i="52"/>
  <c r="F121" i="52"/>
  <c r="M121" i="52"/>
  <c r="AE121" i="52"/>
  <c r="P113" i="52"/>
  <c r="AH113" i="52"/>
  <c r="N113" i="52"/>
  <c r="G141" i="52"/>
  <c r="AH131" i="52"/>
  <c r="W131" i="52"/>
  <c r="AI112" i="52"/>
  <c r="Y137" i="52"/>
  <c r="H128" i="52"/>
  <c r="AG128" i="52"/>
  <c r="M135" i="52"/>
  <c r="AD120" i="52"/>
  <c r="R120" i="52"/>
  <c r="R141" i="52"/>
  <c r="U141" i="52"/>
  <c r="K132" i="52"/>
  <c r="J117" i="52"/>
  <c r="H113" i="52"/>
  <c r="AH125" i="52"/>
  <c r="L132" i="52"/>
  <c r="AE120" i="52"/>
  <c r="AG141" i="52"/>
  <c r="X141" i="52"/>
  <c r="AB132" i="52"/>
  <c r="Q132" i="52"/>
  <c r="AC117" i="52"/>
  <c r="G112" i="52"/>
  <c r="B80" i="39"/>
  <c r="AA125" i="52"/>
  <c r="AA135" i="52"/>
  <c r="AI132" i="52"/>
  <c r="R115" i="52"/>
  <c r="Y115" i="52"/>
  <c r="X115" i="52"/>
  <c r="AB115" i="52"/>
  <c r="F115" i="52"/>
  <c r="W115" i="52"/>
  <c r="AA116" i="52"/>
  <c r="U122" i="52"/>
  <c r="V138" i="52"/>
  <c r="AA115" i="52"/>
  <c r="M115" i="52"/>
  <c r="P115" i="52"/>
  <c r="AI121" i="52"/>
  <c r="V121" i="52"/>
  <c r="R121" i="52"/>
  <c r="S121" i="52"/>
  <c r="AF113" i="52"/>
  <c r="S113" i="52"/>
  <c r="Q113" i="52"/>
  <c r="U113" i="52"/>
  <c r="P112" i="52"/>
  <c r="AE137" i="52"/>
  <c r="AG129" i="52"/>
  <c r="AE128" i="52"/>
  <c r="P128" i="52"/>
  <c r="AG116" i="52"/>
  <c r="AD127" i="52"/>
  <c r="AF127" i="52"/>
  <c r="V125" i="52"/>
  <c r="K128" i="52"/>
  <c r="AH132" i="52"/>
  <c r="Z132" i="52"/>
  <c r="G126" i="52"/>
  <c r="Y132" i="52"/>
  <c r="U115" i="52"/>
  <c r="S129" i="52"/>
  <c r="W122" i="52"/>
  <c r="AJ115" i="52"/>
  <c r="O129" i="52"/>
  <c r="Y122" i="52"/>
  <c r="Z115" i="52"/>
  <c r="S115" i="52"/>
  <c r="AE115" i="52"/>
  <c r="X121" i="52"/>
  <c r="N121" i="52"/>
  <c r="AC121" i="52"/>
  <c r="AA121" i="52"/>
  <c r="V113" i="52"/>
  <c r="AD113" i="52"/>
  <c r="Z113" i="52"/>
  <c r="AB113" i="52"/>
  <c r="AD112" i="52"/>
  <c r="V112" i="52"/>
  <c r="AB137" i="52"/>
  <c r="P129" i="52"/>
  <c r="AB128" i="52"/>
  <c r="Y128" i="52"/>
  <c r="Y127" i="52"/>
  <c r="AJ125" i="52"/>
  <c r="AG132" i="52"/>
  <c r="M125" i="52"/>
  <c r="P118" i="52"/>
  <c r="R138" i="52"/>
  <c r="AB138" i="52"/>
  <c r="T138" i="52"/>
  <c r="O137" i="52"/>
  <c r="R112" i="52"/>
  <c r="U112" i="52"/>
  <c r="X112" i="52"/>
  <c r="AC112" i="52"/>
  <c r="M112" i="52"/>
  <c r="AI137" i="52"/>
  <c r="R137" i="52"/>
  <c r="V137" i="52"/>
  <c r="AF137" i="52"/>
  <c r="S127" i="52"/>
  <c r="AH127" i="52"/>
  <c r="AE127" i="52"/>
  <c r="J127" i="52"/>
  <c r="O117" i="52"/>
  <c r="G117" i="52"/>
  <c r="G131" i="52"/>
  <c r="B104" i="39"/>
  <c r="H138" i="52"/>
  <c r="AB112" i="52"/>
  <c r="AH112" i="52"/>
  <c r="AE112" i="52"/>
  <c r="S137" i="52"/>
  <c r="L137" i="52"/>
  <c r="X137" i="52"/>
  <c r="AG137" i="52"/>
  <c r="T137" i="52"/>
  <c r="AA127" i="52"/>
  <c r="Q127" i="52"/>
  <c r="N127" i="52"/>
  <c r="Z127" i="52"/>
  <c r="AJ135" i="52"/>
  <c r="J138" i="52"/>
  <c r="H127" i="52"/>
  <c r="H112" i="52"/>
  <c r="G127" i="52"/>
  <c r="O112" i="52"/>
  <c r="B100" i="39"/>
  <c r="AG138" i="52"/>
  <c r="N112" i="52"/>
  <c r="AE138" i="52"/>
  <c r="W138" i="52"/>
  <c r="U138" i="52"/>
  <c r="P134" i="52"/>
  <c r="AJ131" i="52"/>
  <c r="P131" i="52"/>
  <c r="Y131" i="52"/>
  <c r="F112" i="52"/>
  <c r="Y112" i="52"/>
  <c r="W112" i="52"/>
  <c r="AF112" i="52"/>
  <c r="F136" i="52"/>
  <c r="AD137" i="52"/>
  <c r="F137" i="52"/>
  <c r="H137" i="52"/>
  <c r="AA137" i="52"/>
  <c r="M137" i="52"/>
  <c r="AF119" i="52"/>
  <c r="V127" i="52"/>
  <c r="AG127" i="52"/>
  <c r="AI127" i="52"/>
  <c r="T127" i="52"/>
  <c r="F120" i="52"/>
  <c r="AB120" i="52"/>
  <c r="V120" i="52"/>
  <c r="AI135" i="52"/>
  <c r="V141" i="52"/>
  <c r="K141" i="52"/>
  <c r="AC141" i="52"/>
  <c r="K127" i="52"/>
  <c r="N117" i="52"/>
  <c r="O127" i="52"/>
  <c r="K112" i="52"/>
  <c r="I131" i="52"/>
  <c r="G123" i="52"/>
  <c r="I137" i="52"/>
  <c r="AC138" i="52"/>
  <c r="F138" i="52"/>
  <c r="N138" i="52"/>
  <c r="AA112" i="52"/>
  <c r="Q112" i="52"/>
  <c r="J112" i="52"/>
  <c r="Z112" i="52"/>
  <c r="AC137" i="52"/>
  <c r="W137" i="52"/>
  <c r="AH137" i="52"/>
  <c r="U137" i="52"/>
  <c r="AJ127" i="52"/>
  <c r="F127" i="52"/>
  <c r="X127" i="52"/>
  <c r="AB127" i="52"/>
  <c r="M127" i="52"/>
  <c r="W135" i="52"/>
  <c r="B75" i="39"/>
  <c r="AG134" i="52"/>
  <c r="AA133" i="52"/>
  <c r="O123" i="52"/>
  <c r="M123" i="52"/>
  <c r="C142" i="52"/>
  <c r="T115" i="52"/>
  <c r="AG115" i="52"/>
  <c r="AD115" i="52"/>
  <c r="AH115" i="52"/>
  <c r="S123" i="52"/>
  <c r="AI123" i="52"/>
  <c r="X123" i="52"/>
  <c r="T123" i="52"/>
  <c r="U131" i="52"/>
  <c r="S131" i="52"/>
  <c r="N131" i="52"/>
  <c r="R131" i="52"/>
  <c r="I141" i="52"/>
  <c r="W130" i="52"/>
  <c r="R136" i="52"/>
  <c r="AA136" i="52"/>
  <c r="AJ119" i="52"/>
  <c r="AE119" i="52"/>
  <c r="K120" i="52"/>
  <c r="T120" i="52"/>
  <c r="Q120" i="52"/>
  <c r="Y120" i="52"/>
  <c r="AD141" i="52"/>
  <c r="P141" i="52"/>
  <c r="AF141" i="52"/>
  <c r="AI141" i="52"/>
  <c r="H115" i="52"/>
  <c r="K131" i="52"/>
  <c r="AA117" i="52"/>
  <c r="O120" i="52"/>
  <c r="AF117" i="52"/>
  <c r="F124" i="52"/>
  <c r="AA122" i="52"/>
  <c r="AI115" i="52"/>
  <c r="N115" i="52"/>
  <c r="J115" i="52"/>
  <c r="V115" i="52"/>
  <c r="V123" i="52"/>
  <c r="R123" i="52"/>
  <c r="AD123" i="52"/>
  <c r="AA134" i="52"/>
  <c r="K136" i="52"/>
  <c r="Q131" i="52"/>
  <c r="X131" i="52"/>
  <c r="V131" i="52"/>
  <c r="T131" i="52"/>
  <c r="AG130" i="52"/>
  <c r="AI130" i="52"/>
  <c r="T136" i="52"/>
  <c r="U116" i="52"/>
  <c r="AI119" i="52"/>
  <c r="M141" i="52"/>
  <c r="U120" i="52"/>
  <c r="AG120" i="52"/>
  <c r="AA120" i="52"/>
  <c r="AC120" i="52"/>
  <c r="Z141" i="52"/>
  <c r="N141" i="52"/>
  <c r="AB141" i="52"/>
  <c r="AH141" i="52"/>
  <c r="W117" i="52"/>
  <c r="G138" i="52"/>
  <c r="S117" i="52"/>
  <c r="O115" i="52"/>
  <c r="X117" i="52"/>
  <c r="Q117" i="52"/>
  <c r="I117" i="52"/>
  <c r="B90" i="39"/>
  <c r="AH138" i="52"/>
  <c r="AJ138" i="52"/>
  <c r="AI138" i="52"/>
  <c r="AA138" i="52"/>
  <c r="K138" i="52"/>
  <c r="N134" i="52"/>
  <c r="AI134" i="52"/>
  <c r="AD134" i="52"/>
  <c r="O135" i="52"/>
  <c r="AE135" i="52"/>
  <c r="AG135" i="52"/>
  <c r="AF126" i="52"/>
  <c r="Z126" i="52"/>
  <c r="H134" i="52"/>
  <c r="Y134" i="52"/>
  <c r="AF134" i="52"/>
  <c r="Q135" i="52"/>
  <c r="AC135" i="52"/>
  <c r="AI126" i="52"/>
  <c r="AJ126" i="52"/>
  <c r="AD126" i="52"/>
  <c r="AG118" i="52"/>
  <c r="B81" i="39"/>
  <c r="AE134" i="52"/>
  <c r="K134" i="52"/>
  <c r="V134" i="52"/>
  <c r="V126" i="52"/>
  <c r="S138" i="52"/>
  <c r="AD138" i="52"/>
  <c r="P138" i="52"/>
  <c r="Z138" i="52"/>
  <c r="AH134" i="52"/>
  <c r="X134" i="52"/>
  <c r="L134" i="52"/>
  <c r="AH129" i="52"/>
  <c r="N128" i="52"/>
  <c r="AA128" i="52"/>
  <c r="AF128" i="52"/>
  <c r="AI116" i="52"/>
  <c r="Q125" i="52"/>
  <c r="R125" i="52"/>
  <c r="F135" i="52"/>
  <c r="V135" i="52"/>
  <c r="Z124" i="52"/>
  <c r="M126" i="52"/>
  <c r="AE132" i="52"/>
  <c r="L126" i="52"/>
  <c r="K117" i="52"/>
  <c r="F132" i="52"/>
  <c r="AE133" i="52"/>
  <c r="AB117" i="52"/>
  <c r="B79" i="39"/>
  <c r="B78" i="39"/>
  <c r="B94" i="39"/>
  <c r="T134" i="52"/>
  <c r="AC134" i="52"/>
  <c r="F134" i="52"/>
  <c r="G135" i="52"/>
  <c r="J135" i="52"/>
  <c r="R135" i="52"/>
  <c r="N135" i="52"/>
  <c r="W114" i="52"/>
  <c r="AJ134" i="52"/>
  <c r="U134" i="52"/>
  <c r="Q134" i="52"/>
  <c r="Z134" i="52"/>
  <c r="L136" i="52"/>
  <c r="P130" i="52"/>
  <c r="Y130" i="52"/>
  <c r="AC130" i="52"/>
  <c r="AF130" i="52"/>
  <c r="S136" i="52"/>
  <c r="M136" i="52"/>
  <c r="AC136" i="52"/>
  <c r="P136" i="52"/>
  <c r="T119" i="52"/>
  <c r="AA119" i="52"/>
  <c r="W119" i="52"/>
  <c r="Y119" i="52"/>
  <c r="AC126" i="52"/>
  <c r="AE126" i="52"/>
  <c r="X126" i="52"/>
  <c r="G130" i="52"/>
  <c r="O119" i="52"/>
  <c r="J111" i="52"/>
  <c r="U117" i="52"/>
  <c r="AE130" i="52"/>
  <c r="S130" i="52"/>
  <c r="Z130" i="52"/>
  <c r="AD136" i="52"/>
  <c r="X136" i="52"/>
  <c r="W136" i="52"/>
  <c r="AG136" i="52"/>
  <c r="AD119" i="52"/>
  <c r="R119" i="52"/>
  <c r="N119" i="52"/>
  <c r="S119" i="52"/>
  <c r="AG126" i="52"/>
  <c r="O126" i="52"/>
  <c r="R126" i="52"/>
  <c r="P126" i="52"/>
  <c r="F126" i="52"/>
  <c r="T126" i="52"/>
  <c r="U126" i="52"/>
  <c r="AI111" i="52"/>
  <c r="I123" i="52"/>
  <c r="G133" i="52"/>
  <c r="H111" i="52"/>
  <c r="J123" i="52"/>
  <c r="B89" i="39"/>
  <c r="AB123" i="52"/>
  <c r="U123" i="52"/>
  <c r="Q123" i="52"/>
  <c r="P123" i="52"/>
  <c r="AB134" i="52"/>
  <c r="S134" i="52"/>
  <c r="R134" i="52"/>
  <c r="W134" i="52"/>
  <c r="I136" i="52"/>
  <c r="K130" i="52"/>
  <c r="R130" i="52"/>
  <c r="Q130" i="52"/>
  <c r="N130" i="52"/>
  <c r="AB130" i="52"/>
  <c r="M130" i="52"/>
  <c r="AF136" i="52"/>
  <c r="Y136" i="52"/>
  <c r="AH136" i="52"/>
  <c r="U136" i="52"/>
  <c r="U119" i="52"/>
  <c r="AB119" i="52"/>
  <c r="Z119" i="52"/>
  <c r="X119" i="52"/>
  <c r="O136" i="52"/>
  <c r="S124" i="52"/>
  <c r="H126" i="52"/>
  <c r="K126" i="52"/>
  <c r="I119" i="52"/>
  <c r="L130" i="52"/>
  <c r="R118" i="52"/>
  <c r="AJ117" i="52"/>
  <c r="V117" i="52"/>
  <c r="G136" i="52"/>
  <c r="I121" i="52"/>
  <c r="O130" i="52"/>
  <c r="B99" i="39"/>
  <c r="AA130" i="52"/>
  <c r="AD130" i="52"/>
  <c r="U130" i="52"/>
  <c r="AJ136" i="52"/>
  <c r="AE136" i="52"/>
  <c r="J136" i="52"/>
  <c r="AB136" i="52"/>
  <c r="N136" i="52"/>
  <c r="F119" i="52"/>
  <c r="AC119" i="52"/>
  <c r="P119" i="52"/>
  <c r="Q119" i="52"/>
  <c r="AH126" i="52"/>
  <c r="J126" i="52"/>
  <c r="Y126" i="52"/>
  <c r="AB126" i="52"/>
  <c r="U114" i="52"/>
  <c r="T111" i="52"/>
  <c r="H119" i="52"/>
  <c r="B86" i="39"/>
  <c r="K125" i="52"/>
  <c r="V132" i="52"/>
  <c r="X132" i="52"/>
  <c r="O113" i="52"/>
  <c r="B88" i="39"/>
  <c r="X139" i="52"/>
  <c r="M113" i="52"/>
  <c r="I113" i="52"/>
  <c r="AJ132" i="52"/>
  <c r="B91" i="39"/>
  <c r="AE125" i="52"/>
  <c r="X125" i="52"/>
  <c r="Y125" i="52"/>
  <c r="I128" i="52"/>
  <c r="P132" i="52"/>
  <c r="K115" i="52"/>
  <c r="R132" i="52"/>
  <c r="J132" i="52"/>
  <c r="L115" i="52"/>
  <c r="K113" i="52"/>
  <c r="B76" i="39"/>
  <c r="AD117" i="52"/>
  <c r="B95" i="39"/>
  <c r="J131" i="52"/>
  <c r="AI125" i="52"/>
  <c r="AC125" i="52"/>
  <c r="AF125" i="52"/>
  <c r="O128" i="52"/>
  <c r="W132" i="52"/>
  <c r="N132" i="52"/>
  <c r="AF132" i="52"/>
  <c r="O122" i="52"/>
  <c r="G115" i="52"/>
  <c r="AC132" i="52"/>
  <c r="Y111" i="52"/>
  <c r="S126" i="52"/>
  <c r="N126" i="52"/>
  <c r="Q126" i="52"/>
  <c r="AF124" i="52"/>
  <c r="J119" i="52"/>
  <c r="V133" i="52"/>
  <c r="AG124" i="52"/>
  <c r="P124" i="52"/>
  <c r="H132" i="52"/>
  <c r="I132" i="52"/>
  <c r="I133" i="52"/>
  <c r="R111" i="52"/>
  <c r="B84" i="39"/>
  <c r="P111" i="52"/>
  <c r="AD114" i="52"/>
  <c r="X124" i="52"/>
  <c r="G132" i="52"/>
  <c r="T132" i="52"/>
  <c r="I126" i="52"/>
  <c r="AA126" i="52"/>
  <c r="AD132" i="52"/>
  <c r="M119" i="52"/>
  <c r="AA132" i="52"/>
  <c r="J124" i="52"/>
  <c r="AG111" i="52"/>
  <c r="G134" i="52"/>
  <c r="K121" i="52"/>
  <c r="U132" i="52"/>
  <c r="AC111" i="52"/>
  <c r="O121" i="52"/>
  <c r="J128" i="52"/>
  <c r="B92" i="39"/>
  <c r="AB122" i="52"/>
  <c r="N122" i="52"/>
  <c r="AC122" i="52"/>
  <c r="AE122" i="52"/>
  <c r="AG122" i="52"/>
  <c r="L122" i="52"/>
  <c r="Y129" i="52"/>
  <c r="X129" i="52"/>
  <c r="AB129" i="52"/>
  <c r="W129" i="52"/>
  <c r="T116" i="52"/>
  <c r="AJ116" i="52"/>
  <c r="F116" i="52"/>
  <c r="N116" i="52"/>
  <c r="L129" i="52"/>
  <c r="U139" i="52"/>
  <c r="M122" i="52"/>
  <c r="B102" i="39"/>
  <c r="B98" i="39"/>
  <c r="Q129" i="52"/>
  <c r="AI129" i="52"/>
  <c r="AF116" i="52"/>
  <c r="S116" i="52"/>
  <c r="Y116" i="52"/>
  <c r="AC116" i="52"/>
  <c r="J116" i="52"/>
  <c r="AJ139" i="52"/>
  <c r="AJ122" i="52"/>
  <c r="R122" i="52"/>
  <c r="N129" i="52"/>
  <c r="AI122" i="52"/>
  <c r="AE129" i="52"/>
  <c r="AC129" i="52"/>
  <c r="AA129" i="52"/>
  <c r="Z129" i="52"/>
  <c r="L116" i="52"/>
  <c r="AH116" i="52"/>
  <c r="P116" i="52"/>
  <c r="W116" i="52"/>
  <c r="H122" i="52"/>
  <c r="K122" i="52"/>
  <c r="O138" i="52"/>
  <c r="B85" i="39"/>
  <c r="AF129" i="52"/>
  <c r="Q122" i="52"/>
  <c r="X122" i="52"/>
  <c r="AD122" i="52"/>
  <c r="Z122" i="52"/>
  <c r="G129" i="52"/>
  <c r="H129" i="52"/>
  <c r="U129" i="52"/>
  <c r="R129" i="52"/>
  <c r="T129" i="52"/>
  <c r="X116" i="52"/>
  <c r="Z116" i="52"/>
  <c r="AD116" i="52"/>
  <c r="Q116" i="52"/>
  <c r="I135" i="52"/>
  <c r="AF135" i="52"/>
  <c r="Z135" i="52"/>
  <c r="P135" i="52"/>
  <c r="U135" i="52"/>
  <c r="AG139" i="52"/>
  <c r="I122" i="52"/>
  <c r="B101" i="39"/>
  <c r="B82" i="39"/>
  <c r="B96" i="39"/>
  <c r="M139" i="52"/>
  <c r="X133" i="52"/>
  <c r="AH122" i="52"/>
  <c r="F122" i="52"/>
  <c r="AF122" i="52"/>
  <c r="S122" i="52"/>
  <c r="P122" i="52"/>
  <c r="V122" i="52"/>
  <c r="T122" i="52"/>
  <c r="V129" i="52"/>
  <c r="F129" i="52"/>
  <c r="AJ129" i="52"/>
  <c r="AD129" i="52"/>
  <c r="K129" i="52"/>
  <c r="AB116" i="52"/>
  <c r="AE116" i="52"/>
  <c r="R116" i="52"/>
  <c r="V116" i="52"/>
  <c r="I129" i="52"/>
  <c r="AD135" i="52"/>
  <c r="X135" i="52"/>
  <c r="AH135" i="52"/>
  <c r="T135" i="52"/>
  <c r="Q139" i="52"/>
  <c r="I138" i="52"/>
  <c r="G122" i="52"/>
  <c r="T114" i="52"/>
  <c r="B87" i="39"/>
  <c r="AA114" i="52"/>
  <c r="W128" i="52"/>
  <c r="S128" i="52"/>
  <c r="X128" i="52"/>
  <c r="Z128" i="52"/>
  <c r="P125" i="52"/>
  <c r="W125" i="52"/>
  <c r="H125" i="52"/>
  <c r="AG125" i="52"/>
  <c r="L125" i="52"/>
  <c r="K135" i="52"/>
  <c r="Z139" i="52"/>
  <c r="Q124" i="52"/>
  <c r="L138" i="52"/>
  <c r="J134" i="52"/>
  <c r="AE124" i="52"/>
  <c r="N124" i="52"/>
  <c r="J129" i="52"/>
  <c r="V139" i="52"/>
  <c r="H121" i="52"/>
  <c r="G125" i="52"/>
  <c r="L135" i="52"/>
  <c r="AF114" i="52"/>
  <c r="T117" i="52"/>
  <c r="F117" i="52"/>
  <c r="R117" i="52"/>
  <c r="AI117" i="52"/>
  <c r="AH117" i="52"/>
  <c r="Z117" i="52"/>
  <c r="Y117" i="52"/>
  <c r="M117" i="52"/>
  <c r="AE117" i="52"/>
  <c r="S114" i="52"/>
  <c r="Q114" i="52"/>
  <c r="M114" i="52"/>
  <c r="L114" i="52"/>
  <c r="G114" i="52"/>
  <c r="Z114" i="52"/>
  <c r="X114" i="52"/>
  <c r="J114" i="52"/>
  <c r="AC114" i="52"/>
  <c r="AE114" i="52"/>
  <c r="K114" i="52"/>
  <c r="I114" i="52"/>
  <c r="O114" i="52"/>
  <c r="T133" i="52"/>
  <c r="AJ133" i="52"/>
  <c r="M133" i="52"/>
  <c r="K133" i="52"/>
  <c r="P133" i="52"/>
  <c r="O133" i="52"/>
  <c r="J133" i="52"/>
  <c r="F133" i="52"/>
  <c r="U133" i="52"/>
  <c r="AG133" i="52"/>
  <c r="H133" i="52"/>
  <c r="AB124" i="52"/>
  <c r="AJ124" i="52"/>
  <c r="W124" i="52"/>
  <c r="L124" i="52"/>
  <c r="K124" i="52"/>
  <c r="AC124" i="52"/>
  <c r="H124" i="52"/>
  <c r="O124" i="52"/>
  <c r="G124" i="52"/>
  <c r="T124" i="52"/>
  <c r="U124" i="52"/>
  <c r="I125" i="52"/>
  <c r="AH124" i="52"/>
  <c r="J125" i="52"/>
  <c r="R114" i="52"/>
  <c r="I124" i="52"/>
  <c r="G121" i="52"/>
  <c r="AF133" i="52"/>
  <c r="O134" i="52"/>
  <c r="Y133" i="52"/>
  <c r="Y114" i="52"/>
  <c r="G128" i="52"/>
  <c r="Q133" i="52"/>
  <c r="N133" i="52"/>
  <c r="AI114" i="52"/>
  <c r="AB114" i="52"/>
  <c r="H139" i="52"/>
  <c r="AF139" i="52"/>
  <c r="AD139" i="52"/>
  <c r="R139" i="52"/>
  <c r="L139" i="52"/>
  <c r="O139" i="52"/>
  <c r="J139" i="52"/>
  <c r="AI139" i="52"/>
  <c r="S139" i="52"/>
  <c r="P139" i="52"/>
  <c r="I139" i="52"/>
  <c r="F139" i="52"/>
  <c r="AB139" i="52"/>
  <c r="G139" i="52"/>
  <c r="W139" i="52"/>
  <c r="K139" i="52"/>
  <c r="Y139" i="52"/>
  <c r="AE139" i="52"/>
  <c r="AH139" i="52"/>
  <c r="T139" i="52"/>
  <c r="AA139" i="52"/>
  <c r="M116" i="52"/>
  <c r="O116" i="52"/>
  <c r="K116" i="52"/>
  <c r="I116" i="52"/>
  <c r="AJ114" i="52"/>
  <c r="P114" i="52"/>
  <c r="AC133" i="52"/>
  <c r="R124" i="52"/>
  <c r="AH133" i="52"/>
  <c r="L133" i="52"/>
  <c r="M124" i="52"/>
  <c r="R133" i="52"/>
  <c r="AI133" i="52"/>
  <c r="F114" i="52"/>
  <c r="S133" i="52"/>
  <c r="B77" i="39"/>
  <c r="B97" i="39"/>
  <c r="H114" i="52"/>
  <c r="AJ118" i="52"/>
  <c r="M118" i="52"/>
  <c r="H118" i="52"/>
  <c r="G118" i="52"/>
  <c r="S118" i="52"/>
  <c r="Z118" i="52"/>
  <c r="N118" i="52"/>
  <c r="AI118" i="52"/>
  <c r="L118" i="52"/>
  <c r="K118" i="52"/>
  <c r="O118" i="52"/>
  <c r="AH118" i="52"/>
  <c r="W118" i="52"/>
  <c r="Y118" i="52"/>
  <c r="AB118" i="52"/>
  <c r="AA118" i="52"/>
  <c r="V118" i="52"/>
  <c r="J118" i="52"/>
  <c r="AC118" i="52"/>
  <c r="Q118" i="52"/>
  <c r="X118" i="52"/>
  <c r="AF118" i="52"/>
  <c r="I118" i="52"/>
  <c r="AD118" i="52"/>
  <c r="F118" i="52"/>
  <c r="U118" i="52"/>
  <c r="AC128" i="52"/>
  <c r="AJ128" i="52"/>
  <c r="F128" i="52"/>
  <c r="R128" i="52"/>
  <c r="F125" i="52"/>
  <c r="AD125" i="52"/>
  <c r="AB125" i="52"/>
  <c r="S135" i="52"/>
  <c r="Y135" i="52"/>
  <c r="AB135" i="52"/>
  <c r="H116" i="52"/>
  <c r="AI124" i="52"/>
  <c r="Y124" i="52"/>
  <c r="AE118" i="52"/>
  <c r="V124" i="52"/>
  <c r="W133" i="52"/>
  <c r="M134" i="52"/>
  <c r="AA124" i="52"/>
  <c r="AB133" i="52"/>
  <c r="AD133" i="52"/>
  <c r="AH114" i="52"/>
  <c r="AG114" i="52"/>
  <c r="N139" i="52"/>
  <c r="N114" i="52"/>
  <c r="X111" i="52"/>
  <c r="O111" i="52"/>
  <c r="G111" i="52"/>
  <c r="M111" i="52"/>
  <c r="AH111" i="52"/>
  <c r="V111" i="52"/>
  <c r="L111" i="52"/>
  <c r="S111" i="52"/>
  <c r="Z111" i="52"/>
  <c r="AD111" i="52"/>
  <c r="AE111" i="52"/>
  <c r="I111" i="52"/>
  <c r="N111" i="52"/>
  <c r="AF111" i="52"/>
  <c r="AJ111" i="52"/>
  <c r="F111" i="52"/>
  <c r="Q111" i="52"/>
  <c r="AB111" i="52"/>
  <c r="AA111" i="52"/>
  <c r="W111" i="52"/>
  <c r="K111" i="52"/>
  <c r="A136" i="52"/>
  <c r="N122" i="43"/>
  <c r="O33" i="11"/>
  <c r="N33" i="11"/>
  <c r="P33" i="11" s="1"/>
  <c r="O32" i="11"/>
  <c r="N32" i="11"/>
  <c r="O31" i="11"/>
  <c r="N31" i="11"/>
  <c r="O30" i="11"/>
  <c r="N30" i="11"/>
  <c r="O29" i="11"/>
  <c r="N29" i="11"/>
  <c r="P29" i="11" s="1"/>
  <c r="O28" i="11"/>
  <c r="N28" i="11"/>
  <c r="O27" i="11"/>
  <c r="N27" i="11"/>
  <c r="O26" i="11"/>
  <c r="N26" i="11"/>
  <c r="P26" i="11" s="1"/>
  <c r="O25" i="11"/>
  <c r="N25" i="11"/>
  <c r="O24" i="11"/>
  <c r="N24" i="11"/>
  <c r="P24" i="11" s="1"/>
  <c r="O23" i="11"/>
  <c r="N23" i="11"/>
  <c r="O22" i="11"/>
  <c r="N22" i="11"/>
  <c r="O21" i="11"/>
  <c r="N21" i="11"/>
  <c r="P21" i="11" s="1"/>
  <c r="O20" i="11"/>
  <c r="N20" i="11"/>
  <c r="O19" i="11"/>
  <c r="N19" i="11"/>
  <c r="O18" i="11"/>
  <c r="N18" i="11"/>
  <c r="O17" i="11"/>
  <c r="N17" i="11"/>
  <c r="P17" i="11" s="1"/>
  <c r="O16" i="11"/>
  <c r="N16" i="11"/>
  <c r="O15" i="11"/>
  <c r="N15" i="11"/>
  <c r="O14" i="11"/>
  <c r="N14" i="11"/>
  <c r="P14" i="11" s="1"/>
  <c r="O13" i="11"/>
  <c r="N13" i="11"/>
  <c r="P13" i="11" s="1"/>
  <c r="O12" i="11"/>
  <c r="N12" i="11"/>
  <c r="O11" i="11"/>
  <c r="N11" i="11"/>
  <c r="O10" i="11"/>
  <c r="N10" i="11"/>
  <c r="O9" i="11"/>
  <c r="N9" i="11"/>
  <c r="O8" i="11"/>
  <c r="N8" i="11"/>
  <c r="O7" i="11"/>
  <c r="N7" i="11"/>
  <c r="P7" i="11" s="1"/>
  <c r="O6" i="11"/>
  <c r="N6" i="11"/>
  <c r="O5" i="11"/>
  <c r="N5" i="11"/>
  <c r="O4" i="11"/>
  <c r="N4" i="11"/>
  <c r="P4" i="11" s="1"/>
  <c r="O3" i="11"/>
  <c r="N3" i="11"/>
  <c r="F110" i="52" l="1"/>
  <c r="Z110" i="52"/>
  <c r="W110" i="52"/>
  <c r="AF110" i="52"/>
  <c r="S110" i="52"/>
  <c r="O110" i="52"/>
  <c r="Y110" i="52"/>
  <c r="R110" i="52"/>
  <c r="T110" i="52"/>
  <c r="AD110" i="52"/>
  <c r="AE110" i="52"/>
  <c r="M110" i="52"/>
  <c r="L110" i="52"/>
  <c r="I110" i="52"/>
  <c r="U110" i="52"/>
  <c r="AB110" i="52"/>
  <c r="V110" i="52"/>
  <c r="AG110" i="52"/>
  <c r="N110" i="52"/>
  <c r="AA110" i="52"/>
  <c r="AI110" i="52"/>
  <c r="X110" i="52"/>
  <c r="G110" i="52"/>
  <c r="J110" i="52"/>
  <c r="Q110" i="52"/>
  <c r="AH110" i="52"/>
  <c r="H110" i="52"/>
  <c r="AC110" i="52"/>
  <c r="AJ110" i="52"/>
  <c r="P110" i="52"/>
  <c r="K110" i="52"/>
  <c r="P27" i="11"/>
  <c r="P5" i="11"/>
  <c r="P8" i="11"/>
  <c r="P19" i="11"/>
  <c r="P25" i="11"/>
  <c r="P28" i="11"/>
  <c r="P23" i="11"/>
  <c r="P11" i="11"/>
  <c r="P3" i="11"/>
  <c r="P9" i="11"/>
  <c r="P12" i="11"/>
  <c r="P20" i="11"/>
  <c r="P31" i="11"/>
  <c r="P15" i="11"/>
  <c r="P32" i="11"/>
  <c r="P16" i="11"/>
  <c r="A137" i="52"/>
  <c r="P6" i="11"/>
  <c r="P18" i="11"/>
  <c r="P30" i="11"/>
  <c r="P10" i="11"/>
  <c r="P22" i="11"/>
  <c r="A18" i="43"/>
  <c r="A138" i="52" l="1"/>
  <c r="O33" i="35"/>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A139" i="52" l="1"/>
  <c r="C114" i="39"/>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A140" i="52" l="1"/>
  <c r="Q5" i="44"/>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A141" i="52" l="1"/>
  <c r="Q6" i="44"/>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R4" i="37"/>
  <c r="R5" i="37"/>
  <c r="R6" i="37"/>
  <c r="P5" i="37" s="1"/>
  <c r="B30" i="39" s="1"/>
  <c r="R7" i="37"/>
  <c r="R8" i="37"/>
  <c r="R9" i="37"/>
  <c r="R10" i="37"/>
  <c r="R11" i="37"/>
  <c r="R12" i="37"/>
  <c r="R13" i="37"/>
  <c r="R14" i="37"/>
  <c r="R3" i="37"/>
  <c r="L4" i="37"/>
  <c r="L5" i="37"/>
  <c r="L6" i="37"/>
  <c r="L7" i="37"/>
  <c r="L8" i="37"/>
  <c r="L9" i="37"/>
  <c r="L10" i="37"/>
  <c r="L11" i="37"/>
  <c r="L12" i="37"/>
  <c r="L13" i="37"/>
  <c r="L14" i="37"/>
  <c r="L3" i="37"/>
  <c r="P7" i="37" l="1"/>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E403" i="43" l="1"/>
  <c r="F403" i="43"/>
  <c r="B403" i="43"/>
  <c r="G403" i="43"/>
  <c r="H403" i="43"/>
  <c r="C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C406" i="43" l="1"/>
  <c r="C417" i="43"/>
  <c r="C441" i="43" s="1"/>
  <c r="C7" i="52" s="1"/>
  <c r="C419" i="43"/>
  <c r="C443" i="43" s="1"/>
  <c r="C9" i="52" s="1"/>
  <c r="C423" i="43"/>
  <c r="C447" i="43" s="1"/>
  <c r="C13" i="52" s="1"/>
  <c r="C428" i="43"/>
  <c r="C452" i="43" s="1"/>
  <c r="C18" i="52" s="1"/>
  <c r="C404" i="43"/>
  <c r="C420" i="43"/>
  <c r="C444" i="43" s="1"/>
  <c r="C10" i="52" s="1"/>
  <c r="C431" i="43"/>
  <c r="C455" i="43" s="1"/>
  <c r="C21" i="52" s="1"/>
  <c r="C426" i="43"/>
  <c r="C450" i="43" s="1"/>
  <c r="C16" i="52" s="1"/>
  <c r="C409" i="43"/>
  <c r="C421" i="43"/>
  <c r="C445" i="43" s="1"/>
  <c r="C11" i="52" s="1"/>
  <c r="C434" i="43"/>
  <c r="C458" i="43" s="1"/>
  <c r="C24" i="52" s="1"/>
  <c r="C407" i="43"/>
  <c r="C414" i="43"/>
  <c r="C438" i="43" s="1"/>
  <c r="C4" i="52" s="1"/>
  <c r="C418" i="43"/>
  <c r="C442" i="43" s="1"/>
  <c r="C8" i="52" s="1"/>
  <c r="C425" i="43"/>
  <c r="C449" i="43" s="1"/>
  <c r="C15" i="52" s="1"/>
  <c r="C427" i="43"/>
  <c r="C451" i="43" s="1"/>
  <c r="C17" i="52" s="1"/>
  <c r="C429" i="43"/>
  <c r="C453" i="43" s="1"/>
  <c r="C19" i="52" s="1"/>
  <c r="C432" i="43"/>
  <c r="C456" i="43" s="1"/>
  <c r="C22" i="52" s="1"/>
  <c r="C410" i="43"/>
  <c r="C412" i="43"/>
  <c r="C422" i="43"/>
  <c r="C446" i="43" s="1"/>
  <c r="C12" i="52" s="1"/>
  <c r="C433" i="43"/>
  <c r="C457" i="43" s="1"/>
  <c r="C23" i="52" s="1"/>
  <c r="C405" i="43"/>
  <c r="C408" i="43"/>
  <c r="C415" i="43"/>
  <c r="C439" i="43" s="1"/>
  <c r="C5" i="52" s="1"/>
  <c r="C424" i="43"/>
  <c r="C448" i="43" s="1"/>
  <c r="C14" i="52" s="1"/>
  <c r="C430" i="43"/>
  <c r="C454" i="43" s="1"/>
  <c r="C20" i="52" s="1"/>
  <c r="C413" i="43"/>
  <c r="C411" i="43"/>
  <c r="C416" i="43"/>
  <c r="C440" i="43" s="1"/>
  <c r="C6" i="52" s="1"/>
  <c r="H434" i="43"/>
  <c r="H458" i="43" s="1"/>
  <c r="H24" i="52" s="1"/>
  <c r="H418" i="43"/>
  <c r="H442" i="43" s="1"/>
  <c r="H8" i="52" s="1"/>
  <c r="H415" i="43"/>
  <c r="H439" i="43" s="1"/>
  <c r="H5" i="52" s="1"/>
  <c r="H410" i="43"/>
  <c r="H424" i="43"/>
  <c r="H448" i="43" s="1"/>
  <c r="H14" i="52" s="1"/>
  <c r="H405" i="43"/>
  <c r="H428" i="43"/>
  <c r="H452" i="43" s="1"/>
  <c r="H18" i="52" s="1"/>
  <c r="H406" i="43"/>
  <c r="H417" i="43"/>
  <c r="H441" i="43" s="1"/>
  <c r="H7" i="52" s="1"/>
  <c r="H414" i="43"/>
  <c r="H438" i="43" s="1"/>
  <c r="H4" i="52" s="1"/>
  <c r="H430" i="43"/>
  <c r="H454" i="43" s="1"/>
  <c r="H20" i="52" s="1"/>
  <c r="H423" i="43"/>
  <c r="H447" i="43" s="1"/>
  <c r="H13" i="52" s="1"/>
  <c r="H419" i="43"/>
  <c r="H443" i="43" s="1"/>
  <c r="H9" i="52" s="1"/>
  <c r="H429" i="43"/>
  <c r="H453" i="43" s="1"/>
  <c r="H19" i="52" s="1"/>
  <c r="H416" i="43"/>
  <c r="H440" i="43" s="1"/>
  <c r="H6" i="52" s="1"/>
  <c r="H404" i="43"/>
  <c r="H413" i="43"/>
  <c r="H427" i="43"/>
  <c r="H451" i="43" s="1"/>
  <c r="H17" i="52" s="1"/>
  <c r="H409" i="43"/>
  <c r="H422" i="43"/>
  <c r="H446" i="43" s="1"/>
  <c r="H12" i="52" s="1"/>
  <c r="H421" i="43"/>
  <c r="H445" i="43" s="1"/>
  <c r="H11" i="52" s="1"/>
  <c r="H426" i="43"/>
  <c r="H450" i="43" s="1"/>
  <c r="H16" i="52" s="1"/>
  <c r="H420" i="43"/>
  <c r="H444" i="43" s="1"/>
  <c r="H10" i="52" s="1"/>
  <c r="H431" i="43"/>
  <c r="H455" i="43" s="1"/>
  <c r="H21" i="52" s="1"/>
  <c r="H433" i="43"/>
  <c r="H457" i="43" s="1"/>
  <c r="H23" i="52" s="1"/>
  <c r="H408" i="43"/>
  <c r="H432" i="43"/>
  <c r="H456" i="43" s="1"/>
  <c r="H22" i="52" s="1"/>
  <c r="H412" i="43"/>
  <c r="H425" i="43"/>
  <c r="H449" i="43" s="1"/>
  <c r="H15" i="52" s="1"/>
  <c r="H407" i="43"/>
  <c r="H411" i="43"/>
  <c r="G410" i="43"/>
  <c r="G413" i="43"/>
  <c r="G431" i="43"/>
  <c r="G455" i="43" s="1"/>
  <c r="G21" i="52" s="1"/>
  <c r="G416" i="43"/>
  <c r="G440" i="43" s="1"/>
  <c r="G6" i="52" s="1"/>
  <c r="G434" i="43"/>
  <c r="G458" i="43" s="1"/>
  <c r="G24" i="52" s="1"/>
  <c r="G428" i="43"/>
  <c r="G452" i="43" s="1"/>
  <c r="G18" i="52" s="1"/>
  <c r="G429" i="43"/>
  <c r="G453" i="43" s="1"/>
  <c r="G19" i="52" s="1"/>
  <c r="G411" i="43"/>
  <c r="G427" i="43"/>
  <c r="G451" i="43" s="1"/>
  <c r="G17" i="52" s="1"/>
  <c r="G409" i="43"/>
  <c r="G405" i="43"/>
  <c r="G404" i="43"/>
  <c r="G422" i="43"/>
  <c r="G446" i="43" s="1"/>
  <c r="G12" i="52" s="1"/>
  <c r="G426" i="43"/>
  <c r="G450" i="43" s="1"/>
  <c r="G16" i="52" s="1"/>
  <c r="G408" i="43"/>
  <c r="G424" i="43"/>
  <c r="G448" i="43" s="1"/>
  <c r="G14" i="52" s="1"/>
  <c r="G433" i="43"/>
  <c r="G457" i="43" s="1"/>
  <c r="G23" i="52" s="1"/>
  <c r="G430" i="43"/>
  <c r="G454" i="43" s="1"/>
  <c r="G20" i="52" s="1"/>
  <c r="G406" i="43"/>
  <c r="G419" i="43"/>
  <c r="G443" i="43" s="1"/>
  <c r="G9" i="52" s="1"/>
  <c r="G423" i="43"/>
  <c r="G447" i="43" s="1"/>
  <c r="G13" i="52" s="1"/>
  <c r="G421" i="43"/>
  <c r="G445" i="43" s="1"/>
  <c r="G11" i="52" s="1"/>
  <c r="G418" i="43"/>
  <c r="G442" i="43" s="1"/>
  <c r="G8" i="52" s="1"/>
  <c r="G415" i="43"/>
  <c r="G439" i="43" s="1"/>
  <c r="G5" i="52" s="1"/>
  <c r="G432" i="43"/>
  <c r="G456" i="43" s="1"/>
  <c r="G22" i="52" s="1"/>
  <c r="G407" i="43"/>
  <c r="G420" i="43"/>
  <c r="G444" i="43" s="1"/>
  <c r="G10" i="52" s="1"/>
  <c r="G425" i="43"/>
  <c r="G449" i="43" s="1"/>
  <c r="G15" i="52" s="1"/>
  <c r="G417" i="43"/>
  <c r="G441" i="43" s="1"/>
  <c r="G7" i="52" s="1"/>
  <c r="G414" i="43"/>
  <c r="G438" i="43" s="1"/>
  <c r="G4" i="52" s="1"/>
  <c r="G412" i="43"/>
  <c r="B405" i="43"/>
  <c r="B424" i="43"/>
  <c r="B448" i="43" s="1"/>
  <c r="B14" i="52" s="1"/>
  <c r="B425" i="43"/>
  <c r="B449" i="43" s="1"/>
  <c r="B15" i="52" s="1"/>
  <c r="B413" i="43"/>
  <c r="B414" i="43"/>
  <c r="B438" i="43" s="1"/>
  <c r="B4" i="52" s="1"/>
  <c r="B408" i="43"/>
  <c r="B431" i="43"/>
  <c r="B455" i="43" s="1"/>
  <c r="B21" i="52" s="1"/>
  <c r="B422" i="43"/>
  <c r="B446" i="43" s="1"/>
  <c r="B12" i="52" s="1"/>
  <c r="B415" i="43"/>
  <c r="B439" i="43" s="1"/>
  <c r="B5" i="52" s="1"/>
  <c r="B417" i="43"/>
  <c r="B441" i="43" s="1"/>
  <c r="B7" i="52" s="1"/>
  <c r="B409" i="43"/>
  <c r="B406" i="43"/>
  <c r="B429" i="43"/>
  <c r="B453" i="43" s="1"/>
  <c r="B19" i="52" s="1"/>
  <c r="B433" i="43"/>
  <c r="B457" i="43" s="1"/>
  <c r="B23" i="52" s="1"/>
  <c r="B411" i="43"/>
  <c r="B416" i="43"/>
  <c r="B440" i="43" s="1"/>
  <c r="B6" i="52" s="1"/>
  <c r="B432" i="43"/>
  <c r="B456" i="43" s="1"/>
  <c r="B22" i="52" s="1"/>
  <c r="B404" i="43"/>
  <c r="B428" i="43"/>
  <c r="B452" i="43" s="1"/>
  <c r="B18" i="52" s="1"/>
  <c r="B420" i="43"/>
  <c r="B444" i="43" s="1"/>
  <c r="B10" i="52" s="1"/>
  <c r="B421" i="43"/>
  <c r="B445" i="43" s="1"/>
  <c r="B11" i="52" s="1"/>
  <c r="B410" i="43"/>
  <c r="B407" i="43"/>
  <c r="B427" i="43"/>
  <c r="B451" i="43" s="1"/>
  <c r="B17" i="52" s="1"/>
  <c r="B426" i="43"/>
  <c r="B450" i="43" s="1"/>
  <c r="B16" i="52" s="1"/>
  <c r="B434" i="43"/>
  <c r="B458" i="43" s="1"/>
  <c r="B24" i="52" s="1"/>
  <c r="B430" i="43"/>
  <c r="B454" i="43" s="1"/>
  <c r="B20" i="52" s="1"/>
  <c r="B423" i="43"/>
  <c r="B447" i="43" s="1"/>
  <c r="B13" i="52" s="1"/>
  <c r="B418" i="43"/>
  <c r="B442" i="43" s="1"/>
  <c r="B8" i="52" s="1"/>
  <c r="B419" i="43"/>
  <c r="B443" i="43" s="1"/>
  <c r="B9" i="52" s="1"/>
  <c r="B412" i="43"/>
  <c r="F415" i="43"/>
  <c r="F439" i="43" s="1"/>
  <c r="F5" i="52" s="1"/>
  <c r="F410" i="43"/>
  <c r="F420" i="43"/>
  <c r="F444" i="43" s="1"/>
  <c r="F10" i="52" s="1"/>
  <c r="F431" i="43"/>
  <c r="F455" i="43" s="1"/>
  <c r="F21" i="52" s="1"/>
  <c r="F423" i="43"/>
  <c r="F447" i="43" s="1"/>
  <c r="F13" i="52" s="1"/>
  <c r="F424" i="43"/>
  <c r="F448" i="43" s="1"/>
  <c r="F14" i="52" s="1"/>
  <c r="F419" i="43"/>
  <c r="F443" i="43" s="1"/>
  <c r="F9" i="52" s="1"/>
  <c r="F430" i="43"/>
  <c r="F454" i="43" s="1"/>
  <c r="F20" i="52" s="1"/>
  <c r="F416" i="43"/>
  <c r="F440" i="43" s="1"/>
  <c r="F6" i="52" s="1"/>
  <c r="F404" i="43"/>
  <c r="F427" i="43"/>
  <c r="F451" i="43" s="1"/>
  <c r="F17" i="52" s="1"/>
  <c r="F434" i="43"/>
  <c r="F458" i="43" s="1"/>
  <c r="F24" i="52" s="1"/>
  <c r="F421" i="43"/>
  <c r="F445" i="43" s="1"/>
  <c r="F11" i="52" s="1"/>
  <c r="F425" i="43"/>
  <c r="F449" i="43" s="1"/>
  <c r="F15" i="52" s="1"/>
  <c r="F426" i="43"/>
  <c r="F450" i="43" s="1"/>
  <c r="F16" i="52" s="1"/>
  <c r="F412" i="43"/>
  <c r="F409" i="43"/>
  <c r="F407" i="43"/>
  <c r="F417" i="43"/>
  <c r="F441" i="43" s="1"/>
  <c r="F7" i="52" s="1"/>
  <c r="F414" i="43"/>
  <c r="F438" i="43" s="1"/>
  <c r="F4" i="52" s="1"/>
  <c r="F422" i="43"/>
  <c r="F446" i="43" s="1"/>
  <c r="F12" i="52" s="1"/>
  <c r="F411" i="43"/>
  <c r="F405" i="43"/>
  <c r="F408" i="43"/>
  <c r="F432" i="43"/>
  <c r="F456" i="43" s="1"/>
  <c r="F22" i="52" s="1"/>
  <c r="F418" i="43"/>
  <c r="F442" i="43" s="1"/>
  <c r="F8" i="52" s="1"/>
  <c r="F413" i="43"/>
  <c r="F428" i="43"/>
  <c r="F452" i="43" s="1"/>
  <c r="F18" i="52" s="1"/>
  <c r="F429" i="43"/>
  <c r="F453" i="43" s="1"/>
  <c r="F19" i="52" s="1"/>
  <c r="F406" i="43"/>
  <c r="F433" i="43"/>
  <c r="F457" i="43" s="1"/>
  <c r="F23" i="52" s="1"/>
  <c r="D405" i="43"/>
  <c r="D408" i="43"/>
  <c r="D413" i="43"/>
  <c r="D415" i="43"/>
  <c r="D439" i="43" s="1"/>
  <c r="D5" i="52" s="1"/>
  <c r="D424" i="43"/>
  <c r="D448" i="43" s="1"/>
  <c r="D14" i="52" s="1"/>
  <c r="D433" i="43"/>
  <c r="D457" i="43" s="1"/>
  <c r="D23" i="52" s="1"/>
  <c r="D406" i="43"/>
  <c r="D417" i="43"/>
  <c r="D441" i="43" s="1"/>
  <c r="D7" i="52" s="1"/>
  <c r="D419" i="43"/>
  <c r="D443" i="43" s="1"/>
  <c r="D9" i="52" s="1"/>
  <c r="D426" i="43"/>
  <c r="D450" i="43" s="1"/>
  <c r="D16" i="52" s="1"/>
  <c r="D430" i="43"/>
  <c r="D454" i="43" s="1"/>
  <c r="D20" i="52" s="1"/>
  <c r="D414" i="43"/>
  <c r="D438" i="43" s="1"/>
  <c r="D4" i="52" s="1"/>
  <c r="D427" i="43"/>
  <c r="D451" i="43" s="1"/>
  <c r="D17" i="52" s="1"/>
  <c r="D431" i="43"/>
  <c r="D455" i="43" s="1"/>
  <c r="D21" i="52" s="1"/>
  <c r="D411" i="43"/>
  <c r="D416" i="43"/>
  <c r="D440" i="43" s="1"/>
  <c r="D6" i="52" s="1"/>
  <c r="D423" i="43"/>
  <c r="D447" i="43" s="1"/>
  <c r="D13" i="52" s="1"/>
  <c r="D428" i="43"/>
  <c r="D452" i="43" s="1"/>
  <c r="D18" i="52" s="1"/>
  <c r="D404" i="43"/>
  <c r="D409" i="43"/>
  <c r="D421" i="43"/>
  <c r="D445" i="43" s="1"/>
  <c r="D11" i="52" s="1"/>
  <c r="D434" i="43"/>
  <c r="D458" i="43" s="1"/>
  <c r="D24" i="52" s="1"/>
  <c r="D407" i="43"/>
  <c r="D418" i="43"/>
  <c r="D442" i="43" s="1"/>
  <c r="D8" i="52" s="1"/>
  <c r="D425" i="43"/>
  <c r="D449" i="43" s="1"/>
  <c r="D15" i="52" s="1"/>
  <c r="D429" i="43"/>
  <c r="D453" i="43" s="1"/>
  <c r="D19" i="52" s="1"/>
  <c r="D432" i="43"/>
  <c r="D456" i="43" s="1"/>
  <c r="D22" i="52" s="1"/>
  <c r="D410" i="43"/>
  <c r="D412" i="43"/>
  <c r="D420" i="43"/>
  <c r="D444" i="43" s="1"/>
  <c r="D10" i="52" s="1"/>
  <c r="D422" i="43"/>
  <c r="D446" i="43" s="1"/>
  <c r="D12" i="52" s="1"/>
  <c r="E405" i="43"/>
  <c r="E410" i="43"/>
  <c r="E420" i="43"/>
  <c r="E444" i="43" s="1"/>
  <c r="E10" i="52" s="1"/>
  <c r="E422" i="43"/>
  <c r="E446" i="43" s="1"/>
  <c r="E12" i="52" s="1"/>
  <c r="E408" i="43"/>
  <c r="E413" i="43"/>
  <c r="E415" i="43"/>
  <c r="E439" i="43" s="1"/>
  <c r="E5" i="52" s="1"/>
  <c r="E424" i="43"/>
  <c r="E448" i="43" s="1"/>
  <c r="E14" i="52" s="1"/>
  <c r="E433" i="43"/>
  <c r="E457" i="43" s="1"/>
  <c r="E23" i="52" s="1"/>
  <c r="E406" i="43"/>
  <c r="E417" i="43"/>
  <c r="E441" i="43" s="1"/>
  <c r="E7" i="52" s="1"/>
  <c r="E419" i="43"/>
  <c r="E443" i="43" s="1"/>
  <c r="E9" i="52" s="1"/>
  <c r="E426" i="43"/>
  <c r="E450" i="43" s="1"/>
  <c r="E16" i="52" s="1"/>
  <c r="E430" i="43"/>
  <c r="E454" i="43" s="1"/>
  <c r="E20" i="52" s="1"/>
  <c r="E411" i="43"/>
  <c r="E416" i="43"/>
  <c r="E440" i="43" s="1"/>
  <c r="E6" i="52" s="1"/>
  <c r="E423" i="43"/>
  <c r="E447" i="43" s="1"/>
  <c r="E13" i="52" s="1"/>
  <c r="E404" i="43"/>
  <c r="E434" i="43"/>
  <c r="E458" i="43" s="1"/>
  <c r="E24" i="52" s="1"/>
  <c r="E431" i="43"/>
  <c r="E455" i="43" s="1"/>
  <c r="E21" i="52" s="1"/>
  <c r="E418" i="43"/>
  <c r="E442" i="43" s="1"/>
  <c r="E8" i="52" s="1"/>
  <c r="E425" i="43"/>
  <c r="E449" i="43" s="1"/>
  <c r="E15" i="52" s="1"/>
  <c r="E427" i="43"/>
  <c r="E451" i="43" s="1"/>
  <c r="E17" i="52" s="1"/>
  <c r="E429" i="43"/>
  <c r="E453" i="43" s="1"/>
  <c r="E19" i="52" s="1"/>
  <c r="E414" i="43"/>
  <c r="E438" i="43" s="1"/>
  <c r="E4" i="52" s="1"/>
  <c r="E421" i="43"/>
  <c r="E445" i="43" s="1"/>
  <c r="E11" i="52" s="1"/>
  <c r="E409" i="43"/>
  <c r="E428" i="43"/>
  <c r="E452" i="43" s="1"/>
  <c r="E18" i="52" s="1"/>
  <c r="E432" i="43"/>
  <c r="E456" i="43" s="1"/>
  <c r="E22" i="52" s="1"/>
  <c r="E412" i="43"/>
  <c r="E407"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D76" i="52" l="1"/>
  <c r="D82" i="52"/>
  <c r="D88" i="52"/>
  <c r="D94" i="52"/>
  <c r="D100" i="52"/>
  <c r="D81" i="52"/>
  <c r="D77" i="52"/>
  <c r="D83" i="52"/>
  <c r="D89" i="52"/>
  <c r="D95" i="52"/>
  <c r="D101" i="52"/>
  <c r="D90" i="52"/>
  <c r="D93" i="52"/>
  <c r="D72" i="52"/>
  <c r="D78" i="52"/>
  <c r="D84" i="52"/>
  <c r="D96" i="52"/>
  <c r="D102" i="52"/>
  <c r="D73" i="52"/>
  <c r="D79" i="52"/>
  <c r="D85" i="52"/>
  <c r="D91" i="52"/>
  <c r="D97" i="52"/>
  <c r="D87" i="52"/>
  <c r="D74" i="52"/>
  <c r="D80" i="52"/>
  <c r="D86" i="52"/>
  <c r="D92" i="52"/>
  <c r="D98" i="52"/>
  <c r="D75" i="52"/>
  <c r="D99" i="52"/>
  <c r="H73" i="52"/>
  <c r="H79" i="52"/>
  <c r="H85" i="52"/>
  <c r="H91" i="52"/>
  <c r="H97" i="52"/>
  <c r="H78" i="52"/>
  <c r="H74" i="52"/>
  <c r="H80" i="52"/>
  <c r="H86" i="52"/>
  <c r="H92" i="52"/>
  <c r="H98" i="52"/>
  <c r="H75" i="52"/>
  <c r="H81" i="52"/>
  <c r="H93" i="52"/>
  <c r="H99" i="52"/>
  <c r="H90" i="52"/>
  <c r="H87" i="52"/>
  <c r="H84" i="52"/>
  <c r="H76" i="52"/>
  <c r="H82" i="52"/>
  <c r="H88" i="52"/>
  <c r="H94" i="52"/>
  <c r="H100" i="52"/>
  <c r="H96" i="52"/>
  <c r="H77" i="52"/>
  <c r="H83" i="52"/>
  <c r="H89" i="52"/>
  <c r="H95" i="52"/>
  <c r="H101" i="52"/>
  <c r="H72" i="52"/>
  <c r="H102" i="52"/>
  <c r="F87" i="52"/>
  <c r="F90" i="52"/>
  <c r="F89" i="52"/>
  <c r="F86" i="52"/>
  <c r="F82" i="52"/>
  <c r="F83" i="52"/>
  <c r="F81" i="52"/>
  <c r="F93" i="52"/>
  <c r="F97" i="52"/>
  <c r="F96" i="52"/>
  <c r="F91" i="52"/>
  <c r="F88" i="52"/>
  <c r="F98" i="52"/>
  <c r="F100" i="52"/>
  <c r="F94" i="52"/>
  <c r="F85" i="52"/>
  <c r="F99" i="52"/>
  <c r="F92" i="52"/>
  <c r="F84" i="52"/>
  <c r="F74" i="52"/>
  <c r="F73" i="52"/>
  <c r="F101" i="52"/>
  <c r="F72" i="52"/>
  <c r="F95" i="52"/>
  <c r="F80" i="52"/>
  <c r="F76" i="52"/>
  <c r="F79" i="52"/>
  <c r="F78" i="52"/>
  <c r="F77" i="52"/>
  <c r="F75" i="52"/>
  <c r="F102" i="52"/>
  <c r="B96" i="52"/>
  <c r="B90" i="52"/>
  <c r="B74" i="52"/>
  <c r="B100" i="52"/>
  <c r="B101" i="52"/>
  <c r="B79" i="52"/>
  <c r="B85" i="52"/>
  <c r="B86" i="52"/>
  <c r="B77" i="52"/>
  <c r="B80" i="52"/>
  <c r="B75" i="52"/>
  <c r="B76" i="52"/>
  <c r="B92" i="52"/>
  <c r="B81" i="52"/>
  <c r="B84" i="52"/>
  <c r="B78" i="52"/>
  <c r="B91" i="52"/>
  <c r="B102" i="52"/>
  <c r="B99" i="52"/>
  <c r="B97" i="52"/>
  <c r="B98" i="52"/>
  <c r="B87" i="52"/>
  <c r="B82" i="52"/>
  <c r="B83" i="52"/>
  <c r="B94" i="52"/>
  <c r="B72" i="52"/>
  <c r="B73" i="52"/>
  <c r="B93" i="52"/>
  <c r="B88" i="52"/>
  <c r="B89" i="52"/>
  <c r="B95" i="52"/>
  <c r="G72" i="52"/>
  <c r="G78" i="52"/>
  <c r="G84" i="52"/>
  <c r="G90" i="52"/>
  <c r="G96" i="52"/>
  <c r="G102" i="52"/>
  <c r="G83" i="52"/>
  <c r="G73" i="52"/>
  <c r="G79" i="52"/>
  <c r="G85" i="52"/>
  <c r="G91" i="52"/>
  <c r="G97" i="52"/>
  <c r="G80" i="52"/>
  <c r="G86" i="52"/>
  <c r="G98" i="52"/>
  <c r="G77" i="52"/>
  <c r="G74" i="52"/>
  <c r="G92" i="52"/>
  <c r="G89" i="52"/>
  <c r="G75" i="52"/>
  <c r="G81" i="52"/>
  <c r="G87" i="52"/>
  <c r="G93" i="52"/>
  <c r="G99" i="52"/>
  <c r="G95" i="52"/>
  <c r="G76" i="52"/>
  <c r="G82" i="52"/>
  <c r="G88" i="52"/>
  <c r="G94" i="52"/>
  <c r="G100" i="52"/>
  <c r="G101" i="52"/>
  <c r="C75" i="52"/>
  <c r="C81" i="52"/>
  <c r="C87" i="52"/>
  <c r="C93" i="52"/>
  <c r="C99" i="52"/>
  <c r="C74" i="52"/>
  <c r="C76" i="52"/>
  <c r="C82" i="52"/>
  <c r="C88" i="52"/>
  <c r="C94" i="52"/>
  <c r="C100" i="52"/>
  <c r="C83" i="52"/>
  <c r="C95" i="52"/>
  <c r="C86" i="52"/>
  <c r="C77" i="52"/>
  <c r="C89" i="52"/>
  <c r="C101" i="52"/>
  <c r="C80" i="52"/>
  <c r="C72" i="52"/>
  <c r="C78" i="52"/>
  <c r="C84" i="52"/>
  <c r="C90" i="52"/>
  <c r="C96" i="52"/>
  <c r="C102" i="52"/>
  <c r="C98" i="52"/>
  <c r="C73" i="52"/>
  <c r="C79" i="52"/>
  <c r="C85" i="52"/>
  <c r="C91" i="52"/>
  <c r="C97" i="52"/>
  <c r="C92" i="52"/>
  <c r="E77" i="52"/>
  <c r="E83" i="52"/>
  <c r="E89" i="52"/>
  <c r="E95" i="52"/>
  <c r="E101" i="52"/>
  <c r="E76" i="52"/>
  <c r="E72" i="52"/>
  <c r="E78" i="52"/>
  <c r="E84" i="52"/>
  <c r="E90" i="52"/>
  <c r="E96" i="52"/>
  <c r="E102" i="52"/>
  <c r="E94" i="52"/>
  <c r="E73" i="52"/>
  <c r="E79" i="52"/>
  <c r="E85" i="52"/>
  <c r="E91" i="52"/>
  <c r="E97" i="52"/>
  <c r="E82" i="52"/>
  <c r="E100" i="52"/>
  <c r="E74" i="52"/>
  <c r="E80" i="52"/>
  <c r="E86" i="52"/>
  <c r="E92" i="52"/>
  <c r="E98" i="52"/>
  <c r="E88" i="52"/>
  <c r="E75" i="52"/>
  <c r="E81" i="52"/>
  <c r="E87" i="52"/>
  <c r="E93" i="52"/>
  <c r="E99" i="52"/>
  <c r="H217" i="44" a="1"/>
  <c r="A8" i="43"/>
  <c r="M14" i="43"/>
  <c r="J73" i="52" l="1"/>
  <c r="G109" i="52" s="1"/>
  <c r="J84" i="52"/>
  <c r="R109" i="52" s="1"/>
  <c r="J77" i="52"/>
  <c r="K109" i="52" s="1"/>
  <c r="J74" i="52"/>
  <c r="H109" i="52" s="1"/>
  <c r="J72" i="52"/>
  <c r="F109" i="52" s="1"/>
  <c r="J81" i="52"/>
  <c r="O109" i="52" s="1"/>
  <c r="J86" i="52"/>
  <c r="T109" i="52" s="1"/>
  <c r="J90" i="52"/>
  <c r="X109" i="52" s="1"/>
  <c r="J95" i="52"/>
  <c r="AC109" i="52" s="1"/>
  <c r="J94" i="52"/>
  <c r="AB109" i="52" s="1"/>
  <c r="J92" i="52"/>
  <c r="Z109" i="52" s="1"/>
  <c r="J85" i="52"/>
  <c r="S109" i="52" s="1"/>
  <c r="J96" i="52"/>
  <c r="AD109" i="52" s="1"/>
  <c r="J89" i="52"/>
  <c r="W109" i="52" s="1"/>
  <c r="J83" i="52"/>
  <c r="Q109" i="52" s="1"/>
  <c r="J102" i="52"/>
  <c r="AJ109" i="52" s="1"/>
  <c r="J76" i="52"/>
  <c r="J109" i="52" s="1"/>
  <c r="J79" i="52"/>
  <c r="M109" i="52" s="1"/>
  <c r="J88" i="52"/>
  <c r="V109" i="52" s="1"/>
  <c r="J82" i="52"/>
  <c r="P109" i="52" s="1"/>
  <c r="J91" i="52"/>
  <c r="Y109" i="52" s="1"/>
  <c r="J75" i="52"/>
  <c r="I109" i="52" s="1"/>
  <c r="J101" i="52"/>
  <c r="AI109" i="52" s="1"/>
  <c r="J93" i="52"/>
  <c r="AA109" i="52" s="1"/>
  <c r="J87" i="52"/>
  <c r="U109" i="52" s="1"/>
  <c r="J78" i="52"/>
  <c r="L109" i="52" s="1"/>
  <c r="J80" i="52"/>
  <c r="N109" i="52" s="1"/>
  <c r="J100" i="52"/>
  <c r="AH109" i="52" s="1"/>
  <c r="H217" i="44"/>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J97" i="52" l="1"/>
  <c r="N148" i="52"/>
  <c r="N142" i="52"/>
  <c r="N143" i="52" s="1"/>
  <c r="N144" i="52"/>
  <c r="Y148" i="52"/>
  <c r="Y142" i="52"/>
  <c r="Y143" i="52" s="1"/>
  <c r="Y144" i="52"/>
  <c r="Q148" i="52"/>
  <c r="Q144" i="52"/>
  <c r="Q142" i="52"/>
  <c r="Q143" i="52" s="1"/>
  <c r="AB148" i="52"/>
  <c r="AB144" i="52"/>
  <c r="AB142" i="52"/>
  <c r="AB143" i="52" s="1"/>
  <c r="F142" i="52"/>
  <c r="F143" i="52" s="1"/>
  <c r="F148" i="52"/>
  <c r="F144" i="52"/>
  <c r="L148" i="52"/>
  <c r="L144" i="52"/>
  <c r="L142" i="52"/>
  <c r="L143" i="52" s="1"/>
  <c r="P142" i="52"/>
  <c r="P143" i="52" s="1"/>
  <c r="P148" i="52"/>
  <c r="P144" i="52"/>
  <c r="W148" i="52"/>
  <c r="W144" i="52"/>
  <c r="W142" i="52"/>
  <c r="W143" i="52" s="1"/>
  <c r="AC148" i="52"/>
  <c r="AC144" i="52"/>
  <c r="AC142" i="52"/>
  <c r="AC143" i="52" s="1"/>
  <c r="H148" i="52"/>
  <c r="H144" i="52"/>
  <c r="H142" i="52"/>
  <c r="H143" i="52" s="1"/>
  <c r="U148" i="52"/>
  <c r="U142" i="52"/>
  <c r="U143" i="52" s="1"/>
  <c r="U144" i="52"/>
  <c r="V148" i="52"/>
  <c r="V142" i="52"/>
  <c r="V143" i="52" s="1"/>
  <c r="V144" i="52"/>
  <c r="AD142" i="52"/>
  <c r="AD143" i="52" s="1"/>
  <c r="AD148" i="52"/>
  <c r="AD144" i="52"/>
  <c r="X148" i="52"/>
  <c r="X144" i="52"/>
  <c r="X142" i="52"/>
  <c r="X143" i="52" s="1"/>
  <c r="K148" i="52"/>
  <c r="K144" i="52"/>
  <c r="K142" i="52"/>
  <c r="K143" i="52" s="1"/>
  <c r="M148" i="52"/>
  <c r="M144" i="52"/>
  <c r="M142" i="52"/>
  <c r="M143" i="52" s="1"/>
  <c r="S144" i="52"/>
  <c r="S142" i="52"/>
  <c r="S143" i="52" s="1"/>
  <c r="S148" i="52"/>
  <c r="T148" i="52"/>
  <c r="T144" i="52"/>
  <c r="T142" i="52"/>
  <c r="T143" i="52" s="1"/>
  <c r="R148" i="52"/>
  <c r="R144" i="52"/>
  <c r="R142" i="52"/>
  <c r="R143" i="52" s="1"/>
  <c r="AI148" i="52"/>
  <c r="AI144" i="52"/>
  <c r="AI142" i="52"/>
  <c r="AI143" i="52" s="1"/>
  <c r="J148" i="52"/>
  <c r="J144" i="52"/>
  <c r="J142" i="52"/>
  <c r="J143" i="52" s="1"/>
  <c r="Z142" i="52"/>
  <c r="Z143" i="52" s="1"/>
  <c r="Z148" i="52"/>
  <c r="Z144" i="52"/>
  <c r="O148" i="52"/>
  <c r="O142" i="52"/>
  <c r="O143" i="52" s="1"/>
  <c r="O144" i="52"/>
  <c r="AA148" i="52"/>
  <c r="AA142" i="52"/>
  <c r="AA143" i="52" s="1"/>
  <c r="AA144" i="52"/>
  <c r="AH148" i="52"/>
  <c r="AH142" i="52"/>
  <c r="AH143" i="52" s="1"/>
  <c r="AH144" i="52"/>
  <c r="I148" i="52"/>
  <c r="I142" i="52"/>
  <c r="I143" i="52" s="1"/>
  <c r="I144" i="52"/>
  <c r="AJ148" i="52"/>
  <c r="AJ144" i="52"/>
  <c r="AJ142" i="52"/>
  <c r="AJ143" i="52" s="1"/>
  <c r="G142" i="52"/>
  <c r="G143" i="52" s="1"/>
  <c r="G148" i="52"/>
  <c r="G144" i="52"/>
  <c r="F224" i="44"/>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E109" i="52" l="1"/>
  <c r="J98" i="52"/>
  <c r="F150" i="52"/>
  <c r="A12" i="43"/>
  <c r="P14" i="43"/>
  <c r="AF109" i="52" l="1"/>
  <c r="J99" i="52"/>
  <c r="AG109" i="52" s="1"/>
  <c r="AE142" i="52"/>
  <c r="AE143" i="52" s="1"/>
  <c r="AE144" i="52"/>
  <c r="AE148" i="52"/>
  <c r="A13" i="43"/>
  <c r="Q14" i="43"/>
  <c r="AG148" i="52" l="1"/>
  <c r="AG142" i="52"/>
  <c r="AG143" i="52" s="1"/>
  <c r="AG144" i="52"/>
  <c r="AF144" i="52"/>
  <c r="AF148" i="52"/>
  <c r="AF142" i="52"/>
  <c r="AF143" i="52" s="1"/>
  <c r="R14" i="43"/>
  <c r="G146" i="52" l="1"/>
  <c r="I146" i="52" s="1"/>
  <c r="F149" i="52"/>
  <c r="K146" i="52"/>
  <c r="S14" i="43"/>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P457" i="43" s="1"/>
  <c r="P23" i="52" s="1"/>
  <c r="BE31" i="8"/>
  <c r="BE30" i="8"/>
  <c r="AS29" i="8"/>
  <c r="P430" i="43" s="1"/>
  <c r="P454" i="43" s="1"/>
  <c r="P20" i="52" s="1"/>
  <c r="BE28" i="8"/>
  <c r="BE27" i="8"/>
  <c r="AS26" i="8"/>
  <c r="P427" i="43" s="1"/>
  <c r="P451" i="43" s="1"/>
  <c r="P17" i="52" s="1"/>
  <c r="BE25" i="8"/>
  <c r="BE24" i="8"/>
  <c r="BE23" i="8"/>
  <c r="BE22" i="8"/>
  <c r="BE21" i="8"/>
  <c r="AS20" i="8"/>
  <c r="P421" i="43" s="1"/>
  <c r="P445" i="43" s="1"/>
  <c r="P11" i="52" s="1"/>
  <c r="BE19" i="8"/>
  <c r="BE18" i="8"/>
  <c r="AS17" i="8"/>
  <c r="P418" i="43" s="1"/>
  <c r="P442" i="43" s="1"/>
  <c r="P8" i="52" s="1"/>
  <c r="BE16" i="8"/>
  <c r="BE15" i="8"/>
  <c r="AS14" i="8"/>
  <c r="P415" i="43" s="1"/>
  <c r="P439" i="43" s="1"/>
  <c r="P5" i="52"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N458" i="43" s="1"/>
  <c r="N24" i="52" s="1"/>
  <c r="S32" i="8"/>
  <c r="AQ32" i="8" s="1"/>
  <c r="N433" i="43" s="1"/>
  <c r="N457" i="43" s="1"/>
  <c r="N23" i="52" s="1"/>
  <c r="S31" i="8"/>
  <c r="AQ31" i="8" s="1"/>
  <c r="N432" i="43" s="1"/>
  <c r="N456" i="43" s="1"/>
  <c r="N22" i="52" s="1"/>
  <c r="S30" i="8"/>
  <c r="AQ30" i="8" s="1"/>
  <c r="N431" i="43" s="1"/>
  <c r="N455" i="43" s="1"/>
  <c r="N21" i="52" s="1"/>
  <c r="S29" i="8"/>
  <c r="AQ29" i="8" s="1"/>
  <c r="N430" i="43" s="1"/>
  <c r="N454" i="43" s="1"/>
  <c r="N20" i="52" s="1"/>
  <c r="S28" i="8"/>
  <c r="AQ28" i="8" s="1"/>
  <c r="N429" i="43" s="1"/>
  <c r="N453" i="43" s="1"/>
  <c r="N19" i="52" s="1"/>
  <c r="S27" i="8"/>
  <c r="AQ27" i="8" s="1"/>
  <c r="N428" i="43" s="1"/>
  <c r="N452" i="43" s="1"/>
  <c r="N18" i="52" s="1"/>
  <c r="S26" i="8"/>
  <c r="AQ26" i="8" s="1"/>
  <c r="N427" i="43" s="1"/>
  <c r="N451" i="43" s="1"/>
  <c r="N17" i="52" s="1"/>
  <c r="S25" i="8"/>
  <c r="AQ25" i="8" s="1"/>
  <c r="N426" i="43" s="1"/>
  <c r="N450" i="43" s="1"/>
  <c r="N16" i="52" s="1"/>
  <c r="S24" i="8"/>
  <c r="AQ24" i="8" s="1"/>
  <c r="N425" i="43" s="1"/>
  <c r="N449" i="43" s="1"/>
  <c r="N15" i="52" s="1"/>
  <c r="S23" i="8"/>
  <c r="AQ23" i="8" s="1"/>
  <c r="N424" i="43" s="1"/>
  <c r="N448" i="43" s="1"/>
  <c r="N14" i="52" s="1"/>
  <c r="S22" i="8"/>
  <c r="AQ22" i="8" s="1"/>
  <c r="N423" i="43" s="1"/>
  <c r="N447" i="43" s="1"/>
  <c r="N13" i="52" s="1"/>
  <c r="S21" i="8"/>
  <c r="AQ21" i="8" s="1"/>
  <c r="N422" i="43" s="1"/>
  <c r="N446" i="43" s="1"/>
  <c r="N12" i="52" s="1"/>
  <c r="S20" i="8"/>
  <c r="AQ20" i="8" s="1"/>
  <c r="N421" i="43" s="1"/>
  <c r="N445" i="43" s="1"/>
  <c r="N11" i="52" s="1"/>
  <c r="S19" i="8"/>
  <c r="AQ19" i="8" s="1"/>
  <c r="N420" i="43" s="1"/>
  <c r="N444" i="43" s="1"/>
  <c r="N10" i="52" s="1"/>
  <c r="S18" i="8"/>
  <c r="AQ18" i="8" s="1"/>
  <c r="N419" i="43" s="1"/>
  <c r="N443" i="43" s="1"/>
  <c r="N9" i="52" s="1"/>
  <c r="S17" i="8"/>
  <c r="AQ17" i="8" s="1"/>
  <c r="N418" i="43" s="1"/>
  <c r="N442" i="43" s="1"/>
  <c r="N8" i="52" s="1"/>
  <c r="S16" i="8"/>
  <c r="AQ16" i="8" s="1"/>
  <c r="N417" i="43" s="1"/>
  <c r="N441" i="43" s="1"/>
  <c r="N7" i="52" s="1"/>
  <c r="S15" i="8"/>
  <c r="AQ15" i="8" s="1"/>
  <c r="N416" i="43" s="1"/>
  <c r="N440" i="43" s="1"/>
  <c r="N6" i="52" s="1"/>
  <c r="S14" i="8"/>
  <c r="AQ14" i="8" s="1"/>
  <c r="N415" i="43" s="1"/>
  <c r="N439" i="43" s="1"/>
  <c r="N5" i="52" s="1"/>
  <c r="S13" i="8"/>
  <c r="AQ13" i="8" s="1"/>
  <c r="N414" i="43" s="1"/>
  <c r="N438" i="43" s="1"/>
  <c r="N4" i="52"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P447" i="43" s="1"/>
  <c r="P13" i="52" s="1"/>
  <c r="AS23" i="8"/>
  <c r="P424" i="43" s="1"/>
  <c r="P448" i="43" s="1"/>
  <c r="P14" i="52" s="1"/>
  <c r="AO4" i="8"/>
  <c r="L405" i="43" s="1"/>
  <c r="AO6" i="8"/>
  <c r="L407" i="43" s="1"/>
  <c r="AO10" i="8"/>
  <c r="L411" i="43" s="1"/>
  <c r="AO30" i="8"/>
  <c r="L431" i="43" s="1"/>
  <c r="L455" i="43" s="1"/>
  <c r="L21" i="52" s="1"/>
  <c r="BA13" i="8"/>
  <c r="BA15" i="8"/>
  <c r="BA19" i="8"/>
  <c r="AS28" i="8"/>
  <c r="P429" i="43" s="1"/>
  <c r="P453" i="43" s="1"/>
  <c r="P19" i="52" s="1"/>
  <c r="AS9" i="8"/>
  <c r="P410" i="43" s="1"/>
  <c r="AS5" i="8"/>
  <c r="P406" i="43" s="1"/>
  <c r="BE32" i="8"/>
  <c r="AS18" i="8"/>
  <c r="P419" i="43" s="1"/>
  <c r="P443" i="43" s="1"/>
  <c r="P9" i="52" s="1"/>
  <c r="AS7" i="8"/>
  <c r="P408" i="43" s="1"/>
  <c r="BA12" i="8"/>
  <c r="BA16" i="8"/>
  <c r="BA18" i="8"/>
  <c r="BA22" i="8"/>
  <c r="BA24" i="8"/>
  <c r="BA28" i="8"/>
  <c r="AO7" i="8"/>
  <c r="L408" i="43" s="1"/>
  <c r="AO9" i="8"/>
  <c r="L410" i="43" s="1"/>
  <c r="AO21" i="8"/>
  <c r="L422" i="43" s="1"/>
  <c r="L446" i="43" s="1"/>
  <c r="L12" i="52" s="1"/>
  <c r="AO25" i="8"/>
  <c r="L426" i="43" s="1"/>
  <c r="L450" i="43" s="1"/>
  <c r="L16" i="52" s="1"/>
  <c r="AO27" i="8"/>
  <c r="L428" i="43" s="1"/>
  <c r="L452" i="43" s="1"/>
  <c r="L18" i="52" s="1"/>
  <c r="AO31" i="8"/>
  <c r="L432" i="43" s="1"/>
  <c r="L456" i="43" s="1"/>
  <c r="L22" i="52" s="1"/>
  <c r="AO33" i="8"/>
  <c r="L434" i="43" s="1"/>
  <c r="L458" i="43" s="1"/>
  <c r="L24" i="52" s="1"/>
  <c r="AS15" i="8"/>
  <c r="P416" i="43" s="1"/>
  <c r="P440" i="43" s="1"/>
  <c r="P6" i="52" s="1"/>
  <c r="BE11" i="8"/>
  <c r="BE29" i="8"/>
  <c r="AS24" i="8"/>
  <c r="P425" i="43" s="1"/>
  <c r="P449" i="43" s="1"/>
  <c r="P15" i="52" s="1"/>
  <c r="AS13" i="8"/>
  <c r="P414" i="43" s="1"/>
  <c r="P438" i="43" s="1"/>
  <c r="P4" i="52" s="1"/>
  <c r="AS21" i="8"/>
  <c r="P422" i="43" s="1"/>
  <c r="P446" i="43" s="1"/>
  <c r="P12" i="52" s="1"/>
  <c r="AS30" i="8"/>
  <c r="P431" i="43" s="1"/>
  <c r="P455" i="43" s="1"/>
  <c r="P21" i="52" s="1"/>
  <c r="BE8" i="8"/>
  <c r="AS19" i="8"/>
  <c r="P420" i="43" s="1"/>
  <c r="P444" i="43" s="1"/>
  <c r="P10" i="52" s="1"/>
  <c r="AS27" i="8"/>
  <c r="P428" i="43" s="1"/>
  <c r="P452" i="43" s="1"/>
  <c r="P18" i="52" s="1"/>
  <c r="AS4" i="8"/>
  <c r="P405" i="43" s="1"/>
  <c r="BE20" i="8"/>
  <c r="BE17" i="8"/>
  <c r="AS31" i="8"/>
  <c r="P432" i="43" s="1"/>
  <c r="P456" i="43" s="1"/>
  <c r="P22" i="52" s="1"/>
  <c r="AS25" i="8"/>
  <c r="P426" i="43" s="1"/>
  <c r="P450" i="43" s="1"/>
  <c r="P16" i="52" s="1"/>
  <c r="AS33" i="8"/>
  <c r="P434" i="43" s="1"/>
  <c r="P458" i="43" s="1"/>
  <c r="P24" i="52" s="1"/>
  <c r="AS10" i="8"/>
  <c r="P411" i="43" s="1"/>
  <c r="AS6" i="8"/>
  <c r="P407" i="43" s="1"/>
  <c r="BE26" i="8"/>
  <c r="BE14" i="8"/>
  <c r="AS16" i="8"/>
  <c r="P417" i="43" s="1"/>
  <c r="P441" i="43" s="1"/>
  <c r="P7" i="52" s="1"/>
  <c r="AS12" i="8"/>
  <c r="P413" i="43" s="1"/>
  <c r="AR3" i="8"/>
  <c r="O404" i="43" s="1"/>
  <c r="BD3" i="8"/>
  <c r="T5" i="8"/>
  <c r="AR7" i="8"/>
  <c r="O408" i="43" s="1"/>
  <c r="BD7" i="8"/>
  <c r="AR9" i="8"/>
  <c r="O410" i="43" s="1"/>
  <c r="BD9" i="8"/>
  <c r="T11" i="8"/>
  <c r="AR13" i="8"/>
  <c r="O414" i="43" s="1"/>
  <c r="O438" i="43" s="1"/>
  <c r="O4" i="52" s="1"/>
  <c r="BD13" i="8"/>
  <c r="AR15" i="8"/>
  <c r="O416" i="43" s="1"/>
  <c r="O440" i="43" s="1"/>
  <c r="O6" i="52" s="1"/>
  <c r="BD15" i="8"/>
  <c r="T17" i="8"/>
  <c r="AR19" i="8"/>
  <c r="O420" i="43" s="1"/>
  <c r="O444" i="43" s="1"/>
  <c r="O10" i="52" s="1"/>
  <c r="BD19" i="8"/>
  <c r="AR21" i="8"/>
  <c r="O422" i="43" s="1"/>
  <c r="O446" i="43" s="1"/>
  <c r="O12" i="52" s="1"/>
  <c r="BD21" i="8"/>
  <c r="T23" i="8"/>
  <c r="AR25" i="8"/>
  <c r="O426" i="43" s="1"/>
  <c r="O450" i="43" s="1"/>
  <c r="O16" i="52" s="1"/>
  <c r="BD25" i="8"/>
  <c r="AR27" i="8"/>
  <c r="O428" i="43" s="1"/>
  <c r="O452" i="43" s="1"/>
  <c r="O18" i="52" s="1"/>
  <c r="BD27" i="8"/>
  <c r="T29" i="8"/>
  <c r="AR31" i="8"/>
  <c r="O432" i="43" s="1"/>
  <c r="O456" i="43" s="1"/>
  <c r="O22" i="52" s="1"/>
  <c r="BD31" i="8"/>
  <c r="AR33" i="8"/>
  <c r="O434" i="43" s="1"/>
  <c r="O458" i="43" s="1"/>
  <c r="O24" i="52" s="1"/>
  <c r="BD33" i="8"/>
  <c r="AR4" i="8"/>
  <c r="O405" i="43" s="1"/>
  <c r="BD4" i="8"/>
  <c r="AR6" i="8"/>
  <c r="O407" i="43" s="1"/>
  <c r="BD6" i="8"/>
  <c r="T8" i="8"/>
  <c r="AR10" i="8"/>
  <c r="O411" i="43" s="1"/>
  <c r="BD10" i="8"/>
  <c r="AR12" i="8"/>
  <c r="O413" i="43" s="1"/>
  <c r="BD12" i="8"/>
  <c r="T14" i="8"/>
  <c r="AR16" i="8"/>
  <c r="O417" i="43" s="1"/>
  <c r="O441" i="43" s="1"/>
  <c r="O7" i="52" s="1"/>
  <c r="BD16" i="8"/>
  <c r="AR18" i="8"/>
  <c r="O419" i="43" s="1"/>
  <c r="O443" i="43" s="1"/>
  <c r="O9" i="52" s="1"/>
  <c r="BD18" i="8"/>
  <c r="T20" i="8"/>
  <c r="AR22" i="8"/>
  <c r="O423" i="43" s="1"/>
  <c r="O447" i="43" s="1"/>
  <c r="O13" i="52" s="1"/>
  <c r="BD22" i="8"/>
  <c r="AR24" i="8"/>
  <c r="O425" i="43" s="1"/>
  <c r="O449" i="43" s="1"/>
  <c r="O15" i="52" s="1"/>
  <c r="BD24" i="8"/>
  <c r="T26" i="8"/>
  <c r="AR28" i="8"/>
  <c r="O429" i="43" s="1"/>
  <c r="O453" i="43" s="1"/>
  <c r="O19" i="52" s="1"/>
  <c r="BD28" i="8"/>
  <c r="AR30" i="8"/>
  <c r="O431" i="43" s="1"/>
  <c r="O455" i="43" s="1"/>
  <c r="O21" i="52"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M446" i="43" s="1"/>
  <c r="M12" i="52" s="1"/>
  <c r="BB21" i="8"/>
  <c r="AP4" i="8"/>
  <c r="M405" i="43" s="1"/>
  <c r="BB4" i="8"/>
  <c r="AP6" i="8"/>
  <c r="M407" i="43" s="1"/>
  <c r="BB6" i="8"/>
  <c r="AP8" i="8"/>
  <c r="M409" i="43" s="1"/>
  <c r="BB8" i="8"/>
  <c r="AP29" i="8"/>
  <c r="M430" i="43" s="1"/>
  <c r="M454" i="43" s="1"/>
  <c r="M20" i="52" s="1"/>
  <c r="BB29" i="8"/>
  <c r="AP31" i="8"/>
  <c r="M432" i="43" s="1"/>
  <c r="M456" i="43" s="1"/>
  <c r="M22" i="52" s="1"/>
  <c r="BB31" i="8"/>
  <c r="AP33" i="8"/>
  <c r="BB33" i="8"/>
  <c r="AP23" i="8"/>
  <c r="M424" i="43" s="1"/>
  <c r="M448" i="43" s="1"/>
  <c r="M14" i="52" s="1"/>
  <c r="BB23" i="8"/>
  <c r="AP10" i="8"/>
  <c r="M411" i="43" s="1"/>
  <c r="BB10" i="8"/>
  <c r="AP12" i="8"/>
  <c r="M413" i="43" s="1"/>
  <c r="BB12" i="8"/>
  <c r="AP14" i="8"/>
  <c r="M415" i="43" s="1"/>
  <c r="M439" i="43" s="1"/>
  <c r="M5" i="52" s="1"/>
  <c r="BB14" i="8"/>
  <c r="AP16" i="8"/>
  <c r="M417" i="43" s="1"/>
  <c r="M441" i="43" s="1"/>
  <c r="M7" i="52" s="1"/>
  <c r="BB16" i="8"/>
  <c r="AP18" i="8"/>
  <c r="M419" i="43" s="1"/>
  <c r="M443" i="43" s="1"/>
  <c r="M9" i="52" s="1"/>
  <c r="BB18" i="8"/>
  <c r="AP25" i="8"/>
  <c r="M426" i="43" s="1"/>
  <c r="M450" i="43" s="1"/>
  <c r="M16" i="52" s="1"/>
  <c r="BB25" i="8"/>
  <c r="AP20" i="8"/>
  <c r="M421" i="43" s="1"/>
  <c r="M445" i="43" s="1"/>
  <c r="M11" i="52" s="1"/>
  <c r="BB20" i="8"/>
  <c r="AP22" i="8"/>
  <c r="M423" i="43" s="1"/>
  <c r="M447" i="43" s="1"/>
  <c r="M13" i="52" s="1"/>
  <c r="BB22" i="8"/>
  <c r="AP24" i="8"/>
  <c r="M425" i="43" s="1"/>
  <c r="M449" i="43" s="1"/>
  <c r="M15" i="52" s="1"/>
  <c r="BB24" i="8"/>
  <c r="AP26" i="8"/>
  <c r="BB26" i="8"/>
  <c r="AP27" i="8"/>
  <c r="M428" i="43" s="1"/>
  <c r="M452" i="43" s="1"/>
  <c r="M18" i="52" s="1"/>
  <c r="BB27" i="8"/>
  <c r="AP3" i="8"/>
  <c r="M404" i="43" s="1"/>
  <c r="BB3" i="8"/>
  <c r="AP5" i="8"/>
  <c r="M406" i="43" s="1"/>
  <c r="BB5" i="8"/>
  <c r="AP7" i="8"/>
  <c r="M408" i="43" s="1"/>
  <c r="BB7" i="8"/>
  <c r="AP9" i="8"/>
  <c r="M410" i="43" s="1"/>
  <c r="BB9" i="8"/>
  <c r="AP28" i="8"/>
  <c r="M429" i="43" s="1"/>
  <c r="M453" i="43" s="1"/>
  <c r="M19" i="52" s="1"/>
  <c r="BB28" i="8"/>
  <c r="AP30" i="8"/>
  <c r="M431" i="43" s="1"/>
  <c r="M455" i="43" s="1"/>
  <c r="M21" i="52" s="1"/>
  <c r="BB30" i="8"/>
  <c r="AP32" i="8"/>
  <c r="M433" i="43" s="1"/>
  <c r="M457" i="43" s="1"/>
  <c r="M23" i="52" s="1"/>
  <c r="BB32" i="8"/>
  <c r="AP19" i="8"/>
  <c r="BB19" i="8"/>
  <c r="AP11" i="8"/>
  <c r="M412" i="43" s="1"/>
  <c r="BB11" i="8"/>
  <c r="AP13" i="8"/>
  <c r="M414" i="43" s="1"/>
  <c r="M438" i="43" s="1"/>
  <c r="M4" i="52" s="1"/>
  <c r="BB13" i="8"/>
  <c r="AP15" i="8"/>
  <c r="M416" i="43" s="1"/>
  <c r="M440" i="43" s="1"/>
  <c r="M6" i="52" s="1"/>
  <c r="BB15" i="8"/>
  <c r="AP17" i="8"/>
  <c r="M418" i="43" s="1"/>
  <c r="M442" i="43" s="1"/>
  <c r="M8" i="52" s="1"/>
  <c r="BB17" i="8"/>
  <c r="AO8" i="8"/>
  <c r="L409" i="43" s="1"/>
  <c r="BA8" i="8"/>
  <c r="BA7" i="8"/>
  <c r="BA9" i="8"/>
  <c r="AO12" i="8"/>
  <c r="L413" i="43" s="1"/>
  <c r="Q14" i="8"/>
  <c r="AO16" i="8"/>
  <c r="L417" i="43" s="1"/>
  <c r="L441" i="43" s="1"/>
  <c r="L7" i="52" s="1"/>
  <c r="AO18" i="8"/>
  <c r="L419" i="43" s="1"/>
  <c r="L443" i="43" s="1"/>
  <c r="L9" i="52" s="1"/>
  <c r="AO20" i="8"/>
  <c r="L421" i="43" s="1"/>
  <c r="L445" i="43" s="1"/>
  <c r="L11" i="52" s="1"/>
  <c r="BA20" i="8"/>
  <c r="BA30" i="8"/>
  <c r="Q23" i="8"/>
  <c r="AO22" i="8"/>
  <c r="L423" i="43" s="1"/>
  <c r="L447" i="43" s="1"/>
  <c r="L13" i="52" s="1"/>
  <c r="AO24" i="8"/>
  <c r="L425" i="43" s="1"/>
  <c r="L449" i="43" s="1"/>
  <c r="L15" i="52" s="1"/>
  <c r="AO26" i="8"/>
  <c r="BA26" i="8"/>
  <c r="AO28" i="8"/>
  <c r="L429" i="43" s="1"/>
  <c r="L453" i="43" s="1"/>
  <c r="L19" i="52" s="1"/>
  <c r="AO3" i="8"/>
  <c r="L404" i="43" s="1"/>
  <c r="BA3" i="8"/>
  <c r="AO11" i="8"/>
  <c r="L412" i="43" s="1"/>
  <c r="BA11" i="8"/>
  <c r="BA21" i="8"/>
  <c r="BA25" i="8"/>
  <c r="BA27" i="8"/>
  <c r="Q32" i="8"/>
  <c r="AO29" i="8"/>
  <c r="L430" i="43" s="1"/>
  <c r="L454" i="43" s="1"/>
  <c r="L20" i="52" s="1"/>
  <c r="BA29" i="8"/>
  <c r="Q5" i="8"/>
  <c r="BA4" i="8"/>
  <c r="BA6" i="8"/>
  <c r="BA10" i="8"/>
  <c r="AO13" i="8"/>
  <c r="L414" i="43" s="1"/>
  <c r="L438" i="43" s="1"/>
  <c r="L4" i="52" s="1"/>
  <c r="AO15" i="8"/>
  <c r="AO17" i="8"/>
  <c r="L418" i="43" s="1"/>
  <c r="L442" i="43" s="1"/>
  <c r="L8" i="52" s="1"/>
  <c r="BA17" i="8"/>
  <c r="AO19" i="8"/>
  <c r="L420" i="43" s="1"/>
  <c r="L444" i="43" s="1"/>
  <c r="L10" i="52" s="1"/>
  <c r="BA31" i="8"/>
  <c r="BA33" i="8"/>
  <c r="AN3" i="8"/>
  <c r="K404" i="43" s="1"/>
  <c r="AZ3" i="8"/>
  <c r="AN7" i="8"/>
  <c r="AZ7" i="8"/>
  <c r="AN9" i="8"/>
  <c r="AZ9" i="8"/>
  <c r="AN11" i="8"/>
  <c r="K412" i="43" s="1"/>
  <c r="AZ11" i="8"/>
  <c r="AN13" i="8"/>
  <c r="AZ13" i="8"/>
  <c r="AN15" i="8"/>
  <c r="AZ15" i="8"/>
  <c r="AN17" i="8"/>
  <c r="K418" i="43" s="1"/>
  <c r="K442" i="43" s="1"/>
  <c r="K8" i="52" s="1"/>
  <c r="AZ17" i="8"/>
  <c r="AN19" i="8"/>
  <c r="AZ19" i="8"/>
  <c r="AN21" i="8"/>
  <c r="K422" i="43" s="1"/>
  <c r="K446" i="43" s="1"/>
  <c r="K12" i="52" s="1"/>
  <c r="AZ21" i="8"/>
  <c r="AN23" i="8"/>
  <c r="K424" i="43" s="1"/>
  <c r="K448" i="43" s="1"/>
  <c r="K14" i="52" s="1"/>
  <c r="AZ23" i="8"/>
  <c r="AN25" i="8"/>
  <c r="K426" i="43" s="1"/>
  <c r="K450" i="43" s="1"/>
  <c r="K16" i="52" s="1"/>
  <c r="AZ25" i="8"/>
  <c r="AN27" i="8"/>
  <c r="AZ27" i="8"/>
  <c r="AN29" i="8"/>
  <c r="K430" i="43" s="1"/>
  <c r="K454" i="43" s="1"/>
  <c r="K20" i="52" s="1"/>
  <c r="AZ29" i="8"/>
  <c r="AN31" i="8"/>
  <c r="AZ31" i="8"/>
  <c r="AN33" i="8"/>
  <c r="K434" i="43" s="1"/>
  <c r="K458" i="43" s="1"/>
  <c r="K24" i="52" s="1"/>
  <c r="AZ33" i="8"/>
  <c r="AN5" i="8"/>
  <c r="AZ5" i="8"/>
  <c r="AN4" i="8"/>
  <c r="K405" i="43" s="1"/>
  <c r="AZ4" i="8"/>
  <c r="AN8" i="8"/>
  <c r="AZ8" i="8"/>
  <c r="AN10" i="8"/>
  <c r="K411" i="43" s="1"/>
  <c r="AZ10" i="8"/>
  <c r="AN12" i="8"/>
  <c r="AZ12" i="8"/>
  <c r="AN14" i="8"/>
  <c r="K415" i="43" s="1"/>
  <c r="K439" i="43" s="1"/>
  <c r="K5" i="52" s="1"/>
  <c r="AZ14" i="8"/>
  <c r="AN16" i="8"/>
  <c r="K417" i="43" s="1"/>
  <c r="K441" i="43" s="1"/>
  <c r="K7" i="52" s="1"/>
  <c r="AZ16" i="8"/>
  <c r="AN18" i="8"/>
  <c r="K419" i="43" s="1"/>
  <c r="K443" i="43" s="1"/>
  <c r="K9" i="52" s="1"/>
  <c r="AZ18" i="8"/>
  <c r="AN20" i="8"/>
  <c r="K421" i="43" s="1"/>
  <c r="K445" i="43" s="1"/>
  <c r="K11" i="52" s="1"/>
  <c r="AZ20" i="8"/>
  <c r="AN22" i="8"/>
  <c r="K423" i="43" s="1"/>
  <c r="K447" i="43" s="1"/>
  <c r="K13" i="52" s="1"/>
  <c r="AZ22" i="8"/>
  <c r="AN24" i="8"/>
  <c r="K425" i="43" s="1"/>
  <c r="K449" i="43" s="1"/>
  <c r="K15" i="52" s="1"/>
  <c r="AZ24" i="8"/>
  <c r="AN26" i="8"/>
  <c r="AZ26" i="8"/>
  <c r="AN28" i="8"/>
  <c r="K429" i="43" s="1"/>
  <c r="K453" i="43" s="1"/>
  <c r="K19" i="52" s="1"/>
  <c r="AZ28" i="8"/>
  <c r="AN30" i="8"/>
  <c r="K431" i="43" s="1"/>
  <c r="K455" i="43" s="1"/>
  <c r="K21" i="52" s="1"/>
  <c r="AZ30" i="8"/>
  <c r="AN32" i="8"/>
  <c r="K433" i="43" s="1"/>
  <c r="K457" i="43" s="1"/>
  <c r="K23" i="52" s="1"/>
  <c r="AZ32" i="8"/>
  <c r="AN6" i="8"/>
  <c r="K407" i="43" s="1"/>
  <c r="AZ6" i="8"/>
  <c r="C169" i="43"/>
  <c r="Y286" i="43" l="1"/>
  <c r="M427" i="43"/>
  <c r="M451" i="43" s="1"/>
  <c r="M17" i="52" s="1"/>
  <c r="R286" i="43"/>
  <c r="M420" i="43"/>
  <c r="M444" i="43" s="1"/>
  <c r="M10" i="52" s="1"/>
  <c r="AF286" i="43"/>
  <c r="M434" i="43"/>
  <c r="M458" i="43" s="1"/>
  <c r="M24" i="52" s="1"/>
  <c r="N247" i="43"/>
  <c r="L416" i="43"/>
  <c r="L440" i="43" s="1"/>
  <c r="L6" i="52" s="1"/>
  <c r="Y247" i="43"/>
  <c r="L427" i="43"/>
  <c r="L451" i="43" s="1"/>
  <c r="L17" i="52" s="1"/>
  <c r="Y169" i="43"/>
  <c r="K427" i="43"/>
  <c r="K451" i="43" s="1"/>
  <c r="K17" i="52" s="1"/>
  <c r="G208" i="43"/>
  <c r="K409" i="43"/>
  <c r="Z169" i="43"/>
  <c r="K428" i="43"/>
  <c r="K452" i="43" s="1"/>
  <c r="K18" i="52" s="1"/>
  <c r="N169" i="43"/>
  <c r="K416" i="43"/>
  <c r="K440" i="43" s="1"/>
  <c r="K6" i="52" s="1"/>
  <c r="H169" i="43"/>
  <c r="K410" i="43"/>
  <c r="D169" i="43"/>
  <c r="K406" i="43"/>
  <c r="R169" i="43"/>
  <c r="K420" i="43"/>
  <c r="K444" i="43" s="1"/>
  <c r="K10" i="52" s="1"/>
  <c r="F169" i="43"/>
  <c r="K408" i="43"/>
  <c r="K208" i="43"/>
  <c r="K413" i="43"/>
  <c r="AD169" i="43"/>
  <c r="K432" i="43"/>
  <c r="K456" i="43" s="1"/>
  <c r="K22" i="52" s="1"/>
  <c r="L169" i="43"/>
  <c r="K414" i="43"/>
  <c r="K438" i="43" s="1"/>
  <c r="K4" i="52" s="1"/>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O454" i="43" s="1"/>
  <c r="O20" i="52" s="1"/>
  <c r="BD29" i="8"/>
  <c r="AR23" i="8"/>
  <c r="O424" i="43" s="1"/>
  <c r="O448" i="43" s="1"/>
  <c r="O14" i="52" s="1"/>
  <c r="BD23" i="8"/>
  <c r="AR17" i="8"/>
  <c r="O418" i="43" s="1"/>
  <c r="O442" i="43" s="1"/>
  <c r="O8" i="52" s="1"/>
  <c r="BD17" i="8"/>
  <c r="AR11" i="8"/>
  <c r="O412" i="43" s="1"/>
  <c r="BD11" i="8"/>
  <c r="AR5" i="8"/>
  <c r="O406" i="43" s="1"/>
  <c r="BD5" i="8"/>
  <c r="AR32" i="8"/>
  <c r="O433" i="43" s="1"/>
  <c r="O457" i="43" s="1"/>
  <c r="O23" i="52" s="1"/>
  <c r="BD32" i="8"/>
  <c r="AR26" i="8"/>
  <c r="O427" i="43" s="1"/>
  <c r="O451" i="43" s="1"/>
  <c r="O17" i="52" s="1"/>
  <c r="BD26" i="8"/>
  <c r="AR20" i="8"/>
  <c r="BD20" i="8"/>
  <c r="AR14" i="8"/>
  <c r="O415" i="43" s="1"/>
  <c r="O439" i="43" s="1"/>
  <c r="O5" i="52" s="1"/>
  <c r="BD14" i="8"/>
  <c r="AR8" i="8"/>
  <c r="O409" i="43" s="1"/>
  <c r="BD8" i="8"/>
  <c r="AO5" i="8"/>
  <c r="BA5" i="8"/>
  <c r="AO23" i="8"/>
  <c r="BA23" i="8"/>
  <c r="AO32" i="8"/>
  <c r="BA32" i="8"/>
  <c r="AO14" i="8"/>
  <c r="BA14" i="8"/>
  <c r="W16" i="43" l="1"/>
  <c r="O421" i="43"/>
  <c r="O445" i="43" s="1"/>
  <c r="O11" i="52" s="1"/>
  <c r="V247" i="43"/>
  <c r="L424" i="43"/>
  <c r="L448" i="43" s="1"/>
  <c r="L14" i="52" s="1"/>
  <c r="AE247" i="43"/>
  <c r="L433" i="43"/>
  <c r="L457" i="43" s="1"/>
  <c r="L23" i="52" s="1"/>
  <c r="M247" i="43"/>
  <c r="L415" i="43"/>
  <c r="L439" i="43" s="1"/>
  <c r="L5" i="52" s="1"/>
  <c r="D247" i="43"/>
  <c r="L406" i="43"/>
  <c r="G130" i="43"/>
  <c r="J409" i="43"/>
  <c r="T130" i="43"/>
  <c r="J422" i="43"/>
  <c r="J446" i="43" s="1"/>
  <c r="J12" i="52" s="1"/>
  <c r="I130" i="43"/>
  <c r="J411" i="43"/>
  <c r="X130" i="43"/>
  <c r="J426" i="43"/>
  <c r="J450" i="43" s="1"/>
  <c r="J16" i="52" s="1"/>
  <c r="AE130" i="43"/>
  <c r="J433" i="43"/>
  <c r="J457" i="43" s="1"/>
  <c r="J23" i="52" s="1"/>
  <c r="R130" i="43"/>
  <c r="J420" i="43"/>
  <c r="J444" i="43" s="1"/>
  <c r="J10" i="52" s="1"/>
  <c r="N130" i="43"/>
  <c r="J416" i="43"/>
  <c r="J440" i="43" s="1"/>
  <c r="J6" i="52" s="1"/>
  <c r="E130" i="43"/>
  <c r="J407" i="43"/>
  <c r="AB130" i="43"/>
  <c r="J430" i="43"/>
  <c r="J454" i="43" s="1"/>
  <c r="J20" i="52" s="1"/>
  <c r="P130" i="43"/>
  <c r="J418" i="43"/>
  <c r="J442" i="43" s="1"/>
  <c r="J8" i="52" s="1"/>
  <c r="O130" i="43"/>
  <c r="J417" i="43"/>
  <c r="J441" i="43" s="1"/>
  <c r="J7" i="52" s="1"/>
  <c r="F130" i="43"/>
  <c r="J408" i="43"/>
  <c r="Z130" i="43"/>
  <c r="J428" i="43"/>
  <c r="J452" i="43" s="1"/>
  <c r="J18" i="52" s="1"/>
  <c r="S130" i="43"/>
  <c r="J421" i="43"/>
  <c r="J445" i="43" s="1"/>
  <c r="J11" i="52" s="1"/>
  <c r="W130" i="43"/>
  <c r="J425" i="43"/>
  <c r="J449" i="43" s="1"/>
  <c r="J15" i="52" s="1"/>
  <c r="D130" i="43"/>
  <c r="J406" i="43"/>
  <c r="AF130" i="43"/>
  <c r="J434" i="43"/>
  <c r="J458" i="43" s="1"/>
  <c r="J24" i="52" s="1"/>
  <c r="M130" i="43"/>
  <c r="J415" i="43"/>
  <c r="J439" i="43" s="1"/>
  <c r="J5" i="52" s="1"/>
  <c r="V130" i="43"/>
  <c r="J424" i="43"/>
  <c r="J448" i="43" s="1"/>
  <c r="J14" i="52" s="1"/>
  <c r="K130" i="43"/>
  <c r="J413" i="43"/>
  <c r="Q130" i="43"/>
  <c r="J419" i="43"/>
  <c r="J443" i="43" s="1"/>
  <c r="J9" i="52" s="1"/>
  <c r="L130" i="43"/>
  <c r="J414" i="43"/>
  <c r="J438" i="43" s="1"/>
  <c r="J4" i="52" s="1"/>
  <c r="Y130" i="43"/>
  <c r="J427" i="43"/>
  <c r="J451" i="43" s="1"/>
  <c r="J17" i="52" s="1"/>
  <c r="J130" i="43"/>
  <c r="J412" i="43"/>
  <c r="AD130" i="43"/>
  <c r="J432" i="43"/>
  <c r="J456" i="43" s="1"/>
  <c r="J22" i="52" s="1"/>
  <c r="AC130" i="43"/>
  <c r="J431" i="43"/>
  <c r="J455" i="43" s="1"/>
  <c r="J21" i="52" s="1"/>
  <c r="C130" i="43"/>
  <c r="J405" i="43"/>
  <c r="AA130" i="43"/>
  <c r="J429" i="43"/>
  <c r="J453" i="43" s="1"/>
  <c r="J19" i="52" s="1"/>
  <c r="H130" i="43"/>
  <c r="J410" i="43"/>
  <c r="U130" i="43"/>
  <c r="J423" i="43"/>
  <c r="J447" i="43" s="1"/>
  <c r="J13" i="52" s="1"/>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T216" i="43"/>
  <c r="AE216" i="43"/>
  <c r="Z333" i="43"/>
  <c r="Y333" i="43"/>
  <c r="F177" i="43"/>
  <c r="U294" i="43"/>
  <c r="O24" i="43"/>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<sst xmlns="http://schemas.openxmlformats.org/spreadsheetml/2006/main" count="326" uniqueCount="166">
  <si>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</si>
  <si>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</si>
  <si>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</si>
  <si>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</si>
  <si>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</si>
  <si>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</si>
  <si>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</si>
  <si>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</si>
  <si>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</si>
  <si>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</si>
  <si>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</si>
  <si>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</si>
  <si>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</si>
  <si>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</si>
  <si>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</si>
  <si>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</si>
  <si>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</si>
  <si>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</si>
  <si>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</si>
  <si>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</si>
  <si>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</si>
  <si>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</si>
  <si>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</si>
  <si>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</si>
  <si>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</si>
  <si>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</si>
  <si>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</si>
  <si>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</si>
  <si>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</si>
  <si>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</si>
  <si>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</si>
  <si>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</si>
  <si>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</si>
  <si>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</si>
  <si>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</si>
  <si>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</si>
  <si>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</si>
  <si>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</si>
  <si>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</si>
  <si>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</si>
  <si>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</si>
  <si>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</si>
  <si>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</si>
  <si>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</si>
  <si>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</si>
  <si>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</si>
  <si>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</si>
  <si>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</si>
  <si>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</si>
  <si>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</si>
  <si>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</si>
  <si>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</si>
  <si>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</si>
  <si>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</si>
  <si>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</si>
  <si>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</si>
  <si>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</si>
  <si>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</si>
  <si>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</si>
  <si>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</si>
  <si>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</si>
  <si>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</si>
  <si>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</si>
  <si>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</si>
  <si>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</si>
  <si>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</si>
  <si>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</si>
  <si>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</si>
  <si>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</si>
  <si>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</si>
  <si>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</si>
  <si>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</si>
  <si>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</si>
  <si>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</si>
  <si>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</si>
  <si>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</si>
  <si>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</si>
  <si>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</si>
  <si>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</si>
  <si>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</si>
  <si>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</si>
  <si>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</si>
  <si>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</si>
  <si>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</si>
  <si>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</si>
  <si>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</si>
  <si>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</si>
  <si>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</si>
  <si>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</si>
  <si>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</si>
  <si>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</si>
  <si>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</si>
  <si>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</si>
  <si>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</si>
  <si>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</si>
  <si>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</si>
  <si>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</si>
  <si>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</si>
  <si>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</si>
  <si>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</si>
  <si>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</si>
  <si>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</si>
  <si>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</si>
  <si>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</si>
  <si>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</si>
  <si>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</si>
  <si>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</si>
  <si>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</si>
  <si>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</si>
  <si>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</si>
  <si>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</si>
  <si>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</si>
  <si>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</si>
  <si>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</si>
  <si>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</si>
  <si>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</si>
  <si>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</si>
  <si>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</si>
  <si>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</si>
  <si>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</si>
  <si>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</si>
  <si>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</si>
  <si>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</si>
  <si>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</si>
  <si>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</si>
  <si>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</si>
  <si>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</si>
  <si>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</si>
  <si>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</si>
  <si>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</si>
  <si>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</si>
  <si>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</si>
  <si>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</si>
  <si>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</si>
  <si>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</si>
  <si>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</si>
  <si>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</si>
  <si>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</si>
  <si>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</si>
  <si>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</si>
  <si>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</si>
  <si>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</si>
  <si>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</si>
  <si>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</si>
  <si>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</si>
  <si>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</si>
  <si>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</si>
  <si>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</si>
  <si>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</si>
  <si>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</si>
  <si>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</si>
  <si>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</si>
  <si>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</si>
  <si>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</si>
  <si>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</si>
  <si>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</si>
  <si>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</si>
  <si>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</si>
  <si>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</si>
  <si>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</si>
  <si>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</si>
  <si>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</si>
  <si>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</si>
  <si>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</si>
  <si>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Intervall: +-</t>
  </si>
  <si>
    <t>log10(t)</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</si>
</sst>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 numFmtId="182" formatCode="_-* #,##0\ _€_-;\-* #,##0\ _€_-;_-* &quot;-&quot;??\ _€_-;_-@_-"/>
    <numFmt numFmtId="183" formatCode="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35">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3" fillId="0" borderId="0" xfId="0" applyFont="1" applyAlignment="1">
      <alignment horizontal="center"/>
    </xf>
    <xf numFmtId="182" fontId="0" fillId="0" borderId="0" xfId="2" applyNumberFormat="1" applyFont="1" applyFill="1"/>
    <xf numFmtId="182" fontId="0" fillId="0" borderId="0" xfId="2" applyNumberFormat="1" applyFont="1" applyFill="1" applyAlignment="1">
      <alignment horizontal="left"/>
    </xf>
    <xf numFmtId="0" fontId="0" fillId="6" borderId="0" xfId="0" applyFill="1"/>
    <xf numFmtId="11" fontId="0" fillId="6" borderId="0" xfId="1" applyNumberFormat="1" applyFont="1" applyFill="1"/>
    <xf numFmtId="11" fontId="0" fillId="6" borderId="0" xfId="2" applyNumberFormat="1" applyFont="1" applyFill="1"/>
    <xf numFmtId="0" fontId="1" fillId="5" borderId="0" xfId="0" applyFont="1" applyFill="1"/>
    <xf numFmtId="0" fontId="0" fillId="7" borderId="0" xfId="0" applyFill="1"/>
    <xf numFmtId="0" fontId="0" fillId="14" borderId="0" xfId="0" applyNumberFormat="1" applyFill="1"/>
    <xf numFmtId="1" fontId="0" fillId="14" borderId="0" xfId="0" applyNumberFormat="1" applyFill="1"/>
    <xf numFmtId="11" fontId="0" fillId="15" borderId="0" xfId="0" applyNumberFormat="1" applyFill="1"/>
    <xf numFmtId="0" fontId="0" fillId="0" borderId="0" xfId="0" applyNumberFormat="1"/>
    <xf numFmtId="183" fontId="0" fillId="0" borderId="0" xfId="0" applyNumberFormat="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50413984"/>
        <c:axId val="45040888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41398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08888"/>
        <c:crossesAt val="-8.0000000000000019E-3"/>
        <c:crossBetween val="midCat"/>
      </c:valAx>
      <c:valAx>
        <c:axId val="4504088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13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0412416"/>
        <c:axId val="45041437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41241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14376"/>
        <c:crosses val="autoZero"/>
        <c:crossBetween val="midCat"/>
      </c:valAx>
      <c:valAx>
        <c:axId val="45041437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41241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209488600"/>
        <c:axId val="45506901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20948860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69016"/>
        <c:crosses val="autoZero"/>
        <c:crossBetween val="midCat"/>
        <c:majorUnit val="10000"/>
      </c:valAx>
      <c:valAx>
        <c:axId val="455069016"/>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48860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5072936"/>
        <c:axId val="4550748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50729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5074896"/>
        <c:crosses val="autoZero"/>
        <c:crossBetween val="midCat"/>
        <c:majorUnit val="10000"/>
      </c:valAx>
      <c:valAx>
        <c:axId val="455074896"/>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507293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5072152"/>
        <c:axId val="4550733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507215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3328"/>
        <c:crosses val="autoZero"/>
        <c:crossBetween val="midCat"/>
        <c:majorUnit val="10000"/>
      </c:valAx>
      <c:valAx>
        <c:axId val="455073328"/>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2152"/>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1.0964660085299354E-2</c:v>
                </c:pt>
                <c:pt idx="1">
                  <c:v>1.4708483036990251E-2</c:v>
                </c:pt>
                <c:pt idx="2">
                  <c:v>3.9809703184751849E-3</c:v>
                </c:pt>
                <c:pt idx="3">
                  <c:v>6.6617860088595711E-4</c:v>
                </c:pt>
                <c:pt idx="4">
                  <c:v>9.462411079747507E-5</c:v>
                </c:pt>
                <c:pt idx="5">
                  <c:v>1.2781365922657719E-5</c:v>
                </c:pt>
                <c:pt idx="6">
                  <c:v>1.449143320680835E-6</c:v>
                </c:pt>
                <c:pt idx="7">
                  <c:v>3.6821199730400571E-7</c:v>
                </c:pt>
                <c:pt idx="8">
                  <c:v>9.6156744182597658E-6</c:v>
                </c:pt>
                <c:pt idx="9">
                  <c:v>2.3550223109722595E-5</c:v>
                </c:pt>
                <c:pt idx="10">
                  <c:v>3.5069141817937038E-5</c:v>
                </c:pt>
                <c:pt idx="11">
                  <c:v>4.8325334745953513E-5</c:v>
                </c:pt>
                <c:pt idx="12">
                  <c:v>6.1179537982366465E-5</c:v>
                </c:pt>
                <c:pt idx="13">
                  <c:v>7.1529788888977254E-5</c:v>
                </c:pt>
                <c:pt idx="14">
                  <c:v>7.5068628440182523E-5</c:v>
                </c:pt>
                <c:pt idx="15">
                  <c:v>6.2093477552017397E-5</c:v>
                </c:pt>
                <c:pt idx="16">
                  <c:v>4.1467498817767021E-5</c:v>
                </c:pt>
                <c:pt idx="17">
                  <c:v>2.8279430769312451E-5</c:v>
                </c:pt>
                <c:pt idx="18">
                  <c:v>1.8976381075418331E-5</c:v>
                </c:pt>
                <c:pt idx="19">
                  <c:v>1.0267507958431788E-5</c:v>
                </c:pt>
                <c:pt idx="20">
                  <c:v>5.257570511567976E-6</c:v>
                </c:pt>
                <c:pt idx="21">
                  <c:v>1.7468466070576871E-6</c:v>
                </c:pt>
                <c:pt idx="22">
                  <c:v>1.6461792288785674E-7</c:v>
                </c:pt>
                <c:pt idx="23">
                  <c:v>4.2508763618070771E-6</c:v>
                </c:pt>
                <c:pt idx="24">
                  <c:v>6.9222913194256435E-6</c:v>
                </c:pt>
                <c:pt idx="25">
                  <c:v>1.4438543220290313E-5</c:v>
                </c:pt>
                <c:pt idx="26">
                  <c:v>5.9367143830152381E-5</c:v>
                </c:pt>
                <c:pt idx="27">
                  <c:v>1.3819151237870822E-4</c:v>
                </c:pt>
                <c:pt idx="28">
                  <c:v>1.9902810696951855E-4</c:v>
                </c:pt>
                <c:pt idx="29">
                  <c:v>2.6504466096181065E-4</c:v>
                </c:pt>
                <c:pt idx="30">
                  <c:v>1.65308515954401E-4</c:v>
                </c:pt>
              </c:numCache>
            </c:numRef>
          </c:yVal>
          <c:smooth val="1"/>
        </c:ser>
        <c:dLbls>
          <c:showLegendKey val="0"/>
          <c:showVal val="0"/>
          <c:showCatName val="0"/>
          <c:showSerName val="0"/>
          <c:showPercent val="0"/>
          <c:showBubbleSize val="0"/>
        </c:dLbls>
        <c:axId val="455071368"/>
        <c:axId val="455073720"/>
      </c:scatterChart>
      <c:valAx>
        <c:axId val="455071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3720"/>
        <c:crossesAt val="-1.5000000000000005E-3"/>
        <c:crossBetween val="midCat"/>
      </c:valAx>
      <c:valAx>
        <c:axId val="45507372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136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5480.575532648817</c:v>
                </c:pt>
                <c:pt idx="1">
                  <c:v>5421.7813890152793</c:v>
                </c:pt>
                <c:pt idx="2">
                  <c:v>5209.6624209008151</c:v>
                </c:pt>
                <c:pt idx="3">
                  <c:v>5123.5555334820274</c:v>
                </c:pt>
                <c:pt idx="4">
                  <c:v>4997.8370250706303</c:v>
                </c:pt>
                <c:pt idx="5">
                  <c:v>4868.3522095816661</c:v>
                </c:pt>
                <c:pt idx="6">
                  <c:v>4722.7355246440211</c:v>
                </c:pt>
                <c:pt idx="7">
                  <c:v>4566.4631092244745</c:v>
                </c:pt>
                <c:pt idx="8">
                  <c:v>4408.392391630452</c:v>
                </c:pt>
                <c:pt idx="9">
                  <c:v>4256.3004297775778</c:v>
                </c:pt>
                <c:pt idx="10">
                  <c:v>4088.5463208166743</c:v>
                </c:pt>
                <c:pt idx="11">
                  <c:v>3886.7331206744675</c:v>
                </c:pt>
                <c:pt idx="12">
                  <c:v>3673.8228698979851</c:v>
                </c:pt>
                <c:pt idx="13">
                  <c:v>3490.7461694803906</c:v>
                </c:pt>
                <c:pt idx="14">
                  <c:v>3328.3977349299175</c:v>
                </c:pt>
                <c:pt idx="15">
                  <c:v>3162.8512884343731</c:v>
                </c:pt>
                <c:pt idx="16">
                  <c:v>2988.9354447497799</c:v>
                </c:pt>
                <c:pt idx="17">
                  <c:v>2798.2643400857478</c:v>
                </c:pt>
                <c:pt idx="18">
                  <c:v>2599.4537438899133</c:v>
                </c:pt>
                <c:pt idx="19">
                  <c:v>2390.0925754461196</c:v>
                </c:pt>
                <c:pt idx="20">
                  <c:v>2175.3889044011426</c:v>
                </c:pt>
                <c:pt idx="21">
                  <c:v>1944.7472889565177</c:v>
                </c:pt>
                <c:pt idx="22">
                  <c:v>1692.3072485840821</c:v>
                </c:pt>
                <c:pt idx="23">
                  <c:v>1404.8639708380645</c:v>
                </c:pt>
                <c:pt idx="24">
                  <c:v>1091.4349714988748</c:v>
                </c:pt>
                <c:pt idx="25">
                  <c:v>790.56625552738922</c:v>
                </c:pt>
                <c:pt idx="26">
                  <c:v>554.40937258971564</c:v>
                </c:pt>
                <c:pt idx="27">
                  <c:v>402.35845919627394</c:v>
                </c:pt>
                <c:pt idx="28">
                  <c:v>323.45910074497533</c:v>
                </c:pt>
                <c:pt idx="29">
                  <c:v>284.42673799120098</c:v>
                </c:pt>
                <c:pt idx="30">
                  <c:v>264.8835036094876</c:v>
                </c:pt>
              </c:numCache>
            </c:numRef>
          </c:yVal>
          <c:smooth val="1"/>
        </c:ser>
        <c:dLbls>
          <c:showLegendKey val="0"/>
          <c:showVal val="0"/>
          <c:showCatName val="0"/>
          <c:showSerName val="0"/>
          <c:showPercent val="0"/>
          <c:showBubbleSize val="0"/>
        </c:dLbls>
        <c:axId val="455070976"/>
        <c:axId val="455074504"/>
      </c:scatterChart>
      <c:valAx>
        <c:axId val="45507097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4504"/>
        <c:crosses val="autoZero"/>
        <c:crossBetween val="midCat"/>
      </c:valAx>
      <c:valAx>
        <c:axId val="4550745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097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2.4243889674764401E-3</c:v>
                </c:pt>
                <c:pt idx="1">
                  <c:v>2.4302193186453535E-3</c:v>
                </c:pt>
                <c:pt idx="2">
                  <c:v>2.4266291147423931E-3</c:v>
                </c:pt>
                <c:pt idx="3">
                  <c:v>2.4256343226227196E-3</c:v>
                </c:pt>
                <c:pt idx="4">
                  <c:v>2.426552170530455E-3</c:v>
                </c:pt>
                <c:pt idx="5">
                  <c:v>2.4388996324836557E-3</c:v>
                </c:pt>
                <c:pt idx="6">
                  <c:v>2.5632953919450131E-3</c:v>
                </c:pt>
                <c:pt idx="7">
                  <c:v>3.7699854694196503E-3</c:v>
                </c:pt>
                <c:pt idx="8">
                  <c:v>1.2768499345405127E-2</c:v>
                </c:pt>
                <c:pt idx="9">
                  <c:v>2.4802223772176678E-2</c:v>
                </c:pt>
                <c:pt idx="10">
                  <c:v>2.4846824429338953E-2</c:v>
                </c:pt>
                <c:pt idx="11">
                  <c:v>2.4831317596025915E-2</c:v>
                </c:pt>
                <c:pt idx="12">
                  <c:v>2.4677939268734309E-2</c:v>
                </c:pt>
                <c:pt idx="13">
                  <c:v>2.3237833063173344E-2</c:v>
                </c:pt>
                <c:pt idx="14">
                  <c:v>1.3108382336290402E-2</c:v>
                </c:pt>
                <c:pt idx="15">
                  <c:v>2.042560025816122E-2</c:v>
                </c:pt>
                <c:pt idx="16">
                  <c:v>2.066175054866233E-2</c:v>
                </c:pt>
                <c:pt idx="17">
                  <c:v>2.1471206283453323E-2</c:v>
                </c:pt>
                <c:pt idx="18">
                  <c:v>2.3294018063316758E-2</c:v>
                </c:pt>
                <c:pt idx="19">
                  <c:v>2.5242594808608576E-2</c:v>
                </c:pt>
                <c:pt idx="20">
                  <c:v>2.3640593975559246E-2</c:v>
                </c:pt>
                <c:pt idx="21">
                  <c:v>1.278400005974714E-2</c:v>
                </c:pt>
                <c:pt idx="22">
                  <c:v>4.0988060929322365E-3</c:v>
                </c:pt>
                <c:pt idx="23">
                  <c:v>1.7360733584596066E-2</c:v>
                </c:pt>
                <c:pt idx="24">
                  <c:v>2.2243520089141513E-2</c:v>
                </c:pt>
                <c:pt idx="25">
                  <c:v>2.5874785990767767E-2</c:v>
                </c:pt>
                <c:pt idx="26">
                  <c:v>3.4894300615197209E-2</c:v>
                </c:pt>
                <c:pt idx="27">
                  <c:v>4.2275193921460535E-2</c:v>
                </c:pt>
                <c:pt idx="28">
                  <c:v>4.109195141804009E-2</c:v>
                </c:pt>
                <c:pt idx="29">
                  <c:v>3.6966997942115908E-2</c:v>
                </c:pt>
                <c:pt idx="30">
                  <c:v>2.2529228293671582E-2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2.1503382923728057E-2</c:v>
                </c:pt>
                <c:pt idx="1">
                  <c:v>2.1342358539226208E-2</c:v>
                </c:pt>
                <c:pt idx="2">
                  <c:v>1.9733066653476308E-2</c:v>
                </c:pt>
                <c:pt idx="3">
                  <c:v>6.5941122599920132E-3</c:v>
                </c:pt>
                <c:pt idx="4">
                  <c:v>1.1006862280935491E-2</c:v>
                </c:pt>
                <c:pt idx="5">
                  <c:v>8.0451897269383389E-3</c:v>
                </c:pt>
                <c:pt idx="6">
                  <c:v>3.0394533547155756E-3</c:v>
                </c:pt>
                <c:pt idx="7">
                  <c:v>4.40408698333721E-3</c:v>
                </c:pt>
                <c:pt idx="8">
                  <c:v>4.6668875679961239E-3</c:v>
                </c:pt>
                <c:pt idx="9">
                  <c:v>5.2293280115064365E-3</c:v>
                </c:pt>
                <c:pt idx="10">
                  <c:v>5.6187298665242944E-3</c:v>
                </c:pt>
                <c:pt idx="11">
                  <c:v>5.6535305064799373E-3</c:v>
                </c:pt>
                <c:pt idx="12">
                  <c:v>5.7284083141101423E-3</c:v>
                </c:pt>
                <c:pt idx="13">
                  <c:v>6.9864913554364052E-3</c:v>
                </c:pt>
                <c:pt idx="14">
                  <c:v>8.1979056737321934E-3</c:v>
                </c:pt>
                <c:pt idx="15">
                  <c:v>7.8757778300196455E-3</c:v>
                </c:pt>
                <c:pt idx="16">
                  <c:v>4.385708300332249E-3</c:v>
                </c:pt>
                <c:pt idx="17">
                  <c:v>3.0589735473537617E-3</c:v>
                </c:pt>
                <c:pt idx="18">
                  <c:v>1.5827283434466672E-2</c:v>
                </c:pt>
                <c:pt idx="19">
                  <c:v>2.2788302541918562E-2</c:v>
                </c:pt>
                <c:pt idx="20">
                  <c:v>2.1336862090344029E-2</c:v>
                </c:pt>
                <c:pt idx="21">
                  <c:v>1.4653669867689437E-2</c:v>
                </c:pt>
                <c:pt idx="22">
                  <c:v>8.9545114310187936E-3</c:v>
                </c:pt>
                <c:pt idx="23">
                  <c:v>2.2763025471087273E-3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1.0982384289760633E-2</c:v>
                </c:pt>
                <c:pt idx="1">
                  <c:v>1.4561984907642853E-2</c:v>
                </c:pt>
                <c:pt idx="2">
                  <c:v>4.1577916526970493E-3</c:v>
                </c:pt>
                <c:pt idx="3">
                  <c:v>5.635992424061207E-4</c:v>
                </c:pt>
                <c:pt idx="4">
                  <c:v>2.5475876279166458E-4</c:v>
                </c:pt>
                <c:pt idx="5">
                  <c:v>1.5776712092216546E-4</c:v>
                </c:pt>
                <c:pt idx="6">
                  <c:v>2.0671016138932552E-4</c:v>
                </c:pt>
                <c:pt idx="7">
                  <c:v>2.2659581407014434E-4</c:v>
                </c:pt>
                <c:pt idx="8">
                  <c:v>2.4405543739865223E-4</c:v>
                </c:pt>
                <c:pt idx="9">
                  <c:v>2.1235437629028156E-4</c:v>
                </c:pt>
                <c:pt idx="10">
                  <c:v>3.2611883075657857E-4</c:v>
                </c:pt>
                <c:pt idx="11">
                  <c:v>3.1340613839778348E-4</c:v>
                </c:pt>
                <c:pt idx="12">
                  <c:v>4.1638768906286796E-4</c:v>
                </c:pt>
                <c:pt idx="13">
                  <c:v>2.0889214146246725E-4</c:v>
                </c:pt>
                <c:pt idx="14">
                  <c:v>3.7312365986586345E-4</c:v>
                </c:pt>
                <c:pt idx="15">
                  <c:v>2.371963279953314E-4</c:v>
                </c:pt>
                <c:pt idx="16">
                  <c:v>3.9091290108912979E-4</c:v>
                </c:pt>
                <c:pt idx="17">
                  <c:v>3.4004718960960461E-4</c:v>
                </c:pt>
                <c:pt idx="18">
                  <c:v>4.3613599822451307E-4</c:v>
                </c:pt>
                <c:pt idx="19">
                  <c:v>4.2552242874586337E-4</c:v>
                </c:pt>
                <c:pt idx="20">
                  <c:v>5.4710754949894799E-4</c:v>
                </c:pt>
                <c:pt idx="21">
                  <c:v>5.264188659520843E-4</c:v>
                </c:pt>
                <c:pt idx="22">
                  <c:v>1.064264121825806E-3</c:v>
                </c:pt>
                <c:pt idx="23">
                  <c:v>1.3653326322154245E-3</c:v>
                </c:pt>
                <c:pt idx="24">
                  <c:v>1.8394355336922425E-3</c:v>
                </c:pt>
                <c:pt idx="25">
                  <c:v>2.2123341054156097E-3</c:v>
                </c:pt>
                <c:pt idx="26">
                  <c:v>2.2391730847020098E-3</c:v>
                </c:pt>
                <c:pt idx="27">
                  <c:v>1.6140456152611983E-3</c:v>
                </c:pt>
                <c:pt idx="28">
                  <c:v>1.140174133728635E-3</c:v>
                </c:pt>
                <c:pt idx="29">
                  <c:v>3.8127434714740519E-4</c:v>
                </c:pt>
                <c:pt idx="30">
                  <c:v>5.2148576291662335E-4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pt idx="0" formatCode="_-* #,##0\ _€_-;\-* #,##0\ _€_-;_-* &quot;-&quot;??\ _€_-;_-@_-">
                  <c:v>5</c:v>
                </c:pt>
                <c:pt idx="2" formatCode="_-* #,##0\ _€_-;\-* #,##0\ _€_-;_-* &quot;-&quot;??\ _€_-;_-@_-">
                  <c:v>11</c:v>
                </c:pt>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5.1834787852745819E-4</c:v>
                </c:pt>
                <c:pt idx="1">
                  <c:v>1.4515707642446595E-2</c:v>
                </c:pt>
                <c:pt idx="2">
                  <c:v>1.3072147938675368E-2</c:v>
                </c:pt>
                <c:pt idx="3">
                  <c:v>6.3970221702982074E-3</c:v>
                </c:pt>
                <c:pt idx="4">
                  <c:v>5.4427520516034692E-3</c:v>
                </c:pt>
                <c:pt idx="5">
                  <c:v>1.363247349956611E-2</c:v>
                </c:pt>
                <c:pt idx="6">
                  <c:v>1.9570747539471363E-2</c:v>
                </c:pt>
                <c:pt idx="7">
                  <c:v>2.1778301013841084E-2</c:v>
                </c:pt>
                <c:pt idx="8">
                  <c:v>1.2927349130620625E-2</c:v>
                </c:pt>
                <c:pt idx="9">
                  <c:v>1.2979659072798544E-2</c:v>
                </c:pt>
                <c:pt idx="10">
                  <c:v>5.6044858991207381E-3</c:v>
                </c:pt>
                <c:pt idx="11">
                  <c:v>2.8192305992445744E-2</c:v>
                </c:pt>
                <c:pt idx="12">
                  <c:v>3.9440837442583039E-2</c:v>
                </c:pt>
                <c:pt idx="13">
                  <c:v>4.3327541966004086E-2</c:v>
                </c:pt>
                <c:pt idx="14">
                  <c:v>2.0864413202141146E-2</c:v>
                </c:pt>
                <c:pt idx="15">
                  <c:v>1.4068868337161438E-2</c:v>
                </c:pt>
                <c:pt idx="16">
                  <c:v>6.0217999668917633E-3</c:v>
                </c:pt>
                <c:pt idx="17">
                  <c:v>5.7552724370353164E-3</c:v>
                </c:pt>
                <c:pt idx="18">
                  <c:v>0.16826538114131076</c:v>
                </c:pt>
                <c:pt idx="19">
                  <c:v>0.20818871230570135</c:v>
                </c:pt>
                <c:pt idx="20">
                  <c:v>0.16106682654216417</c:v>
                </c:pt>
                <c:pt idx="21">
                  <c:v>0.14237252509876988</c:v>
                </c:pt>
                <c:pt idx="22">
                  <c:v>0.13922495050224307</c:v>
                </c:pt>
                <c:pt idx="23">
                  <c:v>0.13881495072745867</c:v>
                </c:pt>
                <c:pt idx="24">
                  <c:v>0.13755448205869503</c:v>
                </c:pt>
                <c:pt idx="25">
                  <c:v>0.13615876112828593</c:v>
                </c:pt>
                <c:pt idx="26">
                  <c:v>0.13571842564656661</c:v>
                </c:pt>
                <c:pt idx="27">
                  <c:v>0.13529668804685224</c:v>
                </c:pt>
                <c:pt idx="28">
                  <c:v>0.13494023235391178</c:v>
                </c:pt>
                <c:pt idx="29">
                  <c:v>0.13483624012507284</c:v>
                </c:pt>
                <c:pt idx="30">
                  <c:v>0.13478117034871717</c:v>
                </c:pt>
              </c:numCache>
            </c:numRef>
          </c:yVal>
          <c:smooth val="1"/>
        </c:ser>
        <c:dLbls>
          <c:showLegendKey val="0"/>
          <c:showVal val="0"/>
          <c:showCatName val="0"/>
          <c:showSerName val="0"/>
          <c:showPercent val="0"/>
          <c:showBubbleSize val="0"/>
        </c:dLbls>
        <c:axId val="455074112"/>
        <c:axId val="455072544"/>
      </c:scatterChart>
      <c:valAx>
        <c:axId val="4550741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2544"/>
        <c:crossesAt val="1.0000000000000005E-9"/>
        <c:crossBetween val="midCat"/>
      </c:valAx>
      <c:valAx>
        <c:axId val="455072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41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-30.413972210948696</c:v>
                </c:pt>
                <c:pt idx="1">
                  <c:v>-17.935120667856175</c:v>
                </c:pt>
                <c:pt idx="2">
                  <c:v>-11.928740063453622</c:v>
                </c:pt>
                <c:pt idx="3">
                  <c:v>-6.7704611066142686</c:v>
                </c:pt>
                <c:pt idx="4">
                  <c:v>0</c:v>
                </c:pt>
                <c:pt idx="5">
                  <c:v>16.286830450969848</c:v>
                </c:pt>
                <c:pt idx="6">
                  <c:v>30.462808326534489</c:v>
                </c:pt>
              </c:numCache>
            </c:numRef>
          </c:yVal>
          <c:smooth val="0"/>
        </c:ser>
        <c:dLbls>
          <c:showLegendKey val="0"/>
          <c:showVal val="0"/>
          <c:showCatName val="0"/>
          <c:showSerName val="0"/>
          <c:showPercent val="0"/>
          <c:showBubbleSize val="0"/>
        </c:dLbls>
        <c:axId val="455075680"/>
        <c:axId val="455068624"/>
      </c:scatterChart>
      <c:valAx>
        <c:axId val="455075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68624"/>
        <c:crossesAt val="-100"/>
        <c:crossBetween val="midCat"/>
      </c:valAx>
      <c:valAx>
        <c:axId val="455068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507568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457262856"/>
        <c:axId val="457262072"/>
      </c:scatterChart>
      <c:valAx>
        <c:axId val="45726285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2072"/>
        <c:crosses val="autoZero"/>
        <c:crossBetween val="midCat"/>
      </c:valAx>
      <c:valAx>
        <c:axId val="45726207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285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6.1855695727129842E-29</c:v>
                </c:pt>
                <c:pt idx="1">
                  <c:v>6.1855695727129842E-28</c:v>
                </c:pt>
                <c:pt idx="2">
                  <c:v>6.1855695727129845E-27</c:v>
                </c:pt>
                <c:pt idx="3">
                  <c:v>6.1855695727129838E-26</c:v>
                </c:pt>
                <c:pt idx="4">
                  <c:v>6.185569572712984E-25</c:v>
                </c:pt>
                <c:pt idx="5">
                  <c:v>6.1855695727129842E-24</c:v>
                </c:pt>
                <c:pt idx="6">
                  <c:v>6.1855695727129847E-23</c:v>
                </c:pt>
                <c:pt idx="7">
                  <c:v>6.1855695727129844E-22</c:v>
                </c:pt>
                <c:pt idx="8">
                  <c:v>6.1855695727129839E-21</c:v>
                </c:pt>
                <c:pt idx="9">
                  <c:v>6.1855695727129842E-20</c:v>
                </c:pt>
                <c:pt idx="10">
                  <c:v>6.1855695727129844E-19</c:v>
                </c:pt>
                <c:pt idx="11">
                  <c:v>6.1855695727129842E-18</c:v>
                </c:pt>
                <c:pt idx="12">
                  <c:v>6.1855695727129847E-17</c:v>
                </c:pt>
                <c:pt idx="13">
                  <c:v>6.1855695727129847E-16</c:v>
                </c:pt>
                <c:pt idx="14">
                  <c:v>6.1855695727129843E-15</c:v>
                </c:pt>
                <c:pt idx="15">
                  <c:v>6.1855695727129838E-14</c:v>
                </c:pt>
                <c:pt idx="16">
                  <c:v>6.1855695727129846E-13</c:v>
                </c:pt>
                <c:pt idx="17">
                  <c:v>6.1855695727129838E-12</c:v>
                </c:pt>
                <c:pt idx="18">
                  <c:v>6.1855695727129844E-11</c:v>
                </c:pt>
                <c:pt idx="19">
                  <c:v>6.1855695727129844E-10</c:v>
                </c:pt>
                <c:pt idx="20">
                  <c:v>6.1855695727129842E-9</c:v>
                </c:pt>
                <c:pt idx="21">
                  <c:v>6.1855695727129835E-8</c:v>
                </c:pt>
                <c:pt idx="22">
                  <c:v>6.1855695727129843E-7</c:v>
                </c:pt>
                <c:pt idx="23">
                  <c:v>6.1855695727129839E-6</c:v>
                </c:pt>
                <c:pt idx="24">
                  <c:v>6.1855695727129848E-5</c:v>
                </c:pt>
                <c:pt idx="25">
                  <c:v>6.1855695727129839E-4</c:v>
                </c:pt>
                <c:pt idx="26">
                  <c:v>6.1855695727129839E-3</c:v>
                </c:pt>
                <c:pt idx="27">
                  <c:v>6.1855695727129838E-2</c:v>
                </c:pt>
                <c:pt idx="28">
                  <c:v>0.61855695727129845</c:v>
                </c:pt>
                <c:pt idx="29">
                  <c:v>6.1855695727129838</c:v>
                </c:pt>
                <c:pt idx="30">
                  <c:v>61.855695727129842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1.6250849252301357E-23</c:v>
                </c:pt>
                <c:pt idx="1">
                  <c:v>1.6250849252301357E-22</c:v>
                </c:pt>
                <c:pt idx="2">
                  <c:v>1.6250849252301356E-21</c:v>
                </c:pt>
                <c:pt idx="3">
                  <c:v>1.6250849252301354E-20</c:v>
                </c:pt>
                <c:pt idx="4">
                  <c:v>1.6250849252301354E-19</c:v>
                </c:pt>
                <c:pt idx="5">
                  <c:v>1.6250849252301357E-18</c:v>
                </c:pt>
                <c:pt idx="6">
                  <c:v>1.6250849252301358E-17</c:v>
                </c:pt>
                <c:pt idx="7">
                  <c:v>1.6250849252301356E-16</c:v>
                </c:pt>
                <c:pt idx="8">
                  <c:v>1.6250849252301354E-15</c:v>
                </c:pt>
                <c:pt idx="9">
                  <c:v>1.6250849252301354E-14</c:v>
                </c:pt>
                <c:pt idx="10">
                  <c:v>1.6250849252301357E-13</c:v>
                </c:pt>
                <c:pt idx="11">
                  <c:v>1.6250849252301357E-12</c:v>
                </c:pt>
                <c:pt idx="12">
                  <c:v>1.6250849252301355E-11</c:v>
                </c:pt>
                <c:pt idx="13">
                  <c:v>1.6250849252301356E-10</c:v>
                </c:pt>
                <c:pt idx="14">
                  <c:v>1.6250849252301358E-9</c:v>
                </c:pt>
                <c:pt idx="15">
                  <c:v>1.6250849252301356E-8</c:v>
                </c:pt>
                <c:pt idx="16">
                  <c:v>1.6250849252301357E-7</c:v>
                </c:pt>
                <c:pt idx="17">
                  <c:v>1.6250849252301356E-6</c:v>
                </c:pt>
                <c:pt idx="18">
                  <c:v>1.6250849252301355E-5</c:v>
                </c:pt>
                <c:pt idx="19">
                  <c:v>1.6250849252301357E-4</c:v>
                </c:pt>
                <c:pt idx="20">
                  <c:v>1.6250849252301355E-3</c:v>
                </c:pt>
                <c:pt idx="21">
                  <c:v>1.6250849252301355E-2</c:v>
                </c:pt>
                <c:pt idx="22">
                  <c:v>0.16250849252301355</c:v>
                </c:pt>
                <c:pt idx="23">
                  <c:v>1.6250849252301356</c:v>
                </c:pt>
                <c:pt idx="24">
                  <c:v>16.250849252301357</c:v>
                </c:pt>
                <c:pt idx="25">
                  <c:v>162.50849252301356</c:v>
                </c:pt>
                <c:pt idx="26">
                  <c:v>1625.0849252301357</c:v>
                </c:pt>
                <c:pt idx="27">
                  <c:v>16250.849252301356</c:v>
                </c:pt>
                <c:pt idx="28">
                  <c:v>162508.49252301356</c:v>
                </c:pt>
                <c:pt idx="29">
                  <c:v>1625084.9252301357</c:v>
                </c:pt>
                <c:pt idx="30">
                  <c:v>16250849.252301356</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6.5980258754554607E-21</c:v>
                </c:pt>
                <c:pt idx="1">
                  <c:v>6.5980258754554606E-20</c:v>
                </c:pt>
                <c:pt idx="2">
                  <c:v>6.5980258754554598E-19</c:v>
                </c:pt>
                <c:pt idx="3">
                  <c:v>6.5980258754554602E-18</c:v>
                </c:pt>
                <c:pt idx="4">
                  <c:v>6.5980258754554592E-17</c:v>
                </c:pt>
                <c:pt idx="5">
                  <c:v>6.5980258754554599E-16</c:v>
                </c:pt>
                <c:pt idx="6">
                  <c:v>6.5980258754554603E-15</c:v>
                </c:pt>
                <c:pt idx="7">
                  <c:v>6.5980258754554598E-14</c:v>
                </c:pt>
                <c:pt idx="8">
                  <c:v>6.5980258754554598E-13</c:v>
                </c:pt>
                <c:pt idx="9">
                  <c:v>6.5980258754554594E-12</c:v>
                </c:pt>
                <c:pt idx="10">
                  <c:v>6.5980258754554602E-11</c:v>
                </c:pt>
                <c:pt idx="11">
                  <c:v>6.5980258754554605E-10</c:v>
                </c:pt>
                <c:pt idx="12">
                  <c:v>6.5980258754554599E-9</c:v>
                </c:pt>
                <c:pt idx="13">
                  <c:v>6.59802587545546E-8</c:v>
                </c:pt>
                <c:pt idx="14">
                  <c:v>6.5980258754554605E-7</c:v>
                </c:pt>
                <c:pt idx="15">
                  <c:v>6.5980258754554599E-6</c:v>
                </c:pt>
                <c:pt idx="16">
                  <c:v>6.5980258754554596E-5</c:v>
                </c:pt>
                <c:pt idx="17">
                  <c:v>6.5980258754554598E-4</c:v>
                </c:pt>
                <c:pt idx="18">
                  <c:v>6.5980258754554603E-3</c:v>
                </c:pt>
                <c:pt idx="19">
                  <c:v>6.5980258754554599E-2</c:v>
                </c:pt>
                <c:pt idx="20">
                  <c:v>0.65980258754554599</c:v>
                </c:pt>
                <c:pt idx="21">
                  <c:v>6.5980258754554599</c:v>
                </c:pt>
                <c:pt idx="22">
                  <c:v>65.980258754554598</c:v>
                </c:pt>
                <c:pt idx="23">
                  <c:v>659.80258754554598</c:v>
                </c:pt>
                <c:pt idx="24">
                  <c:v>6598.0258754554598</c:v>
                </c:pt>
                <c:pt idx="25">
                  <c:v>65980.258754554598</c:v>
                </c:pt>
                <c:pt idx="26">
                  <c:v>659802.587545546</c:v>
                </c:pt>
                <c:pt idx="27">
                  <c:v>6598025.8754554596</c:v>
                </c:pt>
                <c:pt idx="28">
                  <c:v>65980258.7545546</c:v>
                </c:pt>
                <c:pt idx="29">
                  <c:v>659802587.54554605</c:v>
                </c:pt>
                <c:pt idx="30">
                  <c:v>6598025875.4554596</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1.1471655632990057E-18</c:v>
                </c:pt>
                <c:pt idx="1">
                  <c:v>1.1471655632990055E-17</c:v>
                </c:pt>
                <c:pt idx="2">
                  <c:v>1.1471655632990056E-16</c:v>
                </c:pt>
                <c:pt idx="3">
                  <c:v>1.1471655632990055E-15</c:v>
                </c:pt>
                <c:pt idx="4">
                  <c:v>1.1471655632990055E-14</c:v>
                </c:pt>
                <c:pt idx="5">
                  <c:v>1.1471655632990055E-13</c:v>
                </c:pt>
                <c:pt idx="6">
                  <c:v>1.1471655632990057E-12</c:v>
                </c:pt>
                <c:pt idx="7">
                  <c:v>1.1471655632990056E-11</c:v>
                </c:pt>
                <c:pt idx="8">
                  <c:v>1.1471655632990055E-10</c:v>
                </c:pt>
                <c:pt idx="9">
                  <c:v>1.1471655632990055E-9</c:v>
                </c:pt>
                <c:pt idx="10">
                  <c:v>1.1471655632990057E-8</c:v>
                </c:pt>
                <c:pt idx="11">
                  <c:v>1.1471655632990056E-7</c:v>
                </c:pt>
                <c:pt idx="12">
                  <c:v>1.1471655632990055E-6</c:v>
                </c:pt>
                <c:pt idx="13">
                  <c:v>1.1471655632990055E-5</c:v>
                </c:pt>
                <c:pt idx="14">
                  <c:v>1.1471655632990057E-4</c:v>
                </c:pt>
                <c:pt idx="15">
                  <c:v>1.1471655632990057E-3</c:v>
                </c:pt>
                <c:pt idx="16">
                  <c:v>1.1471655632990055E-2</c:v>
                </c:pt>
                <c:pt idx="17">
                  <c:v>0.11471655632990056</c:v>
                </c:pt>
                <c:pt idx="18">
                  <c:v>1.1471655632990057</c:v>
                </c:pt>
                <c:pt idx="19">
                  <c:v>11.471655632990055</c:v>
                </c:pt>
                <c:pt idx="20">
                  <c:v>114.71655632990056</c:v>
                </c:pt>
                <c:pt idx="21">
                  <c:v>1147.1655632990055</c:v>
                </c:pt>
                <c:pt idx="22">
                  <c:v>11471.655632990056</c:v>
                </c:pt>
                <c:pt idx="23">
                  <c:v>114716.55632990056</c:v>
                </c:pt>
                <c:pt idx="24">
                  <c:v>1147165.5632990056</c:v>
                </c:pt>
                <c:pt idx="25">
                  <c:v>11471655.632990055</c:v>
                </c:pt>
                <c:pt idx="26">
                  <c:v>114716556.32990056</c:v>
                </c:pt>
                <c:pt idx="27">
                  <c:v>1147165563.2990055</c:v>
                </c:pt>
                <c:pt idx="28">
                  <c:v>11471655632.990055</c:v>
                </c:pt>
                <c:pt idx="29">
                  <c:v>114716556329.90056</c:v>
                </c:pt>
                <c:pt idx="30">
                  <c:v>1147165563299.0056</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1.183806151913294E-8</c:v>
                </c:pt>
                <c:pt idx="1">
                  <c:v>1.183806151913294E-7</c:v>
                </c:pt>
                <c:pt idx="2">
                  <c:v>1.183806151913294E-6</c:v>
                </c:pt>
                <c:pt idx="3">
                  <c:v>1.183806151913294E-5</c:v>
                </c:pt>
                <c:pt idx="4">
                  <c:v>1.183806151913294E-4</c:v>
                </c:pt>
                <c:pt idx="5">
                  <c:v>1.1838061519132941E-3</c:v>
                </c:pt>
                <c:pt idx="6">
                  <c:v>1.183806151913294E-2</c:v>
                </c:pt>
                <c:pt idx="7">
                  <c:v>0.11838061519132941</c:v>
                </c:pt>
                <c:pt idx="8">
                  <c:v>1.1838061519132939</c:v>
                </c:pt>
                <c:pt idx="9">
                  <c:v>11.838061519132939</c:v>
                </c:pt>
                <c:pt idx="10">
                  <c:v>118.38061519132941</c:v>
                </c:pt>
                <c:pt idx="11">
                  <c:v>1183.8061519132941</c:v>
                </c:pt>
                <c:pt idx="12">
                  <c:v>11838.06151913294</c:v>
                </c:pt>
                <c:pt idx="13">
                  <c:v>118380.6151913294</c:v>
                </c:pt>
                <c:pt idx="14">
                  <c:v>1183806.1519132941</c:v>
                </c:pt>
                <c:pt idx="15">
                  <c:v>11838061.51913294</c:v>
                </c:pt>
                <c:pt idx="16">
                  <c:v>118380615.1913294</c:v>
                </c:pt>
                <c:pt idx="17">
                  <c:v>1183806151.9132941</c:v>
                </c:pt>
                <c:pt idx="18">
                  <c:v>11838061519.13294</c:v>
                </c:pt>
                <c:pt idx="19">
                  <c:v>118380615191.32941</c:v>
                </c:pt>
                <c:pt idx="20">
                  <c:v>1183806151913.2939</c:v>
                </c:pt>
                <c:pt idx="21">
                  <c:v>11838061519132.939</c:v>
                </c:pt>
                <c:pt idx="22">
                  <c:v>118380615191329.41</c:v>
                </c:pt>
                <c:pt idx="23">
                  <c:v>1183806151913294</c:v>
                </c:pt>
                <c:pt idx="24">
                  <c:v>1.183806151913294E+16</c:v>
                </c:pt>
                <c:pt idx="25">
                  <c:v>1.1838061519132939E+17</c:v>
                </c:pt>
                <c:pt idx="26">
                  <c:v>1.1838061519132941E+18</c:v>
                </c:pt>
                <c:pt idx="27">
                  <c:v>1.183806151913294E+19</c:v>
                </c:pt>
                <c:pt idx="28">
                  <c:v>1.1838061519132941E+20</c:v>
                </c:pt>
                <c:pt idx="29">
                  <c:v>1.183806151913294E+21</c:v>
                </c:pt>
                <c:pt idx="30">
                  <c:v>1.183806151913294E+22</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1.6975773010911275E-2</c:v>
                </c:pt>
                <c:pt idx="1">
                  <c:v>0.16975773010911274</c:v>
                </c:pt>
                <c:pt idx="2">
                  <c:v>1.6975773010911275</c:v>
                </c:pt>
                <c:pt idx="3">
                  <c:v>16.975773010911276</c:v>
                </c:pt>
                <c:pt idx="4">
                  <c:v>169.75773010911274</c:v>
                </c:pt>
                <c:pt idx="5">
                  <c:v>1697.5773010911275</c:v>
                </c:pt>
                <c:pt idx="6">
                  <c:v>16975.773010911274</c:v>
                </c:pt>
                <c:pt idx="7">
                  <c:v>169757.73010911274</c:v>
                </c:pt>
                <c:pt idx="8">
                  <c:v>1697577.3010911273</c:v>
                </c:pt>
                <c:pt idx="9">
                  <c:v>16975773.010911275</c:v>
                </c:pt>
                <c:pt idx="10">
                  <c:v>169757730.10911277</c:v>
                </c:pt>
                <c:pt idx="11">
                  <c:v>1697577301.0911276</c:v>
                </c:pt>
                <c:pt idx="12">
                  <c:v>16975773010.911276</c:v>
                </c:pt>
                <c:pt idx="13">
                  <c:v>169757730109.11276</c:v>
                </c:pt>
                <c:pt idx="14">
                  <c:v>1697577301091.1277</c:v>
                </c:pt>
                <c:pt idx="15">
                  <c:v>16975773010911.275</c:v>
                </c:pt>
                <c:pt idx="16">
                  <c:v>169757730109112.75</c:v>
                </c:pt>
                <c:pt idx="17">
                  <c:v>1697577301091127.5</c:v>
                </c:pt>
                <c:pt idx="18">
                  <c:v>1.6975773010911274E+16</c:v>
                </c:pt>
                <c:pt idx="19">
                  <c:v>1.6975773010911274E+17</c:v>
                </c:pt>
                <c:pt idx="20">
                  <c:v>1.6975773010911276E+18</c:v>
                </c:pt>
                <c:pt idx="21">
                  <c:v>1.6975773010911275E+19</c:v>
                </c:pt>
                <c:pt idx="22">
                  <c:v>1.6975773010911275E+20</c:v>
                </c:pt>
                <c:pt idx="23">
                  <c:v>1.6975773010911274E+21</c:v>
                </c:pt>
                <c:pt idx="24">
                  <c:v>1.6975773010911274E+22</c:v>
                </c:pt>
                <c:pt idx="25">
                  <c:v>1.6975773010911277E+23</c:v>
                </c:pt>
                <c:pt idx="26">
                  <c:v>1.6975773010911275E+24</c:v>
                </c:pt>
                <c:pt idx="27">
                  <c:v>1.6975773010911275E+25</c:v>
                </c:pt>
                <c:pt idx="28">
                  <c:v>1.6975773010911276E+26</c:v>
                </c:pt>
                <c:pt idx="29">
                  <c:v>1.6975773010911276E+27</c:v>
                </c:pt>
                <c:pt idx="30">
                  <c:v>1.6975773010911275E+28</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57261680"/>
        <c:axId val="457264032"/>
      </c:scatterChart>
      <c:valAx>
        <c:axId val="4572616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4032"/>
        <c:crosses val="autoZero"/>
        <c:crossBetween val="midCat"/>
      </c:valAx>
      <c:valAx>
        <c:axId val="4572640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168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SJM6 CMU @Tref 80°C E+-15</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6.1855695727129842E-29</c:v>
                </c:pt>
                <c:pt idx="1">
                  <c:v>6.1855695727129842E-28</c:v>
                </c:pt>
                <c:pt idx="2">
                  <c:v>6.1855695727129845E-27</c:v>
                </c:pt>
                <c:pt idx="3">
                  <c:v>6.1855695727129838E-26</c:v>
                </c:pt>
                <c:pt idx="4">
                  <c:v>6.185569572712984E-25</c:v>
                </c:pt>
                <c:pt idx="5">
                  <c:v>6.1855695727129842E-24</c:v>
                </c:pt>
                <c:pt idx="6">
                  <c:v>6.1855695727129847E-23</c:v>
                </c:pt>
                <c:pt idx="7">
                  <c:v>6.1855695727129844E-22</c:v>
                </c:pt>
                <c:pt idx="8">
                  <c:v>6.1855695727129839E-21</c:v>
                </c:pt>
                <c:pt idx="9">
                  <c:v>6.1855695727129842E-20</c:v>
                </c:pt>
                <c:pt idx="10">
                  <c:v>6.1855695727129844E-19</c:v>
                </c:pt>
                <c:pt idx="11">
                  <c:v>6.1855695727129842E-18</c:v>
                </c:pt>
                <c:pt idx="12">
                  <c:v>6.1855695727129847E-17</c:v>
                </c:pt>
                <c:pt idx="13">
                  <c:v>6.1855695727129847E-16</c:v>
                </c:pt>
                <c:pt idx="14">
                  <c:v>6.1855695727129843E-15</c:v>
                </c:pt>
                <c:pt idx="15">
                  <c:v>6.1855695727129838E-14</c:v>
                </c:pt>
                <c:pt idx="16">
                  <c:v>6.1855695727129846E-13</c:v>
                </c:pt>
                <c:pt idx="17">
                  <c:v>6.1855695727129838E-12</c:v>
                </c:pt>
                <c:pt idx="18">
                  <c:v>6.1855695727129844E-11</c:v>
                </c:pt>
                <c:pt idx="19">
                  <c:v>6.1855695727129844E-10</c:v>
                </c:pt>
                <c:pt idx="20">
                  <c:v>6.1855695727129842E-9</c:v>
                </c:pt>
                <c:pt idx="21">
                  <c:v>6.1855695727129835E-8</c:v>
                </c:pt>
                <c:pt idx="22">
                  <c:v>6.1855695727129843E-7</c:v>
                </c:pt>
                <c:pt idx="23">
                  <c:v>6.1855695727129839E-6</c:v>
                </c:pt>
                <c:pt idx="24">
                  <c:v>6.1855695727129848E-5</c:v>
                </c:pt>
                <c:pt idx="25">
                  <c:v>6.1855695727129839E-4</c:v>
                </c:pt>
                <c:pt idx="26">
                  <c:v>6.1855695727129839E-3</c:v>
                </c:pt>
                <c:pt idx="27">
                  <c:v>6.1855695727129838E-2</c:v>
                </c:pt>
                <c:pt idx="28">
                  <c:v>0.61855695727129845</c:v>
                </c:pt>
                <c:pt idx="29">
                  <c:v>6.1855695727129838</c:v>
                </c:pt>
                <c:pt idx="30">
                  <c:v>61.855695727129842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1.6250849252301357E-23</c:v>
                </c:pt>
                <c:pt idx="1">
                  <c:v>1.6250849252301357E-22</c:v>
                </c:pt>
                <c:pt idx="2">
                  <c:v>1.6250849252301356E-21</c:v>
                </c:pt>
                <c:pt idx="3">
                  <c:v>1.6250849252301354E-20</c:v>
                </c:pt>
                <c:pt idx="4">
                  <c:v>1.6250849252301354E-19</c:v>
                </c:pt>
                <c:pt idx="5">
                  <c:v>1.6250849252301357E-18</c:v>
                </c:pt>
                <c:pt idx="6">
                  <c:v>1.6250849252301358E-17</c:v>
                </c:pt>
                <c:pt idx="7">
                  <c:v>1.6250849252301356E-16</c:v>
                </c:pt>
                <c:pt idx="8">
                  <c:v>1.6250849252301354E-15</c:v>
                </c:pt>
                <c:pt idx="9">
                  <c:v>1.6250849252301354E-14</c:v>
                </c:pt>
                <c:pt idx="10">
                  <c:v>1.6250849252301357E-13</c:v>
                </c:pt>
                <c:pt idx="11">
                  <c:v>1.6250849252301357E-12</c:v>
                </c:pt>
                <c:pt idx="12">
                  <c:v>1.6250849252301355E-11</c:v>
                </c:pt>
                <c:pt idx="13">
                  <c:v>1.6250849252301356E-10</c:v>
                </c:pt>
                <c:pt idx="14">
                  <c:v>1.6250849252301358E-9</c:v>
                </c:pt>
                <c:pt idx="15">
                  <c:v>1.6250849252301356E-8</c:v>
                </c:pt>
                <c:pt idx="16">
                  <c:v>1.6250849252301357E-7</c:v>
                </c:pt>
                <c:pt idx="17">
                  <c:v>1.6250849252301356E-6</c:v>
                </c:pt>
                <c:pt idx="18">
                  <c:v>1.6250849252301355E-5</c:v>
                </c:pt>
                <c:pt idx="19">
                  <c:v>1.6250849252301357E-4</c:v>
                </c:pt>
                <c:pt idx="20">
                  <c:v>1.6250849252301355E-3</c:v>
                </c:pt>
                <c:pt idx="21">
                  <c:v>1.6250849252301355E-2</c:v>
                </c:pt>
                <c:pt idx="22">
                  <c:v>0.16250849252301355</c:v>
                </c:pt>
                <c:pt idx="23">
                  <c:v>1.6250849252301356</c:v>
                </c:pt>
                <c:pt idx="24">
                  <c:v>16.250849252301357</c:v>
                </c:pt>
                <c:pt idx="25">
                  <c:v>162.50849252301356</c:v>
                </c:pt>
                <c:pt idx="26">
                  <c:v>1625.0849252301357</c:v>
                </c:pt>
                <c:pt idx="27">
                  <c:v>16250.849252301356</c:v>
                </c:pt>
                <c:pt idx="28">
                  <c:v>162508.49252301356</c:v>
                </c:pt>
                <c:pt idx="29">
                  <c:v>1625084.9252301357</c:v>
                </c:pt>
                <c:pt idx="30">
                  <c:v>16250849.252301356</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6.5980258754554607E-21</c:v>
                </c:pt>
                <c:pt idx="1">
                  <c:v>6.5980258754554606E-20</c:v>
                </c:pt>
                <c:pt idx="2">
                  <c:v>6.5980258754554598E-19</c:v>
                </c:pt>
                <c:pt idx="3">
                  <c:v>6.5980258754554602E-18</c:v>
                </c:pt>
                <c:pt idx="4">
                  <c:v>6.5980258754554592E-17</c:v>
                </c:pt>
                <c:pt idx="5">
                  <c:v>6.5980258754554599E-16</c:v>
                </c:pt>
                <c:pt idx="6">
                  <c:v>6.5980258754554603E-15</c:v>
                </c:pt>
                <c:pt idx="7">
                  <c:v>6.5980258754554598E-14</c:v>
                </c:pt>
                <c:pt idx="8">
                  <c:v>6.5980258754554598E-13</c:v>
                </c:pt>
                <c:pt idx="9">
                  <c:v>6.5980258754554594E-12</c:v>
                </c:pt>
                <c:pt idx="10">
                  <c:v>6.5980258754554602E-11</c:v>
                </c:pt>
                <c:pt idx="11">
                  <c:v>6.5980258754554605E-10</c:v>
                </c:pt>
                <c:pt idx="12">
                  <c:v>6.5980258754554599E-9</c:v>
                </c:pt>
                <c:pt idx="13">
                  <c:v>6.59802587545546E-8</c:v>
                </c:pt>
                <c:pt idx="14">
                  <c:v>6.5980258754554605E-7</c:v>
                </c:pt>
                <c:pt idx="15">
                  <c:v>6.5980258754554599E-6</c:v>
                </c:pt>
                <c:pt idx="16">
                  <c:v>6.5980258754554596E-5</c:v>
                </c:pt>
                <c:pt idx="17">
                  <c:v>6.5980258754554598E-4</c:v>
                </c:pt>
                <c:pt idx="18">
                  <c:v>6.5980258754554603E-3</c:v>
                </c:pt>
                <c:pt idx="19">
                  <c:v>6.5980258754554599E-2</c:v>
                </c:pt>
                <c:pt idx="20">
                  <c:v>0.65980258754554599</c:v>
                </c:pt>
                <c:pt idx="21">
                  <c:v>6.5980258754554599</c:v>
                </c:pt>
                <c:pt idx="22">
                  <c:v>65.980258754554598</c:v>
                </c:pt>
                <c:pt idx="23">
                  <c:v>659.80258754554598</c:v>
                </c:pt>
                <c:pt idx="24">
                  <c:v>6598.0258754554598</c:v>
                </c:pt>
                <c:pt idx="25">
                  <c:v>65980.258754554598</c:v>
                </c:pt>
                <c:pt idx="26">
                  <c:v>659802.587545546</c:v>
                </c:pt>
                <c:pt idx="27">
                  <c:v>6598025.8754554596</c:v>
                </c:pt>
                <c:pt idx="28">
                  <c:v>65980258.7545546</c:v>
                </c:pt>
                <c:pt idx="29">
                  <c:v>659802587.54554605</c:v>
                </c:pt>
                <c:pt idx="30">
                  <c:v>6598025875.4554596</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1.1471655632990057E-18</c:v>
                </c:pt>
                <c:pt idx="1">
                  <c:v>1.1471655632990055E-17</c:v>
                </c:pt>
                <c:pt idx="2">
                  <c:v>1.1471655632990056E-16</c:v>
                </c:pt>
                <c:pt idx="3">
                  <c:v>1.1471655632990055E-15</c:v>
                </c:pt>
                <c:pt idx="4">
                  <c:v>1.1471655632990055E-14</c:v>
                </c:pt>
                <c:pt idx="5">
                  <c:v>1.1471655632990055E-13</c:v>
                </c:pt>
                <c:pt idx="6">
                  <c:v>1.1471655632990057E-12</c:v>
                </c:pt>
                <c:pt idx="7">
                  <c:v>1.1471655632990056E-11</c:v>
                </c:pt>
                <c:pt idx="8">
                  <c:v>1.1471655632990055E-10</c:v>
                </c:pt>
                <c:pt idx="9">
                  <c:v>1.1471655632990055E-9</c:v>
                </c:pt>
                <c:pt idx="10">
                  <c:v>1.1471655632990057E-8</c:v>
                </c:pt>
                <c:pt idx="11">
                  <c:v>1.1471655632990056E-7</c:v>
                </c:pt>
                <c:pt idx="12">
                  <c:v>1.1471655632990055E-6</c:v>
                </c:pt>
                <c:pt idx="13">
                  <c:v>1.1471655632990055E-5</c:v>
                </c:pt>
                <c:pt idx="14">
                  <c:v>1.1471655632990057E-4</c:v>
                </c:pt>
                <c:pt idx="15">
                  <c:v>1.1471655632990057E-3</c:v>
                </c:pt>
                <c:pt idx="16">
                  <c:v>1.1471655632990055E-2</c:v>
                </c:pt>
                <c:pt idx="17">
                  <c:v>0.11471655632990056</c:v>
                </c:pt>
                <c:pt idx="18">
                  <c:v>1.1471655632990057</c:v>
                </c:pt>
                <c:pt idx="19">
                  <c:v>11.471655632990055</c:v>
                </c:pt>
                <c:pt idx="20">
                  <c:v>114.71655632990056</c:v>
                </c:pt>
                <c:pt idx="21">
                  <c:v>1147.1655632990055</c:v>
                </c:pt>
                <c:pt idx="22">
                  <c:v>11471.655632990056</c:v>
                </c:pt>
                <c:pt idx="23">
                  <c:v>114716.55632990056</c:v>
                </c:pt>
                <c:pt idx="24">
                  <c:v>1147165.5632990056</c:v>
                </c:pt>
                <c:pt idx="25">
                  <c:v>11471655.632990055</c:v>
                </c:pt>
                <c:pt idx="26">
                  <c:v>114716556.32990056</c:v>
                </c:pt>
                <c:pt idx="27">
                  <c:v>1147165563.2990055</c:v>
                </c:pt>
                <c:pt idx="28">
                  <c:v>11471655632.990055</c:v>
                </c:pt>
                <c:pt idx="29">
                  <c:v>114716556329.90056</c:v>
                </c:pt>
                <c:pt idx="30">
                  <c:v>1147165563299.0056</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1.183806151913294E-8</c:v>
                </c:pt>
                <c:pt idx="1">
                  <c:v>1.183806151913294E-7</c:v>
                </c:pt>
                <c:pt idx="2">
                  <c:v>1.183806151913294E-6</c:v>
                </c:pt>
                <c:pt idx="3">
                  <c:v>1.183806151913294E-5</c:v>
                </c:pt>
                <c:pt idx="4">
                  <c:v>1.183806151913294E-4</c:v>
                </c:pt>
                <c:pt idx="5">
                  <c:v>1.1838061519132941E-3</c:v>
                </c:pt>
                <c:pt idx="6">
                  <c:v>1.183806151913294E-2</c:v>
                </c:pt>
                <c:pt idx="7">
                  <c:v>0.11838061519132941</c:v>
                </c:pt>
                <c:pt idx="8">
                  <c:v>1.1838061519132939</c:v>
                </c:pt>
                <c:pt idx="9">
                  <c:v>11.838061519132939</c:v>
                </c:pt>
                <c:pt idx="10">
                  <c:v>118.38061519132941</c:v>
                </c:pt>
                <c:pt idx="11">
                  <c:v>1183.8061519132941</c:v>
                </c:pt>
                <c:pt idx="12">
                  <c:v>11838.06151913294</c:v>
                </c:pt>
                <c:pt idx="13">
                  <c:v>118380.6151913294</c:v>
                </c:pt>
                <c:pt idx="14">
                  <c:v>1183806.1519132941</c:v>
                </c:pt>
                <c:pt idx="15">
                  <c:v>11838061.51913294</c:v>
                </c:pt>
                <c:pt idx="16">
                  <c:v>118380615.1913294</c:v>
                </c:pt>
                <c:pt idx="17">
                  <c:v>1183806151.9132941</c:v>
                </c:pt>
                <c:pt idx="18">
                  <c:v>11838061519.13294</c:v>
                </c:pt>
                <c:pt idx="19">
                  <c:v>118380615191.32941</c:v>
                </c:pt>
                <c:pt idx="20">
                  <c:v>1183806151913.2939</c:v>
                </c:pt>
                <c:pt idx="21">
                  <c:v>11838061519132.939</c:v>
                </c:pt>
                <c:pt idx="22">
                  <c:v>118380615191329.41</c:v>
                </c:pt>
                <c:pt idx="23">
                  <c:v>1183806151913294</c:v>
                </c:pt>
                <c:pt idx="24">
                  <c:v>1.183806151913294E+16</c:v>
                </c:pt>
                <c:pt idx="25">
                  <c:v>1.1838061519132939E+17</c:v>
                </c:pt>
                <c:pt idx="26">
                  <c:v>1.1838061519132941E+18</c:v>
                </c:pt>
                <c:pt idx="27">
                  <c:v>1.183806151913294E+19</c:v>
                </c:pt>
                <c:pt idx="28">
                  <c:v>1.1838061519132941E+20</c:v>
                </c:pt>
                <c:pt idx="29">
                  <c:v>1.183806151913294E+21</c:v>
                </c:pt>
                <c:pt idx="30">
                  <c:v>1.183806151913294E+22</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1.6975773010911275E-2</c:v>
                </c:pt>
                <c:pt idx="1">
                  <c:v>0.16975773010911274</c:v>
                </c:pt>
                <c:pt idx="2">
                  <c:v>1.6975773010911275</c:v>
                </c:pt>
                <c:pt idx="3">
                  <c:v>16.975773010911276</c:v>
                </c:pt>
                <c:pt idx="4">
                  <c:v>169.75773010911274</c:v>
                </c:pt>
                <c:pt idx="5">
                  <c:v>1697.5773010911275</c:v>
                </c:pt>
                <c:pt idx="6">
                  <c:v>16975.773010911274</c:v>
                </c:pt>
                <c:pt idx="7">
                  <c:v>169757.73010911274</c:v>
                </c:pt>
                <c:pt idx="8">
                  <c:v>1697577.3010911273</c:v>
                </c:pt>
                <c:pt idx="9">
                  <c:v>16975773.010911275</c:v>
                </c:pt>
                <c:pt idx="10">
                  <c:v>169757730.10911277</c:v>
                </c:pt>
                <c:pt idx="11">
                  <c:v>1697577301.0911276</c:v>
                </c:pt>
                <c:pt idx="12">
                  <c:v>16975773010.911276</c:v>
                </c:pt>
                <c:pt idx="13">
                  <c:v>169757730109.11276</c:v>
                </c:pt>
                <c:pt idx="14">
                  <c:v>1697577301091.1277</c:v>
                </c:pt>
                <c:pt idx="15">
                  <c:v>16975773010911.275</c:v>
                </c:pt>
                <c:pt idx="16">
                  <c:v>169757730109112.75</c:v>
                </c:pt>
                <c:pt idx="17">
                  <c:v>1697577301091127.5</c:v>
                </c:pt>
                <c:pt idx="18">
                  <c:v>1.6975773010911274E+16</c:v>
                </c:pt>
                <c:pt idx="19">
                  <c:v>1.6975773010911274E+17</c:v>
                </c:pt>
                <c:pt idx="20">
                  <c:v>1.6975773010911276E+18</c:v>
                </c:pt>
                <c:pt idx="21">
                  <c:v>1.6975773010911275E+19</c:v>
                </c:pt>
                <c:pt idx="22">
                  <c:v>1.6975773010911275E+20</c:v>
                </c:pt>
                <c:pt idx="23">
                  <c:v>1.6975773010911274E+21</c:v>
                </c:pt>
                <c:pt idx="24">
                  <c:v>1.6975773010911274E+22</c:v>
                </c:pt>
                <c:pt idx="25">
                  <c:v>1.6975773010911277E+23</c:v>
                </c:pt>
                <c:pt idx="26">
                  <c:v>1.6975773010911275E+24</c:v>
                </c:pt>
                <c:pt idx="27">
                  <c:v>1.6975773010911275E+25</c:v>
                </c:pt>
                <c:pt idx="28">
                  <c:v>1.6975773010911276E+26</c:v>
                </c:pt>
                <c:pt idx="29">
                  <c:v>1.6975773010911276E+27</c:v>
                </c:pt>
                <c:pt idx="30">
                  <c:v>1.6975773010911275E+28</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dLbls>
          <c:showLegendKey val="0"/>
          <c:showVal val="0"/>
          <c:showCatName val="0"/>
          <c:showSerName val="0"/>
          <c:showPercent val="0"/>
          <c:showBubbleSize val="0"/>
        </c:dLbls>
        <c:axId val="457264424"/>
        <c:axId val="457264816"/>
      </c:scatterChart>
      <c:valAx>
        <c:axId val="4572644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4816"/>
        <c:crosses val="autoZero"/>
        <c:crossBetween val="midCat"/>
      </c:valAx>
      <c:valAx>
        <c:axId val="4572648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4424"/>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155446509366477"/>
          <c:y val="0.18948727700485571"/>
          <c:w val="0.70007204458649541"/>
          <c:h val="0.58927146811954401"/>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6.1855695727129842E-29</c:v>
                </c:pt>
                <c:pt idx="1">
                  <c:v>6.1855695727129842E-28</c:v>
                </c:pt>
                <c:pt idx="2">
                  <c:v>6.1855695727129845E-27</c:v>
                </c:pt>
                <c:pt idx="3">
                  <c:v>6.1855695727129838E-26</c:v>
                </c:pt>
                <c:pt idx="4">
                  <c:v>6.185569572712984E-25</c:v>
                </c:pt>
                <c:pt idx="5">
                  <c:v>6.1855695727129842E-24</c:v>
                </c:pt>
                <c:pt idx="6">
                  <c:v>6.1855695727129847E-23</c:v>
                </c:pt>
                <c:pt idx="7">
                  <c:v>6.1855695727129844E-22</c:v>
                </c:pt>
                <c:pt idx="8">
                  <c:v>6.1855695727129839E-21</c:v>
                </c:pt>
                <c:pt idx="9">
                  <c:v>6.1855695727129842E-20</c:v>
                </c:pt>
                <c:pt idx="10">
                  <c:v>6.1855695727129844E-19</c:v>
                </c:pt>
                <c:pt idx="11">
                  <c:v>6.1855695727129842E-18</c:v>
                </c:pt>
                <c:pt idx="12">
                  <c:v>6.1855695727129847E-17</c:v>
                </c:pt>
                <c:pt idx="13">
                  <c:v>6.1855695727129847E-16</c:v>
                </c:pt>
                <c:pt idx="14">
                  <c:v>6.1855695727129843E-15</c:v>
                </c:pt>
                <c:pt idx="15">
                  <c:v>6.1855695727129838E-14</c:v>
                </c:pt>
                <c:pt idx="16">
                  <c:v>6.1855695727129846E-13</c:v>
                </c:pt>
                <c:pt idx="17">
                  <c:v>6.1855695727129838E-12</c:v>
                </c:pt>
                <c:pt idx="18">
                  <c:v>6.1855695727129844E-11</c:v>
                </c:pt>
                <c:pt idx="19">
                  <c:v>6.1855695727129844E-10</c:v>
                </c:pt>
                <c:pt idx="20">
                  <c:v>6.1855695727129842E-9</c:v>
                </c:pt>
                <c:pt idx="21">
                  <c:v>6.1855695727129835E-8</c:v>
                </c:pt>
                <c:pt idx="22">
                  <c:v>6.1855695727129843E-7</c:v>
                </c:pt>
                <c:pt idx="23">
                  <c:v>6.1855695727129839E-6</c:v>
                </c:pt>
                <c:pt idx="24">
                  <c:v>6.1855695727129848E-5</c:v>
                </c:pt>
                <c:pt idx="25">
                  <c:v>6.1855695727129839E-4</c:v>
                </c:pt>
                <c:pt idx="26">
                  <c:v>6.1855695727129839E-3</c:v>
                </c:pt>
                <c:pt idx="27">
                  <c:v>6.1855695727129838E-2</c:v>
                </c:pt>
                <c:pt idx="28">
                  <c:v>0.61855695727129845</c:v>
                </c:pt>
                <c:pt idx="29">
                  <c:v>6.1855695727129838</c:v>
                </c:pt>
                <c:pt idx="30">
                  <c:v>61.855695727129842</c:v>
                </c:pt>
              </c:numCache>
            </c:numRef>
          </c:xVal>
          <c:yVal>
            <c:numRef>
              <c:f>'Mastercurve bestimmen'!$J$404:$J$434</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1.6250849252301357E-23</c:v>
                </c:pt>
                <c:pt idx="1">
                  <c:v>1.6250849252301357E-22</c:v>
                </c:pt>
                <c:pt idx="2">
                  <c:v>1.6250849252301356E-21</c:v>
                </c:pt>
                <c:pt idx="3">
                  <c:v>1.6250849252301354E-20</c:v>
                </c:pt>
                <c:pt idx="4">
                  <c:v>1.6250849252301354E-19</c:v>
                </c:pt>
                <c:pt idx="5">
                  <c:v>1.6250849252301357E-18</c:v>
                </c:pt>
                <c:pt idx="6">
                  <c:v>1.6250849252301358E-17</c:v>
                </c:pt>
                <c:pt idx="7">
                  <c:v>1.6250849252301356E-16</c:v>
                </c:pt>
                <c:pt idx="8">
                  <c:v>1.6250849252301354E-15</c:v>
                </c:pt>
                <c:pt idx="9">
                  <c:v>1.6250849252301354E-14</c:v>
                </c:pt>
                <c:pt idx="10">
                  <c:v>1.6250849252301357E-13</c:v>
                </c:pt>
                <c:pt idx="11">
                  <c:v>1.6250849252301357E-12</c:v>
                </c:pt>
                <c:pt idx="12">
                  <c:v>1.6250849252301355E-11</c:v>
                </c:pt>
                <c:pt idx="13">
                  <c:v>1.6250849252301356E-10</c:v>
                </c:pt>
                <c:pt idx="14">
                  <c:v>1.6250849252301358E-9</c:v>
                </c:pt>
                <c:pt idx="15">
                  <c:v>1.6250849252301356E-8</c:v>
                </c:pt>
                <c:pt idx="16">
                  <c:v>1.6250849252301357E-7</c:v>
                </c:pt>
                <c:pt idx="17">
                  <c:v>1.6250849252301356E-6</c:v>
                </c:pt>
                <c:pt idx="18">
                  <c:v>1.6250849252301355E-5</c:v>
                </c:pt>
                <c:pt idx="19">
                  <c:v>1.6250849252301357E-4</c:v>
                </c:pt>
                <c:pt idx="20">
                  <c:v>1.6250849252301355E-3</c:v>
                </c:pt>
                <c:pt idx="21">
                  <c:v>1.6250849252301355E-2</c:v>
                </c:pt>
                <c:pt idx="22">
                  <c:v>0.16250849252301355</c:v>
                </c:pt>
                <c:pt idx="23">
                  <c:v>1.6250849252301356</c:v>
                </c:pt>
                <c:pt idx="24">
                  <c:v>16.250849252301357</c:v>
                </c:pt>
                <c:pt idx="25">
                  <c:v>162.50849252301356</c:v>
                </c:pt>
                <c:pt idx="26">
                  <c:v>1625.0849252301357</c:v>
                </c:pt>
                <c:pt idx="27">
                  <c:v>16250.849252301356</c:v>
                </c:pt>
                <c:pt idx="28">
                  <c:v>162508.49252301356</c:v>
                </c:pt>
                <c:pt idx="29">
                  <c:v>1625084.9252301357</c:v>
                </c:pt>
                <c:pt idx="30">
                  <c:v>16250849.252301356</c:v>
                </c:pt>
              </c:numCache>
            </c:numRef>
          </c:xVal>
          <c:yVal>
            <c:numRef>
              <c:f>'Mastercurve bestimmen'!$K$404:$K$434</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6.5980258754554607E-21</c:v>
                </c:pt>
                <c:pt idx="1">
                  <c:v>6.5980258754554606E-20</c:v>
                </c:pt>
                <c:pt idx="2">
                  <c:v>6.5980258754554598E-19</c:v>
                </c:pt>
                <c:pt idx="3">
                  <c:v>6.5980258754554602E-18</c:v>
                </c:pt>
                <c:pt idx="4">
                  <c:v>6.5980258754554592E-17</c:v>
                </c:pt>
                <c:pt idx="5">
                  <c:v>6.5980258754554599E-16</c:v>
                </c:pt>
                <c:pt idx="6">
                  <c:v>6.5980258754554603E-15</c:v>
                </c:pt>
                <c:pt idx="7">
                  <c:v>6.5980258754554598E-14</c:v>
                </c:pt>
                <c:pt idx="8">
                  <c:v>6.5980258754554598E-13</c:v>
                </c:pt>
                <c:pt idx="9">
                  <c:v>6.5980258754554594E-12</c:v>
                </c:pt>
                <c:pt idx="10">
                  <c:v>6.5980258754554602E-11</c:v>
                </c:pt>
                <c:pt idx="11">
                  <c:v>6.5980258754554605E-10</c:v>
                </c:pt>
                <c:pt idx="12">
                  <c:v>6.5980258754554599E-9</c:v>
                </c:pt>
                <c:pt idx="13">
                  <c:v>6.59802587545546E-8</c:v>
                </c:pt>
                <c:pt idx="14">
                  <c:v>6.5980258754554605E-7</c:v>
                </c:pt>
                <c:pt idx="15">
                  <c:v>6.5980258754554599E-6</c:v>
                </c:pt>
                <c:pt idx="16">
                  <c:v>6.5980258754554596E-5</c:v>
                </c:pt>
                <c:pt idx="17">
                  <c:v>6.5980258754554598E-4</c:v>
                </c:pt>
                <c:pt idx="18">
                  <c:v>6.5980258754554603E-3</c:v>
                </c:pt>
                <c:pt idx="19">
                  <c:v>6.5980258754554599E-2</c:v>
                </c:pt>
                <c:pt idx="20">
                  <c:v>0.65980258754554599</c:v>
                </c:pt>
                <c:pt idx="21">
                  <c:v>6.5980258754554599</c:v>
                </c:pt>
                <c:pt idx="22">
                  <c:v>65.980258754554598</c:v>
                </c:pt>
                <c:pt idx="23">
                  <c:v>659.80258754554598</c:v>
                </c:pt>
                <c:pt idx="24">
                  <c:v>6598.0258754554598</c:v>
                </c:pt>
                <c:pt idx="25">
                  <c:v>65980.258754554598</c:v>
                </c:pt>
                <c:pt idx="26">
                  <c:v>659802.587545546</c:v>
                </c:pt>
                <c:pt idx="27">
                  <c:v>6598025.8754554596</c:v>
                </c:pt>
                <c:pt idx="28">
                  <c:v>65980258.7545546</c:v>
                </c:pt>
                <c:pt idx="29">
                  <c:v>659802587.54554605</c:v>
                </c:pt>
                <c:pt idx="30">
                  <c:v>6598025875.4554596</c:v>
                </c:pt>
              </c:numCache>
            </c:numRef>
          </c:xVal>
          <c:yVal>
            <c:numRef>
              <c:f>'Mastercurve bestimmen'!$L$404:$L$434</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1.1471655632990057E-18</c:v>
                </c:pt>
                <c:pt idx="1">
                  <c:v>1.1471655632990055E-17</c:v>
                </c:pt>
                <c:pt idx="2">
                  <c:v>1.1471655632990056E-16</c:v>
                </c:pt>
                <c:pt idx="3">
                  <c:v>1.1471655632990055E-15</c:v>
                </c:pt>
                <c:pt idx="4">
                  <c:v>1.1471655632990055E-14</c:v>
                </c:pt>
                <c:pt idx="5">
                  <c:v>1.1471655632990055E-13</c:v>
                </c:pt>
                <c:pt idx="6">
                  <c:v>1.1471655632990057E-12</c:v>
                </c:pt>
                <c:pt idx="7">
                  <c:v>1.1471655632990056E-11</c:v>
                </c:pt>
                <c:pt idx="8">
                  <c:v>1.1471655632990055E-10</c:v>
                </c:pt>
                <c:pt idx="9">
                  <c:v>1.1471655632990055E-9</c:v>
                </c:pt>
                <c:pt idx="10">
                  <c:v>1.1471655632990057E-8</c:v>
                </c:pt>
                <c:pt idx="11">
                  <c:v>1.1471655632990056E-7</c:v>
                </c:pt>
                <c:pt idx="12">
                  <c:v>1.1471655632990055E-6</c:v>
                </c:pt>
                <c:pt idx="13">
                  <c:v>1.1471655632990055E-5</c:v>
                </c:pt>
                <c:pt idx="14">
                  <c:v>1.1471655632990057E-4</c:v>
                </c:pt>
                <c:pt idx="15">
                  <c:v>1.1471655632990057E-3</c:v>
                </c:pt>
                <c:pt idx="16">
                  <c:v>1.1471655632990055E-2</c:v>
                </c:pt>
                <c:pt idx="17">
                  <c:v>0.11471655632990056</c:v>
                </c:pt>
                <c:pt idx="18">
                  <c:v>1.1471655632990057</c:v>
                </c:pt>
                <c:pt idx="19">
                  <c:v>11.471655632990055</c:v>
                </c:pt>
                <c:pt idx="20">
                  <c:v>114.71655632990056</c:v>
                </c:pt>
                <c:pt idx="21">
                  <c:v>1147.1655632990055</c:v>
                </c:pt>
                <c:pt idx="22">
                  <c:v>11471.655632990056</c:v>
                </c:pt>
                <c:pt idx="23">
                  <c:v>114716.55632990056</c:v>
                </c:pt>
                <c:pt idx="24">
                  <c:v>1147165.5632990056</c:v>
                </c:pt>
                <c:pt idx="25">
                  <c:v>11471655.632990055</c:v>
                </c:pt>
                <c:pt idx="26">
                  <c:v>114716556.32990056</c:v>
                </c:pt>
                <c:pt idx="27">
                  <c:v>1147165563.2990055</c:v>
                </c:pt>
                <c:pt idx="28">
                  <c:v>11471655632.990055</c:v>
                </c:pt>
                <c:pt idx="29">
                  <c:v>114716556329.90056</c:v>
                </c:pt>
                <c:pt idx="30">
                  <c:v>1147165563299.0056</c:v>
                </c:pt>
              </c:numCache>
            </c:numRef>
          </c:xVal>
          <c:yVal>
            <c:numRef>
              <c:f>'Mastercurve bestimmen'!$M$404:$M$434</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1.183806151913294E-8</c:v>
                </c:pt>
                <c:pt idx="1">
                  <c:v>1.183806151913294E-7</c:v>
                </c:pt>
                <c:pt idx="2">
                  <c:v>1.183806151913294E-6</c:v>
                </c:pt>
                <c:pt idx="3">
                  <c:v>1.183806151913294E-5</c:v>
                </c:pt>
                <c:pt idx="4">
                  <c:v>1.183806151913294E-4</c:v>
                </c:pt>
                <c:pt idx="5">
                  <c:v>1.1838061519132941E-3</c:v>
                </c:pt>
                <c:pt idx="6">
                  <c:v>1.183806151913294E-2</c:v>
                </c:pt>
                <c:pt idx="7">
                  <c:v>0.11838061519132941</c:v>
                </c:pt>
                <c:pt idx="8">
                  <c:v>1.1838061519132939</c:v>
                </c:pt>
                <c:pt idx="9">
                  <c:v>11.838061519132939</c:v>
                </c:pt>
                <c:pt idx="10">
                  <c:v>118.38061519132941</c:v>
                </c:pt>
                <c:pt idx="11">
                  <c:v>1183.8061519132941</c:v>
                </c:pt>
                <c:pt idx="12">
                  <c:v>11838.06151913294</c:v>
                </c:pt>
                <c:pt idx="13">
                  <c:v>118380.6151913294</c:v>
                </c:pt>
                <c:pt idx="14">
                  <c:v>1183806.1519132941</c:v>
                </c:pt>
                <c:pt idx="15">
                  <c:v>11838061.51913294</c:v>
                </c:pt>
                <c:pt idx="16">
                  <c:v>118380615.1913294</c:v>
                </c:pt>
                <c:pt idx="17">
                  <c:v>1183806151.9132941</c:v>
                </c:pt>
                <c:pt idx="18">
                  <c:v>11838061519.13294</c:v>
                </c:pt>
                <c:pt idx="19">
                  <c:v>118380615191.32941</c:v>
                </c:pt>
                <c:pt idx="20">
                  <c:v>1183806151913.2939</c:v>
                </c:pt>
                <c:pt idx="21">
                  <c:v>11838061519132.939</c:v>
                </c:pt>
                <c:pt idx="22">
                  <c:v>118380615191329.41</c:v>
                </c:pt>
                <c:pt idx="23">
                  <c:v>1183806151913294</c:v>
                </c:pt>
                <c:pt idx="24">
                  <c:v>1.183806151913294E+16</c:v>
                </c:pt>
                <c:pt idx="25">
                  <c:v>1.1838061519132939E+17</c:v>
                </c:pt>
                <c:pt idx="26">
                  <c:v>1.1838061519132941E+18</c:v>
                </c:pt>
                <c:pt idx="27">
                  <c:v>1.183806151913294E+19</c:v>
                </c:pt>
                <c:pt idx="28">
                  <c:v>1.1838061519132941E+20</c:v>
                </c:pt>
                <c:pt idx="29">
                  <c:v>1.183806151913294E+21</c:v>
                </c:pt>
                <c:pt idx="30">
                  <c:v>1.183806151913294E+22</c:v>
                </c:pt>
              </c:numCache>
            </c:numRef>
          </c:xVal>
          <c:yVal>
            <c:numRef>
              <c:f>'Mastercurve bestimmen'!$O$404:$O$434</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1.6975773010911275E-2</c:v>
                </c:pt>
                <c:pt idx="1">
                  <c:v>0.16975773010911274</c:v>
                </c:pt>
                <c:pt idx="2">
                  <c:v>1.6975773010911275</c:v>
                </c:pt>
                <c:pt idx="3">
                  <c:v>16.975773010911276</c:v>
                </c:pt>
                <c:pt idx="4">
                  <c:v>169.75773010911274</c:v>
                </c:pt>
                <c:pt idx="5">
                  <c:v>1697.5773010911275</c:v>
                </c:pt>
                <c:pt idx="6">
                  <c:v>16975.773010911274</c:v>
                </c:pt>
                <c:pt idx="7">
                  <c:v>169757.73010911274</c:v>
                </c:pt>
                <c:pt idx="8">
                  <c:v>1697577.3010911273</c:v>
                </c:pt>
                <c:pt idx="9">
                  <c:v>16975773.010911275</c:v>
                </c:pt>
                <c:pt idx="10">
                  <c:v>169757730.10911277</c:v>
                </c:pt>
                <c:pt idx="11">
                  <c:v>1697577301.0911276</c:v>
                </c:pt>
                <c:pt idx="12">
                  <c:v>16975773010.911276</c:v>
                </c:pt>
                <c:pt idx="13">
                  <c:v>169757730109.11276</c:v>
                </c:pt>
                <c:pt idx="14">
                  <c:v>1697577301091.1277</c:v>
                </c:pt>
                <c:pt idx="15">
                  <c:v>16975773010911.275</c:v>
                </c:pt>
                <c:pt idx="16">
                  <c:v>169757730109112.75</c:v>
                </c:pt>
                <c:pt idx="17">
                  <c:v>1697577301091127.5</c:v>
                </c:pt>
                <c:pt idx="18">
                  <c:v>1.6975773010911274E+16</c:v>
                </c:pt>
                <c:pt idx="19">
                  <c:v>1.6975773010911274E+17</c:v>
                </c:pt>
                <c:pt idx="20">
                  <c:v>1.6975773010911276E+18</c:v>
                </c:pt>
                <c:pt idx="21">
                  <c:v>1.6975773010911275E+19</c:v>
                </c:pt>
                <c:pt idx="22">
                  <c:v>1.6975773010911275E+20</c:v>
                </c:pt>
                <c:pt idx="23">
                  <c:v>1.6975773010911274E+21</c:v>
                </c:pt>
                <c:pt idx="24">
                  <c:v>1.6975773010911274E+22</c:v>
                </c:pt>
                <c:pt idx="25">
                  <c:v>1.6975773010911277E+23</c:v>
                </c:pt>
                <c:pt idx="26">
                  <c:v>1.6975773010911275E+24</c:v>
                </c:pt>
                <c:pt idx="27">
                  <c:v>1.6975773010911275E+25</c:v>
                </c:pt>
                <c:pt idx="28">
                  <c:v>1.6975773010911276E+26</c:v>
                </c:pt>
                <c:pt idx="29">
                  <c:v>1.6975773010911276E+27</c:v>
                </c:pt>
                <c:pt idx="30">
                  <c:v>1.6975773010911275E+28</c:v>
                </c:pt>
              </c:numCache>
            </c:numRef>
          </c:xVal>
          <c:yVal>
            <c:numRef>
              <c:f>'Mastercurve bestimmen'!$P$404:$P$434</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1"/>
        </c:ser>
        <c:ser>
          <c:idx val="7"/>
          <c:order val="7"/>
          <c:tx>
            <c:v>Mastercurve @Tref interpolated</c:v>
          </c:tx>
          <c:spPr>
            <a:ln w="19050" cap="rnd">
              <a:solidFill>
                <a:srgbClr val="FF0000"/>
              </a:solidFill>
              <a:prstDash val="sysDash"/>
              <a:round/>
            </a:ln>
            <a:effectLst/>
          </c:spPr>
          <c:marker>
            <c:symbol val="none"/>
          </c:marker>
          <c:xVal>
            <c:numRef>
              <c:f>'Universal Mastercurve'!$A$72:$A$102</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Mastercurve'!$J$72:$J$102</c:f>
              <c:numCache>
                <c:formatCode>General</c:formatCode>
                <c:ptCount val="31"/>
                <c:pt idx="0">
                  <c:v>5601.8925069571324</c:v>
                </c:pt>
                <c:pt idx="1">
                  <c:v>5485.8790565962363</c:v>
                </c:pt>
                <c:pt idx="2">
                  <c:v>5333.8371344694751</c:v>
                </c:pt>
                <c:pt idx="3">
                  <c:v>5205.3663921044663</c:v>
                </c:pt>
                <c:pt idx="4">
                  <c:v>5085.4336829219828</c:v>
                </c:pt>
                <c:pt idx="5">
                  <c:v>4939.1052819280185</c:v>
                </c:pt>
                <c:pt idx="6">
                  <c:v>4798.4011245719148</c:v>
                </c:pt>
                <c:pt idx="7">
                  <c:v>4612.1483720059186</c:v>
                </c:pt>
                <c:pt idx="8">
                  <c:v>4448.2185750157723</c:v>
                </c:pt>
                <c:pt idx="9">
                  <c:v>4293.5222313778368</c:v>
                </c:pt>
                <c:pt idx="10">
                  <c:v>4117.9207947614541</c:v>
                </c:pt>
                <c:pt idx="11">
                  <c:v>3910.1651512420412</c:v>
                </c:pt>
                <c:pt idx="12">
                  <c:v>3678.7246116010783</c:v>
                </c:pt>
                <c:pt idx="13">
                  <c:v>3486.0095470694741</c:v>
                </c:pt>
                <c:pt idx="14">
                  <c:v>3300.217633801713</c:v>
                </c:pt>
                <c:pt idx="15">
                  <c:v>3139.2513577698996</c:v>
                </c:pt>
                <c:pt idx="16">
                  <c:v>2955.8680772374842</c:v>
                </c:pt>
                <c:pt idx="17">
                  <c:v>2769.0967546616071</c:v>
                </c:pt>
                <c:pt idx="18">
                  <c:v>2630.3207633993934</c:v>
                </c:pt>
                <c:pt idx="19">
                  <c:v>2427.9503951109282</c:v>
                </c:pt>
                <c:pt idx="20">
                  <c:v>2213.5929893020766</c:v>
                </c:pt>
                <c:pt idx="21">
                  <c:v>2012.5911993145396</c:v>
                </c:pt>
                <c:pt idx="22">
                  <c:v>1730.2986832896065</c:v>
                </c:pt>
                <c:pt idx="23">
                  <c:v>1407.7220108273536</c:v>
                </c:pt>
                <c:pt idx="24">
                  <c:v>1079.7928595826206</c:v>
                </c:pt>
                <c:pt idx="25">
                  <c:v>765.50531118411004</c:v>
                </c:pt>
                <c:pt idx="26">
                  <c:v>527.13368455244608</c:v>
                </c:pt>
                <c:pt idx="27">
                  <c:v>390.64607841221624</c:v>
                </c:pt>
                <c:pt idx="28">
                  <c:v>317.04411250990495</c:v>
                </c:pt>
                <c:pt idx="29">
                  <c:v>284.07968124978095</c:v>
                </c:pt>
                <c:pt idx="30">
                  <c:v>265.08253847122182</c:v>
                </c:pt>
              </c:numCache>
            </c:numRef>
          </c:yVal>
          <c:smooth val="1"/>
        </c:ser>
        <c:dLbls>
          <c:showLegendKey val="0"/>
          <c:showVal val="0"/>
          <c:showCatName val="0"/>
          <c:showSerName val="0"/>
          <c:showPercent val="0"/>
          <c:showBubbleSize val="0"/>
        </c:dLbls>
        <c:axId val="457266776"/>
        <c:axId val="457265208"/>
      </c:scatterChart>
      <c:valAx>
        <c:axId val="457266776"/>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5208"/>
        <c:crosses val="autoZero"/>
        <c:crossBetween val="midCat"/>
      </c:valAx>
      <c:valAx>
        <c:axId val="4572652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6776"/>
        <c:crossesAt val="1.0000000000000012E-22"/>
        <c:crossBetween val="midCat"/>
      </c:valAx>
      <c:spPr>
        <a:noFill/>
        <a:ln>
          <a:noFill/>
        </a:ln>
        <a:effectLst/>
      </c:spPr>
    </c:plotArea>
    <c:legend>
      <c:legendPos val="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Mastercurve'!$F$109:$AJ$109</c:f>
              <c:numCache>
                <c:formatCode>0.00E+00</c:formatCode>
                <c:ptCount val="31"/>
                <c:pt idx="0">
                  <c:v>5601.8925069571324</c:v>
                </c:pt>
                <c:pt idx="1">
                  <c:v>5485.8790565962363</c:v>
                </c:pt>
                <c:pt idx="2">
                  <c:v>5333.8371344694751</c:v>
                </c:pt>
                <c:pt idx="3">
                  <c:v>5205.3663921044663</c:v>
                </c:pt>
                <c:pt idx="4">
                  <c:v>5085.4336829219828</c:v>
                </c:pt>
                <c:pt idx="5">
                  <c:v>4939.1052819280185</c:v>
                </c:pt>
                <c:pt idx="6">
                  <c:v>4798.4011245719148</c:v>
                </c:pt>
                <c:pt idx="7">
                  <c:v>4612.1483720059186</c:v>
                </c:pt>
                <c:pt idx="8">
                  <c:v>4448.2185750157723</c:v>
                </c:pt>
                <c:pt idx="9">
                  <c:v>4293.5222313778368</c:v>
                </c:pt>
                <c:pt idx="10">
                  <c:v>4117.9207947614541</c:v>
                </c:pt>
                <c:pt idx="11">
                  <c:v>3910.1651512420412</c:v>
                </c:pt>
                <c:pt idx="12">
                  <c:v>3678.7246116010783</c:v>
                </c:pt>
                <c:pt idx="13">
                  <c:v>3486.0095470694741</c:v>
                </c:pt>
                <c:pt idx="14">
                  <c:v>3300.217633801713</c:v>
                </c:pt>
                <c:pt idx="15">
                  <c:v>3139.2513577698996</c:v>
                </c:pt>
                <c:pt idx="16">
                  <c:v>2955.8680772374842</c:v>
                </c:pt>
                <c:pt idx="17">
                  <c:v>2769.0967546616071</c:v>
                </c:pt>
                <c:pt idx="18">
                  <c:v>2630.3207633993934</c:v>
                </c:pt>
                <c:pt idx="19">
                  <c:v>2427.9503951109282</c:v>
                </c:pt>
                <c:pt idx="20">
                  <c:v>2213.5929893020766</c:v>
                </c:pt>
                <c:pt idx="21">
                  <c:v>2012.5911993145396</c:v>
                </c:pt>
                <c:pt idx="22">
                  <c:v>1730.2986832896065</c:v>
                </c:pt>
                <c:pt idx="23">
                  <c:v>1407.7220108273536</c:v>
                </c:pt>
                <c:pt idx="24">
                  <c:v>1079.7928595826206</c:v>
                </c:pt>
                <c:pt idx="25">
                  <c:v>765.50531118411004</c:v>
                </c:pt>
                <c:pt idx="26">
                  <c:v>527.13368455244608</c:v>
                </c:pt>
                <c:pt idx="27">
                  <c:v>390.64607841221624</c:v>
                </c:pt>
                <c:pt idx="28">
                  <c:v>317.04411250990495</c:v>
                </c:pt>
                <c:pt idx="29">
                  <c:v>284.07968124978095</c:v>
                </c:pt>
                <c:pt idx="30">
                  <c:v>265.08253847122182</c:v>
                </c:pt>
              </c:numCache>
            </c:numRef>
          </c:yVal>
          <c:smooth val="1"/>
        </c:ser>
        <c:ser>
          <c:idx val="1"/>
          <c:order val="1"/>
          <c:tx>
            <c:v>original master curve</c:v>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5480.575532648817</c:v>
                </c:pt>
                <c:pt idx="1">
                  <c:v>5421.7813890152793</c:v>
                </c:pt>
                <c:pt idx="2">
                  <c:v>5209.6624209008151</c:v>
                </c:pt>
                <c:pt idx="3">
                  <c:v>5123.5555334820274</c:v>
                </c:pt>
                <c:pt idx="4">
                  <c:v>4997.8370250706303</c:v>
                </c:pt>
                <c:pt idx="5">
                  <c:v>4868.3522095816661</c:v>
                </c:pt>
                <c:pt idx="6">
                  <c:v>4722.7355246440211</c:v>
                </c:pt>
                <c:pt idx="7">
                  <c:v>4566.4631092244745</c:v>
                </c:pt>
                <c:pt idx="8">
                  <c:v>4408.392391630452</c:v>
                </c:pt>
                <c:pt idx="9">
                  <c:v>4256.3004297775778</c:v>
                </c:pt>
                <c:pt idx="10">
                  <c:v>4088.5463208166743</c:v>
                </c:pt>
                <c:pt idx="11">
                  <c:v>3886.7331206744675</c:v>
                </c:pt>
                <c:pt idx="12">
                  <c:v>3673.8228698979851</c:v>
                </c:pt>
                <c:pt idx="13">
                  <c:v>3490.7461694803906</c:v>
                </c:pt>
                <c:pt idx="14">
                  <c:v>3328.3977349299175</c:v>
                </c:pt>
                <c:pt idx="15">
                  <c:v>3162.8512884343731</c:v>
                </c:pt>
                <c:pt idx="16">
                  <c:v>2988.9354447497799</c:v>
                </c:pt>
                <c:pt idx="17">
                  <c:v>2798.2643400857478</c:v>
                </c:pt>
                <c:pt idx="18">
                  <c:v>2599.4537438899133</c:v>
                </c:pt>
                <c:pt idx="19">
                  <c:v>2390.0925754461196</c:v>
                </c:pt>
                <c:pt idx="20">
                  <c:v>2175.3889044011426</c:v>
                </c:pt>
                <c:pt idx="21">
                  <c:v>1944.7472889565177</c:v>
                </c:pt>
                <c:pt idx="22">
                  <c:v>1692.3072485840821</c:v>
                </c:pt>
                <c:pt idx="23">
                  <c:v>1404.8639708380645</c:v>
                </c:pt>
                <c:pt idx="24">
                  <c:v>1091.4349714988748</c:v>
                </c:pt>
                <c:pt idx="25">
                  <c:v>790.56625552738922</c:v>
                </c:pt>
                <c:pt idx="26">
                  <c:v>554.40937258971564</c:v>
                </c:pt>
                <c:pt idx="27">
                  <c:v>402.35845919627394</c:v>
                </c:pt>
                <c:pt idx="28">
                  <c:v>323.45910074497533</c:v>
                </c:pt>
                <c:pt idx="29">
                  <c:v>284.42673799120098</c:v>
                </c:pt>
                <c:pt idx="30">
                  <c:v>264.8835036094876</c:v>
                </c:pt>
              </c:numCache>
            </c:numRef>
          </c:yVal>
          <c:smooth val="1"/>
        </c:ser>
        <c:ser>
          <c:idx val="2"/>
          <c:order val="2"/>
          <c:tx>
            <c:v>Regression new Mastercurve</c:v>
          </c:tx>
          <c:spPr>
            <a:ln w="19050" cap="rnd">
              <a:solidFill>
                <a:schemeClr val="accent3"/>
              </a:solidFill>
              <a:round/>
            </a:ln>
            <a:effectLst/>
          </c:spPr>
          <c:marker>
            <c:symbol val="none"/>
          </c:marker>
          <c:xVal>
            <c:numRef>
              <c:f>'Universal Mastercurve'!$F$108:$AJ$108</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Mastercurve'!$F$110:$AJ$110</c:f>
              <c:numCache>
                <c:formatCode>0.00E+00</c:formatCode>
                <c:ptCount val="31"/>
                <c:pt idx="0">
                  <c:v>5574.3361256856788</c:v>
                </c:pt>
                <c:pt idx="1">
                  <c:v>5521.5219885927081</c:v>
                </c:pt>
                <c:pt idx="2">
                  <c:v>5324.4028767401669</c:v>
                </c:pt>
                <c:pt idx="3">
                  <c:v>5206.9036859189418</c:v>
                </c:pt>
                <c:pt idx="4">
                  <c:v>5085.224188738448</c:v>
                </c:pt>
                <c:pt idx="5">
                  <c:v>4939.1127524157373</c:v>
                </c:pt>
                <c:pt idx="6">
                  <c:v>4798.4655692511697</c:v>
                </c:pt>
                <c:pt idx="7">
                  <c:v>4611.9502903687635</c:v>
                </c:pt>
                <c:pt idx="8">
                  <c:v>4448.7030370040893</c:v>
                </c:pt>
                <c:pt idx="9">
                  <c:v>4292.5385609694595</c:v>
                </c:pt>
                <c:pt idx="10">
                  <c:v>4119.6032286246336</c:v>
                </c:pt>
                <c:pt idx="11">
                  <c:v>3907.7318747000099</c:v>
                </c:pt>
                <c:pt idx="12">
                  <c:v>3681.716357154889</c:v>
                </c:pt>
                <c:pt idx="13">
                  <c:v>3482.8684162922991</c:v>
                </c:pt>
                <c:pt idx="14">
                  <c:v>3303.0439740636593</c:v>
                </c:pt>
                <c:pt idx="15">
                  <c:v>3137.0657204225918</c:v>
                </c:pt>
                <c:pt idx="16">
                  <c:v>2957.3232391287588</c:v>
                </c:pt>
                <c:pt idx="17">
                  <c:v>2768.2603503307078</c:v>
                </c:pt>
                <c:pt idx="18">
                  <c:v>2630.7371661362727</c:v>
                </c:pt>
                <c:pt idx="19">
                  <c:v>2427.7717593841849</c:v>
                </c:pt>
                <c:pt idx="20">
                  <c:v>2213.6598514417037</c:v>
                </c:pt>
                <c:pt idx="21">
                  <c:v>2012.569466739453</c:v>
                </c:pt>
                <c:pt idx="22">
                  <c:v>1730.3081420345827</c:v>
                </c:pt>
                <c:pt idx="23">
                  <c:v>1407.7121319201972</c:v>
                </c:pt>
                <c:pt idx="24">
                  <c:v>1079.805916008168</c:v>
                </c:pt>
                <c:pt idx="25">
                  <c:v>765.48853818322209</c:v>
                </c:pt>
                <c:pt idx="26">
                  <c:v>527.15527754167431</c:v>
                </c:pt>
                <c:pt idx="27">
                  <c:v>390.61812875353911</c:v>
                </c:pt>
                <c:pt idx="28">
                  <c:v>317.08015593434629</c:v>
                </c:pt>
                <c:pt idx="29">
                  <c:v>284.05622891656844</c:v>
                </c:pt>
                <c:pt idx="30">
                  <c:v>265.08554186709426</c:v>
                </c:pt>
              </c:numCache>
            </c:numRef>
          </c:yVal>
          <c:smooth val="1"/>
        </c:ser>
        <c:dLbls>
          <c:showLegendKey val="0"/>
          <c:showVal val="0"/>
          <c:showCatName val="0"/>
          <c:showSerName val="0"/>
          <c:showPercent val="0"/>
          <c:showBubbleSize val="0"/>
        </c:dLbls>
        <c:axId val="457265992"/>
        <c:axId val="457262464"/>
      </c:scatterChart>
      <c:valAx>
        <c:axId val="4572659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2464"/>
        <c:crosses val="autoZero"/>
        <c:crossBetween val="midCat"/>
      </c:valAx>
      <c:valAx>
        <c:axId val="45726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599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'Universal Mastercurve'!$F$148:$AJ$148</c:f>
              <c:numCache>
                <c:formatCode>0.00%</c:formatCode>
                <c:ptCount val="31"/>
                <c:pt idx="0">
                  <c:v>4.9191199647673723E-3</c:v>
                </c:pt>
                <c:pt idx="1">
                  <c:v>6.4972143258635378E-3</c:v>
                </c:pt>
                <c:pt idx="2">
                  <c:v>1.7687562427319216E-3</c:v>
                </c:pt>
                <c:pt idx="3">
                  <c:v>2.9532864714524958E-4</c:v>
                </c:pt>
                <c:pt idx="4">
                  <c:v>4.1194949456989611E-5</c:v>
                </c:pt>
                <c:pt idx="5">
                  <c:v>1.5125184203207502E-6</c:v>
                </c:pt>
                <c:pt idx="6">
                  <c:v>1.3430448514367844E-5</c:v>
                </c:pt>
                <c:pt idx="7">
                  <c:v>4.2947802450901138E-5</c:v>
                </c:pt>
                <c:pt idx="8">
                  <c:v>1.0891146200369932E-4</c:v>
                </c:pt>
                <c:pt idx="9">
                  <c:v>2.2910569815813499E-4</c:v>
                </c:pt>
                <c:pt idx="10">
                  <c:v>4.0856392024825268E-4</c:v>
                </c:pt>
                <c:pt idx="11">
                  <c:v>6.2229508164339086E-4</c:v>
                </c:pt>
                <c:pt idx="12">
                  <c:v>8.1325618785816126E-4</c:v>
                </c:pt>
                <c:pt idx="13">
                  <c:v>9.0106774946030314E-4</c:v>
                </c:pt>
                <c:pt idx="14">
                  <c:v>8.5641026609828289E-4</c:v>
                </c:pt>
                <c:pt idx="15">
                  <c:v>6.9622884510290857E-4</c:v>
                </c:pt>
                <c:pt idx="16">
                  <c:v>4.9229595274584502E-4</c:v>
                </c:pt>
                <c:pt idx="17">
                  <c:v>3.0204951469871072E-4</c:v>
                </c:pt>
                <c:pt idx="18">
                  <c:v>1.5830872898600756E-4</c:v>
                </c:pt>
                <c:pt idx="19">
                  <c:v>7.357470198033501E-5</c:v>
                </c:pt>
                <c:pt idx="20">
                  <c:v>3.0205254511670697E-5</c:v>
                </c:pt>
                <c:pt idx="21">
                  <c:v>1.0798305733433816E-5</c:v>
                </c:pt>
                <c:pt idx="22">
                  <c:v>5.466538851094476E-6</c:v>
                </c:pt>
                <c:pt idx="23">
                  <c:v>7.0176548213921611E-6</c:v>
                </c:pt>
                <c:pt idx="24">
                  <c:v>1.2091602043371636E-5</c:v>
                </c:pt>
                <c:pt idx="25">
                  <c:v>2.1911018307641238E-5</c:v>
                </c:pt>
                <c:pt idx="26">
                  <c:v>4.0963022969321121E-5</c:v>
                </c:pt>
                <c:pt idx="27">
                  <c:v>7.1547265470401654E-5</c:v>
                </c:pt>
                <c:pt idx="28">
                  <c:v>1.1368583430237771E-4</c:v>
                </c:pt>
                <c:pt idx="29">
                  <c:v>8.255547566558564E-5</c:v>
                </c:pt>
                <c:pt idx="30">
                  <c:v>1.1330040408400226E-5</c:v>
                </c:pt>
              </c:numCache>
            </c:numRef>
          </c:yVal>
          <c:smooth val="1"/>
        </c:ser>
        <c:dLbls>
          <c:showLegendKey val="0"/>
          <c:showVal val="0"/>
          <c:showCatName val="0"/>
          <c:showSerName val="0"/>
          <c:showPercent val="0"/>
          <c:showBubbleSize val="0"/>
        </c:dLbls>
        <c:axId val="457267168"/>
        <c:axId val="457267560"/>
      </c:scatterChart>
      <c:valAx>
        <c:axId val="4572671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7560"/>
        <c:crossesAt val="-1.5000000000000005E-3"/>
        <c:crossBetween val="midCat"/>
      </c:valAx>
      <c:valAx>
        <c:axId val="45726756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716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-30.413972210948693</c:v>
                </c:pt>
                <c:pt idx="1">
                  <c:v>-30.163124219186201</c:v>
                </c:pt>
                <c:pt idx="2">
                  <c:v>-29.91204687171334</c:v>
                </c:pt>
                <c:pt idx="3">
                  <c:v>-29.660510812819727</c:v>
                </c:pt>
                <c:pt idx="4">
                  <c:v>-29.408286686794995</c:v>
                </c:pt>
                <c:pt idx="5">
                  <c:v>-29.155145137928759</c:v>
                </c:pt>
                <c:pt idx="6">
                  <c:v>-28.900856810510653</c:v>
                </c:pt>
                <c:pt idx="7">
                  <c:v>-28.645192348830296</c:v>
                </c:pt>
                <c:pt idx="8">
                  <c:v>-28.38792239717732</c:v>
                </c:pt>
                <c:pt idx="9">
                  <c:v>-28.128817599841348</c:v>
                </c:pt>
                <c:pt idx="10">
                  <c:v>-27.867648601112002</c:v>
                </c:pt>
                <c:pt idx="11">
                  <c:v>-27.604186045278915</c:v>
                </c:pt>
                <c:pt idx="12">
                  <c:v>-27.338200576631703</c:v>
                </c:pt>
                <c:pt idx="13">
                  <c:v>-27.069462839459995</c:v>
                </c:pt>
                <c:pt idx="14">
                  <c:v>-26.797743478053423</c:v>
                </c:pt>
                <c:pt idx="15">
                  <c:v>-26.522813136701604</c:v>
                </c:pt>
                <c:pt idx="16">
                  <c:v>-26.244442459694163</c:v>
                </c:pt>
                <c:pt idx="17">
                  <c:v>-25.96240209132073</c:v>
                </c:pt>
                <c:pt idx="18">
                  <c:v>-25.67646267587093</c:v>
                </c:pt>
                <c:pt idx="19">
                  <c:v>-25.386394857634393</c:v>
                </c:pt>
                <c:pt idx="20">
                  <c:v>-25.091969280900734</c:v>
                </c:pt>
                <c:pt idx="21">
                  <c:v>-24.792956589959584</c:v>
                </c:pt>
                <c:pt idx="22">
                  <c:v>-24.48912742910057</c:v>
                </c:pt>
                <c:pt idx="23">
                  <c:v>-24.180252442613316</c:v>
                </c:pt>
                <c:pt idx="24">
                  <c:v>-23.866102274787444</c:v>
                </c:pt>
                <c:pt idx="25">
                  <c:v>-23.54644756991258</c:v>
                </c:pt>
                <c:pt idx="26">
                  <c:v>-23.221058972278357</c:v>
                </c:pt>
                <c:pt idx="27">
                  <c:v>-22.889707126174393</c:v>
                </c:pt>
                <c:pt idx="28">
                  <c:v>-22.552162675890315</c:v>
                </c:pt>
                <c:pt idx="29">
                  <c:v>-22.208196265715745</c:v>
                </c:pt>
                <c:pt idx="30">
                  <c:v>-21.857578539940317</c:v>
                </c:pt>
                <c:pt idx="31">
                  <c:v>-21.500080142853651</c:v>
                </c:pt>
                <c:pt idx="32">
                  <c:v>-21.135471718745372</c:v>
                </c:pt>
                <c:pt idx="33">
                  <c:v>-20.763523911905107</c:v>
                </c:pt>
                <c:pt idx="34">
                  <c:v>-20.384007366622484</c:v>
                </c:pt>
                <c:pt idx="35">
                  <c:v>-19.996692727187121</c:v>
                </c:pt>
                <c:pt idx="36">
                  <c:v>-19.601350637888654</c:v>
                </c:pt>
                <c:pt idx="37">
                  <c:v>-19.197751743016696</c:v>
                </c:pt>
                <c:pt idx="38">
                  <c:v>-18.785666686860878</c:v>
                </c:pt>
                <c:pt idx="39">
                  <c:v>-18.364866113710832</c:v>
                </c:pt>
                <c:pt idx="40">
                  <c:v>-17.935120667856175</c:v>
                </c:pt>
                <c:pt idx="41">
                  <c:v>-17.748123067843146</c:v>
                </c:pt>
                <c:pt idx="42">
                  <c:v>-17.552497711692219</c:v>
                </c:pt>
                <c:pt idx="43">
                  <c:v>-17.34879107168047</c:v>
                </c:pt>
                <c:pt idx="44">
                  <c:v>-17.137549620084997</c:v>
                </c:pt>
                <c:pt idx="45">
                  <c:v>-16.919319829182875</c:v>
                </c:pt>
                <c:pt idx="46">
                  <c:v>-16.694648171251188</c:v>
                </c:pt>
                <c:pt idx="47">
                  <c:v>-16.464081118567023</c:v>
                </c:pt>
                <c:pt idx="48">
                  <c:v>-16.228165143407463</c:v>
                </c:pt>
                <c:pt idx="49">
                  <c:v>-15.987446718049586</c:v>
                </c:pt>
                <c:pt idx="50">
                  <c:v>-15.742472314770485</c:v>
                </c:pt>
                <c:pt idx="51">
                  <c:v>-15.493788405847239</c:v>
                </c:pt>
                <c:pt idx="52">
                  <c:v>-15.24194146355693</c:v>
                </c:pt>
                <c:pt idx="53">
                  <c:v>-14.987477960176649</c:v>
                </c:pt>
                <c:pt idx="54">
                  <c:v>-14.730944367983472</c:v>
                </c:pt>
                <c:pt idx="55">
                  <c:v>-14.472887159254489</c:v>
                </c:pt>
                <c:pt idx="56">
                  <c:v>-14.213852806266779</c:v>
                </c:pt>
                <c:pt idx="57">
                  <c:v>-13.954387781297431</c:v>
                </c:pt>
                <c:pt idx="58">
                  <c:v>-13.695038556623523</c:v>
                </c:pt>
                <c:pt idx="59">
                  <c:v>-13.436351604522143</c:v>
                </c:pt>
                <c:pt idx="60">
                  <c:v>-13.178873397270374</c:v>
                </c:pt>
                <c:pt idx="61">
                  <c:v>-12.923150407145299</c:v>
                </c:pt>
                <c:pt idx="62">
                  <c:v>-12.669729106424002</c:v>
                </c:pt>
                <c:pt idx="63">
                  <c:v>-12.419155967383567</c:v>
                </c:pt>
                <c:pt idx="64">
                  <c:v>-12.171977462301079</c:v>
                </c:pt>
                <c:pt idx="65">
                  <c:v>-11.92874006345362</c:v>
                </c:pt>
                <c:pt idx="66">
                  <c:v>-11.689865018483237</c:v>
                </c:pt>
                <c:pt idx="67">
                  <c:v>-11.455272676491807</c:v>
                </c:pt>
                <c:pt idx="68">
                  <c:v>-11.224758161946173</c:v>
                </c:pt>
                <c:pt idx="69">
                  <c:v>-10.998116599313176</c:v>
                </c:pt>
                <c:pt idx="70">
                  <c:v>-10.775143113059656</c:v>
                </c:pt>
                <c:pt idx="71">
                  <c:v>-10.555632827652452</c:v>
                </c:pt>
                <c:pt idx="72">
                  <c:v>-10.339380867558409</c:v>
                </c:pt>
                <c:pt idx="73">
                  <c:v>-10.126182357244364</c:v>
                </c:pt>
                <c:pt idx="74">
                  <c:v>-9.9158324211771607</c:v>
                </c:pt>
                <c:pt idx="75">
                  <c:v>-9.7081261838236372</c:v>
                </c:pt>
                <c:pt idx="76">
                  <c:v>-9.5028587696506364</c:v>
                </c:pt>
                <c:pt idx="77">
                  <c:v>-9.2998253031249973</c:v>
                </c:pt>
                <c:pt idx="78">
                  <c:v>-9.098820908713563</c:v>
                </c:pt>
                <c:pt idx="79">
                  <c:v>-8.8996407108831725</c:v>
                </c:pt>
                <c:pt idx="80">
                  <c:v>-8.7020798341006671</c:v>
                </c:pt>
                <c:pt idx="81">
                  <c:v>-8.5059334028328877</c:v>
                </c:pt>
                <c:pt idx="82">
                  <c:v>-8.3109965415466753</c:v>
                </c:pt>
                <c:pt idx="83">
                  <c:v>-8.1170643747088693</c:v>
                </c:pt>
                <c:pt idx="84">
                  <c:v>-7.9239320267863125</c:v>
                </c:pt>
                <c:pt idx="85">
                  <c:v>-7.7313946222458449</c:v>
                </c:pt>
                <c:pt idx="86">
                  <c:v>-7.539247285554306</c:v>
                </c:pt>
                <c:pt idx="87">
                  <c:v>-7.3472851411785385</c:v>
                </c:pt>
                <c:pt idx="88">
                  <c:v>-7.1553033135853834</c:v>
                </c:pt>
                <c:pt idx="89">
                  <c:v>-6.9630969272416792</c:v>
                </c:pt>
                <c:pt idx="90">
                  <c:v>-6.7704611066142695</c:v>
                </c:pt>
                <c:pt idx="91">
                  <c:v>-6.5771992903588288</c:v>
                </c:pt>
                <c:pt idx="92">
                  <c:v>-6.3831481738863856</c:v>
                </c:pt>
                <c:pt idx="93">
                  <c:v>-6.1881527667968053</c:v>
                </c:pt>
                <c:pt idx="94">
                  <c:v>-5.9920580786899462</c:v>
                </c:pt>
                <c:pt idx="95">
                  <c:v>-5.7947091191656757</c:v>
                </c:pt>
                <c:pt idx="96">
                  <c:v>-5.5959508978238546</c:v>
                </c:pt>
                <c:pt idx="97">
                  <c:v>-5.3956284242643493</c:v>
                </c:pt>
                <c:pt idx="98">
                  <c:v>-5.1935867080870191</c:v>
                </c:pt>
                <c:pt idx="99">
                  <c:v>-4.9896707588917311</c:v>
                </c:pt>
                <c:pt idx="100">
                  <c:v>-4.7837255862783472</c:v>
                </c:pt>
                <c:pt idx="101">
                  <c:v>-4.5755961998467285</c:v>
                </c:pt>
                <c:pt idx="102">
                  <c:v>-4.3651276091967421</c:v>
                </c:pt>
                <c:pt idx="103">
                  <c:v>-4.1521648239282483</c:v>
                </c:pt>
                <c:pt idx="104">
                  <c:v>-3.9365528536411123</c:v>
                </c:pt>
                <c:pt idx="105">
                  <c:v>-3.718136707935197</c:v>
                </c:pt>
                <c:pt idx="106">
                  <c:v>-3.4967613964103657</c:v>
                </c:pt>
                <c:pt idx="107">
                  <c:v>-3.2722719286664814</c:v>
                </c:pt>
                <c:pt idx="108">
                  <c:v>-3.0445133143034075</c:v>
                </c:pt>
                <c:pt idx="109">
                  <c:v>-2.8133305629210077</c:v>
                </c:pt>
                <c:pt idx="110">
                  <c:v>-2.5785686841191451</c:v>
                </c:pt>
                <c:pt idx="111">
                  <c:v>-2.3400726874976829</c:v>
                </c:pt>
                <c:pt idx="112">
                  <c:v>-2.0976875826564849</c:v>
                </c:pt>
                <c:pt idx="113">
                  <c:v>-1.8512583791954138</c:v>
                </c:pt>
                <c:pt idx="114">
                  <c:v>-1.6006300867143335</c:v>
                </c:pt>
                <c:pt idx="115">
                  <c:v>-1.3456477148131072</c:v>
                </c:pt>
                <c:pt idx="116">
                  <c:v>-1.0861562730915977</c:v>
                </c:pt>
                <c:pt idx="117">
                  <c:v>-0.82200077114966918</c:v>
                </c:pt>
                <c:pt idx="118">
                  <c:v>-0.55302621858718437</c:v>
                </c:pt>
                <c:pt idx="119">
                  <c:v>-0.2790776250040069</c:v>
                </c:pt>
                <c:pt idx="120">
                  <c:v>0</c:v>
                </c:pt>
                <c:pt idx="121">
                  <c:v>0.28431672633627086</c:v>
                </c:pt>
                <c:pt idx="122">
                  <c:v>0.57380294196143156</c:v>
                </c:pt>
                <c:pt idx="123">
                  <c:v>0.86834411434340564</c:v>
                </c:pt>
                <c:pt idx="124">
                  <c:v>1.1678257109501164</c:v>
                </c:pt>
                <c:pt idx="125">
                  <c:v>1.4721331992494886</c:v>
                </c:pt>
                <c:pt idx="126">
                  <c:v>1.7811520467094448</c:v>
                </c:pt>
                <c:pt idx="127">
                  <c:v>2.0947677207979094</c:v>
                </c:pt>
                <c:pt idx="128">
                  <c:v>2.4128656889828051</c:v>
                </c:pt>
                <c:pt idx="129">
                  <c:v>2.7353314187320565</c:v>
                </c:pt>
                <c:pt idx="130">
                  <c:v>3.0620503775135877</c:v>
                </c:pt>
                <c:pt idx="131">
                  <c:v>3.3929080327953205</c:v>
                </c:pt>
                <c:pt idx="132">
                  <c:v>3.7277898520451807</c:v>
                </c:pt>
                <c:pt idx="133">
                  <c:v>4.0665813027310902</c:v>
                </c:pt>
                <c:pt idx="134">
                  <c:v>4.4091678523209739</c:v>
                </c:pt>
                <c:pt idx="135">
                  <c:v>4.7554349682827546</c:v>
                </c:pt>
                <c:pt idx="136">
                  <c:v>5.1052681180843571</c:v>
                </c:pt>
                <c:pt idx="137">
                  <c:v>5.4585527691937035</c:v>
                </c:pt>
                <c:pt idx="138">
                  <c:v>5.8151743890787184</c:v>
                </c:pt>
                <c:pt idx="139">
                  <c:v>6.1750184452073258</c:v>
                </c:pt>
                <c:pt idx="140">
                  <c:v>6.5379704050474494</c:v>
                </c:pt>
                <c:pt idx="141">
                  <c:v>6.9039157360670105</c:v>
                </c:pt>
                <c:pt idx="142">
                  <c:v>7.2727399057339364</c:v>
                </c:pt>
                <c:pt idx="143">
                  <c:v>7.6443283815161482</c:v>
                </c:pt>
                <c:pt idx="144">
                  <c:v>8.0185666308815708</c:v>
                </c:pt>
                <c:pt idx="145">
                  <c:v>8.395340121298128</c:v>
                </c:pt>
                <c:pt idx="146">
                  <c:v>8.7745343202337409</c:v>
                </c:pt>
                <c:pt idx="147">
                  <c:v>9.1560346951563361</c:v>
                </c:pt>
                <c:pt idx="148">
                  <c:v>9.5397267135338382</c:v>
                </c:pt>
                <c:pt idx="149">
                  <c:v>9.9254958428341666</c:v>
                </c:pt>
                <c:pt idx="150">
                  <c:v>10.313227550525248</c:v>
                </c:pt>
                <c:pt idx="151">
                  <c:v>10.702807304075007</c:v>
                </c:pt>
                <c:pt idx="152">
                  <c:v>11.094120570951363</c:v>
                </c:pt>
                <c:pt idx="153">
                  <c:v>11.487052818622244</c:v>
                </c:pt>
                <c:pt idx="154">
                  <c:v>11.881489514555572</c:v>
                </c:pt>
                <c:pt idx="155">
                  <c:v>12.27731612621927</c:v>
                </c:pt>
                <c:pt idx="156">
                  <c:v>12.674418121081263</c:v>
                </c:pt>
                <c:pt idx="157">
                  <c:v>13.072680966609475</c:v>
                </c:pt>
                <c:pt idx="158">
                  <c:v>13.471990130271827</c:v>
                </c:pt>
                <c:pt idx="159">
                  <c:v>13.872231079536244</c:v>
                </c:pt>
                <c:pt idx="160">
                  <c:v>14.273289281870651</c:v>
                </c:pt>
                <c:pt idx="161">
                  <c:v>14.675050204742972</c:v>
                </c:pt>
                <c:pt idx="162">
                  <c:v>15.077399315621125</c:v>
                </c:pt>
                <c:pt idx="163">
                  <c:v>15.480222081973043</c:v>
                </c:pt>
                <c:pt idx="164">
                  <c:v>15.883403971266642</c:v>
                </c:pt>
                <c:pt idx="165">
                  <c:v>16.286830450969852</c:v>
                </c:pt>
                <c:pt idx="166">
                  <c:v>16.690405457982706</c:v>
                </c:pt>
                <c:pt idx="167">
                  <c:v>17.094106806933738</c:v>
                </c:pt>
                <c:pt idx="168">
                  <c:v>17.497930781883582</c:v>
                </c:pt>
                <c:pt idx="169">
                  <c:v>17.901873666892882</c:v>
                </c:pt>
                <c:pt idx="170">
                  <c:v>18.305931746022285</c:v>
                </c:pt>
                <c:pt idx="171">
                  <c:v>18.710101303332426</c:v>
                </c:pt>
                <c:pt idx="172">
                  <c:v>19.114378622883955</c:v>
                </c:pt>
                <c:pt idx="173">
                  <c:v>19.518759988737504</c:v>
                </c:pt>
                <c:pt idx="174">
                  <c:v>19.923241684953719</c:v>
                </c:pt>
                <c:pt idx="175">
                  <c:v>20.327819995593245</c:v>
                </c:pt>
                <c:pt idx="176">
                  <c:v>20.732491204716723</c:v>
                </c:pt>
                <c:pt idx="177">
                  <c:v>21.13725159638479</c:v>
                </c:pt>
                <c:pt idx="178">
                  <c:v>21.542097454658094</c:v>
                </c:pt>
                <c:pt idx="179">
                  <c:v>21.947025063597273</c:v>
                </c:pt>
                <c:pt idx="180">
                  <c:v>22.352030707262973</c:v>
                </c:pt>
                <c:pt idx="181">
                  <c:v>22.757110669715829</c:v>
                </c:pt>
                <c:pt idx="182">
                  <c:v>23.162261235016494</c:v>
                </c:pt>
                <c:pt idx="183">
                  <c:v>23.567478687225599</c:v>
                </c:pt>
                <c:pt idx="184">
                  <c:v>23.972759310403791</c:v>
                </c:pt>
                <c:pt idx="185">
                  <c:v>24.378099388611712</c:v>
                </c:pt>
                <c:pt idx="186">
                  <c:v>24.783495205910008</c:v>
                </c:pt>
                <c:pt idx="187">
                  <c:v>25.188943046359309</c:v>
                </c:pt>
                <c:pt idx="188">
                  <c:v>25.594439194020268</c:v>
                </c:pt>
                <c:pt idx="189">
                  <c:v>25.999979932953522</c:v>
                </c:pt>
                <c:pt idx="190">
                  <c:v>26.405561547219715</c:v>
                </c:pt>
                <c:pt idx="191">
                  <c:v>26.81118032087949</c:v>
                </c:pt>
                <c:pt idx="192">
                  <c:v>27.216832537993486</c:v>
                </c:pt>
                <c:pt idx="193">
                  <c:v>27.622514482622343</c:v>
                </c:pt>
                <c:pt idx="194">
                  <c:v>28.02822243882671</c:v>
                </c:pt>
                <c:pt idx="195">
                  <c:v>28.433952690667226</c:v>
                </c:pt>
                <c:pt idx="196">
                  <c:v>28.839701522204528</c:v>
                </c:pt>
                <c:pt idx="197">
                  <c:v>29.245465217499266</c:v>
                </c:pt>
                <c:pt idx="198">
                  <c:v>29.651240060612075</c:v>
                </c:pt>
                <c:pt idx="199">
                  <c:v>30.057022335603602</c:v>
                </c:pt>
                <c:pt idx="200">
                  <c:v>30.462808326534489</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-30.413972210948696</c:v>
                </c:pt>
                <c:pt idx="1">
                  <c:v>-17.935120667856175</c:v>
                </c:pt>
                <c:pt idx="2">
                  <c:v>-11.928740063453622</c:v>
                </c:pt>
                <c:pt idx="3">
                  <c:v>-6.7704611066142686</c:v>
                </c:pt>
                <c:pt idx="4">
                  <c:v>0</c:v>
                </c:pt>
                <c:pt idx="5">
                  <c:v>16.286830450969848</c:v>
                </c:pt>
                <c:pt idx="6">
                  <c:v>30.462808326534489</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-30.258006661905771</c:v>
                </c:pt>
                <c:pt idx="1">
                  <c:v>-30.074970940541036</c:v>
                </c:pt>
                <c:pt idx="2">
                  <c:v>-29.880207638745926</c:v>
                </c:pt>
                <c:pt idx="3">
                  <c:v>-29.67428597895579</c:v>
                </c:pt>
                <c:pt idx="4">
                  <c:v>-29.457767428204122</c:v>
                </c:pt>
                <c:pt idx="5">
                  <c:v>-29.231205357417284</c:v>
                </c:pt>
                <c:pt idx="6">
                  <c:v>-28.995144714858785</c:v>
                </c:pt>
                <c:pt idx="7">
                  <c:v>-28.750121713629913</c:v>
                </c:pt>
                <c:pt idx="8">
                  <c:v>-28.49666353313118</c:v>
                </c:pt>
                <c:pt idx="9">
                  <c:v>-28.235288034387068</c:v>
                </c:pt>
                <c:pt idx="10">
                  <c:v>-27.966503489133817</c:v>
                </c:pt>
                <c:pt idx="11">
                  <c:v>-27.690808322568106</c:v>
                </c:pt>
                <c:pt idx="12">
                  <c:v>-27.408690869652002</c:v>
                </c:pt>
                <c:pt idx="13">
                  <c:v>-27.12062914486712</c:v>
                </c:pt>
                <c:pt idx="14">
                  <c:v>-26.827090625309168</c:v>
                </c:pt>
                <c:pt idx="15">
                  <c:v>-26.528532047010984</c:v>
                </c:pt>
                <c:pt idx="16">
                  <c:v>-26.225399214380587</c:v>
                </c:pt>
                <c:pt idx="17">
                  <c:v>-25.918126822638158</c:v>
                </c:pt>
                <c:pt idx="18">
                  <c:v>-25.607138293133449</c:v>
                </c:pt>
                <c:pt idx="19">
                  <c:v>-25.292845621423229</c:v>
                </c:pt>
                <c:pt idx="20">
                  <c:v>-24.975649237985575</c:v>
                </c:pt>
                <c:pt idx="21">
                  <c:v>-24.655937881446135</c:v>
                </c:pt>
                <c:pt idx="22">
                  <c:v>-24.334088484188417</c:v>
                </c:pt>
                <c:pt idx="23">
                  <c:v>-24.010466070218804</c:v>
                </c:pt>
                <c:pt idx="24">
                  <c:v>-23.685423665153831</c:v>
                </c:pt>
                <c:pt idx="25">
                  <c:v>-23.359302218195541</c:v>
                </c:pt>
                <c:pt idx="26">
                  <c:v>-23.032430535958198</c:v>
                </c:pt>
                <c:pt idx="27">
                  <c:v>-22.705125228007489</c:v>
                </c:pt>
                <c:pt idx="28">
                  <c:v>-22.377690663970785</c:v>
                </c:pt>
                <c:pt idx="29">
                  <c:v>-22.050418942075215</c:v>
                </c:pt>
                <c:pt idx="30">
                  <c:v>-21.723589868967405</c:v>
                </c:pt>
                <c:pt idx="31">
                  <c:v>-21.397470950667088</c:v>
                </c:pt>
                <c:pt idx="32">
                  <c:v>-21.072317394503941</c:v>
                </c:pt>
                <c:pt idx="33">
                  <c:v>-20.748372121885083</c:v>
                </c:pt>
                <c:pt idx="34">
                  <c:v>-20.425865791738268</c:v>
                </c:pt>
                <c:pt idx="35">
                  <c:v>-20.105016834473382</c:v>
                </c:pt>
                <c:pt idx="36">
                  <c:v>-19.786031496302826</c:v>
                </c:pt>
                <c:pt idx="37">
                  <c:v>-19.469103893758859</c:v>
                </c:pt>
                <c:pt idx="38">
                  <c:v>-19.154416078243763</c:v>
                </c:pt>
                <c:pt idx="39">
                  <c:v>-18.842138110446392</c:v>
                </c:pt>
                <c:pt idx="40">
                  <c:v>-18.532428144456503</c:v>
                </c:pt>
                <c:pt idx="41">
                  <c:v>-18.225432521405619</c:v>
                </c:pt>
                <c:pt idx="42">
                  <c:v>-17.921285872461386</c:v>
                </c:pt>
                <c:pt idx="43">
                  <c:v>-17.620111230999669</c:v>
                </c:pt>
                <c:pt idx="44">
                  <c:v>-17.322020153776556</c:v>
                </c:pt>
                <c:pt idx="45">
                  <c:v>-17.027112850920108</c:v>
                </c:pt>
                <c:pt idx="46">
                  <c:v>-16.735478324559381</c:v>
                </c:pt>
                <c:pt idx="47">
                  <c:v>-16.447194515906027</c:v>
                </c:pt>
                <c:pt idx="48">
                  <c:v>-16.162328460601262</c:v>
                </c:pt>
                <c:pt idx="49">
                  <c:v>-15.880936452139192</c:v>
                </c:pt>
                <c:pt idx="50">
                  <c:v>-15.603064213174479</c:v>
                </c:pt>
                <c:pt idx="51">
                  <c:v>-15.328747074520781</c:v>
                </c:pt>
                <c:pt idx="52">
                  <c:v>-15.05801016164359</c:v>
                </c:pt>
                <c:pt idx="53">
                  <c:v>-14.790868588448999</c:v>
                </c:pt>
                <c:pt idx="54">
                  <c:v>-14.52732765816765</c:v>
                </c:pt>
                <c:pt idx="55">
                  <c:v>-14.267383071130814</c:v>
                </c:pt>
                <c:pt idx="56">
                  <c:v>-14.011021139233161</c:v>
                </c:pt>
                <c:pt idx="57">
                  <c:v>-13.75821900687467</c:v>
                </c:pt>
                <c:pt idx="58">
                  <c:v>-13.508944878171683</c:v>
                </c:pt>
                <c:pt idx="59">
                  <c:v>-13.263158250224864</c:v>
                </c:pt>
                <c:pt idx="60">
                  <c:v>-13.020810152229615</c:v>
                </c:pt>
                <c:pt idx="61">
                  <c:v>-12.78184339021205</c:v>
                </c:pt>
                <c:pt idx="62">
                  <c:v>-12.546192797171509</c:v>
                </c:pt>
                <c:pt idx="63">
                  <c:v>-12.313785488408168</c:v>
                </c:pt>
                <c:pt idx="64">
                  <c:v>-12.084541121812091</c:v>
                </c:pt>
                <c:pt idx="65">
                  <c:v>-11.858372162887758</c:v>
                </c:pt>
                <c:pt idx="66">
                  <c:v>-11.635184154285826</c:v>
                </c:pt>
                <c:pt idx="67">
                  <c:v>-11.414875989611506</c:v>
                </c:pt>
                <c:pt idx="68">
                  <c:v>-11.197340191276835</c:v>
                </c:pt>
                <c:pt idx="69">
                  <c:v>-10.982463192161596</c:v>
                </c:pt>
                <c:pt idx="70">
                  <c:v>-10.77012562084554</c:v>
                </c:pt>
                <c:pt idx="71">
                  <c:v>-10.560202590172217</c:v>
                </c:pt>
                <c:pt idx="72">
                  <c:v>-10.352563988902324</c:v>
                </c:pt>
                <c:pt idx="73">
                  <c:v>-10.147074776212401</c:v>
                </c:pt>
                <c:pt idx="74">
                  <c:v>-9.9435952787922268</c:v>
                </c:pt>
                <c:pt idx="75">
                  <c:v>-9.7419814902920496</c:v>
                </c:pt>
                <c:pt idx="76">
                  <c:v>-9.5420853728685273</c:v>
                </c:pt>
                <c:pt idx="77">
                  <c:v>-9.3437551605759026</c:v>
                </c:pt>
                <c:pt idx="78">
                  <c:v>-9.1468356643467175</c:v>
                </c:pt>
                <c:pt idx="79">
                  <c:v>-8.9511685783039283</c:v>
                </c:pt>
                <c:pt idx="80">
                  <c:v>-8.7565927871443119</c:v>
                </c:pt>
                <c:pt idx="81">
                  <c:v>-8.5629446743303088</c:v>
                </c:pt>
                <c:pt idx="82">
                  <c:v>-8.3700584308256047</c:v>
                </c:pt>
                <c:pt idx="83">
                  <c:v>-8.1777663641071676</c:v>
                </c:pt>
                <c:pt idx="84">
                  <c:v>-7.9858992071842687</c:v>
                </c:pt>
                <c:pt idx="85">
                  <c:v>-7.7942864273527697</c:v>
                </c:pt>
                <c:pt idx="86">
                  <c:v>-7.6027565344105517</c:v>
                </c:pt>
                <c:pt idx="87">
                  <c:v>-7.4111373880578117</c:v>
                </c:pt>
                <c:pt idx="88">
                  <c:v>-7.2192565042035186</c:v>
                </c:pt>
                <c:pt idx="89">
                  <c:v>-7.0269413598971751</c:v>
                </c:pt>
                <c:pt idx="90">
                  <c:v>-6.8340196966025983</c:v>
                </c:pt>
                <c:pt idx="91">
                  <c:v>-6.6403198215282746</c:v>
                </c:pt>
                <c:pt idx="92">
                  <c:v>-6.4456709067264661</c:v>
                </c:pt>
                <c:pt idx="93">
                  <c:v>-6.2499032856709551</c:v>
                </c:pt>
                <c:pt idx="94">
                  <c:v>-6.052848747021117</c:v>
                </c:pt>
                <c:pt idx="95">
                  <c:v>-5.854340825277597</c:v>
                </c:pt>
                <c:pt idx="96">
                  <c:v>-5.6542150880326609</c:v>
                </c:pt>
                <c:pt idx="97">
                  <c:v>-5.4523094195159736</c:v>
                </c:pt>
                <c:pt idx="98">
                  <c:v>-5.2484643001342643</c:v>
                </c:pt>
                <c:pt idx="99">
                  <c:v>-5.0425230817010567</c:v>
                </c:pt>
                <c:pt idx="100">
                  <c:v>-4.8343322580503578</c:v>
                </c:pt>
                <c:pt idx="101">
                  <c:v>-4.6237417307258672</c:v>
                </c:pt>
                <c:pt idx="102">
                  <c:v>-4.4106050694350714</c:v>
                </c:pt>
                <c:pt idx="103">
                  <c:v>-4.194779766955155</c:v>
                </c:pt>
                <c:pt idx="104">
                  <c:v>-3.9761274881755564</c:v>
                </c:pt>
                <c:pt idx="105">
                  <c:v>-3.7545143129595031</c:v>
                </c:pt>
                <c:pt idx="106">
                  <c:v>-3.5298109725047397</c:v>
                </c:pt>
                <c:pt idx="107">
                  <c:v>-3.3018930788812759</c:v>
                </c:pt>
                <c:pt idx="108">
                  <c:v>-3.070641347421724</c:v>
                </c:pt>
                <c:pt idx="109">
                  <c:v>-2.8359418116375066</c:v>
                </c:pt>
                <c:pt idx="110">
                  <c:v>-2.5976860303319089</c:v>
                </c:pt>
                <c:pt idx="111">
                  <c:v>-2.3557712865786935</c:v>
                </c:pt>
                <c:pt idx="112">
                  <c:v>-2.1101007782326464</c:v>
                </c:pt>
                <c:pt idx="113">
                  <c:v>-1.8605837996362142</c:v>
                </c:pt>
                <c:pt idx="114">
                  <c:v>-1.6071359141840245</c:v>
                </c:pt>
                <c:pt idx="115">
                  <c:v>-1.349679117404837</c:v>
                </c:pt>
                <c:pt idx="116">
                  <c:v>-1.0881419902181766</c:v>
                </c:pt>
                <c:pt idx="117">
                  <c:v>-0.82245984202059896</c:v>
                </c:pt>
                <c:pt idx="118">
                  <c:v>-0.55257484325425177</c:v>
                </c:pt>
                <c:pt idx="119">
                  <c:v>-0.27843614710811437</c:v>
                </c:pt>
                <c:pt idx="120">
                  <c:v>0</c:v>
                </c:pt>
                <c:pt idx="121">
                  <c:v>0.2827701595148856</c:v>
                </c:pt>
                <c:pt idx="122">
                  <c:v>0.56990361376531962</c:v>
                </c:pt>
                <c:pt idx="123">
                  <c:v>0.86142229127415615</c:v>
                </c:pt>
                <c:pt idx="124">
                  <c:v>1.1573407047182136</c:v>
                </c:pt>
                <c:pt idx="125">
                  <c:v>1.4576659019013141</c:v>
                </c:pt>
                <c:pt idx="126">
                  <c:v>1.762397430106136</c:v>
                </c:pt>
                <c:pt idx="127">
                  <c:v>2.0715273141928168</c:v>
                </c:pt>
                <c:pt idx="128">
                  <c:v>2.3850400488145365</c:v>
                </c:pt>
                <c:pt idx="129">
                  <c:v>2.7029126051226133</c:v>
                </c:pt>
                <c:pt idx="130">
                  <c:v>3.0251144523359246</c:v>
                </c:pt>
                <c:pt idx="131">
                  <c:v>3.3516075945517381</c:v>
                </c:pt>
                <c:pt idx="132">
                  <c:v>3.6823466231773732</c:v>
                </c:pt>
                <c:pt idx="133">
                  <c:v>4.0172787853643541</c:v>
                </c:pt>
                <c:pt idx="134">
                  <c:v>4.3563440688290394</c:v>
                </c:pt>
                <c:pt idx="135">
                  <c:v>4.6994753034459817</c:v>
                </c:pt>
                <c:pt idx="136">
                  <c:v>5.0465982800025726</c:v>
                </c:pt>
                <c:pt idx="137">
                  <c:v>5.3976318865058284</c:v>
                </c:pt>
                <c:pt idx="138">
                  <c:v>5.7524882624344311</c:v>
                </c:pt>
                <c:pt idx="139">
                  <c:v>6.1110729713314358</c:v>
                </c:pt>
                <c:pt idx="140">
                  <c:v>6.4732851921354158</c:v>
                </c:pt>
                <c:pt idx="141">
                  <c:v>6.8390179296499634</c:v>
                </c:pt>
                <c:pt idx="142">
                  <c:v>7.2081582445539087</c:v>
                </c:pt>
                <c:pt idx="143">
                  <c:v>7.5805875033567958</c:v>
                </c:pt>
                <c:pt idx="144">
                  <c:v>7.956181648706516</c:v>
                </c:pt>
                <c:pt idx="145">
                  <c:v>8.3348114904582431</c:v>
                </c:pt>
                <c:pt idx="146">
                  <c:v>8.7163430179161114</c:v>
                </c:pt>
                <c:pt idx="147">
                  <c:v>9.1006377336614257</c:v>
                </c:pt>
                <c:pt idx="148">
                  <c:v>9.4875530093833707</c:v>
                </c:pt>
                <c:pt idx="149">
                  <c:v>9.8769424641305879</c:v>
                </c:pt>
                <c:pt idx="150">
                  <c:v>10.268656365404237</c:v>
                </c:pt>
                <c:pt idx="151">
                  <c:v>10.662542053515374</c:v>
                </c:pt>
                <c:pt idx="152">
                  <c:v>11.058444389631935</c:v>
                </c:pt>
                <c:pt idx="153">
                  <c:v>11.456206227942737</c:v>
                </c:pt>
                <c:pt idx="154">
                  <c:v>11.855668912368284</c:v>
                </c:pt>
                <c:pt idx="155">
                  <c:v>12.25667279825046</c:v>
                </c:pt>
                <c:pt idx="156">
                  <c:v>12.659057799455436</c:v>
                </c:pt>
                <c:pt idx="157">
                  <c:v>13.062663961326425</c:v>
                </c:pt>
                <c:pt idx="158">
                  <c:v>13.46733205992528</c:v>
                </c:pt>
                <c:pt idx="159">
                  <c:v>13.872904228004032</c:v>
                </c:pt>
                <c:pt idx="160">
                  <c:v>14.279224608150022</c:v>
                </c:pt>
                <c:pt idx="161">
                  <c:v>14.686140033550334</c:v>
                </c:pt>
                <c:pt idx="162">
                  <c:v>15.093500736823611</c:v>
                </c:pt>
                <c:pt idx="163">
                  <c:v>15.501161087369756</c:v>
                </c:pt>
                <c:pt idx="164">
                  <c:v>15.908980357689982</c:v>
                </c:pt>
                <c:pt idx="165">
                  <c:v>16.31682351913242</c:v>
                </c:pt>
                <c:pt idx="166">
                  <c:v>16.724562067520292</c:v>
                </c:pt>
                <c:pt idx="167">
                  <c:v>17.132074879122364</c:v>
                </c:pt>
                <c:pt idx="168">
                  <c:v>17.539249097427447</c:v>
                </c:pt>
                <c:pt idx="169">
                  <c:v>17.945981051187065</c:v>
                </c:pt>
                <c:pt idx="170">
                  <c:v>18.35217720419266</c:v>
                </c:pt>
                <c:pt idx="171">
                  <c:v>18.757755137256137</c:v>
                </c:pt>
                <c:pt idx="172">
                  <c:v>19.162644562864653</c:v>
                </c:pt>
                <c:pt idx="173">
                  <c:v>19.566788372982938</c:v>
                </c:pt>
                <c:pt idx="174">
                  <c:v>19.970143720478763</c:v>
                </c:pt>
                <c:pt idx="175">
                  <c:v>20.372683134649392</c:v>
                </c:pt>
                <c:pt idx="176">
                  <c:v>20.774395671329103</c:v>
                </c:pt>
                <c:pt idx="177">
                  <c:v>21.17528809806036</c:v>
                </c:pt>
                <c:pt idx="178">
                  <c:v>21.57538611481322</c:v>
                </c:pt>
                <c:pt idx="179">
                  <c:v>21.974735610740094</c:v>
                </c:pt>
                <c:pt idx="180">
                  <c:v>22.373403957455096</c:v>
                </c:pt>
                <c:pt idx="181">
                  <c:v>22.771481339329657</c:v>
                </c:pt>
                <c:pt idx="182">
                  <c:v>23.16908212129826</c:v>
                </c:pt>
                <c:pt idx="183">
                  <c:v>23.566346254670375</c:v>
                </c:pt>
                <c:pt idx="184">
                  <c:v>23.963440721447302</c:v>
                </c:pt>
                <c:pt idx="185">
                  <c:v>24.360561017644429</c:v>
                </c:pt>
                <c:pt idx="186">
                  <c:v>24.757932676122081</c:v>
                </c:pt>
                <c:pt idx="187">
                  <c:v>25.155812829430303</c:v>
                </c:pt>
                <c:pt idx="188">
                  <c:v>25.554491813175183</c:v>
                </c:pt>
                <c:pt idx="189">
                  <c:v>25.954294810416581</c:v>
                </c:pt>
                <c:pt idx="190">
                  <c:v>26.355583537609593</c:v>
                </c:pt>
                <c:pt idx="191">
                  <c:v>26.758757972604119</c:v>
                </c:pt>
                <c:pt idx="192">
                  <c:v>27.16425812521943</c:v>
                </c:pt>
                <c:pt idx="193">
                  <c:v>27.572565850912724</c:v>
                </c:pt>
                <c:pt idx="194">
                  <c:v>27.98420670806312</c:v>
                </c:pt>
                <c:pt idx="195">
                  <c:v>28.399751859394687</c:v>
                </c:pt>
                <c:pt idx="196">
                  <c:v>28.81982001806449</c:v>
                </c:pt>
                <c:pt idx="197">
                  <c:v>29.245079438943854</c:v>
                </c:pt>
                <c:pt idx="198">
                  <c:v>29.676249955623394</c:v>
                </c:pt>
                <c:pt idx="199">
                  <c:v>30.114105063674756</c:v>
                </c:pt>
                <c:pt idx="200">
                  <c:v>30.559474050703869</c:v>
                </c:pt>
              </c:numCache>
            </c:numRef>
          </c:yVal>
          <c:smooth val="1"/>
        </c:ser>
        <c:dLbls>
          <c:showLegendKey val="0"/>
          <c:showVal val="0"/>
          <c:showCatName val="0"/>
          <c:showSerName val="0"/>
          <c:showPercent val="0"/>
          <c:showBubbleSize val="0"/>
        </c:dLbls>
        <c:axId val="457260896"/>
        <c:axId val="457261288"/>
      </c:scatterChart>
      <c:valAx>
        <c:axId val="45726089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1288"/>
        <c:crossesAt val="-1000"/>
        <c:crossBetween val="midCat"/>
      </c:valAx>
      <c:valAx>
        <c:axId val="457261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726089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460375</xdr:colOff>
      <xdr:row>419</xdr:row>
      <xdr:rowOff>180181</xdr:rowOff>
    </xdr:from>
    <xdr:to>
      <xdr:col>22</xdr:col>
      <xdr:colOff>460375</xdr:colOff>
      <xdr:row>434</xdr:row>
      <xdr:rowOff>65881</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72</xdr:row>
      <xdr:rowOff>190499</xdr:rowOff>
    </xdr:from>
    <xdr:to>
      <xdr:col>19</xdr:col>
      <xdr:colOff>363682</xdr:colOff>
      <xdr:row>93</xdr:row>
      <xdr:rowOff>147204</xdr:rowOff>
    </xdr:to>
    <xdr:graphicFrame macro="">
      <xdr:nvGraphicFramePr>
        <xdr:cNvPr id="2" name="Diagramm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152</xdr:row>
      <xdr:rowOff>0</xdr:rowOff>
    </xdr:from>
    <xdr:to>
      <xdr:col>19</xdr:col>
      <xdr:colOff>760866</xdr:colOff>
      <xdr:row>174</xdr:row>
      <xdr:rowOff>181841</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753341</xdr:colOff>
      <xdr:row>175</xdr:row>
      <xdr:rowOff>8659</xdr:rowOff>
    </xdr:from>
    <xdr:to>
      <xdr:col>20</xdr:col>
      <xdr:colOff>8659</xdr:colOff>
      <xdr:row>196</xdr:row>
      <xdr:rowOff>84859</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5.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24" t="s">
        <v>107</v>
      </c>
      <c r="E2" s="124"/>
      <c r="F2" s="124"/>
      <c r="G2" s="124"/>
      <c r="H2" s="124"/>
      <c r="I2" s="124"/>
      <c r="J2" s="124"/>
      <c r="K2" s="124"/>
      <c r="L2" s="124"/>
      <c r="M2" s="124"/>
    </row>
    <row r="3" spans="1:13" x14ac:dyDescent="0.25">
      <c r="D3" s="124"/>
      <c r="E3" s="124"/>
      <c r="F3" s="124"/>
      <c r="G3" s="124"/>
      <c r="H3" s="124"/>
      <c r="I3" s="124"/>
      <c r="J3" s="124"/>
      <c r="K3" s="124"/>
      <c r="L3" s="124"/>
      <c r="M3" s="124"/>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69" workbookViewId="0">
      <selection activeCell="B74" sqref="B74"/>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130</v>
      </c>
    </row>
    <row r="22" spans="1:2" s="11" customFormat="1" x14ac:dyDescent="0.25">
      <c r="A22" s="61" t="s">
        <v>157</v>
      </c>
      <c r="B22" s="99">
        <f>CTE!N8-0.5</f>
        <v>140</v>
      </c>
    </row>
    <row r="23" spans="1:2" s="11" customFormat="1" x14ac:dyDescent="0.25">
      <c r="A23" s="61" t="s">
        <v>158</v>
      </c>
      <c r="B23" s="99">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0.28059766363332267</v>
      </c>
      <c r="D59" s="55">
        <v>1</v>
      </c>
    </row>
    <row r="60" spans="1:4" s="11" customFormat="1" x14ac:dyDescent="0.25">
      <c r="A60" s="54">
        <v>2</v>
      </c>
      <c r="B60" s="56">
        <f>'Shiftfunktion bestimmen'!N2</f>
        <v>2.1673095681549572E-3</v>
      </c>
      <c r="D60" s="55">
        <v>2</v>
      </c>
    </row>
    <row r="61" spans="1:4" s="11" customFormat="1" x14ac:dyDescent="0.25">
      <c r="A61" s="54">
        <v>3</v>
      </c>
      <c r="B61" s="56">
        <f>'Shiftfunktion bestimmen'!N3</f>
        <v>5.4903527246225159E-6</v>
      </c>
      <c r="D61" s="55">
        <v>3</v>
      </c>
    </row>
    <row r="62" spans="1:4" s="11" customFormat="1" x14ac:dyDescent="0.25">
      <c r="A62" s="54">
        <v>4</v>
      </c>
      <c r="B62" s="56">
        <f>'Shiftfunktion bestimmen'!N4</f>
        <v>-3.0338183625443461E-7</v>
      </c>
      <c r="D62" s="55">
        <v>4</v>
      </c>
    </row>
    <row r="63" spans="1:4" s="11" customFormat="1" x14ac:dyDescent="0.25">
      <c r="A63" s="54">
        <v>5</v>
      </c>
      <c r="B63" s="56">
        <f>'Shiftfunktion bestimmen'!N5</f>
        <v>-6.7461867632953907E-10</v>
      </c>
      <c r="D63" s="55">
        <v>5</v>
      </c>
    </row>
    <row r="64" spans="1:4" s="11" customFormat="1" x14ac:dyDescent="0.25">
      <c r="A64" s="54">
        <v>6</v>
      </c>
      <c r="B64" s="56">
        <f>'Shiftfunktion bestimmen'!N6</f>
        <v>1.7066869672461702E-11</v>
      </c>
      <c r="D64" s="55">
        <v>6</v>
      </c>
    </row>
    <row r="65" spans="1:5" s="11" customFormat="1" x14ac:dyDescent="0.25">
      <c r="A65" s="54">
        <v>7</v>
      </c>
      <c r="B65" s="56">
        <f>'Shiftfunktion bestimmen'!N7</f>
        <v>7.1414370084012693E-14</v>
      </c>
      <c r="D65" s="55">
        <v>7</v>
      </c>
    </row>
    <row r="66" spans="1:5" x14ac:dyDescent="0.25">
      <c r="A66" s="54">
        <v>8</v>
      </c>
      <c r="B66" s="56">
        <f>'Shiftfunktion bestimmen'!N8</f>
        <v>5.6793836650726333E-17</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'Universal Mastercurve'!C111</f>
        <v>5.9141484398257983E-3</v>
      </c>
      <c r="D74" s="51">
        <v>1</v>
      </c>
      <c r="E74" s="56">
        <f>'Universal Mastercurve'!A111</f>
        <v>1.0000000000000001E-20</v>
      </c>
    </row>
    <row r="75" spans="1:5" x14ac:dyDescent="0.25">
      <c r="A75" s="50">
        <f>A74+1</f>
        <v>2</v>
      </c>
      <c r="B75" s="56">
        <f>'Universal Mastercurve'!C112</f>
        <v>4.4684726022155452E-2</v>
      </c>
      <c r="D75" s="51">
        <v>2</v>
      </c>
      <c r="E75" s="56">
        <f>'Universal Mastercurve'!A112</f>
        <v>3.9038946506297401E-14</v>
      </c>
    </row>
    <row r="76" spans="1:5" x14ac:dyDescent="0.25">
      <c r="A76" s="50">
        <f t="shared" ref="A76:A104" si="0">A75+1</f>
        <v>3</v>
      </c>
      <c r="B76" s="56">
        <f>'Universal Mastercurve'!C113</f>
        <v>1.9167544425984624E-2</v>
      </c>
      <c r="D76" s="51">
        <v>3</v>
      </c>
      <c r="E76" s="56">
        <f>'Universal Mastercurve'!A113</f>
        <v>4.3276437088188502E-13</v>
      </c>
    </row>
    <row r="77" spans="1:5" x14ac:dyDescent="0.25">
      <c r="A77" s="50">
        <f t="shared" si="0"/>
        <v>4</v>
      </c>
      <c r="B77" s="56">
        <f>'Universal Mastercurve'!C114</f>
        <v>2.174860905017929E-2</v>
      </c>
      <c r="D77" s="51">
        <v>4</v>
      </c>
      <c r="E77" s="56">
        <f>'Universal Mastercurve'!A114</f>
        <v>4.7973886968128502E-12</v>
      </c>
    </row>
    <row r="78" spans="1:5" x14ac:dyDescent="0.25">
      <c r="A78" s="50">
        <f t="shared" si="0"/>
        <v>5</v>
      </c>
      <c r="B78" s="56">
        <f>'Universal Mastercurve'!C115</f>
        <v>2.8886911263252692E-2</v>
      </c>
      <c r="D78" s="51">
        <v>5</v>
      </c>
      <c r="E78" s="56">
        <f>'Universal Mastercurve'!A115</f>
        <v>5.31812225239524E-11</v>
      </c>
    </row>
    <row r="79" spans="1:5" x14ac:dyDescent="0.25">
      <c r="A79" s="50">
        <f t="shared" si="0"/>
        <v>6</v>
      </c>
      <c r="B79" s="56">
        <f>'Universal Mastercurve'!C116</f>
        <v>2.3074485552137633E-2</v>
      </c>
      <c r="D79" s="51">
        <v>6</v>
      </c>
      <c r="E79" s="56">
        <f>'Universal Mastercurve'!A116</f>
        <v>5.8953789402578301E-10</v>
      </c>
    </row>
    <row r="80" spans="1:5" x14ac:dyDescent="0.25">
      <c r="A80" s="50">
        <f t="shared" si="0"/>
        <v>7</v>
      </c>
      <c r="B80" s="56">
        <f>'Universal Mastercurve'!C117</f>
        <v>3.9675392134913889E-2</v>
      </c>
      <c r="D80" s="51">
        <v>7</v>
      </c>
      <c r="E80" s="56">
        <f>'Universal Mastercurve'!A117</f>
        <v>6.5352940755699598E-9</v>
      </c>
    </row>
    <row r="81" spans="1:5" x14ac:dyDescent="0.25">
      <c r="A81" s="50">
        <f t="shared" si="0"/>
        <v>8</v>
      </c>
      <c r="B81" s="56">
        <f>'Universal Mastercurve'!C118</f>
        <v>2.7533257701911618E-2</v>
      </c>
      <c r="D81" s="51">
        <v>8</v>
      </c>
      <c r="E81" s="56">
        <f>'Universal Mastercurve'!A118</f>
        <v>7.2446689325643296E-8</v>
      </c>
    </row>
    <row r="82" spans="1:5" x14ac:dyDescent="0.25">
      <c r="A82" s="50">
        <f t="shared" si="0"/>
        <v>9</v>
      </c>
      <c r="B82" s="56">
        <f>'Universal Mastercurve'!C119</f>
        <v>2.9257661856869073E-2</v>
      </c>
      <c r="D82" s="51">
        <f>A82</f>
        <v>9</v>
      </c>
      <c r="E82" s="56">
        <f>'Universal Mastercurve'!A119</f>
        <v>8.03104303120212E-7</v>
      </c>
    </row>
    <row r="83" spans="1:5" x14ac:dyDescent="0.25">
      <c r="A83" s="50">
        <f t="shared" si="0"/>
        <v>10</v>
      </c>
      <c r="B83" s="56">
        <f>'Universal Mastercurve'!C120</f>
        <v>3.2046432986583613E-2</v>
      </c>
      <c r="C83" s="11"/>
      <c r="D83" s="51">
        <f t="shared" ref="D83:D104" si="1">A83</f>
        <v>10</v>
      </c>
      <c r="E83" s="56">
        <f>'Universal Mastercurve'!A120</f>
        <v>8.9027742702096099E-6</v>
      </c>
    </row>
    <row r="84" spans="1:5" x14ac:dyDescent="0.25">
      <c r="A84" s="50">
        <f t="shared" si="0"/>
        <v>11</v>
      </c>
      <c r="B84" s="56">
        <f>'Universal Mastercurve'!C121</f>
        <v>4.3885278534982995E-2</v>
      </c>
      <c r="C84" s="11"/>
      <c r="D84" s="51">
        <f t="shared" si="1"/>
        <v>11</v>
      </c>
      <c r="E84" s="56">
        <f>'Universal Mastercurve'!A121</f>
        <v>9.86912775817142E-5</v>
      </c>
    </row>
    <row r="85" spans="1:5" x14ac:dyDescent="0.25">
      <c r="A85" s="50">
        <f t="shared" si="0"/>
        <v>12</v>
      </c>
      <c r="B85" s="56">
        <f>'Universal Mastercurve'!C122</f>
        <v>4.245684661470038E-2</v>
      </c>
      <c r="C85" s="11"/>
      <c r="D85" s="51">
        <f t="shared" si="1"/>
        <v>12</v>
      </c>
      <c r="E85" s="56">
        <f>'Universal Mastercurve'!A122</f>
        <v>1.0940374286813801E-3</v>
      </c>
    </row>
    <row r="86" spans="1:5" x14ac:dyDescent="0.25">
      <c r="A86" s="50">
        <f t="shared" si="0"/>
        <v>13</v>
      </c>
      <c r="B86" s="56">
        <f>'Universal Mastercurve'!C123</f>
        <v>3.3130759981029025E-2</v>
      </c>
      <c r="C86" s="11"/>
      <c r="D86" s="51">
        <f t="shared" si="1"/>
        <v>13</v>
      </c>
      <c r="E86" s="56">
        <f>'Universal Mastercurve'!A123</f>
        <v>1.2127899493091E-2</v>
      </c>
    </row>
    <row r="87" spans="1:5" x14ac:dyDescent="0.25">
      <c r="A87" s="50">
        <f t="shared" si="0"/>
        <v>14</v>
      </c>
      <c r="B87" s="56">
        <f>'Universal Mastercurve'!C124</f>
        <v>3.4908482527974752E-2</v>
      </c>
      <c r="C87" s="11"/>
      <c r="D87" s="51">
        <f t="shared" si="1"/>
        <v>14</v>
      </c>
      <c r="E87" s="56">
        <f>'Universal Mastercurve'!A124</f>
        <v>0.13444324870292301</v>
      </c>
    </row>
    <row r="88" spans="1:5" x14ac:dyDescent="0.25">
      <c r="A88" s="50">
        <f t="shared" si="0"/>
        <v>15</v>
      </c>
      <c r="B88" s="56">
        <f>'Universal Mastercurve'!C125</f>
        <v>2.4587689801600112E-2</v>
      </c>
      <c r="C88" s="11"/>
      <c r="D88" s="51">
        <f t="shared" si="1"/>
        <v>15</v>
      </c>
      <c r="E88" s="56">
        <f>'Universal Mastercurve'!A125</f>
        <v>1.49036419143257</v>
      </c>
    </row>
    <row r="89" spans="1:5" x14ac:dyDescent="0.25">
      <c r="A89" s="50">
        <f t="shared" si="0"/>
        <v>16</v>
      </c>
      <c r="B89" s="56">
        <f>'Universal Mastercurve'!C126</f>
        <v>4.6606078257839696E-2</v>
      </c>
      <c r="C89" s="11"/>
      <c r="D89" s="51">
        <f t="shared" si="1"/>
        <v>16</v>
      </c>
      <c r="E89" s="56">
        <f>'Universal Mastercurve'!A126</f>
        <v>16.521360830937301</v>
      </c>
    </row>
    <row r="90" spans="1:5" x14ac:dyDescent="0.25">
      <c r="A90" s="50">
        <f t="shared" si="0"/>
        <v>17</v>
      </c>
      <c r="B90" s="56">
        <f>'Universal Mastercurve'!C127</f>
        <v>1.7866973947139903E-2</v>
      </c>
      <c r="C90" s="11"/>
      <c r="D90" s="51">
        <f t="shared" si="1"/>
        <v>17</v>
      </c>
      <c r="E90" s="56">
        <f>'Universal Mastercurve'!A127</f>
        <v>183.146753843879</v>
      </c>
    </row>
    <row r="91" spans="1:5" x14ac:dyDescent="0.25">
      <c r="A91" s="50">
        <f t="shared" si="0"/>
        <v>18</v>
      </c>
      <c r="B91" s="56">
        <f>'Universal Mastercurve'!C128</f>
        <v>3.6374831279329216E-2</v>
      </c>
      <c r="C91" s="11"/>
      <c r="D91" s="51">
        <f t="shared" si="1"/>
        <v>18</v>
      </c>
      <c r="E91" s="56">
        <f>'Universal Mastercurve'!A128</f>
        <v>2030.26456396616</v>
      </c>
    </row>
    <row r="92" spans="1:5" x14ac:dyDescent="0.25">
      <c r="A92" s="50">
        <f t="shared" si="0"/>
        <v>19</v>
      </c>
      <c r="B92" s="56">
        <f>'Universal Mastercurve'!C129</f>
        <v>3.9924996418953598E-2</v>
      </c>
      <c r="C92" s="11"/>
      <c r="D92" s="51">
        <f t="shared" si="1"/>
        <v>19</v>
      </c>
      <c r="E92" s="56">
        <f>'Universal Mastercurve'!A129</f>
        <v>22506.400540467101</v>
      </c>
    </row>
    <row r="93" spans="1:5" x14ac:dyDescent="0.25">
      <c r="A93" s="50">
        <f t="shared" si="0"/>
        <v>20</v>
      </c>
      <c r="B93" s="56">
        <f>'Universal Mastercurve'!C130</f>
        <v>4.0441858387802364E-2</v>
      </c>
      <c r="C93" s="11"/>
      <c r="D93" s="51">
        <f t="shared" si="1"/>
        <v>20</v>
      </c>
      <c r="E93" s="56">
        <f>'Universal Mastercurve'!A130</f>
        <v>249493.62476110301</v>
      </c>
    </row>
    <row r="94" spans="1:5" x14ac:dyDescent="0.25">
      <c r="A94" s="50">
        <f t="shared" si="0"/>
        <v>21</v>
      </c>
      <c r="B94" s="56">
        <f>'Universal Mastercurve'!C131</f>
        <v>8.5177094143257352E-3</v>
      </c>
      <c r="C94" s="11"/>
      <c r="D94" s="51">
        <f t="shared" si="1"/>
        <v>21</v>
      </c>
      <c r="E94" s="56">
        <f>'Universal Mastercurve'!A131</f>
        <v>2765749.6224023802</v>
      </c>
    </row>
    <row r="95" spans="1:5" x14ac:dyDescent="0.25">
      <c r="A95" s="50">
        <f t="shared" si="0"/>
        <v>22</v>
      </c>
      <c r="B95" s="56">
        <f>'Universal Mastercurve'!C132</f>
        <v>7.3346531940936294E-2</v>
      </c>
      <c r="C95" s="11"/>
      <c r="D95" s="51">
        <f t="shared" si="1"/>
        <v>22</v>
      </c>
      <c r="E95" s="56">
        <f>'Universal Mastercurve'!A132</f>
        <v>10000000</v>
      </c>
    </row>
    <row r="96" spans="1:5" x14ac:dyDescent="0.25">
      <c r="A96" s="50">
        <f t="shared" si="0"/>
        <v>23</v>
      </c>
      <c r="B96" s="56">
        <f>'Universal Mastercurve'!C133</f>
        <v>4.4366830197746183E-2</v>
      </c>
      <c r="C96" s="11"/>
      <c r="D96" s="51">
        <f t="shared" si="1"/>
        <v>23</v>
      </c>
      <c r="E96" s="56">
        <f>'Universal Mastercurve'!A133</f>
        <v>100000000</v>
      </c>
    </row>
    <row r="97" spans="1:5" x14ac:dyDescent="0.25">
      <c r="A97" s="50">
        <f t="shared" si="0"/>
        <v>24</v>
      </c>
      <c r="B97" s="56">
        <f>'Universal Mastercurve'!C134</f>
        <v>6.9795703677419219E-2</v>
      </c>
      <c r="C97" s="11"/>
      <c r="D97" s="51">
        <f t="shared" si="1"/>
        <v>24</v>
      </c>
      <c r="E97" s="56">
        <f>'Universal Mastercurve'!A134</f>
        <v>1000000000</v>
      </c>
    </row>
    <row r="98" spans="1:5" x14ac:dyDescent="0.25">
      <c r="A98" s="50">
        <f t="shared" si="0"/>
        <v>25</v>
      </c>
      <c r="B98" s="56">
        <f>'Universal Mastercurve'!C135</f>
        <v>4.9405595483780873E-2</v>
      </c>
      <c r="C98" s="11"/>
      <c r="D98" s="51">
        <f t="shared" si="1"/>
        <v>25</v>
      </c>
      <c r="E98" s="56">
        <f>'Universal Mastercurve'!A135</f>
        <v>10000000000</v>
      </c>
    </row>
    <row r="99" spans="1:5" x14ac:dyDescent="0.25">
      <c r="A99" s="50">
        <f t="shared" si="0"/>
        <v>26</v>
      </c>
      <c r="B99" s="56">
        <f>'Universal Mastercurve'!C136</f>
        <v>4.2804795150168627E-2</v>
      </c>
      <c r="C99" s="11"/>
      <c r="D99" s="51">
        <f t="shared" si="1"/>
        <v>26</v>
      </c>
      <c r="E99" s="56">
        <f>'Universal Mastercurve'!A136</f>
        <v>100000000000</v>
      </c>
    </row>
    <row r="100" spans="1:5" x14ac:dyDescent="0.25">
      <c r="A100" s="50">
        <f t="shared" si="0"/>
        <v>27</v>
      </c>
      <c r="B100" s="56">
        <f>'Universal Mastercurve'!C137</f>
        <v>1.3574491368938069E-2</v>
      </c>
      <c r="C100" s="11"/>
      <c r="D100" s="51">
        <f t="shared" si="1"/>
        <v>27</v>
      </c>
      <c r="E100" s="56">
        <f>'Universal Mastercurve'!A137</f>
        <v>1000000000000</v>
      </c>
    </row>
    <row r="101" spans="1:5" x14ac:dyDescent="0.25">
      <c r="A101" s="50">
        <f t="shared" si="0"/>
        <v>28</v>
      </c>
      <c r="B101" s="56">
        <f>'Universal Mastercurve'!C138</f>
        <v>1.502518420949004E-2</v>
      </c>
      <c r="C101" s="11"/>
      <c r="D101" s="51">
        <f t="shared" si="1"/>
        <v>28</v>
      </c>
      <c r="E101" s="56">
        <f>'Universal Mastercurve'!A138</f>
        <v>10000000000000</v>
      </c>
    </row>
    <row r="102" spans="1:5" x14ac:dyDescent="0.25">
      <c r="A102" s="50">
        <f t="shared" si="0"/>
        <v>29</v>
      </c>
      <c r="B102" s="56">
        <f>'Universal Mastercurve'!C139</f>
        <v>0</v>
      </c>
      <c r="C102" s="11"/>
      <c r="D102" s="51">
        <f t="shared" si="1"/>
        <v>29</v>
      </c>
      <c r="E102" s="56">
        <f>'Universal Mastercurve'!A139</f>
        <v>100000000000000</v>
      </c>
    </row>
    <row r="103" spans="1:5" x14ac:dyDescent="0.25">
      <c r="A103" s="50">
        <f t="shared" si="0"/>
        <v>30</v>
      </c>
      <c r="B103" s="56">
        <f>'Universal Mastercurve'!C140</f>
        <v>0</v>
      </c>
      <c r="C103" s="11"/>
      <c r="D103" s="51">
        <f t="shared" si="1"/>
        <v>30</v>
      </c>
      <c r="E103" s="56">
        <f>'Universal Mastercurve'!A140</f>
        <v>1000000000000000</v>
      </c>
    </row>
    <row r="104" spans="1:5" x14ac:dyDescent="0.25">
      <c r="A104" s="50">
        <f t="shared" si="0"/>
        <v>31</v>
      </c>
      <c r="B104" s="56">
        <f>'Universal Mastercurve'!C141</f>
        <v>3.9646756335782248E-2</v>
      </c>
      <c r="C104" s="11"/>
      <c r="D104" s="51">
        <f t="shared" si="1"/>
        <v>31</v>
      </c>
      <c r="E104" s="56">
        <f>'Universal Mastercurve'!A141</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25">
        <f>STUTT!D8</f>
        <v>5614.1607000000004</v>
      </c>
      <c r="D113" s="125"/>
    </row>
    <row r="114" spans="1:4" s="11" customFormat="1" x14ac:dyDescent="0.25">
      <c r="A114" s="61" t="str">
        <f>STUTT!B9</f>
        <v>MP,GXY,</v>
      </c>
      <c r="B114" s="52" t="str">
        <f>STUTT!C9</f>
        <v>MatID,</v>
      </c>
      <c r="C114" s="125">
        <f>STUTT!D9</f>
        <v>6353.6364000000003</v>
      </c>
      <c r="D114" s="125"/>
    </row>
    <row r="115" spans="1:4" x14ac:dyDescent="0.25">
      <c r="A115" s="61" t="str">
        <f>STUTT!B10</f>
        <v>MP,GYZ,</v>
      </c>
      <c r="B115" s="52" t="str">
        <f>STUTT!C10</f>
        <v>MatID,</v>
      </c>
      <c r="C115" s="125">
        <f>STUTT!D10</f>
        <v>6353.6364000000003</v>
      </c>
      <c r="D115" s="125"/>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5"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89">
        <f>(INDEX(L:L,ROW(L2)*2+1)+INDEX(L:L,ROW(L2)*2+2))/2</f>
        <v>2.4226182285714289E-5</v>
      </c>
      <c r="P5" s="89">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89">
        <f t="shared" ref="O6:O7" si="2">(INDEX(L:L,ROW(L3)*2+1)+INDEX(L:L,ROW(L3)*2+2))/2</f>
        <v>2.6648912571428573E-5</v>
      </c>
      <c r="P6" s="89">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89">
        <f t="shared" si="2"/>
        <v>5.1568891714285722E-5</v>
      </c>
      <c r="P7" s="89">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89">
        <f t="shared" ref="O8:O9" si="4">(INDEX(L:L,ROW(L5)*2+1)+INDEX(L:L,ROW(L5)*2+2))/2</f>
        <v>7.4083502857142863E-5</v>
      </c>
      <c r="P8" s="89">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89">
        <f t="shared" si="4"/>
        <v>7.3900625714285717E-5</v>
      </c>
      <c r="P9" s="89">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26" t="s">
        <v>7</v>
      </c>
      <c r="B1" s="126"/>
      <c r="C1" s="126"/>
      <c r="D1" s="126"/>
      <c r="E1" s="126"/>
      <c r="F1" s="126"/>
      <c r="G1" s="126"/>
      <c r="H1" s="126"/>
      <c r="I1" s="126"/>
      <c r="J1" s="126"/>
      <c r="K1" s="126"/>
      <c r="M1" s="126" t="s">
        <v>8</v>
      </c>
      <c r="N1" s="126"/>
      <c r="O1" s="126"/>
      <c r="P1" s="126"/>
      <c r="Q1" s="126"/>
      <c r="R1" s="126"/>
      <c r="S1" s="126"/>
      <c r="T1" s="126"/>
      <c r="U1" s="126"/>
      <c r="V1" s="126"/>
      <c r="W1" s="126"/>
      <c r="X1" s="126"/>
      <c r="Z1" s="127" t="s">
        <v>10</v>
      </c>
      <c r="AA1" s="127"/>
      <c r="AB1" s="127"/>
      <c r="AC1" s="127"/>
      <c r="AD1" s="127"/>
      <c r="AE1" s="127"/>
      <c r="AF1" s="127"/>
      <c r="AG1" s="127"/>
      <c r="AH1" s="127"/>
      <c r="AI1" s="127"/>
      <c r="AJ1" s="127"/>
      <c r="AL1" s="126" t="s">
        <v>11</v>
      </c>
      <c r="AM1" s="126"/>
      <c r="AN1" s="126"/>
      <c r="AO1" s="126"/>
      <c r="AP1" s="126"/>
      <c r="AQ1" s="126"/>
      <c r="AR1" s="126"/>
      <c r="AS1" s="126"/>
      <c r="AT1" s="126"/>
      <c r="AU1" s="126"/>
      <c r="AV1" s="126"/>
      <c r="AX1" s="126" t="s">
        <v>12</v>
      </c>
      <c r="AY1" s="126"/>
      <c r="AZ1" s="126"/>
      <c r="BA1" s="126"/>
      <c r="BB1" s="126"/>
      <c r="BC1" s="126"/>
      <c r="BD1" s="126"/>
      <c r="BE1" s="126"/>
      <c r="BF1" s="126"/>
      <c r="BG1" s="126"/>
      <c r="BH1" s="126"/>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26" t="s">
        <v>4</v>
      </c>
      <c r="B34" s="126"/>
      <c r="C34" s="126"/>
      <c r="D34" s="126"/>
      <c r="E34" s="126"/>
      <c r="F34" s="126"/>
      <c r="G34" s="126"/>
      <c r="H34" s="126"/>
      <c r="I34" s="126"/>
      <c r="J34" s="126"/>
      <c r="K34" s="126"/>
      <c r="M34" s="126" t="s">
        <v>2</v>
      </c>
      <c r="N34" s="126"/>
      <c r="O34" s="126"/>
      <c r="P34" s="126"/>
      <c r="Q34" s="126"/>
      <c r="R34" s="126"/>
      <c r="S34" s="126"/>
      <c r="T34" s="126"/>
      <c r="U34" s="126"/>
      <c r="V34" s="126"/>
      <c r="W34" s="126"/>
      <c r="X34" s="126"/>
      <c r="Z34" s="127" t="s">
        <v>5</v>
      </c>
      <c r="AA34" s="127"/>
      <c r="AB34" s="127"/>
      <c r="AC34" s="127"/>
      <c r="AD34" s="127"/>
      <c r="AE34" s="127"/>
      <c r="AF34" s="127"/>
      <c r="AG34" s="127"/>
      <c r="AH34" s="127"/>
      <c r="AI34" s="127"/>
      <c r="AJ34" s="127"/>
      <c r="AL34" s="126" t="s">
        <v>3</v>
      </c>
      <c r="AM34" s="126"/>
      <c r="AN34" s="126"/>
      <c r="AO34" s="126"/>
      <c r="AP34" s="126"/>
      <c r="AQ34" s="126"/>
      <c r="AR34" s="126"/>
      <c r="AS34" s="126"/>
      <c r="AT34" s="126"/>
      <c r="AU34" s="126"/>
      <c r="AV34" s="126"/>
      <c r="AX34" s="126" t="s">
        <v>1</v>
      </c>
      <c r="AY34" s="126"/>
      <c r="AZ34" s="126"/>
      <c r="BA34" s="126"/>
      <c r="BB34" s="126"/>
      <c r="BC34" s="126"/>
      <c r="BD34" s="126"/>
      <c r="BE34" s="126"/>
      <c r="BF34" s="126"/>
      <c r="BG34" s="126"/>
      <c r="BH34" s="126"/>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B51" sqref="B51"/>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30" t="s">
        <v>26</v>
      </c>
      <c r="B15" s="130"/>
      <c r="C15" s="130"/>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5541.3343805505365</v>
      </c>
      <c r="G16" s="26">
        <f>INDEX(Comparison!$AM$3:$AS$33,G14,$B$3)</f>
        <v>5343.1911525840997</v>
      </c>
      <c r="H16" s="26">
        <f>INDEX(Comparison!$AM$3:$AS$33,H14,$B$3)</f>
        <v>5230.4848257433341</v>
      </c>
      <c r="I16" s="26">
        <f>INDEX(Comparison!$AM$3:$AS$33,I14,$B$3)</f>
        <v>5120.1446027142574</v>
      </c>
      <c r="J16" s="26">
        <f>INDEX(Comparison!$AM$3:$AS$33,J14,$B$3)</f>
        <v>4998.3099857085181</v>
      </c>
      <c r="K16" s="26">
        <f>INDEX(Comparison!$AM$3:$AS$33,K14,$B$3)</f>
        <v>4868.289986185935</v>
      </c>
      <c r="L16" s="26">
        <f>INDEX(Comparison!$AM$3:$AS$33,L14,$B$3)</f>
        <v>4722.7423685745798</v>
      </c>
      <c r="M16" s="26">
        <f>INDEX(Comparison!$AM$3:$AS$33,M14,$B$3)</f>
        <v>4566.4647906515956</v>
      </c>
      <c r="N16" s="26">
        <f>INDEX(Comparison!$AM$3:$AS$33,N14,$B$3)</f>
        <v>4408.434781704007</v>
      </c>
      <c r="O16" s="26">
        <f>INDEX(Comparison!$AM$3:$AS$33,O14,$B$3)</f>
        <v>4256.2001953133786</v>
      </c>
      <c r="P16" s="26">
        <f>INDEX(Comparison!$AM$3:$AS$33,P14,$B$3)</f>
        <v>4088.6897076558816</v>
      </c>
      <c r="Q16" s="26">
        <f>INDEX(Comparison!$AM$3:$AS$33,Q14,$B$3)</f>
        <v>3886.5453020717396</v>
      </c>
      <c r="R16" s="26">
        <f>INDEX(Comparison!$AM$3:$AS$33,R14,$B$3)</f>
        <v>3674.0476464355193</v>
      </c>
      <c r="S16" s="26">
        <f>INDEX(Comparison!$AM$3:$AS$33,S14,$B$3)</f>
        <v>3490.4964950029853</v>
      </c>
      <c r="T16" s="26">
        <f>INDEX(Comparison!$AM$3:$AS$33,T14,$B$3)</f>
        <v>3328.6476119407066</v>
      </c>
      <c r="U16" s="26">
        <f>INDEX(Comparison!$AM$3:$AS$33,U14,$B$3)</f>
        <v>3162.6549081928265</v>
      </c>
      <c r="V16" s="26">
        <f>INDEX(Comparison!$AM$3:$AS$33,V14,$B$3)</f>
        <v>2989.0593935666489</v>
      </c>
      <c r="W16" s="26">
        <f>INDEX(Comparison!$AM$3:$AS$33,W14,$B$3)</f>
        <v>2798.1852090008501</v>
      </c>
      <c r="X16" s="26">
        <f>INDEX(Comparison!$AM$3:$AS$33,X14,$B$3)</f>
        <v>2599.5030730508342</v>
      </c>
      <c r="Y16" s="26">
        <f>INDEX(Comparison!$AM$3:$AS$33,Y14,$B$3)</f>
        <v>2390.0680354035449</v>
      </c>
      <c r="Z16" s="26">
        <f>INDEX(Comparison!$AM$3:$AS$33,Z14,$B$3)</f>
        <v>2175.40034172183</v>
      </c>
      <c r="AA16" s="26">
        <f>INDEX(Comparison!$AM$3:$AS$33,AA14,$B$3)</f>
        <v>1944.7438917872487</v>
      </c>
      <c r="AB16" s="26">
        <f>INDEX(Comparison!$AM$3:$AS$33,AB14,$B$3)</f>
        <v>1692.3075271682321</v>
      </c>
      <c r="AC16" s="26">
        <f>INDEX(Comparison!$AM$3:$AS$33,AC14,$B$3)</f>
        <v>1404.857998960405</v>
      </c>
      <c r="AD16" s="26">
        <f>INDEX(Comparison!$AM$3:$AS$33,AD14,$B$3)</f>
        <v>1091.4425267820036</v>
      </c>
      <c r="AE16" s="26">
        <f>INDEX(Comparison!$AM$3:$AS$33,AE14,$B$3)</f>
        <v>790.55484106714846</v>
      </c>
      <c r="AF16" s="26">
        <f>INDEX(Comparison!$AM$3:$AS$33,AF14,$B$3)</f>
        <v>554.44228824478739</v>
      </c>
      <c r="AG16" s="26">
        <f>INDEX(Comparison!$AM$3:$AS$33,AG14,$B$3)</f>
        <v>402.30286435501444</v>
      </c>
      <c r="AH16" s="26">
        <f>INDEX(Comparison!$AM$3:$AS$33,AH14,$B$3)</f>
        <v>323.52349101295181</v>
      </c>
      <c r="AI16" s="26">
        <f>INDEX(Comparison!$AM$3:$AS$33,AI14,$B$3)</f>
        <v>284.35137217816799</v>
      </c>
      <c r="AJ16" s="26">
        <f>INDEX(Comparison!$AM$3:$AS$33,AJ14,$B$3)</f>
        <v>264.92729834801332</v>
      </c>
    </row>
    <row r="17" spans="1:36" x14ac:dyDescent="0.25">
      <c r="A17" s="14" t="s">
        <v>20</v>
      </c>
      <c r="B17" s="105">
        <v>5.6280744973471672E-2</v>
      </c>
      <c r="C17" s="18">
        <f t="shared" ref="C17:C48" si="3">ABS(B17/$B$49)</f>
        <v>3.4713645635505427E-2</v>
      </c>
      <c r="D17" s="66"/>
      <c r="E17" s="65" t="s">
        <v>22</v>
      </c>
      <c r="F17" s="27">
        <f>($C$17+SUM(F18:F48))*$B$51</f>
        <v>5480.575532648817</v>
      </c>
      <c r="G17" s="27">
        <f t="shared" ref="G17:M17" si="4">($C$17+SUM(G18:G48))*$B$51</f>
        <v>5421.7813890152793</v>
      </c>
      <c r="H17" s="27">
        <f t="shared" si="4"/>
        <v>5209.6624209008151</v>
      </c>
      <c r="I17" s="27">
        <f t="shared" si="4"/>
        <v>5123.5555334820274</v>
      </c>
      <c r="J17" s="27">
        <f t="shared" si="4"/>
        <v>4997.8370250706303</v>
      </c>
      <c r="K17" s="27">
        <f t="shared" si="4"/>
        <v>4868.3522095816661</v>
      </c>
      <c r="L17" s="27">
        <f t="shared" si="4"/>
        <v>4722.7355246440211</v>
      </c>
      <c r="M17" s="27">
        <f t="shared" si="4"/>
        <v>4566.4631092244745</v>
      </c>
      <c r="N17" s="27">
        <f t="shared" ref="N17" si="5">($C$17+SUM(N18:N48))*$B$51</f>
        <v>4408.392391630452</v>
      </c>
      <c r="O17" s="27">
        <f t="shared" ref="O17" si="6">($C$17+SUM(O18:O48))*$B$51</f>
        <v>4256.3004297775778</v>
      </c>
      <c r="P17" s="27">
        <f t="shared" ref="P17" si="7">($C$17+SUM(P18:P48))*$B$51</f>
        <v>4088.5463208166743</v>
      </c>
      <c r="Q17" s="27">
        <f t="shared" ref="Q17" si="8">($C$17+SUM(Q18:Q48))*$B$51</f>
        <v>3886.7331206744675</v>
      </c>
      <c r="R17" s="27">
        <f t="shared" ref="R17" si="9">($C$17+SUM(R18:R48))*$B$51</f>
        <v>3673.8228698979851</v>
      </c>
      <c r="S17" s="27">
        <f t="shared" ref="S17:T17" si="10">($C$17+SUM(S18:S48))*$B$51</f>
        <v>3490.7461694803906</v>
      </c>
      <c r="T17" s="27">
        <f t="shared" si="10"/>
        <v>3328.3977349299175</v>
      </c>
      <c r="U17" s="27">
        <f t="shared" ref="U17" si="11">($C$17+SUM(U18:U48))*$B$51</f>
        <v>3162.8512884343731</v>
      </c>
      <c r="V17" s="27">
        <f t="shared" ref="V17" si="12">($C$17+SUM(V18:V48))*$B$51</f>
        <v>2988.9354447497799</v>
      </c>
      <c r="W17" s="27">
        <f t="shared" ref="W17" si="13">($C$17+SUM(W18:W48))*$B$51</f>
        <v>2798.2643400857478</v>
      </c>
      <c r="X17" s="27">
        <f t="shared" ref="X17" si="14">($C$17+SUM(X18:X48))*$B$51</f>
        <v>2599.4537438899133</v>
      </c>
      <c r="Y17" s="27">
        <f t="shared" ref="Y17" si="15">($C$17+SUM(Y18:Y48))*$B$51</f>
        <v>2390.0925754461196</v>
      </c>
      <c r="Z17" s="27">
        <f t="shared" ref="Z17:AA17" si="16">($C$17+SUM(Z18:Z48))*$B$51</f>
        <v>2175.3889044011426</v>
      </c>
      <c r="AA17" s="27">
        <f t="shared" si="16"/>
        <v>1944.7472889565177</v>
      </c>
      <c r="AB17" s="27">
        <f t="shared" ref="AB17" si="17">($C$17+SUM(AB18:AB48))*$B$51</f>
        <v>1692.3072485840821</v>
      </c>
      <c r="AC17" s="27">
        <f t="shared" ref="AC17" si="18">($C$17+SUM(AC18:AC48))*$B$51</f>
        <v>1404.8639708380645</v>
      </c>
      <c r="AD17" s="27">
        <f t="shared" ref="AD17" si="19">($C$17+SUM(AD18:AD48))*$B$51</f>
        <v>1091.4349714988748</v>
      </c>
      <c r="AE17" s="27">
        <f t="shared" ref="AE17" si="20">($C$17+SUM(AE18:AE48))*$B$51</f>
        <v>790.56625552738922</v>
      </c>
      <c r="AF17" s="27">
        <f t="shared" ref="AF17" si="21">($C$17+SUM(AF18:AF48))*$B$51</f>
        <v>554.40937258971564</v>
      </c>
      <c r="AG17" s="27">
        <f t="shared" ref="AG17:AH17" si="22">($C$17+SUM(AG18:AG48))*$B$51</f>
        <v>402.35845919627394</v>
      </c>
      <c r="AH17" s="27">
        <f t="shared" si="22"/>
        <v>323.45910074497533</v>
      </c>
      <c r="AI17" s="27">
        <f t="shared" ref="AI17" si="23">($C$17+SUM(AI18:AI48))*$B$51</f>
        <v>284.42673799120098</v>
      </c>
      <c r="AJ17" s="27">
        <f t="shared" ref="AJ17" si="24">($C$17+SUM(AJ18:AJ48))*$B$51</f>
        <v>264.8835036094876</v>
      </c>
    </row>
    <row r="18" spans="1:36" x14ac:dyDescent="0.25">
      <c r="A18" s="3">
        <f>0.000000000000001/10^5</f>
        <v>1.0000000000000001E-20</v>
      </c>
      <c r="B18" s="106">
        <v>3.6443401880026323E-2</v>
      </c>
      <c r="C18" s="18">
        <f t="shared" si="3"/>
        <v>2.247808445342811E-2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8.2578404021332708E-2</v>
      </c>
      <c r="C19" s="18">
        <f t="shared" si="3"/>
        <v>5.0933893211494101E-2</v>
      </c>
      <c r="D19" s="17"/>
      <c r="F19" s="3">
        <f t="shared" si="25"/>
        <v>4.9645767247555372E-2</v>
      </c>
      <c r="G19" s="3">
        <f t="shared" si="25"/>
        <v>3.9423974735459132E-2</v>
      </c>
      <c r="H19" s="3">
        <f t="shared" si="25"/>
        <v>3.9313545955999831E-3</v>
      </c>
      <c r="I19" s="3">
        <f t="shared" si="25"/>
        <v>3.8226128449244759E-13</v>
      </c>
      <c r="J19" s="3">
        <f t="shared" si="25"/>
        <v>2.8876282855815224E-113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1.5693513578612192E-2</v>
      </c>
      <c r="C20" s="18">
        <f t="shared" si="3"/>
        <v>9.6796705409767005E-3</v>
      </c>
      <c r="D20" s="17"/>
      <c r="F20" s="3">
        <f t="shared" si="25"/>
        <v>9.6573292941780492E-3</v>
      </c>
      <c r="G20" s="3">
        <f t="shared" si="25"/>
        <v>9.4585642695395062E-3</v>
      </c>
      <c r="H20" s="3">
        <f t="shared" si="25"/>
        <v>7.6825785446153873E-3</v>
      </c>
      <c r="I20" s="3">
        <f t="shared" si="25"/>
        <v>9.6011865507683656E-4</v>
      </c>
      <c r="J20" s="3">
        <f t="shared" si="25"/>
        <v>8.9228562931224877E-13</v>
      </c>
      <c r="K20" s="3">
        <f t="shared" si="25"/>
        <v>4.2883853401637924E-103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4.1131487518226907E-2</v>
      </c>
      <c r="C21" s="18">
        <f t="shared" si="3"/>
        <v>2.5369669197555188E-2</v>
      </c>
      <c r="D21" s="17"/>
      <c r="F21" s="3">
        <f t="shared" si="25"/>
        <v>2.5364381524016082E-2</v>
      </c>
      <c r="G21" s="3">
        <f t="shared" si="25"/>
        <v>2.531684202836329E-2</v>
      </c>
      <c r="H21" s="3">
        <f t="shared" si="25"/>
        <v>2.4846320200718038E-2</v>
      </c>
      <c r="I21" s="3">
        <f t="shared" si="25"/>
        <v>2.0596220777665764E-2</v>
      </c>
      <c r="J21" s="3">
        <f t="shared" si="25"/>
        <v>3.1553108144969115E-3</v>
      </c>
      <c r="K21" s="3">
        <f t="shared" si="25"/>
        <v>2.246923157177008E-11</v>
      </c>
      <c r="L21" s="3">
        <f t="shared" si="25"/>
        <v>7.5344050203298026E-93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3.744952049409573E-2</v>
      </c>
      <c r="C22" s="18">
        <f t="shared" si="3"/>
        <v>2.3098652732198299E-2</v>
      </c>
      <c r="D22" s="17"/>
      <c r="F22" s="3">
        <f t="shared" si="25"/>
        <v>2.3098218397775958E-2</v>
      </c>
      <c r="G22" s="3">
        <f t="shared" si="25"/>
        <v>2.3094309755470867E-2</v>
      </c>
      <c r="H22" s="3">
        <f t="shared" si="25"/>
        <v>2.305525969172802E-2</v>
      </c>
      <c r="I22" s="3">
        <f t="shared" si="25"/>
        <v>2.2668372321021951E-2</v>
      </c>
      <c r="J22" s="3">
        <f t="shared" si="25"/>
        <v>1.9139188718604982E-2</v>
      </c>
      <c r="K22" s="3">
        <f t="shared" si="25"/>
        <v>3.523346863538215E-3</v>
      </c>
      <c r="L22" s="3">
        <f t="shared" si="25"/>
        <v>1.5749767839707998E-10</v>
      </c>
      <c r="M22" s="3">
        <f t="shared" si="25"/>
        <v>5.0172035079617502E-84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4.4822457576978163E-2</v>
      </c>
      <c r="C23" s="18">
        <f t="shared" si="3"/>
        <v>2.7646238683818124E-2</v>
      </c>
      <c r="D23" s="17"/>
      <c r="F23" s="3">
        <f t="shared" si="25"/>
        <v>2.7646191789096823E-2</v>
      </c>
      <c r="G23" s="3">
        <f t="shared" si="25"/>
        <v>2.7645769740184619E-2</v>
      </c>
      <c r="H23" s="3">
        <f t="shared" si="25"/>
        <v>2.7641549605413079E-2</v>
      </c>
      <c r="I23" s="3">
        <f t="shared" si="25"/>
        <v>2.7599383672740677E-2</v>
      </c>
      <c r="J23" s="3">
        <f t="shared" si="25"/>
        <v>2.718124592758623E-2</v>
      </c>
      <c r="K23" s="3">
        <f t="shared" si="25"/>
        <v>2.3332921545464475E-2</v>
      </c>
      <c r="L23" s="3">
        <f t="shared" si="25"/>
        <v>5.0695186969041614E-3</v>
      </c>
      <c r="M23" s="3">
        <f t="shared" si="25"/>
        <v>1.1883457369160235E-9</v>
      </c>
      <c r="N23" s="3">
        <f t="shared" si="25"/>
        <v>5.9525581486800737E-76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4.7953924629571223E-2</v>
      </c>
      <c r="C24" s="18">
        <f t="shared" si="3"/>
        <v>2.9577709875861068E-2</v>
      </c>
      <c r="D24" s="17"/>
      <c r="F24" s="3">
        <f t="shared" si="25"/>
        <v>2.957770535001919E-2</v>
      </c>
      <c r="G24" s="3">
        <f t="shared" si="25"/>
        <v>2.9577664617473451E-2</v>
      </c>
      <c r="H24" s="3">
        <f t="shared" si="25"/>
        <v>2.9577257295101231E-2</v>
      </c>
      <c r="I24" s="3">
        <f t="shared" si="25"/>
        <v>2.9573184379880602E-2</v>
      </c>
      <c r="J24" s="3">
        <f t="shared" si="25"/>
        <v>2.9532486062118914E-2</v>
      </c>
      <c r="K24" s="3">
        <f t="shared" si="25"/>
        <v>2.912857067525854E-2</v>
      </c>
      <c r="L24" s="3">
        <f t="shared" si="25"/>
        <v>2.5381123549586767E-2</v>
      </c>
      <c r="M24" s="3">
        <f t="shared" si="25"/>
        <v>6.4036491512756092E-3</v>
      </c>
      <c r="N24" s="3">
        <f t="shared" si="25"/>
        <v>6.6925926444743474E-9</v>
      </c>
      <c r="O24" s="3">
        <f t="shared" si="25"/>
        <v>1.0405501484634142E-68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4.8554600012310718E-2</v>
      </c>
      <c r="C25" s="18">
        <f t="shared" si="3"/>
        <v>2.9948203059421787E-2</v>
      </c>
      <c r="D25" s="17"/>
      <c r="F25" s="3">
        <f t="shared" si="25"/>
        <v>2.9948202646039156E-2</v>
      </c>
      <c r="G25" s="3">
        <f t="shared" si="25"/>
        <v>2.9948198925595759E-2</v>
      </c>
      <c r="H25" s="3">
        <f t="shared" si="25"/>
        <v>2.9948161721187191E-2</v>
      </c>
      <c r="I25" s="3">
        <f t="shared" si="25"/>
        <v>2.9947789679643524E-2</v>
      </c>
      <c r="J25" s="3">
        <f t="shared" si="25"/>
        <v>2.9944069518397329E-2</v>
      </c>
      <c r="K25" s="3">
        <f t="shared" si="25"/>
        <v>2.9906893313299231E-2</v>
      </c>
      <c r="L25" s="3">
        <f t="shared" si="25"/>
        <v>2.9537660358959734E-2</v>
      </c>
      <c r="M25" s="3">
        <f t="shared" si="25"/>
        <v>2.6086991815922896E-2</v>
      </c>
      <c r="N25" s="3">
        <f t="shared" si="25"/>
        <v>7.5318748854293375E-3</v>
      </c>
      <c r="O25" s="3">
        <f t="shared" si="25"/>
        <v>3.0317546312636428E-8</v>
      </c>
      <c r="P25" s="3">
        <f t="shared" si="25"/>
        <v>3.3853499908189559E-62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4.3890783649277704E-2</v>
      </c>
      <c r="C26" s="18">
        <f t="shared" si="3"/>
        <v>2.7071587467149303E-2</v>
      </c>
      <c r="D26" s="17"/>
      <c r="F26" s="3">
        <f t="shared" si="25"/>
        <v>2.7071587433440621E-2</v>
      </c>
      <c r="G26" s="3">
        <f t="shared" si="25"/>
        <v>2.7071587130062486E-2</v>
      </c>
      <c r="H26" s="3">
        <f t="shared" si="25"/>
        <v>2.7071584096281326E-2</v>
      </c>
      <c r="I26" s="3">
        <f t="shared" si="25"/>
        <v>2.7071553758488413E-2</v>
      </c>
      <c r="J26" s="3">
        <f t="shared" si="25"/>
        <v>2.7071250382429184E-2</v>
      </c>
      <c r="K26" s="3">
        <f t="shared" si="25"/>
        <v>2.7068216808817897E-2</v>
      </c>
      <c r="L26" s="3">
        <f t="shared" si="25"/>
        <v>2.703789976305605E-2</v>
      </c>
      <c r="M26" s="3">
        <f t="shared" si="25"/>
        <v>2.6736590613929863E-2</v>
      </c>
      <c r="N26" s="3">
        <f t="shared" si="25"/>
        <v>2.3902138153348473E-2</v>
      </c>
      <c r="O26" s="3">
        <f t="shared" si="25"/>
        <v>7.7937058813069169E-3</v>
      </c>
      <c r="P26" s="3">
        <f t="shared" si="25"/>
        <v>1.0588065355496339E-7</v>
      </c>
      <c r="Q26" s="3">
        <f t="shared" si="25"/>
        <v>2.2674756038729223E-56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5.1901414650666E-2</v>
      </c>
      <c r="C27" s="18">
        <f t="shared" si="3"/>
        <v>3.2012499426116107E-2</v>
      </c>
      <c r="D27" s="17"/>
      <c r="F27" s="3">
        <f t="shared" si="25"/>
        <v>3.2012499422520317E-2</v>
      </c>
      <c r="G27" s="3">
        <f t="shared" si="25"/>
        <v>3.2012499390158218E-2</v>
      </c>
      <c r="H27" s="3">
        <f t="shared" si="25"/>
        <v>3.2012499066537192E-2</v>
      </c>
      <c r="I27" s="3">
        <f t="shared" si="25"/>
        <v>3.2012495830327128E-2</v>
      </c>
      <c r="J27" s="3">
        <f t="shared" si="25"/>
        <v>3.2012463468244462E-2</v>
      </c>
      <c r="K27" s="3">
        <f t="shared" si="25"/>
        <v>3.2012139849217205E-2</v>
      </c>
      <c r="L27" s="3">
        <f t="shared" si="25"/>
        <v>3.2008903838872484E-2</v>
      </c>
      <c r="M27" s="3">
        <f t="shared" si="25"/>
        <v>3.1976561721487384E-2</v>
      </c>
      <c r="N27" s="3">
        <f t="shared" si="25"/>
        <v>3.1654932444480859E-2</v>
      </c>
      <c r="O27" s="3">
        <f t="shared" si="25"/>
        <v>2.8611304339683761E-2</v>
      </c>
      <c r="P27" s="3">
        <f t="shared" si="25"/>
        <v>1.0411188667417625E-2</v>
      </c>
      <c r="Q27" s="3">
        <f t="shared" si="25"/>
        <v>4.2376678484491523E-7</v>
      </c>
      <c r="R27" s="3">
        <f t="shared" si="25"/>
        <v>5.2892352135944931E-51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6.6344756469234156E-2</v>
      </c>
      <c r="C28" s="18">
        <f t="shared" si="3"/>
        <v>4.0921071086256373E-2</v>
      </c>
      <c r="D28" s="17"/>
      <c r="F28" s="3">
        <f t="shared" si="25"/>
        <v>4.092107108584174E-2</v>
      </c>
      <c r="G28" s="3">
        <f t="shared" si="25"/>
        <v>4.0921071082110003E-2</v>
      </c>
      <c r="H28" s="3">
        <f t="shared" si="25"/>
        <v>4.0921071044792659E-2</v>
      </c>
      <c r="I28" s="3">
        <f t="shared" si="25"/>
        <v>4.0921070671619215E-2</v>
      </c>
      <c r="J28" s="3">
        <f t="shared" si="25"/>
        <v>4.0921066939884981E-2</v>
      </c>
      <c r="K28" s="3">
        <f t="shared" si="25"/>
        <v>4.0921029622561347E-2</v>
      </c>
      <c r="L28" s="3">
        <f t="shared" si="25"/>
        <v>4.0920656451196712E-2</v>
      </c>
      <c r="M28" s="3">
        <f t="shared" si="25"/>
        <v>4.0916924924713723E-2</v>
      </c>
      <c r="N28" s="3">
        <f t="shared" si="25"/>
        <v>4.087962836990805E-2</v>
      </c>
      <c r="O28" s="3">
        <f t="shared" si="25"/>
        <v>4.0508527526587325E-2</v>
      </c>
      <c r="P28" s="3">
        <f t="shared" si="25"/>
        <v>3.6977848300830549E-2</v>
      </c>
      <c r="Q28" s="3">
        <f t="shared" si="25"/>
        <v>1.4855710622124711E-2</v>
      </c>
      <c r="R28" s="3">
        <f t="shared" si="25"/>
        <v>1.6270892563729103E-6</v>
      </c>
      <c r="S28" s="3">
        <f t="shared" si="25"/>
        <v>4.0419491084384992E-46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6.5775280667320676E-2</v>
      </c>
      <c r="C29" s="18">
        <f t="shared" si="3"/>
        <v>4.0569821627939186E-2</v>
      </c>
      <c r="D29" s="17"/>
      <c r="F29" s="3">
        <f t="shared" si="25"/>
        <v>4.0569821627902104E-2</v>
      </c>
      <c r="G29" s="3">
        <f t="shared" si="25"/>
        <v>4.0569821627568357E-2</v>
      </c>
      <c r="H29" s="3">
        <f t="shared" si="25"/>
        <v>4.0569821624230923E-2</v>
      </c>
      <c r="I29" s="3">
        <f t="shared" si="25"/>
        <v>4.0569821590856522E-2</v>
      </c>
      <c r="J29" s="3">
        <f t="shared" si="25"/>
        <v>4.0569821257112552E-2</v>
      </c>
      <c r="K29" s="3">
        <f t="shared" si="25"/>
        <v>4.0569817919673026E-2</v>
      </c>
      <c r="L29" s="3">
        <f t="shared" si="25"/>
        <v>4.0569784545292815E-2</v>
      </c>
      <c r="M29" s="3">
        <f t="shared" si="25"/>
        <v>4.0569450803000735E-2</v>
      </c>
      <c r="N29" s="3">
        <f t="shared" si="25"/>
        <v>4.0566113531078168E-2</v>
      </c>
      <c r="O29" s="3">
        <f t="shared" si="25"/>
        <v>4.0532755907077084E-2</v>
      </c>
      <c r="P29" s="3">
        <f t="shared" si="25"/>
        <v>4.0200684604975001E-2</v>
      </c>
      <c r="Q29" s="3">
        <f t="shared" si="25"/>
        <v>3.7025983743475786E-2</v>
      </c>
      <c r="R29" s="3">
        <f t="shared" si="25"/>
        <v>1.6264404876796063E-2</v>
      </c>
      <c r="S29" s="3">
        <f t="shared" si="25"/>
        <v>4.3506473694403077E-6</v>
      </c>
      <c r="T29" s="3">
        <f t="shared" si="25"/>
        <v>8.1603907821657082E-42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4.7535409343726583E-2</v>
      </c>
      <c r="C30" s="18">
        <f t="shared" si="3"/>
        <v>2.9319572011255665E-2</v>
      </c>
      <c r="D30" s="17"/>
      <c r="F30" s="3">
        <f t="shared" si="25"/>
        <v>2.9319572011253247E-2</v>
      </c>
      <c r="G30" s="3">
        <f t="shared" si="25"/>
        <v>2.931957201123149E-2</v>
      </c>
      <c r="H30" s="3">
        <f t="shared" si="25"/>
        <v>2.9319572011013914E-2</v>
      </c>
      <c r="I30" s="3">
        <f t="shared" si="25"/>
        <v>2.9319572008838134E-2</v>
      </c>
      <c r="J30" s="3">
        <f t="shared" si="25"/>
        <v>2.9319571987080354E-2</v>
      </c>
      <c r="K30" s="3">
        <f t="shared" si="25"/>
        <v>2.9319571769502575E-2</v>
      </c>
      <c r="L30" s="3">
        <f t="shared" si="25"/>
        <v>2.9319569593724844E-2</v>
      </c>
      <c r="M30" s="3">
        <f t="shared" si="25"/>
        <v>2.9319547835956437E-2</v>
      </c>
      <c r="N30" s="3">
        <f t="shared" si="25"/>
        <v>2.9319330259160409E-2</v>
      </c>
      <c r="O30" s="3">
        <f t="shared" si="25"/>
        <v>2.9317154580001743E-2</v>
      </c>
      <c r="P30" s="3">
        <f t="shared" si="25"/>
        <v>2.9295406666139685E-2</v>
      </c>
      <c r="Q30" s="3">
        <f t="shared" si="25"/>
        <v>2.9078812867222369E-2</v>
      </c>
      <c r="R30" s="3">
        <f t="shared" si="25"/>
        <v>2.6999025441095396E-2</v>
      </c>
      <c r="S30" s="3">
        <f t="shared" si="25"/>
        <v>1.2854708802910437E-2</v>
      </c>
      <c r="T30" s="3">
        <f t="shared" si="25"/>
        <v>7.6949143871503166E-6</v>
      </c>
      <c r="U30" s="3">
        <f t="shared" si="25"/>
        <v>4.545893789868954E-38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5.0535720614104419E-2</v>
      </c>
      <c r="C31" s="18">
        <f t="shared" si="3"/>
        <v>3.1170147057573941E-2</v>
      </c>
      <c r="D31" s="17"/>
      <c r="F31" s="3">
        <f t="shared" si="25"/>
        <v>3.1170147057573708E-2</v>
      </c>
      <c r="G31" s="3">
        <f t="shared" si="25"/>
        <v>3.1170147057571623E-2</v>
      </c>
      <c r="H31" s="3">
        <f t="shared" si="25"/>
        <v>3.1170147057550755E-2</v>
      </c>
      <c r="I31" s="3">
        <f t="shared" si="25"/>
        <v>3.1170147057342095E-2</v>
      </c>
      <c r="J31" s="3">
        <f t="shared" si="25"/>
        <v>3.1170147055255479E-2</v>
      </c>
      <c r="K31" s="3">
        <f t="shared" si="25"/>
        <v>3.117014703438933E-2</v>
      </c>
      <c r="L31" s="3">
        <f t="shared" si="25"/>
        <v>3.1170146825727808E-2</v>
      </c>
      <c r="M31" s="3">
        <f t="shared" si="25"/>
        <v>3.1170144739112716E-2</v>
      </c>
      <c r="N31" s="3">
        <f t="shared" si="25"/>
        <v>3.1170123872969458E-2</v>
      </c>
      <c r="O31" s="3">
        <f t="shared" si="25"/>
        <v>3.1169915212305135E-2</v>
      </c>
      <c r="P31" s="3">
        <f t="shared" si="25"/>
        <v>3.1167828682485837E-2</v>
      </c>
      <c r="Q31" s="3">
        <f t="shared" si="25"/>
        <v>3.1146971064784978E-2</v>
      </c>
      <c r="R31" s="3">
        <f t="shared" si="25"/>
        <v>3.093916103802212E-2</v>
      </c>
      <c r="S31" s="3">
        <f t="shared" si="25"/>
        <v>2.8935811633338571E-2</v>
      </c>
      <c r="T31" s="3">
        <f t="shared" si="25"/>
        <v>1.4815183149796074E-2</v>
      </c>
      <c r="U31" s="3">
        <f t="shared" si="25"/>
        <v>1.8340897600212247E-5</v>
      </c>
      <c r="V31" s="3">
        <f t="shared" si="26"/>
        <v>1.5508014568767157E-34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4.8348363460578581E-2</v>
      </c>
      <c r="C32" s="18">
        <f t="shared" si="3"/>
        <v>2.9820997519102575E-2</v>
      </c>
      <c r="D32" s="17"/>
      <c r="F32" s="3">
        <f t="shared" si="25"/>
        <v>2.9820997519102554E-2</v>
      </c>
      <c r="G32" s="3">
        <f t="shared" si="25"/>
        <v>2.9820997519102378E-2</v>
      </c>
      <c r="H32" s="3">
        <f t="shared" si="25"/>
        <v>2.9820997519100577E-2</v>
      </c>
      <c r="I32" s="3">
        <f t="shared" si="25"/>
        <v>2.9820997519082564E-2</v>
      </c>
      <c r="J32" s="3">
        <f t="shared" si="25"/>
        <v>2.9820997518902485E-2</v>
      </c>
      <c r="K32" s="3">
        <f t="shared" si="25"/>
        <v>2.9820997517101655E-2</v>
      </c>
      <c r="L32" s="3">
        <f t="shared" si="25"/>
        <v>2.9820997499093373E-2</v>
      </c>
      <c r="M32" s="3">
        <f t="shared" si="25"/>
        <v>2.9820997319010563E-2</v>
      </c>
      <c r="N32" s="3">
        <f t="shared" si="25"/>
        <v>2.9820995518182486E-2</v>
      </c>
      <c r="O32" s="3">
        <f t="shared" si="25"/>
        <v>2.9820977509907719E-2</v>
      </c>
      <c r="P32" s="3">
        <f t="shared" si="25"/>
        <v>2.9820797427758158E-2</v>
      </c>
      <c r="Q32" s="3">
        <f t="shared" si="25"/>
        <v>2.9818996666072635E-2</v>
      </c>
      <c r="R32" s="3">
        <f t="shared" si="25"/>
        <v>2.9800995028887813E-2</v>
      </c>
      <c r="S32" s="3">
        <f t="shared" si="25"/>
        <v>2.9621575290165909E-2</v>
      </c>
      <c r="T32" s="3">
        <f t="shared" si="25"/>
        <v>2.7885729386124256E-2</v>
      </c>
      <c r="U32" s="3">
        <f t="shared" si="25"/>
        <v>1.5244759783436014E-2</v>
      </c>
      <c r="V32" s="3">
        <f t="shared" si="26"/>
        <v>3.6350162352006787E-5</v>
      </c>
      <c r="W32" s="3">
        <f t="shared" si="26"/>
        <v>2.1595539077145292E-31</v>
      </c>
      <c r="X32" s="3">
        <f t="shared" si="26"/>
        <v>1.1828808370349106E-293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5.6905577495954519E-2</v>
      </c>
      <c r="C33" s="18">
        <f t="shared" si="3"/>
        <v>3.5099038806424399E-2</v>
      </c>
      <c r="D33" s="17"/>
      <c r="F33" s="3">
        <f t="shared" si="25"/>
        <v>3.5099038806424392E-2</v>
      </c>
      <c r="G33" s="3">
        <f t="shared" si="25"/>
        <v>3.5099038806424378E-2</v>
      </c>
      <c r="H33" s="3">
        <f t="shared" si="25"/>
        <v>3.5099038806424183E-2</v>
      </c>
      <c r="I33" s="3">
        <f t="shared" si="25"/>
        <v>3.5099038806422275E-2</v>
      </c>
      <c r="J33" s="3">
        <f t="shared" si="25"/>
        <v>3.5099038806403152E-2</v>
      </c>
      <c r="K33" s="3">
        <f t="shared" si="25"/>
        <v>3.509903880621195E-2</v>
      </c>
      <c r="L33" s="3">
        <f t="shared" si="25"/>
        <v>3.5099038804299931E-2</v>
      </c>
      <c r="M33" s="3">
        <f t="shared" si="25"/>
        <v>3.5099038785179754E-2</v>
      </c>
      <c r="N33" s="3">
        <f t="shared" si="25"/>
        <v>3.5099038593977984E-2</v>
      </c>
      <c r="O33" s="3">
        <f t="shared" si="25"/>
        <v>3.5099036681960315E-2</v>
      </c>
      <c r="P33" s="3">
        <f t="shared" si="25"/>
        <v>3.509901756178932E-2</v>
      </c>
      <c r="Q33" s="3">
        <f t="shared" si="25"/>
        <v>3.5098826360652272E-2</v>
      </c>
      <c r="R33" s="3">
        <f t="shared" si="25"/>
        <v>3.509691440656685E-2</v>
      </c>
      <c r="S33" s="3">
        <f t="shared" si="25"/>
        <v>3.5077800593066824E-2</v>
      </c>
      <c r="T33" s="3">
        <f t="shared" si="25"/>
        <v>3.4887234040776149E-2</v>
      </c>
      <c r="U33" s="3">
        <f t="shared" ref="P33:AE48" si="27">$C33*EXP(-U$15/$A33)</f>
        <v>3.3037591317008799E-2</v>
      </c>
      <c r="V33" s="3">
        <f t="shared" si="27"/>
        <v>1.9161378729512051E-2</v>
      </c>
      <c r="W33" s="3">
        <f t="shared" si="27"/>
        <v>8.252975169756782E-5</v>
      </c>
      <c r="X33" s="3">
        <f t="shared" si="27"/>
        <v>1.8132111215525141E-28</v>
      </c>
      <c r="Y33" s="3">
        <f t="shared" si="27"/>
        <v>4.7514562129309082E-265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5.7274832179224106E-2</v>
      </c>
      <c r="C34" s="18">
        <f t="shared" si="3"/>
        <v>3.5326793009577064E-2</v>
      </c>
      <c r="D34" s="17"/>
      <c r="F34" s="3">
        <f t="shared" ref="F34:O48" si="28">$C34*EXP(-F$15/$A34)</f>
        <v>3.5326793009577064E-2</v>
      </c>
      <c r="G34" s="3">
        <f t="shared" si="28"/>
        <v>3.5326793009577064E-2</v>
      </c>
      <c r="H34" s="3">
        <f t="shared" si="28"/>
        <v>3.5326793009577043E-2</v>
      </c>
      <c r="I34" s="3">
        <f t="shared" si="28"/>
        <v>3.5326793009576869E-2</v>
      </c>
      <c r="J34" s="3">
        <f t="shared" si="28"/>
        <v>3.5326793009575135E-2</v>
      </c>
      <c r="K34" s="3">
        <f t="shared" si="28"/>
        <v>3.5326793009557773E-2</v>
      </c>
      <c r="L34" s="3">
        <f t="shared" si="28"/>
        <v>3.5326793009384176E-2</v>
      </c>
      <c r="M34" s="3">
        <f t="shared" si="28"/>
        <v>3.5326793007648183E-2</v>
      </c>
      <c r="N34" s="3">
        <f t="shared" si="28"/>
        <v>3.5326792990288271E-2</v>
      </c>
      <c r="O34" s="3">
        <f t="shared" si="28"/>
        <v>3.5326792816689163E-2</v>
      </c>
      <c r="P34" s="3">
        <f t="shared" si="27"/>
        <v>3.5326791080698104E-2</v>
      </c>
      <c r="Q34" s="3">
        <f t="shared" si="27"/>
        <v>3.5326773720792182E-2</v>
      </c>
      <c r="R34" s="3">
        <f t="shared" si="27"/>
        <v>3.5326600122202186E-2</v>
      </c>
      <c r="S34" s="3">
        <f t="shared" si="27"/>
        <v>3.5324864183220811E-2</v>
      </c>
      <c r="T34" s="3">
        <f t="shared" si="27"/>
        <v>3.5307509484410311E-2</v>
      </c>
      <c r="U34" s="3">
        <f t="shared" si="27"/>
        <v>3.5134430744828388E-2</v>
      </c>
      <c r="V34" s="3">
        <f t="shared" si="27"/>
        <v>3.3449627900362537E-2</v>
      </c>
      <c r="W34" s="3">
        <f t="shared" si="27"/>
        <v>2.0463267738922326E-2</v>
      </c>
      <c r="X34" s="3">
        <f t="shared" si="27"/>
        <v>1.5024912184426542E-4</v>
      </c>
      <c r="Y34" s="3">
        <f t="shared" si="27"/>
        <v>6.8419752791776812E-26</v>
      </c>
      <c r="Z34" s="3">
        <f t="shared" si="27"/>
        <v>2.6234759296319632E-239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6.3710292745918357E-2</v>
      </c>
      <c r="C35" s="18">
        <f t="shared" si="3"/>
        <v>3.9296148740720876E-2</v>
      </c>
      <c r="D35" s="17"/>
      <c r="F35" s="3">
        <f t="shared" si="28"/>
        <v>3.9296148740720876E-2</v>
      </c>
      <c r="G35" s="3">
        <f t="shared" si="28"/>
        <v>3.9296148740720876E-2</v>
      </c>
      <c r="H35" s="3">
        <f t="shared" si="28"/>
        <v>3.9296148740720876E-2</v>
      </c>
      <c r="I35" s="3">
        <f t="shared" si="28"/>
        <v>3.9296148740720856E-2</v>
      </c>
      <c r="J35" s="3">
        <f t="shared" si="28"/>
        <v>3.9296148740720682E-2</v>
      </c>
      <c r="K35" s="3">
        <f t="shared" si="28"/>
        <v>3.9296148740718941E-2</v>
      </c>
      <c r="L35" s="3">
        <f t="shared" si="28"/>
        <v>3.9296148740701524E-2</v>
      </c>
      <c r="M35" s="3">
        <f t="shared" si="28"/>
        <v>3.9296148740527323E-2</v>
      </c>
      <c r="N35" s="3">
        <f t="shared" si="28"/>
        <v>3.9296148738785355E-2</v>
      </c>
      <c r="O35" s="3">
        <f t="shared" si="28"/>
        <v>3.9296148721365692E-2</v>
      </c>
      <c r="P35" s="3">
        <f t="shared" si="27"/>
        <v>3.9296148547169014E-2</v>
      </c>
      <c r="Q35" s="3">
        <f t="shared" si="27"/>
        <v>3.9296146805202298E-2</v>
      </c>
      <c r="R35" s="3">
        <f t="shared" si="27"/>
        <v>3.9296129385539405E-2</v>
      </c>
      <c r="S35" s="3">
        <f t="shared" si="27"/>
        <v>3.9295955189335201E-2</v>
      </c>
      <c r="T35" s="3">
        <f t="shared" si="27"/>
        <v>3.929421326976331E-2</v>
      </c>
      <c r="U35" s="3">
        <f t="shared" si="27"/>
        <v>3.9276798320369968E-2</v>
      </c>
      <c r="V35" s="3">
        <f t="shared" si="27"/>
        <v>3.910307276333997E-2</v>
      </c>
      <c r="W35" s="3">
        <f t="shared" si="27"/>
        <v>3.7407523718274403E-2</v>
      </c>
      <c r="X35" s="3">
        <f t="shared" si="27"/>
        <v>2.4012628329995275E-2</v>
      </c>
      <c r="Y35" s="3">
        <f t="shared" si="27"/>
        <v>2.852640789053758E-4</v>
      </c>
      <c r="Z35" s="3">
        <f t="shared" si="27"/>
        <v>1.5970590596092079E-23</v>
      </c>
      <c r="AA35" s="3">
        <f t="shared" si="27"/>
        <v>4.8312539526248592E-216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5.9941712863069416E-2</v>
      </c>
      <c r="C36" s="18">
        <f t="shared" si="3"/>
        <v>3.6971709953281653E-2</v>
      </c>
      <c r="D36" s="17"/>
      <c r="F36" s="3">
        <f t="shared" si="28"/>
        <v>3.6971709953281653E-2</v>
      </c>
      <c r="G36" s="3">
        <f t="shared" si="28"/>
        <v>3.6971709953281653E-2</v>
      </c>
      <c r="H36" s="3">
        <f t="shared" si="28"/>
        <v>3.6971709953281653E-2</v>
      </c>
      <c r="I36" s="3">
        <f t="shared" si="28"/>
        <v>3.6971709953281653E-2</v>
      </c>
      <c r="J36" s="3">
        <f t="shared" si="28"/>
        <v>3.697170995328164E-2</v>
      </c>
      <c r="K36" s="3">
        <f t="shared" si="28"/>
        <v>3.6971709953281487E-2</v>
      </c>
      <c r="L36" s="3">
        <f t="shared" si="28"/>
        <v>3.6971709953280009E-2</v>
      </c>
      <c r="M36" s="3">
        <f t="shared" si="28"/>
        <v>3.6971709953265229E-2</v>
      </c>
      <c r="N36" s="3">
        <f t="shared" si="28"/>
        <v>3.6971709953117382E-2</v>
      </c>
      <c r="O36" s="3">
        <f t="shared" si="28"/>
        <v>3.6971709951638933E-2</v>
      </c>
      <c r="P36" s="3">
        <f t="shared" si="27"/>
        <v>3.6971709936854454E-2</v>
      </c>
      <c r="Q36" s="3">
        <f t="shared" si="27"/>
        <v>3.6971709789009675E-2</v>
      </c>
      <c r="R36" s="3">
        <f t="shared" si="27"/>
        <v>3.6971708310561881E-2</v>
      </c>
      <c r="S36" s="3">
        <f t="shared" si="27"/>
        <v>3.6971693526087236E-2</v>
      </c>
      <c r="T36" s="3">
        <f t="shared" si="27"/>
        <v>3.6971545681665892E-2</v>
      </c>
      <c r="U36" s="3">
        <f t="shared" si="27"/>
        <v>3.6970067269968564E-2</v>
      </c>
      <c r="V36" s="3">
        <f t="shared" si="27"/>
        <v>3.6955286404120991E-2</v>
      </c>
      <c r="W36" s="3">
        <f t="shared" si="27"/>
        <v>3.6807802377701378E-2</v>
      </c>
      <c r="X36" s="3">
        <f t="shared" si="27"/>
        <v>3.5364950094696153E-2</v>
      </c>
      <c r="Y36" s="3">
        <f t="shared" si="27"/>
        <v>2.3708531786792442E-2</v>
      </c>
      <c r="Z36" s="3">
        <f t="shared" si="27"/>
        <v>4.3473115415908203E-4</v>
      </c>
      <c r="AA36" s="3">
        <f t="shared" si="27"/>
        <v>1.8680212231223342E-21</v>
      </c>
      <c r="AB36" s="3">
        <f t="shared" si="27"/>
        <v>4.0085954113873691E-195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7.5287341772998714E-2</v>
      </c>
      <c r="C37" s="18">
        <f t="shared" si="3"/>
        <v>4.6436807195408533E-2</v>
      </c>
      <c r="D37" s="17"/>
      <c r="F37" s="3">
        <f t="shared" si="28"/>
        <v>4.6436807195408533E-2</v>
      </c>
      <c r="G37" s="3">
        <f t="shared" si="28"/>
        <v>4.6436807195408533E-2</v>
      </c>
      <c r="H37" s="3">
        <f t="shared" si="28"/>
        <v>4.6436807195408533E-2</v>
      </c>
      <c r="I37" s="3">
        <f t="shared" si="28"/>
        <v>4.6436807195408533E-2</v>
      </c>
      <c r="J37" s="3">
        <f t="shared" si="28"/>
        <v>4.6436807195408533E-2</v>
      </c>
      <c r="K37" s="3">
        <f t="shared" si="28"/>
        <v>4.6436807195408512E-2</v>
      </c>
      <c r="L37" s="3">
        <f t="shared" si="28"/>
        <v>4.6436807195408346E-2</v>
      </c>
      <c r="M37" s="3">
        <f t="shared" si="28"/>
        <v>4.6436807195406674E-2</v>
      </c>
      <c r="N37" s="3">
        <f t="shared" si="28"/>
        <v>4.6436807195389923E-2</v>
      </c>
      <c r="O37" s="3">
        <f t="shared" si="28"/>
        <v>4.6436807195222411E-2</v>
      </c>
      <c r="P37" s="3">
        <f t="shared" si="27"/>
        <v>4.6436807193547293E-2</v>
      </c>
      <c r="Q37" s="3">
        <f t="shared" si="27"/>
        <v>4.6436807176796109E-2</v>
      </c>
      <c r="R37" s="3">
        <f t="shared" si="27"/>
        <v>4.6436807009284313E-2</v>
      </c>
      <c r="S37" s="3">
        <f t="shared" si="27"/>
        <v>4.6436805334166331E-2</v>
      </c>
      <c r="T37" s="3">
        <f t="shared" si="27"/>
        <v>4.6436788582989906E-2</v>
      </c>
      <c r="U37" s="3">
        <f t="shared" si="27"/>
        <v>4.6436621071557965E-2</v>
      </c>
      <c r="V37" s="3">
        <f t="shared" si="27"/>
        <v>4.6434945990472688E-2</v>
      </c>
      <c r="W37" s="3">
        <f t="shared" si="27"/>
        <v>4.6418198502592468E-2</v>
      </c>
      <c r="X37" s="3">
        <f t="shared" si="27"/>
        <v>4.6251055477952163E-2</v>
      </c>
      <c r="Y37" s="3">
        <f t="shared" si="27"/>
        <v>4.4612371962172874E-2</v>
      </c>
      <c r="Z37" s="3">
        <f t="shared" si="27"/>
        <v>3.1102262275468293E-2</v>
      </c>
      <c r="AA37" s="3">
        <f t="shared" si="27"/>
        <v>8.4364284409189005E-4</v>
      </c>
      <c r="AB37" s="3">
        <f t="shared" si="27"/>
        <v>1.8189681936065137E-19</v>
      </c>
      <c r="AC37" s="3">
        <f t="shared" si="27"/>
        <v>3.9490250144438094E-176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3.6770956183395147E-2</v>
      </c>
      <c r="C38" s="18">
        <f t="shared" si="3"/>
        <v>2.268011809777468E-2</v>
      </c>
      <c r="D38" s="17"/>
      <c r="F38" s="3">
        <f t="shared" si="28"/>
        <v>2.268011809777468E-2</v>
      </c>
      <c r="G38" s="3">
        <f t="shared" si="28"/>
        <v>2.268011809777468E-2</v>
      </c>
      <c r="H38" s="3">
        <f t="shared" si="28"/>
        <v>2.268011809777468E-2</v>
      </c>
      <c r="I38" s="3">
        <f t="shared" si="28"/>
        <v>2.268011809777468E-2</v>
      </c>
      <c r="J38" s="3">
        <f t="shared" si="28"/>
        <v>2.268011809777468E-2</v>
      </c>
      <c r="K38" s="3">
        <f t="shared" si="28"/>
        <v>2.268011809777468E-2</v>
      </c>
      <c r="L38" s="3">
        <f t="shared" si="28"/>
        <v>2.2680118097774673E-2</v>
      </c>
      <c r="M38" s="3">
        <f t="shared" si="28"/>
        <v>2.2680118097774597E-2</v>
      </c>
      <c r="N38" s="3">
        <f t="shared" si="28"/>
        <v>2.2680118097773858E-2</v>
      </c>
      <c r="O38" s="3">
        <f t="shared" si="28"/>
        <v>2.2680118097766478E-2</v>
      </c>
      <c r="P38" s="3">
        <f t="shared" si="27"/>
        <v>2.2680118097692676E-2</v>
      </c>
      <c r="Q38" s="3">
        <f t="shared" si="27"/>
        <v>2.2680118096954645E-2</v>
      </c>
      <c r="R38" s="3">
        <f t="shared" si="27"/>
        <v>2.2680118089574326E-2</v>
      </c>
      <c r="S38" s="3">
        <f t="shared" si="27"/>
        <v>2.2680118015771168E-2</v>
      </c>
      <c r="T38" s="3">
        <f t="shared" si="27"/>
        <v>2.2680117277739581E-2</v>
      </c>
      <c r="U38" s="3">
        <f t="shared" si="27"/>
        <v>2.2680109897425013E-2</v>
      </c>
      <c r="V38" s="3">
        <f t="shared" si="27"/>
        <v>2.2680036094411424E-2</v>
      </c>
      <c r="W38" s="3">
        <f t="shared" si="27"/>
        <v>2.2679298077484287E-2</v>
      </c>
      <c r="X38" s="3">
        <f t="shared" si="27"/>
        <v>2.2671919228928188E-2</v>
      </c>
      <c r="Y38" s="3">
        <f t="shared" si="27"/>
        <v>2.2598262656016336E-2</v>
      </c>
      <c r="Z38" s="3">
        <f t="shared" si="27"/>
        <v>2.1874730740165296E-2</v>
      </c>
      <c r="AA38" s="3">
        <f t="shared" si="27"/>
        <v>1.5798627318120921E-2</v>
      </c>
      <c r="AB38" s="3">
        <f t="shared" si="27"/>
        <v>6.1007852705560923E-4</v>
      </c>
      <c r="AC38" s="3">
        <f t="shared" si="27"/>
        <v>4.4983121510806026E-18</v>
      </c>
      <c r="AD38" s="3">
        <f t="shared" si="27"/>
        <v>2.1364271398551591E-159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7.1817173903306997E-2</v>
      </c>
      <c r="C39" s="18">
        <f t="shared" si="3"/>
        <v>4.4296427252304087E-2</v>
      </c>
      <c r="D39" s="17"/>
      <c r="F39" s="3">
        <f t="shared" si="28"/>
        <v>4.4296427252304087E-2</v>
      </c>
      <c r="G39" s="3">
        <f t="shared" si="28"/>
        <v>4.4296427252304087E-2</v>
      </c>
      <c r="H39" s="3">
        <f t="shared" si="28"/>
        <v>4.4296427252304087E-2</v>
      </c>
      <c r="I39" s="3">
        <f t="shared" si="28"/>
        <v>4.4296427252304087E-2</v>
      </c>
      <c r="J39" s="3">
        <f t="shared" si="28"/>
        <v>4.4296427252304087E-2</v>
      </c>
      <c r="K39" s="3">
        <f t="shared" si="28"/>
        <v>4.4296427252304087E-2</v>
      </c>
      <c r="L39" s="3">
        <f t="shared" si="28"/>
        <v>4.429642725230408E-2</v>
      </c>
      <c r="M39" s="3">
        <f t="shared" si="28"/>
        <v>4.4296427252304045E-2</v>
      </c>
      <c r="N39" s="3">
        <f t="shared" si="28"/>
        <v>4.4296427252303643E-2</v>
      </c>
      <c r="O39" s="3">
        <f t="shared" si="28"/>
        <v>4.4296427252299653E-2</v>
      </c>
      <c r="P39" s="3">
        <f t="shared" si="27"/>
        <v>4.4296427252259789E-2</v>
      </c>
      <c r="Q39" s="3">
        <f t="shared" si="27"/>
        <v>4.4296427251861122E-2</v>
      </c>
      <c r="R39" s="3">
        <f t="shared" si="27"/>
        <v>4.4296427247874443E-2</v>
      </c>
      <c r="S39" s="3">
        <f t="shared" si="27"/>
        <v>4.4296427208007659E-2</v>
      </c>
      <c r="T39" s="3">
        <f t="shared" si="27"/>
        <v>4.4296426809339817E-2</v>
      </c>
      <c r="U39" s="3">
        <f t="shared" si="27"/>
        <v>4.4296422822661587E-2</v>
      </c>
      <c r="V39" s="3">
        <f t="shared" si="27"/>
        <v>4.429638295589898E-2</v>
      </c>
      <c r="W39" s="3">
        <f t="shared" si="27"/>
        <v>4.4295984290246379E-2</v>
      </c>
      <c r="X39" s="3">
        <f t="shared" si="27"/>
        <v>4.4291997831053607E-2</v>
      </c>
      <c r="Y39" s="3">
        <f t="shared" si="27"/>
        <v>4.4252152965884514E-2</v>
      </c>
      <c r="Z39" s="3">
        <f t="shared" si="27"/>
        <v>4.3855670436825783E-2</v>
      </c>
      <c r="AA39" s="3">
        <f t="shared" si="27"/>
        <v>4.0081064863192545E-2</v>
      </c>
      <c r="AB39" s="3">
        <f t="shared" si="27"/>
        <v>1.6295744903469075E-2</v>
      </c>
      <c r="AC39" s="3">
        <f t="shared" si="27"/>
        <v>2.0110546859836254E-6</v>
      </c>
      <c r="AD39" s="3">
        <f t="shared" si="27"/>
        <v>1.6478607484485109E-45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8.707298691289718E-2</v>
      </c>
      <c r="C40" s="18">
        <f t="shared" si="3"/>
        <v>5.3706126554366823E-2</v>
      </c>
      <c r="D40" s="17"/>
      <c r="F40" s="3">
        <f t="shared" si="28"/>
        <v>5.3706126554366823E-2</v>
      </c>
      <c r="G40" s="3">
        <f t="shared" si="28"/>
        <v>5.3706126554366823E-2</v>
      </c>
      <c r="H40" s="3">
        <f t="shared" si="28"/>
        <v>5.3706126554366823E-2</v>
      </c>
      <c r="I40" s="3">
        <f t="shared" si="28"/>
        <v>5.3706126554366823E-2</v>
      </c>
      <c r="J40" s="3">
        <f t="shared" si="28"/>
        <v>5.3706126554366823E-2</v>
      </c>
      <c r="K40" s="3">
        <f t="shared" si="28"/>
        <v>5.3706126554366823E-2</v>
      </c>
      <c r="L40" s="3">
        <f t="shared" si="28"/>
        <v>5.3706126554366823E-2</v>
      </c>
      <c r="M40" s="3">
        <f t="shared" si="28"/>
        <v>5.3706126554366816E-2</v>
      </c>
      <c r="N40" s="3">
        <f t="shared" si="28"/>
        <v>5.3706126554366768E-2</v>
      </c>
      <c r="O40" s="3">
        <f t="shared" si="28"/>
        <v>5.3706126554366289E-2</v>
      </c>
      <c r="P40" s="3">
        <f t="shared" si="27"/>
        <v>5.3706126554361452E-2</v>
      </c>
      <c r="Q40" s="3">
        <f t="shared" si="27"/>
        <v>5.3706126554313116E-2</v>
      </c>
      <c r="R40" s="3">
        <f t="shared" si="27"/>
        <v>5.370612655382976E-2</v>
      </c>
      <c r="S40" s="3">
        <f t="shared" si="27"/>
        <v>5.3706126548996209E-2</v>
      </c>
      <c r="T40" s="3">
        <f t="shared" si="27"/>
        <v>5.37061265006607E-2</v>
      </c>
      <c r="U40" s="3">
        <f t="shared" si="27"/>
        <v>5.370612601730556E-2</v>
      </c>
      <c r="V40" s="3">
        <f t="shared" si="27"/>
        <v>5.3706121183754438E-2</v>
      </c>
      <c r="W40" s="3">
        <f t="shared" si="27"/>
        <v>5.3706072848267124E-2</v>
      </c>
      <c r="X40" s="3">
        <f t="shared" si="27"/>
        <v>5.3705589495786576E-2</v>
      </c>
      <c r="Y40" s="3">
        <f t="shared" si="27"/>
        <v>5.3700756210233069E-2</v>
      </c>
      <c r="Z40" s="3">
        <f t="shared" si="27"/>
        <v>5.3652447271926952E-2</v>
      </c>
      <c r="AA40" s="3">
        <f t="shared" si="27"/>
        <v>5.3171741666462657E-2</v>
      </c>
      <c r="AB40" s="3">
        <f t="shared" si="27"/>
        <v>4.8595312884165756E-2</v>
      </c>
      <c r="AC40" s="3">
        <f t="shared" si="27"/>
        <v>1.9757379824303228E-2</v>
      </c>
      <c r="AD40" s="3">
        <f t="shared" si="27"/>
        <v>2.4382543733833764E-6</v>
      </c>
      <c r="AE40" s="3">
        <f t="shared" si="27"/>
        <v>1.9979087116003469E-45</v>
      </c>
      <c r="AF40" s="3">
        <f t="shared" si="29"/>
        <v>0</v>
      </c>
      <c r="AG40" s="3">
        <f t="shared" si="29"/>
        <v>0</v>
      </c>
      <c r="AH40" s="3">
        <f t="shared" si="29"/>
        <v>0</v>
      </c>
      <c r="AI40" s="3">
        <f t="shared" si="29"/>
        <v>0</v>
      </c>
      <c r="AJ40" s="3">
        <f t="shared" si="29"/>
        <v>0</v>
      </c>
    </row>
    <row r="41" spans="1:36" x14ac:dyDescent="0.25">
      <c r="A41" s="3">
        <f t="shared" si="30"/>
        <v>1000000000</v>
      </c>
      <c r="B41" s="106">
        <v>9.4015133134823306E-2</v>
      </c>
      <c r="C41" s="18">
        <f t="shared" si="3"/>
        <v>5.7988003135982742E-2</v>
      </c>
      <c r="D41" s="17"/>
      <c r="F41" s="3">
        <f t="shared" si="28"/>
        <v>5.7988003135982742E-2</v>
      </c>
      <c r="G41" s="3">
        <f t="shared" si="28"/>
        <v>5.7988003135982742E-2</v>
      </c>
      <c r="H41" s="3">
        <f t="shared" si="28"/>
        <v>5.7988003135982742E-2</v>
      </c>
      <c r="I41" s="3">
        <f t="shared" si="28"/>
        <v>5.7988003135982742E-2</v>
      </c>
      <c r="J41" s="3">
        <f t="shared" si="28"/>
        <v>5.7988003135982742E-2</v>
      </c>
      <c r="K41" s="3">
        <f t="shared" si="28"/>
        <v>5.7988003135982742E-2</v>
      </c>
      <c r="L41" s="3">
        <f t="shared" si="28"/>
        <v>5.7988003135982742E-2</v>
      </c>
      <c r="M41" s="3">
        <f t="shared" si="28"/>
        <v>5.7988003135982742E-2</v>
      </c>
      <c r="N41" s="3">
        <f t="shared" si="28"/>
        <v>5.7988003135982735E-2</v>
      </c>
      <c r="O41" s="3">
        <f t="shared" si="28"/>
        <v>5.7988003135982687E-2</v>
      </c>
      <c r="P41" s="3">
        <f t="shared" si="27"/>
        <v>5.7988003135982159E-2</v>
      </c>
      <c r="Q41" s="3">
        <f t="shared" si="27"/>
        <v>5.7988003135976941E-2</v>
      </c>
      <c r="R41" s="3">
        <f t="shared" si="27"/>
        <v>5.7988003135924754E-2</v>
      </c>
      <c r="S41" s="3">
        <f t="shared" si="27"/>
        <v>5.7988003135402859E-2</v>
      </c>
      <c r="T41" s="3">
        <f t="shared" si="27"/>
        <v>5.7988003130183943E-2</v>
      </c>
      <c r="U41" s="3">
        <f t="shared" si="27"/>
        <v>5.7988003077994739E-2</v>
      </c>
      <c r="V41" s="3">
        <f t="shared" si="27"/>
        <v>5.7988002556102716E-2</v>
      </c>
      <c r="W41" s="3">
        <f t="shared" si="27"/>
        <v>5.7987997337182719E-2</v>
      </c>
      <c r="X41" s="3">
        <f t="shared" si="27"/>
        <v>5.7987945148008604E-2</v>
      </c>
      <c r="Y41" s="3">
        <f t="shared" si="27"/>
        <v>5.798742325885077E-2</v>
      </c>
      <c r="Z41" s="3">
        <f t="shared" si="27"/>
        <v>5.7982204625599498E-2</v>
      </c>
      <c r="AA41" s="3">
        <f t="shared" si="27"/>
        <v>5.793004411718608E-2</v>
      </c>
      <c r="AB41" s="3">
        <f t="shared" si="27"/>
        <v>5.7411012864225952E-2</v>
      </c>
      <c r="AC41" s="3">
        <f t="shared" si="27"/>
        <v>5.2469715034623748E-2</v>
      </c>
      <c r="AD41" s="3">
        <f t="shared" si="27"/>
        <v>2.1332594188313177E-2</v>
      </c>
      <c r="AE41" s="3">
        <f t="shared" si="27"/>
        <v>2.6326512694403681E-6</v>
      </c>
      <c r="AF41" s="3">
        <f t="shared" si="29"/>
        <v>2.157197773635903E-45</v>
      </c>
      <c r="AG41" s="3">
        <f t="shared" si="29"/>
        <v>0</v>
      </c>
      <c r="AH41" s="3">
        <f t="shared" si="29"/>
        <v>0</v>
      </c>
      <c r="AI41" s="3">
        <f t="shared" si="29"/>
        <v>0</v>
      </c>
      <c r="AJ41" s="3">
        <f t="shared" si="29"/>
        <v>0</v>
      </c>
    </row>
    <row r="42" spans="1:36" x14ac:dyDescent="0.25">
      <c r="A42" s="3">
        <f t="shared" si="30"/>
        <v>10000000000</v>
      </c>
      <c r="B42" s="106">
        <v>8.7042568868451853E-2</v>
      </c>
      <c r="C42" s="18">
        <f t="shared" si="3"/>
        <v>5.3687364876348918E-2</v>
      </c>
      <c r="D42" s="17"/>
      <c r="F42" s="3">
        <f t="shared" si="28"/>
        <v>5.3687364876348918E-2</v>
      </c>
      <c r="G42" s="3">
        <f t="shared" si="28"/>
        <v>5.3687364876348918E-2</v>
      </c>
      <c r="H42" s="3">
        <f t="shared" si="28"/>
        <v>5.3687364876348918E-2</v>
      </c>
      <c r="I42" s="3">
        <f t="shared" si="28"/>
        <v>5.3687364876348918E-2</v>
      </c>
      <c r="J42" s="3">
        <f t="shared" si="28"/>
        <v>5.3687364876348918E-2</v>
      </c>
      <c r="K42" s="3">
        <f t="shared" si="28"/>
        <v>5.3687364876348918E-2</v>
      </c>
      <c r="L42" s="3">
        <f t="shared" si="28"/>
        <v>5.3687364876348918E-2</v>
      </c>
      <c r="M42" s="3">
        <f t="shared" si="28"/>
        <v>5.3687364876348918E-2</v>
      </c>
      <c r="N42" s="3">
        <f t="shared" si="28"/>
        <v>5.3687364876348918E-2</v>
      </c>
      <c r="O42" s="3">
        <f t="shared" si="28"/>
        <v>5.3687364876348911E-2</v>
      </c>
      <c r="P42" s="3">
        <f t="shared" si="27"/>
        <v>5.3687364876348863E-2</v>
      </c>
      <c r="Q42" s="3">
        <f t="shared" si="27"/>
        <v>5.3687364876348384E-2</v>
      </c>
      <c r="R42" s="3">
        <f t="shared" si="27"/>
        <v>5.3687364876343548E-2</v>
      </c>
      <c r="S42" s="3">
        <f t="shared" si="27"/>
        <v>5.3687364876295232E-2</v>
      </c>
      <c r="T42" s="3">
        <f t="shared" si="27"/>
        <v>5.3687364875812042E-2</v>
      </c>
      <c r="U42" s="3">
        <f t="shared" si="27"/>
        <v>5.3687364870980178E-2</v>
      </c>
      <c r="V42" s="3">
        <f t="shared" si="27"/>
        <v>5.3687364822661558E-2</v>
      </c>
      <c r="W42" s="3">
        <f t="shared" si="27"/>
        <v>5.3687364339475276E-2</v>
      </c>
      <c r="X42" s="3">
        <f t="shared" si="27"/>
        <v>5.3687359507612699E-2</v>
      </c>
      <c r="Y42" s="3">
        <f t="shared" si="27"/>
        <v>5.3687311189010885E-2</v>
      </c>
      <c r="Z42" s="3">
        <f t="shared" si="27"/>
        <v>5.3686828005384511E-2</v>
      </c>
      <c r="AA42" s="3">
        <f t="shared" si="27"/>
        <v>5.3681996408289162E-2</v>
      </c>
      <c r="AB42" s="3">
        <f t="shared" si="27"/>
        <v>5.363370434620935E-2</v>
      </c>
      <c r="AC42" s="3">
        <f t="shared" si="27"/>
        <v>5.3153166670260175E-2</v>
      </c>
      <c r="AD42" s="3">
        <f t="shared" si="27"/>
        <v>4.8578336615870014E-2</v>
      </c>
      <c r="AE42" s="3">
        <f t="shared" si="27"/>
        <v>1.9750477788678562E-2</v>
      </c>
      <c r="AF42" s="3">
        <f t="shared" si="29"/>
        <v>2.4374025945191372E-6</v>
      </c>
      <c r="AG42" s="3">
        <f t="shared" si="29"/>
        <v>1.9972107629237044E-45</v>
      </c>
      <c r="AH42" s="3">
        <f t="shared" si="29"/>
        <v>0</v>
      </c>
      <c r="AI42" s="3">
        <f t="shared" si="29"/>
        <v>0</v>
      </c>
      <c r="AJ42" s="3">
        <f t="shared" si="29"/>
        <v>0</v>
      </c>
    </row>
    <row r="43" spans="1:36" x14ac:dyDescent="0.25">
      <c r="A43" s="3">
        <f t="shared" si="30"/>
        <v>100000000000</v>
      </c>
      <c r="B43" s="106">
        <v>6.1190003968135204E-2</v>
      </c>
      <c r="C43" s="18">
        <f t="shared" si="3"/>
        <v>3.7741648856749126E-2</v>
      </c>
      <c r="D43" s="17"/>
      <c r="F43" s="3">
        <f t="shared" si="28"/>
        <v>3.7741648856749126E-2</v>
      </c>
      <c r="G43" s="3">
        <f t="shared" si="28"/>
        <v>3.7741648856749126E-2</v>
      </c>
      <c r="H43" s="3">
        <f t="shared" si="28"/>
        <v>3.7741648856749126E-2</v>
      </c>
      <c r="I43" s="3">
        <f t="shared" si="28"/>
        <v>3.7741648856749126E-2</v>
      </c>
      <c r="J43" s="3">
        <f t="shared" si="28"/>
        <v>3.7741648856749126E-2</v>
      </c>
      <c r="K43" s="3">
        <f t="shared" si="28"/>
        <v>3.7741648856749126E-2</v>
      </c>
      <c r="L43" s="3">
        <f t="shared" si="28"/>
        <v>3.7741648856749126E-2</v>
      </c>
      <c r="M43" s="3">
        <f t="shared" si="28"/>
        <v>3.7741648856749126E-2</v>
      </c>
      <c r="N43" s="3">
        <f t="shared" si="28"/>
        <v>3.7741648856749126E-2</v>
      </c>
      <c r="O43" s="3">
        <f t="shared" si="28"/>
        <v>3.7741648856749126E-2</v>
      </c>
      <c r="P43" s="3">
        <f t="shared" si="27"/>
        <v>3.7741648856749119E-2</v>
      </c>
      <c r="Q43" s="3">
        <f t="shared" si="27"/>
        <v>3.7741648856749091E-2</v>
      </c>
      <c r="R43" s="3">
        <f t="shared" si="27"/>
        <v>3.7741648856748751E-2</v>
      </c>
      <c r="S43" s="3">
        <f t="shared" si="27"/>
        <v>3.7741648856745351E-2</v>
      </c>
      <c r="T43" s="3">
        <f t="shared" si="27"/>
        <v>3.7741648856711385E-2</v>
      </c>
      <c r="U43" s="3">
        <f t="shared" si="27"/>
        <v>3.7741648856371712E-2</v>
      </c>
      <c r="V43" s="3">
        <f t="shared" si="27"/>
        <v>3.7741648852974957E-2</v>
      </c>
      <c r="W43" s="3">
        <f t="shared" si="27"/>
        <v>3.7741648819007476E-2</v>
      </c>
      <c r="X43" s="3">
        <f t="shared" si="27"/>
        <v>3.7741648479332639E-2</v>
      </c>
      <c r="Y43" s="3">
        <f t="shared" si="27"/>
        <v>3.774164508258443E-2</v>
      </c>
      <c r="Z43" s="3">
        <f t="shared" si="27"/>
        <v>3.7741611115119138E-2</v>
      </c>
      <c r="AA43" s="3">
        <f t="shared" si="27"/>
        <v>3.7741271442147631E-2</v>
      </c>
      <c r="AB43" s="3">
        <f t="shared" si="27"/>
        <v>3.7737874880565403E-2</v>
      </c>
      <c r="AC43" s="3">
        <f t="shared" si="27"/>
        <v>3.7703926072428104E-2</v>
      </c>
      <c r="AD43" s="3">
        <f t="shared" si="27"/>
        <v>3.736611317604395E-2</v>
      </c>
      <c r="AE43" s="3">
        <f t="shared" si="27"/>
        <v>3.4150056103960699E-2</v>
      </c>
      <c r="AF43" s="3">
        <f t="shared" si="29"/>
        <v>1.3884376690309674E-2</v>
      </c>
      <c r="AG43" s="3">
        <f t="shared" si="29"/>
        <v>1.7134682072167771E-6</v>
      </c>
      <c r="AH43" s="3">
        <f t="shared" si="29"/>
        <v>1.4040180120740669E-45</v>
      </c>
      <c r="AI43" s="3">
        <f t="shared" si="29"/>
        <v>0</v>
      </c>
      <c r="AJ43" s="3">
        <f t="shared" si="29"/>
        <v>0</v>
      </c>
    </row>
    <row r="44" spans="1:36" x14ac:dyDescent="0.25">
      <c r="A44" s="3">
        <f t="shared" si="30"/>
        <v>1000000000000</v>
      </c>
      <c r="B44" s="106">
        <v>3.7256871440869005E-2</v>
      </c>
      <c r="C44" s="18">
        <f t="shared" si="3"/>
        <v>2.2979827884217336E-2</v>
      </c>
      <c r="D44" s="17"/>
      <c r="F44" s="3">
        <f t="shared" si="28"/>
        <v>2.2979827884217336E-2</v>
      </c>
      <c r="G44" s="3">
        <f t="shared" si="28"/>
        <v>2.2979827884217336E-2</v>
      </c>
      <c r="H44" s="3">
        <f t="shared" si="28"/>
        <v>2.2979827884217336E-2</v>
      </c>
      <c r="I44" s="3">
        <f t="shared" si="28"/>
        <v>2.2979827884217336E-2</v>
      </c>
      <c r="J44" s="3">
        <f t="shared" si="28"/>
        <v>2.2979827884217336E-2</v>
      </c>
      <c r="K44" s="3">
        <f t="shared" si="28"/>
        <v>2.2979827884217336E-2</v>
      </c>
      <c r="L44" s="3">
        <f t="shared" si="28"/>
        <v>2.2979827884217336E-2</v>
      </c>
      <c r="M44" s="3">
        <f t="shared" si="28"/>
        <v>2.2979827884217336E-2</v>
      </c>
      <c r="N44" s="3">
        <f t="shared" si="28"/>
        <v>2.2979827884217336E-2</v>
      </c>
      <c r="O44" s="3">
        <f t="shared" si="28"/>
        <v>2.2979827884217336E-2</v>
      </c>
      <c r="P44" s="3">
        <f t="shared" si="27"/>
        <v>2.2979827884217336E-2</v>
      </c>
      <c r="Q44" s="3">
        <f t="shared" si="27"/>
        <v>2.2979827884217333E-2</v>
      </c>
      <c r="R44" s="3">
        <f t="shared" si="27"/>
        <v>2.2979827884217312E-2</v>
      </c>
      <c r="S44" s="3">
        <f t="shared" si="27"/>
        <v>2.2979827884217107E-2</v>
      </c>
      <c r="T44" s="3">
        <f t="shared" si="27"/>
        <v>2.2979827884215036E-2</v>
      </c>
      <c r="U44" s="3">
        <f t="shared" si="27"/>
        <v>2.2979827884194358E-2</v>
      </c>
      <c r="V44" s="3">
        <f t="shared" si="27"/>
        <v>2.2979827883987537E-2</v>
      </c>
      <c r="W44" s="3">
        <f t="shared" si="27"/>
        <v>2.2979827881919355E-2</v>
      </c>
      <c r="X44" s="3">
        <f t="shared" si="27"/>
        <v>2.297982786123751E-2</v>
      </c>
      <c r="Y44" s="3">
        <f t="shared" si="27"/>
        <v>2.2979827654419058E-2</v>
      </c>
      <c r="Z44" s="3">
        <f t="shared" si="27"/>
        <v>2.2979825586234664E-2</v>
      </c>
      <c r="AA44" s="3">
        <f t="shared" si="27"/>
        <v>2.2979804904400943E-2</v>
      </c>
      <c r="AB44" s="3">
        <f t="shared" si="27"/>
        <v>2.297959808708748E-2</v>
      </c>
      <c r="AC44" s="3">
        <f t="shared" si="27"/>
        <v>2.2977530016324223E-2</v>
      </c>
      <c r="AD44" s="3">
        <f t="shared" si="27"/>
        <v>2.2956859542418048E-2</v>
      </c>
      <c r="AE44" s="3">
        <f t="shared" si="27"/>
        <v>2.2751174776353873E-2</v>
      </c>
      <c r="AF44" s="3">
        <f t="shared" si="29"/>
        <v>2.079300812966596E-2</v>
      </c>
      <c r="AG44" s="3">
        <f t="shared" si="29"/>
        <v>8.4538062402618012E-3</v>
      </c>
      <c r="AH44" s="3">
        <f t="shared" si="29"/>
        <v>1.0432825718974579E-6</v>
      </c>
      <c r="AI44" s="3">
        <f t="shared" si="29"/>
        <v>8.548670564517063E-46</v>
      </c>
      <c r="AJ44" s="3">
        <f t="shared" si="29"/>
        <v>0</v>
      </c>
    </row>
    <row r="45" spans="1:36" x14ac:dyDescent="0.25">
      <c r="A45" s="3">
        <f t="shared" si="30"/>
        <v>10000000000000</v>
      </c>
      <c r="B45" s="106">
        <v>1.5255271295947177E-2</v>
      </c>
      <c r="C45" s="18">
        <f t="shared" si="3"/>
        <v>9.4093651761472351E-3</v>
      </c>
      <c r="D45" s="17"/>
      <c r="F45" s="3">
        <f t="shared" si="28"/>
        <v>9.4093651761472351E-3</v>
      </c>
      <c r="G45" s="3">
        <f t="shared" si="28"/>
        <v>9.4093651761472351E-3</v>
      </c>
      <c r="H45" s="3">
        <f t="shared" si="28"/>
        <v>9.4093651761472351E-3</v>
      </c>
      <c r="I45" s="3">
        <f t="shared" si="28"/>
        <v>9.4093651761472351E-3</v>
      </c>
      <c r="J45" s="3">
        <f t="shared" si="28"/>
        <v>9.4093651761472351E-3</v>
      </c>
      <c r="K45" s="3">
        <f t="shared" si="28"/>
        <v>9.4093651761472351E-3</v>
      </c>
      <c r="L45" s="3">
        <f t="shared" si="28"/>
        <v>9.4093651761472351E-3</v>
      </c>
      <c r="M45" s="3">
        <f t="shared" si="28"/>
        <v>9.4093651761472351E-3</v>
      </c>
      <c r="N45" s="3">
        <f t="shared" si="28"/>
        <v>9.4093651761472351E-3</v>
      </c>
      <c r="O45" s="3">
        <f t="shared" si="28"/>
        <v>9.4093651761472351E-3</v>
      </c>
      <c r="P45" s="3">
        <f t="shared" si="27"/>
        <v>9.4093651761472351E-3</v>
      </c>
      <c r="Q45" s="3">
        <f t="shared" si="27"/>
        <v>9.4093651761472351E-3</v>
      </c>
      <c r="R45" s="3">
        <f t="shared" si="27"/>
        <v>9.4093651761472333E-3</v>
      </c>
      <c r="S45" s="3">
        <f t="shared" si="27"/>
        <v>9.4093651761472264E-3</v>
      </c>
      <c r="T45" s="3">
        <f t="shared" si="27"/>
        <v>9.4093651761471414E-3</v>
      </c>
      <c r="U45" s="3">
        <f t="shared" si="27"/>
        <v>9.4093651761462931E-3</v>
      </c>
      <c r="V45" s="3">
        <f t="shared" si="27"/>
        <v>9.4093651761378259E-3</v>
      </c>
      <c r="W45" s="3">
        <f t="shared" si="27"/>
        <v>9.4093651760531419E-3</v>
      </c>
      <c r="X45" s="3">
        <f t="shared" si="27"/>
        <v>9.4093651752062985E-3</v>
      </c>
      <c r="Y45" s="3">
        <f t="shared" si="27"/>
        <v>9.4093651667378694E-3</v>
      </c>
      <c r="Z45" s="3">
        <f t="shared" si="27"/>
        <v>9.4093650820535838E-3</v>
      </c>
      <c r="AA45" s="3">
        <f t="shared" si="27"/>
        <v>9.4093642352107657E-3</v>
      </c>
      <c r="AB45" s="3">
        <f t="shared" si="27"/>
        <v>9.4093557667867637E-3</v>
      </c>
      <c r="AC45" s="3">
        <f t="shared" si="27"/>
        <v>9.40927108296594E-3</v>
      </c>
      <c r="AD45" s="3">
        <f t="shared" si="27"/>
        <v>9.4084242866748786E-3</v>
      </c>
      <c r="AE45" s="3">
        <f t="shared" si="27"/>
        <v>9.3999605140858405E-3</v>
      </c>
      <c r="AF45" s="3">
        <f t="shared" si="29"/>
        <v>9.3157404283297825E-3</v>
      </c>
      <c r="AG45" s="3">
        <f t="shared" si="29"/>
        <v>8.5139456913425355E-3</v>
      </c>
      <c r="AH45" s="3">
        <f t="shared" si="29"/>
        <v>3.4615120027790751E-3</v>
      </c>
      <c r="AI45" s="3">
        <f t="shared" si="29"/>
        <v>4.2718451810665539E-7</v>
      </c>
      <c r="AJ45" s="3">
        <f t="shared" si="29"/>
        <v>3.5003553341392394E-46</v>
      </c>
    </row>
    <row r="46" spans="1:36" x14ac:dyDescent="0.25">
      <c r="A46" s="3">
        <f t="shared" si="30"/>
        <v>100000000000000</v>
      </c>
      <c r="B46" s="106">
        <v>1.0166374102615727E-2</v>
      </c>
      <c r="C46" s="18">
        <f t="shared" si="3"/>
        <v>6.2705621285313361E-3</v>
      </c>
      <c r="D46" s="17"/>
      <c r="F46" s="3">
        <f t="shared" si="28"/>
        <v>6.2705621285313361E-3</v>
      </c>
      <c r="G46" s="3">
        <f t="shared" si="28"/>
        <v>6.2705621285313361E-3</v>
      </c>
      <c r="H46" s="3">
        <f t="shared" si="28"/>
        <v>6.2705621285313361E-3</v>
      </c>
      <c r="I46" s="3">
        <f t="shared" si="28"/>
        <v>6.2705621285313361E-3</v>
      </c>
      <c r="J46" s="3">
        <f t="shared" si="28"/>
        <v>6.2705621285313361E-3</v>
      </c>
      <c r="K46" s="3">
        <f t="shared" si="28"/>
        <v>6.2705621285313361E-3</v>
      </c>
      <c r="L46" s="3">
        <f t="shared" si="28"/>
        <v>6.2705621285313361E-3</v>
      </c>
      <c r="M46" s="3">
        <f t="shared" si="28"/>
        <v>6.2705621285313361E-3</v>
      </c>
      <c r="N46" s="3">
        <f t="shared" si="28"/>
        <v>6.2705621285313361E-3</v>
      </c>
      <c r="O46" s="3">
        <f t="shared" si="28"/>
        <v>6.2705621285313361E-3</v>
      </c>
      <c r="P46" s="3">
        <f t="shared" si="27"/>
        <v>6.2705621285313361E-3</v>
      </c>
      <c r="Q46" s="3">
        <f t="shared" si="27"/>
        <v>6.2705621285313361E-3</v>
      </c>
      <c r="R46" s="3">
        <f t="shared" si="27"/>
        <v>6.2705621285313361E-3</v>
      </c>
      <c r="S46" s="3">
        <f t="shared" si="27"/>
        <v>6.2705621285313352E-3</v>
      </c>
      <c r="T46" s="3">
        <f t="shared" si="27"/>
        <v>6.27056212853133E-3</v>
      </c>
      <c r="U46" s="3">
        <f t="shared" si="27"/>
        <v>6.2705621285312737E-3</v>
      </c>
      <c r="V46" s="3">
        <f t="shared" si="27"/>
        <v>6.270562128530709E-3</v>
      </c>
      <c r="W46" s="3">
        <f t="shared" si="27"/>
        <v>6.2705621285250659E-3</v>
      </c>
      <c r="X46" s="3">
        <f t="shared" si="27"/>
        <v>6.2705621284686302E-3</v>
      </c>
      <c r="Y46" s="3">
        <f t="shared" si="27"/>
        <v>6.2705621279042795E-3</v>
      </c>
      <c r="Z46" s="3">
        <f t="shared" si="27"/>
        <v>6.2705621222607739E-3</v>
      </c>
      <c r="AA46" s="3">
        <f t="shared" si="27"/>
        <v>6.270562065825715E-3</v>
      </c>
      <c r="AB46" s="3">
        <f t="shared" si="27"/>
        <v>6.2705615014751548E-3</v>
      </c>
      <c r="AC46" s="3">
        <f t="shared" si="27"/>
        <v>6.2705558579723431E-3</v>
      </c>
      <c r="AD46" s="3">
        <f t="shared" si="27"/>
        <v>6.2704994232235774E-3</v>
      </c>
      <c r="AE46" s="3">
        <f t="shared" si="27"/>
        <v>6.2699351036702485E-3</v>
      </c>
      <c r="AF46" s="3">
        <f t="shared" si="29"/>
        <v>6.2642947006390365E-3</v>
      </c>
      <c r="AG46" s="3">
        <f t="shared" si="29"/>
        <v>6.2081689928662788E-3</v>
      </c>
      <c r="AH46" s="3">
        <f t="shared" si="29"/>
        <v>5.6738392460143651E-3</v>
      </c>
      <c r="AI46" s="3">
        <f t="shared" si="29"/>
        <v>2.3068108916749178E-3</v>
      </c>
      <c r="AJ46" s="3">
        <f t="shared" si="29"/>
        <v>2.8468308020662017E-7</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2.2339041688787052E-2</v>
      </c>
      <c r="C48" s="18">
        <f t="shared" si="3"/>
        <v>1.3778594746513384E-2</v>
      </c>
      <c r="D48" s="17"/>
      <c r="F48" s="3">
        <f t="shared" si="28"/>
        <v>1.3778594746513384E-2</v>
      </c>
      <c r="G48" s="3">
        <f t="shared" si="28"/>
        <v>1.3778594746513384E-2</v>
      </c>
      <c r="H48" s="3">
        <f t="shared" si="28"/>
        <v>1.3778594746513384E-2</v>
      </c>
      <c r="I48" s="3">
        <f t="shared" si="28"/>
        <v>1.3778594746513384E-2</v>
      </c>
      <c r="J48" s="3">
        <f t="shared" si="28"/>
        <v>1.3778594746513384E-2</v>
      </c>
      <c r="K48" s="3">
        <f t="shared" si="28"/>
        <v>1.3778594746513384E-2</v>
      </c>
      <c r="L48" s="3">
        <f t="shared" si="28"/>
        <v>1.3778594746513384E-2</v>
      </c>
      <c r="M48" s="3">
        <f t="shared" si="28"/>
        <v>1.3778594746513384E-2</v>
      </c>
      <c r="N48" s="3">
        <f t="shared" si="28"/>
        <v>1.3778594746513384E-2</v>
      </c>
      <c r="O48" s="3">
        <f t="shared" si="28"/>
        <v>1.3778594746513384E-2</v>
      </c>
      <c r="P48" s="3">
        <f t="shared" si="27"/>
        <v>1.3778594746513384E-2</v>
      </c>
      <c r="Q48" s="3">
        <f t="shared" si="27"/>
        <v>1.3778594746513384E-2</v>
      </c>
      <c r="R48" s="3">
        <f t="shared" si="27"/>
        <v>1.3778594746513384E-2</v>
      </c>
      <c r="S48" s="3">
        <f t="shared" si="27"/>
        <v>1.3778594746513384E-2</v>
      </c>
      <c r="T48" s="3">
        <f t="shared" si="27"/>
        <v>1.3778594746513384E-2</v>
      </c>
      <c r="U48" s="3">
        <f t="shared" si="27"/>
        <v>1.3778594746513382E-2</v>
      </c>
      <c r="V48" s="3">
        <f t="shared" si="27"/>
        <v>1.377859474651337E-2</v>
      </c>
      <c r="W48" s="3">
        <f t="shared" si="27"/>
        <v>1.3778594746513247E-2</v>
      </c>
      <c r="X48" s="3">
        <f t="shared" si="27"/>
        <v>1.3778594746512005E-2</v>
      </c>
      <c r="Y48" s="3">
        <f t="shared" si="27"/>
        <v>1.3778594746499605E-2</v>
      </c>
      <c r="Z48" s="3">
        <f t="shared" si="27"/>
        <v>1.3778594746375598E-2</v>
      </c>
      <c r="AA48" s="3">
        <f t="shared" si="27"/>
        <v>1.3778594745135524E-2</v>
      </c>
      <c r="AB48" s="3">
        <f t="shared" si="27"/>
        <v>1.3778594732734789E-2</v>
      </c>
      <c r="AC48" s="3">
        <f t="shared" si="27"/>
        <v>1.3778594608727438E-2</v>
      </c>
      <c r="AD48" s="3">
        <f t="shared" si="27"/>
        <v>1.3778593368653979E-2</v>
      </c>
      <c r="AE48" s="3">
        <f t="shared" si="27"/>
        <v>1.3778580967925527E-2</v>
      </c>
      <c r="AF48" s="3">
        <f t="shared" si="29"/>
        <v>1.3778456961254846E-2</v>
      </c>
      <c r="AG48" s="3">
        <f t="shared" si="29"/>
        <v>1.377721695592941E-2</v>
      </c>
      <c r="AH48" s="3">
        <f t="shared" si="29"/>
        <v>1.3764823038768385E-2</v>
      </c>
      <c r="AI48" s="3">
        <f t="shared" si="29"/>
        <v>1.3641495438082737E-2</v>
      </c>
      <c r="AJ48" s="3">
        <f t="shared" si="29"/>
        <v>1.2467388094599007E-2</v>
      </c>
    </row>
    <row r="49" spans="1:36" x14ac:dyDescent="0.25">
      <c r="B49" s="16">
        <f>SUM(B17:B48)</f>
        <v>1.6212859220959273</v>
      </c>
      <c r="C49" s="18">
        <f>SUM(C17:C48)</f>
        <v>1.0000000000000004</v>
      </c>
      <c r="F49" s="3">
        <f t="shared" ref="F49:AJ49" si="31">F16-F17</f>
        <v>60.758847901719491</v>
      </c>
      <c r="G49" s="3">
        <f t="shared" si="31"/>
        <v>-78.590236431179619</v>
      </c>
      <c r="H49" s="3">
        <f t="shared" si="31"/>
        <v>20.822404842519063</v>
      </c>
      <c r="I49" s="3">
        <f t="shared" si="31"/>
        <v>-3.410930767769969</v>
      </c>
      <c r="J49" s="3">
        <f t="shared" si="31"/>
        <v>0.47296063788780884</v>
      </c>
      <c r="K49" s="3">
        <f t="shared" si="31"/>
        <v>-6.2223395731052733E-2</v>
      </c>
      <c r="L49" s="3">
        <f t="shared" si="31"/>
        <v>6.843930558716238E-3</v>
      </c>
      <c r="M49" s="3">
        <f t="shared" si="31"/>
        <v>1.6814271211842424E-3</v>
      </c>
      <c r="N49" s="3">
        <f t="shared" si="31"/>
        <v>4.2390073554997798E-2</v>
      </c>
      <c r="O49" s="3">
        <f t="shared" si="31"/>
        <v>-0.10023446419927495</v>
      </c>
      <c r="P49" s="3">
        <f t="shared" si="31"/>
        <v>0.14338683920732365</v>
      </c>
      <c r="Q49" s="3">
        <f t="shared" si="31"/>
        <v>-0.18781860272792983</v>
      </c>
      <c r="R49" s="3">
        <f t="shared" si="31"/>
        <v>0.22477653753412596</v>
      </c>
      <c r="S49" s="3">
        <f t="shared" si="31"/>
        <v>-0.24967447740527859</v>
      </c>
      <c r="T49" s="3">
        <f t="shared" si="31"/>
        <v>0.24987701078907776</v>
      </c>
      <c r="U49" s="3">
        <f t="shared" si="31"/>
        <v>-0.1963802415466489</v>
      </c>
      <c r="V49" s="3">
        <f t="shared" si="31"/>
        <v>0.12394881686896042</v>
      </c>
      <c r="W49" s="3">
        <f t="shared" si="31"/>
        <v>-7.9131084897653636E-2</v>
      </c>
      <c r="X49" s="3">
        <f t="shared" si="31"/>
        <v>4.9329160920933646E-2</v>
      </c>
      <c r="Y49" s="3">
        <f t="shared" si="31"/>
        <v>-2.4540042574699328E-2</v>
      </c>
      <c r="Z49" s="3">
        <f t="shared" si="31"/>
        <v>1.1437320687491592E-2</v>
      </c>
      <c r="AA49" s="3">
        <f t="shared" si="31"/>
        <v>-3.397169268964717E-3</v>
      </c>
      <c r="AB49" s="3">
        <f t="shared" si="31"/>
        <v>2.7858415000991954E-4</v>
      </c>
      <c r="AC49" s="3">
        <f t="shared" si="31"/>
        <v>-5.9718776594763767E-3</v>
      </c>
      <c r="AD49" s="3">
        <f t="shared" si="31"/>
        <v>7.5552831287950539E-3</v>
      </c>
      <c r="AE49" s="3">
        <f t="shared" si="31"/>
        <v>-1.1414460240757762E-2</v>
      </c>
      <c r="AF49" s="3">
        <f t="shared" si="31"/>
        <v>3.2915655071747096E-2</v>
      </c>
      <c r="AG49" s="3">
        <f t="shared" si="31"/>
        <v>-5.5594841259505756E-2</v>
      </c>
      <c r="AH49" s="3">
        <f t="shared" si="31"/>
        <v>6.4390267976477844E-2</v>
      </c>
      <c r="AI49" s="3">
        <f t="shared" si="31"/>
        <v>-7.5365813032988171E-2</v>
      </c>
      <c r="AJ49" s="3">
        <f t="shared" si="31"/>
        <v>4.3794738525718913E-2</v>
      </c>
    </row>
    <row r="50" spans="1:36" x14ac:dyDescent="0.25">
      <c r="F50" s="57">
        <f t="shared" ref="F50:AJ50" si="32">F49/F17</f>
        <v>1.1086216682858877E-2</v>
      </c>
      <c r="G50" s="57">
        <f t="shared" si="32"/>
        <v>-1.4495279464864853E-2</v>
      </c>
      <c r="H50" s="57">
        <f t="shared" si="32"/>
        <v>3.996881786232631E-3</v>
      </c>
      <c r="I50" s="57">
        <f t="shared" si="32"/>
        <v>-6.6573510240687506E-4</v>
      </c>
      <c r="J50" s="57">
        <f t="shared" si="32"/>
        <v>9.4633065367137471E-5</v>
      </c>
      <c r="K50" s="57">
        <f t="shared" si="32"/>
        <v>-1.278120256143085E-5</v>
      </c>
      <c r="L50" s="57">
        <f t="shared" si="32"/>
        <v>1.449145420700242E-6</v>
      </c>
      <c r="M50" s="57">
        <f t="shared" si="32"/>
        <v>3.682121328841306E-7</v>
      </c>
      <c r="N50" s="57">
        <f t="shared" si="32"/>
        <v>9.615766880343369E-6</v>
      </c>
      <c r="O50" s="57">
        <f t="shared" si="32"/>
        <v>-2.3549668509775031E-5</v>
      </c>
      <c r="P50" s="57">
        <f t="shared" si="32"/>
        <v>3.5070371705775996E-5</v>
      </c>
      <c r="Q50" s="57">
        <f t="shared" si="32"/>
        <v>-4.8322999520825742E-5</v>
      </c>
      <c r="R50" s="57">
        <f t="shared" si="32"/>
        <v>6.1183281147239292E-5</v>
      </c>
      <c r="S50" s="57">
        <f t="shared" si="32"/>
        <v>-7.1524672744235511E-5</v>
      </c>
      <c r="T50" s="57">
        <f t="shared" si="32"/>
        <v>7.5074264162224328E-5</v>
      </c>
      <c r="U50" s="57">
        <f t="shared" si="32"/>
        <v>-6.2089622191455632E-5</v>
      </c>
      <c r="V50" s="57">
        <f t="shared" si="32"/>
        <v>4.1469218442533761E-5</v>
      </c>
      <c r="W50" s="57">
        <f t="shared" si="32"/>
        <v>-2.8278631065722979E-5</v>
      </c>
      <c r="X50" s="57">
        <f t="shared" si="32"/>
        <v>1.8976741185290632E-5</v>
      </c>
      <c r="Y50" s="57">
        <f t="shared" si="32"/>
        <v>-1.026740253779452E-5</v>
      </c>
      <c r="Z50" s="57">
        <f t="shared" si="32"/>
        <v>5.2575981537609912E-6</v>
      </c>
      <c r="AA50" s="57">
        <f t="shared" si="32"/>
        <v>-1.746843555589949E-6</v>
      </c>
      <c r="AB50" s="57">
        <f t="shared" si="32"/>
        <v>1.6461794998692173E-7</v>
      </c>
      <c r="AC50" s="57">
        <f t="shared" si="32"/>
        <v>-4.2508582919340468E-6</v>
      </c>
      <c r="AD50" s="57">
        <f t="shared" si="32"/>
        <v>6.9223392378744596E-6</v>
      </c>
      <c r="AE50" s="57">
        <f t="shared" si="32"/>
        <v>-1.4438334751769971E-5</v>
      </c>
      <c r="AF50" s="57">
        <f t="shared" si="32"/>
        <v>5.9370668497168343E-5</v>
      </c>
      <c r="AG50" s="57">
        <f t="shared" si="32"/>
        <v>-1.3817241812327875E-4</v>
      </c>
      <c r="AH50" s="57">
        <f t="shared" si="32"/>
        <v>1.9906772704239052E-4</v>
      </c>
      <c r="AI50" s="57">
        <f t="shared" si="32"/>
        <v>-2.6497443090360827E-4</v>
      </c>
      <c r="AJ50" s="57">
        <f t="shared" si="32"/>
        <v>1.6533584737796512E-4</v>
      </c>
    </row>
    <row r="51" spans="1:36" x14ac:dyDescent="0.25">
      <c r="A51" s="13" t="s">
        <v>21</v>
      </c>
      <c r="B51" s="3">
        <f>STUTT!D8</f>
        <v>5614.1607000000004</v>
      </c>
      <c r="E51" s="11" t="s">
        <v>24</v>
      </c>
      <c r="F51" s="20">
        <f t="shared" ref="F51:AJ51" si="33">(F16-F17)^2</f>
        <v>3691.6375983442831</v>
      </c>
      <c r="G51" s="20">
        <f t="shared" si="33"/>
        <v>6176.4252623087123</v>
      </c>
      <c r="H51" s="20">
        <f t="shared" si="33"/>
        <v>433.57254342576135</v>
      </c>
      <c r="I51" s="20">
        <f t="shared" si="33"/>
        <v>11.63444870251983</v>
      </c>
      <c r="J51" s="20">
        <f t="shared" si="33"/>
        <v>0.22369176499124305</v>
      </c>
      <c r="K51" s="20">
        <f t="shared" si="33"/>
        <v>3.8717509763031917E-3</v>
      </c>
      <c r="L51" s="20">
        <f t="shared" si="33"/>
        <v>4.6839385492529957E-5</v>
      </c>
      <c r="M51" s="20">
        <f t="shared" si="33"/>
        <v>2.8271971638539293E-6</v>
      </c>
      <c r="N51" s="20">
        <f t="shared" si="33"/>
        <v>1.7969183359981236E-3</v>
      </c>
      <c r="O51" s="20">
        <f t="shared" si="33"/>
        <v>1.0046947813315733E-2</v>
      </c>
      <c r="P51" s="20">
        <f t="shared" si="33"/>
        <v>2.0559785657866887E-2</v>
      </c>
      <c r="Q51" s="20">
        <f t="shared" si="33"/>
        <v>3.5275827530671933E-2</v>
      </c>
      <c r="R51" s="20">
        <f t="shared" si="33"/>
        <v>5.0524491825830339E-2</v>
      </c>
      <c r="S51" s="20">
        <f t="shared" si="33"/>
        <v>6.2337344667598972E-2</v>
      </c>
      <c r="T51" s="20">
        <f t="shared" si="33"/>
        <v>6.2438520520884881E-2</v>
      </c>
      <c r="U51" s="20">
        <f t="shared" si="33"/>
        <v>3.8565199269920171E-2</v>
      </c>
      <c r="V51" s="20">
        <f t="shared" si="33"/>
        <v>1.5363309203215087E-2</v>
      </c>
      <c r="W51" s="20">
        <f t="shared" si="33"/>
        <v>6.2617285970796672E-3</v>
      </c>
      <c r="X51" s="20">
        <f t="shared" si="33"/>
        <v>2.4333661171633673E-3</v>
      </c>
      <c r="Y51" s="20">
        <f t="shared" si="33"/>
        <v>6.0221368956805564E-4</v>
      </c>
      <c r="Z51" s="20">
        <f t="shared" si="33"/>
        <v>1.3081230450852314E-4</v>
      </c>
      <c r="AA51" s="20">
        <f t="shared" si="33"/>
        <v>1.1540759041998269E-5</v>
      </c>
      <c r="AB51" s="20">
        <f t="shared" si="33"/>
        <v>7.760912863674936E-8</v>
      </c>
      <c r="AC51" s="20">
        <f t="shared" si="33"/>
        <v>3.5663322779753047E-5</v>
      </c>
      <c r="AD51" s="20">
        <f t="shared" si="33"/>
        <v>5.7082303156255179E-5</v>
      </c>
      <c r="AE51" s="20">
        <f t="shared" si="33"/>
        <v>1.3028990258783974E-4</v>
      </c>
      <c r="AF51" s="20">
        <f t="shared" si="33"/>
        <v>1.0834403488022303E-3</v>
      </c>
      <c r="AG51" s="20">
        <f t="shared" si="33"/>
        <v>3.0907863746696437E-3</v>
      </c>
      <c r="AH51" s="20">
        <f t="shared" si="33"/>
        <v>4.1461066100826277E-3</v>
      </c>
      <c r="AI51" s="20">
        <f t="shared" si="33"/>
        <v>5.6800057741233298E-3</v>
      </c>
      <c r="AJ51" s="20">
        <f t="shared" si="33"/>
        <v>1.9179791225360883E-3</v>
      </c>
    </row>
    <row r="52" spans="1:36" x14ac:dyDescent="0.25">
      <c r="A52" s="13"/>
    </row>
    <row r="53" spans="1:36" x14ac:dyDescent="0.25">
      <c r="E53" s="131" t="s">
        <v>25</v>
      </c>
      <c r="F53" s="131"/>
      <c r="G53" s="104">
        <f>SUM(F51:AJ51)</f>
        <v>10313.819955401485</v>
      </c>
      <c r="I53" s="3">
        <f>G53+C123</f>
        <v>10313.819955401485</v>
      </c>
      <c r="K53" s="3">
        <f>SUM(Z51:AJ51)</f>
        <v>1.6283784431416926E-2</v>
      </c>
    </row>
    <row r="55" spans="1:36" x14ac:dyDescent="0.25">
      <c r="E55" s="30" t="s">
        <v>30</v>
      </c>
      <c r="F55" s="31">
        <f t="shared" ref="F55:AJ55" si="34">ABS(F17-F16)/F16</f>
        <v>1.0964660085299354E-2</v>
      </c>
      <c r="G55" s="31">
        <f t="shared" si="34"/>
        <v>1.4708483036990251E-2</v>
      </c>
      <c r="H55" s="31">
        <f t="shared" si="34"/>
        <v>3.9809703184751849E-3</v>
      </c>
      <c r="I55" s="31">
        <f t="shared" si="34"/>
        <v>6.6617860088595711E-4</v>
      </c>
      <c r="J55" s="31">
        <f t="shared" si="34"/>
        <v>9.462411079747507E-5</v>
      </c>
      <c r="K55" s="31">
        <f t="shared" si="34"/>
        <v>1.2781365922657719E-5</v>
      </c>
      <c r="L55" s="31">
        <f t="shared" si="34"/>
        <v>1.449143320680835E-6</v>
      </c>
      <c r="M55" s="31">
        <f t="shared" si="34"/>
        <v>3.6821199730400571E-7</v>
      </c>
      <c r="N55" s="31">
        <f t="shared" si="34"/>
        <v>9.6156744182597658E-6</v>
      </c>
      <c r="O55" s="31">
        <f t="shared" si="34"/>
        <v>2.3550223109722595E-5</v>
      </c>
      <c r="P55" s="31">
        <f t="shared" si="34"/>
        <v>3.5069141817937038E-5</v>
      </c>
      <c r="Q55" s="31">
        <f t="shared" si="34"/>
        <v>4.8325334745953513E-5</v>
      </c>
      <c r="R55" s="31">
        <f t="shared" si="34"/>
        <v>6.1179537982366465E-5</v>
      </c>
      <c r="S55" s="31">
        <f t="shared" si="34"/>
        <v>7.1529788888977254E-5</v>
      </c>
      <c r="T55" s="31">
        <f t="shared" si="34"/>
        <v>7.5068628440182523E-5</v>
      </c>
      <c r="U55" s="31">
        <f t="shared" si="34"/>
        <v>6.2093477552017397E-5</v>
      </c>
      <c r="V55" s="31">
        <f t="shared" si="34"/>
        <v>4.1467498817767021E-5</v>
      </c>
      <c r="W55" s="31">
        <f t="shared" si="34"/>
        <v>2.8279430769312451E-5</v>
      </c>
      <c r="X55" s="31">
        <f t="shared" si="34"/>
        <v>1.8976381075418331E-5</v>
      </c>
      <c r="Y55" s="31">
        <f t="shared" si="34"/>
        <v>1.0267507958431788E-5</v>
      </c>
      <c r="Z55" s="31">
        <f t="shared" si="34"/>
        <v>5.257570511567976E-6</v>
      </c>
      <c r="AA55" s="31">
        <f t="shared" si="34"/>
        <v>1.7468466070576871E-6</v>
      </c>
      <c r="AB55" s="31">
        <f t="shared" si="34"/>
        <v>1.6461792288785674E-7</v>
      </c>
      <c r="AC55" s="31">
        <f t="shared" si="34"/>
        <v>4.2508763618070771E-6</v>
      </c>
      <c r="AD55" s="31">
        <f t="shared" si="34"/>
        <v>6.9222913194256435E-6</v>
      </c>
      <c r="AE55" s="31">
        <f t="shared" si="34"/>
        <v>1.4438543220290313E-5</v>
      </c>
      <c r="AF55" s="31">
        <f t="shared" si="34"/>
        <v>5.9367143830152381E-5</v>
      </c>
      <c r="AG55" s="31">
        <f t="shared" si="34"/>
        <v>1.3819151237870822E-4</v>
      </c>
      <c r="AH55" s="31">
        <f t="shared" si="34"/>
        <v>1.9902810696951855E-4</v>
      </c>
      <c r="AI55" s="31">
        <f t="shared" si="34"/>
        <v>2.6504466096181065E-4</v>
      </c>
      <c r="AJ55" s="31">
        <f t="shared" si="34"/>
        <v>1.65308515954401E-4</v>
      </c>
    </row>
    <row r="56" spans="1:36" x14ac:dyDescent="0.25">
      <c r="E56" s="13" t="s">
        <v>31</v>
      </c>
      <c r="F56" s="32">
        <f>AVERAGE(F55:AJ55)</f>
        <v>1.0249889737194461E-3</v>
      </c>
    </row>
    <row r="57" spans="1:36" x14ac:dyDescent="0.25">
      <c r="A57" s="42"/>
      <c r="B57" s="15"/>
      <c r="C57" s="15"/>
      <c r="D57" s="15"/>
      <c r="F57" s="60">
        <f>AVERAGE(S55:X55)</f>
        <v>4.9569200923945836E-5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32"/>
      <c r="D63" s="132"/>
      <c r="E63" s="132"/>
      <c r="F63" s="132"/>
      <c r="G63" s="132"/>
      <c r="H63" s="132"/>
      <c r="I63" s="132"/>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33"/>
    </row>
    <row r="101" spans="1:9" x14ac:dyDescent="0.25">
      <c r="A101" s="133"/>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-30.413972210948696</v>
      </c>
    </row>
    <row r="119" spans="1:14" x14ac:dyDescent="0.25">
      <c r="L119" s="11">
        <f>L118+1</f>
        <v>2</v>
      </c>
      <c r="M119" s="11">
        <f t="shared" ref="M119:M124" si="35">INDEX($B$125:$K$126,1,L119)</f>
        <v>0</v>
      </c>
      <c r="N119" s="11">
        <f t="shared" ref="N119:N124" si="36">IF(L119=$B$3,0,INDEX($B$125:$K$126,2,L119))</f>
        <v>-17.935120667856175</v>
      </c>
    </row>
    <row r="120" spans="1:14" x14ac:dyDescent="0.25">
      <c r="L120" s="11">
        <f t="shared" ref="L120:L124" si="37">L119+1</f>
        <v>3</v>
      </c>
      <c r="M120" s="11">
        <f t="shared" si="35"/>
        <v>25</v>
      </c>
      <c r="N120" s="11">
        <f t="shared" si="36"/>
        <v>-11.928740063453622</v>
      </c>
    </row>
    <row r="121" spans="1:14" x14ac:dyDescent="0.25">
      <c r="A121" s="103">
        <f>(A165+A204+A243+A282+A321+A360+A399)*10^9</f>
        <v>738983828718072.12</v>
      </c>
      <c r="L121" s="11">
        <f t="shared" si="37"/>
        <v>4</v>
      </c>
      <c r="M121" s="11">
        <f t="shared" si="35"/>
        <v>50</v>
      </c>
      <c r="N121" s="11">
        <f t="shared" si="36"/>
        <v>-6.7704611066142686</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31"/>
      <c r="B123" s="131"/>
      <c r="C123" s="3"/>
      <c r="D123" s="3"/>
      <c r="E123" s="3"/>
      <c r="F123" s="3"/>
      <c r="G123" s="3"/>
      <c r="H123" s="3"/>
      <c r="I123" s="3"/>
      <c r="J123" s="3"/>
      <c r="K123" s="3"/>
      <c r="L123" s="11">
        <f t="shared" si="37"/>
        <v>6</v>
      </c>
      <c r="M123" s="11">
        <f t="shared" si="35"/>
        <v>125</v>
      </c>
      <c r="N123" s="11">
        <f t="shared" si="36"/>
        <v>16.286830450969848</v>
      </c>
    </row>
    <row r="124" spans="1:14" x14ac:dyDescent="0.25">
      <c r="B124" s="3"/>
      <c r="C124" s="3"/>
      <c r="D124" s="3"/>
      <c r="E124" s="3"/>
      <c r="F124" s="3"/>
      <c r="G124" s="3"/>
      <c r="H124" s="3"/>
      <c r="I124" s="3"/>
      <c r="J124" s="3"/>
      <c r="K124" s="3"/>
      <c r="L124" s="11">
        <f t="shared" si="37"/>
        <v>7</v>
      </c>
      <c r="M124" s="11">
        <f t="shared" si="35"/>
        <v>160</v>
      </c>
      <c r="N124" s="11">
        <f t="shared" si="36"/>
        <v>30.462808326534489</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-30.413972210948696</v>
      </c>
      <c r="C126" s="107">
        <v>-17.935120667856175</v>
      </c>
      <c r="D126" s="107">
        <v>-11.928740063453622</v>
      </c>
      <c r="E126" s="107">
        <v>-6.7704611066142686</v>
      </c>
      <c r="F126" s="107">
        <v>1.3371819268758496E-2</v>
      </c>
      <c r="G126" s="107">
        <v>16.286830450969848</v>
      </c>
      <c r="H126" s="107">
        <v>30.462808326534489</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8" t="s">
        <v>22</v>
      </c>
      <c r="B131" s="27">
        <f>($C$17+SUM(B132:B162))*$B$51</f>
        <v>5614.1606992194102</v>
      </c>
      <c r="C131" s="27">
        <f t="shared" ref="C131:AF131" si="40">($C$17+SUM(C132:C162))*$B$51</f>
        <v>5614.160692194082</v>
      </c>
      <c r="D131" s="27">
        <f t="shared" si="40"/>
        <v>5614.1606219408268</v>
      </c>
      <c r="E131" s="27">
        <f t="shared" si="40"/>
        <v>5614.1599194104238</v>
      </c>
      <c r="F131" s="27">
        <f t="shared" si="40"/>
        <v>5614.1528943214917</v>
      </c>
      <c r="G131" s="27">
        <f t="shared" si="40"/>
        <v>5614.0826649377905</v>
      </c>
      <c r="H131" s="27">
        <f t="shared" si="40"/>
        <v>5613.3825172390571</v>
      </c>
      <c r="I131" s="27">
        <f t="shared" si="40"/>
        <v>5606.5912985311834</v>
      </c>
      <c r="J131" s="27">
        <f t="shared" si="40"/>
        <v>5555.9493182045408</v>
      </c>
      <c r="K131" s="27">
        <f t="shared" si="40"/>
        <v>5488.2244864736322</v>
      </c>
      <c r="L131" s="27">
        <f t="shared" si="40"/>
        <v>5487.9604931762497</v>
      </c>
      <c r="M131" s="27">
        <f t="shared" si="40"/>
        <v>5487.9188401453357</v>
      </c>
      <c r="N131" s="27">
        <f t="shared" si="40"/>
        <v>5487.5026299717792</v>
      </c>
      <c r="O131" s="27">
        <f t="shared" si="40"/>
        <v>5483.3723737668424</v>
      </c>
      <c r="P131" s="27">
        <f t="shared" si="40"/>
        <v>5445.0927918326906</v>
      </c>
      <c r="Q131" s="27">
        <f t="shared" si="40"/>
        <v>5251.4194950450601</v>
      </c>
      <c r="R131" s="27">
        <f t="shared" si="40"/>
        <v>5141.7752885565233</v>
      </c>
      <c r="S131" s="27">
        <f t="shared" si="40"/>
        <v>5028.4413517462026</v>
      </c>
      <c r="T131" s="27">
        <f t="shared" si="40"/>
        <v>4898.9080018074901</v>
      </c>
      <c r="U131" s="27">
        <f t="shared" si="40"/>
        <v>4758.1523546318213</v>
      </c>
      <c r="V131" s="27">
        <f t="shared" si="40"/>
        <v>4603.6812782151792</v>
      </c>
      <c r="W131" s="27">
        <f t="shared" si="40"/>
        <v>4445.0974012591041</v>
      </c>
      <c r="X131" s="27">
        <f t="shared" si="40"/>
        <v>4290.9316814700178</v>
      </c>
      <c r="Y131" s="27">
        <f t="shared" si="40"/>
        <v>4128.9046348277625</v>
      </c>
      <c r="Z131" s="27">
        <f t="shared" si="40"/>
        <v>3934.1984854843799</v>
      </c>
      <c r="AA131" s="27">
        <f t="shared" si="40"/>
        <v>3717.7254341242774</v>
      </c>
      <c r="AB131" s="27">
        <f t="shared" si="40"/>
        <v>3523.344355259489</v>
      </c>
      <c r="AC131" s="27">
        <f t="shared" si="40"/>
        <v>3361.2014067922646</v>
      </c>
      <c r="AD131" s="27">
        <f t="shared" si="40"/>
        <v>3194.2579423866378</v>
      </c>
      <c r="AE131" s="27">
        <f t="shared" si="40"/>
        <v>3023.7120495376739</v>
      </c>
      <c r="AF131" s="27">
        <f t="shared" si="40"/>
        <v>2833.440515298495</v>
      </c>
    </row>
    <row r="132" spans="1:33" x14ac:dyDescent="0.25">
      <c r="B132" s="3">
        <f t="shared" ref="B132:Z133" si="41">$C18*EXP(-B$129/$A18/EXP(-$B$126))</f>
        <v>2.2478084314388358E-2</v>
      </c>
      <c r="C132" s="3">
        <f t="shared" ref="C132:AF132" si="42">$C18*EXP(-C$129/$A18/EXP(-$B$126))</f>
        <v>2.2478083063030601E-2</v>
      </c>
      <c r="D132" s="3">
        <f t="shared" si="42"/>
        <v>2.2478070549456886E-2</v>
      </c>
      <c r="E132" s="3">
        <f t="shared" si="42"/>
        <v>2.2477945414102883E-2</v>
      </c>
      <c r="F132" s="3">
        <f t="shared" si="42"/>
        <v>2.2476694098876746E-2</v>
      </c>
      <c r="G132" s="3">
        <f t="shared" si="42"/>
        <v>2.2464184777217205E-2</v>
      </c>
      <c r="H132" s="3">
        <f t="shared" si="42"/>
        <v>2.2339473832949614E-2</v>
      </c>
      <c r="I132" s="3">
        <f t="shared" si="42"/>
        <v>2.1129815808337876E-2</v>
      </c>
      <c r="J132" s="3">
        <f t="shared" si="42"/>
        <v>1.2109422311219586E-2</v>
      </c>
      <c r="K132" s="3">
        <f t="shared" si="42"/>
        <v>4.6280768911195759E-5</v>
      </c>
      <c r="L132" s="3">
        <f t="shared" si="42"/>
        <v>3.0773151151618416E-29</v>
      </c>
      <c r="M132" s="3">
        <f t="shared" si="42"/>
        <v>5.1985953357410506E-271</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5.0933893211494025E-2</v>
      </c>
      <c r="C133" s="3">
        <f t="shared" si="41"/>
        <v>5.0933893211493289E-2</v>
      </c>
      <c r="D133" s="3">
        <f t="shared" si="41"/>
        <v>5.0933893211486031E-2</v>
      </c>
      <c r="E133" s="3">
        <f t="shared" si="41"/>
        <v>5.0933893211413395E-2</v>
      </c>
      <c r="F133" s="3">
        <f t="shared" si="41"/>
        <v>5.0933893210687073E-2</v>
      </c>
      <c r="G133" s="3">
        <f t="shared" si="41"/>
        <v>5.093389320342382E-2</v>
      </c>
      <c r="H133" s="3">
        <f t="shared" si="41"/>
        <v>5.0933893130791323E-2</v>
      </c>
      <c r="I133" s="3">
        <f t="shared" si="41"/>
        <v>5.093389240446633E-2</v>
      </c>
      <c r="J133" s="3">
        <f t="shared" si="41"/>
        <v>5.0933885141217022E-2</v>
      </c>
      <c r="K133" s="3">
        <f t="shared" si="41"/>
        <v>5.0933812508780874E-2</v>
      </c>
      <c r="L133" s="3">
        <f t="shared" si="41"/>
        <v>5.0933086190115932E-2</v>
      </c>
      <c r="M133" s="3">
        <f t="shared" si="41"/>
        <v>5.0925823573095844E-2</v>
      </c>
      <c r="N133" s="3">
        <f t="shared" si="41"/>
        <v>5.0853254335783242E-2</v>
      </c>
      <c r="O133" s="3">
        <f t="shared" si="41"/>
        <v>5.0133225326478452E-2</v>
      </c>
      <c r="P133" s="3">
        <f t="shared" si="41"/>
        <v>4.3470496262717512E-2</v>
      </c>
      <c r="Q133" s="3">
        <f t="shared" si="41"/>
        <v>1.0444415024072999E-2</v>
      </c>
      <c r="R133" s="3">
        <f t="shared" si="41"/>
        <v>6.6954434666690538E-9</v>
      </c>
      <c r="S133" s="3">
        <f t="shared" si="41"/>
        <v>7.847505220123293E-71</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9.6796705409766988E-3</v>
      </c>
      <c r="C134" s="3">
        <f t="shared" si="44"/>
        <v>9.6796705409766867E-3</v>
      </c>
      <c r="D134" s="3">
        <f t="shared" si="44"/>
        <v>9.6796705409765618E-3</v>
      </c>
      <c r="E134" s="3">
        <f t="shared" si="44"/>
        <v>9.679670540975318E-3</v>
      </c>
      <c r="F134" s="3">
        <f t="shared" si="44"/>
        <v>9.6796705409628661E-3</v>
      </c>
      <c r="G134" s="3">
        <f t="shared" si="44"/>
        <v>9.6796705408383477E-3</v>
      </c>
      <c r="H134" s="3">
        <f t="shared" si="44"/>
        <v>9.6796705395931701E-3</v>
      </c>
      <c r="I134" s="3">
        <f t="shared" si="44"/>
        <v>9.6796705271413944E-3</v>
      </c>
      <c r="J134" s="3">
        <f t="shared" si="44"/>
        <v>9.6796704026236406E-3</v>
      </c>
      <c r="K134" s="3">
        <f t="shared" si="44"/>
        <v>9.6796691574461847E-3</v>
      </c>
      <c r="L134" s="3">
        <f t="shared" si="44"/>
        <v>9.6796567056804499E-3</v>
      </c>
      <c r="M134" s="3">
        <f t="shared" si="44"/>
        <v>9.6795321889040567E-3</v>
      </c>
      <c r="N134" s="3">
        <f t="shared" si="44"/>
        <v>9.6782871092331961E-3</v>
      </c>
      <c r="O134" s="3">
        <f t="shared" si="44"/>
        <v>9.6658451176394617E-3</v>
      </c>
      <c r="P134" s="3">
        <f t="shared" si="44"/>
        <v>9.5423015366695261E-3</v>
      </c>
      <c r="Q134" s="3">
        <f t="shared" si="44"/>
        <v>8.3904678748103964E-3</v>
      </c>
      <c r="R134" s="3">
        <f t="shared" si="44"/>
        <v>2.3180169466105304E-3</v>
      </c>
      <c r="S134" s="3">
        <f t="shared" si="44"/>
        <v>6.0037262879939589E-9</v>
      </c>
      <c r="T134" s="3">
        <f t="shared" si="44"/>
        <v>8.1557454280165859E-65</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2.5369669197555188E-2</v>
      </c>
      <c r="C135" s="3">
        <f t="shared" si="47"/>
        <v>2.5369669197555185E-2</v>
      </c>
      <c r="D135" s="3">
        <f t="shared" si="47"/>
        <v>2.5369669197555154E-2</v>
      </c>
      <c r="E135" s="3">
        <f t="shared" si="47"/>
        <v>2.5369669197554862E-2</v>
      </c>
      <c r="F135" s="3">
        <f t="shared" si="47"/>
        <v>2.5369669197551917E-2</v>
      </c>
      <c r="G135" s="3">
        <f t="shared" si="47"/>
        <v>2.5369669197522475E-2</v>
      </c>
      <c r="H135" s="3">
        <f t="shared" si="47"/>
        <v>2.5369669197228082E-2</v>
      </c>
      <c r="I135" s="3">
        <f t="shared" si="47"/>
        <v>2.5369669194284121E-2</v>
      </c>
      <c r="J135" s="3">
        <f t="shared" si="47"/>
        <v>2.5369669164844507E-2</v>
      </c>
      <c r="K135" s="3">
        <f t="shared" si="47"/>
        <v>2.5369668870448375E-2</v>
      </c>
      <c r="L135" s="3">
        <f t="shared" si="47"/>
        <v>2.5369665926487244E-2</v>
      </c>
      <c r="M135" s="3">
        <f t="shared" si="47"/>
        <v>2.5369636486894744E-2</v>
      </c>
      <c r="N135" s="3">
        <f t="shared" si="47"/>
        <v>2.5369342092848631E-2</v>
      </c>
      <c r="O135" s="3">
        <f t="shared" si="47"/>
        <v>2.5366398340272194E-2</v>
      </c>
      <c r="P135" s="3">
        <f t="shared" si="47"/>
        <v>2.5336979594911466E-2</v>
      </c>
      <c r="Q135" s="3">
        <f t="shared" si="47"/>
        <v>2.5044662143127193E-2</v>
      </c>
      <c r="R135" s="3">
        <f t="shared" si="47"/>
        <v>2.2300701995524252E-2</v>
      </c>
      <c r="S135" s="3">
        <f t="shared" si="47"/>
        <v>6.9879872396950635E-3</v>
      </c>
      <c r="T135" s="3">
        <f t="shared" si="47"/>
        <v>6.378048148387635E-8</v>
      </c>
      <c r="U135" s="3">
        <f t="shared" si="47"/>
        <v>2.5588492155656161E-58</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2.3098652732198299E-2</v>
      </c>
      <c r="C136" s="3">
        <f t="shared" si="49"/>
        <v>2.3098652732198299E-2</v>
      </c>
      <c r="D136" s="3">
        <f t="shared" si="49"/>
        <v>2.3098652732198296E-2</v>
      </c>
      <c r="E136" s="3">
        <f t="shared" si="49"/>
        <v>2.3098652732198275E-2</v>
      </c>
      <c r="F136" s="3">
        <f t="shared" si="49"/>
        <v>2.3098652732198029E-2</v>
      </c>
      <c r="G136" s="3">
        <f t="shared" si="49"/>
        <v>2.309865273219561E-2</v>
      </c>
      <c r="H136" s="3">
        <f t="shared" si="49"/>
        <v>2.3098652732171435E-2</v>
      </c>
      <c r="I136" s="3">
        <f t="shared" si="49"/>
        <v>2.3098652731929636E-2</v>
      </c>
      <c r="J136" s="3">
        <f t="shared" si="49"/>
        <v>2.3098652729511667E-2</v>
      </c>
      <c r="K136" s="3">
        <f t="shared" si="49"/>
        <v>2.3098652705331988E-2</v>
      </c>
      <c r="L136" s="3">
        <f t="shared" si="49"/>
        <v>2.3098652463535197E-2</v>
      </c>
      <c r="M136" s="3">
        <f t="shared" si="49"/>
        <v>2.3098650045567409E-2</v>
      </c>
      <c r="N136" s="3">
        <f t="shared" si="49"/>
        <v>2.3098625865903461E-2</v>
      </c>
      <c r="O136" s="3">
        <f t="shared" si="49"/>
        <v>2.3098384070656092E-2</v>
      </c>
      <c r="P136" s="3">
        <f t="shared" si="49"/>
        <v>2.3095966257388564E-2</v>
      </c>
      <c r="Q136" s="3">
        <f t="shared" si="49"/>
        <v>2.3071802039938267E-2</v>
      </c>
      <c r="R136" s="3">
        <f t="shared" si="49"/>
        <v>2.283154601339998E-2</v>
      </c>
      <c r="S136" s="3">
        <f t="shared" si="49"/>
        <v>2.0562378806512575E-2</v>
      </c>
      <c r="T136" s="3">
        <f t="shared" si="49"/>
        <v>7.2186121619508799E-3</v>
      </c>
      <c r="U136" s="3">
        <f t="shared" si="49"/>
        <v>2.0523774850815467E-7</v>
      </c>
      <c r="V136" s="3">
        <f t="shared" si="49"/>
        <v>7.0842286534294262E-53</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2.7646238683818124E-2</v>
      </c>
      <c r="C137" s="3">
        <f t="shared" si="51"/>
        <v>2.7646238683818124E-2</v>
      </c>
      <c r="D137" s="3">
        <f t="shared" si="51"/>
        <v>2.7646238683818124E-2</v>
      </c>
      <c r="E137" s="3">
        <f t="shared" si="51"/>
        <v>2.764623868381812E-2</v>
      </c>
      <c r="F137" s="3">
        <f t="shared" si="51"/>
        <v>2.7646238683818096E-2</v>
      </c>
      <c r="G137" s="3">
        <f t="shared" si="51"/>
        <v>2.7646238683817832E-2</v>
      </c>
      <c r="H137" s="3">
        <f t="shared" si="51"/>
        <v>2.7646238683815223E-2</v>
      </c>
      <c r="I137" s="3">
        <f t="shared" si="51"/>
        <v>2.7646238683789116E-2</v>
      </c>
      <c r="J137" s="3">
        <f t="shared" si="51"/>
        <v>2.764623868352805E-2</v>
      </c>
      <c r="K137" s="3">
        <f t="shared" si="51"/>
        <v>2.7646238680917416E-2</v>
      </c>
      <c r="L137" s="3">
        <f t="shared" si="51"/>
        <v>2.7646238654811042E-2</v>
      </c>
      <c r="M137" s="3">
        <f t="shared" si="51"/>
        <v>2.764623839374732E-2</v>
      </c>
      <c r="N137" s="3">
        <f t="shared" si="51"/>
        <v>2.7646235783110203E-2</v>
      </c>
      <c r="O137" s="3">
        <f t="shared" si="51"/>
        <v>2.7646209676752621E-2</v>
      </c>
      <c r="P137" s="3">
        <f t="shared" si="51"/>
        <v>2.7645948614532651E-2</v>
      </c>
      <c r="Q137" s="3">
        <f t="shared" si="51"/>
        <v>2.7643338127915213E-2</v>
      </c>
      <c r="R137" s="3">
        <f t="shared" si="51"/>
        <v>2.761724681523009E-2</v>
      </c>
      <c r="S137" s="3">
        <f t="shared" si="51"/>
        <v>2.7357684313768765E-2</v>
      </c>
      <c r="T137" s="3">
        <f t="shared" si="51"/>
        <v>2.4892519706826103E-2</v>
      </c>
      <c r="U137" s="3">
        <f t="shared" si="51"/>
        <v>9.681978581819765E-3</v>
      </c>
      <c r="V137" s="3">
        <f t="shared" si="51"/>
        <v>7.6721431430308245E-7</v>
      </c>
      <c r="W137" s="3">
        <f t="shared" si="51"/>
        <v>7.4893218096999269E-48</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2.9577709875861068E-2</v>
      </c>
      <c r="C138" s="3">
        <f t="shared" si="53"/>
        <v>2.9577709875861068E-2</v>
      </c>
      <c r="D138" s="3">
        <f t="shared" si="53"/>
        <v>2.9577709875861068E-2</v>
      </c>
      <c r="E138" s="3">
        <f t="shared" si="53"/>
        <v>2.9577709875861068E-2</v>
      </c>
      <c r="F138" s="3">
        <f t="shared" si="53"/>
        <v>2.9577709875861065E-2</v>
      </c>
      <c r="G138" s="3">
        <f t="shared" si="53"/>
        <v>2.9577709875861037E-2</v>
      </c>
      <c r="H138" s="3">
        <f t="shared" si="53"/>
        <v>2.9577709875860791E-2</v>
      </c>
      <c r="I138" s="3">
        <f t="shared" si="53"/>
        <v>2.9577709875858268E-2</v>
      </c>
      <c r="J138" s="3">
        <f t="shared" si="53"/>
        <v>2.9577709875833073E-2</v>
      </c>
      <c r="K138" s="3">
        <f t="shared" si="53"/>
        <v>2.9577709875581119E-2</v>
      </c>
      <c r="L138" s="3">
        <f t="shared" si="53"/>
        <v>2.9577709873061575E-2</v>
      </c>
      <c r="M138" s="3">
        <f t="shared" si="53"/>
        <v>2.9577709847866156E-2</v>
      </c>
      <c r="N138" s="3">
        <f t="shared" si="53"/>
        <v>2.9577709595911949E-2</v>
      </c>
      <c r="O138" s="3">
        <f t="shared" si="53"/>
        <v>2.9577707076370006E-2</v>
      </c>
      <c r="P138" s="3">
        <f t="shared" si="53"/>
        <v>2.957768188096236E-2</v>
      </c>
      <c r="Q138" s="3">
        <f t="shared" si="53"/>
        <v>2.9577429928066366E-2</v>
      </c>
      <c r="R138" s="3">
        <f t="shared" si="53"/>
        <v>2.9574910517145565E-2</v>
      </c>
      <c r="S138" s="3">
        <f t="shared" si="53"/>
        <v>2.9549728208135617E-2</v>
      </c>
      <c r="T138" s="3">
        <f t="shared" si="53"/>
        <v>2.9299081427109894E-2</v>
      </c>
      <c r="U138" s="3">
        <f t="shared" si="53"/>
        <v>2.6906619999728099E-2</v>
      </c>
      <c r="V138" s="3">
        <f t="shared" si="53"/>
        <v>1.1479171663223471E-2</v>
      </c>
      <c r="W138" s="3">
        <f t="shared" si="53"/>
        <v>2.2931084936562006E-6</v>
      </c>
      <c r="X138" s="3">
        <f t="shared" si="53"/>
        <v>2.3204121316293608E-43</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2.9948203059421787E-2</v>
      </c>
      <c r="C139" s="3">
        <f t="shared" si="55"/>
        <v>2.9948203059421787E-2</v>
      </c>
      <c r="D139" s="3">
        <f t="shared" si="55"/>
        <v>2.9948203059421787E-2</v>
      </c>
      <c r="E139" s="3">
        <f t="shared" si="55"/>
        <v>2.9948203059421787E-2</v>
      </c>
      <c r="F139" s="3">
        <f t="shared" si="55"/>
        <v>2.9948203059421787E-2</v>
      </c>
      <c r="G139" s="3">
        <f t="shared" si="55"/>
        <v>2.9948203059421783E-2</v>
      </c>
      <c r="H139" s="3">
        <f t="shared" si="55"/>
        <v>2.9948203059421759E-2</v>
      </c>
      <c r="I139" s="3">
        <f t="shared" si="55"/>
        <v>2.994820305942153E-2</v>
      </c>
      <c r="J139" s="3">
        <f t="shared" si="55"/>
        <v>2.994820305941923E-2</v>
      </c>
      <c r="K139" s="3">
        <f t="shared" si="55"/>
        <v>2.9948203059396217E-2</v>
      </c>
      <c r="L139" s="3">
        <f t="shared" si="55"/>
        <v>2.9948203059166088E-2</v>
      </c>
      <c r="M139" s="3">
        <f t="shared" si="55"/>
        <v>2.9948203056864776E-2</v>
      </c>
      <c r="N139" s="3">
        <f t="shared" si="55"/>
        <v>2.9948203033851716E-2</v>
      </c>
      <c r="O139" s="3">
        <f t="shared" si="55"/>
        <v>2.9948202803721083E-2</v>
      </c>
      <c r="P139" s="3">
        <f t="shared" si="55"/>
        <v>2.9948200502414871E-2</v>
      </c>
      <c r="Q139" s="3">
        <f t="shared" si="55"/>
        <v>2.9948177489362446E-2</v>
      </c>
      <c r="R139" s="3">
        <f t="shared" si="55"/>
        <v>2.9947947359810802E-2</v>
      </c>
      <c r="S139" s="3">
        <f t="shared" si="55"/>
        <v>2.9945646161552767E-2</v>
      </c>
      <c r="T139" s="3">
        <f t="shared" si="55"/>
        <v>2.9922643902046409E-2</v>
      </c>
      <c r="U139" s="3">
        <f t="shared" si="55"/>
        <v>2.9693590855606525E-2</v>
      </c>
      <c r="V139" s="3">
        <f t="shared" si="55"/>
        <v>2.7497314391924321E-2</v>
      </c>
      <c r="W139" s="3">
        <f t="shared" si="55"/>
        <v>1.2751634909393444E-2</v>
      </c>
      <c r="X139" s="3">
        <f t="shared" si="55"/>
        <v>5.8657260726036822E-6</v>
      </c>
      <c r="Y139" s="3">
        <f t="shared" si="55"/>
        <v>2.4881746146212972E-39</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2.7071587467149303E-2</v>
      </c>
      <c r="C140" s="3">
        <f t="shared" si="57"/>
        <v>2.7071587467149303E-2</v>
      </c>
      <c r="D140" s="3">
        <f t="shared" si="57"/>
        <v>2.7071587467149303E-2</v>
      </c>
      <c r="E140" s="3">
        <f t="shared" si="57"/>
        <v>2.7071587467149303E-2</v>
      </c>
      <c r="F140" s="3">
        <f t="shared" si="57"/>
        <v>2.7071587467149303E-2</v>
      </c>
      <c r="G140" s="3">
        <f t="shared" si="57"/>
        <v>2.7071587467149303E-2</v>
      </c>
      <c r="H140" s="3">
        <f t="shared" si="57"/>
        <v>2.70715874671493E-2</v>
      </c>
      <c r="I140" s="3">
        <f t="shared" si="57"/>
        <v>2.7071587467149282E-2</v>
      </c>
      <c r="J140" s="3">
        <f t="shared" si="57"/>
        <v>2.7071587467149095E-2</v>
      </c>
      <c r="K140" s="3">
        <f t="shared" si="57"/>
        <v>2.7071587467147218E-2</v>
      </c>
      <c r="L140" s="3">
        <f t="shared" si="57"/>
        <v>2.7071587467128455E-2</v>
      </c>
      <c r="M140" s="3">
        <f t="shared" si="57"/>
        <v>2.7071587466940796E-2</v>
      </c>
      <c r="N140" s="3">
        <f t="shared" si="57"/>
        <v>2.7071587465064231E-2</v>
      </c>
      <c r="O140" s="3">
        <f t="shared" si="57"/>
        <v>2.7071587446298565E-2</v>
      </c>
      <c r="P140" s="3">
        <f t="shared" si="57"/>
        <v>2.7071587258641908E-2</v>
      </c>
      <c r="Q140" s="3">
        <f t="shared" si="57"/>
        <v>2.7071585382075415E-2</v>
      </c>
      <c r="R140" s="3">
        <f t="shared" si="57"/>
        <v>2.7071566616417637E-2</v>
      </c>
      <c r="S140" s="3">
        <f t="shared" si="57"/>
        <v>2.7071378960555319E-2</v>
      </c>
      <c r="T140" s="3">
        <f t="shared" si="57"/>
        <v>2.7069502473474734E-2</v>
      </c>
      <c r="U140" s="3">
        <f t="shared" si="57"/>
        <v>2.7050744755091369E-2</v>
      </c>
      <c r="V140" s="3">
        <f t="shared" si="57"/>
        <v>2.686388098245715E-2</v>
      </c>
      <c r="W140" s="3">
        <f t="shared" si="57"/>
        <v>2.5064788057961761E-2</v>
      </c>
      <c r="X140" s="3">
        <f t="shared" si="57"/>
        <v>1.2531898142828022E-2</v>
      </c>
      <c r="Y140" s="3">
        <f t="shared" si="57"/>
        <v>1.223334019565252E-5</v>
      </c>
      <c r="Z140" s="3">
        <f t="shared" si="57"/>
        <v>9.612293458992963E-36</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3.2012499426116107E-2</v>
      </c>
      <c r="C141" s="3">
        <f t="shared" si="59"/>
        <v>3.2012499426116107E-2</v>
      </c>
      <c r="D141" s="3">
        <f t="shared" si="59"/>
        <v>3.2012499426116107E-2</v>
      </c>
      <c r="E141" s="3">
        <f t="shared" si="59"/>
        <v>3.2012499426116107E-2</v>
      </c>
      <c r="F141" s="3">
        <f t="shared" si="59"/>
        <v>3.2012499426116107E-2</v>
      </c>
      <c r="G141" s="3">
        <f t="shared" si="59"/>
        <v>3.2012499426116107E-2</v>
      </c>
      <c r="H141" s="3">
        <f t="shared" si="59"/>
        <v>3.2012499426116107E-2</v>
      </c>
      <c r="I141" s="3">
        <f t="shared" si="59"/>
        <v>3.2012499426116101E-2</v>
      </c>
      <c r="J141" s="3">
        <f t="shared" si="59"/>
        <v>3.2012499426116087E-2</v>
      </c>
      <c r="K141" s="3">
        <f t="shared" si="59"/>
        <v>3.2012499426115885E-2</v>
      </c>
      <c r="L141" s="3">
        <f t="shared" si="59"/>
        <v>3.201249942611388E-2</v>
      </c>
      <c r="M141" s="3">
        <f t="shared" si="59"/>
        <v>3.2012499426093868E-2</v>
      </c>
      <c r="N141" s="3">
        <f t="shared" si="59"/>
        <v>3.2012499425893688E-2</v>
      </c>
      <c r="O141" s="3">
        <f t="shared" si="59"/>
        <v>3.2012499423891908E-2</v>
      </c>
      <c r="P141" s="3">
        <f t="shared" si="59"/>
        <v>3.2012499403874101E-2</v>
      </c>
      <c r="Q141" s="3">
        <f t="shared" si="59"/>
        <v>3.2012499203696067E-2</v>
      </c>
      <c r="R141" s="3">
        <f t="shared" si="59"/>
        <v>3.201249720191577E-2</v>
      </c>
      <c r="S141" s="3">
        <f t="shared" si="59"/>
        <v>3.2012477184119668E-2</v>
      </c>
      <c r="T141" s="3">
        <f t="shared" si="59"/>
        <v>3.2012277006847133E-2</v>
      </c>
      <c r="U141" s="3">
        <f t="shared" si="59"/>
        <v>3.2010275302965581E-2</v>
      </c>
      <c r="V141" s="3">
        <f t="shared" si="59"/>
        <v>3.1990265146936897E-2</v>
      </c>
      <c r="W141" s="3">
        <f t="shared" si="59"/>
        <v>3.1790850275555622E-2</v>
      </c>
      <c r="X141" s="3">
        <f t="shared" si="59"/>
        <v>2.9863807915612418E-2</v>
      </c>
      <c r="Y141" s="3">
        <f t="shared" si="59"/>
        <v>1.5979956110622542E-2</v>
      </c>
      <c r="Z141" s="3">
        <f t="shared" si="59"/>
        <v>3.0752439201861105E-5</v>
      </c>
      <c r="AA141" s="3">
        <f t="shared" ref="AA141" si="60">$C27*EXP(-AA$129/$A27/EXP(-$B$126))</f>
        <v>2.1424931023834514E-32</v>
      </c>
      <c r="AB141" s="3">
        <f t="shared" si="46"/>
        <v>5.771890334410191E-304</v>
      </c>
      <c r="AC141" s="3">
        <f t="shared" si="46"/>
        <v>0</v>
      </c>
      <c r="AD141" s="3">
        <f t="shared" si="46"/>
        <v>0</v>
      </c>
      <c r="AE141" s="3">
        <f t="shared" si="46"/>
        <v>0</v>
      </c>
      <c r="AF141" s="3">
        <f t="shared" si="46"/>
        <v>0</v>
      </c>
    </row>
    <row r="142" spans="1:33" x14ac:dyDescent="0.25">
      <c r="B142" s="3">
        <f t="shared" ref="B142:Z142" si="61">$C28*EXP(-B$129/$A28/EXP(-$B$126))</f>
        <v>4.0921071086256373E-2</v>
      </c>
      <c r="C142" s="3">
        <f t="shared" si="61"/>
        <v>4.0921071086256373E-2</v>
      </c>
      <c r="D142" s="3">
        <f t="shared" si="61"/>
        <v>4.0921071086256373E-2</v>
      </c>
      <c r="E142" s="3">
        <f t="shared" si="61"/>
        <v>4.0921071086256373E-2</v>
      </c>
      <c r="F142" s="3">
        <f t="shared" si="61"/>
        <v>4.0921071086256373E-2</v>
      </c>
      <c r="G142" s="3">
        <f t="shared" si="61"/>
        <v>4.0921071086256373E-2</v>
      </c>
      <c r="H142" s="3">
        <f t="shared" si="61"/>
        <v>4.0921071086256373E-2</v>
      </c>
      <c r="I142" s="3">
        <f t="shared" si="61"/>
        <v>4.0921071086256373E-2</v>
      </c>
      <c r="J142" s="3">
        <f t="shared" si="61"/>
        <v>4.0921071086256366E-2</v>
      </c>
      <c r="K142" s="3">
        <f t="shared" si="61"/>
        <v>4.0921071086256346E-2</v>
      </c>
      <c r="L142" s="3">
        <f t="shared" si="61"/>
        <v>4.0921071086256117E-2</v>
      </c>
      <c r="M142" s="3">
        <f t="shared" si="61"/>
        <v>4.0921071086253806E-2</v>
      </c>
      <c r="N142" s="3">
        <f t="shared" si="61"/>
        <v>4.0921071086230727E-2</v>
      </c>
      <c r="O142" s="3">
        <f t="shared" si="61"/>
        <v>4.0921071085999898E-2</v>
      </c>
      <c r="P142" s="3">
        <f t="shared" si="61"/>
        <v>4.0921071083691606E-2</v>
      </c>
      <c r="Q142" s="3">
        <f t="shared" si="61"/>
        <v>4.0921071060608702E-2</v>
      </c>
      <c r="R142" s="3">
        <f t="shared" si="61"/>
        <v>4.0921070829779672E-2</v>
      </c>
      <c r="S142" s="3">
        <f t="shared" si="61"/>
        <v>4.0921068521489454E-2</v>
      </c>
      <c r="T142" s="3">
        <f t="shared" si="61"/>
        <v>4.0921045438594386E-2</v>
      </c>
      <c r="U142" s="3">
        <f t="shared" si="61"/>
        <v>4.0920814610359846E-2</v>
      </c>
      <c r="V142" s="3">
        <f t="shared" si="61"/>
        <v>4.0918506399626617E-2</v>
      </c>
      <c r="W142" s="3">
        <f t="shared" si="61"/>
        <v>4.0895431452011057E-2</v>
      </c>
      <c r="X142" s="3">
        <f t="shared" si="61"/>
        <v>4.0665396455472513E-2</v>
      </c>
      <c r="Y142" s="3">
        <f t="shared" si="61"/>
        <v>3.843502548754154E-2</v>
      </c>
      <c r="Z142" s="3">
        <f t="shared" si="61"/>
        <v>2.1864965708194788E-2</v>
      </c>
      <c r="AA142" s="3">
        <f t="shared" ref="AA142" si="62">$C28*EXP(-AA$129/$A28/EXP(-$B$126))</f>
        <v>7.7618468994028524E-5</v>
      </c>
      <c r="AB142" s="3">
        <f t="shared" si="46"/>
        <v>2.466765057480684E-29</v>
      </c>
      <c r="AC142" s="3">
        <f t="shared" si="46"/>
        <v>2.5927159853303034E-274</v>
      </c>
      <c r="AD142" s="3">
        <f t="shared" si="46"/>
        <v>0</v>
      </c>
      <c r="AE142" s="3">
        <f t="shared" si="46"/>
        <v>0</v>
      </c>
      <c r="AF142" s="3">
        <f t="shared" si="46"/>
        <v>0</v>
      </c>
    </row>
    <row r="143" spans="1:33" x14ac:dyDescent="0.25">
      <c r="B143" s="3">
        <f t="shared" ref="B143:Z143" si="63">$C29*EXP(-B$129/$A29/EXP(-$B$126))</f>
        <v>4.0569821627939186E-2</v>
      </c>
      <c r="C143" s="3">
        <f t="shared" si="63"/>
        <v>4.0569821627939186E-2</v>
      </c>
      <c r="D143" s="3">
        <f t="shared" si="63"/>
        <v>4.0569821627939186E-2</v>
      </c>
      <c r="E143" s="3">
        <f t="shared" si="63"/>
        <v>4.0569821627939186E-2</v>
      </c>
      <c r="F143" s="3">
        <f t="shared" si="63"/>
        <v>4.0569821627939186E-2</v>
      </c>
      <c r="G143" s="3">
        <f t="shared" si="63"/>
        <v>4.0569821627939186E-2</v>
      </c>
      <c r="H143" s="3">
        <f t="shared" si="63"/>
        <v>4.0569821627939186E-2</v>
      </c>
      <c r="I143" s="3">
        <f t="shared" si="63"/>
        <v>4.0569821627939186E-2</v>
      </c>
      <c r="J143" s="3">
        <f t="shared" si="63"/>
        <v>4.0569821627939186E-2</v>
      </c>
      <c r="K143" s="3">
        <f t="shared" si="63"/>
        <v>4.0569821627939179E-2</v>
      </c>
      <c r="L143" s="3">
        <f t="shared" si="63"/>
        <v>4.0569821627939165E-2</v>
      </c>
      <c r="M143" s="3">
        <f t="shared" si="63"/>
        <v>4.0569821627938957E-2</v>
      </c>
      <c r="N143" s="3">
        <f t="shared" si="63"/>
        <v>4.0569821627936896E-2</v>
      </c>
      <c r="O143" s="3">
        <f t="shared" si="63"/>
        <v>4.0569821627916246E-2</v>
      </c>
      <c r="P143" s="3">
        <f t="shared" si="63"/>
        <v>4.0569821627709807E-2</v>
      </c>
      <c r="Q143" s="3">
        <f t="shared" si="63"/>
        <v>4.0569821625645416E-2</v>
      </c>
      <c r="R143" s="3">
        <f t="shared" si="63"/>
        <v>4.0569821605001451E-2</v>
      </c>
      <c r="S143" s="3">
        <f t="shared" si="63"/>
        <v>4.0569821398561794E-2</v>
      </c>
      <c r="T143" s="3">
        <f t="shared" si="63"/>
        <v>4.0569819334165313E-2</v>
      </c>
      <c r="U143" s="3">
        <f t="shared" si="63"/>
        <v>4.0569798690206278E-2</v>
      </c>
      <c r="V143" s="3">
        <f t="shared" si="63"/>
        <v>4.0569592251193706E-2</v>
      </c>
      <c r="W143" s="3">
        <f t="shared" si="63"/>
        <v>4.0567527918842605E-2</v>
      </c>
      <c r="X143" s="3">
        <f t="shared" si="63"/>
        <v>4.0546890371701352E-2</v>
      </c>
      <c r="Y143" s="3">
        <f t="shared" si="63"/>
        <v>4.0341091451205631E-2</v>
      </c>
      <c r="Z143" s="3">
        <f t="shared" si="63"/>
        <v>3.8339686455381071E-2</v>
      </c>
      <c r="AA143" s="3">
        <f t="shared" ref="AA143" si="64">$C29*EXP(-AA$129/$A29/EXP(-$B$126))</f>
        <v>2.3049297016545366E-2</v>
      </c>
      <c r="AB143" s="3">
        <f t="shared" si="46"/>
        <v>1.4215068568351947E-4</v>
      </c>
      <c r="AC143" s="3">
        <f t="shared" si="46"/>
        <v>1.1315186194233535E-26</v>
      </c>
      <c r="AD143" s="3">
        <f t="shared" si="46"/>
        <v>1.1555511215277855E-247</v>
      </c>
      <c r="AE143" s="3">
        <f t="shared" si="46"/>
        <v>0</v>
      </c>
      <c r="AF143" s="3">
        <f t="shared" si="46"/>
        <v>0</v>
      </c>
    </row>
    <row r="144" spans="1:33" x14ac:dyDescent="0.25">
      <c r="B144" s="3">
        <f t="shared" ref="B144:Z144" si="65">$C30*EXP(-B$129/$A30/EXP(-$B$126))</f>
        <v>2.9319572011255665E-2</v>
      </c>
      <c r="C144" s="3">
        <f t="shared" si="65"/>
        <v>2.9319572011255665E-2</v>
      </c>
      <c r="D144" s="3">
        <f t="shared" si="65"/>
        <v>2.9319572011255665E-2</v>
      </c>
      <c r="E144" s="3">
        <f t="shared" si="65"/>
        <v>2.9319572011255665E-2</v>
      </c>
      <c r="F144" s="3">
        <f t="shared" si="65"/>
        <v>2.9319572011255665E-2</v>
      </c>
      <c r="G144" s="3">
        <f t="shared" si="65"/>
        <v>2.9319572011255665E-2</v>
      </c>
      <c r="H144" s="3">
        <f t="shared" si="65"/>
        <v>2.9319572011255665E-2</v>
      </c>
      <c r="I144" s="3">
        <f t="shared" si="65"/>
        <v>2.9319572011255665E-2</v>
      </c>
      <c r="J144" s="3">
        <f t="shared" si="65"/>
        <v>2.9319572011255665E-2</v>
      </c>
      <c r="K144" s="3">
        <f t="shared" si="65"/>
        <v>2.9319572011255665E-2</v>
      </c>
      <c r="L144" s="3">
        <f t="shared" si="65"/>
        <v>2.9319572011255665E-2</v>
      </c>
      <c r="M144" s="3">
        <f t="shared" si="65"/>
        <v>2.9319572011255648E-2</v>
      </c>
      <c r="N144" s="3">
        <f t="shared" si="65"/>
        <v>2.9319572011255516E-2</v>
      </c>
      <c r="O144" s="3">
        <f t="shared" si="65"/>
        <v>2.931957201125417E-2</v>
      </c>
      <c r="P144" s="3">
        <f t="shared" si="65"/>
        <v>2.9319572011240712E-2</v>
      </c>
      <c r="Q144" s="3">
        <f t="shared" si="65"/>
        <v>2.9319572011106129E-2</v>
      </c>
      <c r="R144" s="3">
        <f t="shared" si="65"/>
        <v>2.9319572009760285E-2</v>
      </c>
      <c r="S144" s="3">
        <f t="shared" si="65"/>
        <v>2.931957199630186E-2</v>
      </c>
      <c r="T144" s="3">
        <f t="shared" si="65"/>
        <v>2.931957186171761E-2</v>
      </c>
      <c r="U144" s="3">
        <f t="shared" si="65"/>
        <v>2.9319570515875134E-2</v>
      </c>
      <c r="V144" s="3">
        <f t="shared" si="65"/>
        <v>2.9319557057453784E-2</v>
      </c>
      <c r="W144" s="3">
        <f t="shared" si="65"/>
        <v>2.9319422473580048E-2</v>
      </c>
      <c r="X144" s="3">
        <f t="shared" si="65"/>
        <v>2.9318076668819741E-2</v>
      </c>
      <c r="Y144" s="3">
        <f t="shared" si="65"/>
        <v>2.9304622018342212E-2</v>
      </c>
      <c r="Z144" s="3">
        <f t="shared" si="65"/>
        <v>2.917041464986226E-2</v>
      </c>
      <c r="AA144" s="3">
        <f t="shared" ref="AA144" si="66">$C30*EXP(-AA$129/$A30/EXP(-$B$126))</f>
        <v>2.7861685611429189E-2</v>
      </c>
      <c r="AB144" s="3">
        <f t="shared" ref="AB144:AF153" si="67">$C30*EXP(-AB$129/$A30/EXP(-$B$126))</f>
        <v>1.7605778582005665E-2</v>
      </c>
      <c r="AC144" s="3">
        <f t="shared" si="67"/>
        <v>1.7870377165430212E-4</v>
      </c>
      <c r="AD144" s="3">
        <f t="shared" si="67"/>
        <v>2.0745244058132836E-24</v>
      </c>
      <c r="AE144" s="3">
        <f t="shared" si="67"/>
        <v>9.2207627241872912E-224</v>
      </c>
      <c r="AF144" s="3">
        <f t="shared" si="67"/>
        <v>0</v>
      </c>
    </row>
    <row r="145" spans="1:32" x14ac:dyDescent="0.25">
      <c r="B145" s="3">
        <f t="shared" ref="B145:Z145" si="68">$C31*EXP(-B$129/$A31/EXP(-$B$126))</f>
        <v>3.1170147057573941E-2</v>
      </c>
      <c r="C145" s="3">
        <f t="shared" si="68"/>
        <v>3.1170147057573941E-2</v>
      </c>
      <c r="D145" s="3">
        <f t="shared" si="68"/>
        <v>3.1170147057573941E-2</v>
      </c>
      <c r="E145" s="3">
        <f t="shared" si="68"/>
        <v>3.1170147057573941E-2</v>
      </c>
      <c r="F145" s="3">
        <f t="shared" si="68"/>
        <v>3.1170147057573941E-2</v>
      </c>
      <c r="G145" s="3">
        <f t="shared" si="68"/>
        <v>3.1170147057573941E-2</v>
      </c>
      <c r="H145" s="3">
        <f t="shared" si="68"/>
        <v>3.1170147057573941E-2</v>
      </c>
      <c r="I145" s="3">
        <f t="shared" si="68"/>
        <v>3.1170147057573941E-2</v>
      </c>
      <c r="J145" s="3">
        <f t="shared" si="68"/>
        <v>3.1170147057573941E-2</v>
      </c>
      <c r="K145" s="3">
        <f t="shared" si="68"/>
        <v>3.1170147057573941E-2</v>
      </c>
      <c r="L145" s="3">
        <f t="shared" si="68"/>
        <v>3.1170147057573941E-2</v>
      </c>
      <c r="M145" s="3">
        <f t="shared" si="68"/>
        <v>3.1170147057573941E-2</v>
      </c>
      <c r="N145" s="3">
        <f t="shared" si="68"/>
        <v>3.1170147057573927E-2</v>
      </c>
      <c r="O145" s="3">
        <f t="shared" si="68"/>
        <v>3.1170147057573799E-2</v>
      </c>
      <c r="P145" s="3">
        <f t="shared" si="68"/>
        <v>3.1170147057572508E-2</v>
      </c>
      <c r="Q145" s="3">
        <f t="shared" si="68"/>
        <v>3.1170147057559602E-2</v>
      </c>
      <c r="R145" s="3">
        <f t="shared" si="68"/>
        <v>3.1170147057430531E-2</v>
      </c>
      <c r="S145" s="3">
        <f t="shared" si="68"/>
        <v>3.1170147056139842E-2</v>
      </c>
      <c r="T145" s="3">
        <f t="shared" si="68"/>
        <v>3.1170147043232937E-2</v>
      </c>
      <c r="U145" s="3">
        <f t="shared" si="68"/>
        <v>3.1170146914163904E-2</v>
      </c>
      <c r="V145" s="3">
        <f t="shared" si="68"/>
        <v>3.1170145623473599E-2</v>
      </c>
      <c r="W145" s="3">
        <f t="shared" si="68"/>
        <v>3.1170132716573502E-2</v>
      </c>
      <c r="X145" s="3">
        <f t="shared" si="68"/>
        <v>3.1170003647866467E-2</v>
      </c>
      <c r="Y145" s="3">
        <f t="shared" si="68"/>
        <v>3.1168712990190261E-2</v>
      </c>
      <c r="Z145" s="3">
        <f t="shared" si="68"/>
        <v>3.1155809352390582E-2</v>
      </c>
      <c r="AA145" s="3">
        <f t="shared" ref="AA145" si="69">$C31*EXP(-AA$129/$A31/EXP(-$B$126))</f>
        <v>3.1027066420853549E-2</v>
      </c>
      <c r="AB145" s="3">
        <f t="shared" si="67"/>
        <v>2.9768537100588764E-2</v>
      </c>
      <c r="AC145" s="3">
        <f t="shared" si="67"/>
        <v>1.9675476891632751E-2</v>
      </c>
      <c r="AD145" s="3">
        <f t="shared" si="67"/>
        <v>3.1304229163258443E-4</v>
      </c>
      <c r="AE145" s="3">
        <f t="shared" si="67"/>
        <v>3.253722275045936E-22</v>
      </c>
      <c r="AF145" s="3">
        <f t="shared" si="67"/>
        <v>4.7880110494058649E-202</v>
      </c>
    </row>
    <row r="146" spans="1:32" x14ac:dyDescent="0.25">
      <c r="B146" s="3">
        <f t="shared" ref="B146:Z146" si="70">$C32*EXP(-B$129/$A32/EXP(-$B$126))</f>
        <v>2.9820997519102575E-2</v>
      </c>
      <c r="C146" s="3">
        <f t="shared" si="70"/>
        <v>2.9820997519102575E-2</v>
      </c>
      <c r="D146" s="3">
        <f t="shared" si="70"/>
        <v>2.9820997519102575E-2</v>
      </c>
      <c r="E146" s="3">
        <f t="shared" si="70"/>
        <v>2.9820997519102575E-2</v>
      </c>
      <c r="F146" s="3">
        <f t="shared" si="70"/>
        <v>2.9820997519102575E-2</v>
      </c>
      <c r="G146" s="3">
        <f t="shared" si="70"/>
        <v>2.9820997519102575E-2</v>
      </c>
      <c r="H146" s="3">
        <f t="shared" si="70"/>
        <v>2.9820997519102575E-2</v>
      </c>
      <c r="I146" s="3">
        <f t="shared" si="70"/>
        <v>2.9820997519102575E-2</v>
      </c>
      <c r="J146" s="3">
        <f t="shared" si="70"/>
        <v>2.9820997519102575E-2</v>
      </c>
      <c r="K146" s="3">
        <f t="shared" si="70"/>
        <v>2.9820997519102575E-2</v>
      </c>
      <c r="L146" s="3">
        <f t="shared" si="70"/>
        <v>2.9820997519102575E-2</v>
      </c>
      <c r="M146" s="3">
        <f t="shared" si="70"/>
        <v>2.9820997519102575E-2</v>
      </c>
      <c r="N146" s="3">
        <f t="shared" si="70"/>
        <v>2.9820997519102575E-2</v>
      </c>
      <c r="O146" s="3">
        <f t="shared" si="70"/>
        <v>2.9820997519102561E-2</v>
      </c>
      <c r="P146" s="3">
        <f t="shared" si="70"/>
        <v>2.9820997519102454E-2</v>
      </c>
      <c r="Q146" s="3">
        <f t="shared" si="70"/>
        <v>2.9820997519101337E-2</v>
      </c>
      <c r="R146" s="3">
        <f t="shared" si="70"/>
        <v>2.98209975190902E-2</v>
      </c>
      <c r="S146" s="3">
        <f t="shared" si="70"/>
        <v>2.9820997518978806E-2</v>
      </c>
      <c r="T146" s="3">
        <f t="shared" si="70"/>
        <v>2.9820997517864892E-2</v>
      </c>
      <c r="U146" s="3">
        <f t="shared" si="70"/>
        <v>2.9820997506725743E-2</v>
      </c>
      <c r="V146" s="3">
        <f t="shared" si="70"/>
        <v>2.9820997395334267E-2</v>
      </c>
      <c r="W146" s="3">
        <f t="shared" si="70"/>
        <v>2.9820996281419515E-2</v>
      </c>
      <c r="X146" s="3">
        <f t="shared" si="70"/>
        <v>2.9820985142274301E-2</v>
      </c>
      <c r="Y146" s="3">
        <f t="shared" si="70"/>
        <v>2.9820873751051011E-2</v>
      </c>
      <c r="Z146" s="3">
        <f t="shared" si="70"/>
        <v>2.9819759861702402E-2</v>
      </c>
      <c r="AA146" s="3">
        <f t="shared" ref="AA146" si="71">$C32*EXP(-AA$129/$A32/EXP(-$B$126))</f>
        <v>2.9808623256330876E-2</v>
      </c>
      <c r="AB146" s="3">
        <f t="shared" si="67"/>
        <v>2.9697485698151557E-2</v>
      </c>
      <c r="AC146" s="3">
        <f t="shared" si="67"/>
        <v>2.8608647002508054E-2</v>
      </c>
      <c r="AD146" s="3">
        <f t="shared" si="67"/>
        <v>1.9691268372130925E-2</v>
      </c>
      <c r="AE146" s="3">
        <f t="shared" si="67"/>
        <v>4.6993458979014075E-4</v>
      </c>
      <c r="AF146" s="3">
        <f t="shared" si="67"/>
        <v>2.816272194426123E-20</v>
      </c>
    </row>
    <row r="147" spans="1:32" x14ac:dyDescent="0.25">
      <c r="B147" s="3">
        <f t="shared" ref="B147:Z147" si="72">$C33*EXP(-B$129/$A33/EXP(-$B$126))</f>
        <v>3.5099038806424399E-2</v>
      </c>
      <c r="C147" s="3">
        <f t="shared" si="72"/>
        <v>3.5099038806424399E-2</v>
      </c>
      <c r="D147" s="3">
        <f t="shared" si="72"/>
        <v>3.5099038806424399E-2</v>
      </c>
      <c r="E147" s="3">
        <f t="shared" si="72"/>
        <v>3.5099038806424399E-2</v>
      </c>
      <c r="F147" s="3">
        <f t="shared" si="72"/>
        <v>3.5099038806424399E-2</v>
      </c>
      <c r="G147" s="3">
        <f t="shared" si="72"/>
        <v>3.5099038806424399E-2</v>
      </c>
      <c r="H147" s="3">
        <f t="shared" si="72"/>
        <v>3.5099038806424399E-2</v>
      </c>
      <c r="I147" s="3">
        <f t="shared" si="72"/>
        <v>3.5099038806424399E-2</v>
      </c>
      <c r="J147" s="3">
        <f t="shared" si="72"/>
        <v>3.5099038806424399E-2</v>
      </c>
      <c r="K147" s="3">
        <f t="shared" si="72"/>
        <v>3.5099038806424399E-2</v>
      </c>
      <c r="L147" s="3">
        <f t="shared" si="72"/>
        <v>3.5099038806424399E-2</v>
      </c>
      <c r="M147" s="3">
        <f t="shared" si="72"/>
        <v>3.5099038806424399E-2</v>
      </c>
      <c r="N147" s="3">
        <f t="shared" si="72"/>
        <v>3.5099038806424399E-2</v>
      </c>
      <c r="O147" s="3">
        <f t="shared" si="72"/>
        <v>3.5099038806424399E-2</v>
      </c>
      <c r="P147" s="3">
        <f t="shared" si="72"/>
        <v>3.5099038806424385E-2</v>
      </c>
      <c r="Q147" s="3">
        <f t="shared" si="72"/>
        <v>3.5099038806424267E-2</v>
      </c>
      <c r="R147" s="3">
        <f t="shared" si="72"/>
        <v>3.5099038806423087E-2</v>
      </c>
      <c r="S147" s="3">
        <f t="shared" si="72"/>
        <v>3.5099038806411256E-2</v>
      </c>
      <c r="T147" s="3">
        <f t="shared" si="72"/>
        <v>3.509903880629299E-2</v>
      </c>
      <c r="U147" s="3">
        <f t="shared" si="72"/>
        <v>3.5099038805110297E-2</v>
      </c>
      <c r="V147" s="3">
        <f t="shared" si="72"/>
        <v>3.5099038793283376E-2</v>
      </c>
      <c r="W147" s="3">
        <f t="shared" si="72"/>
        <v>3.5099038675014189E-2</v>
      </c>
      <c r="X147" s="3">
        <f t="shared" si="72"/>
        <v>3.5099037492322342E-2</v>
      </c>
      <c r="Y147" s="3">
        <f t="shared" si="72"/>
        <v>3.5099025665406049E-2</v>
      </c>
      <c r="Z147" s="3">
        <f t="shared" si="72"/>
        <v>3.5098907396462306E-2</v>
      </c>
      <c r="AA147" s="3">
        <f t="shared" ref="AA147" si="73">$C33*EXP(-AA$129/$A33/EXP(-$B$126))</f>
        <v>3.5097724728943069E-2</v>
      </c>
      <c r="AB147" s="3">
        <f t="shared" si="67"/>
        <v>3.5085900245296404E-2</v>
      </c>
      <c r="AC147" s="3">
        <f t="shared" si="67"/>
        <v>3.496787429041541E-2</v>
      </c>
      <c r="AD147" s="3">
        <f t="shared" si="67"/>
        <v>3.3809232452487209E-2</v>
      </c>
      <c r="AE147" s="3">
        <f t="shared" si="67"/>
        <v>2.4137712120991504E-2</v>
      </c>
      <c r="AF147" s="3">
        <f t="shared" si="67"/>
        <v>8.3043189878107134E-4</v>
      </c>
    </row>
    <row r="148" spans="1:32" x14ac:dyDescent="0.25">
      <c r="B148" s="3">
        <f t="shared" ref="B148:Z148" si="74">$C34*EXP(-B$129/$A34/EXP(-$B$126))</f>
        <v>3.5326793009577064E-2</v>
      </c>
      <c r="C148" s="3">
        <f t="shared" si="74"/>
        <v>3.5326793009577064E-2</v>
      </c>
      <c r="D148" s="3">
        <f t="shared" si="74"/>
        <v>3.5326793009577064E-2</v>
      </c>
      <c r="E148" s="3">
        <f t="shared" si="74"/>
        <v>3.5326793009577064E-2</v>
      </c>
      <c r="F148" s="3">
        <f t="shared" si="74"/>
        <v>3.5326793009577064E-2</v>
      </c>
      <c r="G148" s="3">
        <f t="shared" si="74"/>
        <v>3.5326793009577064E-2</v>
      </c>
      <c r="H148" s="3">
        <f t="shared" si="74"/>
        <v>3.5326793009577064E-2</v>
      </c>
      <c r="I148" s="3">
        <f t="shared" si="74"/>
        <v>3.5326793009577064E-2</v>
      </c>
      <c r="J148" s="3">
        <f t="shared" si="74"/>
        <v>3.5326793009577064E-2</v>
      </c>
      <c r="K148" s="3">
        <f t="shared" si="74"/>
        <v>3.5326793009577064E-2</v>
      </c>
      <c r="L148" s="3">
        <f t="shared" si="74"/>
        <v>3.5326793009577064E-2</v>
      </c>
      <c r="M148" s="3">
        <f t="shared" si="74"/>
        <v>3.5326793009577064E-2</v>
      </c>
      <c r="N148" s="3">
        <f t="shared" si="74"/>
        <v>3.5326793009577064E-2</v>
      </c>
      <c r="O148" s="3">
        <f t="shared" si="74"/>
        <v>3.5326793009577064E-2</v>
      </c>
      <c r="P148" s="3">
        <f t="shared" si="74"/>
        <v>3.5326793009577064E-2</v>
      </c>
      <c r="Q148" s="3">
        <f t="shared" si="74"/>
        <v>3.532679300957705E-2</v>
      </c>
      <c r="R148" s="3">
        <f t="shared" si="74"/>
        <v>3.5326793009576946E-2</v>
      </c>
      <c r="S148" s="3">
        <f t="shared" si="74"/>
        <v>3.532679300957587E-2</v>
      </c>
      <c r="T148" s="3">
        <f t="shared" si="74"/>
        <v>3.5326793009565136E-2</v>
      </c>
      <c r="U148" s="3">
        <f t="shared" si="74"/>
        <v>3.5326793009457749E-2</v>
      </c>
      <c r="V148" s="3">
        <f t="shared" si="74"/>
        <v>3.5326793008383942E-2</v>
      </c>
      <c r="W148" s="3">
        <f t="shared" si="74"/>
        <v>3.5326792997645851E-2</v>
      </c>
      <c r="X148" s="3">
        <f t="shared" si="74"/>
        <v>3.5326792890264906E-2</v>
      </c>
      <c r="Y148" s="3">
        <f t="shared" si="74"/>
        <v>3.5326791816455545E-2</v>
      </c>
      <c r="Z148" s="3">
        <f t="shared" si="74"/>
        <v>3.5326781078363734E-2</v>
      </c>
      <c r="AA148" s="3">
        <f>$C34*EXP(-AA$129/$A34/EXP(-$B$126))</f>
        <v>3.532667369762512E-2</v>
      </c>
      <c r="AB148" s="3">
        <f t="shared" si="67"/>
        <v>3.5325599908190723E-2</v>
      </c>
      <c r="AC148" s="3">
        <f t="shared" si="67"/>
        <v>3.5314863808822546E-2</v>
      </c>
      <c r="AD148" s="3">
        <f t="shared" si="67"/>
        <v>3.5207682111007721E-2</v>
      </c>
      <c r="AE148" s="3">
        <f t="shared" si="67"/>
        <v>3.415359470008883E-2</v>
      </c>
      <c r="AF148" s="3">
        <f t="shared" si="67"/>
        <v>2.5201493592864135E-2</v>
      </c>
    </row>
    <row r="149" spans="1:32" x14ac:dyDescent="0.25">
      <c r="B149" s="3">
        <f t="shared" ref="B149:Z149" si="75">$C35*EXP(-B$129/$A35/EXP(-$B$126))</f>
        <v>3.9296148740720876E-2</v>
      </c>
      <c r="C149" s="3">
        <f t="shared" si="75"/>
        <v>3.9296148740720876E-2</v>
      </c>
      <c r="D149" s="3">
        <f t="shared" si="75"/>
        <v>3.9296148740720876E-2</v>
      </c>
      <c r="E149" s="3">
        <f t="shared" si="75"/>
        <v>3.9296148740720876E-2</v>
      </c>
      <c r="F149" s="3">
        <f t="shared" si="75"/>
        <v>3.9296148740720876E-2</v>
      </c>
      <c r="G149" s="3">
        <f t="shared" si="75"/>
        <v>3.9296148740720876E-2</v>
      </c>
      <c r="H149" s="3">
        <f t="shared" si="75"/>
        <v>3.9296148740720876E-2</v>
      </c>
      <c r="I149" s="3">
        <f t="shared" si="75"/>
        <v>3.9296148740720876E-2</v>
      </c>
      <c r="J149" s="3">
        <f t="shared" si="75"/>
        <v>3.9296148740720876E-2</v>
      </c>
      <c r="K149" s="3">
        <f t="shared" si="75"/>
        <v>3.9296148740720876E-2</v>
      </c>
      <c r="L149" s="3">
        <f t="shared" si="75"/>
        <v>3.9296148740720876E-2</v>
      </c>
      <c r="M149" s="3">
        <f t="shared" si="75"/>
        <v>3.9296148740720876E-2</v>
      </c>
      <c r="N149" s="3">
        <f t="shared" si="75"/>
        <v>3.9296148740720876E-2</v>
      </c>
      <c r="O149" s="3">
        <f t="shared" si="75"/>
        <v>3.9296148740720876E-2</v>
      </c>
      <c r="P149" s="3">
        <f t="shared" si="75"/>
        <v>3.9296148740720876E-2</v>
      </c>
      <c r="Q149" s="3">
        <f t="shared" si="75"/>
        <v>3.9296148740720876E-2</v>
      </c>
      <c r="R149" s="3">
        <f t="shared" si="75"/>
        <v>3.9296148740720863E-2</v>
      </c>
      <c r="S149" s="3">
        <f t="shared" si="75"/>
        <v>3.9296148740720759E-2</v>
      </c>
      <c r="T149" s="3">
        <f t="shared" si="75"/>
        <v>3.9296148740719683E-2</v>
      </c>
      <c r="U149" s="3">
        <f t="shared" si="75"/>
        <v>3.9296148740708907E-2</v>
      </c>
      <c r="V149" s="3">
        <f t="shared" si="75"/>
        <v>3.9296148740601153E-2</v>
      </c>
      <c r="W149" s="3">
        <f t="shared" si="75"/>
        <v>3.9296148739523647E-2</v>
      </c>
      <c r="X149" s="3">
        <f t="shared" si="75"/>
        <v>3.9296148728748592E-2</v>
      </c>
      <c r="Y149" s="3">
        <f t="shared" si="75"/>
        <v>3.9296148620998027E-2</v>
      </c>
      <c r="Z149" s="3">
        <f t="shared" si="75"/>
        <v>3.9296147543492387E-2</v>
      </c>
      <c r="AA149" s="3">
        <f t="shared" ref="AA149" si="76">$C35*EXP(-AA$129/$A35/EXP(-$B$126))</f>
        <v>3.9296136768437594E-2</v>
      </c>
      <c r="AB149" s="3">
        <f t="shared" si="67"/>
        <v>3.9296029018052209E-2</v>
      </c>
      <c r="AC149" s="3">
        <f t="shared" si="67"/>
        <v>3.9294951530448104E-2</v>
      </c>
      <c r="AD149" s="3">
        <f t="shared" si="67"/>
        <v>3.9284178279218089E-2</v>
      </c>
      <c r="AE149" s="3">
        <f t="shared" si="67"/>
        <v>3.9176608083299626E-2</v>
      </c>
      <c r="AF149" s="3">
        <f t="shared" si="67"/>
        <v>3.8116974285865822E-2</v>
      </c>
    </row>
    <row r="150" spans="1:32" x14ac:dyDescent="0.25">
      <c r="B150" s="3">
        <f t="shared" ref="B150:Z150" si="77">$C36*EXP(-B$129/$A36/EXP(-$B$126))</f>
        <v>3.6971709953281653E-2</v>
      </c>
      <c r="C150" s="3">
        <f t="shared" si="77"/>
        <v>3.6971709953281653E-2</v>
      </c>
      <c r="D150" s="3">
        <f t="shared" si="77"/>
        <v>3.6971709953281653E-2</v>
      </c>
      <c r="E150" s="3">
        <f t="shared" si="77"/>
        <v>3.6971709953281653E-2</v>
      </c>
      <c r="F150" s="3">
        <f t="shared" si="77"/>
        <v>3.6971709953281653E-2</v>
      </c>
      <c r="G150" s="3">
        <f t="shared" si="77"/>
        <v>3.6971709953281653E-2</v>
      </c>
      <c r="H150" s="3">
        <f t="shared" si="77"/>
        <v>3.6971709953281653E-2</v>
      </c>
      <c r="I150" s="3">
        <f t="shared" si="77"/>
        <v>3.6971709953281653E-2</v>
      </c>
      <c r="J150" s="3">
        <f t="shared" si="77"/>
        <v>3.6971709953281653E-2</v>
      </c>
      <c r="K150" s="3">
        <f t="shared" si="77"/>
        <v>3.6971709953281653E-2</v>
      </c>
      <c r="L150" s="3">
        <f t="shared" si="77"/>
        <v>3.6971709953281653E-2</v>
      </c>
      <c r="M150" s="3">
        <f t="shared" si="77"/>
        <v>3.6971709953281653E-2</v>
      </c>
      <c r="N150" s="3">
        <f t="shared" si="77"/>
        <v>3.6971709953281653E-2</v>
      </c>
      <c r="O150" s="3">
        <f t="shared" si="77"/>
        <v>3.6971709953281653E-2</v>
      </c>
      <c r="P150" s="3">
        <f t="shared" si="77"/>
        <v>3.6971709953281653E-2</v>
      </c>
      <c r="Q150" s="3">
        <f t="shared" si="77"/>
        <v>3.6971709953281653E-2</v>
      </c>
      <c r="R150" s="3">
        <f t="shared" si="77"/>
        <v>3.6971709953281653E-2</v>
      </c>
      <c r="S150" s="3">
        <f t="shared" si="77"/>
        <v>3.6971709953281646E-2</v>
      </c>
      <c r="T150" s="3">
        <f t="shared" si="77"/>
        <v>3.6971709953281549E-2</v>
      </c>
      <c r="U150" s="3">
        <f t="shared" si="77"/>
        <v>3.6971709953280633E-2</v>
      </c>
      <c r="V150" s="3">
        <f t="shared" si="77"/>
        <v>3.6971709953271488E-2</v>
      </c>
      <c r="W150" s="3">
        <f t="shared" si="77"/>
        <v>3.697170995318004E-2</v>
      </c>
      <c r="X150" s="3">
        <f t="shared" si="77"/>
        <v>3.6971709952265536E-2</v>
      </c>
      <c r="Y150" s="3">
        <f t="shared" si="77"/>
        <v>3.6971709943120497E-2</v>
      </c>
      <c r="Z150" s="3">
        <f t="shared" si="77"/>
        <v>3.697170985167008E-2</v>
      </c>
      <c r="AA150" s="3">
        <f t="shared" ref="AA150" si="78">$C36*EXP(-AA$129/$A36/EXP(-$B$126))</f>
        <v>3.6971708937165899E-2</v>
      </c>
      <c r="AB150" s="3">
        <f t="shared" si="67"/>
        <v>3.6971699792125397E-2</v>
      </c>
      <c r="AC150" s="3">
        <f t="shared" si="67"/>
        <v>3.6971608341844736E-2</v>
      </c>
      <c r="AD150" s="3">
        <f t="shared" si="67"/>
        <v>3.6970693851479289E-2</v>
      </c>
      <c r="AE150" s="3">
        <f t="shared" si="67"/>
        <v>3.6961550191824816E-2</v>
      </c>
      <c r="AF150" s="3">
        <f t="shared" si="67"/>
        <v>3.6870237881506257E-2</v>
      </c>
    </row>
    <row r="151" spans="1:32" x14ac:dyDescent="0.25">
      <c r="B151" s="3">
        <f t="shared" ref="B151:Z151" si="79">$C37*EXP(-B$129/$A37/EXP(-$B$126))</f>
        <v>4.6436807195408533E-2</v>
      </c>
      <c r="C151" s="3">
        <f t="shared" si="79"/>
        <v>4.6436807195408533E-2</v>
      </c>
      <c r="D151" s="3">
        <f t="shared" si="79"/>
        <v>4.6436807195408533E-2</v>
      </c>
      <c r="E151" s="3">
        <f t="shared" si="79"/>
        <v>4.6436807195408533E-2</v>
      </c>
      <c r="F151" s="3">
        <f t="shared" si="79"/>
        <v>4.6436807195408533E-2</v>
      </c>
      <c r="G151" s="3">
        <f t="shared" si="79"/>
        <v>4.6436807195408533E-2</v>
      </c>
      <c r="H151" s="3">
        <f t="shared" si="79"/>
        <v>4.6436807195408533E-2</v>
      </c>
      <c r="I151" s="3">
        <f t="shared" si="79"/>
        <v>4.6436807195408533E-2</v>
      </c>
      <c r="J151" s="3">
        <f t="shared" si="79"/>
        <v>4.6436807195408533E-2</v>
      </c>
      <c r="K151" s="3">
        <f t="shared" si="79"/>
        <v>4.6436807195408533E-2</v>
      </c>
      <c r="L151" s="3">
        <f t="shared" si="79"/>
        <v>4.6436807195408533E-2</v>
      </c>
      <c r="M151" s="3">
        <f t="shared" si="79"/>
        <v>4.6436807195408533E-2</v>
      </c>
      <c r="N151" s="3">
        <f t="shared" si="79"/>
        <v>4.6436807195408533E-2</v>
      </c>
      <c r="O151" s="3">
        <f t="shared" si="79"/>
        <v>4.6436807195408533E-2</v>
      </c>
      <c r="P151" s="3">
        <f t="shared" si="79"/>
        <v>4.6436807195408533E-2</v>
      </c>
      <c r="Q151" s="3">
        <f t="shared" si="79"/>
        <v>4.6436807195408533E-2</v>
      </c>
      <c r="R151" s="3">
        <f t="shared" si="79"/>
        <v>4.6436807195408533E-2</v>
      </c>
      <c r="S151" s="3">
        <f t="shared" si="79"/>
        <v>4.6436807195408533E-2</v>
      </c>
      <c r="T151" s="3">
        <f t="shared" si="79"/>
        <v>4.6436807195408526E-2</v>
      </c>
      <c r="U151" s="3">
        <f t="shared" si="79"/>
        <v>4.6436807195408422E-2</v>
      </c>
      <c r="V151" s="3">
        <f t="shared" si="79"/>
        <v>4.6436807195407381E-2</v>
      </c>
      <c r="W151" s="3">
        <f t="shared" si="79"/>
        <v>4.6436807195397022E-2</v>
      </c>
      <c r="X151" s="3">
        <f t="shared" si="79"/>
        <v>4.6436807195293403E-2</v>
      </c>
      <c r="Y151" s="3">
        <f t="shared" si="79"/>
        <v>4.6436807194257246E-2</v>
      </c>
      <c r="Z151" s="3">
        <f t="shared" si="79"/>
        <v>4.6436807183895694E-2</v>
      </c>
      <c r="AA151" s="3">
        <f t="shared" ref="AA151" si="80">$C37*EXP(-AA$129/$A37/EXP(-$B$126))</f>
        <v>4.6436807080280099E-2</v>
      </c>
      <c r="AB151" s="3">
        <f t="shared" si="67"/>
        <v>4.6436806044124215E-2</v>
      </c>
      <c r="AC151" s="3">
        <f t="shared" si="67"/>
        <v>4.6436795682566624E-2</v>
      </c>
      <c r="AD151" s="3">
        <f t="shared" si="67"/>
        <v>4.6436692067117841E-2</v>
      </c>
      <c r="AE151" s="3">
        <f t="shared" si="67"/>
        <v>4.6435655925345931E-2</v>
      </c>
      <c r="AF151" s="3">
        <f t="shared" si="67"/>
        <v>4.6425295779110323E-2</v>
      </c>
    </row>
    <row r="152" spans="1:32" x14ac:dyDescent="0.25">
      <c r="B152" s="3">
        <f t="shared" ref="B152:Z152" si="81">$C38*EXP(-B$129/$A38/EXP(-$B$126))</f>
        <v>2.268011809777468E-2</v>
      </c>
      <c r="C152" s="3">
        <f t="shared" si="81"/>
        <v>2.268011809777468E-2</v>
      </c>
      <c r="D152" s="3">
        <f t="shared" si="81"/>
        <v>2.268011809777468E-2</v>
      </c>
      <c r="E152" s="3">
        <f t="shared" si="81"/>
        <v>2.268011809777468E-2</v>
      </c>
      <c r="F152" s="3">
        <f t="shared" si="81"/>
        <v>2.268011809777468E-2</v>
      </c>
      <c r="G152" s="3">
        <f t="shared" si="81"/>
        <v>2.268011809777468E-2</v>
      </c>
      <c r="H152" s="3">
        <f t="shared" si="81"/>
        <v>2.268011809777468E-2</v>
      </c>
      <c r="I152" s="3">
        <f t="shared" si="81"/>
        <v>2.268011809777468E-2</v>
      </c>
      <c r="J152" s="3">
        <f t="shared" si="81"/>
        <v>2.268011809777468E-2</v>
      </c>
      <c r="K152" s="3">
        <f t="shared" si="81"/>
        <v>2.268011809777468E-2</v>
      </c>
      <c r="L152" s="3">
        <f t="shared" si="81"/>
        <v>2.268011809777468E-2</v>
      </c>
      <c r="M152" s="3">
        <f t="shared" si="81"/>
        <v>2.268011809777468E-2</v>
      </c>
      <c r="N152" s="3">
        <f t="shared" si="81"/>
        <v>2.268011809777468E-2</v>
      </c>
      <c r="O152" s="3">
        <f t="shared" si="81"/>
        <v>2.268011809777468E-2</v>
      </c>
      <c r="P152" s="3">
        <f t="shared" si="81"/>
        <v>2.268011809777468E-2</v>
      </c>
      <c r="Q152" s="3">
        <f t="shared" si="81"/>
        <v>2.268011809777468E-2</v>
      </c>
      <c r="R152" s="3">
        <f t="shared" si="81"/>
        <v>2.268011809777468E-2</v>
      </c>
      <c r="S152" s="3">
        <f t="shared" si="81"/>
        <v>2.268011809777468E-2</v>
      </c>
      <c r="T152" s="3">
        <f t="shared" si="81"/>
        <v>2.268011809777468E-2</v>
      </c>
      <c r="U152" s="3">
        <f t="shared" si="81"/>
        <v>2.2680118097774676E-2</v>
      </c>
      <c r="V152" s="3">
        <f t="shared" si="81"/>
        <v>2.2680118097774628E-2</v>
      </c>
      <c r="W152" s="3">
        <f t="shared" si="81"/>
        <v>2.2680118097774173E-2</v>
      </c>
      <c r="X152" s="3">
        <f t="shared" si="81"/>
        <v>2.2680118097769607E-2</v>
      </c>
      <c r="Y152" s="3">
        <f t="shared" si="81"/>
        <v>2.2680118097723953E-2</v>
      </c>
      <c r="Z152" s="3">
        <f t="shared" si="81"/>
        <v>2.2680118097267443E-2</v>
      </c>
      <c r="AA152" s="3">
        <f t="shared" ref="AA152" si="82">$C38*EXP(-AA$129/$A38/EXP(-$B$126))</f>
        <v>2.2680118092702293E-2</v>
      </c>
      <c r="AB152" s="3">
        <f t="shared" si="67"/>
        <v>2.2680118047050838E-2</v>
      </c>
      <c r="AC152" s="3">
        <f t="shared" si="67"/>
        <v>2.2680117590536258E-2</v>
      </c>
      <c r="AD152" s="3">
        <f t="shared" si="67"/>
        <v>2.268011302539099E-2</v>
      </c>
      <c r="AE152" s="3">
        <f t="shared" si="67"/>
        <v>2.2680067373988838E-2</v>
      </c>
      <c r="AF152" s="3">
        <f t="shared" si="67"/>
        <v>2.2679610865021189E-2</v>
      </c>
    </row>
    <row r="153" spans="1:32" x14ac:dyDescent="0.25">
      <c r="B153" s="3">
        <f t="shared" ref="B153:Z153" si="83">$C39*EXP(-B$129/$A39/EXP(-$B$126))</f>
        <v>4.4296427252304087E-2</v>
      </c>
      <c r="C153" s="3">
        <f t="shared" si="83"/>
        <v>4.4296427252304087E-2</v>
      </c>
      <c r="D153" s="3">
        <f t="shared" si="83"/>
        <v>4.4296427252304087E-2</v>
      </c>
      <c r="E153" s="3">
        <f t="shared" si="83"/>
        <v>4.4296427252304087E-2</v>
      </c>
      <c r="F153" s="3">
        <f t="shared" si="83"/>
        <v>4.4296427252304087E-2</v>
      </c>
      <c r="G153" s="3">
        <f t="shared" si="83"/>
        <v>4.4296427252304087E-2</v>
      </c>
      <c r="H153" s="3">
        <f t="shared" si="83"/>
        <v>4.4296427252304087E-2</v>
      </c>
      <c r="I153" s="3">
        <f t="shared" si="83"/>
        <v>4.4296427252304087E-2</v>
      </c>
      <c r="J153" s="3">
        <f t="shared" si="83"/>
        <v>4.4296427252304087E-2</v>
      </c>
      <c r="K153" s="3">
        <f t="shared" si="83"/>
        <v>4.4296427252304087E-2</v>
      </c>
      <c r="L153" s="3">
        <f t="shared" si="83"/>
        <v>4.4296427252304087E-2</v>
      </c>
      <c r="M153" s="3">
        <f t="shared" si="83"/>
        <v>4.4296427252304087E-2</v>
      </c>
      <c r="N153" s="3">
        <f t="shared" si="83"/>
        <v>4.4296427252304087E-2</v>
      </c>
      <c r="O153" s="3">
        <f t="shared" si="83"/>
        <v>4.4296427252304087E-2</v>
      </c>
      <c r="P153" s="3">
        <f t="shared" si="83"/>
        <v>4.4296427252304087E-2</v>
      </c>
      <c r="Q153" s="3">
        <f t="shared" si="83"/>
        <v>4.4296427252304087E-2</v>
      </c>
      <c r="R153" s="3">
        <f t="shared" si="83"/>
        <v>4.4296427252304087E-2</v>
      </c>
      <c r="S153" s="3">
        <f t="shared" si="83"/>
        <v>4.4296427252304087E-2</v>
      </c>
      <c r="T153" s="3">
        <f t="shared" si="83"/>
        <v>4.4296427252304087E-2</v>
      </c>
      <c r="U153" s="3">
        <f t="shared" si="83"/>
        <v>4.429642725230408E-2</v>
      </c>
      <c r="V153" s="3">
        <f t="shared" si="83"/>
        <v>4.4296427252304059E-2</v>
      </c>
      <c r="W153" s="3">
        <f t="shared" si="83"/>
        <v>4.4296427252303809E-2</v>
      </c>
      <c r="X153" s="3">
        <f t="shared" si="83"/>
        <v>4.4296427252301346E-2</v>
      </c>
      <c r="Y153" s="3">
        <f t="shared" si="83"/>
        <v>4.4296427252276692E-2</v>
      </c>
      <c r="Z153" s="3">
        <f t="shared" si="83"/>
        <v>4.4296427252030084E-2</v>
      </c>
      <c r="AA153" s="3">
        <f t="shared" ref="AA153" si="84">$C39*EXP(-AA$129/$A39/EXP(-$B$126))</f>
        <v>4.4296427249564098E-2</v>
      </c>
      <c r="AB153" s="3">
        <f t="shared" si="67"/>
        <v>4.429642722490422E-2</v>
      </c>
      <c r="AC153" s="3">
        <f t="shared" si="67"/>
        <v>4.4296426978305457E-2</v>
      </c>
      <c r="AD153" s="3">
        <f t="shared" si="67"/>
        <v>4.4296424512317849E-2</v>
      </c>
      <c r="AE153" s="3">
        <f t="shared" si="67"/>
        <v>4.4296399852449306E-2</v>
      </c>
      <c r="AF153" s="3">
        <f t="shared" si="67"/>
        <v>4.4296153254518911E-2</v>
      </c>
    </row>
    <row r="154" spans="1:32" x14ac:dyDescent="0.25">
      <c r="B154" s="3">
        <f t="shared" ref="B154:Z154" si="85">$C40*EXP(-B$129/$A40/EXP(-$B$126))</f>
        <v>5.3706126554366823E-2</v>
      </c>
      <c r="C154" s="3">
        <f t="shared" si="85"/>
        <v>5.3706126554366823E-2</v>
      </c>
      <c r="D154" s="3">
        <f t="shared" si="85"/>
        <v>5.3706126554366823E-2</v>
      </c>
      <c r="E154" s="3">
        <f t="shared" si="85"/>
        <v>5.3706126554366823E-2</v>
      </c>
      <c r="F154" s="3">
        <f t="shared" si="85"/>
        <v>5.3706126554366823E-2</v>
      </c>
      <c r="G154" s="3">
        <f t="shared" si="85"/>
        <v>5.3706126554366823E-2</v>
      </c>
      <c r="H154" s="3">
        <f t="shared" si="85"/>
        <v>5.3706126554366823E-2</v>
      </c>
      <c r="I154" s="3">
        <f t="shared" si="85"/>
        <v>5.3706126554366823E-2</v>
      </c>
      <c r="J154" s="3">
        <f t="shared" si="85"/>
        <v>5.3706126554366823E-2</v>
      </c>
      <c r="K154" s="3">
        <f t="shared" si="85"/>
        <v>5.3706126554366823E-2</v>
      </c>
      <c r="L154" s="3">
        <f t="shared" si="85"/>
        <v>5.3706126554366823E-2</v>
      </c>
      <c r="M154" s="3">
        <f t="shared" si="85"/>
        <v>5.3706126554366823E-2</v>
      </c>
      <c r="N154" s="3">
        <f t="shared" si="85"/>
        <v>5.3706126554366823E-2</v>
      </c>
      <c r="O154" s="3">
        <f t="shared" si="85"/>
        <v>5.3706126554366823E-2</v>
      </c>
      <c r="P154" s="3">
        <f t="shared" si="85"/>
        <v>5.3706126554366823E-2</v>
      </c>
      <c r="Q154" s="3">
        <f t="shared" si="85"/>
        <v>5.3706126554366823E-2</v>
      </c>
      <c r="R154" s="3">
        <f t="shared" si="85"/>
        <v>5.3706126554366823E-2</v>
      </c>
      <c r="S154" s="3">
        <f t="shared" si="85"/>
        <v>5.3706126554366823E-2</v>
      </c>
      <c r="T154" s="3">
        <f t="shared" si="85"/>
        <v>5.3706126554366823E-2</v>
      </c>
      <c r="U154" s="3">
        <f t="shared" si="85"/>
        <v>5.3706126554366823E-2</v>
      </c>
      <c r="V154" s="3">
        <f t="shared" si="85"/>
        <v>5.3706126554366816E-2</v>
      </c>
      <c r="W154" s="3">
        <f t="shared" si="85"/>
        <v>5.3706126554366788E-2</v>
      </c>
      <c r="X154" s="3">
        <f t="shared" si="85"/>
        <v>5.370612655436649E-2</v>
      </c>
      <c r="Y154" s="3">
        <f t="shared" si="85"/>
        <v>5.3706126554363499E-2</v>
      </c>
      <c r="Z154" s="3">
        <f t="shared" si="85"/>
        <v>5.3706126554333607E-2</v>
      </c>
      <c r="AA154" s="3">
        <f t="shared" ref="AA154:AF154" si="86">$C40*EXP(-AA$129/$A40/EXP(-$B$126))</f>
        <v>5.3706126554034617E-2</v>
      </c>
      <c r="AB154" s="3">
        <f t="shared" si="86"/>
        <v>5.3706126551044793E-2</v>
      </c>
      <c r="AC154" s="3">
        <f t="shared" si="86"/>
        <v>5.3706126521146522E-2</v>
      </c>
      <c r="AD154" s="3">
        <f t="shared" si="86"/>
        <v>5.3706126222163843E-2</v>
      </c>
      <c r="AE154" s="3">
        <f t="shared" si="86"/>
        <v>5.3706123232337102E-2</v>
      </c>
      <c r="AF154" s="3">
        <f t="shared" si="86"/>
        <v>5.3706093334078872E-2</v>
      </c>
    </row>
    <row r="155" spans="1:32" x14ac:dyDescent="0.25">
      <c r="B155" s="3">
        <f t="shared" ref="B155:Z155" si="87">$C41*EXP(-B$129/$A41/EXP(-$B$126))</f>
        <v>5.7988003135982742E-2</v>
      </c>
      <c r="C155" s="3">
        <f t="shared" si="87"/>
        <v>5.7988003135982742E-2</v>
      </c>
      <c r="D155" s="3">
        <f t="shared" si="87"/>
        <v>5.7988003135982742E-2</v>
      </c>
      <c r="E155" s="3">
        <f t="shared" si="87"/>
        <v>5.7988003135982742E-2</v>
      </c>
      <c r="F155" s="3">
        <f t="shared" si="87"/>
        <v>5.7988003135982742E-2</v>
      </c>
      <c r="G155" s="3">
        <f t="shared" si="87"/>
        <v>5.7988003135982742E-2</v>
      </c>
      <c r="H155" s="3">
        <f t="shared" si="87"/>
        <v>5.7988003135982742E-2</v>
      </c>
      <c r="I155" s="3">
        <f t="shared" si="87"/>
        <v>5.7988003135982742E-2</v>
      </c>
      <c r="J155" s="3">
        <f t="shared" si="87"/>
        <v>5.7988003135982742E-2</v>
      </c>
      <c r="K155" s="3">
        <f t="shared" si="87"/>
        <v>5.7988003135982742E-2</v>
      </c>
      <c r="L155" s="3">
        <f t="shared" si="87"/>
        <v>5.7988003135982742E-2</v>
      </c>
      <c r="M155" s="3">
        <f t="shared" si="87"/>
        <v>5.7988003135982742E-2</v>
      </c>
      <c r="N155" s="3">
        <f t="shared" si="87"/>
        <v>5.7988003135982742E-2</v>
      </c>
      <c r="O155" s="3">
        <f t="shared" si="87"/>
        <v>5.7988003135982742E-2</v>
      </c>
      <c r="P155" s="3">
        <f t="shared" si="87"/>
        <v>5.7988003135982742E-2</v>
      </c>
      <c r="Q155" s="3">
        <f t="shared" si="87"/>
        <v>5.7988003135982742E-2</v>
      </c>
      <c r="R155" s="3">
        <f t="shared" si="87"/>
        <v>5.7988003135982742E-2</v>
      </c>
      <c r="S155" s="3">
        <f t="shared" si="87"/>
        <v>5.7988003135982742E-2</v>
      </c>
      <c r="T155" s="3">
        <f t="shared" si="87"/>
        <v>5.7988003135982742E-2</v>
      </c>
      <c r="U155" s="3">
        <f t="shared" si="87"/>
        <v>5.7988003135982742E-2</v>
      </c>
      <c r="V155" s="3">
        <f t="shared" si="87"/>
        <v>5.7988003135982742E-2</v>
      </c>
      <c r="W155" s="3">
        <f t="shared" si="87"/>
        <v>5.7988003135982735E-2</v>
      </c>
      <c r="X155" s="3">
        <f t="shared" si="87"/>
        <v>5.7988003135982701E-2</v>
      </c>
      <c r="Y155" s="3">
        <f t="shared" si="87"/>
        <v>5.7988003135982381E-2</v>
      </c>
      <c r="Z155" s="3">
        <f t="shared" si="87"/>
        <v>5.7988003135979155E-2</v>
      </c>
      <c r="AA155" s="3">
        <f t="shared" ref="AA155:AF155" si="88">$C41*EXP(-AA$129/$A41/EXP(-$B$126))</f>
        <v>5.7988003135946875E-2</v>
      </c>
      <c r="AB155" s="3">
        <f t="shared" si="88"/>
        <v>5.798800313562405E-2</v>
      </c>
      <c r="AC155" s="3">
        <f t="shared" si="88"/>
        <v>5.7988003132395854E-2</v>
      </c>
      <c r="AD155" s="3">
        <f t="shared" si="88"/>
        <v>5.7988003100113858E-2</v>
      </c>
      <c r="AE155" s="3">
        <f t="shared" si="88"/>
        <v>5.798800277729392E-2</v>
      </c>
      <c r="AF155" s="3">
        <f t="shared" si="88"/>
        <v>5.7987999549094574E-2</v>
      </c>
    </row>
    <row r="156" spans="1:32" x14ac:dyDescent="0.25">
      <c r="B156" s="3">
        <f t="shared" ref="B156:Z156" si="89">$C42*EXP(-B$129/$A42/EXP(-$B$126))</f>
        <v>5.3687364876348918E-2</v>
      </c>
      <c r="C156" s="3">
        <f t="shared" si="89"/>
        <v>5.3687364876348918E-2</v>
      </c>
      <c r="D156" s="3">
        <f t="shared" si="89"/>
        <v>5.3687364876348918E-2</v>
      </c>
      <c r="E156" s="3">
        <f t="shared" si="89"/>
        <v>5.3687364876348918E-2</v>
      </c>
      <c r="F156" s="3">
        <f t="shared" si="89"/>
        <v>5.3687364876348918E-2</v>
      </c>
      <c r="G156" s="3">
        <f t="shared" si="89"/>
        <v>5.3687364876348918E-2</v>
      </c>
      <c r="H156" s="3">
        <f t="shared" si="89"/>
        <v>5.3687364876348918E-2</v>
      </c>
      <c r="I156" s="3">
        <f t="shared" si="89"/>
        <v>5.3687364876348918E-2</v>
      </c>
      <c r="J156" s="3">
        <f t="shared" si="89"/>
        <v>5.3687364876348918E-2</v>
      </c>
      <c r="K156" s="3">
        <f t="shared" si="89"/>
        <v>5.3687364876348918E-2</v>
      </c>
      <c r="L156" s="3">
        <f t="shared" si="89"/>
        <v>5.3687364876348918E-2</v>
      </c>
      <c r="M156" s="3">
        <f t="shared" si="89"/>
        <v>5.3687364876348918E-2</v>
      </c>
      <c r="N156" s="3">
        <f t="shared" si="89"/>
        <v>5.3687364876348918E-2</v>
      </c>
      <c r="O156" s="3">
        <f t="shared" si="89"/>
        <v>5.3687364876348918E-2</v>
      </c>
      <c r="P156" s="3">
        <f t="shared" si="89"/>
        <v>5.3687364876348918E-2</v>
      </c>
      <c r="Q156" s="3">
        <f t="shared" si="89"/>
        <v>5.3687364876348918E-2</v>
      </c>
      <c r="R156" s="3">
        <f t="shared" si="89"/>
        <v>5.3687364876348918E-2</v>
      </c>
      <c r="S156" s="3">
        <f t="shared" si="89"/>
        <v>5.3687364876348918E-2</v>
      </c>
      <c r="T156" s="3">
        <f t="shared" si="89"/>
        <v>5.3687364876348918E-2</v>
      </c>
      <c r="U156" s="3">
        <f t="shared" si="89"/>
        <v>5.3687364876348918E-2</v>
      </c>
      <c r="V156" s="3">
        <f t="shared" si="89"/>
        <v>5.3687364876348918E-2</v>
      </c>
      <c r="W156" s="3">
        <f t="shared" si="89"/>
        <v>5.3687364876348918E-2</v>
      </c>
      <c r="X156" s="3">
        <f t="shared" si="89"/>
        <v>5.3687364876348911E-2</v>
      </c>
      <c r="Y156" s="3">
        <f t="shared" si="89"/>
        <v>5.3687364876348884E-2</v>
      </c>
      <c r="Z156" s="3">
        <f t="shared" si="89"/>
        <v>5.3687364876348585E-2</v>
      </c>
      <c r="AA156" s="3">
        <f t="shared" ref="AA156:AF156" si="90">$C42*EXP(-AA$129/$A42/EXP(-$B$126))</f>
        <v>5.3687364876345602E-2</v>
      </c>
      <c r="AB156" s="3">
        <f t="shared" si="90"/>
        <v>5.3687364876315716E-2</v>
      </c>
      <c r="AC156" s="3">
        <f t="shared" si="90"/>
        <v>5.368736487601683E-2</v>
      </c>
      <c r="AD156" s="3">
        <f t="shared" si="90"/>
        <v>5.3687364873028047E-2</v>
      </c>
      <c r="AE156" s="3">
        <f t="shared" si="90"/>
        <v>5.3687364843140226E-2</v>
      </c>
      <c r="AF156" s="3">
        <f t="shared" si="90"/>
        <v>5.3687364544261991E-2</v>
      </c>
    </row>
    <row r="157" spans="1:32" x14ac:dyDescent="0.25">
      <c r="B157" s="3">
        <f t="shared" ref="B157:Z157" si="91">$C43*EXP(-B$129/$A43/EXP(-$B$126))</f>
        <v>3.7741648856749126E-2</v>
      </c>
      <c r="C157" s="3">
        <f t="shared" si="91"/>
        <v>3.7741648856749126E-2</v>
      </c>
      <c r="D157" s="3">
        <f t="shared" si="91"/>
        <v>3.7741648856749126E-2</v>
      </c>
      <c r="E157" s="3">
        <f t="shared" si="91"/>
        <v>3.7741648856749126E-2</v>
      </c>
      <c r="F157" s="3">
        <f t="shared" si="91"/>
        <v>3.7741648856749126E-2</v>
      </c>
      <c r="G157" s="3">
        <f t="shared" si="91"/>
        <v>3.7741648856749126E-2</v>
      </c>
      <c r="H157" s="3">
        <f t="shared" si="91"/>
        <v>3.7741648856749126E-2</v>
      </c>
      <c r="I157" s="3">
        <f t="shared" si="91"/>
        <v>3.7741648856749126E-2</v>
      </c>
      <c r="J157" s="3">
        <f t="shared" si="91"/>
        <v>3.7741648856749126E-2</v>
      </c>
      <c r="K157" s="3">
        <f t="shared" si="91"/>
        <v>3.7741648856749126E-2</v>
      </c>
      <c r="L157" s="3">
        <f t="shared" si="91"/>
        <v>3.7741648856749126E-2</v>
      </c>
      <c r="M157" s="3">
        <f t="shared" si="91"/>
        <v>3.7741648856749126E-2</v>
      </c>
      <c r="N157" s="3">
        <f t="shared" si="91"/>
        <v>3.7741648856749126E-2</v>
      </c>
      <c r="O157" s="3">
        <f t="shared" si="91"/>
        <v>3.7741648856749126E-2</v>
      </c>
      <c r="P157" s="3">
        <f t="shared" si="91"/>
        <v>3.7741648856749126E-2</v>
      </c>
      <c r="Q157" s="3">
        <f t="shared" si="91"/>
        <v>3.7741648856749126E-2</v>
      </c>
      <c r="R157" s="3">
        <f t="shared" si="91"/>
        <v>3.7741648856749126E-2</v>
      </c>
      <c r="S157" s="3">
        <f t="shared" si="91"/>
        <v>3.7741648856749126E-2</v>
      </c>
      <c r="T157" s="3">
        <f t="shared" si="91"/>
        <v>3.7741648856749126E-2</v>
      </c>
      <c r="U157" s="3">
        <f t="shared" si="91"/>
        <v>3.7741648856749126E-2</v>
      </c>
      <c r="V157" s="3">
        <f t="shared" si="91"/>
        <v>3.7741648856749126E-2</v>
      </c>
      <c r="W157" s="3">
        <f t="shared" si="91"/>
        <v>3.7741648856749126E-2</v>
      </c>
      <c r="X157" s="3">
        <f t="shared" si="91"/>
        <v>3.7741648856749126E-2</v>
      </c>
      <c r="Y157" s="3">
        <f t="shared" si="91"/>
        <v>3.7741648856749119E-2</v>
      </c>
      <c r="Z157" s="3">
        <f t="shared" si="91"/>
        <v>3.7741648856749098E-2</v>
      </c>
      <c r="AA157" s="3">
        <f t="shared" ref="AA157:AF157" si="92">$C43*EXP(-AA$129/$A43/EXP(-$B$126))</f>
        <v>3.774164885674889E-2</v>
      </c>
      <c r="AB157" s="3">
        <f t="shared" si="92"/>
        <v>3.7741648856746794E-2</v>
      </c>
      <c r="AC157" s="3">
        <f t="shared" si="92"/>
        <v>3.7741648856725783E-2</v>
      </c>
      <c r="AD157" s="3">
        <f t="shared" si="92"/>
        <v>3.7741648856515674E-2</v>
      </c>
      <c r="AE157" s="3">
        <f t="shared" si="92"/>
        <v>3.774164885441459E-2</v>
      </c>
      <c r="AF157" s="3">
        <f t="shared" si="92"/>
        <v>3.7741648833403765E-2</v>
      </c>
    </row>
    <row r="158" spans="1:32" x14ac:dyDescent="0.25">
      <c r="B158" s="3">
        <f t="shared" ref="B158:Z158" si="93">$C44*EXP(-B$129/$A44/EXP(-$B$126))</f>
        <v>2.2979827884217336E-2</v>
      </c>
      <c r="C158" s="3">
        <f t="shared" si="93"/>
        <v>2.2979827884217336E-2</v>
      </c>
      <c r="D158" s="3">
        <f t="shared" si="93"/>
        <v>2.2979827884217336E-2</v>
      </c>
      <c r="E158" s="3">
        <f t="shared" si="93"/>
        <v>2.2979827884217336E-2</v>
      </c>
      <c r="F158" s="3">
        <f t="shared" si="93"/>
        <v>2.2979827884217336E-2</v>
      </c>
      <c r="G158" s="3">
        <f t="shared" si="93"/>
        <v>2.2979827884217336E-2</v>
      </c>
      <c r="H158" s="3">
        <f t="shared" si="93"/>
        <v>2.2979827884217336E-2</v>
      </c>
      <c r="I158" s="3">
        <f t="shared" si="93"/>
        <v>2.2979827884217336E-2</v>
      </c>
      <c r="J158" s="3">
        <f t="shared" si="93"/>
        <v>2.2979827884217336E-2</v>
      </c>
      <c r="K158" s="3">
        <f t="shared" si="93"/>
        <v>2.2979827884217336E-2</v>
      </c>
      <c r="L158" s="3">
        <f t="shared" si="93"/>
        <v>2.2979827884217336E-2</v>
      </c>
      <c r="M158" s="3">
        <f t="shared" si="93"/>
        <v>2.2979827884217336E-2</v>
      </c>
      <c r="N158" s="3">
        <f t="shared" si="93"/>
        <v>2.2979827884217336E-2</v>
      </c>
      <c r="O158" s="3">
        <f t="shared" si="93"/>
        <v>2.2979827884217336E-2</v>
      </c>
      <c r="P158" s="3">
        <f t="shared" si="93"/>
        <v>2.2979827884217336E-2</v>
      </c>
      <c r="Q158" s="3">
        <f t="shared" si="93"/>
        <v>2.2979827884217336E-2</v>
      </c>
      <c r="R158" s="3">
        <f t="shared" si="93"/>
        <v>2.2979827884217336E-2</v>
      </c>
      <c r="S158" s="3">
        <f t="shared" si="93"/>
        <v>2.2979827884217336E-2</v>
      </c>
      <c r="T158" s="3">
        <f t="shared" si="93"/>
        <v>2.2979827884217336E-2</v>
      </c>
      <c r="U158" s="3">
        <f t="shared" si="93"/>
        <v>2.2979827884217336E-2</v>
      </c>
      <c r="V158" s="3">
        <f t="shared" si="93"/>
        <v>2.2979827884217336E-2</v>
      </c>
      <c r="W158" s="3">
        <f t="shared" si="93"/>
        <v>2.2979827884217336E-2</v>
      </c>
      <c r="X158" s="3">
        <f t="shared" si="93"/>
        <v>2.2979827884217336E-2</v>
      </c>
      <c r="Y158" s="3">
        <f t="shared" si="93"/>
        <v>2.2979827884217336E-2</v>
      </c>
      <c r="Z158" s="3">
        <f t="shared" si="93"/>
        <v>2.2979827884217333E-2</v>
      </c>
      <c r="AA158" s="3">
        <f t="shared" ref="AA158:AF158" si="94">$C44*EXP(-AA$129/$A44/EXP(-$B$126))</f>
        <v>2.2979827884217322E-2</v>
      </c>
      <c r="AB158" s="3">
        <f t="shared" si="94"/>
        <v>2.2979827884217194E-2</v>
      </c>
      <c r="AC158" s="3">
        <f t="shared" si="94"/>
        <v>2.2979827884215914E-2</v>
      </c>
      <c r="AD158" s="3">
        <f t="shared" si="94"/>
        <v>2.2979827884203122E-2</v>
      </c>
      <c r="AE158" s="3">
        <f t="shared" si="94"/>
        <v>2.2979827884075193E-2</v>
      </c>
      <c r="AF158" s="3">
        <f t="shared" si="94"/>
        <v>2.29798278827959E-2</v>
      </c>
    </row>
    <row r="159" spans="1:32" x14ac:dyDescent="0.25">
      <c r="A159" s="11" t="s">
        <v>75</v>
      </c>
      <c r="B159" s="3">
        <f t="shared" ref="B159:Z159" si="95">$C45*EXP(-B$129/$A45/EXP(-$B$126))</f>
        <v>9.4093651761472351E-3</v>
      </c>
      <c r="C159" s="3">
        <f t="shared" si="95"/>
        <v>9.4093651761472351E-3</v>
      </c>
      <c r="D159" s="3">
        <f t="shared" si="95"/>
        <v>9.4093651761472351E-3</v>
      </c>
      <c r="E159" s="3">
        <f t="shared" si="95"/>
        <v>9.4093651761472351E-3</v>
      </c>
      <c r="F159" s="3">
        <f t="shared" si="95"/>
        <v>9.4093651761472351E-3</v>
      </c>
      <c r="G159" s="3">
        <f t="shared" si="95"/>
        <v>9.4093651761472351E-3</v>
      </c>
      <c r="H159" s="3">
        <f t="shared" si="95"/>
        <v>9.4093651761472351E-3</v>
      </c>
      <c r="I159" s="3">
        <f t="shared" si="95"/>
        <v>9.4093651761472351E-3</v>
      </c>
      <c r="J159" s="3">
        <f t="shared" si="95"/>
        <v>9.4093651761472351E-3</v>
      </c>
      <c r="K159" s="3">
        <f t="shared" si="95"/>
        <v>9.4093651761472351E-3</v>
      </c>
      <c r="L159" s="3">
        <f t="shared" si="95"/>
        <v>9.4093651761472351E-3</v>
      </c>
      <c r="M159" s="3">
        <f t="shared" si="95"/>
        <v>9.4093651761472351E-3</v>
      </c>
      <c r="N159" s="3">
        <f t="shared" si="95"/>
        <v>9.4093651761472351E-3</v>
      </c>
      <c r="O159" s="3">
        <f t="shared" si="95"/>
        <v>9.4093651761472351E-3</v>
      </c>
      <c r="P159" s="3">
        <f t="shared" si="95"/>
        <v>9.4093651761472351E-3</v>
      </c>
      <c r="Q159" s="3">
        <f t="shared" si="95"/>
        <v>9.4093651761472351E-3</v>
      </c>
      <c r="R159" s="3">
        <f t="shared" si="95"/>
        <v>9.4093651761472351E-3</v>
      </c>
      <c r="S159" s="3">
        <f t="shared" si="95"/>
        <v>9.4093651761472351E-3</v>
      </c>
      <c r="T159" s="3">
        <f t="shared" si="95"/>
        <v>9.4093651761472351E-3</v>
      </c>
      <c r="U159" s="3">
        <f t="shared" si="95"/>
        <v>9.4093651761472351E-3</v>
      </c>
      <c r="V159" s="3">
        <f t="shared" si="95"/>
        <v>9.4093651761472351E-3</v>
      </c>
      <c r="W159" s="3">
        <f t="shared" si="95"/>
        <v>9.4093651761472351E-3</v>
      </c>
      <c r="X159" s="3">
        <f t="shared" si="95"/>
        <v>9.4093651761472351E-3</v>
      </c>
      <c r="Y159" s="3">
        <f t="shared" si="95"/>
        <v>9.4093651761472351E-3</v>
      </c>
      <c r="Z159" s="3">
        <f t="shared" si="95"/>
        <v>9.4093651761472351E-3</v>
      </c>
      <c r="AA159" s="3">
        <f t="shared" ref="AA159:AF159" si="96">$C45*EXP(-AA$129/$A45/EXP(-$B$126))</f>
        <v>9.4093651761472333E-3</v>
      </c>
      <c r="AB159" s="3">
        <f t="shared" si="96"/>
        <v>9.4093651761472281E-3</v>
      </c>
      <c r="AC159" s="3">
        <f t="shared" si="96"/>
        <v>9.4093651761471761E-3</v>
      </c>
      <c r="AD159" s="3">
        <f t="shared" si="96"/>
        <v>9.409365176146654E-3</v>
      </c>
      <c r="AE159" s="3">
        <f t="shared" si="96"/>
        <v>9.4093651761414151E-3</v>
      </c>
      <c r="AF159" s="3">
        <f t="shared" si="96"/>
        <v>9.4093651760890316E-3</v>
      </c>
    </row>
    <row r="160" spans="1:32" x14ac:dyDescent="0.25">
      <c r="B160" s="3">
        <f t="shared" ref="B160:Z160" si="97">$C46*EXP(-B$129/$A46/EXP(-$B$126))</f>
        <v>6.2705621285313361E-3</v>
      </c>
      <c r="C160" s="3">
        <f t="shared" si="97"/>
        <v>6.2705621285313361E-3</v>
      </c>
      <c r="D160" s="3">
        <f t="shared" si="97"/>
        <v>6.2705621285313361E-3</v>
      </c>
      <c r="E160" s="3">
        <f t="shared" si="97"/>
        <v>6.2705621285313361E-3</v>
      </c>
      <c r="F160" s="3">
        <f t="shared" si="97"/>
        <v>6.2705621285313361E-3</v>
      </c>
      <c r="G160" s="3">
        <f t="shared" si="97"/>
        <v>6.2705621285313361E-3</v>
      </c>
      <c r="H160" s="3">
        <f t="shared" si="97"/>
        <v>6.2705621285313361E-3</v>
      </c>
      <c r="I160" s="3">
        <f t="shared" si="97"/>
        <v>6.2705621285313361E-3</v>
      </c>
      <c r="J160" s="3">
        <f t="shared" si="97"/>
        <v>6.2705621285313361E-3</v>
      </c>
      <c r="K160" s="3">
        <f t="shared" si="97"/>
        <v>6.2705621285313361E-3</v>
      </c>
      <c r="L160" s="3">
        <f t="shared" si="97"/>
        <v>6.2705621285313361E-3</v>
      </c>
      <c r="M160" s="3">
        <f t="shared" si="97"/>
        <v>6.2705621285313361E-3</v>
      </c>
      <c r="N160" s="3">
        <f t="shared" si="97"/>
        <v>6.2705621285313361E-3</v>
      </c>
      <c r="O160" s="3">
        <f t="shared" si="97"/>
        <v>6.2705621285313361E-3</v>
      </c>
      <c r="P160" s="3">
        <f t="shared" si="97"/>
        <v>6.2705621285313361E-3</v>
      </c>
      <c r="Q160" s="3">
        <f t="shared" si="97"/>
        <v>6.2705621285313361E-3</v>
      </c>
      <c r="R160" s="3">
        <f t="shared" si="97"/>
        <v>6.2705621285313361E-3</v>
      </c>
      <c r="S160" s="3">
        <f t="shared" si="97"/>
        <v>6.2705621285313361E-3</v>
      </c>
      <c r="T160" s="3">
        <f t="shared" si="97"/>
        <v>6.2705621285313361E-3</v>
      </c>
      <c r="U160" s="3">
        <f t="shared" si="97"/>
        <v>6.2705621285313361E-3</v>
      </c>
      <c r="V160" s="3">
        <f t="shared" si="97"/>
        <v>6.2705621285313361E-3</v>
      </c>
      <c r="W160" s="3">
        <f t="shared" si="97"/>
        <v>6.2705621285313361E-3</v>
      </c>
      <c r="X160" s="3">
        <f t="shared" si="97"/>
        <v>6.2705621285313361E-3</v>
      </c>
      <c r="Y160" s="3">
        <f t="shared" si="97"/>
        <v>6.2705621285313361E-3</v>
      </c>
      <c r="Z160" s="3">
        <f t="shared" si="97"/>
        <v>6.2705621285313361E-3</v>
      </c>
      <c r="AA160" s="3">
        <f t="shared" ref="AA160:AF160" si="98">$C46*EXP(-AA$129/$A46/EXP(-$B$126))</f>
        <v>6.2705621285313361E-3</v>
      </c>
      <c r="AB160" s="3">
        <f t="shared" si="98"/>
        <v>6.2705621285313352E-3</v>
      </c>
      <c r="AC160" s="3">
        <f t="shared" si="98"/>
        <v>6.2705621285313318E-3</v>
      </c>
      <c r="AD160" s="3">
        <f t="shared" si="98"/>
        <v>6.2705621285312971E-3</v>
      </c>
      <c r="AE160" s="3">
        <f t="shared" si="98"/>
        <v>6.2705621285309484E-3</v>
      </c>
      <c r="AF160" s="3">
        <f t="shared" si="98"/>
        <v>6.2705621285274581E-3</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1.3778594746513384E-2</v>
      </c>
      <c r="C162" s="3">
        <f t="shared" si="101"/>
        <v>1.3778594746513384E-2</v>
      </c>
      <c r="D162" s="3">
        <f t="shared" si="101"/>
        <v>1.3778594746513384E-2</v>
      </c>
      <c r="E162" s="3">
        <f t="shared" si="101"/>
        <v>1.3778594746513384E-2</v>
      </c>
      <c r="F162" s="3">
        <f t="shared" si="101"/>
        <v>1.3778594746513384E-2</v>
      </c>
      <c r="G162" s="3">
        <f t="shared" si="101"/>
        <v>1.3778594746513384E-2</v>
      </c>
      <c r="H162" s="3">
        <f t="shared" si="101"/>
        <v>1.3778594746513384E-2</v>
      </c>
      <c r="I162" s="3">
        <f t="shared" si="101"/>
        <v>1.3778594746513384E-2</v>
      </c>
      <c r="J162" s="3">
        <f t="shared" si="101"/>
        <v>1.3778594746513384E-2</v>
      </c>
      <c r="K162" s="3">
        <f t="shared" si="101"/>
        <v>1.3778594746513384E-2</v>
      </c>
      <c r="L162" s="3">
        <f t="shared" si="101"/>
        <v>1.3778594746513384E-2</v>
      </c>
      <c r="M162" s="3">
        <f t="shared" si="101"/>
        <v>1.3778594746513384E-2</v>
      </c>
      <c r="N162" s="3">
        <f t="shared" si="101"/>
        <v>1.3778594746513384E-2</v>
      </c>
      <c r="O162" s="3">
        <f t="shared" si="101"/>
        <v>1.3778594746513384E-2</v>
      </c>
      <c r="P162" s="3">
        <f t="shared" si="101"/>
        <v>1.3778594746513384E-2</v>
      </c>
      <c r="Q162" s="3">
        <f t="shared" si="101"/>
        <v>1.3778594746513384E-2</v>
      </c>
      <c r="R162" s="3">
        <f t="shared" si="101"/>
        <v>1.3778594746513384E-2</v>
      </c>
      <c r="S162" s="3">
        <f t="shared" si="101"/>
        <v>1.3778594746513384E-2</v>
      </c>
      <c r="T162" s="3">
        <f t="shared" si="101"/>
        <v>1.3778594746513384E-2</v>
      </c>
      <c r="U162" s="3">
        <f t="shared" si="101"/>
        <v>1.3778594746513384E-2</v>
      </c>
      <c r="V162" s="3">
        <f t="shared" si="101"/>
        <v>1.3778594746513384E-2</v>
      </c>
      <c r="W162" s="3">
        <f t="shared" si="101"/>
        <v>1.3778594746513384E-2</v>
      </c>
      <c r="X162" s="3">
        <f t="shared" si="101"/>
        <v>1.3778594746513384E-2</v>
      </c>
      <c r="Y162" s="3">
        <f t="shared" si="101"/>
        <v>1.3778594746513384E-2</v>
      </c>
      <c r="Z162" s="3">
        <f t="shared" si="101"/>
        <v>1.3778594746513384E-2</v>
      </c>
      <c r="AA162" s="3">
        <f t="shared" ref="AA162:AF162" si="102">$C48*EXP(-AA$129/$A48/EXP(-$B$126))</f>
        <v>1.3778594746513384E-2</v>
      </c>
      <c r="AB162" s="3">
        <f t="shared" si="102"/>
        <v>1.3778594746513384E-2</v>
      </c>
      <c r="AC162" s="3">
        <f t="shared" si="102"/>
        <v>1.3778594746513384E-2</v>
      </c>
      <c r="AD162" s="3">
        <f t="shared" si="102"/>
        <v>1.3778594746513382E-2</v>
      </c>
      <c r="AE162" s="3">
        <f t="shared" si="102"/>
        <v>1.3778594746513375E-2</v>
      </c>
      <c r="AF162" s="3">
        <f t="shared" si="102"/>
        <v>1.3778594746513299E-2</v>
      </c>
    </row>
    <row r="163" spans="1:34" x14ac:dyDescent="0.25">
      <c r="A163" s="79">
        <f>AVERAGE(B163:AF163)</f>
        <v>1.8194642133691673E-2</v>
      </c>
      <c r="B163" s="80">
        <f>IF($A$64&lt;=B129,IF($B$64&gt;=B129,ABS((B131-B130)/B130),0),0)</f>
        <v>2.4243889674764401E-3</v>
      </c>
      <c r="C163" s="80">
        <f t="shared" ref="C163:AF163" si="103">IF($A$64&lt;=C129,IF($B$64&gt;=C129,ABS((C131-C130)/C130),0),0)</f>
        <v>2.4302193186453535E-3</v>
      </c>
      <c r="D163" s="80">
        <f t="shared" si="103"/>
        <v>2.4266291147423931E-3</v>
      </c>
      <c r="E163" s="80">
        <f t="shared" si="103"/>
        <v>2.4256343226227196E-3</v>
      </c>
      <c r="F163" s="80">
        <f t="shared" si="103"/>
        <v>2.426552170530455E-3</v>
      </c>
      <c r="G163" s="80">
        <f t="shared" si="103"/>
        <v>2.4388996324836557E-3</v>
      </c>
      <c r="H163" s="80">
        <f t="shared" si="103"/>
        <v>2.5632953919450131E-3</v>
      </c>
      <c r="I163" s="80">
        <f t="shared" si="103"/>
        <v>3.7699854694196503E-3</v>
      </c>
      <c r="J163" s="80">
        <f t="shared" si="103"/>
        <v>1.2768499345405127E-2</v>
      </c>
      <c r="K163" s="80">
        <f t="shared" si="103"/>
        <v>2.4802223772176678E-2</v>
      </c>
      <c r="L163" s="80">
        <f t="shared" si="103"/>
        <v>2.4846824429338953E-2</v>
      </c>
      <c r="M163" s="80">
        <f t="shared" si="103"/>
        <v>2.4831317596025915E-2</v>
      </c>
      <c r="N163" s="80">
        <f t="shared" si="103"/>
        <v>2.4677939268734309E-2</v>
      </c>
      <c r="O163" s="80">
        <f t="shared" si="103"/>
        <v>2.3237833063173344E-2</v>
      </c>
      <c r="P163" s="80">
        <f t="shared" si="103"/>
        <v>1.3108382336290402E-2</v>
      </c>
      <c r="Q163" s="80">
        <f t="shared" si="103"/>
        <v>2.042560025816122E-2</v>
      </c>
      <c r="R163" s="80">
        <f t="shared" si="103"/>
        <v>2.066175054866233E-2</v>
      </c>
      <c r="S163" s="80">
        <f t="shared" si="103"/>
        <v>2.1471206283453323E-2</v>
      </c>
      <c r="T163" s="80">
        <f t="shared" si="103"/>
        <v>2.3294018063316758E-2</v>
      </c>
      <c r="U163" s="80">
        <f t="shared" si="103"/>
        <v>2.5242594808608576E-2</v>
      </c>
      <c r="V163" s="80">
        <f t="shared" si="103"/>
        <v>2.3640593975559246E-2</v>
      </c>
      <c r="W163" s="80">
        <f t="shared" si="103"/>
        <v>1.278400005974714E-2</v>
      </c>
      <c r="X163" s="80">
        <f t="shared" si="103"/>
        <v>4.0988060929322365E-3</v>
      </c>
      <c r="Y163" s="80">
        <f t="shared" si="103"/>
        <v>1.7360733584596066E-2</v>
      </c>
      <c r="Z163" s="80">
        <f t="shared" si="103"/>
        <v>2.2243520089141513E-2</v>
      </c>
      <c r="AA163" s="80">
        <f t="shared" si="103"/>
        <v>2.5874785990767767E-2</v>
      </c>
      <c r="AB163" s="80">
        <f t="shared" si="103"/>
        <v>3.4894300615197209E-2</v>
      </c>
      <c r="AC163" s="80">
        <f t="shared" si="103"/>
        <v>4.2275193921460535E-2</v>
      </c>
      <c r="AD163" s="80">
        <f t="shared" si="103"/>
        <v>4.109195141804009E-2</v>
      </c>
      <c r="AE163" s="80">
        <f t="shared" si="103"/>
        <v>3.6966997942115908E-2</v>
      </c>
      <c r="AF163" s="80">
        <f t="shared" si="103"/>
        <v>2.2529228293671582E-2</v>
      </c>
    </row>
    <row r="164" spans="1:34" x14ac:dyDescent="0.25">
      <c r="B164" s="21">
        <f>(B131-B130)^2</f>
        <v>186.1583974603742</v>
      </c>
      <c r="C164" s="21">
        <f t="shared" ref="C164:AF164" si="104">(C131-C130)^2</f>
        <v>187.05703529599177</v>
      </c>
      <c r="D164" s="21">
        <f t="shared" si="104"/>
        <v>186.50341142509271</v>
      </c>
      <c r="E164" s="21">
        <f t="shared" si="104"/>
        <v>186.35011101149058</v>
      </c>
      <c r="F164" s="21">
        <f t="shared" si="104"/>
        <v>186.49104204995433</v>
      </c>
      <c r="G164" s="21">
        <f t="shared" si="104"/>
        <v>188.39373295217609</v>
      </c>
      <c r="H164" s="21">
        <f t="shared" si="104"/>
        <v>208.10182912494193</v>
      </c>
      <c r="I164" s="21">
        <f t="shared" si="104"/>
        <v>450.15067511717535</v>
      </c>
      <c r="J164" s="21">
        <f t="shared" si="104"/>
        <v>5163.6673788643911</v>
      </c>
      <c r="K164" s="21">
        <f t="shared" si="104"/>
        <v>19483.167880261284</v>
      </c>
      <c r="L164" s="21">
        <f t="shared" si="104"/>
        <v>19553.209627139771</v>
      </c>
      <c r="M164" s="21">
        <f t="shared" si="104"/>
        <v>19527.89352669003</v>
      </c>
      <c r="N164" s="21">
        <f t="shared" si="104"/>
        <v>19278.408113780722</v>
      </c>
      <c r="O164" s="21">
        <f t="shared" si="104"/>
        <v>17018.021771839034</v>
      </c>
      <c r="P164" s="21">
        <f t="shared" si="104"/>
        <v>5230.8208960426391</v>
      </c>
      <c r="Q164" s="21">
        <f t="shared" si="104"/>
        <v>11990.249691919558</v>
      </c>
      <c r="R164" s="21">
        <f t="shared" si="104"/>
        <v>11767.791897522131</v>
      </c>
      <c r="S164" s="21">
        <f t="shared" si="104"/>
        <v>12173.976193731312</v>
      </c>
      <c r="T164" s="21">
        <f t="shared" si="104"/>
        <v>13650.849799992398</v>
      </c>
      <c r="U164" s="21">
        <f t="shared" si="104"/>
        <v>15182.790296591924</v>
      </c>
      <c r="V164" s="21">
        <f t="shared" si="104"/>
        <v>12425.327288812961</v>
      </c>
      <c r="W164" s="21">
        <f t="shared" si="104"/>
        <v>3313.3836171512557</v>
      </c>
      <c r="X164" s="21">
        <f t="shared" si="104"/>
        <v>306.8068450114028</v>
      </c>
      <c r="Y164" s="21">
        <f t="shared" si="104"/>
        <v>4964.2758547766944</v>
      </c>
      <c r="Z164" s="21">
        <f t="shared" si="104"/>
        <v>7328.4281472820303</v>
      </c>
      <c r="AA164" s="21">
        <f t="shared" si="104"/>
        <v>8792.6431249687994</v>
      </c>
      <c r="AB164" s="21">
        <f t="shared" si="104"/>
        <v>14113.254995810144</v>
      </c>
      <c r="AC164" s="21">
        <f t="shared" si="104"/>
        <v>18586.408872493019</v>
      </c>
      <c r="AD164" s="21">
        <f t="shared" si="104"/>
        <v>15895.541257279629</v>
      </c>
      <c r="AE164" s="21">
        <f t="shared" si="104"/>
        <v>11619.283760331022</v>
      </c>
      <c r="AF164" s="21">
        <f t="shared" si="104"/>
        <v>3897.3496403854592</v>
      </c>
    </row>
    <row r="165" spans="1:34" x14ac:dyDescent="0.25">
      <c r="A165" s="71">
        <f>SUM(B165:AF165)</f>
        <v>273042.75671311491</v>
      </c>
      <c r="B165" s="60">
        <f>IF($A$64&lt;=B129,IF($B$64&gt;=B129,ABS(B164),0),0)</f>
        <v>186.1583974603742</v>
      </c>
      <c r="C165" s="60">
        <f t="shared" ref="C165:AF165" si="105">IF($A$64&lt;=C129,IF($B$64&gt;=C129,ABS(C164),0),0)</f>
        <v>187.05703529599177</v>
      </c>
      <c r="D165" s="60">
        <f t="shared" si="105"/>
        <v>186.50341142509271</v>
      </c>
      <c r="E165" s="60">
        <f t="shared" si="105"/>
        <v>186.35011101149058</v>
      </c>
      <c r="F165" s="60">
        <f t="shared" si="105"/>
        <v>186.49104204995433</v>
      </c>
      <c r="G165" s="60">
        <f t="shared" si="105"/>
        <v>188.39373295217609</v>
      </c>
      <c r="H165" s="60">
        <f t="shared" si="105"/>
        <v>208.10182912494193</v>
      </c>
      <c r="I165" s="60">
        <f t="shared" si="105"/>
        <v>450.15067511717535</v>
      </c>
      <c r="J165" s="60">
        <f t="shared" si="105"/>
        <v>5163.6673788643911</v>
      </c>
      <c r="K165" s="60">
        <f t="shared" si="105"/>
        <v>19483.167880261284</v>
      </c>
      <c r="L165" s="60">
        <f t="shared" si="105"/>
        <v>19553.209627139771</v>
      </c>
      <c r="M165" s="60">
        <f t="shared" si="105"/>
        <v>19527.89352669003</v>
      </c>
      <c r="N165" s="60">
        <f t="shared" si="105"/>
        <v>19278.408113780722</v>
      </c>
      <c r="O165" s="60">
        <f t="shared" si="105"/>
        <v>17018.021771839034</v>
      </c>
      <c r="P165" s="60">
        <f t="shared" si="105"/>
        <v>5230.8208960426391</v>
      </c>
      <c r="Q165" s="60">
        <f t="shared" si="105"/>
        <v>11990.249691919558</v>
      </c>
      <c r="R165" s="60">
        <f t="shared" si="105"/>
        <v>11767.791897522131</v>
      </c>
      <c r="S165" s="60">
        <f t="shared" si="105"/>
        <v>12173.976193731312</v>
      </c>
      <c r="T165" s="60">
        <f t="shared" si="105"/>
        <v>13650.849799992398</v>
      </c>
      <c r="U165" s="60">
        <f t="shared" si="105"/>
        <v>15182.790296591924</v>
      </c>
      <c r="V165" s="60">
        <f t="shared" si="105"/>
        <v>12425.327288812961</v>
      </c>
      <c r="W165" s="60">
        <f t="shared" si="105"/>
        <v>3313.3836171512557</v>
      </c>
      <c r="X165" s="60">
        <f t="shared" si="105"/>
        <v>306.8068450114028</v>
      </c>
      <c r="Y165" s="60">
        <f t="shared" si="105"/>
        <v>4964.2758547766944</v>
      </c>
      <c r="Z165" s="60">
        <f t="shared" si="105"/>
        <v>7328.4281472820303</v>
      </c>
      <c r="AA165" s="60">
        <f t="shared" si="105"/>
        <v>8792.6431249687994</v>
      </c>
      <c r="AB165" s="60">
        <f t="shared" si="105"/>
        <v>14113.254995810144</v>
      </c>
      <c r="AC165" s="60">
        <f t="shared" si="105"/>
        <v>18586.408872493019</v>
      </c>
      <c r="AD165" s="60">
        <f t="shared" si="105"/>
        <v>15895.541257279629</v>
      </c>
      <c r="AE165" s="60">
        <f t="shared" si="105"/>
        <v>11619.283760331022</v>
      </c>
      <c r="AF165" s="60">
        <f t="shared" si="105"/>
        <v>3897.3496403854592</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0" t="s">
        <v>22</v>
      </c>
      <c r="B170" s="27">
        <f>($C$17+SUM(B171:B201))*$B$51</f>
        <v>5613.9557878911801</v>
      </c>
      <c r="C170" s="27">
        <f t="shared" ref="C170:AF170" si="106">($C$17+SUM(C171:C201))*$B$51</f>
        <v>5612.1264870656478</v>
      </c>
      <c r="D170" s="27">
        <f t="shared" si="106"/>
        <v>5595.2324706283316</v>
      </c>
      <c r="E170" s="27">
        <f t="shared" si="106"/>
        <v>5512.812272535456</v>
      </c>
      <c r="F170" s="27">
        <f t="shared" si="106"/>
        <v>5487.9639166922843</v>
      </c>
      <c r="G170" s="27">
        <f t="shared" si="106"/>
        <v>5487.9529617865473</v>
      </c>
      <c r="H170" s="27">
        <f t="shared" si="106"/>
        <v>5487.843545342429</v>
      </c>
      <c r="I170" s="27">
        <f t="shared" si="106"/>
        <v>5486.7515884643844</v>
      </c>
      <c r="J170" s="27">
        <f t="shared" si="106"/>
        <v>5476.0497506815891</v>
      </c>
      <c r="K170" s="27">
        <f t="shared" si="106"/>
        <v>5388.0700671230788</v>
      </c>
      <c r="L170" s="27">
        <f t="shared" si="106"/>
        <v>5184.2651646343338</v>
      </c>
      <c r="M170" s="27">
        <f t="shared" si="106"/>
        <v>5103.6419889478793</v>
      </c>
      <c r="N170" s="27">
        <f t="shared" si="106"/>
        <v>4971.2366345185974</v>
      </c>
      <c r="O170" s="27">
        <f t="shared" si="106"/>
        <v>4839.7847637763034</v>
      </c>
      <c r="P170" s="27">
        <f t="shared" si="106"/>
        <v>4689.5773831769684</v>
      </c>
      <c r="Q170" s="27">
        <f t="shared" si="106"/>
        <v>4530.9135279971015</v>
      </c>
      <c r="R170" s="27">
        <f t="shared" si="106"/>
        <v>4372.4991928987019</v>
      </c>
      <c r="S170" s="27">
        <f t="shared" si="106"/>
        <v>4220.1696458213682</v>
      </c>
      <c r="T170" s="27">
        <f t="shared" si="106"/>
        <v>4044.9389490453614</v>
      </c>
      <c r="U170" s="27">
        <f t="shared" si="106"/>
        <v>3835.1259527024763</v>
      </c>
      <c r="V170" s="27">
        <f t="shared" si="106"/>
        <v>3625.5728725644458</v>
      </c>
      <c r="W170" s="27">
        <f t="shared" si="106"/>
        <v>3453.4982185571239</v>
      </c>
      <c r="X170" s="27">
        <f t="shared" si="106"/>
        <v>3290.1828270535821</v>
      </c>
      <c r="Y170" s="27">
        <f t="shared" si="106"/>
        <v>3125.7970081161825</v>
      </c>
      <c r="Z170" s="27">
        <f t="shared" si="106"/>
        <v>2947.8066322148261</v>
      </c>
      <c r="AA170" s="27">
        <f t="shared" si="106"/>
        <v>2757.5816322809496</v>
      </c>
      <c r="AB170" s="27">
        <f t="shared" si="106"/>
        <v>2556.7786932834101</v>
      </c>
      <c r="AC170" s="27">
        <f t="shared" si="106"/>
        <v>2349.6267913316128</v>
      </c>
      <c r="AD170" s="27">
        <f t="shared" si="106"/>
        <v>2129.9128912825067</v>
      </c>
      <c r="AE170" s="27">
        <f t="shared" si="106"/>
        <v>1906.7365812141275</v>
      </c>
      <c r="AF170" s="27">
        <f t="shared" si="106"/>
        <v>1627.975561115454</v>
      </c>
      <c r="AG170" s="27"/>
      <c r="AH170" s="27"/>
    </row>
    <row r="171" spans="1:34" x14ac:dyDescent="0.25">
      <c r="B171" s="3">
        <f t="shared" ref="B171:AF171" si="107">$C18*EXP(-B$168/$A18/EXP(-$C$126))</f>
        <v>2.2441585322361183E-2</v>
      </c>
      <c r="C171" s="3">
        <f t="shared" si="107"/>
        <v>2.2115748598249853E-2</v>
      </c>
      <c r="D171" s="3">
        <f t="shared" si="107"/>
        <v>1.9106571199174634E-2</v>
      </c>
      <c r="E171" s="3">
        <f t="shared" si="107"/>
        <v>4.4258213852455836E-3</v>
      </c>
      <c r="F171" s="3">
        <f t="shared" si="107"/>
        <v>1.9683627698408221E-9</v>
      </c>
      <c r="G171" s="3">
        <f t="shared" si="107"/>
        <v>5.9596085346716213E-73</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5.0933893190291707E-2</v>
      </c>
      <c r="C172" s="3">
        <f t="shared" si="108"/>
        <v>5.0933892999470189E-2</v>
      </c>
      <c r="D172" s="3">
        <f t="shared" si="108"/>
        <v>5.0933891091255012E-2</v>
      </c>
      <c r="E172" s="3">
        <f t="shared" si="108"/>
        <v>5.0933872009107192E-2</v>
      </c>
      <c r="F172" s="3">
        <f t="shared" si="108"/>
        <v>5.0933681188022238E-2</v>
      </c>
      <c r="G172" s="3">
        <f t="shared" si="108"/>
        <v>5.0931773016491717E-2</v>
      </c>
      <c r="H172" s="3">
        <f t="shared" si="108"/>
        <v>5.0912695232554039E-2</v>
      </c>
      <c r="I172" s="3">
        <f t="shared" si="108"/>
        <v>5.0722309985506593E-2</v>
      </c>
      <c r="J172" s="3">
        <f t="shared" si="108"/>
        <v>4.885717795167599E-2</v>
      </c>
      <c r="K172" s="3">
        <f t="shared" si="108"/>
        <v>3.359092159299696E-2</v>
      </c>
      <c r="L172" s="3">
        <f t="shared" si="108"/>
        <v>7.9278848097364188E-4</v>
      </c>
      <c r="M172" s="3">
        <f t="shared" si="108"/>
        <v>4.2511991722144798E-20</v>
      </c>
      <c r="N172" s="3">
        <f t="shared" si="108"/>
        <v>8.357043528290265E-183</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9.679670540613217E-3</v>
      </c>
      <c r="C173" s="3">
        <f t="shared" si="109"/>
        <v>9.6796705373418616E-3</v>
      </c>
      <c r="D173" s="3">
        <f t="shared" si="109"/>
        <v>9.6796705046283144E-3</v>
      </c>
      <c r="E173" s="3">
        <f t="shared" si="109"/>
        <v>9.6796701774928412E-3</v>
      </c>
      <c r="F173" s="3">
        <f t="shared" si="109"/>
        <v>9.6796669061387196E-3</v>
      </c>
      <c r="G173" s="3">
        <f t="shared" si="109"/>
        <v>9.6796341926583054E-3</v>
      </c>
      <c r="H173" s="3">
        <f t="shared" si="109"/>
        <v>9.6793070639348416E-3</v>
      </c>
      <c r="I173" s="3">
        <f t="shared" si="109"/>
        <v>9.6760363846911026E-3</v>
      </c>
      <c r="J173" s="3">
        <f t="shared" si="109"/>
        <v>9.6433903153846628E-3</v>
      </c>
      <c r="K173" s="3">
        <f t="shared" si="109"/>
        <v>9.3229266852787197E-3</v>
      </c>
      <c r="L173" s="3">
        <f t="shared" si="109"/>
        <v>6.6493241844785634E-3</v>
      </c>
      <c r="M173" s="3">
        <f t="shared" si="109"/>
        <v>2.2648001768697337E-4</v>
      </c>
      <c r="N173" s="3">
        <f t="shared" si="109"/>
        <v>4.759416591375859E-19</v>
      </c>
      <c r="O173" s="3">
        <f t="shared" si="109"/>
        <v>7.9945131230565624E-166</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2.536966919746925E-2</v>
      </c>
      <c r="C174" s="3">
        <f t="shared" si="110"/>
        <v>2.5369669196695806E-2</v>
      </c>
      <c r="D174" s="3">
        <f t="shared" si="110"/>
        <v>2.5369669188961375E-2</v>
      </c>
      <c r="E174" s="3">
        <f t="shared" si="110"/>
        <v>2.5369669111617046E-2</v>
      </c>
      <c r="F174" s="3">
        <f t="shared" si="110"/>
        <v>2.5369668338173786E-2</v>
      </c>
      <c r="G174" s="3">
        <f t="shared" si="110"/>
        <v>2.5369660603742471E-2</v>
      </c>
      <c r="H174" s="3">
        <f t="shared" si="110"/>
        <v>2.5369583259559021E-2</v>
      </c>
      <c r="I174" s="3">
        <f t="shared" si="110"/>
        <v>2.5368809830693329E-2</v>
      </c>
      <c r="J174" s="3">
        <f t="shared" si="110"/>
        <v>2.536107683876886E-2</v>
      </c>
      <c r="K174" s="3">
        <f t="shared" si="110"/>
        <v>2.5283876446618114E-2</v>
      </c>
      <c r="L174" s="3">
        <f t="shared" si="110"/>
        <v>2.452468030966443E-2</v>
      </c>
      <c r="M174" s="3">
        <f t="shared" si="110"/>
        <v>1.8080078398600229E-2</v>
      </c>
      <c r="N174" s="3">
        <f t="shared" si="110"/>
        <v>8.5737310100261939E-4</v>
      </c>
      <c r="O174" s="3">
        <f t="shared" si="110"/>
        <v>4.9302086596359717E-17</v>
      </c>
      <c r="P174" s="3">
        <f t="shared" si="110"/>
        <v>1.9490355579970347E-149</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2.3098652732191242E-2</v>
      </c>
      <c r="C175" s="3">
        <f t="shared" si="111"/>
        <v>2.3098652732127713E-2</v>
      </c>
      <c r="D175" s="3">
        <f t="shared" si="111"/>
        <v>2.3098652731492465E-2</v>
      </c>
      <c r="E175" s="3">
        <f t="shared" si="111"/>
        <v>2.3098652725139932E-2</v>
      </c>
      <c r="F175" s="3">
        <f t="shared" si="111"/>
        <v>2.3098652661614604E-2</v>
      </c>
      <c r="G175" s="3">
        <f t="shared" si="111"/>
        <v>2.3098652026361351E-2</v>
      </c>
      <c r="H175" s="3">
        <f t="shared" si="111"/>
        <v>2.3098645673829795E-2</v>
      </c>
      <c r="I175" s="3">
        <f t="shared" si="111"/>
        <v>2.3098582148610308E-2</v>
      </c>
      <c r="J175" s="3">
        <f t="shared" si="111"/>
        <v>2.3097946906024132E-2</v>
      </c>
      <c r="K175" s="3">
        <f t="shared" si="111"/>
        <v>2.3091595440935305E-2</v>
      </c>
      <c r="L175" s="3">
        <f t="shared" si="111"/>
        <v>2.3028176769644523E-2</v>
      </c>
      <c r="M175" s="3">
        <f t="shared" si="111"/>
        <v>2.2403491065344072E-2</v>
      </c>
      <c r="N175" s="3">
        <f t="shared" si="111"/>
        <v>1.7016770292316259E-2</v>
      </c>
      <c r="O175" s="3">
        <f t="shared" si="111"/>
        <v>1.0876558922400048E-3</v>
      </c>
      <c r="P175" s="3">
        <f t="shared" si="111"/>
        <v>1.2377568035521699E-15</v>
      </c>
      <c r="Q175" s="3">
        <f t="shared" si="111"/>
        <v>4.5089287724244209E-135</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2.7646238683817364E-2</v>
      </c>
      <c r="C176" s="3">
        <f t="shared" si="112"/>
        <v>2.7646238683810501E-2</v>
      </c>
      <c r="D176" s="3">
        <f t="shared" si="112"/>
        <v>2.7646238683741914E-2</v>
      </c>
      <c r="E176" s="3">
        <f t="shared" si="112"/>
        <v>2.7646238683056046E-2</v>
      </c>
      <c r="F176" s="3">
        <f t="shared" si="112"/>
        <v>2.7646238676197327E-2</v>
      </c>
      <c r="G176" s="3">
        <f t="shared" si="112"/>
        <v>2.7646238607610153E-2</v>
      </c>
      <c r="H176" s="3">
        <f t="shared" si="112"/>
        <v>2.7646237921738443E-2</v>
      </c>
      <c r="I176" s="3">
        <f t="shared" si="112"/>
        <v>2.7646231063022247E-2</v>
      </c>
      <c r="J176" s="3">
        <f t="shared" si="112"/>
        <v>2.7646162475953868E-2</v>
      </c>
      <c r="K176" s="3">
        <f t="shared" si="112"/>
        <v>2.7645476614628624E-2</v>
      </c>
      <c r="L176" s="3">
        <f t="shared" si="112"/>
        <v>2.7638618937144088E-2</v>
      </c>
      <c r="M176" s="3">
        <f t="shared" si="112"/>
        <v>2.7570135653248184E-2</v>
      </c>
      <c r="N176" s="3">
        <f t="shared" si="112"/>
        <v>2.6894566657800639E-2</v>
      </c>
      <c r="O176" s="3">
        <f t="shared" si="112"/>
        <v>2.0985582661757922E-2</v>
      </c>
      <c r="P176" s="3">
        <f t="shared" si="112"/>
        <v>1.755843643719649E-3</v>
      </c>
      <c r="Q176" s="3">
        <f t="shared" si="112"/>
        <v>2.9521194014921465E-14</v>
      </c>
      <c r="R176" s="3">
        <f t="shared" si="112"/>
        <v>5.3286195187913171E-122</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2.9577709875860995E-2</v>
      </c>
      <c r="C177" s="3">
        <f t="shared" si="113"/>
        <v>2.9577709875860333E-2</v>
      </c>
      <c r="D177" s="3">
        <f t="shared" si="113"/>
        <v>2.9577709875853713E-2</v>
      </c>
      <c r="E177" s="3">
        <f t="shared" si="113"/>
        <v>2.957770987578752E-2</v>
      </c>
      <c r="F177" s="3">
        <f t="shared" si="113"/>
        <v>2.957770987512558E-2</v>
      </c>
      <c r="G177" s="3">
        <f t="shared" si="113"/>
        <v>2.9577709868506191E-2</v>
      </c>
      <c r="H177" s="3">
        <f t="shared" si="113"/>
        <v>2.957770980231229E-2</v>
      </c>
      <c r="I177" s="3">
        <f t="shared" si="113"/>
        <v>2.957770914037328E-2</v>
      </c>
      <c r="J177" s="3">
        <f t="shared" si="113"/>
        <v>2.957770252098401E-2</v>
      </c>
      <c r="K177" s="3">
        <f t="shared" si="113"/>
        <v>2.9577636327172783E-2</v>
      </c>
      <c r="L177" s="3">
        <f t="shared" si="113"/>
        <v>2.957697439720814E-2</v>
      </c>
      <c r="M177" s="3">
        <f t="shared" si="113"/>
        <v>2.957035591225499E-2</v>
      </c>
      <c r="N177" s="3">
        <f t="shared" si="113"/>
        <v>2.9504252464634451E-2</v>
      </c>
      <c r="O177" s="3">
        <f t="shared" si="113"/>
        <v>2.8851291176488311E-2</v>
      </c>
      <c r="P177" s="3">
        <f t="shared" si="113"/>
        <v>2.3065965393276638E-2</v>
      </c>
      <c r="Q177" s="3">
        <f t="shared" si="113"/>
        <v>2.4605684941849349E-3</v>
      </c>
      <c r="R177" s="3">
        <f t="shared" si="113"/>
        <v>4.6954117952659354E-13</v>
      </c>
      <c r="S177" s="3">
        <f t="shared" si="113"/>
        <v>3.0064636954813494E-110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2.994820305942178E-2</v>
      </c>
      <c r="C178" s="3">
        <f t="shared" si="114"/>
        <v>2.9948203059421721E-2</v>
      </c>
      <c r="D178" s="3">
        <f t="shared" si="114"/>
        <v>2.9948203059421113E-2</v>
      </c>
      <c r="E178" s="3">
        <f t="shared" si="114"/>
        <v>2.994820305941507E-2</v>
      </c>
      <c r="F178" s="3">
        <f t="shared" si="114"/>
        <v>2.9948203059354611E-2</v>
      </c>
      <c r="G178" s="3">
        <f t="shared" si="114"/>
        <v>2.9948203058750004E-2</v>
      </c>
      <c r="H178" s="3">
        <f t="shared" si="114"/>
        <v>2.9948203052703969E-2</v>
      </c>
      <c r="I178" s="3">
        <f t="shared" si="114"/>
        <v>2.9948202992243596E-2</v>
      </c>
      <c r="J178" s="3">
        <f t="shared" si="114"/>
        <v>2.994820238763991E-2</v>
      </c>
      <c r="K178" s="3">
        <f t="shared" si="114"/>
        <v>2.9948196341603717E-2</v>
      </c>
      <c r="L178" s="3">
        <f t="shared" si="114"/>
        <v>2.9948135881308891E-2</v>
      </c>
      <c r="M178" s="3">
        <f t="shared" si="114"/>
        <v>2.9947531285073842E-2</v>
      </c>
      <c r="N178" s="3">
        <f t="shared" si="114"/>
        <v>2.9941485993993724E-2</v>
      </c>
      <c r="O178" s="3">
        <f t="shared" si="114"/>
        <v>2.9881100160113534E-2</v>
      </c>
      <c r="P178" s="3">
        <f t="shared" si="114"/>
        <v>2.9283899678543134E-2</v>
      </c>
      <c r="Q178" s="3">
        <f t="shared" si="114"/>
        <v>2.3930522518273503E-2</v>
      </c>
      <c r="R178" s="3">
        <f t="shared" si="114"/>
        <v>3.1782268499359239E-3</v>
      </c>
      <c r="S178" s="3">
        <f t="shared" si="114"/>
        <v>5.4264024569360962E-12</v>
      </c>
      <c r="T178" s="3">
        <f t="shared" si="114"/>
        <v>1.1423076485682272E-99</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2.7071587467149303E-2</v>
      </c>
      <c r="C179" s="3">
        <f t="shared" si="115"/>
        <v>2.7071587467149296E-2</v>
      </c>
      <c r="D179" s="3">
        <f t="shared" si="115"/>
        <v>2.7071587467149247E-2</v>
      </c>
      <c r="E179" s="3">
        <f t="shared" si="115"/>
        <v>2.7071587467148755E-2</v>
      </c>
      <c r="F179" s="3">
        <f t="shared" si="115"/>
        <v>2.7071587467143825E-2</v>
      </c>
      <c r="G179" s="3">
        <f t="shared" si="115"/>
        <v>2.7071587467094524E-2</v>
      </c>
      <c r="H179" s="3">
        <f t="shared" si="115"/>
        <v>2.7071587466601509E-2</v>
      </c>
      <c r="I179" s="3">
        <f t="shared" si="115"/>
        <v>2.7071587461671355E-2</v>
      </c>
      <c r="J179" s="3">
        <f t="shared" si="115"/>
        <v>2.7071587412369834E-2</v>
      </c>
      <c r="K179" s="3">
        <f t="shared" si="115"/>
        <v>2.7071586919354601E-2</v>
      </c>
      <c r="L179" s="3">
        <f t="shared" si="115"/>
        <v>2.707158198920278E-2</v>
      </c>
      <c r="M179" s="3">
        <f t="shared" si="115"/>
        <v>2.7071532687733959E-2</v>
      </c>
      <c r="N179" s="3">
        <f t="shared" si="115"/>
        <v>2.7071039677983931E-2</v>
      </c>
      <c r="O179" s="3">
        <f t="shared" si="115"/>
        <v>2.7066110074267756E-2</v>
      </c>
      <c r="P179" s="3">
        <f t="shared" si="115"/>
        <v>2.7016863382263445E-2</v>
      </c>
      <c r="Q179" s="3">
        <f t="shared" si="115"/>
        <v>2.6529297889222318E-2</v>
      </c>
      <c r="R179" s="3">
        <f t="shared" si="115"/>
        <v>2.2112306872632635E-2</v>
      </c>
      <c r="S179" s="3">
        <f t="shared" si="115"/>
        <v>3.5786318100049269E-3</v>
      </c>
      <c r="T179" s="3">
        <f t="shared" si="115"/>
        <v>4.411097626102603E-11</v>
      </c>
      <c r="U179" s="3">
        <f t="shared" si="115"/>
        <v>3.5714385842281249E-90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3.2012499426116107E-2</v>
      </c>
      <c r="C180" s="3">
        <f t="shared" si="116"/>
        <v>3.2012499426116107E-2</v>
      </c>
      <c r="D180" s="3">
        <f t="shared" si="116"/>
        <v>3.2012499426116101E-2</v>
      </c>
      <c r="E180" s="3">
        <f t="shared" si="116"/>
        <v>3.2012499426116052E-2</v>
      </c>
      <c r="F180" s="3">
        <f t="shared" si="116"/>
        <v>3.2012499426115525E-2</v>
      </c>
      <c r="G180" s="3">
        <f t="shared" si="116"/>
        <v>3.2012499426110265E-2</v>
      </c>
      <c r="H180" s="3">
        <f t="shared" si="116"/>
        <v>3.2012499426057675E-2</v>
      </c>
      <c r="I180" s="3">
        <f t="shared" si="116"/>
        <v>3.2012499425531762E-2</v>
      </c>
      <c r="J180" s="3">
        <f t="shared" si="116"/>
        <v>3.2012499420272643E-2</v>
      </c>
      <c r="K180" s="3">
        <f t="shared" si="116"/>
        <v>3.2012499367681482E-2</v>
      </c>
      <c r="L180" s="3">
        <f t="shared" si="116"/>
        <v>3.2012498841769835E-2</v>
      </c>
      <c r="M180" s="3">
        <f t="shared" si="116"/>
        <v>3.2012493582653845E-2</v>
      </c>
      <c r="N180" s="3">
        <f t="shared" si="116"/>
        <v>3.201244099154147E-2</v>
      </c>
      <c r="O180" s="3">
        <f t="shared" si="116"/>
        <v>3.2011915085169637E-2</v>
      </c>
      <c r="P180" s="3">
        <f t="shared" si="116"/>
        <v>3.2006656496610685E-2</v>
      </c>
      <c r="Q180" s="3">
        <f t="shared" si="116"/>
        <v>3.1954118098095209E-2</v>
      </c>
      <c r="R180" s="3">
        <f t="shared" si="116"/>
        <v>3.1433454081830646E-2</v>
      </c>
      <c r="S180" s="3">
        <f t="shared" si="116"/>
        <v>2.6671338419858529E-2</v>
      </c>
      <c r="T180" s="3">
        <f t="shared" si="116"/>
        <v>5.1590750609631728E-3</v>
      </c>
      <c r="U180" s="3">
        <f t="shared" si="116"/>
        <v>3.7830511452376251E-10</v>
      </c>
      <c r="V180" s="3">
        <f t="shared" si="116"/>
        <v>1.7003795565838541E-81</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4.0921071086256373E-2</v>
      </c>
      <c r="C181" s="3">
        <f t="shared" si="117"/>
        <v>4.0921071086256373E-2</v>
      </c>
      <c r="D181" s="3">
        <f t="shared" si="117"/>
        <v>4.0921071086256373E-2</v>
      </c>
      <c r="E181" s="3">
        <f t="shared" si="117"/>
        <v>4.0921071086256366E-2</v>
      </c>
      <c r="F181" s="3">
        <f t="shared" si="117"/>
        <v>4.0921071086256304E-2</v>
      </c>
      <c r="G181" s="3">
        <f t="shared" si="117"/>
        <v>4.09210710862557E-2</v>
      </c>
      <c r="H181" s="3">
        <f t="shared" si="117"/>
        <v>4.0921071086249636E-2</v>
      </c>
      <c r="I181" s="3">
        <f t="shared" si="117"/>
        <v>4.092107108618899E-2</v>
      </c>
      <c r="J181" s="3">
        <f t="shared" si="117"/>
        <v>4.0921071085582551E-2</v>
      </c>
      <c r="K181" s="3">
        <f t="shared" si="117"/>
        <v>4.0921071079518166E-2</v>
      </c>
      <c r="L181" s="3">
        <f t="shared" si="117"/>
        <v>4.0921071018874315E-2</v>
      </c>
      <c r="M181" s="3">
        <f t="shared" si="117"/>
        <v>4.0921070412435777E-2</v>
      </c>
      <c r="N181" s="3">
        <f t="shared" si="117"/>
        <v>4.0921064348050942E-2</v>
      </c>
      <c r="O181" s="3">
        <f t="shared" si="117"/>
        <v>4.0921003704251981E-2</v>
      </c>
      <c r="P181" s="3">
        <f t="shared" si="117"/>
        <v>4.0920397271205326E-2</v>
      </c>
      <c r="Q181" s="3">
        <f t="shared" si="117"/>
        <v>4.0914333435007152E-2</v>
      </c>
      <c r="R181" s="3">
        <f t="shared" si="117"/>
        <v>4.0853744472771389E-2</v>
      </c>
      <c r="S181" s="3">
        <f t="shared" si="117"/>
        <v>4.0252767844720504E-2</v>
      </c>
      <c r="T181" s="3">
        <f t="shared" si="117"/>
        <v>3.4708396629055942E-2</v>
      </c>
      <c r="U181" s="3">
        <f t="shared" si="117"/>
        <v>7.8853792097771328E-3</v>
      </c>
      <c r="V181" s="3">
        <f t="shared" si="117"/>
        <v>2.8887030600592259E-9</v>
      </c>
      <c r="W181" s="3">
        <f t="shared" si="117"/>
        <v>1.2574944627953838E-73</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4.0569821627939186E-2</v>
      </c>
      <c r="C182" s="3">
        <f t="shared" si="118"/>
        <v>4.0569821627939186E-2</v>
      </c>
      <c r="D182" s="3">
        <f t="shared" si="118"/>
        <v>4.0569821627939186E-2</v>
      </c>
      <c r="E182" s="3">
        <f t="shared" si="118"/>
        <v>4.0569821627939186E-2</v>
      </c>
      <c r="F182" s="3">
        <f t="shared" si="118"/>
        <v>4.0569821627939179E-2</v>
      </c>
      <c r="G182" s="3">
        <f t="shared" si="118"/>
        <v>4.056982162793913E-2</v>
      </c>
      <c r="H182" s="3">
        <f t="shared" si="118"/>
        <v>4.0569821627938582E-2</v>
      </c>
      <c r="I182" s="3">
        <f t="shared" si="118"/>
        <v>4.0569821627933156E-2</v>
      </c>
      <c r="J182" s="3">
        <f t="shared" si="118"/>
        <v>4.0569821627878921E-2</v>
      </c>
      <c r="K182" s="3">
        <f t="shared" si="118"/>
        <v>4.0569821627336564E-2</v>
      </c>
      <c r="L182" s="3">
        <f t="shared" si="118"/>
        <v>4.0569821621912937E-2</v>
      </c>
      <c r="M182" s="3">
        <f t="shared" si="118"/>
        <v>4.056982156767671E-2</v>
      </c>
      <c r="N182" s="3">
        <f t="shared" si="118"/>
        <v>4.0569821025314416E-2</v>
      </c>
      <c r="O182" s="3">
        <f t="shared" si="118"/>
        <v>4.0569815601691921E-2</v>
      </c>
      <c r="P182" s="3">
        <f t="shared" si="118"/>
        <v>4.0569761365506794E-2</v>
      </c>
      <c r="Q182" s="3">
        <f t="shared" si="118"/>
        <v>4.0569219007643362E-2</v>
      </c>
      <c r="R182" s="3">
        <f t="shared" si="118"/>
        <v>4.0563795827771948E-2</v>
      </c>
      <c r="S182" s="3">
        <f t="shared" si="118"/>
        <v>4.050960388562639E-2</v>
      </c>
      <c r="T182" s="3">
        <f t="shared" si="118"/>
        <v>3.9971650476730028E-2</v>
      </c>
      <c r="U182" s="3">
        <f t="shared" si="118"/>
        <v>3.496978218919837E-2</v>
      </c>
      <c r="V182" s="3">
        <f t="shared" si="118"/>
        <v>9.1854701169756092E-3</v>
      </c>
      <c r="W182" s="3">
        <f t="shared" si="118"/>
        <v>1.4361043638030086E-8</v>
      </c>
      <c r="X182" s="3">
        <f t="shared" si="118"/>
        <v>1.2532339008649601E-66</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2.9319572011255665E-2</v>
      </c>
      <c r="C183" s="3">
        <f t="shared" si="119"/>
        <v>2.9319572011255665E-2</v>
      </c>
      <c r="D183" s="3">
        <f t="shared" si="119"/>
        <v>2.9319572011255665E-2</v>
      </c>
      <c r="E183" s="3">
        <f t="shared" si="119"/>
        <v>2.9319572011255665E-2</v>
      </c>
      <c r="F183" s="3">
        <f t="shared" si="119"/>
        <v>2.9319572011255665E-2</v>
      </c>
      <c r="G183" s="3">
        <f t="shared" si="119"/>
        <v>2.9319572011255662E-2</v>
      </c>
      <c r="H183" s="3">
        <f t="shared" si="119"/>
        <v>2.9319572011255627E-2</v>
      </c>
      <c r="I183" s="3">
        <f t="shared" si="119"/>
        <v>2.931957201125527E-2</v>
      </c>
      <c r="J183" s="3">
        <f t="shared" si="119"/>
        <v>2.9319572011251738E-2</v>
      </c>
      <c r="K183" s="3">
        <f t="shared" si="119"/>
        <v>2.9319572011216381E-2</v>
      </c>
      <c r="L183" s="3">
        <f t="shared" si="119"/>
        <v>2.9319572010862799E-2</v>
      </c>
      <c r="M183" s="3">
        <f t="shared" si="119"/>
        <v>2.9319572007326971E-2</v>
      </c>
      <c r="N183" s="3">
        <f t="shared" si="119"/>
        <v>2.9319571971968734E-2</v>
      </c>
      <c r="O183" s="3">
        <f t="shared" si="119"/>
        <v>2.9319571618386362E-2</v>
      </c>
      <c r="P183" s="3">
        <f t="shared" si="119"/>
        <v>2.9319568082562877E-2</v>
      </c>
      <c r="Q183" s="3">
        <f t="shared" si="119"/>
        <v>2.9319532724351453E-2</v>
      </c>
      <c r="R183" s="3">
        <f t="shared" si="119"/>
        <v>2.9319179144582458E-2</v>
      </c>
      <c r="S183" s="3">
        <f t="shared" si="119"/>
        <v>2.9315643581404358E-2</v>
      </c>
      <c r="T183" s="3">
        <f t="shared" si="119"/>
        <v>2.9280311390345249E-2</v>
      </c>
      <c r="U183" s="3">
        <f t="shared" si="119"/>
        <v>2.8929323126228802E-2</v>
      </c>
      <c r="V183" s="3">
        <f t="shared" si="119"/>
        <v>2.5642719723268249E-2</v>
      </c>
      <c r="W183" s="3">
        <f t="shared" si="119"/>
        <v>7.6775422853202369E-3</v>
      </c>
      <c r="X183" s="3">
        <f t="shared" si="119"/>
        <v>4.4443016936058262E-8</v>
      </c>
      <c r="Y183" s="3">
        <f t="shared" si="119"/>
        <v>1.8776588465443979E-60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3.1170147057573941E-2</v>
      </c>
      <c r="C184" s="3">
        <f t="shared" si="120"/>
        <v>3.1170147057573941E-2</v>
      </c>
      <c r="D184" s="3">
        <f t="shared" si="120"/>
        <v>3.1170147057573941E-2</v>
      </c>
      <c r="E184" s="3">
        <f t="shared" si="120"/>
        <v>3.1170147057573941E-2</v>
      </c>
      <c r="F184" s="3">
        <f t="shared" si="120"/>
        <v>3.1170147057573941E-2</v>
      </c>
      <c r="G184" s="3">
        <f t="shared" si="120"/>
        <v>3.1170147057573941E-2</v>
      </c>
      <c r="H184" s="3">
        <f t="shared" si="120"/>
        <v>3.1170147057573937E-2</v>
      </c>
      <c r="I184" s="3">
        <f t="shared" si="120"/>
        <v>3.1170147057573903E-2</v>
      </c>
      <c r="J184" s="3">
        <f t="shared" si="120"/>
        <v>3.1170147057573563E-2</v>
      </c>
      <c r="K184" s="3">
        <f t="shared" si="120"/>
        <v>3.1170147057570173E-2</v>
      </c>
      <c r="L184" s="3">
        <f t="shared" si="120"/>
        <v>3.1170147057536266E-2</v>
      </c>
      <c r="M184" s="3">
        <f t="shared" si="120"/>
        <v>3.1170147057197169E-2</v>
      </c>
      <c r="N184" s="3">
        <f t="shared" si="120"/>
        <v>3.1170147053806243E-2</v>
      </c>
      <c r="O184" s="3">
        <f t="shared" si="120"/>
        <v>3.1170147019896975E-2</v>
      </c>
      <c r="P184" s="3">
        <f t="shared" si="120"/>
        <v>3.1170146680804291E-2</v>
      </c>
      <c r="Q184" s="3">
        <f t="shared" si="120"/>
        <v>3.1170143289877644E-2</v>
      </c>
      <c r="R184" s="3">
        <f t="shared" si="120"/>
        <v>3.1170109380631458E-2</v>
      </c>
      <c r="S184" s="3">
        <f t="shared" si="120"/>
        <v>3.1169770290198493E-2</v>
      </c>
      <c r="T184" s="3">
        <f t="shared" si="120"/>
        <v>3.1166379588749803E-2</v>
      </c>
      <c r="U184" s="3">
        <f t="shared" si="120"/>
        <v>3.113249285419372E-2</v>
      </c>
      <c r="V184" s="3">
        <f t="shared" si="120"/>
        <v>3.0795645362453109E-2</v>
      </c>
      <c r="W184" s="3">
        <f t="shared" si="120"/>
        <v>2.7621256829808778E-2</v>
      </c>
      <c r="X184" s="3">
        <f t="shared" si="120"/>
        <v>9.3064639549215143E-3</v>
      </c>
      <c r="Y184" s="3">
        <f t="shared" si="120"/>
        <v>1.7546776120215185E-7</v>
      </c>
      <c r="Z184" s="3">
        <f t="shared" si="120"/>
        <v>9.9614758928324005E-55</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2.9820997519102575E-2</v>
      </c>
      <c r="C185" s="3">
        <f t="shared" si="121"/>
        <v>2.9820997519102575E-2</v>
      </c>
      <c r="D185" s="3">
        <f t="shared" si="121"/>
        <v>2.9820997519102575E-2</v>
      </c>
      <c r="E185" s="3">
        <f t="shared" si="121"/>
        <v>2.9820997519102575E-2</v>
      </c>
      <c r="F185" s="3">
        <f t="shared" si="121"/>
        <v>2.9820997519102575E-2</v>
      </c>
      <c r="G185" s="3">
        <f t="shared" si="121"/>
        <v>2.9820997519102575E-2</v>
      </c>
      <c r="H185" s="3">
        <f t="shared" si="121"/>
        <v>2.9820997519102575E-2</v>
      </c>
      <c r="I185" s="3">
        <f t="shared" si="121"/>
        <v>2.9820997519102572E-2</v>
      </c>
      <c r="J185" s="3">
        <f t="shared" si="121"/>
        <v>2.9820997519102541E-2</v>
      </c>
      <c r="K185" s="3">
        <f t="shared" si="121"/>
        <v>2.9820997519102249E-2</v>
      </c>
      <c r="L185" s="3">
        <f t="shared" si="121"/>
        <v>2.9820997519099324E-2</v>
      </c>
      <c r="M185" s="3">
        <f t="shared" si="121"/>
        <v>2.982099751907006E-2</v>
      </c>
      <c r="N185" s="3">
        <f t="shared" si="121"/>
        <v>2.9820997518777408E-2</v>
      </c>
      <c r="O185" s="3">
        <f t="shared" si="121"/>
        <v>2.9820997515850909E-2</v>
      </c>
      <c r="P185" s="3">
        <f t="shared" si="121"/>
        <v>2.9820997486585923E-2</v>
      </c>
      <c r="Q185" s="3">
        <f t="shared" si="121"/>
        <v>2.982099719393606E-2</v>
      </c>
      <c r="R185" s="3">
        <f t="shared" si="121"/>
        <v>2.9820994267437569E-2</v>
      </c>
      <c r="S185" s="3">
        <f t="shared" si="121"/>
        <v>2.9820965002468464E-2</v>
      </c>
      <c r="T185" s="3">
        <f t="shared" si="121"/>
        <v>2.9820672354356995E-2</v>
      </c>
      <c r="U185" s="3">
        <f t="shared" si="121"/>
        <v>2.9817746031192291E-2</v>
      </c>
      <c r="V185" s="3">
        <f t="shared" si="121"/>
        <v>2.9788498588812762E-2</v>
      </c>
      <c r="W185" s="3">
        <f t="shared" si="121"/>
        <v>2.9497597373680066E-2</v>
      </c>
      <c r="X185" s="3">
        <f t="shared" si="121"/>
        <v>2.6740340614107076E-2</v>
      </c>
      <c r="Y185" s="3">
        <f t="shared" si="121"/>
        <v>1.0022356571934961E-2</v>
      </c>
      <c r="Z185" s="3">
        <f t="shared" si="121"/>
        <v>5.482757013638294E-7</v>
      </c>
      <c r="AA185" s="3">
        <f t="shared" si="121"/>
        <v>1.31610485674165E-49</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3.5099038806424399E-2</v>
      </c>
      <c r="C186" s="3">
        <f t="shared" si="122"/>
        <v>3.5099038806424399E-2</v>
      </c>
      <c r="D186" s="3">
        <f t="shared" si="122"/>
        <v>3.5099038806424399E-2</v>
      </c>
      <c r="E186" s="3">
        <f t="shared" si="122"/>
        <v>3.5099038806424399E-2</v>
      </c>
      <c r="F186" s="3">
        <f t="shared" si="122"/>
        <v>3.5099038806424399E-2</v>
      </c>
      <c r="G186" s="3">
        <f t="shared" si="122"/>
        <v>3.5099038806424399E-2</v>
      </c>
      <c r="H186" s="3">
        <f t="shared" si="122"/>
        <v>3.5099038806424399E-2</v>
      </c>
      <c r="I186" s="3">
        <f t="shared" si="122"/>
        <v>3.5099038806424399E-2</v>
      </c>
      <c r="J186" s="3">
        <f t="shared" si="122"/>
        <v>3.5099038806424392E-2</v>
      </c>
      <c r="K186" s="3">
        <f t="shared" si="122"/>
        <v>3.5099038806424364E-2</v>
      </c>
      <c r="L186" s="3">
        <f t="shared" si="122"/>
        <v>3.5099038806424052E-2</v>
      </c>
      <c r="M186" s="3">
        <f t="shared" si="122"/>
        <v>3.5099038806420943E-2</v>
      </c>
      <c r="N186" s="3">
        <f t="shared" si="122"/>
        <v>3.5099038806389871E-2</v>
      </c>
      <c r="O186" s="3">
        <f t="shared" si="122"/>
        <v>3.5099038806079154E-2</v>
      </c>
      <c r="P186" s="3">
        <f t="shared" si="122"/>
        <v>3.5099038802971966E-2</v>
      </c>
      <c r="Q186" s="3">
        <f t="shared" si="122"/>
        <v>3.5099038771900057E-2</v>
      </c>
      <c r="R186" s="3">
        <f t="shared" si="122"/>
        <v>3.5099038461180933E-2</v>
      </c>
      <c r="S186" s="3">
        <f t="shared" si="122"/>
        <v>3.5099035353989901E-2</v>
      </c>
      <c r="T186" s="3">
        <f t="shared" si="122"/>
        <v>3.5099004282094719E-2</v>
      </c>
      <c r="U186" s="3">
        <f t="shared" si="122"/>
        <v>3.5098693564655795E-2</v>
      </c>
      <c r="V186" s="3">
        <f t="shared" si="122"/>
        <v>3.509558654154863E-2</v>
      </c>
      <c r="W186" s="3">
        <f t="shared" si="122"/>
        <v>3.5064531433735432E-2</v>
      </c>
      <c r="X186" s="3">
        <f t="shared" si="122"/>
        <v>3.4755487739571787E-2</v>
      </c>
      <c r="Y186" s="3">
        <f t="shared" si="122"/>
        <v>3.1810966539813058E-2</v>
      </c>
      <c r="Z186" s="3">
        <f t="shared" si="122"/>
        <v>1.3125372510163946E-2</v>
      </c>
      <c r="AA186" s="3">
        <f t="shared" si="122"/>
        <v>1.876978805813323E-6</v>
      </c>
      <c r="AB186" s="3">
        <f t="shared" si="122"/>
        <v>6.7133096118960403E-45</v>
      </c>
      <c r="AC186" s="3">
        <f t="shared" si="122"/>
        <v>0</v>
      </c>
      <c r="AD186" s="3">
        <f t="shared" si="122"/>
        <v>0</v>
      </c>
      <c r="AE186" s="3">
        <f t="shared" si="122"/>
        <v>0</v>
      </c>
      <c r="AF186" s="3">
        <f t="shared" si="122"/>
        <v>0</v>
      </c>
      <c r="AG186" s="3"/>
      <c r="AH186" s="3"/>
    </row>
    <row r="187" spans="2:34" x14ac:dyDescent="0.25">
      <c r="B187" s="3">
        <f t="shared" ref="B187:AF187" si="123">$C34*EXP(-B$168/$A34/EXP(-$C$126))</f>
        <v>3.5326793009577064E-2</v>
      </c>
      <c r="C187" s="3">
        <f t="shared" si="123"/>
        <v>3.5326793009577064E-2</v>
      </c>
      <c r="D187" s="3">
        <f t="shared" si="123"/>
        <v>3.5326793009577064E-2</v>
      </c>
      <c r="E187" s="3">
        <f t="shared" si="123"/>
        <v>3.5326793009577064E-2</v>
      </c>
      <c r="F187" s="3">
        <f t="shared" si="123"/>
        <v>3.5326793009577064E-2</v>
      </c>
      <c r="G187" s="3">
        <f t="shared" si="123"/>
        <v>3.5326793009577064E-2</v>
      </c>
      <c r="H187" s="3">
        <f t="shared" si="123"/>
        <v>3.5326793009577064E-2</v>
      </c>
      <c r="I187" s="3">
        <f t="shared" si="123"/>
        <v>3.5326793009577064E-2</v>
      </c>
      <c r="J187" s="3">
        <f t="shared" si="123"/>
        <v>3.5326793009577064E-2</v>
      </c>
      <c r="K187" s="3">
        <f t="shared" si="123"/>
        <v>3.5326793009577057E-2</v>
      </c>
      <c r="L187" s="3">
        <f t="shared" si="123"/>
        <v>3.5326793009577029E-2</v>
      </c>
      <c r="M187" s="3">
        <f t="shared" si="123"/>
        <v>3.5326793009576751E-2</v>
      </c>
      <c r="N187" s="3">
        <f t="shared" si="123"/>
        <v>3.5326793009573927E-2</v>
      </c>
      <c r="O187" s="3">
        <f t="shared" si="123"/>
        <v>3.5326793009545721E-2</v>
      </c>
      <c r="P187" s="3">
        <f t="shared" si="123"/>
        <v>3.5326793009263606E-2</v>
      </c>
      <c r="Q187" s="3">
        <f t="shared" si="123"/>
        <v>3.5326793006442474E-2</v>
      </c>
      <c r="R187" s="3">
        <f t="shared" si="123"/>
        <v>3.5326792978231138E-2</v>
      </c>
      <c r="S187" s="3">
        <f t="shared" si="123"/>
        <v>3.5326792696117847E-2</v>
      </c>
      <c r="T187" s="3">
        <f t="shared" si="123"/>
        <v>3.5326789874984992E-2</v>
      </c>
      <c r="U187" s="3">
        <f t="shared" si="123"/>
        <v>3.5326761663668875E-2</v>
      </c>
      <c r="V187" s="3">
        <f t="shared" si="123"/>
        <v>3.5326479551746809E-2</v>
      </c>
      <c r="W187" s="3">
        <f t="shared" si="123"/>
        <v>3.5323658556431825E-2</v>
      </c>
      <c r="X187" s="3">
        <f t="shared" si="123"/>
        <v>3.5295460990193109E-2</v>
      </c>
      <c r="Y187" s="3">
        <f t="shared" si="123"/>
        <v>3.5014720366698421E-2</v>
      </c>
      <c r="Z187" s="3">
        <f t="shared" si="123"/>
        <v>3.2327245431518041E-2</v>
      </c>
      <c r="AA187" s="3">
        <f t="shared" si="123"/>
        <v>1.4546184151203127E-2</v>
      </c>
      <c r="AB187" s="3">
        <f t="shared" si="123"/>
        <v>4.9494038324577941E-6</v>
      </c>
      <c r="AC187" s="3">
        <f t="shared" si="123"/>
        <v>1.0294161553795623E-40</v>
      </c>
      <c r="AD187" s="3">
        <f t="shared" si="123"/>
        <v>0</v>
      </c>
      <c r="AE187" s="3">
        <f t="shared" si="123"/>
        <v>0</v>
      </c>
      <c r="AF187" s="3">
        <f t="shared" si="123"/>
        <v>0</v>
      </c>
      <c r="AG187" s="3"/>
      <c r="AH187" s="3"/>
    </row>
    <row r="188" spans="2:34" x14ac:dyDescent="0.25">
      <c r="B188" s="3">
        <f t="shared" ref="B188:AF188" si="124">$C35*EXP(-B$168/$A35/EXP(-$C$126))</f>
        <v>3.9296148740720876E-2</v>
      </c>
      <c r="C188" s="3">
        <f t="shared" si="124"/>
        <v>3.9296148740720876E-2</v>
      </c>
      <c r="D188" s="3">
        <f t="shared" si="124"/>
        <v>3.9296148740720876E-2</v>
      </c>
      <c r="E188" s="3">
        <f t="shared" si="124"/>
        <v>3.9296148740720876E-2</v>
      </c>
      <c r="F188" s="3">
        <f t="shared" si="124"/>
        <v>3.9296148740720876E-2</v>
      </c>
      <c r="G188" s="3">
        <f t="shared" si="124"/>
        <v>3.9296148740720876E-2</v>
      </c>
      <c r="H188" s="3">
        <f t="shared" si="124"/>
        <v>3.9296148740720876E-2</v>
      </c>
      <c r="I188" s="3">
        <f t="shared" si="124"/>
        <v>3.9296148740720876E-2</v>
      </c>
      <c r="J188" s="3">
        <f t="shared" si="124"/>
        <v>3.9296148740720876E-2</v>
      </c>
      <c r="K188" s="3">
        <f t="shared" si="124"/>
        <v>3.9296148740720876E-2</v>
      </c>
      <c r="L188" s="3">
        <f t="shared" si="124"/>
        <v>3.929614874072087E-2</v>
      </c>
      <c r="M188" s="3">
        <f t="shared" si="124"/>
        <v>3.9296148740720849E-2</v>
      </c>
      <c r="N188" s="3">
        <f t="shared" si="124"/>
        <v>3.9296148740720564E-2</v>
      </c>
      <c r="O188" s="3">
        <f t="shared" si="124"/>
        <v>3.9296148740717733E-2</v>
      </c>
      <c r="P188" s="3">
        <f t="shared" si="124"/>
        <v>3.9296148740689422E-2</v>
      </c>
      <c r="Q188" s="3">
        <f t="shared" si="124"/>
        <v>3.9296148740406336E-2</v>
      </c>
      <c r="R188" s="3">
        <f t="shared" si="124"/>
        <v>3.9296148737575497E-2</v>
      </c>
      <c r="S188" s="3">
        <f t="shared" si="124"/>
        <v>3.9296148709267051E-2</v>
      </c>
      <c r="T188" s="3">
        <f t="shared" si="124"/>
        <v>3.9296148426182669E-2</v>
      </c>
      <c r="U188" s="3">
        <f t="shared" si="124"/>
        <v>3.9296145595338866E-2</v>
      </c>
      <c r="V188" s="3">
        <f t="shared" si="124"/>
        <v>3.929611728691209E-2</v>
      </c>
      <c r="W188" s="3">
        <f t="shared" si="124"/>
        <v>3.9295834203765957E-2</v>
      </c>
      <c r="X188" s="3">
        <f t="shared" si="124"/>
        <v>3.9293003484462991E-2</v>
      </c>
      <c r="Y188" s="3">
        <f t="shared" si="124"/>
        <v>3.9264707504281411E-2</v>
      </c>
      <c r="Z188" s="3">
        <f t="shared" si="124"/>
        <v>3.8982866004315976E-2</v>
      </c>
      <c r="AA188" s="3">
        <f t="shared" si="124"/>
        <v>3.6273356999643014E-2</v>
      </c>
      <c r="AB188" s="3">
        <f t="shared" si="124"/>
        <v>1.7649304710783877E-2</v>
      </c>
      <c r="AC188" s="3">
        <f t="shared" si="124"/>
        <v>1.3125809917361166E-5</v>
      </c>
      <c r="AD188" s="3">
        <f t="shared" si="124"/>
        <v>6.7937757268649096E-37</v>
      </c>
      <c r="AE188" s="3">
        <f t="shared" si="124"/>
        <v>0</v>
      </c>
      <c r="AF188" s="3">
        <f t="shared" si="124"/>
        <v>0</v>
      </c>
      <c r="AG188" s="3"/>
      <c r="AH188" s="3"/>
    </row>
    <row r="189" spans="2:34" x14ac:dyDescent="0.25">
      <c r="B189" s="3">
        <f t="shared" ref="B189:AF189" si="125">$C36*EXP(-B$168/$A36/EXP(-$C$126))</f>
        <v>3.6971709953281653E-2</v>
      </c>
      <c r="C189" s="3">
        <f t="shared" si="125"/>
        <v>3.6971709953281653E-2</v>
      </c>
      <c r="D189" s="3">
        <f t="shared" si="125"/>
        <v>3.6971709953281653E-2</v>
      </c>
      <c r="E189" s="3">
        <f t="shared" si="125"/>
        <v>3.6971709953281653E-2</v>
      </c>
      <c r="F189" s="3">
        <f t="shared" si="125"/>
        <v>3.6971709953281653E-2</v>
      </c>
      <c r="G189" s="3">
        <f t="shared" si="125"/>
        <v>3.6971709953281653E-2</v>
      </c>
      <c r="H189" s="3">
        <f t="shared" si="125"/>
        <v>3.6971709953281653E-2</v>
      </c>
      <c r="I189" s="3">
        <f t="shared" si="125"/>
        <v>3.6971709953281653E-2</v>
      </c>
      <c r="J189" s="3">
        <f t="shared" si="125"/>
        <v>3.6971709953281653E-2</v>
      </c>
      <c r="K189" s="3">
        <f t="shared" si="125"/>
        <v>3.6971709953281653E-2</v>
      </c>
      <c r="L189" s="3">
        <f t="shared" si="125"/>
        <v>3.6971709953281653E-2</v>
      </c>
      <c r="M189" s="3">
        <f t="shared" si="125"/>
        <v>3.6971709953281646E-2</v>
      </c>
      <c r="N189" s="3">
        <f t="shared" si="125"/>
        <v>3.6971709953281626E-2</v>
      </c>
      <c r="O189" s="3">
        <f t="shared" si="125"/>
        <v>3.697170995328139E-2</v>
      </c>
      <c r="P189" s="3">
        <f t="shared" si="125"/>
        <v>3.6971709953278982E-2</v>
      </c>
      <c r="Q189" s="3">
        <f t="shared" si="125"/>
        <v>3.697170995325496E-2</v>
      </c>
      <c r="R189" s="3">
        <f t="shared" si="125"/>
        <v>3.69717099530147E-2</v>
      </c>
      <c r="S189" s="3">
        <f t="shared" si="125"/>
        <v>3.6971709950612094E-2</v>
      </c>
      <c r="T189" s="3">
        <f t="shared" si="125"/>
        <v>3.6971709926586063E-2</v>
      </c>
      <c r="U189" s="3">
        <f t="shared" si="125"/>
        <v>3.6971709686325738E-2</v>
      </c>
      <c r="V189" s="3">
        <f t="shared" si="125"/>
        <v>3.6971707283722552E-2</v>
      </c>
      <c r="W189" s="3">
        <f t="shared" si="125"/>
        <v>3.6971683257699339E-2</v>
      </c>
      <c r="X189" s="3">
        <f t="shared" si="125"/>
        <v>3.6971442998325957E-2</v>
      </c>
      <c r="Y189" s="3">
        <f t="shared" si="125"/>
        <v>3.6969040490462887E-2</v>
      </c>
      <c r="Z189" s="3">
        <f t="shared" si="125"/>
        <v>3.6945023996851227E-2</v>
      </c>
      <c r="AA189" s="3">
        <f t="shared" si="125"/>
        <v>3.6705715502001357E-2</v>
      </c>
      <c r="AB189" s="3">
        <f t="shared" si="125"/>
        <v>3.439625072313738E-2</v>
      </c>
      <c r="AC189" s="3">
        <f t="shared" si="125"/>
        <v>1.7959127101372166E-2</v>
      </c>
      <c r="AD189" s="3">
        <f t="shared" si="125"/>
        <v>2.7041227697717117E-5</v>
      </c>
      <c r="AE189" s="3">
        <f t="shared" si="125"/>
        <v>1.6197135500475246E-33</v>
      </c>
      <c r="AF189" s="3">
        <f t="shared" si="125"/>
        <v>0</v>
      </c>
      <c r="AG189" s="3"/>
      <c r="AH189" s="3"/>
    </row>
    <row r="190" spans="2:34" x14ac:dyDescent="0.25">
      <c r="B190" s="3">
        <f t="shared" ref="B190:AF190" si="126">$C37*EXP(-B$168/$A37/EXP(-$C$126))</f>
        <v>4.6436807195408533E-2</v>
      </c>
      <c r="C190" s="3">
        <f t="shared" si="126"/>
        <v>4.6436807195408533E-2</v>
      </c>
      <c r="D190" s="3">
        <f t="shared" si="126"/>
        <v>4.6436807195408533E-2</v>
      </c>
      <c r="E190" s="3">
        <f t="shared" si="126"/>
        <v>4.6436807195408533E-2</v>
      </c>
      <c r="F190" s="3">
        <f t="shared" si="126"/>
        <v>4.6436807195408533E-2</v>
      </c>
      <c r="G190" s="3">
        <f t="shared" si="126"/>
        <v>4.6436807195408533E-2</v>
      </c>
      <c r="H190" s="3">
        <f t="shared" si="126"/>
        <v>4.6436807195408533E-2</v>
      </c>
      <c r="I190" s="3">
        <f t="shared" si="126"/>
        <v>4.6436807195408533E-2</v>
      </c>
      <c r="J190" s="3">
        <f t="shared" si="126"/>
        <v>4.6436807195408533E-2</v>
      </c>
      <c r="K190" s="3">
        <f t="shared" si="126"/>
        <v>4.6436807195408533E-2</v>
      </c>
      <c r="L190" s="3">
        <f t="shared" si="126"/>
        <v>4.6436807195408533E-2</v>
      </c>
      <c r="M190" s="3">
        <f t="shared" si="126"/>
        <v>4.6436807195408533E-2</v>
      </c>
      <c r="N190" s="3">
        <f t="shared" si="126"/>
        <v>4.6436807195408526E-2</v>
      </c>
      <c r="O190" s="3">
        <f t="shared" si="126"/>
        <v>4.6436807195408505E-2</v>
      </c>
      <c r="P190" s="3">
        <f t="shared" si="126"/>
        <v>4.6436807195408228E-2</v>
      </c>
      <c r="Q190" s="3">
        <f t="shared" si="126"/>
        <v>4.6436807195405508E-2</v>
      </c>
      <c r="R190" s="3">
        <f t="shared" si="126"/>
        <v>4.6436807195378287E-2</v>
      </c>
      <c r="S190" s="3">
        <f t="shared" si="126"/>
        <v>4.6436807195106067E-2</v>
      </c>
      <c r="T190" s="3">
        <f t="shared" si="126"/>
        <v>4.6436807192383855E-2</v>
      </c>
      <c r="U190" s="3">
        <f t="shared" si="126"/>
        <v>4.6436807165161763E-2</v>
      </c>
      <c r="V190" s="3">
        <f t="shared" si="126"/>
        <v>4.6436806892940864E-2</v>
      </c>
      <c r="W190" s="3">
        <f t="shared" si="126"/>
        <v>4.6436804170731934E-2</v>
      </c>
      <c r="X190" s="3">
        <f t="shared" si="126"/>
        <v>4.6436776948651386E-2</v>
      </c>
      <c r="Y190" s="3">
        <f t="shared" si="126"/>
        <v>4.6436504728723647E-2</v>
      </c>
      <c r="Z190" s="3">
        <f t="shared" si="126"/>
        <v>4.6433782617213544E-2</v>
      </c>
      <c r="AA190" s="3">
        <f t="shared" si="126"/>
        <v>4.640657027694059E-2</v>
      </c>
      <c r="AB190" s="3">
        <f t="shared" si="126"/>
        <v>4.6135322456736287E-2</v>
      </c>
      <c r="AC190" s="3">
        <f t="shared" si="126"/>
        <v>4.3508532775228988E-2</v>
      </c>
      <c r="AD190" s="3">
        <f t="shared" si="126"/>
        <v>2.4209354704216403E-2</v>
      </c>
      <c r="AE190" s="3">
        <f t="shared" si="126"/>
        <v>6.8876484053965472E-5</v>
      </c>
      <c r="AF190" s="3">
        <f t="shared" si="126"/>
        <v>2.3930321274731098E-30</v>
      </c>
      <c r="AG190" s="3"/>
      <c r="AH190" s="3"/>
    </row>
    <row r="191" spans="2:34" x14ac:dyDescent="0.25">
      <c r="B191" s="3">
        <f t="shared" ref="B191:AF191" si="127">$C38*EXP(-B$168/$A38/EXP(-$C$126))</f>
        <v>2.268011809777468E-2</v>
      </c>
      <c r="C191" s="3">
        <f t="shared" si="127"/>
        <v>2.268011809777468E-2</v>
      </c>
      <c r="D191" s="3">
        <f t="shared" si="127"/>
        <v>2.268011809777468E-2</v>
      </c>
      <c r="E191" s="3">
        <f t="shared" si="127"/>
        <v>2.268011809777468E-2</v>
      </c>
      <c r="F191" s="3">
        <f t="shared" si="127"/>
        <v>2.268011809777468E-2</v>
      </c>
      <c r="G191" s="3">
        <f t="shared" si="127"/>
        <v>2.268011809777468E-2</v>
      </c>
      <c r="H191" s="3">
        <f t="shared" si="127"/>
        <v>2.268011809777468E-2</v>
      </c>
      <c r="I191" s="3">
        <f t="shared" si="127"/>
        <v>2.268011809777468E-2</v>
      </c>
      <c r="J191" s="3">
        <f t="shared" si="127"/>
        <v>2.268011809777468E-2</v>
      </c>
      <c r="K191" s="3">
        <f t="shared" si="127"/>
        <v>2.268011809777468E-2</v>
      </c>
      <c r="L191" s="3">
        <f t="shared" si="127"/>
        <v>2.268011809777468E-2</v>
      </c>
      <c r="M191" s="3">
        <f t="shared" si="127"/>
        <v>2.268011809777468E-2</v>
      </c>
      <c r="N191" s="3">
        <f t="shared" si="127"/>
        <v>2.268011809777468E-2</v>
      </c>
      <c r="O191" s="3">
        <f t="shared" si="127"/>
        <v>2.2680118097774676E-2</v>
      </c>
      <c r="P191" s="3">
        <f t="shared" si="127"/>
        <v>2.2680118097774666E-2</v>
      </c>
      <c r="Q191" s="3">
        <f t="shared" si="127"/>
        <v>2.2680118097774548E-2</v>
      </c>
      <c r="R191" s="3">
        <f t="shared" si="127"/>
        <v>2.2680118097773348E-2</v>
      </c>
      <c r="S191" s="3">
        <f t="shared" si="127"/>
        <v>2.2680118097761354E-2</v>
      </c>
      <c r="T191" s="3">
        <f t="shared" si="127"/>
        <v>2.2680118097641418E-2</v>
      </c>
      <c r="U191" s="3">
        <f t="shared" si="127"/>
        <v>2.2680118096442055E-2</v>
      </c>
      <c r="V191" s="3">
        <f t="shared" si="127"/>
        <v>2.2680118084448413E-2</v>
      </c>
      <c r="W191" s="3">
        <f t="shared" si="127"/>
        <v>2.2680117964512008E-2</v>
      </c>
      <c r="X191" s="3">
        <f t="shared" si="127"/>
        <v>2.2680116765148018E-2</v>
      </c>
      <c r="Y191" s="3">
        <f t="shared" si="127"/>
        <v>2.2680104771511559E-2</v>
      </c>
      <c r="Z191" s="3">
        <f t="shared" si="127"/>
        <v>2.2679984835495829E-2</v>
      </c>
      <c r="AA191" s="3">
        <f t="shared" si="127"/>
        <v>2.2678785510221199E-2</v>
      </c>
      <c r="AB191" s="3">
        <f t="shared" si="127"/>
        <v>2.2666795745061578E-2</v>
      </c>
      <c r="AC191" s="3">
        <f t="shared" si="127"/>
        <v>2.2547246170705089E-2</v>
      </c>
      <c r="AD191" s="3">
        <f t="shared" si="127"/>
        <v>2.1385886621095952E-2</v>
      </c>
      <c r="AE191" s="3">
        <f t="shared" si="127"/>
        <v>1.2602734748196511E-2</v>
      </c>
      <c r="AF191" s="3">
        <f t="shared" si="127"/>
        <v>6.3656118288377223E-5</v>
      </c>
      <c r="AG191" s="3"/>
      <c r="AH191" s="3"/>
    </row>
    <row r="192" spans="2:34" x14ac:dyDescent="0.25">
      <c r="B192" s="3">
        <f t="shared" ref="B192:AF192" si="128">$C39*EXP(-B$168/$A39/EXP(-$C$126))</f>
        <v>4.4296427252304087E-2</v>
      </c>
      <c r="C192" s="3">
        <f t="shared" si="128"/>
        <v>4.4296427252304087E-2</v>
      </c>
      <c r="D192" s="3">
        <f t="shared" si="128"/>
        <v>4.4296427252304087E-2</v>
      </c>
      <c r="E192" s="3">
        <f t="shared" si="128"/>
        <v>4.4296427252304087E-2</v>
      </c>
      <c r="F192" s="3">
        <f t="shared" si="128"/>
        <v>4.4296427252304087E-2</v>
      </c>
      <c r="G192" s="3">
        <f t="shared" si="128"/>
        <v>4.4296427252304087E-2</v>
      </c>
      <c r="H192" s="3">
        <f t="shared" si="128"/>
        <v>4.4296427252304087E-2</v>
      </c>
      <c r="I192" s="3">
        <f t="shared" si="128"/>
        <v>4.4296427252304087E-2</v>
      </c>
      <c r="J192" s="3">
        <f t="shared" si="128"/>
        <v>4.4296427252304087E-2</v>
      </c>
      <c r="K192" s="3">
        <f t="shared" si="128"/>
        <v>4.4296427252304087E-2</v>
      </c>
      <c r="L192" s="3">
        <f t="shared" si="128"/>
        <v>4.4296427252304087E-2</v>
      </c>
      <c r="M192" s="3">
        <f t="shared" si="128"/>
        <v>4.4296427252304087E-2</v>
      </c>
      <c r="N192" s="3">
        <f t="shared" si="128"/>
        <v>4.4296427252304087E-2</v>
      </c>
      <c r="O192" s="3">
        <f t="shared" si="128"/>
        <v>4.4296427252304087E-2</v>
      </c>
      <c r="P192" s="3">
        <f t="shared" si="128"/>
        <v>4.429642725230408E-2</v>
      </c>
      <c r="Q192" s="3">
        <f t="shared" si="128"/>
        <v>4.429642725230401E-2</v>
      </c>
      <c r="R192" s="3">
        <f t="shared" si="128"/>
        <v>4.4296427252303372E-2</v>
      </c>
      <c r="S192" s="3">
        <f t="shared" si="128"/>
        <v>4.4296427252296884E-2</v>
      </c>
      <c r="T192" s="3">
        <f t="shared" si="128"/>
        <v>4.4296427252232103E-2</v>
      </c>
      <c r="U192" s="3">
        <f t="shared" si="128"/>
        <v>4.4296427251584232E-2</v>
      </c>
      <c r="V192" s="3">
        <f t="shared" si="128"/>
        <v>4.4296427245105546E-2</v>
      </c>
      <c r="W192" s="3">
        <f t="shared" si="128"/>
        <v>4.4296427180318627E-2</v>
      </c>
      <c r="X192" s="3">
        <f t="shared" si="128"/>
        <v>4.4296426532449529E-2</v>
      </c>
      <c r="Y192" s="3">
        <f t="shared" si="128"/>
        <v>4.4296420053759056E-2</v>
      </c>
      <c r="Z192" s="3">
        <f t="shared" si="128"/>
        <v>4.4296355266906409E-2</v>
      </c>
      <c r="AA192" s="3">
        <f t="shared" si="128"/>
        <v>4.4295707403591483E-2</v>
      </c>
      <c r="AB192" s="3">
        <f t="shared" si="128"/>
        <v>4.4289229291567873E-2</v>
      </c>
      <c r="AC192" s="3">
        <f t="shared" si="128"/>
        <v>4.4224500255703098E-2</v>
      </c>
      <c r="AD192" s="3">
        <f t="shared" si="128"/>
        <v>4.3582390258490887E-2</v>
      </c>
      <c r="AE192" s="3">
        <f t="shared" si="128"/>
        <v>3.7652356139098467E-2</v>
      </c>
      <c r="AF192" s="3">
        <f t="shared" si="128"/>
        <v>8.7217429683303614E-3</v>
      </c>
      <c r="AG192" s="3"/>
      <c r="AH192" s="3"/>
    </row>
    <row r="193" spans="1:34" x14ac:dyDescent="0.25">
      <c r="B193" s="3">
        <f t="shared" ref="B193:AF193" si="129">$C40*EXP(-B$168/$A40/EXP(-$C$126))</f>
        <v>5.3706126554366823E-2</v>
      </c>
      <c r="C193" s="3">
        <f t="shared" si="129"/>
        <v>5.3706126554366823E-2</v>
      </c>
      <c r="D193" s="3">
        <f t="shared" si="129"/>
        <v>5.3706126554366823E-2</v>
      </c>
      <c r="E193" s="3">
        <f t="shared" si="129"/>
        <v>5.3706126554366823E-2</v>
      </c>
      <c r="F193" s="3">
        <f t="shared" si="129"/>
        <v>5.3706126554366823E-2</v>
      </c>
      <c r="G193" s="3">
        <f t="shared" si="129"/>
        <v>5.3706126554366823E-2</v>
      </c>
      <c r="H193" s="3">
        <f t="shared" si="129"/>
        <v>5.3706126554366823E-2</v>
      </c>
      <c r="I193" s="3">
        <f t="shared" si="129"/>
        <v>5.3706126554366823E-2</v>
      </c>
      <c r="J193" s="3">
        <f t="shared" si="129"/>
        <v>5.3706126554366823E-2</v>
      </c>
      <c r="K193" s="3">
        <f t="shared" si="129"/>
        <v>5.3706126554366823E-2</v>
      </c>
      <c r="L193" s="3">
        <f t="shared" si="129"/>
        <v>5.3706126554366823E-2</v>
      </c>
      <c r="M193" s="3">
        <f t="shared" si="129"/>
        <v>5.3706126554366823E-2</v>
      </c>
      <c r="N193" s="3">
        <f t="shared" si="129"/>
        <v>5.3706126554366823E-2</v>
      </c>
      <c r="O193" s="3">
        <f t="shared" si="129"/>
        <v>5.3706126554366823E-2</v>
      </c>
      <c r="P193" s="3">
        <f t="shared" si="129"/>
        <v>5.3706126554366823E-2</v>
      </c>
      <c r="Q193" s="3">
        <f t="shared" si="129"/>
        <v>5.3706126554366816E-2</v>
      </c>
      <c r="R193" s="3">
        <f t="shared" si="129"/>
        <v>5.3706126554366733E-2</v>
      </c>
      <c r="S193" s="3">
        <f t="shared" si="129"/>
        <v>5.3706126554365956E-2</v>
      </c>
      <c r="T193" s="3">
        <f t="shared" si="129"/>
        <v>5.3706126554358094E-2</v>
      </c>
      <c r="U193" s="3">
        <f t="shared" si="129"/>
        <v>5.3706126554279546E-2</v>
      </c>
      <c r="V193" s="3">
        <f t="shared" si="129"/>
        <v>5.3706126553494049E-2</v>
      </c>
      <c r="W193" s="3">
        <f t="shared" si="129"/>
        <v>5.3706126545639124E-2</v>
      </c>
      <c r="X193" s="3">
        <f t="shared" si="129"/>
        <v>5.3706126467089804E-2</v>
      </c>
      <c r="Y193" s="3">
        <f t="shared" si="129"/>
        <v>5.3706125681596661E-2</v>
      </c>
      <c r="Z193" s="3">
        <f t="shared" si="129"/>
        <v>5.3706117826665865E-2</v>
      </c>
      <c r="AA193" s="3">
        <f t="shared" si="129"/>
        <v>5.3706039277421083E-2</v>
      </c>
      <c r="AB193" s="3">
        <f t="shared" si="129"/>
        <v>5.3705253791291853E-2</v>
      </c>
      <c r="AC193" s="3">
        <f t="shared" si="129"/>
        <v>5.3697399561825628E-2</v>
      </c>
      <c r="AD193" s="3">
        <f t="shared" si="129"/>
        <v>5.361892041559347E-2</v>
      </c>
      <c r="AE193" s="3">
        <f t="shared" si="129"/>
        <v>5.2840409756580678E-2</v>
      </c>
      <c r="AF193" s="3">
        <f t="shared" si="129"/>
        <v>4.5650684023762426E-2</v>
      </c>
      <c r="AG193" s="3"/>
      <c r="AH193" s="3"/>
    </row>
    <row r="194" spans="1:34" x14ac:dyDescent="0.25">
      <c r="B194" s="3">
        <f t="shared" ref="B194:AF194" si="130">$C41*EXP(-B$168/$A41/EXP(-$C$126))</f>
        <v>5.7988003135982742E-2</v>
      </c>
      <c r="C194" s="3">
        <f t="shared" si="130"/>
        <v>5.7988003135982742E-2</v>
      </c>
      <c r="D194" s="3">
        <f t="shared" si="130"/>
        <v>5.7988003135982742E-2</v>
      </c>
      <c r="E194" s="3">
        <f t="shared" si="130"/>
        <v>5.7988003135982742E-2</v>
      </c>
      <c r="F194" s="3">
        <f t="shared" si="130"/>
        <v>5.7988003135982742E-2</v>
      </c>
      <c r="G194" s="3">
        <f t="shared" si="130"/>
        <v>5.7988003135982742E-2</v>
      </c>
      <c r="H194" s="3">
        <f t="shared" si="130"/>
        <v>5.7988003135982742E-2</v>
      </c>
      <c r="I194" s="3">
        <f t="shared" si="130"/>
        <v>5.7988003135982742E-2</v>
      </c>
      <c r="J194" s="3">
        <f t="shared" si="130"/>
        <v>5.7988003135982742E-2</v>
      </c>
      <c r="K194" s="3">
        <f t="shared" si="130"/>
        <v>5.7988003135982742E-2</v>
      </c>
      <c r="L194" s="3">
        <f t="shared" si="130"/>
        <v>5.7988003135982742E-2</v>
      </c>
      <c r="M194" s="3">
        <f t="shared" si="130"/>
        <v>5.7988003135982742E-2</v>
      </c>
      <c r="N194" s="3">
        <f t="shared" si="130"/>
        <v>5.7988003135982742E-2</v>
      </c>
      <c r="O194" s="3">
        <f t="shared" si="130"/>
        <v>5.7988003135982742E-2</v>
      </c>
      <c r="P194" s="3">
        <f t="shared" si="130"/>
        <v>5.7988003135982742E-2</v>
      </c>
      <c r="Q194" s="3">
        <f t="shared" si="130"/>
        <v>5.7988003135982742E-2</v>
      </c>
      <c r="R194" s="3">
        <f t="shared" si="130"/>
        <v>5.7988003135982735E-2</v>
      </c>
      <c r="S194" s="3">
        <f t="shared" si="130"/>
        <v>5.7988003135982645E-2</v>
      </c>
      <c r="T194" s="3">
        <f t="shared" si="130"/>
        <v>5.7988003135981805E-2</v>
      </c>
      <c r="U194" s="3">
        <f t="shared" si="130"/>
        <v>5.7988003135973319E-2</v>
      </c>
      <c r="V194" s="3">
        <f t="shared" si="130"/>
        <v>5.7988003135888512E-2</v>
      </c>
      <c r="W194" s="3">
        <f t="shared" si="130"/>
        <v>5.7988003135040385E-2</v>
      </c>
      <c r="X194" s="3">
        <f t="shared" si="130"/>
        <v>5.7988003126559204E-2</v>
      </c>
      <c r="Y194" s="3">
        <f t="shared" si="130"/>
        <v>5.798800304174731E-2</v>
      </c>
      <c r="Z194" s="3">
        <f t="shared" si="130"/>
        <v>5.798800219362845E-2</v>
      </c>
      <c r="AA194" s="3">
        <f t="shared" si="130"/>
        <v>5.7987993712440532E-2</v>
      </c>
      <c r="AB194" s="3">
        <f t="shared" si="130"/>
        <v>5.7987908900629569E-2</v>
      </c>
      <c r="AC194" s="3">
        <f t="shared" si="130"/>
        <v>5.7987060789342321E-2</v>
      </c>
      <c r="AD194" s="3">
        <f t="shared" si="130"/>
        <v>5.7978580358670095E-2</v>
      </c>
      <c r="AE194" s="3">
        <f t="shared" si="130"/>
        <v>5.7893844235069512E-2</v>
      </c>
      <c r="AF194" s="3">
        <f t="shared" si="130"/>
        <v>5.7053264557618187E-2</v>
      </c>
      <c r="AG194" s="3"/>
      <c r="AH194" s="3"/>
    </row>
    <row r="195" spans="1:34" x14ac:dyDescent="0.25">
      <c r="B195" s="3">
        <f t="shared" ref="B195:AF195" si="131">$C42*EXP(-B$168/$A42/EXP(-$C$126))</f>
        <v>5.3687364876348918E-2</v>
      </c>
      <c r="C195" s="3">
        <f t="shared" si="131"/>
        <v>5.3687364876348918E-2</v>
      </c>
      <c r="D195" s="3">
        <f t="shared" si="131"/>
        <v>5.3687364876348918E-2</v>
      </c>
      <c r="E195" s="3">
        <f t="shared" si="131"/>
        <v>5.3687364876348918E-2</v>
      </c>
      <c r="F195" s="3">
        <f t="shared" si="131"/>
        <v>5.3687364876348918E-2</v>
      </c>
      <c r="G195" s="3">
        <f t="shared" si="131"/>
        <v>5.3687364876348918E-2</v>
      </c>
      <c r="H195" s="3">
        <f t="shared" si="131"/>
        <v>5.3687364876348918E-2</v>
      </c>
      <c r="I195" s="3">
        <f t="shared" si="131"/>
        <v>5.3687364876348918E-2</v>
      </c>
      <c r="J195" s="3">
        <f t="shared" si="131"/>
        <v>5.3687364876348918E-2</v>
      </c>
      <c r="K195" s="3">
        <f t="shared" si="131"/>
        <v>5.3687364876348918E-2</v>
      </c>
      <c r="L195" s="3">
        <f t="shared" si="131"/>
        <v>5.3687364876348918E-2</v>
      </c>
      <c r="M195" s="3">
        <f t="shared" si="131"/>
        <v>5.3687364876348918E-2</v>
      </c>
      <c r="N195" s="3">
        <f t="shared" si="131"/>
        <v>5.3687364876348918E-2</v>
      </c>
      <c r="O195" s="3">
        <f t="shared" si="131"/>
        <v>5.3687364876348918E-2</v>
      </c>
      <c r="P195" s="3">
        <f t="shared" si="131"/>
        <v>5.3687364876348918E-2</v>
      </c>
      <c r="Q195" s="3">
        <f t="shared" si="131"/>
        <v>5.3687364876348918E-2</v>
      </c>
      <c r="R195" s="3">
        <f t="shared" si="131"/>
        <v>5.3687364876348918E-2</v>
      </c>
      <c r="S195" s="3">
        <f t="shared" si="131"/>
        <v>5.3687364876348911E-2</v>
      </c>
      <c r="T195" s="3">
        <f t="shared" si="131"/>
        <v>5.3687364876348828E-2</v>
      </c>
      <c r="U195" s="3">
        <f t="shared" si="131"/>
        <v>5.3687364876348051E-2</v>
      </c>
      <c r="V195" s="3">
        <f t="shared" si="131"/>
        <v>5.3687364876340189E-2</v>
      </c>
      <c r="W195" s="3">
        <f t="shared" si="131"/>
        <v>5.3687364876261676E-2</v>
      </c>
      <c r="X195" s="3">
        <f t="shared" si="131"/>
        <v>5.368736487547645E-2</v>
      </c>
      <c r="Y195" s="3">
        <f t="shared" si="131"/>
        <v>5.3687364867624265E-2</v>
      </c>
      <c r="Z195" s="3">
        <f t="shared" si="131"/>
        <v>5.3687364789102389E-2</v>
      </c>
      <c r="AA195" s="3">
        <f t="shared" si="131"/>
        <v>5.3687364003883652E-2</v>
      </c>
      <c r="AB195" s="3">
        <f t="shared" si="131"/>
        <v>5.368735615169689E-2</v>
      </c>
      <c r="AC195" s="3">
        <f t="shared" si="131"/>
        <v>5.368727762989247E-2</v>
      </c>
      <c r="AD195" s="3">
        <f t="shared" si="131"/>
        <v>5.3686492418164672E-2</v>
      </c>
      <c r="AE195" s="3">
        <f t="shared" si="131"/>
        <v>5.3678640932492007E-2</v>
      </c>
      <c r="AF195" s="3">
        <f t="shared" si="131"/>
        <v>5.3600189202135232E-2</v>
      </c>
      <c r="AG195" s="3"/>
      <c r="AH195" s="3"/>
    </row>
    <row r="196" spans="1:34" x14ac:dyDescent="0.25">
      <c r="B196" s="3">
        <f t="shared" ref="B196:AF196" si="132">$C43*EXP(-B$168/$A43/EXP(-$C$126))</f>
        <v>3.7741648856749126E-2</v>
      </c>
      <c r="C196" s="3">
        <f t="shared" si="132"/>
        <v>3.7741648856749126E-2</v>
      </c>
      <c r="D196" s="3">
        <f t="shared" si="132"/>
        <v>3.7741648856749126E-2</v>
      </c>
      <c r="E196" s="3">
        <f t="shared" si="132"/>
        <v>3.7741648856749126E-2</v>
      </c>
      <c r="F196" s="3">
        <f t="shared" si="132"/>
        <v>3.7741648856749126E-2</v>
      </c>
      <c r="G196" s="3">
        <f t="shared" si="132"/>
        <v>3.7741648856749126E-2</v>
      </c>
      <c r="H196" s="3">
        <f t="shared" si="132"/>
        <v>3.7741648856749126E-2</v>
      </c>
      <c r="I196" s="3">
        <f t="shared" si="132"/>
        <v>3.7741648856749126E-2</v>
      </c>
      <c r="J196" s="3">
        <f t="shared" si="132"/>
        <v>3.7741648856749126E-2</v>
      </c>
      <c r="K196" s="3">
        <f t="shared" si="132"/>
        <v>3.7741648856749126E-2</v>
      </c>
      <c r="L196" s="3">
        <f t="shared" si="132"/>
        <v>3.7741648856749126E-2</v>
      </c>
      <c r="M196" s="3">
        <f t="shared" si="132"/>
        <v>3.7741648856749126E-2</v>
      </c>
      <c r="N196" s="3">
        <f t="shared" si="132"/>
        <v>3.7741648856749126E-2</v>
      </c>
      <c r="O196" s="3">
        <f t="shared" si="132"/>
        <v>3.7741648856749126E-2</v>
      </c>
      <c r="P196" s="3">
        <f t="shared" si="132"/>
        <v>3.7741648856749126E-2</v>
      </c>
      <c r="Q196" s="3">
        <f t="shared" si="132"/>
        <v>3.7741648856749126E-2</v>
      </c>
      <c r="R196" s="3">
        <f t="shared" si="132"/>
        <v>3.7741648856749126E-2</v>
      </c>
      <c r="S196" s="3">
        <f t="shared" si="132"/>
        <v>3.7741648856749126E-2</v>
      </c>
      <c r="T196" s="3">
        <f t="shared" si="132"/>
        <v>3.7741648856749119E-2</v>
      </c>
      <c r="U196" s="3">
        <f t="shared" si="132"/>
        <v>3.7741648856749063E-2</v>
      </c>
      <c r="V196" s="3">
        <f t="shared" si="132"/>
        <v>3.7741648856748515E-2</v>
      </c>
      <c r="W196" s="3">
        <f t="shared" si="132"/>
        <v>3.7741648856742992E-2</v>
      </c>
      <c r="X196" s="3">
        <f t="shared" si="132"/>
        <v>3.7741648856687793E-2</v>
      </c>
      <c r="Y196" s="3">
        <f t="shared" si="132"/>
        <v>3.774164885613579E-2</v>
      </c>
      <c r="Z196" s="3">
        <f t="shared" si="132"/>
        <v>3.7741648850615789E-2</v>
      </c>
      <c r="AA196" s="3">
        <f t="shared" si="132"/>
        <v>3.7741648795415743E-2</v>
      </c>
      <c r="AB196" s="3">
        <f t="shared" si="132"/>
        <v>3.7741648243415284E-2</v>
      </c>
      <c r="AC196" s="3">
        <f t="shared" si="132"/>
        <v>3.7741642723411163E-2</v>
      </c>
      <c r="AD196" s="3">
        <f t="shared" si="132"/>
        <v>3.7741587523414354E-2</v>
      </c>
      <c r="AE196" s="3">
        <f t="shared" si="132"/>
        <v>3.7741035527886588E-2</v>
      </c>
      <c r="AF196" s="3">
        <f t="shared" si="132"/>
        <v>3.7735516016620882E-2</v>
      </c>
      <c r="AG196" s="3"/>
      <c r="AH196" s="3"/>
    </row>
    <row r="197" spans="1:34" x14ac:dyDescent="0.25">
      <c r="B197" s="3">
        <f t="shared" ref="B197:AF197" si="133">$C44*EXP(-B$168/$A44/EXP(-$C$126))</f>
        <v>2.2979827884217336E-2</v>
      </c>
      <c r="C197" s="3">
        <f t="shared" si="133"/>
        <v>2.2979827884217336E-2</v>
      </c>
      <c r="D197" s="3">
        <f t="shared" si="133"/>
        <v>2.2979827884217336E-2</v>
      </c>
      <c r="E197" s="3">
        <f t="shared" si="133"/>
        <v>2.2979827884217336E-2</v>
      </c>
      <c r="F197" s="3">
        <f t="shared" si="133"/>
        <v>2.2979827884217336E-2</v>
      </c>
      <c r="G197" s="3">
        <f t="shared" si="133"/>
        <v>2.2979827884217336E-2</v>
      </c>
      <c r="H197" s="3">
        <f t="shared" si="133"/>
        <v>2.2979827884217336E-2</v>
      </c>
      <c r="I197" s="3">
        <f t="shared" si="133"/>
        <v>2.2979827884217336E-2</v>
      </c>
      <c r="J197" s="3">
        <f t="shared" si="133"/>
        <v>2.2979827884217336E-2</v>
      </c>
      <c r="K197" s="3">
        <f t="shared" si="133"/>
        <v>2.2979827884217336E-2</v>
      </c>
      <c r="L197" s="3">
        <f t="shared" si="133"/>
        <v>2.2979827884217336E-2</v>
      </c>
      <c r="M197" s="3">
        <f t="shared" si="133"/>
        <v>2.2979827884217336E-2</v>
      </c>
      <c r="N197" s="3">
        <f t="shared" si="133"/>
        <v>2.2979827884217336E-2</v>
      </c>
      <c r="O197" s="3">
        <f t="shared" si="133"/>
        <v>2.2979827884217336E-2</v>
      </c>
      <c r="P197" s="3">
        <f t="shared" si="133"/>
        <v>2.2979827884217336E-2</v>
      </c>
      <c r="Q197" s="3">
        <f t="shared" si="133"/>
        <v>2.2979827884217336E-2</v>
      </c>
      <c r="R197" s="3">
        <f t="shared" si="133"/>
        <v>2.2979827884217336E-2</v>
      </c>
      <c r="S197" s="3">
        <f t="shared" si="133"/>
        <v>2.2979827884217336E-2</v>
      </c>
      <c r="T197" s="3">
        <f t="shared" si="133"/>
        <v>2.2979827884217336E-2</v>
      </c>
      <c r="U197" s="3">
        <f t="shared" si="133"/>
        <v>2.2979827884217333E-2</v>
      </c>
      <c r="V197" s="3">
        <f t="shared" si="133"/>
        <v>2.2979827884217298E-2</v>
      </c>
      <c r="W197" s="3">
        <f t="shared" si="133"/>
        <v>2.2979827884216965E-2</v>
      </c>
      <c r="X197" s="3">
        <f t="shared" si="133"/>
        <v>2.2979827884213599E-2</v>
      </c>
      <c r="Y197" s="3">
        <f t="shared" si="133"/>
        <v>2.2979827884179994E-2</v>
      </c>
      <c r="Z197" s="3">
        <f t="shared" si="133"/>
        <v>2.2979827883843892E-2</v>
      </c>
      <c r="AA197" s="3">
        <f t="shared" si="133"/>
        <v>2.297982788048292E-2</v>
      </c>
      <c r="AB197" s="3">
        <f t="shared" si="133"/>
        <v>2.2979827846873163E-2</v>
      </c>
      <c r="AC197" s="3">
        <f t="shared" si="133"/>
        <v>2.2979827510775621E-2</v>
      </c>
      <c r="AD197" s="3">
        <f t="shared" si="133"/>
        <v>2.2979824149800453E-2</v>
      </c>
      <c r="AE197" s="3">
        <f t="shared" si="133"/>
        <v>2.29797905400758E-2</v>
      </c>
      <c r="AF197" s="3">
        <f t="shared" si="133"/>
        <v>2.2979454445532902E-2</v>
      </c>
      <c r="AG197" s="3"/>
      <c r="AH197" s="3"/>
    </row>
    <row r="198" spans="1:34" x14ac:dyDescent="0.25">
      <c r="B198" s="3">
        <f t="shared" ref="B198:AF198" si="134">$C45*EXP(-B$168/$A45/EXP(-$C$126))</f>
        <v>9.4093651761472351E-3</v>
      </c>
      <c r="C198" s="3">
        <f t="shared" si="134"/>
        <v>9.4093651761472351E-3</v>
      </c>
      <c r="D198" s="3">
        <f t="shared" si="134"/>
        <v>9.4093651761472351E-3</v>
      </c>
      <c r="E198" s="3">
        <f t="shared" si="134"/>
        <v>9.4093651761472351E-3</v>
      </c>
      <c r="F198" s="3">
        <f t="shared" si="134"/>
        <v>9.4093651761472351E-3</v>
      </c>
      <c r="G198" s="3">
        <f t="shared" si="134"/>
        <v>9.4093651761472351E-3</v>
      </c>
      <c r="H198" s="3">
        <f t="shared" si="134"/>
        <v>9.4093651761472351E-3</v>
      </c>
      <c r="I198" s="3">
        <f t="shared" si="134"/>
        <v>9.4093651761472351E-3</v>
      </c>
      <c r="J198" s="3">
        <f t="shared" si="134"/>
        <v>9.4093651761472351E-3</v>
      </c>
      <c r="K198" s="3">
        <f t="shared" si="134"/>
        <v>9.4093651761472351E-3</v>
      </c>
      <c r="L198" s="3">
        <f t="shared" si="134"/>
        <v>9.4093651761472351E-3</v>
      </c>
      <c r="M198" s="3">
        <f t="shared" si="134"/>
        <v>9.4093651761472351E-3</v>
      </c>
      <c r="N198" s="3">
        <f t="shared" si="134"/>
        <v>9.4093651761472351E-3</v>
      </c>
      <c r="O198" s="3">
        <f t="shared" si="134"/>
        <v>9.4093651761472351E-3</v>
      </c>
      <c r="P198" s="3">
        <f t="shared" si="134"/>
        <v>9.4093651761472351E-3</v>
      </c>
      <c r="Q198" s="3">
        <f t="shared" si="134"/>
        <v>9.4093651761472351E-3</v>
      </c>
      <c r="R198" s="3">
        <f t="shared" si="134"/>
        <v>9.4093651761472351E-3</v>
      </c>
      <c r="S198" s="3">
        <f t="shared" si="134"/>
        <v>9.4093651761472351E-3</v>
      </c>
      <c r="T198" s="3">
        <f t="shared" si="134"/>
        <v>9.4093651761472351E-3</v>
      </c>
      <c r="U198" s="3">
        <f t="shared" si="134"/>
        <v>9.4093651761472351E-3</v>
      </c>
      <c r="V198" s="3">
        <f t="shared" si="134"/>
        <v>9.4093651761472333E-3</v>
      </c>
      <c r="W198" s="3">
        <f t="shared" si="134"/>
        <v>9.4093651761472195E-3</v>
      </c>
      <c r="X198" s="3">
        <f t="shared" si="134"/>
        <v>9.4093651761470824E-3</v>
      </c>
      <c r="Y198" s="3">
        <f t="shared" si="134"/>
        <v>9.4093651761457051E-3</v>
      </c>
      <c r="Z198" s="3">
        <f t="shared" si="134"/>
        <v>9.4093651761319452E-3</v>
      </c>
      <c r="AA198" s="3">
        <f t="shared" si="134"/>
        <v>9.4093651759943244E-3</v>
      </c>
      <c r="AB198" s="3">
        <f t="shared" si="134"/>
        <v>9.4093651746181336E-3</v>
      </c>
      <c r="AC198" s="3">
        <f t="shared" si="134"/>
        <v>9.4093651608562166E-3</v>
      </c>
      <c r="AD198" s="3">
        <f t="shared" si="134"/>
        <v>9.409365023237061E-3</v>
      </c>
      <c r="AE198" s="3">
        <f t="shared" si="134"/>
        <v>9.4093636470456085E-3</v>
      </c>
      <c r="AF198" s="3">
        <f t="shared" si="134"/>
        <v>9.4093498851421566E-3</v>
      </c>
      <c r="AG198" s="3"/>
      <c r="AH198" s="3"/>
    </row>
    <row r="199" spans="1:34" x14ac:dyDescent="0.25">
      <c r="B199" s="3">
        <f t="shared" ref="B199:AF199" si="135">$C46*EXP(-B$168/$A46/EXP(-$C$126))</f>
        <v>6.2705621285313361E-3</v>
      </c>
      <c r="C199" s="3">
        <f t="shared" si="135"/>
        <v>6.2705621285313361E-3</v>
      </c>
      <c r="D199" s="3">
        <f t="shared" si="135"/>
        <v>6.2705621285313361E-3</v>
      </c>
      <c r="E199" s="3">
        <f t="shared" si="135"/>
        <v>6.2705621285313361E-3</v>
      </c>
      <c r="F199" s="3">
        <f t="shared" si="135"/>
        <v>6.2705621285313361E-3</v>
      </c>
      <c r="G199" s="3">
        <f t="shared" si="135"/>
        <v>6.2705621285313361E-3</v>
      </c>
      <c r="H199" s="3">
        <f t="shared" si="135"/>
        <v>6.2705621285313361E-3</v>
      </c>
      <c r="I199" s="3">
        <f t="shared" si="135"/>
        <v>6.2705621285313361E-3</v>
      </c>
      <c r="J199" s="3">
        <f t="shared" si="135"/>
        <v>6.2705621285313361E-3</v>
      </c>
      <c r="K199" s="3">
        <f t="shared" si="135"/>
        <v>6.2705621285313361E-3</v>
      </c>
      <c r="L199" s="3">
        <f t="shared" si="135"/>
        <v>6.2705621285313361E-3</v>
      </c>
      <c r="M199" s="3">
        <f t="shared" si="135"/>
        <v>6.2705621285313361E-3</v>
      </c>
      <c r="N199" s="3">
        <f t="shared" si="135"/>
        <v>6.2705621285313361E-3</v>
      </c>
      <c r="O199" s="3">
        <f t="shared" si="135"/>
        <v>6.2705621285313361E-3</v>
      </c>
      <c r="P199" s="3">
        <f t="shared" si="135"/>
        <v>6.2705621285313361E-3</v>
      </c>
      <c r="Q199" s="3">
        <f t="shared" si="135"/>
        <v>6.2705621285313361E-3</v>
      </c>
      <c r="R199" s="3">
        <f t="shared" si="135"/>
        <v>6.2705621285313361E-3</v>
      </c>
      <c r="S199" s="3">
        <f t="shared" si="135"/>
        <v>6.2705621285313361E-3</v>
      </c>
      <c r="T199" s="3">
        <f t="shared" si="135"/>
        <v>6.2705621285313361E-3</v>
      </c>
      <c r="U199" s="3">
        <f t="shared" si="135"/>
        <v>6.2705621285313361E-3</v>
      </c>
      <c r="V199" s="3">
        <f t="shared" si="135"/>
        <v>6.2705621285313361E-3</v>
      </c>
      <c r="W199" s="3">
        <f t="shared" si="135"/>
        <v>6.2705621285313352E-3</v>
      </c>
      <c r="X199" s="3">
        <f t="shared" si="135"/>
        <v>6.2705621285313257E-3</v>
      </c>
      <c r="Y199" s="3">
        <f t="shared" si="135"/>
        <v>6.2705621285312346E-3</v>
      </c>
      <c r="Z199" s="3">
        <f t="shared" si="135"/>
        <v>6.270562128530317E-3</v>
      </c>
      <c r="AA199" s="3">
        <f t="shared" si="135"/>
        <v>6.2705621285211463E-3</v>
      </c>
      <c r="AB199" s="3">
        <f t="shared" si="135"/>
        <v>6.2705621284294341E-3</v>
      </c>
      <c r="AC199" s="3">
        <f t="shared" si="135"/>
        <v>6.270562127512317E-3</v>
      </c>
      <c r="AD199" s="3">
        <f t="shared" si="135"/>
        <v>6.2705621183411402E-3</v>
      </c>
      <c r="AE199" s="3">
        <f t="shared" si="135"/>
        <v>6.270562026629377E-3</v>
      </c>
      <c r="AF199" s="3">
        <f t="shared" si="135"/>
        <v>6.2705611095118198E-3</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1.3778594746513384E-2</v>
      </c>
      <c r="C201" s="3">
        <f t="shared" si="137"/>
        <v>1.3778594746513384E-2</v>
      </c>
      <c r="D201" s="3">
        <f t="shared" si="137"/>
        <v>1.3778594746513384E-2</v>
      </c>
      <c r="E201" s="3">
        <f t="shared" si="137"/>
        <v>1.3778594746513384E-2</v>
      </c>
      <c r="F201" s="3">
        <f t="shared" si="137"/>
        <v>1.3778594746513384E-2</v>
      </c>
      <c r="G201" s="3">
        <f t="shared" si="137"/>
        <v>1.3778594746513384E-2</v>
      </c>
      <c r="H201" s="3">
        <f t="shared" si="137"/>
        <v>1.3778594746513384E-2</v>
      </c>
      <c r="I201" s="3">
        <f t="shared" si="137"/>
        <v>1.3778594746513384E-2</v>
      </c>
      <c r="J201" s="3">
        <f t="shared" si="137"/>
        <v>1.3778594746513384E-2</v>
      </c>
      <c r="K201" s="3">
        <f t="shared" si="137"/>
        <v>1.3778594746513384E-2</v>
      </c>
      <c r="L201" s="3">
        <f t="shared" si="137"/>
        <v>1.3778594746513384E-2</v>
      </c>
      <c r="M201" s="3">
        <f t="shared" si="137"/>
        <v>1.3778594746513384E-2</v>
      </c>
      <c r="N201" s="3">
        <f t="shared" si="137"/>
        <v>1.3778594746513384E-2</v>
      </c>
      <c r="O201" s="3">
        <f t="shared" si="137"/>
        <v>1.3778594746513384E-2</v>
      </c>
      <c r="P201" s="3">
        <f t="shared" si="137"/>
        <v>1.3778594746513384E-2</v>
      </c>
      <c r="Q201" s="3">
        <f t="shared" si="137"/>
        <v>1.3778594746513384E-2</v>
      </c>
      <c r="R201" s="3">
        <f t="shared" si="137"/>
        <v>1.3778594746513384E-2</v>
      </c>
      <c r="S201" s="3">
        <f t="shared" si="137"/>
        <v>1.3778594746513384E-2</v>
      </c>
      <c r="T201" s="3">
        <f t="shared" si="137"/>
        <v>1.3778594746513384E-2</v>
      </c>
      <c r="U201" s="3">
        <f t="shared" si="137"/>
        <v>1.3778594746513384E-2</v>
      </c>
      <c r="V201" s="3">
        <f t="shared" si="137"/>
        <v>1.3778594746513384E-2</v>
      </c>
      <c r="W201" s="3">
        <f t="shared" si="137"/>
        <v>1.3778594746513384E-2</v>
      </c>
      <c r="X201" s="3">
        <f t="shared" si="137"/>
        <v>1.3778594746513384E-2</v>
      </c>
      <c r="Y201" s="3">
        <f t="shared" si="137"/>
        <v>1.3778594746513382E-2</v>
      </c>
      <c r="Z201" s="3">
        <f t="shared" si="137"/>
        <v>1.3778594746513361E-2</v>
      </c>
      <c r="AA201" s="3">
        <f t="shared" si="137"/>
        <v>1.377859474651316E-2</v>
      </c>
      <c r="AB201" s="3">
        <f t="shared" si="137"/>
        <v>1.3778594746511144E-2</v>
      </c>
      <c r="AC201" s="3">
        <f t="shared" si="137"/>
        <v>1.3778594746490994E-2</v>
      </c>
      <c r="AD201" s="3">
        <f t="shared" si="137"/>
        <v>1.3778594746289469E-2</v>
      </c>
      <c r="AE201" s="3">
        <f t="shared" si="137"/>
        <v>1.3778594744274246E-2</v>
      </c>
      <c r="AF201" s="3">
        <f t="shared" si="137"/>
        <v>1.3778594724121997E-2</v>
      </c>
      <c r="AG201" s="3"/>
      <c r="AH201" s="3"/>
    </row>
    <row r="202" spans="1:34" x14ac:dyDescent="0.25">
      <c r="A202" s="79">
        <f>AVERAGE(B202:AF202)</f>
        <v>1.7590632363022385E-2</v>
      </c>
      <c r="B202" s="80">
        <f>IF($A$64&lt;=B168,IF($B$64&gt;=B168,ABS((B170-B169)/B169),0),0)</f>
        <v>9.9246775305182654E-4</v>
      </c>
      <c r="C202" s="80">
        <f t="shared" ref="C202:AF202" si="138">IF($A$64&lt;=C168,IF($B$64&gt;=C168,ABS((C170-C169)/C169),0),0)</f>
        <v>1.3238361962729717E-3</v>
      </c>
      <c r="D202" s="80">
        <f t="shared" si="138"/>
        <v>4.3264890644755596E-3</v>
      </c>
      <c r="E202" s="80">
        <f t="shared" si="138"/>
        <v>1.8991937425658419E-2</v>
      </c>
      <c r="F202" s="80">
        <f t="shared" si="138"/>
        <v>2.3411775233784075E-2</v>
      </c>
      <c r="G202" s="80">
        <f t="shared" si="138"/>
        <v>2.3397461512726488E-2</v>
      </c>
      <c r="H202" s="80">
        <f t="shared" si="138"/>
        <v>2.3256358291669253E-2</v>
      </c>
      <c r="I202" s="80">
        <f t="shared" si="138"/>
        <v>2.1900506497176127E-2</v>
      </c>
      <c r="J202" s="80">
        <f t="shared" si="138"/>
        <v>1.0593620681135557E-2</v>
      </c>
      <c r="K202" s="80">
        <f t="shared" si="138"/>
        <v>3.2903776126669347E-3</v>
      </c>
      <c r="L202" s="80">
        <f t="shared" si="138"/>
        <v>1.3988777073601792E-2</v>
      </c>
      <c r="M202" s="80">
        <f t="shared" si="138"/>
        <v>8.7999478115593169E-3</v>
      </c>
      <c r="N202" s="80">
        <f t="shared" si="138"/>
        <v>1.1077236823714143E-2</v>
      </c>
      <c r="O202" s="80">
        <f t="shared" si="138"/>
        <v>1.192434130644175E-2</v>
      </c>
      <c r="P202" s="80">
        <f t="shared" si="138"/>
        <v>1.3411560490122702E-2</v>
      </c>
      <c r="Q202" s="80">
        <f t="shared" si="138"/>
        <v>1.4448764311965656E-2</v>
      </c>
      <c r="R202" s="80">
        <f t="shared" si="138"/>
        <v>1.4643764625634261E-2</v>
      </c>
      <c r="S202" s="80">
        <f t="shared" si="138"/>
        <v>1.4600154379033663E-2</v>
      </c>
      <c r="T202" s="80">
        <f t="shared" si="138"/>
        <v>1.4552187703623902E-2</v>
      </c>
      <c r="U202" s="80">
        <f t="shared" si="138"/>
        <v>7.3762865824675309E-3</v>
      </c>
      <c r="V202" s="80">
        <f t="shared" si="138"/>
        <v>9.0293534149457327E-3</v>
      </c>
      <c r="W202" s="80">
        <f t="shared" si="138"/>
        <v>2.7683652279677888E-2</v>
      </c>
      <c r="X202" s="80">
        <f t="shared" si="138"/>
        <v>3.816125796869798E-2</v>
      </c>
      <c r="Y202" s="80">
        <f t="shared" si="138"/>
        <v>4.5826519444328292E-2</v>
      </c>
      <c r="Z202" s="80">
        <f t="shared" si="138"/>
        <v>4.2563253470928979E-2</v>
      </c>
      <c r="AA202" s="80">
        <f t="shared" si="138"/>
        <v>3.2736082547696763E-2</v>
      </c>
      <c r="AB202" s="80">
        <f t="shared" si="138"/>
        <v>1.6384984114703606E-2</v>
      </c>
      <c r="AC202" s="80">
        <f t="shared" si="138"/>
        <v>5.5278605442330457E-3</v>
      </c>
      <c r="AD202" s="80">
        <f t="shared" si="138"/>
        <v>9.5126602801905435E-3</v>
      </c>
      <c r="AE202" s="80">
        <f t="shared" si="138"/>
        <v>1.7408116628776636E-2</v>
      </c>
      <c r="AF202" s="80">
        <f t="shared" si="138"/>
        <v>4.4168011182732496E-2</v>
      </c>
    </row>
    <row r="203" spans="1:34" x14ac:dyDescent="0.25">
      <c r="B203" s="21">
        <f>(B170-B169)^2</f>
        <v>31.105218768010566</v>
      </c>
      <c r="C203" s="21">
        <f t="shared" ref="C203:AF203" si="139">(C170-C169)^2</f>
        <v>55.344444839497712</v>
      </c>
      <c r="D203" s="21">
        <f t="shared" si="139"/>
        <v>591.11718422447416</v>
      </c>
      <c r="E203" s="21">
        <f t="shared" si="139"/>
        <v>11390.421502390427</v>
      </c>
      <c r="F203" s="21">
        <f t="shared" si="139"/>
        <v>17308.850207110037</v>
      </c>
      <c r="G203" s="21">
        <f t="shared" si="139"/>
        <v>17287.115995679549</v>
      </c>
      <c r="H203" s="21">
        <f t="shared" si="139"/>
        <v>17073.622566181846</v>
      </c>
      <c r="I203" s="21">
        <f t="shared" si="139"/>
        <v>15092.90526255765</v>
      </c>
      <c r="J203" s="21">
        <f t="shared" si="139"/>
        <v>3437.7492386585345</v>
      </c>
      <c r="K203" s="21">
        <f t="shared" si="139"/>
        <v>312.25159008371992</v>
      </c>
      <c r="L203" s="21">
        <f t="shared" si="139"/>
        <v>5409.6628063450389</v>
      </c>
      <c r="M203" s="21">
        <f t="shared" si="139"/>
        <v>2053.042615873268</v>
      </c>
      <c r="N203" s="21">
        <f t="shared" si="139"/>
        <v>3100.7518170202948</v>
      </c>
      <c r="O203" s="21">
        <f t="shared" si="139"/>
        <v>3411.461632785627</v>
      </c>
      <c r="P203" s="21">
        <f t="shared" si="139"/>
        <v>4064.0027594287208</v>
      </c>
      <c r="Q203" s="21">
        <f t="shared" si="139"/>
        <v>4412.3966667797049</v>
      </c>
      <c r="R203" s="21">
        <f t="shared" si="139"/>
        <v>4222.5851596901812</v>
      </c>
      <c r="S203" s="21">
        <f t="shared" si="139"/>
        <v>3909.7567217793289</v>
      </c>
      <c r="T203" s="21">
        <f t="shared" si="139"/>
        <v>3567.9048063637629</v>
      </c>
      <c r="U203" s="21">
        <f t="shared" si="139"/>
        <v>812.20476662254578</v>
      </c>
      <c r="V203" s="21">
        <f t="shared" si="139"/>
        <v>1052.5893717292302</v>
      </c>
      <c r="W203" s="21">
        <f t="shared" si="139"/>
        <v>8654.5869939738041</v>
      </c>
      <c r="X203" s="21">
        <f t="shared" si="139"/>
        <v>14627.017868968651</v>
      </c>
      <c r="Y203" s="21">
        <f t="shared" si="139"/>
        <v>18760.13628096614</v>
      </c>
      <c r="Z203" s="21">
        <f t="shared" si="139"/>
        <v>14483.142070492737</v>
      </c>
      <c r="AA203" s="21">
        <f t="shared" si="139"/>
        <v>7640.6704339983371</v>
      </c>
      <c r="AB203" s="21">
        <f t="shared" si="139"/>
        <v>1698.8766443621544</v>
      </c>
      <c r="AC203" s="21">
        <f t="shared" si="139"/>
        <v>166.84903952484029</v>
      </c>
      <c r="AD203" s="21">
        <f t="shared" si="139"/>
        <v>418.43673169673002</v>
      </c>
      <c r="AE203" s="21">
        <f t="shared" si="139"/>
        <v>1141.1392095878314</v>
      </c>
      <c r="AF203" s="21">
        <f t="shared" si="139"/>
        <v>5659.1125105844112</v>
      </c>
      <c r="AG203" s="3"/>
      <c r="AH203" s="3"/>
    </row>
    <row r="204" spans="1:34" x14ac:dyDescent="0.25">
      <c r="A204" s="71">
        <f>SUM(B204:AF204)</f>
        <v>191846.81011906706</v>
      </c>
      <c r="B204" s="60">
        <f>IF($A$64&lt;=B168,IF($B$64&gt;=B168,ABS(B203),0),0)</f>
        <v>31.105218768010566</v>
      </c>
      <c r="C204" s="60">
        <f t="shared" ref="C204" si="140">IF($A$64&lt;=C168,IF($B$64&gt;=C168,ABS(C203),0),0)</f>
        <v>55.344444839497712</v>
      </c>
      <c r="D204" s="60">
        <f t="shared" ref="D204" si="141">IF($A$64&lt;=D168,IF($B$64&gt;=D168,ABS(D203),0),0)</f>
        <v>591.11718422447416</v>
      </c>
      <c r="E204" s="60">
        <f t="shared" ref="E204" si="142">IF($A$64&lt;=E168,IF($B$64&gt;=E168,ABS(E203),0),0)</f>
        <v>11390.421502390427</v>
      </c>
      <c r="F204" s="60">
        <f t="shared" ref="F204" si="143">IF($A$64&lt;=F168,IF($B$64&gt;=F168,ABS(F203),0),0)</f>
        <v>17308.850207110037</v>
      </c>
      <c r="G204" s="60">
        <f t="shared" ref="G204" si="144">IF($A$64&lt;=G168,IF($B$64&gt;=G168,ABS(G203),0),0)</f>
        <v>17287.115995679549</v>
      </c>
      <c r="H204" s="60">
        <f t="shared" ref="H204" si="145">IF($A$64&lt;=H168,IF($B$64&gt;=H168,ABS(H203),0),0)</f>
        <v>17073.622566181846</v>
      </c>
      <c r="I204" s="60">
        <f t="shared" ref="I204" si="146">IF($A$64&lt;=I168,IF($B$64&gt;=I168,ABS(I203),0),0)</f>
        <v>15092.90526255765</v>
      </c>
      <c r="J204" s="60">
        <f t="shared" ref="J204" si="147">IF($A$64&lt;=J168,IF($B$64&gt;=J168,ABS(J203),0),0)</f>
        <v>3437.7492386585345</v>
      </c>
      <c r="K204" s="60">
        <f t="shared" ref="K204" si="148">IF($A$64&lt;=K168,IF($B$64&gt;=K168,ABS(K203),0),0)</f>
        <v>312.25159008371992</v>
      </c>
      <c r="L204" s="60">
        <f t="shared" ref="L204" si="149">IF($A$64&lt;=L168,IF($B$64&gt;=L168,ABS(L203),0),0)</f>
        <v>5409.6628063450389</v>
      </c>
      <c r="M204" s="60">
        <f t="shared" ref="M204" si="150">IF($A$64&lt;=M168,IF($B$64&gt;=M168,ABS(M203),0),0)</f>
        <v>2053.042615873268</v>
      </c>
      <c r="N204" s="60">
        <f t="shared" ref="N204" si="151">IF($A$64&lt;=N168,IF($B$64&gt;=N168,ABS(N203),0),0)</f>
        <v>3100.7518170202948</v>
      </c>
      <c r="O204" s="60">
        <f t="shared" ref="O204" si="152">IF($A$64&lt;=O168,IF($B$64&gt;=O168,ABS(O203),0),0)</f>
        <v>3411.461632785627</v>
      </c>
      <c r="P204" s="60">
        <f t="shared" ref="P204" si="153">IF($A$64&lt;=P168,IF($B$64&gt;=P168,ABS(P203),0),0)</f>
        <v>4064.0027594287208</v>
      </c>
      <c r="Q204" s="60">
        <f t="shared" ref="Q204" si="154">IF($A$64&lt;=Q168,IF($B$64&gt;=Q168,ABS(Q203),0),0)</f>
        <v>4412.3966667797049</v>
      </c>
      <c r="R204" s="60">
        <f t="shared" ref="R204" si="155">IF($A$64&lt;=R168,IF($B$64&gt;=R168,ABS(R203),0),0)</f>
        <v>4222.5851596901812</v>
      </c>
      <c r="S204" s="60">
        <f t="shared" ref="S204" si="156">IF($A$64&lt;=S168,IF($B$64&gt;=S168,ABS(S203),0),0)</f>
        <v>3909.7567217793289</v>
      </c>
      <c r="T204" s="60">
        <f t="shared" ref="T204" si="157">IF($A$64&lt;=T168,IF($B$64&gt;=T168,ABS(T203),0),0)</f>
        <v>3567.9048063637629</v>
      </c>
      <c r="U204" s="60">
        <f t="shared" ref="U204" si="158">IF($A$64&lt;=U168,IF($B$64&gt;=U168,ABS(U203),0),0)</f>
        <v>812.20476662254578</v>
      </c>
      <c r="V204" s="60">
        <f t="shared" ref="V204" si="159">IF($A$64&lt;=V168,IF($B$64&gt;=V168,ABS(V203),0),0)</f>
        <v>1052.5893717292302</v>
      </c>
      <c r="W204" s="60">
        <f t="shared" ref="W204" si="160">IF($A$64&lt;=W168,IF($B$64&gt;=W168,ABS(W203),0),0)</f>
        <v>8654.5869939738041</v>
      </c>
      <c r="X204" s="60">
        <f t="shared" ref="X204" si="161">IF($A$64&lt;=X168,IF($B$64&gt;=X168,ABS(X203),0),0)</f>
        <v>14627.017868968651</v>
      </c>
      <c r="Y204" s="60">
        <f t="shared" ref="Y204" si="162">IF($A$64&lt;=Y168,IF($B$64&gt;=Y168,ABS(Y203),0),0)</f>
        <v>18760.13628096614</v>
      </c>
      <c r="Z204" s="60">
        <f t="shared" ref="Z204" si="163">IF($A$64&lt;=Z168,IF($B$64&gt;=Z168,ABS(Z203),0),0)</f>
        <v>14483.142070492737</v>
      </c>
      <c r="AA204" s="60">
        <f t="shared" ref="AA204" si="164">IF($A$64&lt;=AA168,IF($B$64&gt;=AA168,ABS(AA203),0),0)</f>
        <v>7640.6704339983371</v>
      </c>
      <c r="AB204" s="60">
        <f t="shared" ref="AB204" si="165">IF($A$64&lt;=AB168,IF($B$64&gt;=AB168,ABS(AB203),0),0)</f>
        <v>1698.8766443621544</v>
      </c>
      <c r="AC204" s="60">
        <f t="shared" ref="AC204" si="166">IF($A$64&lt;=AC168,IF($B$64&gt;=AC168,ABS(AC203),0),0)</f>
        <v>166.84903952484029</v>
      </c>
      <c r="AD204" s="60">
        <f t="shared" ref="AD204" si="167">IF($A$64&lt;=AD168,IF($B$64&gt;=AD168,ABS(AD203),0),0)</f>
        <v>418.43673169673002</v>
      </c>
      <c r="AE204" s="60">
        <f t="shared" ref="AE204" si="168">IF($A$64&lt;=AE168,IF($B$64&gt;=AE168,ABS(AE203),0),0)</f>
        <v>1141.1392095878314</v>
      </c>
      <c r="AF204" s="60">
        <f t="shared" ref="AF204" si="169">IF($A$64&lt;=AF168,IF($B$64&gt;=AF168,ABS(AF203),0),0)</f>
        <v>5659.1125105844112</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0" t="s">
        <v>22</v>
      </c>
      <c r="B209" s="27">
        <f>($C$17+SUM(B210:B240))*$B$51</f>
        <v>5553.2023027265486</v>
      </c>
      <c r="C209" s="27">
        <f t="shared" ref="C209:AF209" si="170">($C$17+SUM(C210:C240))*$B$51</f>
        <v>5488.1366396053672</v>
      </c>
      <c r="D209" s="27">
        <f t="shared" si="170"/>
        <v>5487.9601845502693</v>
      </c>
      <c r="E209" s="27">
        <f t="shared" si="170"/>
        <v>5487.9157543313831</v>
      </c>
      <c r="F209" s="27">
        <f t="shared" si="170"/>
        <v>5487.4718163808366</v>
      </c>
      <c r="G209" s="27">
        <f t="shared" si="170"/>
        <v>5483.0686568360206</v>
      </c>
      <c r="H209" s="27">
        <f t="shared" si="170"/>
        <v>5442.4635229766063</v>
      </c>
      <c r="I209" s="27">
        <f t="shared" si="170"/>
        <v>5244.9615284556512</v>
      </c>
      <c r="J209" s="27">
        <f t="shared" si="170"/>
        <v>5139.4090659787416</v>
      </c>
      <c r="K209" s="27">
        <f t="shared" si="170"/>
        <v>5024.1985191098111</v>
      </c>
      <c r="L209" s="27">
        <f t="shared" si="170"/>
        <v>4894.7949506800496</v>
      </c>
      <c r="M209" s="27">
        <f t="shared" si="170"/>
        <v>4753.4248355887312</v>
      </c>
      <c r="N209" s="27">
        <f t="shared" si="170"/>
        <v>4598.7742801924769</v>
      </c>
      <c r="O209" s="27">
        <f t="shared" si="170"/>
        <v>4440.3154270647356</v>
      </c>
      <c r="P209" s="27">
        <f t="shared" si="170"/>
        <v>4286.5157241153511</v>
      </c>
      <c r="Q209" s="27">
        <f t="shared" si="170"/>
        <v>4123.8240290845524</v>
      </c>
      <c r="R209" s="27">
        <f t="shared" si="170"/>
        <v>3928.2384860413003</v>
      </c>
      <c r="S209" s="27">
        <f t="shared" si="170"/>
        <v>3712.1992087633707</v>
      </c>
      <c r="T209" s="27">
        <f t="shared" si="170"/>
        <v>3519.2252357957418</v>
      </c>
      <c r="U209" s="27">
        <f t="shared" si="170"/>
        <v>3357.076960290397</v>
      </c>
      <c r="V209" s="27">
        <f t="shared" si="170"/>
        <v>3190.2534342086492</v>
      </c>
      <c r="W209" s="27">
        <f t="shared" si="170"/>
        <v>3019.2527505102971</v>
      </c>
      <c r="X209" s="27">
        <f t="shared" si="170"/>
        <v>2828.7829590546294</v>
      </c>
      <c r="Y209" s="27">
        <f t="shared" si="170"/>
        <v>2632.0109710330466</v>
      </c>
      <c r="Z209" s="27">
        <f t="shared" si="170"/>
        <v>2422.456899459939</v>
      </c>
      <c r="AA209" s="27">
        <f t="shared" si="170"/>
        <v>2211.9962992759556</v>
      </c>
      <c r="AB209" s="27">
        <f t="shared" si="170"/>
        <v>1979.0654448432151</v>
      </c>
      <c r="AC209" s="27">
        <f t="shared" si="170"/>
        <v>1748.3228752330776</v>
      </c>
      <c r="AD209" s="27">
        <f t="shared" si="170"/>
        <v>1461.4268967300684</v>
      </c>
      <c r="AE209" s="27">
        <f t="shared" si="170"/>
        <v>1150.5622398823182</v>
      </c>
      <c r="AF209" s="27">
        <f t="shared" si="170"/>
        <v>843.01658502601163</v>
      </c>
      <c r="AG209" s="27"/>
      <c r="AH209" s="27"/>
    </row>
    <row r="210" spans="1:34" x14ac:dyDescent="0.25">
      <c r="B210" s="3">
        <f t="shared" ref="B210:AF210" si="171">$C18*EXP(-B$207/$A18/EXP(-$D$126))</f>
        <v>1.1620121676899809E-2</v>
      </c>
      <c r="C210" s="3">
        <f t="shared" si="171"/>
        <v>3.0638892963177021E-5</v>
      </c>
      <c r="D210" s="3">
        <f t="shared" si="171"/>
        <v>4.9761906048031905E-31</v>
      </c>
      <c r="E210" s="3">
        <f t="shared" si="171"/>
        <v>6.3553047699639057E-289</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5.0933884603087703E-2</v>
      </c>
      <c r="C211" s="3">
        <f t="shared" si="172"/>
        <v>5.0933807127495574E-2</v>
      </c>
      <c r="D211" s="3">
        <f t="shared" si="172"/>
        <v>5.0933032378055923E-2</v>
      </c>
      <c r="E211" s="3">
        <f t="shared" si="172"/>
        <v>5.0925285531785165E-2</v>
      </c>
      <c r="F211" s="3">
        <f t="shared" si="172"/>
        <v>5.084788184519002E-2</v>
      </c>
      <c r="G211" s="3">
        <f t="shared" si="172"/>
        <v>5.0080286281835869E-2</v>
      </c>
      <c r="H211" s="3">
        <f t="shared" si="172"/>
        <v>4.3013637185930098E-2</v>
      </c>
      <c r="I211" s="3">
        <f t="shared" si="172"/>
        <v>9.3972291011152984E-3</v>
      </c>
      <c r="J211" s="3">
        <f t="shared" si="172"/>
        <v>2.3277497491376757E-9</v>
      </c>
      <c r="K211" s="3">
        <f t="shared" si="172"/>
        <v>2.024421888634028E-75</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9.6796703933982008E-3</v>
      </c>
      <c r="C212" s="3">
        <f t="shared" si="173"/>
        <v>9.6796690651918121E-3</v>
      </c>
      <c r="D212" s="3">
        <f t="shared" si="173"/>
        <v>9.6796557831379543E-3</v>
      </c>
      <c r="E212" s="3">
        <f t="shared" si="173"/>
        <v>9.6795229636017326E-3</v>
      </c>
      <c r="F212" s="3">
        <f t="shared" si="173"/>
        <v>9.6781948684720835E-3</v>
      </c>
      <c r="G212" s="3">
        <f t="shared" si="173"/>
        <v>9.6649239353445247E-3</v>
      </c>
      <c r="H212" s="3">
        <f t="shared" si="173"/>
        <v>9.5332113533580579E-3</v>
      </c>
      <c r="I212" s="3">
        <f t="shared" si="173"/>
        <v>8.3108804054754792E-3</v>
      </c>
      <c r="J212" s="3">
        <f t="shared" si="173"/>
        <v>2.1072940725899067E-3</v>
      </c>
      <c r="K212" s="3">
        <f t="shared" si="173"/>
        <v>2.3147616215300667E-9</v>
      </c>
      <c r="L212" s="3">
        <f t="shared" si="173"/>
        <v>5.9199433319131548E-69</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2.5369669162663346E-2</v>
      </c>
      <c r="C213" s="3">
        <f t="shared" si="174"/>
        <v>2.536966884863676E-2</v>
      </c>
      <c r="D213" s="3">
        <f t="shared" si="174"/>
        <v>2.5369665708371115E-2</v>
      </c>
      <c r="E213" s="3">
        <f t="shared" si="174"/>
        <v>2.536963430573606E-2</v>
      </c>
      <c r="F213" s="3">
        <f t="shared" si="174"/>
        <v>2.5369320281523333E-2</v>
      </c>
      <c r="G213" s="3">
        <f t="shared" si="174"/>
        <v>2.5366180253171926E-2</v>
      </c>
      <c r="H213" s="3">
        <f t="shared" si="174"/>
        <v>2.5334801337454679E-2</v>
      </c>
      <c r="I213" s="3">
        <f t="shared" si="174"/>
        <v>2.5023139206104567E-2</v>
      </c>
      <c r="J213" s="3">
        <f t="shared" si="174"/>
        <v>2.2109793180637747E-2</v>
      </c>
      <c r="K213" s="3">
        <f t="shared" si="174"/>
        <v>6.4122960023663446E-3</v>
      </c>
      <c r="L213" s="3">
        <f t="shared" si="174"/>
        <v>2.6996184015103922E-8</v>
      </c>
      <c r="M213" s="3">
        <f t="shared" si="174"/>
        <v>4.7227021715589671E-62</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2.3098652729332522E-2</v>
      </c>
      <c r="C214" s="3">
        <f t="shared" si="175"/>
        <v>2.3098652703540532E-2</v>
      </c>
      <c r="D214" s="3">
        <f t="shared" si="175"/>
        <v>2.3098652445620631E-2</v>
      </c>
      <c r="E214" s="3">
        <f t="shared" si="175"/>
        <v>2.3098649866421777E-2</v>
      </c>
      <c r="F214" s="3">
        <f t="shared" si="175"/>
        <v>2.309862407444907E-2</v>
      </c>
      <c r="G214" s="3">
        <f t="shared" si="175"/>
        <v>2.3098366156305977E-2</v>
      </c>
      <c r="H214" s="3">
        <f t="shared" si="175"/>
        <v>2.309578713326433E-2</v>
      </c>
      <c r="I214" s="3">
        <f t="shared" si="175"/>
        <v>2.3070012735235287E-2</v>
      </c>
      <c r="J214" s="3">
        <f t="shared" si="175"/>
        <v>2.2813845472144854E-2</v>
      </c>
      <c r="K214" s="3">
        <f t="shared" si="175"/>
        <v>2.0403520492741592E-2</v>
      </c>
      <c r="L214" s="3">
        <f t="shared" si="175"/>
        <v>6.6799196460289902E-3</v>
      </c>
      <c r="M214" s="3">
        <f t="shared" si="175"/>
        <v>9.450015828215939E-8</v>
      </c>
      <c r="N214" s="3">
        <f t="shared" si="175"/>
        <v>3.0342091396881522E-56</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2.7646238683508711E-2</v>
      </c>
      <c r="C215" s="3">
        <f t="shared" si="176"/>
        <v>2.7646238680723995E-2</v>
      </c>
      <c r="D215" s="3">
        <f t="shared" si="176"/>
        <v>2.7646238652876839E-2</v>
      </c>
      <c r="E215" s="3">
        <f t="shared" si="176"/>
        <v>2.7646238374405278E-2</v>
      </c>
      <c r="F215" s="3">
        <f t="shared" si="176"/>
        <v>2.7646235589689826E-2</v>
      </c>
      <c r="G215" s="3">
        <f t="shared" si="176"/>
        <v>2.7646207742550739E-2</v>
      </c>
      <c r="H215" s="3">
        <f t="shared" si="176"/>
        <v>2.7645929272702586E-2</v>
      </c>
      <c r="I215" s="3">
        <f t="shared" si="176"/>
        <v>2.7643144728487109E-2</v>
      </c>
      <c r="J215" s="3">
        <f t="shared" si="176"/>
        <v>2.7615314707189361E-2</v>
      </c>
      <c r="K215" s="3">
        <f t="shared" si="176"/>
        <v>2.7338550848187298E-2</v>
      </c>
      <c r="L215" s="3">
        <f t="shared" si="176"/>
        <v>2.4718972853127359E-2</v>
      </c>
      <c r="M215" s="3">
        <f t="shared" si="176"/>
        <v>9.0277542214411439E-3</v>
      </c>
      <c r="N215" s="3">
        <f t="shared" si="176"/>
        <v>3.8112969852459756E-7</v>
      </c>
      <c r="O215" s="3">
        <f t="shared" si="176"/>
        <v>6.8549364789198568E-51</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2.9577709875831207E-2</v>
      </c>
      <c r="C216" s="3">
        <f t="shared" si="177"/>
        <v>2.957770987556245E-2</v>
      </c>
      <c r="D216" s="3">
        <f t="shared" si="177"/>
        <v>2.9577709872874905E-2</v>
      </c>
      <c r="E216" s="3">
        <f t="shared" si="177"/>
        <v>2.9577709845999445E-2</v>
      </c>
      <c r="F216" s="3">
        <f t="shared" si="177"/>
        <v>2.9577709577244829E-2</v>
      </c>
      <c r="G216" s="3">
        <f t="shared" si="177"/>
        <v>2.957770688969881E-2</v>
      </c>
      <c r="H216" s="3">
        <f t="shared" si="177"/>
        <v>2.9577680014252039E-2</v>
      </c>
      <c r="I216" s="3">
        <f t="shared" si="177"/>
        <v>2.957741126112743E-2</v>
      </c>
      <c r="J216" s="3">
        <f t="shared" si="177"/>
        <v>2.9574723864186855E-2</v>
      </c>
      <c r="K216" s="3">
        <f t="shared" si="177"/>
        <v>2.9547863320816613E-2</v>
      </c>
      <c r="L216" s="3">
        <f t="shared" si="177"/>
        <v>2.9280595987831236E-2</v>
      </c>
      <c r="M216" s="3">
        <f t="shared" si="177"/>
        <v>2.6737341339417825E-2</v>
      </c>
      <c r="N216" s="3">
        <f t="shared" si="177"/>
        <v>1.0777084858038447E-2</v>
      </c>
      <c r="O216" s="3">
        <f t="shared" si="177"/>
        <v>1.2199221662192177E-6</v>
      </c>
      <c r="P216" s="3">
        <f t="shared" si="177"/>
        <v>4.2134740522832409E-46</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2.994820305941906E-2</v>
      </c>
      <c r="C217" s="3">
        <f t="shared" si="178"/>
        <v>2.9948203059394513E-2</v>
      </c>
      <c r="D217" s="3">
        <f t="shared" si="178"/>
        <v>2.9948203059149036E-2</v>
      </c>
      <c r="E217" s="3">
        <f t="shared" si="178"/>
        <v>2.9948203056694277E-2</v>
      </c>
      <c r="F217" s="3">
        <f t="shared" si="178"/>
        <v>2.9948203032146691E-2</v>
      </c>
      <c r="G217" s="3">
        <f t="shared" si="178"/>
        <v>2.9948202786670857E-2</v>
      </c>
      <c r="H217" s="3">
        <f t="shared" si="178"/>
        <v>2.9948200331912613E-2</v>
      </c>
      <c r="I217" s="3">
        <f t="shared" si="178"/>
        <v>2.9948175784341235E-2</v>
      </c>
      <c r="J217" s="3">
        <f t="shared" si="178"/>
        <v>2.9947930309734062E-2</v>
      </c>
      <c r="K217" s="3">
        <f t="shared" si="178"/>
        <v>2.9945475674323398E-2</v>
      </c>
      <c r="L217" s="3">
        <f t="shared" si="178"/>
        <v>2.992094038296637E-2</v>
      </c>
      <c r="M217" s="3">
        <f t="shared" si="178"/>
        <v>2.9676690396617588E-2</v>
      </c>
      <c r="N217" s="3">
        <f t="shared" si="178"/>
        <v>2.7341210404965538E-2</v>
      </c>
      <c r="O217" s="3">
        <f t="shared" si="178"/>
        <v>1.2045933132002039E-2</v>
      </c>
      <c r="P217" s="3">
        <f t="shared" si="178"/>
        <v>3.3194609052014148E-6</v>
      </c>
      <c r="Q217" s="3">
        <f t="shared" si="178"/>
        <v>8.3818263490262334E-42</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2.7071587467149081E-2</v>
      </c>
      <c r="C218" s="3">
        <f t="shared" si="179"/>
        <v>2.7071587467147079E-2</v>
      </c>
      <c r="D218" s="3">
        <f t="shared" si="179"/>
        <v>2.707158746712706E-2</v>
      </c>
      <c r="E218" s="3">
        <f t="shared" si="179"/>
        <v>2.7071587466926891E-2</v>
      </c>
      <c r="F218" s="3">
        <f t="shared" si="179"/>
        <v>2.7071587464925197E-2</v>
      </c>
      <c r="G218" s="3">
        <f t="shared" si="179"/>
        <v>2.7071587444908226E-2</v>
      </c>
      <c r="H218" s="3">
        <f t="shared" si="179"/>
        <v>2.7071587244738547E-2</v>
      </c>
      <c r="I218" s="3">
        <f t="shared" si="179"/>
        <v>2.7071585243041842E-2</v>
      </c>
      <c r="J218" s="3">
        <f t="shared" si="179"/>
        <v>2.7071565226082915E-2</v>
      </c>
      <c r="K218" s="3">
        <f t="shared" si="179"/>
        <v>2.7071365057307679E-2</v>
      </c>
      <c r="L218" s="3">
        <f t="shared" si="179"/>
        <v>2.706936345095682E-2</v>
      </c>
      <c r="M218" s="3">
        <f t="shared" si="179"/>
        <v>2.704935552537064E-2</v>
      </c>
      <c r="N218" s="3">
        <f t="shared" si="179"/>
        <v>2.6850087839765099E-2</v>
      </c>
      <c r="O218" s="3">
        <f t="shared" si="179"/>
        <v>2.4936390936874036E-2</v>
      </c>
      <c r="P218" s="3">
        <f t="shared" si="179"/>
        <v>1.1904535893089282E-2</v>
      </c>
      <c r="Q218" s="3">
        <f t="shared" si="179"/>
        <v>7.319833078454892E-6</v>
      </c>
      <c r="R218" s="3">
        <f t="shared" si="179"/>
        <v>5.6544226149407944E-38</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3.201249942611608E-2</v>
      </c>
      <c r="C219" s="3">
        <f t="shared" si="180"/>
        <v>3.2012499426115872E-2</v>
      </c>
      <c r="D219" s="3">
        <f t="shared" si="180"/>
        <v>3.2012499426113734E-2</v>
      </c>
      <c r="E219" s="3">
        <f t="shared" si="180"/>
        <v>3.2012499426092383E-2</v>
      </c>
      <c r="F219" s="3">
        <f t="shared" si="180"/>
        <v>3.201249942587886E-2</v>
      </c>
      <c r="G219" s="3">
        <f t="shared" si="180"/>
        <v>3.2012499423743596E-2</v>
      </c>
      <c r="H219" s="3">
        <f t="shared" si="180"/>
        <v>3.2012499402390995E-2</v>
      </c>
      <c r="I219" s="3">
        <f t="shared" si="180"/>
        <v>3.2012499188865007E-2</v>
      </c>
      <c r="J219" s="3">
        <f t="shared" si="180"/>
        <v>3.2012497053605191E-2</v>
      </c>
      <c r="K219" s="3">
        <f t="shared" si="180"/>
        <v>3.2012475701014821E-2</v>
      </c>
      <c r="L219" s="3">
        <f t="shared" si="180"/>
        <v>3.2012262175894493E-2</v>
      </c>
      <c r="M219" s="3">
        <f t="shared" si="180"/>
        <v>3.2010127003022026E-2</v>
      </c>
      <c r="N219" s="3">
        <f t="shared" si="180"/>
        <v>3.1988783105446825E-2</v>
      </c>
      <c r="O219" s="3">
        <f t="shared" si="180"/>
        <v>3.1776125315411713E-2</v>
      </c>
      <c r="P219" s="3">
        <f t="shared" si="180"/>
        <v>2.9725771989381755E-2</v>
      </c>
      <c r="Q219" s="3">
        <f t="shared" si="180"/>
        <v>1.5256508981942064E-2</v>
      </c>
      <c r="R219" s="3">
        <f t="shared" si="180"/>
        <v>1.9349753519733796E-5</v>
      </c>
      <c r="S219" s="3">
        <f t="shared" si="180"/>
        <v>2.0839059734542313E-34</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4.0921071086256366E-2</v>
      </c>
      <c r="C220" s="3">
        <f t="shared" si="181"/>
        <v>4.0921071086256346E-2</v>
      </c>
      <c r="D220" s="3">
        <f t="shared" si="181"/>
        <v>4.0921071086256103E-2</v>
      </c>
      <c r="E220" s="3">
        <f t="shared" si="181"/>
        <v>4.0921071086253639E-2</v>
      </c>
      <c r="F220" s="3">
        <f t="shared" si="181"/>
        <v>4.0921071086229013E-2</v>
      </c>
      <c r="G220" s="3">
        <f t="shared" si="181"/>
        <v>4.0921071085982794E-2</v>
      </c>
      <c r="H220" s="3">
        <f t="shared" si="181"/>
        <v>4.092107108352059E-2</v>
      </c>
      <c r="I220" s="3">
        <f t="shared" si="181"/>
        <v>4.0921071058898507E-2</v>
      </c>
      <c r="J220" s="3">
        <f t="shared" si="181"/>
        <v>4.09210708126777E-2</v>
      </c>
      <c r="K220" s="3">
        <f t="shared" si="181"/>
        <v>4.0921068350469755E-2</v>
      </c>
      <c r="L220" s="3">
        <f t="shared" si="181"/>
        <v>4.0921043728398387E-2</v>
      </c>
      <c r="M220" s="3">
        <f t="shared" si="181"/>
        <v>4.0920797508499598E-2</v>
      </c>
      <c r="N220" s="3">
        <f t="shared" si="181"/>
        <v>4.0918335390992315E-2</v>
      </c>
      <c r="O220" s="3">
        <f t="shared" si="181"/>
        <v>4.0893722362170072E-2</v>
      </c>
      <c r="P220" s="3">
        <f t="shared" si="181"/>
        <v>4.0648404888336161E-2</v>
      </c>
      <c r="Q220" s="3">
        <f t="shared" si="181"/>
        <v>3.8274730792896963E-2</v>
      </c>
      <c r="R220" s="3">
        <f t="shared" si="181"/>
        <v>2.0970004036327639E-2</v>
      </c>
      <c r="S220" s="3">
        <f t="shared" si="181"/>
        <v>5.1104860500192766E-5</v>
      </c>
      <c r="T220" s="3">
        <f t="shared" si="181"/>
        <v>3.7765839052662505E-31</v>
      </c>
      <c r="U220" s="3">
        <f t="shared" si="181"/>
        <v>1.8342918912260811E-292</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4.0569821627939186E-2</v>
      </c>
      <c r="C221" s="3">
        <f t="shared" si="182"/>
        <v>4.0569821627939179E-2</v>
      </c>
      <c r="D221" s="3">
        <f t="shared" si="182"/>
        <v>4.0569821627939165E-2</v>
      </c>
      <c r="E221" s="3">
        <f t="shared" si="182"/>
        <v>4.0569821627938943E-2</v>
      </c>
      <c r="F221" s="3">
        <f t="shared" si="182"/>
        <v>4.0569821627936743E-2</v>
      </c>
      <c r="G221" s="3">
        <f t="shared" si="182"/>
        <v>4.0569821627914719E-2</v>
      </c>
      <c r="H221" s="3">
        <f t="shared" si="182"/>
        <v>4.0569821627694513E-2</v>
      </c>
      <c r="I221" s="3">
        <f t="shared" si="182"/>
        <v>4.0569821625492462E-2</v>
      </c>
      <c r="J221" s="3">
        <f t="shared" si="182"/>
        <v>4.0569821603471952E-2</v>
      </c>
      <c r="K221" s="3">
        <f t="shared" si="182"/>
        <v>4.0569821383266813E-2</v>
      </c>
      <c r="L221" s="3">
        <f t="shared" si="182"/>
        <v>4.0569819181215536E-2</v>
      </c>
      <c r="M221" s="3">
        <f t="shared" si="182"/>
        <v>4.0569797160709353E-2</v>
      </c>
      <c r="N221" s="3">
        <f t="shared" si="182"/>
        <v>4.0569576956304865E-2</v>
      </c>
      <c r="O221" s="3">
        <f t="shared" si="182"/>
        <v>4.056737497799618E-2</v>
      </c>
      <c r="P221" s="3">
        <f t="shared" si="182"/>
        <v>4.0545361767212268E-2</v>
      </c>
      <c r="Q221" s="3">
        <f t="shared" si="182"/>
        <v>4.0325885571667171E-2</v>
      </c>
      <c r="R221" s="3">
        <f t="shared" si="182"/>
        <v>3.8195416490870389E-2</v>
      </c>
      <c r="S221" s="3">
        <f t="shared" si="182"/>
        <v>2.219650596661878E-2</v>
      </c>
      <c r="T221" s="3">
        <f t="shared" si="182"/>
        <v>9.7503066612969865E-5</v>
      </c>
      <c r="U221" s="3">
        <f t="shared" si="182"/>
        <v>2.6082839364954747E-28</v>
      </c>
      <c r="V221" s="3">
        <f t="shared" si="182"/>
        <v>4.8946403132300185E-264</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2.9319572011255665E-2</v>
      </c>
      <c r="C222" s="3">
        <f t="shared" si="183"/>
        <v>2.9319572011255665E-2</v>
      </c>
      <c r="D222" s="3">
        <f t="shared" si="183"/>
        <v>2.9319572011255665E-2</v>
      </c>
      <c r="E222" s="3">
        <f t="shared" si="183"/>
        <v>2.9319572011255648E-2</v>
      </c>
      <c r="F222" s="3">
        <f t="shared" si="183"/>
        <v>2.9319572011255506E-2</v>
      </c>
      <c r="G222" s="3">
        <f t="shared" si="183"/>
        <v>2.9319572011254069E-2</v>
      </c>
      <c r="H222" s="3">
        <f t="shared" si="183"/>
        <v>2.9319572011239716E-2</v>
      </c>
      <c r="I222" s="3">
        <f t="shared" si="183"/>
        <v>2.9319572011096157E-2</v>
      </c>
      <c r="J222" s="3">
        <f t="shared" si="183"/>
        <v>2.9319572009660573E-2</v>
      </c>
      <c r="K222" s="3">
        <f t="shared" si="183"/>
        <v>2.9319571995304734E-2</v>
      </c>
      <c r="L222" s="3">
        <f t="shared" si="183"/>
        <v>2.931957185174635E-2</v>
      </c>
      <c r="M222" s="3">
        <f t="shared" si="183"/>
        <v>2.9319570416162552E-2</v>
      </c>
      <c r="N222" s="3">
        <f t="shared" si="183"/>
        <v>2.931955606032844E-2</v>
      </c>
      <c r="O222" s="3">
        <f t="shared" si="183"/>
        <v>2.9319412502373954E-2</v>
      </c>
      <c r="P222" s="3">
        <f t="shared" si="183"/>
        <v>2.9317976961488308E-2</v>
      </c>
      <c r="Q222" s="3">
        <f t="shared" si="183"/>
        <v>2.9303625417856728E-2</v>
      </c>
      <c r="R222" s="3">
        <f t="shared" si="183"/>
        <v>2.9160495804705474E-2</v>
      </c>
      <c r="S222" s="3">
        <f t="shared" si="183"/>
        <v>2.7767092075799377E-2</v>
      </c>
      <c r="T222" s="3">
        <f t="shared" si="183"/>
        <v>1.7017092747871342E-2</v>
      </c>
      <c r="U222" s="3">
        <f t="shared" si="183"/>
        <v>1.2718474418132355E-4</v>
      </c>
      <c r="V222" s="3">
        <f t="shared" si="183"/>
        <v>6.917219701087457E-26</v>
      </c>
      <c r="W222" s="3">
        <f t="shared" si="183"/>
        <v>1.5663797471624759E-238</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3.1170147057573941E-2</v>
      </c>
      <c r="C223" s="3">
        <f t="shared" si="184"/>
        <v>3.1170147057573941E-2</v>
      </c>
      <c r="D223" s="3">
        <f t="shared" si="184"/>
        <v>3.1170147057573941E-2</v>
      </c>
      <c r="E223" s="3">
        <f t="shared" si="184"/>
        <v>3.1170147057573941E-2</v>
      </c>
      <c r="F223" s="3">
        <f t="shared" si="184"/>
        <v>3.1170147057573927E-2</v>
      </c>
      <c r="G223" s="3">
        <f t="shared" si="184"/>
        <v>3.1170147057573788E-2</v>
      </c>
      <c r="H223" s="3">
        <f t="shared" si="184"/>
        <v>3.1170147057572411E-2</v>
      </c>
      <c r="I223" s="3">
        <f t="shared" si="184"/>
        <v>3.1170147057558644E-2</v>
      </c>
      <c r="J223" s="3">
        <f t="shared" si="184"/>
        <v>3.1170147057420969E-2</v>
      </c>
      <c r="K223" s="3">
        <f t="shared" si="184"/>
        <v>3.1170147056044217E-2</v>
      </c>
      <c r="L223" s="3">
        <f t="shared" si="184"/>
        <v>3.1170147042276674E-2</v>
      </c>
      <c r="M223" s="3">
        <f t="shared" si="184"/>
        <v>3.1170146904601265E-2</v>
      </c>
      <c r="N223" s="3">
        <f t="shared" si="184"/>
        <v>3.1170145527847207E-2</v>
      </c>
      <c r="O223" s="3">
        <f t="shared" si="184"/>
        <v>3.1170131760309975E-2</v>
      </c>
      <c r="P223" s="3">
        <f t="shared" si="184"/>
        <v>3.1169994085272129E-2</v>
      </c>
      <c r="Q223" s="3">
        <f t="shared" si="184"/>
        <v>3.1168617368338477E-2</v>
      </c>
      <c r="R223" s="3">
        <f t="shared" si="184"/>
        <v>3.1154853542936217E-2</v>
      </c>
      <c r="S223" s="3">
        <f t="shared" si="184"/>
        <v>3.1017549136503446E-2</v>
      </c>
      <c r="T223" s="3">
        <f t="shared" si="184"/>
        <v>2.967735062573541E-2</v>
      </c>
      <c r="U223" s="3">
        <f t="shared" si="184"/>
        <v>1.9081021296116819E-2</v>
      </c>
      <c r="V223" s="3">
        <f t="shared" si="184"/>
        <v>2.3033848250753118E-4</v>
      </c>
      <c r="W223" s="3">
        <f t="shared" si="184"/>
        <v>1.513614753425709E-23</v>
      </c>
      <c r="X223" s="3">
        <f t="shared" si="184"/>
        <v>2.27249983811848E-215</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2.9820997519102575E-2</v>
      </c>
      <c r="C224" s="3">
        <f t="shared" si="185"/>
        <v>2.9820997519102575E-2</v>
      </c>
      <c r="D224" s="3">
        <f t="shared" si="185"/>
        <v>2.9820997519102575E-2</v>
      </c>
      <c r="E224" s="3">
        <f t="shared" si="185"/>
        <v>2.9820997519102575E-2</v>
      </c>
      <c r="F224" s="3">
        <f t="shared" si="185"/>
        <v>2.9820997519102575E-2</v>
      </c>
      <c r="G224" s="3">
        <f t="shared" si="185"/>
        <v>2.9820997519102561E-2</v>
      </c>
      <c r="H224" s="3">
        <f t="shared" si="185"/>
        <v>2.9820997519102443E-2</v>
      </c>
      <c r="I224" s="3">
        <f t="shared" si="185"/>
        <v>2.9820997519101253E-2</v>
      </c>
      <c r="J224" s="3">
        <f t="shared" si="185"/>
        <v>2.9820997519089371E-2</v>
      </c>
      <c r="K224" s="3">
        <f t="shared" si="185"/>
        <v>2.9820997518970552E-2</v>
      </c>
      <c r="L224" s="3">
        <f t="shared" si="185"/>
        <v>2.9820997517782364E-2</v>
      </c>
      <c r="M224" s="3">
        <f t="shared" si="185"/>
        <v>2.9820997505900452E-2</v>
      </c>
      <c r="N224" s="3">
        <f t="shared" si="185"/>
        <v>2.9820997387081345E-2</v>
      </c>
      <c r="O224" s="3">
        <f t="shared" si="185"/>
        <v>2.9820996198890309E-2</v>
      </c>
      <c r="P224" s="3">
        <f t="shared" si="185"/>
        <v>2.9820984316982529E-2</v>
      </c>
      <c r="Q224" s="3">
        <f t="shared" si="185"/>
        <v>2.9820865498165105E-2</v>
      </c>
      <c r="R224" s="3">
        <f t="shared" si="185"/>
        <v>2.9819677336028798E-2</v>
      </c>
      <c r="S224" s="3">
        <f t="shared" si="185"/>
        <v>2.9807798318071989E-2</v>
      </c>
      <c r="T224" s="3">
        <f t="shared" si="185"/>
        <v>2.9689268095740625E-2</v>
      </c>
      <c r="U224" s="3">
        <f t="shared" si="185"/>
        <v>2.852958240896046E-2</v>
      </c>
      <c r="V224" s="3">
        <f t="shared" si="185"/>
        <v>1.9153786815002953E-2</v>
      </c>
      <c r="W224" s="3">
        <f t="shared" si="185"/>
        <v>3.5632557439937426E-4</v>
      </c>
      <c r="X224" s="3">
        <f t="shared" si="185"/>
        <v>1.7691735567746447E-21</v>
      </c>
      <c r="Y224" s="3">
        <f t="shared" si="185"/>
        <v>1.6106637909336612E-194</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3.5099038806424399E-2</v>
      </c>
      <c r="C225" s="3">
        <f t="shared" si="186"/>
        <v>3.5099038806424399E-2</v>
      </c>
      <c r="D225" s="3">
        <f t="shared" si="186"/>
        <v>3.5099038806424399E-2</v>
      </c>
      <c r="E225" s="3">
        <f t="shared" si="186"/>
        <v>3.5099038806424399E-2</v>
      </c>
      <c r="F225" s="3">
        <f t="shared" si="186"/>
        <v>3.5099038806424399E-2</v>
      </c>
      <c r="G225" s="3">
        <f t="shared" si="186"/>
        <v>3.5099038806424399E-2</v>
      </c>
      <c r="H225" s="3">
        <f t="shared" si="186"/>
        <v>3.5099038806424385E-2</v>
      </c>
      <c r="I225" s="3">
        <f t="shared" si="186"/>
        <v>3.509903880642426E-2</v>
      </c>
      <c r="J225" s="3">
        <f t="shared" si="186"/>
        <v>3.5099038806422997E-2</v>
      </c>
      <c r="K225" s="3">
        <f t="shared" si="186"/>
        <v>3.5099038806410382E-2</v>
      </c>
      <c r="L225" s="3">
        <f t="shared" si="186"/>
        <v>3.5099038806284226E-2</v>
      </c>
      <c r="M225" s="3">
        <f t="shared" si="186"/>
        <v>3.5099038805022673E-2</v>
      </c>
      <c r="N225" s="3">
        <f t="shared" si="186"/>
        <v>3.5099038792407132E-2</v>
      </c>
      <c r="O225" s="3">
        <f t="shared" si="186"/>
        <v>3.5099038666251706E-2</v>
      </c>
      <c r="P225" s="3">
        <f t="shared" si="186"/>
        <v>3.5099037404697483E-2</v>
      </c>
      <c r="Q225" s="3">
        <f t="shared" si="186"/>
        <v>3.5099024789157759E-2</v>
      </c>
      <c r="R225" s="3">
        <f t="shared" si="186"/>
        <v>3.5098898634009917E-2</v>
      </c>
      <c r="S225" s="3">
        <f t="shared" si="186"/>
        <v>3.5097637107470152E-2</v>
      </c>
      <c r="T225" s="3">
        <f t="shared" si="186"/>
        <v>3.5085024335605695E-2</v>
      </c>
      <c r="U225" s="3">
        <f t="shared" si="186"/>
        <v>3.4959145638990378E-2</v>
      </c>
      <c r="V225" s="3">
        <f t="shared" si="186"/>
        <v>3.3724932866169892E-2</v>
      </c>
      <c r="W225" s="3">
        <f t="shared" si="186"/>
        <v>2.3542573106289315E-2</v>
      </c>
      <c r="X225" s="3">
        <f t="shared" si="186"/>
        <v>6.4696720464256854E-4</v>
      </c>
      <c r="Y225" s="3">
        <f t="shared" si="186"/>
        <v>1.5891527869743349E-19</v>
      </c>
      <c r="Z225" s="3">
        <f t="shared" si="186"/>
        <v>1.2705727249854296E-175</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3.5326793009577064E-2</v>
      </c>
      <c r="C226" s="3">
        <f t="shared" si="187"/>
        <v>3.5326793009577064E-2</v>
      </c>
      <c r="D226" s="3">
        <f t="shared" si="187"/>
        <v>3.5326793009577064E-2</v>
      </c>
      <c r="E226" s="3">
        <f t="shared" si="187"/>
        <v>3.5326793009577064E-2</v>
      </c>
      <c r="F226" s="3">
        <f t="shared" si="187"/>
        <v>3.5326793009577064E-2</v>
      </c>
      <c r="G226" s="3">
        <f t="shared" si="187"/>
        <v>3.5326793009577064E-2</v>
      </c>
      <c r="H226" s="3">
        <f t="shared" si="187"/>
        <v>3.5326793009577064E-2</v>
      </c>
      <c r="I226" s="3">
        <f t="shared" si="187"/>
        <v>3.532679300957705E-2</v>
      </c>
      <c r="J226" s="3">
        <f t="shared" si="187"/>
        <v>3.5326793009576939E-2</v>
      </c>
      <c r="K226" s="3">
        <f t="shared" si="187"/>
        <v>3.5326793009575794E-2</v>
      </c>
      <c r="L226" s="3">
        <f t="shared" si="187"/>
        <v>3.5326793009564338E-2</v>
      </c>
      <c r="M226" s="3">
        <f t="shared" si="187"/>
        <v>3.5326793009449797E-2</v>
      </c>
      <c r="N226" s="3">
        <f t="shared" si="187"/>
        <v>3.5326793008304387E-2</v>
      </c>
      <c r="O226" s="3">
        <f t="shared" si="187"/>
        <v>3.5326792996850272E-2</v>
      </c>
      <c r="P226" s="3">
        <f t="shared" si="187"/>
        <v>3.5326792882309131E-2</v>
      </c>
      <c r="Q226" s="3">
        <f t="shared" si="187"/>
        <v>3.532679173689772E-2</v>
      </c>
      <c r="R226" s="3">
        <f t="shared" si="187"/>
        <v>3.5326780282785707E-2</v>
      </c>
      <c r="S226" s="3">
        <f t="shared" si="187"/>
        <v>3.5326665741869816E-2</v>
      </c>
      <c r="T226" s="3">
        <f t="shared" si="187"/>
        <v>3.5325520353136547E-2</v>
      </c>
      <c r="U226" s="3">
        <f t="shared" si="187"/>
        <v>3.5314068508123041E-2</v>
      </c>
      <c r="V226" s="3">
        <f t="shared" si="187"/>
        <v>3.5199754045106932E-2</v>
      </c>
      <c r="W226" s="3">
        <f t="shared" si="187"/>
        <v>3.407676551904678E-2</v>
      </c>
      <c r="X226" s="3">
        <f t="shared" si="187"/>
        <v>2.4640285526260006E-2</v>
      </c>
      <c r="Y226" s="3">
        <f t="shared" si="187"/>
        <v>9.6276310134902796E-4</v>
      </c>
      <c r="Z226" s="3">
        <f t="shared" si="187"/>
        <v>7.984660395139432E-18</v>
      </c>
      <c r="AA226" s="3">
        <f t="shared" si="187"/>
        <v>1.2292113757242195E-158</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3.9296148740720876E-2</v>
      </c>
      <c r="C227" s="3">
        <f t="shared" si="188"/>
        <v>3.9296148740720876E-2</v>
      </c>
      <c r="D227" s="3">
        <f t="shared" si="188"/>
        <v>3.9296148740720876E-2</v>
      </c>
      <c r="E227" s="3">
        <f t="shared" si="188"/>
        <v>3.9296148740720876E-2</v>
      </c>
      <c r="F227" s="3">
        <f t="shared" si="188"/>
        <v>3.9296148740720876E-2</v>
      </c>
      <c r="G227" s="3">
        <f t="shared" si="188"/>
        <v>3.9296148740720876E-2</v>
      </c>
      <c r="H227" s="3">
        <f t="shared" si="188"/>
        <v>3.9296148740720876E-2</v>
      </c>
      <c r="I227" s="3">
        <f t="shared" si="188"/>
        <v>3.9296148740720876E-2</v>
      </c>
      <c r="J227" s="3">
        <f t="shared" si="188"/>
        <v>3.9296148740720863E-2</v>
      </c>
      <c r="K227" s="3">
        <f t="shared" si="188"/>
        <v>3.9296148740720752E-2</v>
      </c>
      <c r="L227" s="3">
        <f t="shared" si="188"/>
        <v>3.92961487407196E-2</v>
      </c>
      <c r="M227" s="3">
        <f t="shared" si="188"/>
        <v>3.9296148740708109E-2</v>
      </c>
      <c r="N227" s="3">
        <f t="shared" si="188"/>
        <v>3.9296148740593173E-2</v>
      </c>
      <c r="O227" s="3">
        <f t="shared" si="188"/>
        <v>3.9296148739443815E-2</v>
      </c>
      <c r="P227" s="3">
        <f t="shared" si="188"/>
        <v>3.9296148727950272E-2</v>
      </c>
      <c r="Q227" s="3">
        <f t="shared" si="188"/>
        <v>3.9296148613014857E-2</v>
      </c>
      <c r="R227" s="3">
        <f t="shared" si="188"/>
        <v>3.9296147463660704E-2</v>
      </c>
      <c r="S227" s="3">
        <f t="shared" si="188"/>
        <v>3.9296135970120993E-2</v>
      </c>
      <c r="T227" s="3">
        <f t="shared" si="188"/>
        <v>3.9296021034908785E-2</v>
      </c>
      <c r="U227" s="3">
        <f t="shared" si="188"/>
        <v>3.9294871701275838E-2</v>
      </c>
      <c r="V227" s="3">
        <f t="shared" si="188"/>
        <v>3.928338021365399E-2</v>
      </c>
      <c r="W227" s="3">
        <f t="shared" si="188"/>
        <v>3.9168650008290028E-2</v>
      </c>
      <c r="X227" s="3">
        <f t="shared" si="188"/>
        <v>3.8039616744095325E-2</v>
      </c>
      <c r="Y227" s="3">
        <f t="shared" si="188"/>
        <v>2.839300938963284E-2</v>
      </c>
      <c r="Z227" s="3">
        <f t="shared" si="188"/>
        <v>1.5239276879210105E-3</v>
      </c>
      <c r="AA227" s="3">
        <f t="shared" si="188"/>
        <v>3.0233866873479558E-16</v>
      </c>
      <c r="AB227" s="3">
        <f t="shared" si="188"/>
        <v>2.8561897982125226E-143</v>
      </c>
      <c r="AC227" s="3">
        <f t="shared" si="188"/>
        <v>0</v>
      </c>
      <c r="AD227" s="3">
        <f t="shared" si="188"/>
        <v>0</v>
      </c>
      <c r="AE227" s="3">
        <f t="shared" si="188"/>
        <v>0</v>
      </c>
      <c r="AF227" s="3">
        <f t="shared" si="188"/>
        <v>0</v>
      </c>
      <c r="AG227" s="3"/>
      <c r="AH227" s="3"/>
    </row>
    <row r="228" spans="2:34" x14ac:dyDescent="0.25">
      <c r="B228" s="3">
        <f t="shared" ref="B228:AF228" si="189">$C36*EXP(-B$207/$A36/EXP(-$D$126))</f>
        <v>3.6971709953281653E-2</v>
      </c>
      <c r="C228" s="3">
        <f t="shared" si="189"/>
        <v>3.6971709953281653E-2</v>
      </c>
      <c r="D228" s="3">
        <f t="shared" si="189"/>
        <v>3.6971709953281653E-2</v>
      </c>
      <c r="E228" s="3">
        <f t="shared" si="189"/>
        <v>3.6971709953281653E-2</v>
      </c>
      <c r="F228" s="3">
        <f t="shared" si="189"/>
        <v>3.6971709953281653E-2</v>
      </c>
      <c r="G228" s="3">
        <f t="shared" si="189"/>
        <v>3.6971709953281653E-2</v>
      </c>
      <c r="H228" s="3">
        <f t="shared" si="189"/>
        <v>3.6971709953281653E-2</v>
      </c>
      <c r="I228" s="3">
        <f t="shared" si="189"/>
        <v>3.6971709953281653E-2</v>
      </c>
      <c r="J228" s="3">
        <f t="shared" si="189"/>
        <v>3.6971709953281653E-2</v>
      </c>
      <c r="K228" s="3">
        <f t="shared" si="189"/>
        <v>3.697170995328164E-2</v>
      </c>
      <c r="L228" s="3">
        <f t="shared" si="189"/>
        <v>3.6971709953281549E-2</v>
      </c>
      <c r="M228" s="3">
        <f t="shared" si="189"/>
        <v>3.6971709953280571E-2</v>
      </c>
      <c r="N228" s="3">
        <f t="shared" si="189"/>
        <v>3.6971709953270815E-2</v>
      </c>
      <c r="O228" s="3">
        <f t="shared" si="189"/>
        <v>3.6971709953173268E-2</v>
      </c>
      <c r="P228" s="3">
        <f t="shared" si="189"/>
        <v>3.6971709952197784E-2</v>
      </c>
      <c r="Q228" s="3">
        <f t="shared" si="189"/>
        <v>3.6971709942442949E-2</v>
      </c>
      <c r="R228" s="3">
        <f t="shared" si="189"/>
        <v>3.6971709844894576E-2</v>
      </c>
      <c r="S228" s="3">
        <f t="shared" si="189"/>
        <v>3.6971708869410889E-2</v>
      </c>
      <c r="T228" s="3">
        <f t="shared" si="189"/>
        <v>3.697169911457545E-2</v>
      </c>
      <c r="U228" s="3">
        <f t="shared" si="189"/>
        <v>3.6971601566362595E-2</v>
      </c>
      <c r="V228" s="3">
        <f t="shared" si="189"/>
        <v>3.6970626098389692E-2</v>
      </c>
      <c r="W228" s="3">
        <f t="shared" si="189"/>
        <v>3.6960872834083065E-2</v>
      </c>
      <c r="X228" s="3">
        <f t="shared" si="189"/>
        <v>3.6863481595181616E-2</v>
      </c>
      <c r="Y228" s="3">
        <f t="shared" si="189"/>
        <v>3.590357254847281E-2</v>
      </c>
      <c r="Z228" s="3">
        <f t="shared" si="189"/>
        <v>2.7577240839157868E-2</v>
      </c>
      <c r="AA228" s="3">
        <f t="shared" si="189"/>
        <v>1.9709803009887285E-3</v>
      </c>
      <c r="AB228" s="3">
        <f t="shared" si="189"/>
        <v>6.8548349394990474E-15</v>
      </c>
      <c r="AC228" s="3">
        <f t="shared" si="189"/>
        <v>1.7747785910684247E-129</v>
      </c>
      <c r="AD228" s="3">
        <f t="shared" si="189"/>
        <v>0</v>
      </c>
      <c r="AE228" s="3">
        <f t="shared" si="189"/>
        <v>0</v>
      </c>
      <c r="AF228" s="3">
        <f t="shared" si="189"/>
        <v>0</v>
      </c>
      <c r="AG228" s="3"/>
      <c r="AH228" s="3"/>
    </row>
    <row r="229" spans="2:34" x14ac:dyDescent="0.25">
      <c r="B229" s="3">
        <f t="shared" ref="B229:AF229" si="190">$C37*EXP(-B$207/$A37/EXP(-$D$126))</f>
        <v>4.6436807195408533E-2</v>
      </c>
      <c r="C229" s="3">
        <f t="shared" si="190"/>
        <v>4.6436807195408533E-2</v>
      </c>
      <c r="D229" s="3">
        <f t="shared" si="190"/>
        <v>4.6436807195408533E-2</v>
      </c>
      <c r="E229" s="3">
        <f t="shared" si="190"/>
        <v>4.6436807195408533E-2</v>
      </c>
      <c r="F229" s="3">
        <f t="shared" si="190"/>
        <v>4.6436807195408533E-2</v>
      </c>
      <c r="G229" s="3">
        <f t="shared" si="190"/>
        <v>4.6436807195408533E-2</v>
      </c>
      <c r="H229" s="3">
        <f t="shared" si="190"/>
        <v>4.6436807195408533E-2</v>
      </c>
      <c r="I229" s="3">
        <f t="shared" si="190"/>
        <v>4.6436807195408533E-2</v>
      </c>
      <c r="J229" s="3">
        <f t="shared" si="190"/>
        <v>4.6436807195408533E-2</v>
      </c>
      <c r="K229" s="3">
        <f t="shared" si="190"/>
        <v>4.6436807195408533E-2</v>
      </c>
      <c r="L229" s="3">
        <f t="shared" si="190"/>
        <v>4.6436807195408526E-2</v>
      </c>
      <c r="M229" s="3">
        <f t="shared" si="190"/>
        <v>4.6436807195408408E-2</v>
      </c>
      <c r="N229" s="3">
        <f t="shared" si="190"/>
        <v>4.6436807195407305E-2</v>
      </c>
      <c r="O229" s="3">
        <f t="shared" si="190"/>
        <v>4.6436807195396251E-2</v>
      </c>
      <c r="P229" s="3">
        <f t="shared" si="190"/>
        <v>4.6436807195285729E-2</v>
      </c>
      <c r="Q229" s="3">
        <f t="shared" si="190"/>
        <v>4.6436807194180481E-2</v>
      </c>
      <c r="R229" s="3">
        <f t="shared" si="190"/>
        <v>4.6436807183128009E-2</v>
      </c>
      <c r="S229" s="3">
        <f t="shared" si="190"/>
        <v>4.6436807072603288E-2</v>
      </c>
      <c r="T229" s="3">
        <f t="shared" si="190"/>
        <v>4.643680596735611E-2</v>
      </c>
      <c r="U229" s="3">
        <f t="shared" si="190"/>
        <v>4.6436794914885726E-2</v>
      </c>
      <c r="V229" s="3">
        <f t="shared" si="190"/>
        <v>4.6436684390326596E-2</v>
      </c>
      <c r="W229" s="3">
        <f t="shared" si="190"/>
        <v>4.643557915920353E-2</v>
      </c>
      <c r="X229" s="3">
        <f t="shared" si="190"/>
        <v>4.6424528294666909E-2</v>
      </c>
      <c r="Y229" s="3">
        <f t="shared" si="190"/>
        <v>4.6314164191382873E-2</v>
      </c>
      <c r="Z229" s="3">
        <f t="shared" si="190"/>
        <v>4.5224850883435877E-2</v>
      </c>
      <c r="AA229" s="3">
        <f t="shared" si="190"/>
        <v>3.5645956240564089E-2</v>
      </c>
      <c r="AB229" s="3">
        <f t="shared" si="190"/>
        <v>3.2986901989660888E-3</v>
      </c>
      <c r="AC229" s="3">
        <f t="shared" si="190"/>
        <v>1.5193370723521794E-13</v>
      </c>
      <c r="AD229" s="3">
        <f t="shared" si="190"/>
        <v>6.5280005598675122E-117</v>
      </c>
      <c r="AE229" s="3">
        <f t="shared" si="190"/>
        <v>0</v>
      </c>
      <c r="AF229" s="3">
        <f t="shared" si="190"/>
        <v>0</v>
      </c>
      <c r="AG229" s="3"/>
      <c r="AH229" s="3"/>
    </row>
    <row r="230" spans="2:34" x14ac:dyDescent="0.25">
      <c r="B230" s="3">
        <f t="shared" ref="B230:AF230" si="191">$C38*EXP(-B$207/$A38/EXP(-$D$126))</f>
        <v>2.268011809777468E-2</v>
      </c>
      <c r="C230" s="3">
        <f t="shared" si="191"/>
        <v>2.268011809777468E-2</v>
      </c>
      <c r="D230" s="3">
        <f t="shared" si="191"/>
        <v>2.268011809777468E-2</v>
      </c>
      <c r="E230" s="3">
        <f t="shared" si="191"/>
        <v>2.268011809777468E-2</v>
      </c>
      <c r="F230" s="3">
        <f t="shared" si="191"/>
        <v>2.268011809777468E-2</v>
      </c>
      <c r="G230" s="3">
        <f t="shared" si="191"/>
        <v>2.268011809777468E-2</v>
      </c>
      <c r="H230" s="3">
        <f t="shared" si="191"/>
        <v>2.268011809777468E-2</v>
      </c>
      <c r="I230" s="3">
        <f t="shared" si="191"/>
        <v>2.268011809777468E-2</v>
      </c>
      <c r="J230" s="3">
        <f t="shared" si="191"/>
        <v>2.268011809777468E-2</v>
      </c>
      <c r="K230" s="3">
        <f t="shared" si="191"/>
        <v>2.268011809777468E-2</v>
      </c>
      <c r="L230" s="3">
        <f t="shared" si="191"/>
        <v>2.268011809777468E-2</v>
      </c>
      <c r="M230" s="3">
        <f t="shared" si="191"/>
        <v>2.2680118097774676E-2</v>
      </c>
      <c r="N230" s="3">
        <f t="shared" si="191"/>
        <v>2.2680118097774628E-2</v>
      </c>
      <c r="O230" s="3">
        <f t="shared" si="191"/>
        <v>2.2680118097774139E-2</v>
      </c>
      <c r="P230" s="3">
        <f t="shared" si="191"/>
        <v>2.2680118097769267E-2</v>
      </c>
      <c r="Q230" s="3">
        <f t="shared" si="191"/>
        <v>2.2680118097720574E-2</v>
      </c>
      <c r="R230" s="3">
        <f t="shared" si="191"/>
        <v>2.268011809723362E-2</v>
      </c>
      <c r="S230" s="3">
        <f t="shared" si="191"/>
        <v>2.2680118092364067E-2</v>
      </c>
      <c r="T230" s="3">
        <f t="shared" si="191"/>
        <v>2.2680118043668551E-2</v>
      </c>
      <c r="U230" s="3">
        <f t="shared" si="191"/>
        <v>2.2680117556713394E-2</v>
      </c>
      <c r="V230" s="3">
        <f t="shared" si="191"/>
        <v>2.2680112687162416E-2</v>
      </c>
      <c r="W230" s="3">
        <f t="shared" si="191"/>
        <v>2.2680063991710138E-2</v>
      </c>
      <c r="X230" s="3">
        <f t="shared" si="191"/>
        <v>2.2679577042937681E-2</v>
      </c>
      <c r="Y230" s="3">
        <f t="shared" si="191"/>
        <v>2.2674708130198697E-2</v>
      </c>
      <c r="Z230" s="3">
        <f t="shared" si="191"/>
        <v>2.2626076455720671E-2</v>
      </c>
      <c r="AA230" s="3">
        <f t="shared" si="191"/>
        <v>2.2145459621818516E-2</v>
      </c>
      <c r="AB230" s="3">
        <f t="shared" si="191"/>
        <v>1.7866487454842293E-2</v>
      </c>
      <c r="AC230" s="3">
        <f t="shared" si="191"/>
        <v>2.0872957207844268E-3</v>
      </c>
      <c r="AD230" s="3">
        <f t="shared" si="191"/>
        <v>9.8862598838276096E-13</v>
      </c>
      <c r="AE230" s="3">
        <f t="shared" si="191"/>
        <v>5.6171034530680808E-106</v>
      </c>
      <c r="AF230" s="3">
        <f t="shared" si="191"/>
        <v>0</v>
      </c>
      <c r="AG230" s="3"/>
      <c r="AH230" s="3"/>
    </row>
    <row r="231" spans="2:34" x14ac:dyDescent="0.25">
      <c r="B231" s="3">
        <f t="shared" ref="B231:AF231" si="192">$C39*EXP(-B$207/$A39/EXP(-$D$126))</f>
        <v>4.4296427252304087E-2</v>
      </c>
      <c r="C231" s="3">
        <f t="shared" si="192"/>
        <v>4.4296427252304087E-2</v>
      </c>
      <c r="D231" s="3">
        <f t="shared" si="192"/>
        <v>4.4296427252304087E-2</v>
      </c>
      <c r="E231" s="3">
        <f t="shared" si="192"/>
        <v>4.4296427252304087E-2</v>
      </c>
      <c r="F231" s="3">
        <f t="shared" si="192"/>
        <v>4.4296427252304087E-2</v>
      </c>
      <c r="G231" s="3">
        <f t="shared" si="192"/>
        <v>4.4296427252304087E-2</v>
      </c>
      <c r="H231" s="3">
        <f t="shared" si="192"/>
        <v>4.4296427252304087E-2</v>
      </c>
      <c r="I231" s="3">
        <f t="shared" si="192"/>
        <v>4.4296427252304087E-2</v>
      </c>
      <c r="J231" s="3">
        <f t="shared" si="192"/>
        <v>4.4296427252304087E-2</v>
      </c>
      <c r="K231" s="3">
        <f t="shared" si="192"/>
        <v>4.4296427252304087E-2</v>
      </c>
      <c r="L231" s="3">
        <f t="shared" si="192"/>
        <v>4.4296427252304087E-2</v>
      </c>
      <c r="M231" s="3">
        <f t="shared" si="192"/>
        <v>4.429642725230408E-2</v>
      </c>
      <c r="N231" s="3">
        <f t="shared" si="192"/>
        <v>4.4296427252304059E-2</v>
      </c>
      <c r="O231" s="3">
        <f t="shared" si="192"/>
        <v>4.4296427252303795E-2</v>
      </c>
      <c r="P231" s="3">
        <f t="shared" si="192"/>
        <v>4.4296427252301165E-2</v>
      </c>
      <c r="Q231" s="3">
        <f t="shared" si="192"/>
        <v>4.429642725227486E-2</v>
      </c>
      <c r="R231" s="3">
        <f t="shared" si="192"/>
        <v>4.4296427252011814E-2</v>
      </c>
      <c r="S231" s="3">
        <f t="shared" si="192"/>
        <v>4.4296427249381397E-2</v>
      </c>
      <c r="T231" s="3">
        <f t="shared" si="192"/>
        <v>4.4296427223077188E-2</v>
      </c>
      <c r="U231" s="3">
        <f t="shared" si="192"/>
        <v>4.4296426960035114E-2</v>
      </c>
      <c r="V231" s="3">
        <f t="shared" si="192"/>
        <v>4.4296424329614448E-2</v>
      </c>
      <c r="W231" s="3">
        <f t="shared" si="192"/>
        <v>4.4296398025416413E-2</v>
      </c>
      <c r="X231" s="3">
        <f t="shared" si="192"/>
        <v>4.4296134984295084E-2</v>
      </c>
      <c r="Y231" s="3">
        <f t="shared" si="192"/>
        <v>4.4293504658989867E-2</v>
      </c>
      <c r="Z231" s="3">
        <f t="shared" si="192"/>
        <v>4.4267209994854978E-2</v>
      </c>
      <c r="AA231" s="3">
        <f t="shared" si="192"/>
        <v>4.4005120361116784E-2</v>
      </c>
      <c r="AB231" s="3">
        <f t="shared" si="192"/>
        <v>4.1468071352024606E-2</v>
      </c>
      <c r="AC231" s="3">
        <f t="shared" si="192"/>
        <v>2.2899187677231692E-2</v>
      </c>
      <c r="AD231" s="3">
        <f t="shared" si="192"/>
        <v>6.0378520956554056E-5</v>
      </c>
      <c r="AE231" s="3">
        <f t="shared" si="192"/>
        <v>9.8063278290444564E-31</v>
      </c>
      <c r="AF231" s="3">
        <f t="shared" si="192"/>
        <v>1.2524078552697197E-288</v>
      </c>
      <c r="AG231" s="3"/>
      <c r="AH231" s="3"/>
    </row>
    <row r="232" spans="2:34" x14ac:dyDescent="0.25">
      <c r="B232" s="3">
        <f t="shared" ref="B232:AF232" si="193">$C40*EXP(-B$207/$A40/EXP(-$D$126))</f>
        <v>5.3706126554366823E-2</v>
      </c>
      <c r="C232" s="3">
        <f t="shared" si="193"/>
        <v>5.3706126554366823E-2</v>
      </c>
      <c r="D232" s="3">
        <f t="shared" si="193"/>
        <v>5.3706126554366823E-2</v>
      </c>
      <c r="E232" s="3">
        <f t="shared" si="193"/>
        <v>5.3706126554366823E-2</v>
      </c>
      <c r="F232" s="3">
        <f t="shared" si="193"/>
        <v>5.3706126554366823E-2</v>
      </c>
      <c r="G232" s="3">
        <f t="shared" si="193"/>
        <v>5.3706126554366823E-2</v>
      </c>
      <c r="H232" s="3">
        <f t="shared" si="193"/>
        <v>5.3706126554366823E-2</v>
      </c>
      <c r="I232" s="3">
        <f t="shared" si="193"/>
        <v>5.3706126554366823E-2</v>
      </c>
      <c r="J232" s="3">
        <f t="shared" si="193"/>
        <v>5.3706126554366823E-2</v>
      </c>
      <c r="K232" s="3">
        <f t="shared" si="193"/>
        <v>5.3706126554366823E-2</v>
      </c>
      <c r="L232" s="3">
        <f t="shared" si="193"/>
        <v>5.3706126554366823E-2</v>
      </c>
      <c r="M232" s="3">
        <f t="shared" si="193"/>
        <v>5.3706126554366823E-2</v>
      </c>
      <c r="N232" s="3">
        <f t="shared" si="193"/>
        <v>5.3706126554366816E-2</v>
      </c>
      <c r="O232" s="3">
        <f t="shared" si="193"/>
        <v>5.3706126554366788E-2</v>
      </c>
      <c r="P232" s="3">
        <f t="shared" si="193"/>
        <v>5.3706126554366469E-2</v>
      </c>
      <c r="Q232" s="3">
        <f t="shared" si="193"/>
        <v>5.3706126554363284E-2</v>
      </c>
      <c r="R232" s="3">
        <f t="shared" si="193"/>
        <v>5.3706126554331386E-2</v>
      </c>
      <c r="S232" s="3">
        <f t="shared" si="193"/>
        <v>5.3706126554012468E-2</v>
      </c>
      <c r="T232" s="3">
        <f t="shared" si="193"/>
        <v>5.3706126550823283E-2</v>
      </c>
      <c r="U232" s="3">
        <f t="shared" si="193"/>
        <v>5.3706126518931384E-2</v>
      </c>
      <c r="V232" s="3">
        <f t="shared" si="193"/>
        <v>5.3706126200012409E-2</v>
      </c>
      <c r="W232" s="3">
        <f t="shared" si="193"/>
        <v>5.3706123010822809E-2</v>
      </c>
      <c r="X232" s="3">
        <f t="shared" si="193"/>
        <v>5.3706091118937246E-2</v>
      </c>
      <c r="Y232" s="3">
        <f t="shared" si="193"/>
        <v>5.3705772201123166E-2</v>
      </c>
      <c r="Z232" s="3">
        <f t="shared" si="193"/>
        <v>5.3702583127139471E-2</v>
      </c>
      <c r="AA232" s="3">
        <f t="shared" si="193"/>
        <v>5.3670702800726472E-2</v>
      </c>
      <c r="AB232" s="3">
        <f t="shared" si="193"/>
        <v>5.3352938594643719E-2</v>
      </c>
      <c r="AC232" s="3">
        <f t="shared" si="193"/>
        <v>5.0276955189010292E-2</v>
      </c>
      <c r="AD232" s="3">
        <f t="shared" si="193"/>
        <v>2.77635635122612E-2</v>
      </c>
      <c r="AE232" s="3">
        <f t="shared" si="193"/>
        <v>7.3204470175176759E-5</v>
      </c>
      <c r="AF232" s="3">
        <f t="shared" si="193"/>
        <v>1.1889443824002228E-30</v>
      </c>
      <c r="AG232" s="3"/>
      <c r="AH232" s="3"/>
    </row>
    <row r="233" spans="2:34" x14ac:dyDescent="0.25">
      <c r="B233" s="3">
        <f t="shared" ref="B233:AF233" si="194">$C41*EXP(-B$207/$A41/EXP(-$D$126))</f>
        <v>5.7988003135982742E-2</v>
      </c>
      <c r="C233" s="3">
        <f t="shared" si="194"/>
        <v>5.7988003135982742E-2</v>
      </c>
      <c r="D233" s="3">
        <f t="shared" si="194"/>
        <v>5.7988003135982742E-2</v>
      </c>
      <c r="E233" s="3">
        <f t="shared" si="194"/>
        <v>5.7988003135982742E-2</v>
      </c>
      <c r="F233" s="3">
        <f t="shared" si="194"/>
        <v>5.7988003135982742E-2</v>
      </c>
      <c r="G233" s="3">
        <f t="shared" si="194"/>
        <v>5.7988003135982742E-2</v>
      </c>
      <c r="H233" s="3">
        <f t="shared" si="194"/>
        <v>5.7988003135982742E-2</v>
      </c>
      <c r="I233" s="3">
        <f t="shared" si="194"/>
        <v>5.7988003135982742E-2</v>
      </c>
      <c r="J233" s="3">
        <f t="shared" si="194"/>
        <v>5.7988003135982742E-2</v>
      </c>
      <c r="K233" s="3">
        <f t="shared" si="194"/>
        <v>5.7988003135982742E-2</v>
      </c>
      <c r="L233" s="3">
        <f t="shared" si="194"/>
        <v>5.7988003135982742E-2</v>
      </c>
      <c r="M233" s="3">
        <f t="shared" si="194"/>
        <v>5.7988003135982742E-2</v>
      </c>
      <c r="N233" s="3">
        <f t="shared" si="194"/>
        <v>5.7988003135982742E-2</v>
      </c>
      <c r="O233" s="3">
        <f t="shared" si="194"/>
        <v>5.7988003135982735E-2</v>
      </c>
      <c r="P233" s="3">
        <f t="shared" si="194"/>
        <v>5.7988003135982701E-2</v>
      </c>
      <c r="Q233" s="3">
        <f t="shared" si="194"/>
        <v>5.7988003135982361E-2</v>
      </c>
      <c r="R233" s="3">
        <f t="shared" si="194"/>
        <v>5.7988003135978919E-2</v>
      </c>
      <c r="S233" s="3">
        <f t="shared" si="194"/>
        <v>5.7988003135944481E-2</v>
      </c>
      <c r="T233" s="3">
        <f t="shared" si="194"/>
        <v>5.7988003135600132E-2</v>
      </c>
      <c r="U233" s="3">
        <f t="shared" si="194"/>
        <v>5.7988003132156678E-2</v>
      </c>
      <c r="V233" s="3">
        <f t="shared" si="194"/>
        <v>5.7988003097722111E-2</v>
      </c>
      <c r="W233" s="3">
        <f t="shared" si="194"/>
        <v>5.7988002753376393E-2</v>
      </c>
      <c r="X233" s="3">
        <f t="shared" si="194"/>
        <v>5.7987999309919415E-2</v>
      </c>
      <c r="Y233" s="3">
        <f t="shared" si="194"/>
        <v>5.7987964875360849E-2</v>
      </c>
      <c r="Z233" s="3">
        <f t="shared" si="194"/>
        <v>5.7987620530899807E-2</v>
      </c>
      <c r="AA233" s="3">
        <f t="shared" si="194"/>
        <v>5.7984177198750722E-2</v>
      </c>
      <c r="AB233" s="3">
        <f t="shared" si="194"/>
        <v>5.7949755120924248E-2</v>
      </c>
      <c r="AC233" s="3">
        <f t="shared" si="194"/>
        <v>5.7606656242620728E-2</v>
      </c>
      <c r="AD233" s="3">
        <f t="shared" si="194"/>
        <v>5.4285431145675085E-2</v>
      </c>
      <c r="AE233" s="3">
        <f t="shared" si="194"/>
        <v>2.997709407296948E-2</v>
      </c>
      <c r="AF233" s="3">
        <f t="shared" si="194"/>
        <v>7.9040908708783936E-5</v>
      </c>
      <c r="AG233" s="3"/>
      <c r="AH233" s="3"/>
    </row>
    <row r="234" spans="2:34" x14ac:dyDescent="0.25">
      <c r="B234" s="3">
        <f t="shared" ref="B234:AF234" si="195">$C42*EXP(-B$207/$A42/EXP(-$D$126))</f>
        <v>5.3687364876348918E-2</v>
      </c>
      <c r="C234" s="3">
        <f t="shared" si="195"/>
        <v>5.3687364876348918E-2</v>
      </c>
      <c r="D234" s="3">
        <f t="shared" si="195"/>
        <v>5.3687364876348918E-2</v>
      </c>
      <c r="E234" s="3">
        <f t="shared" si="195"/>
        <v>5.3687364876348918E-2</v>
      </c>
      <c r="F234" s="3">
        <f t="shared" si="195"/>
        <v>5.3687364876348918E-2</v>
      </c>
      <c r="G234" s="3">
        <f t="shared" si="195"/>
        <v>5.3687364876348918E-2</v>
      </c>
      <c r="H234" s="3">
        <f t="shared" si="195"/>
        <v>5.3687364876348918E-2</v>
      </c>
      <c r="I234" s="3">
        <f t="shared" si="195"/>
        <v>5.3687364876348918E-2</v>
      </c>
      <c r="J234" s="3">
        <f t="shared" si="195"/>
        <v>5.3687364876348918E-2</v>
      </c>
      <c r="K234" s="3">
        <f t="shared" si="195"/>
        <v>5.3687364876348918E-2</v>
      </c>
      <c r="L234" s="3">
        <f t="shared" si="195"/>
        <v>5.3687364876348918E-2</v>
      </c>
      <c r="M234" s="3">
        <f t="shared" si="195"/>
        <v>5.3687364876348918E-2</v>
      </c>
      <c r="N234" s="3">
        <f t="shared" si="195"/>
        <v>5.3687364876348918E-2</v>
      </c>
      <c r="O234" s="3">
        <f t="shared" si="195"/>
        <v>5.3687364876348918E-2</v>
      </c>
      <c r="P234" s="3">
        <f t="shared" si="195"/>
        <v>5.3687364876348911E-2</v>
      </c>
      <c r="Q234" s="3">
        <f t="shared" si="195"/>
        <v>5.3687364876348884E-2</v>
      </c>
      <c r="R234" s="3">
        <f t="shared" si="195"/>
        <v>5.3687364876348564E-2</v>
      </c>
      <c r="S234" s="3">
        <f t="shared" si="195"/>
        <v>5.368736487634538E-2</v>
      </c>
      <c r="T234" s="3">
        <f t="shared" si="195"/>
        <v>5.3687364876313495E-2</v>
      </c>
      <c r="U234" s="3">
        <f t="shared" si="195"/>
        <v>5.3687364875994688E-2</v>
      </c>
      <c r="V234" s="3">
        <f t="shared" si="195"/>
        <v>5.3687364872806613E-2</v>
      </c>
      <c r="W234" s="3">
        <f t="shared" si="195"/>
        <v>5.3687364840925858E-2</v>
      </c>
      <c r="X234" s="3">
        <f t="shared" si="195"/>
        <v>5.3687364522118294E-2</v>
      </c>
      <c r="Y234" s="3">
        <f t="shared" si="195"/>
        <v>5.368736133404281E-2</v>
      </c>
      <c r="Z234" s="3">
        <f t="shared" si="195"/>
        <v>5.3687329453298342E-2</v>
      </c>
      <c r="AA234" s="3">
        <f t="shared" si="195"/>
        <v>5.3687010646894892E-2</v>
      </c>
      <c r="AB234" s="3">
        <f t="shared" si="195"/>
        <v>5.3683822686981096E-2</v>
      </c>
      <c r="AC234" s="3">
        <f t="shared" si="195"/>
        <v>5.3651953497629322E-2</v>
      </c>
      <c r="AD234" s="3">
        <f t="shared" si="195"/>
        <v>5.3334300299174603E-2</v>
      </c>
      <c r="AE234" s="3">
        <f t="shared" si="195"/>
        <v>5.0259391456425294E-2</v>
      </c>
      <c r="AF234" s="3">
        <f t="shared" si="195"/>
        <v>2.7753864599443137E-2</v>
      </c>
      <c r="AG234" s="3"/>
      <c r="AH234" s="3"/>
    </row>
    <row r="235" spans="2:34" x14ac:dyDescent="0.25">
      <c r="B235" s="3">
        <f t="shared" ref="B235:AF235" si="196">$C43*EXP(-B$207/$A43/EXP(-$D$126))</f>
        <v>3.7741648856749126E-2</v>
      </c>
      <c r="C235" s="3">
        <f t="shared" si="196"/>
        <v>3.7741648856749126E-2</v>
      </c>
      <c r="D235" s="3">
        <f t="shared" si="196"/>
        <v>3.7741648856749126E-2</v>
      </c>
      <c r="E235" s="3">
        <f t="shared" si="196"/>
        <v>3.7741648856749126E-2</v>
      </c>
      <c r="F235" s="3">
        <f t="shared" si="196"/>
        <v>3.7741648856749126E-2</v>
      </c>
      <c r="G235" s="3">
        <f t="shared" si="196"/>
        <v>3.7741648856749126E-2</v>
      </c>
      <c r="H235" s="3">
        <f t="shared" si="196"/>
        <v>3.7741648856749126E-2</v>
      </c>
      <c r="I235" s="3">
        <f t="shared" si="196"/>
        <v>3.7741648856749126E-2</v>
      </c>
      <c r="J235" s="3">
        <f t="shared" si="196"/>
        <v>3.7741648856749126E-2</v>
      </c>
      <c r="K235" s="3">
        <f t="shared" si="196"/>
        <v>3.7741648856749126E-2</v>
      </c>
      <c r="L235" s="3">
        <f t="shared" si="196"/>
        <v>3.7741648856749126E-2</v>
      </c>
      <c r="M235" s="3">
        <f t="shared" si="196"/>
        <v>3.7741648856749126E-2</v>
      </c>
      <c r="N235" s="3">
        <f t="shared" si="196"/>
        <v>3.7741648856749126E-2</v>
      </c>
      <c r="O235" s="3">
        <f t="shared" si="196"/>
        <v>3.7741648856749126E-2</v>
      </c>
      <c r="P235" s="3">
        <f t="shared" si="196"/>
        <v>3.7741648856749126E-2</v>
      </c>
      <c r="Q235" s="3">
        <f t="shared" si="196"/>
        <v>3.7741648856749119E-2</v>
      </c>
      <c r="R235" s="3">
        <f t="shared" si="196"/>
        <v>3.7741648856749098E-2</v>
      </c>
      <c r="S235" s="3">
        <f t="shared" si="196"/>
        <v>3.7741648856748876E-2</v>
      </c>
      <c r="T235" s="3">
        <f t="shared" si="196"/>
        <v>3.7741648856746635E-2</v>
      </c>
      <c r="U235" s="3">
        <f t="shared" si="196"/>
        <v>3.7741648856724222E-2</v>
      </c>
      <c r="V235" s="3">
        <f t="shared" si="196"/>
        <v>3.7741648856500103E-2</v>
      </c>
      <c r="W235" s="3">
        <f t="shared" si="196"/>
        <v>3.7741648854258923E-2</v>
      </c>
      <c r="X235" s="3">
        <f t="shared" si="196"/>
        <v>3.7741648831847087E-2</v>
      </c>
      <c r="Y235" s="3">
        <f t="shared" si="196"/>
        <v>3.7741648607728752E-2</v>
      </c>
      <c r="Z235" s="3">
        <f t="shared" si="196"/>
        <v>3.774164636654545E-2</v>
      </c>
      <c r="AA235" s="3">
        <f t="shared" si="196"/>
        <v>3.774162395471977E-2</v>
      </c>
      <c r="AB235" s="3">
        <f t="shared" si="196"/>
        <v>3.7741399837194906E-2</v>
      </c>
      <c r="AC235" s="3">
        <f t="shared" si="196"/>
        <v>3.7739158735142067E-2</v>
      </c>
      <c r="AD235" s="3">
        <f t="shared" si="196"/>
        <v>3.7716755032583114E-2</v>
      </c>
      <c r="AE235" s="3">
        <f t="shared" si="196"/>
        <v>3.7493448198621097E-2</v>
      </c>
      <c r="AF235" s="3">
        <f t="shared" si="196"/>
        <v>3.5331819851302411E-2</v>
      </c>
      <c r="AG235" s="3"/>
      <c r="AH235" s="3"/>
    </row>
    <row r="236" spans="2:34" x14ac:dyDescent="0.25">
      <c r="B236" s="3">
        <f t="shared" ref="B236:AF236" si="197">$C44*EXP(-B$207/$A44/EXP(-$D$126))</f>
        <v>2.2979827884217336E-2</v>
      </c>
      <c r="C236" s="3">
        <f t="shared" si="197"/>
        <v>2.2979827884217336E-2</v>
      </c>
      <c r="D236" s="3">
        <f t="shared" si="197"/>
        <v>2.2979827884217336E-2</v>
      </c>
      <c r="E236" s="3">
        <f t="shared" si="197"/>
        <v>2.2979827884217336E-2</v>
      </c>
      <c r="F236" s="3">
        <f t="shared" si="197"/>
        <v>2.2979827884217336E-2</v>
      </c>
      <c r="G236" s="3">
        <f t="shared" si="197"/>
        <v>2.2979827884217336E-2</v>
      </c>
      <c r="H236" s="3">
        <f t="shared" si="197"/>
        <v>2.2979827884217336E-2</v>
      </c>
      <c r="I236" s="3">
        <f t="shared" si="197"/>
        <v>2.2979827884217336E-2</v>
      </c>
      <c r="J236" s="3">
        <f t="shared" si="197"/>
        <v>2.2979827884217336E-2</v>
      </c>
      <c r="K236" s="3">
        <f t="shared" si="197"/>
        <v>2.2979827884217336E-2</v>
      </c>
      <c r="L236" s="3">
        <f t="shared" si="197"/>
        <v>2.2979827884217336E-2</v>
      </c>
      <c r="M236" s="3">
        <f t="shared" si="197"/>
        <v>2.2979827884217336E-2</v>
      </c>
      <c r="N236" s="3">
        <f t="shared" si="197"/>
        <v>2.2979827884217336E-2</v>
      </c>
      <c r="O236" s="3">
        <f t="shared" si="197"/>
        <v>2.2979827884217336E-2</v>
      </c>
      <c r="P236" s="3">
        <f t="shared" si="197"/>
        <v>2.2979827884217336E-2</v>
      </c>
      <c r="Q236" s="3">
        <f t="shared" si="197"/>
        <v>2.2979827884217336E-2</v>
      </c>
      <c r="R236" s="3">
        <f t="shared" si="197"/>
        <v>2.2979827884217333E-2</v>
      </c>
      <c r="S236" s="3">
        <f t="shared" si="197"/>
        <v>2.2979827884217322E-2</v>
      </c>
      <c r="T236" s="3">
        <f t="shared" si="197"/>
        <v>2.2979827884217187E-2</v>
      </c>
      <c r="U236" s="3">
        <f t="shared" si="197"/>
        <v>2.297982788421582E-2</v>
      </c>
      <c r="V236" s="3">
        <f t="shared" si="197"/>
        <v>2.2979827884202175E-2</v>
      </c>
      <c r="W236" s="3">
        <f t="shared" si="197"/>
        <v>2.2979827884065714E-2</v>
      </c>
      <c r="X236" s="3">
        <f t="shared" si="197"/>
        <v>2.2979827882701122E-2</v>
      </c>
      <c r="Y236" s="3">
        <f t="shared" si="197"/>
        <v>2.2979827869055187E-2</v>
      </c>
      <c r="Z236" s="3">
        <f t="shared" si="197"/>
        <v>2.2979827732595836E-2</v>
      </c>
      <c r="AA236" s="3">
        <f t="shared" si="197"/>
        <v>2.2979826368002394E-2</v>
      </c>
      <c r="AB236" s="3">
        <f t="shared" si="197"/>
        <v>2.2979812722072439E-2</v>
      </c>
      <c r="AC236" s="3">
        <f t="shared" si="197"/>
        <v>2.2979676263218542E-2</v>
      </c>
      <c r="AD236" s="3">
        <f t="shared" si="197"/>
        <v>2.2978311719246428E-2</v>
      </c>
      <c r="AE236" s="3">
        <f t="shared" si="197"/>
        <v>2.2964670735230914E-2</v>
      </c>
      <c r="AF236" s="3">
        <f t="shared" si="197"/>
        <v>2.2828705488209148E-2</v>
      </c>
      <c r="AG236" s="3"/>
      <c r="AH236" s="3"/>
    </row>
    <row r="237" spans="2:34" x14ac:dyDescent="0.25">
      <c r="B237" s="3">
        <f t="shared" ref="B237:AF237" si="198">$C45*EXP(-B$207/$A45/EXP(-$D$126))</f>
        <v>9.4093651761472351E-3</v>
      </c>
      <c r="C237" s="3">
        <f t="shared" si="198"/>
        <v>9.4093651761472351E-3</v>
      </c>
      <c r="D237" s="3">
        <f t="shared" si="198"/>
        <v>9.4093651761472351E-3</v>
      </c>
      <c r="E237" s="3">
        <f t="shared" si="198"/>
        <v>9.4093651761472351E-3</v>
      </c>
      <c r="F237" s="3">
        <f t="shared" si="198"/>
        <v>9.4093651761472351E-3</v>
      </c>
      <c r="G237" s="3">
        <f t="shared" si="198"/>
        <v>9.4093651761472351E-3</v>
      </c>
      <c r="H237" s="3">
        <f t="shared" si="198"/>
        <v>9.4093651761472351E-3</v>
      </c>
      <c r="I237" s="3">
        <f t="shared" si="198"/>
        <v>9.4093651761472351E-3</v>
      </c>
      <c r="J237" s="3">
        <f t="shared" si="198"/>
        <v>9.4093651761472351E-3</v>
      </c>
      <c r="K237" s="3">
        <f t="shared" si="198"/>
        <v>9.4093651761472351E-3</v>
      </c>
      <c r="L237" s="3">
        <f t="shared" si="198"/>
        <v>9.4093651761472351E-3</v>
      </c>
      <c r="M237" s="3">
        <f t="shared" si="198"/>
        <v>9.4093651761472351E-3</v>
      </c>
      <c r="N237" s="3">
        <f t="shared" si="198"/>
        <v>9.4093651761472351E-3</v>
      </c>
      <c r="O237" s="3">
        <f t="shared" si="198"/>
        <v>9.4093651761472351E-3</v>
      </c>
      <c r="P237" s="3">
        <f t="shared" si="198"/>
        <v>9.4093651761472351E-3</v>
      </c>
      <c r="Q237" s="3">
        <f t="shared" si="198"/>
        <v>9.4093651761472351E-3</v>
      </c>
      <c r="R237" s="3">
        <f t="shared" si="198"/>
        <v>9.4093651761472351E-3</v>
      </c>
      <c r="S237" s="3">
        <f t="shared" si="198"/>
        <v>9.4093651761472333E-3</v>
      </c>
      <c r="T237" s="3">
        <f t="shared" si="198"/>
        <v>9.4093651761472281E-3</v>
      </c>
      <c r="U237" s="3">
        <f t="shared" si="198"/>
        <v>9.4093651761471726E-3</v>
      </c>
      <c r="V237" s="3">
        <f t="shared" si="198"/>
        <v>9.4093651761466141E-3</v>
      </c>
      <c r="W237" s="3">
        <f t="shared" si="198"/>
        <v>9.4093651761410265E-3</v>
      </c>
      <c r="X237" s="3">
        <f t="shared" si="198"/>
        <v>9.4093651760851511E-3</v>
      </c>
      <c r="Y237" s="3">
        <f t="shared" si="198"/>
        <v>9.4093651755264036E-3</v>
      </c>
      <c r="Z237" s="3">
        <f t="shared" si="198"/>
        <v>9.4093651699389113E-3</v>
      </c>
      <c r="AA237" s="3">
        <f t="shared" si="198"/>
        <v>9.4093651140640007E-3</v>
      </c>
      <c r="AB237" s="3">
        <f t="shared" si="198"/>
        <v>9.4093645553149068E-3</v>
      </c>
      <c r="AC237" s="3">
        <f t="shared" si="198"/>
        <v>9.4093589678257931E-3</v>
      </c>
      <c r="AD237" s="3">
        <f t="shared" si="198"/>
        <v>9.409303093117145E-3</v>
      </c>
      <c r="AE237" s="3">
        <f t="shared" si="198"/>
        <v>9.4087443642790862E-3</v>
      </c>
      <c r="AF237" s="3">
        <f t="shared" si="198"/>
        <v>9.4031589003404237E-3</v>
      </c>
      <c r="AG237" s="3"/>
      <c r="AH237" s="3"/>
    </row>
    <row r="238" spans="2:34" x14ac:dyDescent="0.25">
      <c r="B238" s="3">
        <f t="shared" ref="B238:AF238" si="199">$C46*EXP(-B$207/$A46/EXP(-$D$126))</f>
        <v>6.2705621285313361E-3</v>
      </c>
      <c r="C238" s="3">
        <f t="shared" si="199"/>
        <v>6.2705621285313361E-3</v>
      </c>
      <c r="D238" s="3">
        <f t="shared" si="199"/>
        <v>6.2705621285313361E-3</v>
      </c>
      <c r="E238" s="3">
        <f t="shared" si="199"/>
        <v>6.2705621285313361E-3</v>
      </c>
      <c r="F238" s="3">
        <f t="shared" si="199"/>
        <v>6.2705621285313361E-3</v>
      </c>
      <c r="G238" s="3">
        <f t="shared" si="199"/>
        <v>6.2705621285313361E-3</v>
      </c>
      <c r="H238" s="3">
        <f t="shared" si="199"/>
        <v>6.2705621285313361E-3</v>
      </c>
      <c r="I238" s="3">
        <f t="shared" si="199"/>
        <v>6.2705621285313361E-3</v>
      </c>
      <c r="J238" s="3">
        <f t="shared" si="199"/>
        <v>6.2705621285313361E-3</v>
      </c>
      <c r="K238" s="3">
        <f t="shared" si="199"/>
        <v>6.2705621285313361E-3</v>
      </c>
      <c r="L238" s="3">
        <f t="shared" si="199"/>
        <v>6.2705621285313361E-3</v>
      </c>
      <c r="M238" s="3">
        <f t="shared" si="199"/>
        <v>6.2705621285313361E-3</v>
      </c>
      <c r="N238" s="3">
        <f t="shared" si="199"/>
        <v>6.2705621285313361E-3</v>
      </c>
      <c r="O238" s="3">
        <f t="shared" si="199"/>
        <v>6.2705621285313361E-3</v>
      </c>
      <c r="P238" s="3">
        <f t="shared" si="199"/>
        <v>6.2705621285313361E-3</v>
      </c>
      <c r="Q238" s="3">
        <f t="shared" si="199"/>
        <v>6.2705621285313361E-3</v>
      </c>
      <c r="R238" s="3">
        <f t="shared" si="199"/>
        <v>6.2705621285313361E-3</v>
      </c>
      <c r="S238" s="3">
        <f t="shared" si="199"/>
        <v>6.2705621285313361E-3</v>
      </c>
      <c r="T238" s="3">
        <f t="shared" si="199"/>
        <v>6.2705621285313352E-3</v>
      </c>
      <c r="U238" s="3">
        <f t="shared" si="199"/>
        <v>6.2705621285313318E-3</v>
      </c>
      <c r="V238" s="3">
        <f t="shared" si="199"/>
        <v>6.2705621285312953E-3</v>
      </c>
      <c r="W238" s="3">
        <f t="shared" si="199"/>
        <v>6.2705621285309224E-3</v>
      </c>
      <c r="X238" s="3">
        <f t="shared" si="199"/>
        <v>6.2705621285271988E-3</v>
      </c>
      <c r="Y238" s="3">
        <f t="shared" si="199"/>
        <v>6.270562128489963E-3</v>
      </c>
      <c r="Z238" s="3">
        <f t="shared" si="199"/>
        <v>6.2705621281176028E-3</v>
      </c>
      <c r="AA238" s="3">
        <f t="shared" si="199"/>
        <v>6.2705621243940033E-3</v>
      </c>
      <c r="AB238" s="3">
        <f t="shared" si="199"/>
        <v>6.2705620871580051E-3</v>
      </c>
      <c r="AC238" s="3">
        <f t="shared" si="199"/>
        <v>6.2705617147980376E-3</v>
      </c>
      <c r="AD238" s="3">
        <f t="shared" si="199"/>
        <v>6.2705579911995837E-3</v>
      </c>
      <c r="AE238" s="3">
        <f t="shared" si="199"/>
        <v>6.270520755336649E-3</v>
      </c>
      <c r="AF238" s="3">
        <f t="shared" si="199"/>
        <v>6.2701484088683746E-3</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1.3778594746513384E-2</v>
      </c>
      <c r="C240" s="3">
        <f t="shared" si="201"/>
        <v>1.3778594746513384E-2</v>
      </c>
      <c r="D240" s="3">
        <f t="shared" si="201"/>
        <v>1.3778594746513384E-2</v>
      </c>
      <c r="E240" s="3">
        <f t="shared" si="201"/>
        <v>1.3778594746513384E-2</v>
      </c>
      <c r="F240" s="3">
        <f t="shared" si="201"/>
        <v>1.3778594746513384E-2</v>
      </c>
      <c r="G240" s="3">
        <f t="shared" si="201"/>
        <v>1.3778594746513384E-2</v>
      </c>
      <c r="H240" s="3">
        <f t="shared" si="201"/>
        <v>1.3778594746513384E-2</v>
      </c>
      <c r="I240" s="3">
        <f t="shared" si="201"/>
        <v>1.3778594746513384E-2</v>
      </c>
      <c r="J240" s="3">
        <f t="shared" si="201"/>
        <v>1.3778594746513384E-2</v>
      </c>
      <c r="K240" s="3">
        <f t="shared" si="201"/>
        <v>1.3778594746513384E-2</v>
      </c>
      <c r="L240" s="3">
        <f t="shared" si="201"/>
        <v>1.3778594746513384E-2</v>
      </c>
      <c r="M240" s="3">
        <f t="shared" si="201"/>
        <v>1.3778594746513384E-2</v>
      </c>
      <c r="N240" s="3">
        <f t="shared" si="201"/>
        <v>1.3778594746513384E-2</v>
      </c>
      <c r="O240" s="3">
        <f t="shared" si="201"/>
        <v>1.3778594746513384E-2</v>
      </c>
      <c r="P240" s="3">
        <f t="shared" si="201"/>
        <v>1.3778594746513384E-2</v>
      </c>
      <c r="Q240" s="3">
        <f t="shared" si="201"/>
        <v>1.3778594746513384E-2</v>
      </c>
      <c r="R240" s="3">
        <f t="shared" si="201"/>
        <v>1.3778594746513384E-2</v>
      </c>
      <c r="S240" s="3">
        <f t="shared" si="201"/>
        <v>1.3778594746513384E-2</v>
      </c>
      <c r="T240" s="3">
        <f t="shared" si="201"/>
        <v>1.3778594746513384E-2</v>
      </c>
      <c r="U240" s="3">
        <f t="shared" si="201"/>
        <v>1.3778594746513384E-2</v>
      </c>
      <c r="V240" s="3">
        <f t="shared" si="201"/>
        <v>1.3778594746513382E-2</v>
      </c>
      <c r="W240" s="3">
        <f t="shared" si="201"/>
        <v>1.3778594746513375E-2</v>
      </c>
      <c r="X240" s="3">
        <f t="shared" si="201"/>
        <v>1.3778594746513294E-2</v>
      </c>
      <c r="Y240" s="3">
        <f t="shared" si="201"/>
        <v>1.3778594746512475E-2</v>
      </c>
      <c r="Z240" s="3">
        <f t="shared" si="201"/>
        <v>1.3778594746504292E-2</v>
      </c>
      <c r="AA240" s="3">
        <f t="shared" si="201"/>
        <v>1.3778594746422472E-2</v>
      </c>
      <c r="AB240" s="3">
        <f t="shared" si="201"/>
        <v>1.3778594745604269E-2</v>
      </c>
      <c r="AC240" s="3">
        <f t="shared" si="201"/>
        <v>1.3778594737422233E-2</v>
      </c>
      <c r="AD240" s="3">
        <f t="shared" si="201"/>
        <v>1.3778594655601859E-2</v>
      </c>
      <c r="AE240" s="3">
        <f t="shared" si="201"/>
        <v>1.3778593837398167E-2</v>
      </c>
      <c r="AF240" s="3">
        <f t="shared" si="201"/>
        <v>1.3778585655363917E-2</v>
      </c>
      <c r="AG240" s="3"/>
      <c r="AH240" s="3"/>
    </row>
    <row r="241" spans="1:34" x14ac:dyDescent="0.25">
      <c r="A241" s="79">
        <f>AVERAGE(B241:AF241)</f>
        <v>1.4912203310131751E-2</v>
      </c>
      <c r="B241" s="80">
        <f>IF($A$64&lt;=B207,IF($B$64&gt;=B207,ABS((B209-B208)/B208),0),0)</f>
        <v>1.0857789255592238E-2</v>
      </c>
      <c r="C241" s="80">
        <f t="shared" ref="C241:AF241" si="202">IF($A$64&lt;=C207,IF($B$64&gt;=C207,ABS((C209-C208)/C208),0),0)</f>
        <v>2.2452091936350133E-2</v>
      </c>
      <c r="D241" s="80">
        <f t="shared" si="202"/>
        <v>2.2470153472222521E-2</v>
      </c>
      <c r="E241" s="80">
        <f t="shared" si="202"/>
        <v>2.2379501396317933E-2</v>
      </c>
      <c r="F241" s="80">
        <f t="shared" si="202"/>
        <v>2.1507455381274462E-2</v>
      </c>
      <c r="G241" s="80">
        <f t="shared" si="202"/>
        <v>1.4024865597358455E-2</v>
      </c>
      <c r="H241" s="80">
        <f t="shared" si="202"/>
        <v>9.4149038384671035E-3</v>
      </c>
      <c r="I241" s="80">
        <f t="shared" si="202"/>
        <v>5.4646073214209816E-3</v>
      </c>
      <c r="J241" s="80">
        <f t="shared" si="202"/>
        <v>5.3667978823971367E-3</v>
      </c>
      <c r="K241" s="80">
        <f t="shared" si="202"/>
        <v>4.4120763958613481E-3</v>
      </c>
      <c r="L241" s="80">
        <f t="shared" si="202"/>
        <v>5.2537773630992593E-3</v>
      </c>
      <c r="M241" s="80">
        <f t="shared" si="202"/>
        <v>5.272731897872582E-3</v>
      </c>
      <c r="N241" s="80">
        <f t="shared" si="202"/>
        <v>5.6333686615734997E-3</v>
      </c>
      <c r="O241" s="80">
        <f t="shared" si="202"/>
        <v>5.4044101427573503E-3</v>
      </c>
      <c r="P241" s="80">
        <f t="shared" si="202"/>
        <v>5.7641348644403628E-3</v>
      </c>
      <c r="Q241" s="80">
        <f t="shared" si="202"/>
        <v>6.9509372748867808E-3</v>
      </c>
      <c r="R241" s="80">
        <f t="shared" si="202"/>
        <v>7.5102094498461459E-3</v>
      </c>
      <c r="S241" s="80">
        <f t="shared" si="202"/>
        <v>4.9296866176714972E-3</v>
      </c>
      <c r="T241" s="80">
        <f t="shared" si="202"/>
        <v>5.4727342151449166E-3</v>
      </c>
      <c r="U241" s="80">
        <f t="shared" si="202"/>
        <v>2.0584525482054781E-2</v>
      </c>
      <c r="V241" s="80">
        <f t="shared" si="202"/>
        <v>3.4029537060652607E-2</v>
      </c>
      <c r="W241" s="80">
        <f t="shared" si="202"/>
        <v>3.919601760046211E-2</v>
      </c>
      <c r="X241" s="80">
        <f t="shared" si="202"/>
        <v>3.5074816080457101E-2</v>
      </c>
      <c r="Y241" s="80">
        <f t="shared" si="202"/>
        <v>2.4850175891443893E-2</v>
      </c>
      <c r="Z241" s="80">
        <f t="shared" si="202"/>
        <v>1.5231683990976434E-2</v>
      </c>
      <c r="AA241" s="80">
        <f t="shared" si="202"/>
        <v>6.9321257778646493E-3</v>
      </c>
      <c r="AB241" s="80">
        <f t="shared" si="202"/>
        <v>4.1960149967731437E-3</v>
      </c>
      <c r="AC241" s="80">
        <f t="shared" si="202"/>
        <v>4.6176367491985162E-3</v>
      </c>
      <c r="AD241" s="80">
        <f t="shared" si="202"/>
        <v>1.8153124829497255E-2</v>
      </c>
      <c r="AE241" s="80">
        <f t="shared" si="202"/>
        <v>2.9613795042993361E-2</v>
      </c>
      <c r="AF241" s="80">
        <f t="shared" si="202"/>
        <v>3.9256616147155698E-2</v>
      </c>
    </row>
    <row r="242" spans="1:34" x14ac:dyDescent="0.25">
      <c r="B242" s="21">
        <f>(B209-B208)^2</f>
        <v>3715.8000420044168</v>
      </c>
      <c r="C242" s="21">
        <f t="shared" ref="C242:AF242" si="203">(C209-C208)^2</f>
        <v>15888.662995998617</v>
      </c>
      <c r="D242" s="21">
        <f t="shared" si="203"/>
        <v>15913.801195648604</v>
      </c>
      <c r="E242" s="21">
        <f t="shared" si="203"/>
        <v>15782.474130597493</v>
      </c>
      <c r="F242" s="21">
        <f t="shared" si="203"/>
        <v>14548.145122317308</v>
      </c>
      <c r="G242" s="21">
        <f t="shared" si="203"/>
        <v>6082.9305640555485</v>
      </c>
      <c r="H242" s="21">
        <f t="shared" si="203"/>
        <v>2576.8159833395207</v>
      </c>
      <c r="I242" s="21">
        <f t="shared" si="203"/>
        <v>830.54285655908222</v>
      </c>
      <c r="J242" s="21">
        <f t="shared" si="203"/>
        <v>769.00815826010989</v>
      </c>
      <c r="K242" s="21">
        <f t="shared" si="203"/>
        <v>495.74733672065906</v>
      </c>
      <c r="L242" s="21">
        <f t="shared" si="203"/>
        <v>668.32504956399907</v>
      </c>
      <c r="M242" s="21">
        <f t="shared" si="203"/>
        <v>634.85799628513337</v>
      </c>
      <c r="N242" s="21">
        <f t="shared" si="203"/>
        <v>678.77751978407593</v>
      </c>
      <c r="O242" s="21">
        <f t="shared" si="203"/>
        <v>582.14502027549531</v>
      </c>
      <c r="P242" s="21">
        <f t="shared" si="203"/>
        <v>617.58716053605565</v>
      </c>
      <c r="Q242" s="21">
        <f t="shared" si="203"/>
        <v>833.1929317327988</v>
      </c>
      <c r="R242" s="21">
        <f t="shared" si="203"/>
        <v>883.58369802293953</v>
      </c>
      <c r="S242" s="21">
        <f t="shared" si="203"/>
        <v>338.21559722983852</v>
      </c>
      <c r="T242" s="21">
        <f t="shared" si="203"/>
        <v>366.91227747194046</v>
      </c>
      <c r="U242" s="21">
        <f t="shared" si="203"/>
        <v>4584.6517977938265</v>
      </c>
      <c r="V242" s="21">
        <f t="shared" si="203"/>
        <v>11022.917640406486</v>
      </c>
      <c r="W242" s="21">
        <f t="shared" si="203"/>
        <v>12968.444319259223</v>
      </c>
      <c r="X242" s="21">
        <f t="shared" si="203"/>
        <v>9188.5413663443633</v>
      </c>
      <c r="Y242" s="21">
        <f t="shared" si="203"/>
        <v>4072.9920703279681</v>
      </c>
      <c r="Z242" s="21">
        <f t="shared" si="203"/>
        <v>1320.9233987779357</v>
      </c>
      <c r="AA242" s="21">
        <f t="shared" si="203"/>
        <v>231.90027626866197</v>
      </c>
      <c r="AB242" s="21">
        <f t="shared" si="203"/>
        <v>69.541916548779611</v>
      </c>
      <c r="AC242" s="21">
        <f t="shared" si="203"/>
        <v>65.781372193983302</v>
      </c>
      <c r="AD242" s="21">
        <f t="shared" si="203"/>
        <v>730.07832603993893</v>
      </c>
      <c r="AE242" s="21">
        <f t="shared" si="203"/>
        <v>1232.8752621254937</v>
      </c>
      <c r="AF242" s="21">
        <f t="shared" si="203"/>
        <v>1186.5421095986846</v>
      </c>
      <c r="AG242" s="3"/>
      <c r="AH242" s="3"/>
    </row>
    <row r="243" spans="1:34" x14ac:dyDescent="0.25">
      <c r="A243" s="71">
        <f>SUM(B243:AF243)</f>
        <v>128882.71549208897</v>
      </c>
      <c r="B243" s="60">
        <f>IF($A$64&lt;=B207,IF($B$64&gt;=B207,ABS(B242),0),0)</f>
        <v>3715.8000420044168</v>
      </c>
      <c r="C243" s="60">
        <f t="shared" ref="C243" si="204">IF($A$64&lt;=C207,IF($B$64&gt;=C207,ABS(C242),0),0)</f>
        <v>15888.662995998617</v>
      </c>
      <c r="D243" s="60">
        <f t="shared" ref="D243" si="205">IF($A$64&lt;=D207,IF($B$64&gt;=D207,ABS(D242),0),0)</f>
        <v>15913.801195648604</v>
      </c>
      <c r="E243" s="60">
        <f t="shared" ref="E243" si="206">IF($A$64&lt;=E207,IF($B$64&gt;=E207,ABS(E242),0),0)</f>
        <v>15782.474130597493</v>
      </c>
      <c r="F243" s="60">
        <f t="shared" ref="F243" si="207">IF($A$64&lt;=F207,IF($B$64&gt;=F207,ABS(F242),0),0)</f>
        <v>14548.145122317308</v>
      </c>
      <c r="G243" s="60">
        <f t="shared" ref="G243" si="208">IF($A$64&lt;=G207,IF($B$64&gt;=G207,ABS(G242),0),0)</f>
        <v>6082.9305640555485</v>
      </c>
      <c r="H243" s="60">
        <f t="shared" ref="H243" si="209">IF($A$64&lt;=H207,IF($B$64&gt;=H207,ABS(H242),0),0)</f>
        <v>2576.8159833395207</v>
      </c>
      <c r="I243" s="60">
        <f t="shared" ref="I243" si="210">IF($A$64&lt;=I207,IF($B$64&gt;=I207,ABS(I242),0),0)</f>
        <v>830.54285655908222</v>
      </c>
      <c r="J243" s="60">
        <f t="shared" ref="J243" si="211">IF($A$64&lt;=J207,IF($B$64&gt;=J207,ABS(J242),0),0)</f>
        <v>769.00815826010989</v>
      </c>
      <c r="K243" s="60">
        <f t="shared" ref="K243" si="212">IF($A$64&lt;=K207,IF($B$64&gt;=K207,ABS(K242),0),0)</f>
        <v>495.74733672065906</v>
      </c>
      <c r="L243" s="60">
        <f t="shared" ref="L243" si="213">IF($A$64&lt;=L207,IF($B$64&gt;=L207,ABS(L242),0),0)</f>
        <v>668.32504956399907</v>
      </c>
      <c r="M243" s="60">
        <f t="shared" ref="M243" si="214">IF($A$64&lt;=M207,IF($B$64&gt;=M207,ABS(M242),0),0)</f>
        <v>634.85799628513337</v>
      </c>
      <c r="N243" s="60">
        <f t="shared" ref="N243" si="215">IF($A$64&lt;=N207,IF($B$64&gt;=N207,ABS(N242),0),0)</f>
        <v>678.77751978407593</v>
      </c>
      <c r="O243" s="60">
        <f t="shared" ref="O243" si="216">IF($A$64&lt;=O207,IF($B$64&gt;=O207,ABS(O242),0),0)</f>
        <v>582.14502027549531</v>
      </c>
      <c r="P243" s="60">
        <f t="shared" ref="P243" si="217">IF($A$64&lt;=P207,IF($B$64&gt;=P207,ABS(P242),0),0)</f>
        <v>617.58716053605565</v>
      </c>
      <c r="Q243" s="60">
        <f t="shared" ref="Q243" si="218">IF($A$64&lt;=Q207,IF($B$64&gt;=Q207,ABS(Q242),0),0)</f>
        <v>833.1929317327988</v>
      </c>
      <c r="R243" s="60">
        <f t="shared" ref="R243" si="219">IF($A$64&lt;=R207,IF($B$64&gt;=R207,ABS(R242),0),0)</f>
        <v>883.58369802293953</v>
      </c>
      <c r="S243" s="60">
        <f t="shared" ref="S243" si="220">IF($A$64&lt;=S207,IF($B$64&gt;=S207,ABS(S242),0),0)</f>
        <v>338.21559722983852</v>
      </c>
      <c r="T243" s="60">
        <f t="shared" ref="T243" si="221">IF($A$64&lt;=T207,IF($B$64&gt;=T207,ABS(T242),0),0)</f>
        <v>366.91227747194046</v>
      </c>
      <c r="U243" s="60">
        <f t="shared" ref="U243" si="222">IF($A$64&lt;=U207,IF($B$64&gt;=U207,ABS(U242),0),0)</f>
        <v>4584.6517977938265</v>
      </c>
      <c r="V243" s="60">
        <f t="shared" ref="V243" si="223">IF($A$64&lt;=V207,IF($B$64&gt;=V207,ABS(V242),0),0)</f>
        <v>11022.917640406486</v>
      </c>
      <c r="W243" s="60">
        <f t="shared" ref="W243" si="224">IF($A$64&lt;=W207,IF($B$64&gt;=W207,ABS(W242),0),0)</f>
        <v>12968.444319259223</v>
      </c>
      <c r="X243" s="60">
        <f t="shared" ref="X243" si="225">IF($A$64&lt;=X207,IF($B$64&gt;=X207,ABS(X242),0),0)</f>
        <v>9188.5413663443633</v>
      </c>
      <c r="Y243" s="60">
        <f t="shared" ref="Y243" si="226">IF($A$64&lt;=Y207,IF($B$64&gt;=Y207,ABS(Y242),0),0)</f>
        <v>4072.9920703279681</v>
      </c>
      <c r="Z243" s="60">
        <f t="shared" ref="Z243" si="227">IF($A$64&lt;=Z207,IF($B$64&gt;=Z207,ABS(Z242),0),0)</f>
        <v>1320.9233987779357</v>
      </c>
      <c r="AA243" s="60">
        <f t="shared" ref="AA243" si="228">IF($A$64&lt;=AA207,IF($B$64&gt;=AA207,ABS(AA242),0),0)</f>
        <v>231.90027626866197</v>
      </c>
      <c r="AB243" s="60">
        <f t="shared" ref="AB243" si="229">IF($A$64&lt;=AB207,IF($B$64&gt;=AB207,ABS(AB242),0),0)</f>
        <v>69.541916548779611</v>
      </c>
      <c r="AC243" s="60">
        <f t="shared" ref="AC243" si="230">IF($A$64&lt;=AC207,IF($B$64&gt;=AC207,ABS(AC242),0),0)</f>
        <v>65.781372193983302</v>
      </c>
      <c r="AD243" s="60">
        <f t="shared" ref="AD243" si="231">IF($A$64&lt;=AD207,IF($B$64&gt;=AD207,ABS(AD242),0),0)</f>
        <v>730.07832603993893</v>
      </c>
      <c r="AE243" s="60">
        <f t="shared" ref="AE243" si="232">IF($A$64&lt;=AE207,IF($B$64&gt;=AE207,ABS(AE242),0),0)</f>
        <v>1232.8752621254937</v>
      </c>
      <c r="AF243" s="60">
        <f t="shared" ref="AF243" si="233">IF($A$64&lt;=AF207,IF($B$64&gt;=AF207,ABS(AF242),0),0)</f>
        <v>1186.5421095986846</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0" t="s">
        <v>22</v>
      </c>
      <c r="B248" s="27">
        <f>($C$17+SUM(B249:B279))*$B$51</f>
        <v>5487.9565378154148</v>
      </c>
      <c r="C248" s="27">
        <f t="shared" ref="C248:AF248" si="234">($C$17+SUM(C249:C279))*$B$51</f>
        <v>5487.8792944291163</v>
      </c>
      <c r="D248" s="27">
        <f t="shared" si="234"/>
        <v>5487.1079611155656</v>
      </c>
      <c r="E248" s="27">
        <f t="shared" si="234"/>
        <v>5479.5036151208806</v>
      </c>
      <c r="F248" s="27">
        <f t="shared" si="234"/>
        <v>5413.3652165401363</v>
      </c>
      <c r="G248" s="27">
        <f t="shared" si="234"/>
        <v>5200.821223047993</v>
      </c>
      <c r="H248" s="27">
        <f t="shared" si="234"/>
        <v>5118.1139549472791</v>
      </c>
      <c r="I248" s="27">
        <f t="shared" si="234"/>
        <v>4989.8031602900692</v>
      </c>
      <c r="J248" s="27">
        <f t="shared" si="234"/>
        <v>4859.9359139421313</v>
      </c>
      <c r="K248" s="27">
        <f t="shared" si="234"/>
        <v>4712.9076101823566</v>
      </c>
      <c r="L248" s="27">
        <f t="shared" si="234"/>
        <v>4555.9609169984806</v>
      </c>
      <c r="M248" s="27">
        <f t="shared" si="234"/>
        <v>4397.8513249945736</v>
      </c>
      <c r="N248" s="27">
        <f t="shared" si="234"/>
        <v>4245.9689758509212</v>
      </c>
      <c r="O248" s="27">
        <f t="shared" si="234"/>
        <v>4076.2420356392195</v>
      </c>
      <c r="P248" s="27">
        <f t="shared" si="234"/>
        <v>3872.1808982337916</v>
      </c>
      <c r="Q248" s="27">
        <f t="shared" si="234"/>
        <v>3660.2866164135949</v>
      </c>
      <c r="R248" s="27">
        <f t="shared" si="234"/>
        <v>3480.5293526376627</v>
      </c>
      <c r="S248" s="27">
        <f t="shared" si="234"/>
        <v>3318.0130641559276</v>
      </c>
      <c r="T248" s="27">
        <f t="shared" si="234"/>
        <v>3152.9146495687387</v>
      </c>
      <c r="U248" s="27">
        <f t="shared" si="234"/>
        <v>2977.9622110897012</v>
      </c>
      <c r="V248" s="27">
        <f t="shared" si="234"/>
        <v>2787.4525714786541</v>
      </c>
      <c r="W248" s="27">
        <f t="shared" si="234"/>
        <v>2588.1037193909306</v>
      </c>
      <c r="X248" s="27">
        <f t="shared" si="234"/>
        <v>2379.2598301404532</v>
      </c>
      <c r="Y248" s="27">
        <f t="shared" si="234"/>
        <v>2163.1522587584564</v>
      </c>
      <c r="Z248" s="27">
        <f t="shared" si="234"/>
        <v>1934.2617447398684</v>
      </c>
      <c r="AA248" s="27">
        <f t="shared" si="234"/>
        <v>1673.8668566192327</v>
      </c>
      <c r="AB248" s="27">
        <f t="shared" si="234"/>
        <v>1384.9005082037595</v>
      </c>
      <c r="AC248" s="27">
        <f t="shared" si="234"/>
        <v>1070.7222652711721</v>
      </c>
      <c r="AD248" s="27">
        <f t="shared" si="234"/>
        <v>772.38374986307917</v>
      </c>
      <c r="AE248" s="27">
        <f t="shared" si="234"/>
        <v>541.94401263711177</v>
      </c>
      <c r="AF248" s="27">
        <f t="shared" si="234"/>
        <v>395.10538237929882</v>
      </c>
      <c r="AG248" s="27"/>
      <c r="AH248" s="27"/>
    </row>
    <row r="249" spans="1:34" x14ac:dyDescent="0.25">
      <c r="B249" s="3">
        <f t="shared" ref="B249:AF249" si="235">$C18*EXP(-B$246/$A18/EXP(-$E$126))</f>
        <v>3.3961893954703482E-52</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5.093239653304725E-2</v>
      </c>
      <c r="C250" s="3">
        <f t="shared" si="236"/>
        <v>5.091892840594732E-2</v>
      </c>
      <c r="D250" s="3">
        <f t="shared" si="236"/>
        <v>5.0784442856437642E-2</v>
      </c>
      <c r="E250" s="3">
        <f t="shared" si="236"/>
        <v>4.9458969339070284E-2</v>
      </c>
      <c r="F250" s="3">
        <f t="shared" si="236"/>
        <v>3.7965468111014873E-2</v>
      </c>
      <c r="G250" s="3">
        <f t="shared" si="236"/>
        <v>2.6966571225860744E-3</v>
      </c>
      <c r="H250" s="3">
        <f t="shared" si="236"/>
        <v>8.8144544434240431E-15</v>
      </c>
      <c r="I250" s="3">
        <f t="shared" si="236"/>
        <v>1.2271354835891828E-129</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9.6796448822794087E-3</v>
      </c>
      <c r="C251" s="3">
        <f t="shared" si="237"/>
        <v>9.6794139570644602E-3</v>
      </c>
      <c r="D251" s="3">
        <f t="shared" si="237"/>
        <v>9.6771050078956269E-3</v>
      </c>
      <c r="E251" s="3">
        <f t="shared" si="237"/>
        <v>9.6540457875450951E-3</v>
      </c>
      <c r="F251" s="3">
        <f t="shared" si="237"/>
        <v>9.4264541666195852E-3</v>
      </c>
      <c r="G251" s="3">
        <f t="shared" si="237"/>
        <v>7.4257174442405776E-3</v>
      </c>
      <c r="H251" s="3">
        <f t="shared" si="237"/>
        <v>6.8334341901112711E-4</v>
      </c>
      <c r="I251" s="3">
        <f t="shared" si="237"/>
        <v>2.9760825964710238E-14</v>
      </c>
      <c r="J251" s="3">
        <f t="shared" si="237"/>
        <v>7.3064197650176921E-118</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2.5369663131086698E-2</v>
      </c>
      <c r="C252" s="3">
        <f t="shared" si="238"/>
        <v>2.5369608532935538E-2</v>
      </c>
      <c r="D252" s="3">
        <f t="shared" si="238"/>
        <v>2.5369062557886495E-2</v>
      </c>
      <c r="E252" s="3">
        <f t="shared" si="238"/>
        <v>2.5363603453595333E-2</v>
      </c>
      <c r="F252" s="3">
        <f t="shared" si="238"/>
        <v>2.5309076979186846E-2</v>
      </c>
      <c r="G252" s="3">
        <f t="shared" si="238"/>
        <v>2.4770217965485387E-2</v>
      </c>
      <c r="H252" s="3">
        <f t="shared" si="238"/>
        <v>1.9973999858055962E-2</v>
      </c>
      <c r="I252" s="3">
        <f t="shared" si="238"/>
        <v>2.321759254061024E-3</v>
      </c>
      <c r="J252" s="3">
        <f t="shared" si="238"/>
        <v>1.0455350898509483E-12</v>
      </c>
      <c r="K252" s="3">
        <f t="shared" si="238"/>
        <v>3.5855261226475942E-106</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2.3098652233940128E-2</v>
      </c>
      <c r="C253" s="3">
        <f t="shared" si="239"/>
        <v>2.309864774961707E-2</v>
      </c>
      <c r="D253" s="3">
        <f t="shared" si="239"/>
        <v>2.3098602906434364E-2</v>
      </c>
      <c r="E253" s="3">
        <f t="shared" si="239"/>
        <v>2.3098154479395429E-2</v>
      </c>
      <c r="F253" s="3">
        <f t="shared" si="239"/>
        <v>2.309367068778527E-2</v>
      </c>
      <c r="G253" s="3">
        <f t="shared" si="239"/>
        <v>2.3048880615229417E-2</v>
      </c>
      <c r="H253" s="3">
        <f t="shared" si="239"/>
        <v>2.2605730055471191E-2</v>
      </c>
      <c r="I253" s="3">
        <f t="shared" si="239"/>
        <v>1.8616821082080896E-2</v>
      </c>
      <c r="J253" s="3">
        <f t="shared" si="239"/>
        <v>2.6716244080242741E-3</v>
      </c>
      <c r="K253" s="3">
        <f t="shared" si="239"/>
        <v>9.8963302181723897E-12</v>
      </c>
      <c r="L253" s="3">
        <f t="shared" si="239"/>
        <v>4.8135106364275354E-96</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2.7646238630022069E-2</v>
      </c>
      <c r="C254" s="3">
        <f t="shared" si="240"/>
        <v>2.764623814585758E-2</v>
      </c>
      <c r="D254" s="3">
        <f t="shared" si="240"/>
        <v>2.7646233304213147E-2</v>
      </c>
      <c r="E254" s="3">
        <f t="shared" si="240"/>
        <v>2.7646184887815461E-2</v>
      </c>
      <c r="F254" s="3">
        <f t="shared" si="240"/>
        <v>2.764570072850208E-2</v>
      </c>
      <c r="G254" s="3">
        <f t="shared" si="240"/>
        <v>2.7640859601685282E-2</v>
      </c>
      <c r="H254" s="3">
        <f t="shared" si="240"/>
        <v>2.7592494935014932E-2</v>
      </c>
      <c r="I254" s="3">
        <f t="shared" si="240"/>
        <v>2.711347836237963E-2</v>
      </c>
      <c r="J254" s="3">
        <f t="shared" si="240"/>
        <v>2.2757674693726221E-2</v>
      </c>
      <c r="K254" s="3">
        <f t="shared" si="240"/>
        <v>3.9496114484859892E-3</v>
      </c>
      <c r="L254" s="3">
        <f t="shared" si="240"/>
        <v>9.7908241883853561E-11</v>
      </c>
      <c r="M254" s="3">
        <f t="shared" si="240"/>
        <v>8.5796197930196616E-87</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2.9577709870669176E-2</v>
      </c>
      <c r="C255" s="3">
        <f t="shared" si="241"/>
        <v>2.9577709823942165E-2</v>
      </c>
      <c r="D255" s="3">
        <f t="shared" si="241"/>
        <v>2.957770935667204E-2</v>
      </c>
      <c r="E255" s="3">
        <f t="shared" si="241"/>
        <v>2.9577704683971178E-2</v>
      </c>
      <c r="F255" s="3">
        <f t="shared" si="241"/>
        <v>2.9577657957003189E-2</v>
      </c>
      <c r="G255" s="3">
        <f t="shared" si="241"/>
        <v>2.9577190691383336E-2</v>
      </c>
      <c r="H255" s="3">
        <f t="shared" si="241"/>
        <v>2.9572518441166033E-2</v>
      </c>
      <c r="I255" s="3">
        <f t="shared" si="241"/>
        <v>2.9525836513397703E-2</v>
      </c>
      <c r="J255" s="3">
        <f t="shared" si="241"/>
        <v>2.9063051059201594E-2</v>
      </c>
      <c r="K255" s="3">
        <f t="shared" si="241"/>
        <v>2.4815963787959066E-2</v>
      </c>
      <c r="L255" s="3">
        <f t="shared" si="241"/>
        <v>5.1124675587973911E-3</v>
      </c>
      <c r="M255" s="3">
        <f t="shared" si="241"/>
        <v>7.0408444519415962E-10</v>
      </c>
      <c r="N255" s="3">
        <f t="shared" si="241"/>
        <v>1.7280909534565531E-78</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2.9948203058947565E-2</v>
      </c>
      <c r="C256" s="3">
        <f t="shared" si="242"/>
        <v>2.9948203054679604E-2</v>
      </c>
      <c r="D256" s="3">
        <f t="shared" si="242"/>
        <v>2.9948203011999953E-2</v>
      </c>
      <c r="E256" s="3">
        <f t="shared" si="242"/>
        <v>2.9948202585203473E-2</v>
      </c>
      <c r="F256" s="3">
        <f t="shared" si="242"/>
        <v>2.994819831723897E-2</v>
      </c>
      <c r="G256" s="3">
        <f t="shared" si="242"/>
        <v>2.9948155637627427E-2</v>
      </c>
      <c r="H256" s="3">
        <f t="shared" si="242"/>
        <v>2.9947728844857253E-2</v>
      </c>
      <c r="I256" s="3">
        <f t="shared" si="242"/>
        <v>2.9943461251664777E-2</v>
      </c>
      <c r="J256" s="3">
        <f t="shared" si="242"/>
        <v>2.9900818753034623E-2</v>
      </c>
      <c r="K256" s="3">
        <f t="shared" si="242"/>
        <v>2.9477719534060864E-2</v>
      </c>
      <c r="L256" s="3">
        <f t="shared" si="242"/>
        <v>2.5562416232476695E-2</v>
      </c>
      <c r="M256" s="3">
        <f t="shared" si="242"/>
        <v>6.1472673244003994E-3</v>
      </c>
      <c r="N256" s="3">
        <f t="shared" si="242"/>
        <v>3.9763451405824821E-9</v>
      </c>
      <c r="O256" s="3">
        <f t="shared" si="242"/>
        <v>5.0992207366821844E-71</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2.7071587467110633E-2</v>
      </c>
      <c r="C257" s="3">
        <f t="shared" si="243"/>
        <v>2.7071587466762609E-2</v>
      </c>
      <c r="D257" s="3">
        <f t="shared" si="243"/>
        <v>2.7071587463282358E-2</v>
      </c>
      <c r="E257" s="3">
        <f t="shared" si="243"/>
        <v>2.7071587428479864E-2</v>
      </c>
      <c r="F257" s="3">
        <f t="shared" si="243"/>
        <v>2.7071587080454915E-2</v>
      </c>
      <c r="G257" s="3">
        <f t="shared" si="243"/>
        <v>2.7071583600205677E-2</v>
      </c>
      <c r="H257" s="3">
        <f t="shared" si="243"/>
        <v>2.7071548797737887E-2</v>
      </c>
      <c r="I257" s="3">
        <f t="shared" si="243"/>
        <v>2.7071200775520766E-2</v>
      </c>
      <c r="J257" s="3">
        <f t="shared" si="243"/>
        <v>2.7067720799412786E-2</v>
      </c>
      <c r="K257" s="3">
        <f t="shared" si="243"/>
        <v>2.7032945632958893E-2</v>
      </c>
      <c r="L257" s="3">
        <f t="shared" si="243"/>
        <v>2.6687641772401058E-2</v>
      </c>
      <c r="M257" s="3">
        <f t="shared" si="243"/>
        <v>2.3468129949526205E-2</v>
      </c>
      <c r="N257" s="3">
        <f t="shared" si="243"/>
        <v>6.4887543530191749E-3</v>
      </c>
      <c r="O257" s="3">
        <f t="shared" si="243"/>
        <v>1.6942980929018595E-8</v>
      </c>
      <c r="P257" s="3">
        <f t="shared" si="243"/>
        <v>2.4961731628503134E-64</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3.2012499426111979E-2</v>
      </c>
      <c r="C258" s="3">
        <f t="shared" si="244"/>
        <v>3.2012499426074856E-2</v>
      </c>
      <c r="D258" s="3">
        <f t="shared" si="244"/>
        <v>3.2012499425703611E-2</v>
      </c>
      <c r="E258" s="3">
        <f t="shared" si="244"/>
        <v>3.2012499421991143E-2</v>
      </c>
      <c r="F258" s="3">
        <f t="shared" si="244"/>
        <v>3.2012499384866451E-2</v>
      </c>
      <c r="G258" s="3">
        <f t="shared" si="244"/>
        <v>3.2012499013619557E-2</v>
      </c>
      <c r="H258" s="3">
        <f t="shared" si="244"/>
        <v>3.2012495301150849E-2</v>
      </c>
      <c r="I258" s="3">
        <f t="shared" si="244"/>
        <v>3.2012458176487436E-2</v>
      </c>
      <c r="J258" s="3">
        <f t="shared" si="244"/>
        <v>3.2012086932221261E-2</v>
      </c>
      <c r="K258" s="3">
        <f t="shared" si="244"/>
        <v>3.2008374726341111E-2</v>
      </c>
      <c r="L258" s="3">
        <f t="shared" si="244"/>
        <v>3.1971276335549054E-2</v>
      </c>
      <c r="M258" s="3">
        <f t="shared" si="244"/>
        <v>3.1602649104371362E-2</v>
      </c>
      <c r="N258" s="3">
        <f t="shared" si="244"/>
        <v>2.8142238369501072E-2</v>
      </c>
      <c r="O258" s="3">
        <f t="shared" si="244"/>
        <v>8.8249066363716849E-3</v>
      </c>
      <c r="P258" s="3">
        <f t="shared" si="244"/>
        <v>8.1138120085166695E-8</v>
      </c>
      <c r="Q258" s="3">
        <f t="shared" si="244"/>
        <v>3.5024597940098872E-58</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4.0921071086255895E-2</v>
      </c>
      <c r="C259" s="3">
        <f t="shared" si="245"/>
        <v>4.0921071086251613E-2</v>
      </c>
      <c r="D259" s="3">
        <f t="shared" si="245"/>
        <v>4.0921071086208807E-2</v>
      </c>
      <c r="E259" s="3">
        <f t="shared" si="245"/>
        <v>4.0921071085780712E-2</v>
      </c>
      <c r="F259" s="3">
        <f t="shared" si="245"/>
        <v>4.0921071081499796E-2</v>
      </c>
      <c r="G259" s="3">
        <f t="shared" si="245"/>
        <v>4.0921071038690623E-2</v>
      </c>
      <c r="H259" s="3">
        <f t="shared" si="245"/>
        <v>4.0921070610598902E-2</v>
      </c>
      <c r="I259" s="3">
        <f t="shared" si="245"/>
        <v>4.0921066329681934E-2</v>
      </c>
      <c r="J259" s="3">
        <f t="shared" si="245"/>
        <v>4.0921023520536857E-2</v>
      </c>
      <c r="K259" s="3">
        <f t="shared" si="245"/>
        <v>4.0920595431549231E-2</v>
      </c>
      <c r="L259" s="3">
        <f t="shared" si="245"/>
        <v>4.0916314787976527E-2</v>
      </c>
      <c r="M259" s="3">
        <f t="shared" si="245"/>
        <v>4.0873532973074091E-2</v>
      </c>
      <c r="N259" s="3">
        <f t="shared" si="245"/>
        <v>4.0448167403097042E-2</v>
      </c>
      <c r="O259" s="3">
        <f t="shared" si="245"/>
        <v>3.6430536200764356E-2</v>
      </c>
      <c r="P259" s="3">
        <f t="shared" si="245"/>
        <v>1.2797722851753528E-2</v>
      </c>
      <c r="Q259" s="3">
        <f t="shared" si="245"/>
        <v>3.6627229934587265E-7</v>
      </c>
      <c r="R259" s="3">
        <f t="shared" si="245"/>
        <v>1.3505722275213338E-52</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4.0569821627939144E-2</v>
      </c>
      <c r="C260" s="3">
        <f t="shared" si="246"/>
        <v>4.0569821627938762E-2</v>
      </c>
      <c r="D260" s="3">
        <f t="shared" si="246"/>
        <v>4.0569821627934932E-2</v>
      </c>
      <c r="E260" s="3">
        <f t="shared" si="246"/>
        <v>4.0569821627896643E-2</v>
      </c>
      <c r="F260" s="3">
        <f t="shared" si="246"/>
        <v>4.0569821627513783E-2</v>
      </c>
      <c r="G260" s="3">
        <f t="shared" si="246"/>
        <v>4.0569821623685193E-2</v>
      </c>
      <c r="H260" s="3">
        <f t="shared" si="246"/>
        <v>4.0569821585399228E-2</v>
      </c>
      <c r="I260" s="3">
        <f t="shared" si="246"/>
        <v>4.0569821202539644E-2</v>
      </c>
      <c r="J260" s="3">
        <f t="shared" si="246"/>
        <v>4.0569817373943974E-2</v>
      </c>
      <c r="K260" s="3">
        <f t="shared" si="246"/>
        <v>4.0569779088007137E-2</v>
      </c>
      <c r="L260" s="3">
        <f t="shared" si="246"/>
        <v>4.0569396230625894E-2</v>
      </c>
      <c r="M260" s="3">
        <f t="shared" si="246"/>
        <v>4.0565567855524509E-2</v>
      </c>
      <c r="N260" s="3">
        <f t="shared" si="246"/>
        <v>4.0527303968668972E-2</v>
      </c>
      <c r="O260" s="3">
        <f t="shared" si="246"/>
        <v>4.0146644597436484E-2</v>
      </c>
      <c r="P260" s="3">
        <f t="shared" si="246"/>
        <v>3.6531259812085284E-2</v>
      </c>
      <c r="Q260" s="3">
        <f t="shared" si="246"/>
        <v>1.4217348547926481E-2</v>
      </c>
      <c r="R260" s="3">
        <f t="shared" si="246"/>
        <v>1.13333479228024E-6</v>
      </c>
      <c r="S260" s="3">
        <f t="shared" si="246"/>
        <v>1.1742331303167941E-47</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2.9319572011255662E-2</v>
      </c>
      <c r="C261" s="3">
        <f t="shared" si="247"/>
        <v>2.9319572011255637E-2</v>
      </c>
      <c r="D261" s="3">
        <f t="shared" si="247"/>
        <v>2.9319572011255388E-2</v>
      </c>
      <c r="E261" s="3">
        <f t="shared" si="247"/>
        <v>2.9319572011252893E-2</v>
      </c>
      <c r="F261" s="3">
        <f t="shared" si="247"/>
        <v>2.931957201122793E-2</v>
      </c>
      <c r="G261" s="3">
        <f t="shared" si="247"/>
        <v>2.9319572010978335E-2</v>
      </c>
      <c r="H261" s="3">
        <f t="shared" si="247"/>
        <v>2.9319572008482356E-2</v>
      </c>
      <c r="I261" s="3">
        <f t="shared" si="247"/>
        <v>2.9319571983522585E-2</v>
      </c>
      <c r="J261" s="3">
        <f t="shared" si="247"/>
        <v>2.9319571733924844E-2</v>
      </c>
      <c r="K261" s="3">
        <f t="shared" si="247"/>
        <v>2.9319569237947578E-2</v>
      </c>
      <c r="L261" s="3">
        <f t="shared" si="247"/>
        <v>2.9319544278186595E-2</v>
      </c>
      <c r="M261" s="3">
        <f t="shared" si="247"/>
        <v>2.9319294681745395E-2</v>
      </c>
      <c r="N261" s="3">
        <f t="shared" si="247"/>
        <v>2.9316798834194836E-2</v>
      </c>
      <c r="O261" s="3">
        <f t="shared" si="247"/>
        <v>2.929185204115119E-2</v>
      </c>
      <c r="P261" s="3">
        <f t="shared" si="247"/>
        <v>2.9043548685516851E-2</v>
      </c>
      <c r="Q261" s="3">
        <f t="shared" si="247"/>
        <v>2.6673386454095442E-2</v>
      </c>
      <c r="R261" s="3">
        <f t="shared" si="247"/>
        <v>1.1385783834343018E-2</v>
      </c>
      <c r="S261" s="3">
        <f t="shared" si="247"/>
        <v>2.2867079630661705E-6</v>
      </c>
      <c r="T261" s="3">
        <f t="shared" si="247"/>
        <v>2.4416780729579206E-43</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3.1170147057573941E-2</v>
      </c>
      <c r="C262" s="3">
        <f t="shared" si="248"/>
        <v>3.1170147057573937E-2</v>
      </c>
      <c r="D262" s="3">
        <f t="shared" si="248"/>
        <v>3.1170147057573913E-2</v>
      </c>
      <c r="E262" s="3">
        <f t="shared" si="248"/>
        <v>3.1170147057573674E-2</v>
      </c>
      <c r="F262" s="3">
        <f t="shared" si="248"/>
        <v>3.117014705757128E-2</v>
      </c>
      <c r="G262" s="3">
        <f t="shared" si="248"/>
        <v>3.1170147057547344E-2</v>
      </c>
      <c r="H262" s="3">
        <f t="shared" si="248"/>
        <v>3.1170147057307973E-2</v>
      </c>
      <c r="I262" s="3">
        <f t="shared" si="248"/>
        <v>3.1170147054914284E-2</v>
      </c>
      <c r="J262" s="3">
        <f t="shared" si="248"/>
        <v>3.1170147030977351E-2</v>
      </c>
      <c r="K262" s="3">
        <f t="shared" si="248"/>
        <v>3.1170146791608042E-2</v>
      </c>
      <c r="L262" s="3">
        <f t="shared" si="248"/>
        <v>3.117014439791508E-2</v>
      </c>
      <c r="M262" s="3">
        <f t="shared" si="248"/>
        <v>3.1170120460995536E-2</v>
      </c>
      <c r="N262" s="3">
        <f t="shared" si="248"/>
        <v>3.116988109281112E-2</v>
      </c>
      <c r="O262" s="3">
        <f t="shared" si="248"/>
        <v>3.1167487512065991E-2</v>
      </c>
      <c r="P262" s="3">
        <f t="shared" si="248"/>
        <v>3.1143561811647225E-2</v>
      </c>
      <c r="Q262" s="3">
        <f t="shared" si="248"/>
        <v>3.0905312644794909E-2</v>
      </c>
      <c r="R262" s="3">
        <f t="shared" si="248"/>
        <v>2.8620798922794802E-2</v>
      </c>
      <c r="S262" s="3">
        <f t="shared" si="248"/>
        <v>1.3279076229770627E-2</v>
      </c>
      <c r="T262" s="3">
        <f t="shared" si="248"/>
        <v>6.1380296083408115E-6</v>
      </c>
      <c r="U262" s="3">
        <f t="shared" si="248"/>
        <v>2.7330031305119603E-39</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2.9820997519102575E-2</v>
      </c>
      <c r="C263" s="3">
        <f t="shared" si="249"/>
        <v>2.9820997519102575E-2</v>
      </c>
      <c r="D263" s="3">
        <f t="shared" si="249"/>
        <v>2.9820997519102572E-2</v>
      </c>
      <c r="E263" s="3">
        <f t="shared" si="249"/>
        <v>2.9820997519102551E-2</v>
      </c>
      <c r="F263" s="3">
        <f t="shared" si="249"/>
        <v>2.9820997519102346E-2</v>
      </c>
      <c r="G263" s="3">
        <f t="shared" si="249"/>
        <v>2.9820997519100282E-2</v>
      </c>
      <c r="H263" s="3">
        <f t="shared" si="249"/>
        <v>2.9820997519079621E-2</v>
      </c>
      <c r="I263" s="3">
        <f t="shared" si="249"/>
        <v>2.9820997518873037E-2</v>
      </c>
      <c r="J263" s="3">
        <f t="shared" si="249"/>
        <v>2.9820997516807186E-2</v>
      </c>
      <c r="K263" s="3">
        <f t="shared" si="249"/>
        <v>2.9820997496148707E-2</v>
      </c>
      <c r="L263" s="3">
        <f t="shared" si="249"/>
        <v>2.9820997289563906E-2</v>
      </c>
      <c r="M263" s="3">
        <f t="shared" si="249"/>
        <v>2.9820995223715965E-2</v>
      </c>
      <c r="N263" s="3">
        <f t="shared" si="249"/>
        <v>2.9820974565244417E-2</v>
      </c>
      <c r="O263" s="3">
        <f t="shared" si="249"/>
        <v>2.9820767981316075E-2</v>
      </c>
      <c r="P263" s="3">
        <f t="shared" si="249"/>
        <v>2.9818702220741726E-2</v>
      </c>
      <c r="Q263" s="3">
        <f t="shared" si="249"/>
        <v>2.9798052483890225E-2</v>
      </c>
      <c r="R263" s="3">
        <f t="shared" si="249"/>
        <v>2.9592339991372597E-2</v>
      </c>
      <c r="S263" s="3">
        <f t="shared" si="249"/>
        <v>2.7611727628437516E-2</v>
      </c>
      <c r="T263" s="3">
        <f t="shared" si="249"/>
        <v>1.3811355613961554E-2</v>
      </c>
      <c r="U263" s="3">
        <f t="shared" si="249"/>
        <v>1.3541400299015531E-5</v>
      </c>
      <c r="V263" s="3">
        <f t="shared" si="249"/>
        <v>1.1115685884312312E-35</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3.5099038806424399E-2</v>
      </c>
      <c r="C264" s="3">
        <f t="shared" si="250"/>
        <v>3.5099038806424399E-2</v>
      </c>
      <c r="D264" s="3">
        <f t="shared" si="250"/>
        <v>3.5099038806424399E-2</v>
      </c>
      <c r="E264" s="3">
        <f t="shared" si="250"/>
        <v>3.5099038806424392E-2</v>
      </c>
      <c r="F264" s="3">
        <f t="shared" si="250"/>
        <v>3.5099038806424378E-2</v>
      </c>
      <c r="G264" s="3">
        <f t="shared" si="250"/>
        <v>3.5099038806424156E-2</v>
      </c>
      <c r="H264" s="3">
        <f t="shared" si="250"/>
        <v>3.5099038806421963E-2</v>
      </c>
      <c r="I264" s="3">
        <f t="shared" si="250"/>
        <v>3.5099038806400029E-2</v>
      </c>
      <c r="J264" s="3">
        <f t="shared" si="250"/>
        <v>3.5099038806180684E-2</v>
      </c>
      <c r="K264" s="3">
        <f t="shared" si="250"/>
        <v>3.5099038803987286E-2</v>
      </c>
      <c r="L264" s="3">
        <f t="shared" si="250"/>
        <v>3.5099038782053282E-2</v>
      </c>
      <c r="M264" s="3">
        <f t="shared" si="250"/>
        <v>3.5099038562713188E-2</v>
      </c>
      <c r="N264" s="3">
        <f t="shared" si="250"/>
        <v>3.5099036369312366E-2</v>
      </c>
      <c r="O264" s="3">
        <f t="shared" si="250"/>
        <v>3.5099014435311715E-2</v>
      </c>
      <c r="P264" s="3">
        <f t="shared" si="250"/>
        <v>3.5098795096059086E-2</v>
      </c>
      <c r="Q264" s="3">
        <f t="shared" si="250"/>
        <v>3.5096601778919073E-2</v>
      </c>
      <c r="R264" s="3">
        <f t="shared" si="250"/>
        <v>3.5074676144404661E-2</v>
      </c>
      <c r="S264" s="3">
        <f t="shared" si="250"/>
        <v>3.4856171748070118E-2</v>
      </c>
      <c r="T264" s="3">
        <f t="shared" si="250"/>
        <v>3.2744612693850865E-2</v>
      </c>
      <c r="U264" s="3">
        <f t="shared" si="250"/>
        <v>1.7528371479212258E-2</v>
      </c>
      <c r="V264" s="3">
        <f t="shared" si="250"/>
        <v>3.3865592329786933E-5</v>
      </c>
      <c r="W264" s="3">
        <f t="shared" si="250"/>
        <v>2.4543118839805111E-32</v>
      </c>
      <c r="X264" s="3">
        <f t="shared" si="250"/>
        <v>9.8093559100304958E-304</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3.5326793009577064E-2</v>
      </c>
      <c r="C265" s="3">
        <f t="shared" si="251"/>
        <v>3.5326793009577064E-2</v>
      </c>
      <c r="D265" s="3">
        <f t="shared" si="251"/>
        <v>3.5326793009577064E-2</v>
      </c>
      <c r="E265" s="3">
        <f t="shared" si="251"/>
        <v>3.5326793009577064E-2</v>
      </c>
      <c r="F265" s="3">
        <f t="shared" si="251"/>
        <v>3.5326793009577057E-2</v>
      </c>
      <c r="G265" s="3">
        <f t="shared" si="251"/>
        <v>3.5326793009577043E-2</v>
      </c>
      <c r="H265" s="3">
        <f t="shared" si="251"/>
        <v>3.5326793009576841E-2</v>
      </c>
      <c r="I265" s="3">
        <f t="shared" si="251"/>
        <v>3.532679300957485E-2</v>
      </c>
      <c r="J265" s="3">
        <f t="shared" si="251"/>
        <v>3.5326793009554935E-2</v>
      </c>
      <c r="K265" s="3">
        <f t="shared" si="251"/>
        <v>3.5326793009355789E-2</v>
      </c>
      <c r="L265" s="3">
        <f t="shared" si="251"/>
        <v>3.532679300736432E-2</v>
      </c>
      <c r="M265" s="3">
        <f t="shared" si="251"/>
        <v>3.5326792987449632E-2</v>
      </c>
      <c r="N265" s="3">
        <f t="shared" si="251"/>
        <v>3.5326792788302704E-2</v>
      </c>
      <c r="O265" s="3">
        <f t="shared" si="251"/>
        <v>3.5326790796833554E-2</v>
      </c>
      <c r="P265" s="3">
        <f t="shared" si="251"/>
        <v>3.5326770882148181E-2</v>
      </c>
      <c r="Q265" s="3">
        <f t="shared" si="251"/>
        <v>3.5326571735911909E-2</v>
      </c>
      <c r="R265" s="3">
        <f t="shared" si="251"/>
        <v>3.5324580335293364E-2</v>
      </c>
      <c r="S265" s="3">
        <f t="shared" si="251"/>
        <v>3.530467250223232E-2</v>
      </c>
      <c r="T265" s="3">
        <f t="shared" si="251"/>
        <v>3.510621019841479E-2</v>
      </c>
      <c r="U265" s="3">
        <f t="shared" si="251"/>
        <v>3.3181924080513597E-2</v>
      </c>
      <c r="V265" s="3">
        <f t="shared" si="251"/>
        <v>1.8883292930423269E-2</v>
      </c>
      <c r="W265" s="3">
        <f t="shared" si="251"/>
        <v>6.7272780706177253E-5</v>
      </c>
      <c r="X265" s="3">
        <f t="shared" si="251"/>
        <v>2.2154189804314417E-29</v>
      </c>
      <c r="Y265" s="3">
        <f t="shared" si="251"/>
        <v>3.3236922061208199E-274</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3.9296148740720876E-2</v>
      </c>
      <c r="C266" s="3">
        <f t="shared" si="252"/>
        <v>3.9296148740720876E-2</v>
      </c>
      <c r="D266" s="3">
        <f t="shared" si="252"/>
        <v>3.9296148740720876E-2</v>
      </c>
      <c r="E266" s="3">
        <f t="shared" si="252"/>
        <v>3.9296148740720876E-2</v>
      </c>
      <c r="F266" s="3">
        <f t="shared" si="252"/>
        <v>3.9296148740720876E-2</v>
      </c>
      <c r="G266" s="3">
        <f t="shared" si="252"/>
        <v>3.929614874072087E-2</v>
      </c>
      <c r="H266" s="3">
        <f t="shared" si="252"/>
        <v>3.9296148740720856E-2</v>
      </c>
      <c r="I266" s="3">
        <f t="shared" si="252"/>
        <v>3.9296148740720654E-2</v>
      </c>
      <c r="J266" s="3">
        <f t="shared" si="252"/>
        <v>3.9296148740718656E-2</v>
      </c>
      <c r="K266" s="3">
        <f t="shared" si="252"/>
        <v>3.9296148740698672E-2</v>
      </c>
      <c r="L266" s="3">
        <f t="shared" si="252"/>
        <v>3.9296148740498839E-2</v>
      </c>
      <c r="M266" s="3">
        <f t="shared" si="252"/>
        <v>3.9296148738500514E-2</v>
      </c>
      <c r="N266" s="3">
        <f t="shared" si="252"/>
        <v>3.9296148718517269E-2</v>
      </c>
      <c r="O266" s="3">
        <f t="shared" si="252"/>
        <v>3.9296148518684848E-2</v>
      </c>
      <c r="P266" s="3">
        <f t="shared" si="252"/>
        <v>3.9296146520360627E-2</v>
      </c>
      <c r="Q266" s="3">
        <f t="shared" si="252"/>
        <v>3.9296126537124033E-2</v>
      </c>
      <c r="R266" s="3">
        <f t="shared" si="252"/>
        <v>3.9295926705316966E-2</v>
      </c>
      <c r="S266" s="3">
        <f t="shared" si="252"/>
        <v>3.9293928443136547E-2</v>
      </c>
      <c r="T266" s="3">
        <f t="shared" si="252"/>
        <v>3.927395140929945E-2</v>
      </c>
      <c r="U266" s="3">
        <f t="shared" si="252"/>
        <v>3.9074738817658099E-2</v>
      </c>
      <c r="V266" s="3">
        <f t="shared" si="252"/>
        <v>3.7137352263142527E-2</v>
      </c>
      <c r="W266" s="3">
        <f t="shared" si="252"/>
        <v>2.2333637898525334E-2</v>
      </c>
      <c r="X266" s="3">
        <f t="shared" si="252"/>
        <v>1.381798778225124E-4</v>
      </c>
      <c r="Y266" s="3">
        <f t="shared" si="252"/>
        <v>1.1357902666780161E-26</v>
      </c>
      <c r="Z266" s="3">
        <f t="shared" si="252"/>
        <v>1.5989376365155706E-247</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3.6971709953281653E-2</v>
      </c>
      <c r="C267" s="3">
        <f t="shared" si="253"/>
        <v>3.6971709953281653E-2</v>
      </c>
      <c r="D267" s="3">
        <f t="shared" si="253"/>
        <v>3.6971709953281653E-2</v>
      </c>
      <c r="E267" s="3">
        <f t="shared" si="253"/>
        <v>3.6971709953281653E-2</v>
      </c>
      <c r="F267" s="3">
        <f t="shared" si="253"/>
        <v>3.6971709953281653E-2</v>
      </c>
      <c r="G267" s="3">
        <f t="shared" si="253"/>
        <v>3.6971709953281653E-2</v>
      </c>
      <c r="H267" s="3">
        <f t="shared" si="253"/>
        <v>3.6971709953281653E-2</v>
      </c>
      <c r="I267" s="3">
        <f t="shared" si="253"/>
        <v>3.6971709953281633E-2</v>
      </c>
      <c r="J267" s="3">
        <f t="shared" si="253"/>
        <v>3.6971709953281466E-2</v>
      </c>
      <c r="K267" s="3">
        <f t="shared" si="253"/>
        <v>3.6971709953279766E-2</v>
      </c>
      <c r="L267" s="3">
        <f t="shared" si="253"/>
        <v>3.6971709953262807E-2</v>
      </c>
      <c r="M267" s="3">
        <f t="shared" si="253"/>
        <v>3.6971709953093207E-2</v>
      </c>
      <c r="N267" s="3">
        <f t="shared" si="253"/>
        <v>3.6971709951397182E-2</v>
      </c>
      <c r="O267" s="3">
        <f t="shared" si="253"/>
        <v>3.6971709934436936E-2</v>
      </c>
      <c r="P267" s="3">
        <f t="shared" si="253"/>
        <v>3.6971709764834493E-2</v>
      </c>
      <c r="Q267" s="3">
        <f t="shared" si="253"/>
        <v>3.6971708068810109E-2</v>
      </c>
      <c r="R267" s="3">
        <f t="shared" si="253"/>
        <v>3.6971691108570529E-2</v>
      </c>
      <c r="S267" s="3">
        <f t="shared" si="253"/>
        <v>3.6971521506602635E-2</v>
      </c>
      <c r="T267" s="3">
        <f t="shared" si="253"/>
        <v>3.6969825529714395E-2</v>
      </c>
      <c r="U267" s="3">
        <f t="shared" si="253"/>
        <v>3.6952870039173615E-2</v>
      </c>
      <c r="V267" s="3">
        <f t="shared" si="253"/>
        <v>3.6783742242646141E-2</v>
      </c>
      <c r="W267" s="3">
        <f t="shared" si="253"/>
        <v>3.5134459033466875E-2</v>
      </c>
      <c r="X267" s="3">
        <f t="shared" si="253"/>
        <v>2.2207868394261206E-2</v>
      </c>
      <c r="Y267" s="3">
        <f t="shared" si="253"/>
        <v>2.2606999021190899E-4</v>
      </c>
      <c r="Z267" s="3">
        <f t="shared" si="253"/>
        <v>2.7014897209506912E-24</v>
      </c>
      <c r="AA267" s="3">
        <f t="shared" si="253"/>
        <v>1.6040110596483577E-223</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4.6436807195408533E-2</v>
      </c>
      <c r="C268" s="3">
        <f t="shared" si="254"/>
        <v>4.6436807195408533E-2</v>
      </c>
      <c r="D268" s="3">
        <f t="shared" si="254"/>
        <v>4.6436807195408533E-2</v>
      </c>
      <c r="E268" s="3">
        <f t="shared" si="254"/>
        <v>4.6436807195408533E-2</v>
      </c>
      <c r="F268" s="3">
        <f t="shared" si="254"/>
        <v>4.6436807195408533E-2</v>
      </c>
      <c r="G268" s="3">
        <f t="shared" si="254"/>
        <v>4.6436807195408533E-2</v>
      </c>
      <c r="H268" s="3">
        <f t="shared" si="254"/>
        <v>4.6436807195408533E-2</v>
      </c>
      <c r="I268" s="3">
        <f t="shared" si="254"/>
        <v>4.6436807195408533E-2</v>
      </c>
      <c r="J268" s="3">
        <f t="shared" si="254"/>
        <v>4.6436807195408512E-2</v>
      </c>
      <c r="K268" s="3">
        <f t="shared" si="254"/>
        <v>4.6436807195408325E-2</v>
      </c>
      <c r="L268" s="3">
        <f t="shared" si="254"/>
        <v>4.6436807195406396E-2</v>
      </c>
      <c r="M268" s="3">
        <f t="shared" si="254"/>
        <v>4.6436807195387182E-2</v>
      </c>
      <c r="N268" s="3">
        <f t="shared" si="254"/>
        <v>4.6436807195195016E-2</v>
      </c>
      <c r="O268" s="3">
        <f t="shared" si="254"/>
        <v>4.643680719327338E-2</v>
      </c>
      <c r="P268" s="3">
        <f t="shared" si="254"/>
        <v>4.6436807174057002E-2</v>
      </c>
      <c r="Q268" s="3">
        <f t="shared" si="254"/>
        <v>4.6436806981893231E-2</v>
      </c>
      <c r="R268" s="3">
        <f t="shared" si="254"/>
        <v>4.6436805060255583E-2</v>
      </c>
      <c r="S268" s="3">
        <f t="shared" si="254"/>
        <v>4.6436785843883464E-2</v>
      </c>
      <c r="T268" s="3">
        <f t="shared" si="254"/>
        <v>4.6436593680599624E-2</v>
      </c>
      <c r="U268" s="3">
        <f t="shared" si="254"/>
        <v>4.6434672091496883E-2</v>
      </c>
      <c r="V268" s="3">
        <f t="shared" si="254"/>
        <v>4.6415460573368802E-2</v>
      </c>
      <c r="W268" s="3">
        <f t="shared" si="254"/>
        <v>4.6223782013211701E-2</v>
      </c>
      <c r="X268" s="3">
        <f t="shared" si="254"/>
        <v>4.4349997337506726E-2</v>
      </c>
      <c r="Y268" s="3">
        <f t="shared" si="254"/>
        <v>2.9320732439885096E-2</v>
      </c>
      <c r="Z268" s="3">
        <f t="shared" si="254"/>
        <v>4.6772112211916243E-4</v>
      </c>
      <c r="AA268" s="3">
        <f t="shared" si="254"/>
        <v>4.9900932721410881E-22</v>
      </c>
      <c r="AB268" s="3">
        <f t="shared" si="254"/>
        <v>9.5351047166491795E-202</v>
      </c>
      <c r="AC268" s="3">
        <f t="shared" si="254"/>
        <v>0</v>
      </c>
      <c r="AD268" s="3">
        <f t="shared" si="254"/>
        <v>0</v>
      </c>
      <c r="AE268" s="3">
        <f t="shared" si="254"/>
        <v>0</v>
      </c>
      <c r="AF268" s="3">
        <f t="shared" si="254"/>
        <v>0</v>
      </c>
      <c r="AG268" s="3"/>
      <c r="AH268" s="3"/>
    </row>
    <row r="269" spans="2:34" x14ac:dyDescent="0.25">
      <c r="B269" s="3">
        <f t="shared" ref="B269:AF269" si="255">$C38*EXP(-B$246/$A38/EXP(-$E$126))</f>
        <v>2.268011809777468E-2</v>
      </c>
      <c r="C269" s="3">
        <f t="shared" si="255"/>
        <v>2.268011809777468E-2</v>
      </c>
      <c r="D269" s="3">
        <f t="shared" si="255"/>
        <v>2.268011809777468E-2</v>
      </c>
      <c r="E269" s="3">
        <f t="shared" si="255"/>
        <v>2.268011809777468E-2</v>
      </c>
      <c r="F269" s="3">
        <f t="shared" si="255"/>
        <v>2.268011809777468E-2</v>
      </c>
      <c r="G269" s="3">
        <f t="shared" si="255"/>
        <v>2.268011809777468E-2</v>
      </c>
      <c r="H269" s="3">
        <f t="shared" si="255"/>
        <v>2.268011809777468E-2</v>
      </c>
      <c r="I269" s="3">
        <f t="shared" si="255"/>
        <v>2.268011809777468E-2</v>
      </c>
      <c r="J269" s="3">
        <f t="shared" si="255"/>
        <v>2.268011809777468E-2</v>
      </c>
      <c r="K269" s="3">
        <f t="shared" si="255"/>
        <v>2.2680118097774669E-2</v>
      </c>
      <c r="L269" s="3">
        <f t="shared" si="255"/>
        <v>2.2680118097774586E-2</v>
      </c>
      <c r="M269" s="3">
        <f t="shared" si="255"/>
        <v>2.268011809777374E-2</v>
      </c>
      <c r="N269" s="3">
        <f t="shared" si="255"/>
        <v>2.2680118097765274E-2</v>
      </c>
      <c r="O269" s="3">
        <f t="shared" si="255"/>
        <v>2.2680118097680606E-2</v>
      </c>
      <c r="P269" s="3">
        <f t="shared" si="255"/>
        <v>2.2680118096833964E-2</v>
      </c>
      <c r="Q269" s="3">
        <f t="shared" si="255"/>
        <v>2.2680118088367517E-2</v>
      </c>
      <c r="R269" s="3">
        <f t="shared" si="255"/>
        <v>2.2680118003703075E-2</v>
      </c>
      <c r="S269" s="3">
        <f t="shared" si="255"/>
        <v>2.2680117157058654E-2</v>
      </c>
      <c r="T269" s="3">
        <f t="shared" si="255"/>
        <v>2.2680108690616183E-2</v>
      </c>
      <c r="U269" s="3">
        <f t="shared" si="255"/>
        <v>2.2680024026365306E-2</v>
      </c>
      <c r="V269" s="3">
        <f t="shared" si="255"/>
        <v>2.2679177401239044E-2</v>
      </c>
      <c r="W269" s="3">
        <f t="shared" si="255"/>
        <v>2.2670712887988768E-2</v>
      </c>
      <c r="X269" s="3">
        <f t="shared" si="255"/>
        <v>2.2586241316903049E-2</v>
      </c>
      <c r="Y269" s="3">
        <f t="shared" si="255"/>
        <v>2.1758644399080519E-2</v>
      </c>
      <c r="Z269" s="3">
        <f t="shared" si="255"/>
        <v>1.497995611178695E-2</v>
      </c>
      <c r="AA269" s="3">
        <f t="shared" si="255"/>
        <v>3.5834191059349783E-4</v>
      </c>
      <c r="AB269" s="3">
        <f t="shared" si="255"/>
        <v>2.1987114819076609E-20</v>
      </c>
      <c r="AC269" s="3">
        <f t="shared" si="255"/>
        <v>1.6629325672397103E-182</v>
      </c>
      <c r="AD269" s="3">
        <f t="shared" si="255"/>
        <v>0</v>
      </c>
      <c r="AE269" s="3">
        <f t="shared" si="255"/>
        <v>0</v>
      </c>
      <c r="AF269" s="3">
        <f t="shared" si="255"/>
        <v>0</v>
      </c>
      <c r="AG269" s="3"/>
      <c r="AH269" s="3"/>
    </row>
    <row r="270" spans="2:34" x14ac:dyDescent="0.25">
      <c r="B270" s="3">
        <f t="shared" ref="B270:AF270" si="256">$C39*EXP(-B$246/$A39/EXP(-$E$126))</f>
        <v>4.4296427252304087E-2</v>
      </c>
      <c r="C270" s="3">
        <f t="shared" si="256"/>
        <v>4.4296427252304087E-2</v>
      </c>
      <c r="D270" s="3">
        <f t="shared" si="256"/>
        <v>4.4296427252304087E-2</v>
      </c>
      <c r="E270" s="3">
        <f t="shared" si="256"/>
        <v>4.4296427252304087E-2</v>
      </c>
      <c r="F270" s="3">
        <f t="shared" si="256"/>
        <v>4.4296427252304087E-2</v>
      </c>
      <c r="G270" s="3">
        <f t="shared" si="256"/>
        <v>4.4296427252304087E-2</v>
      </c>
      <c r="H270" s="3">
        <f t="shared" si="256"/>
        <v>4.4296427252304087E-2</v>
      </c>
      <c r="I270" s="3">
        <f t="shared" si="256"/>
        <v>4.4296427252304087E-2</v>
      </c>
      <c r="J270" s="3">
        <f t="shared" si="256"/>
        <v>4.4296427252304087E-2</v>
      </c>
      <c r="K270" s="3">
        <f t="shared" si="256"/>
        <v>4.429642725230408E-2</v>
      </c>
      <c r="L270" s="3">
        <f t="shared" si="256"/>
        <v>4.4296427252304038E-2</v>
      </c>
      <c r="M270" s="3">
        <f t="shared" si="256"/>
        <v>4.429642725230358E-2</v>
      </c>
      <c r="N270" s="3">
        <f t="shared" si="256"/>
        <v>4.4296427252299007E-2</v>
      </c>
      <c r="O270" s="3">
        <f t="shared" si="256"/>
        <v>4.4296427252253273E-2</v>
      </c>
      <c r="P270" s="3">
        <f t="shared" si="256"/>
        <v>4.4296427251795938E-2</v>
      </c>
      <c r="Q270" s="3">
        <f t="shared" si="256"/>
        <v>4.4296427247222554E-2</v>
      </c>
      <c r="R270" s="3">
        <f t="shared" si="256"/>
        <v>4.4296427201488749E-2</v>
      </c>
      <c r="S270" s="3">
        <f t="shared" si="256"/>
        <v>4.4296426744150734E-2</v>
      </c>
      <c r="T270" s="3">
        <f t="shared" si="256"/>
        <v>4.4296422170770788E-2</v>
      </c>
      <c r="U270" s="3">
        <f t="shared" si="256"/>
        <v>4.4296376436997312E-2</v>
      </c>
      <c r="V270" s="3">
        <f t="shared" si="256"/>
        <v>4.4295919101859545E-2</v>
      </c>
      <c r="W270" s="3">
        <f t="shared" si="256"/>
        <v>4.4291346010168861E-2</v>
      </c>
      <c r="X270" s="3">
        <f t="shared" si="256"/>
        <v>4.4245641052042588E-2</v>
      </c>
      <c r="Y270" s="3">
        <f t="shared" si="256"/>
        <v>4.3791177459755116E-2</v>
      </c>
      <c r="Z270" s="3">
        <f t="shared" si="256"/>
        <v>3.9495528719956964E-2</v>
      </c>
      <c r="AA270" s="3">
        <f t="shared" si="256"/>
        <v>1.4065689477935383E-2</v>
      </c>
      <c r="AB270" s="3">
        <f t="shared" si="256"/>
        <v>4.6162780515043185E-7</v>
      </c>
      <c r="AC270" s="3">
        <f t="shared" si="256"/>
        <v>6.692699140053082E-52</v>
      </c>
      <c r="AD270" s="3">
        <f t="shared" si="256"/>
        <v>0</v>
      </c>
      <c r="AE270" s="3">
        <f t="shared" si="256"/>
        <v>0</v>
      </c>
      <c r="AF270" s="3">
        <f t="shared" si="256"/>
        <v>0</v>
      </c>
      <c r="AG270" s="3"/>
      <c r="AH270" s="3"/>
    </row>
    <row r="271" spans="2:34" x14ac:dyDescent="0.25">
      <c r="B271" s="3">
        <f t="shared" ref="B271:AF271" si="257">$C40*EXP(-B$246/$A40/EXP(-$E$126))</f>
        <v>5.3706126554366823E-2</v>
      </c>
      <c r="C271" s="3">
        <f t="shared" si="257"/>
        <v>5.3706126554366823E-2</v>
      </c>
      <c r="D271" s="3">
        <f t="shared" si="257"/>
        <v>5.3706126554366823E-2</v>
      </c>
      <c r="E271" s="3">
        <f t="shared" si="257"/>
        <v>5.3706126554366823E-2</v>
      </c>
      <c r="F271" s="3">
        <f t="shared" si="257"/>
        <v>5.3706126554366823E-2</v>
      </c>
      <c r="G271" s="3">
        <f t="shared" si="257"/>
        <v>5.3706126554366823E-2</v>
      </c>
      <c r="H271" s="3">
        <f t="shared" si="257"/>
        <v>5.3706126554366823E-2</v>
      </c>
      <c r="I271" s="3">
        <f t="shared" si="257"/>
        <v>5.3706126554366823E-2</v>
      </c>
      <c r="J271" s="3">
        <f t="shared" si="257"/>
        <v>5.3706126554366823E-2</v>
      </c>
      <c r="K271" s="3">
        <f t="shared" si="257"/>
        <v>5.3706126554366823E-2</v>
      </c>
      <c r="L271" s="3">
        <f t="shared" si="257"/>
        <v>5.3706126554366816E-2</v>
      </c>
      <c r="M271" s="3">
        <f t="shared" si="257"/>
        <v>5.3706126554366761E-2</v>
      </c>
      <c r="N271" s="3">
        <f t="shared" si="257"/>
        <v>5.3706126554366206E-2</v>
      </c>
      <c r="O271" s="3">
        <f t="shared" si="257"/>
        <v>5.3706126554360661E-2</v>
      </c>
      <c r="P271" s="3">
        <f t="shared" si="257"/>
        <v>5.3706126554305213E-2</v>
      </c>
      <c r="Q271" s="3">
        <f t="shared" si="257"/>
        <v>5.3706126553750726E-2</v>
      </c>
      <c r="R271" s="3">
        <f t="shared" si="257"/>
        <v>5.3706126548205842E-2</v>
      </c>
      <c r="S271" s="3">
        <f t="shared" si="257"/>
        <v>5.3706126492757002E-2</v>
      </c>
      <c r="T271" s="3">
        <f t="shared" si="257"/>
        <v>5.3706125938268644E-2</v>
      </c>
      <c r="U271" s="3">
        <f t="shared" si="257"/>
        <v>5.3706120393385286E-2</v>
      </c>
      <c r="V271" s="3">
        <f t="shared" si="257"/>
        <v>5.3706064944583243E-2</v>
      </c>
      <c r="W271" s="3">
        <f t="shared" si="257"/>
        <v>5.3705510459711427E-2</v>
      </c>
      <c r="X271" s="3">
        <f t="shared" si="257"/>
        <v>5.3699965925844494E-2</v>
      </c>
      <c r="Y271" s="3">
        <f t="shared" si="257"/>
        <v>5.3644552060267692E-2</v>
      </c>
      <c r="Z271" s="3">
        <f t="shared" si="257"/>
        <v>5.3093548723977778E-2</v>
      </c>
      <c r="AA271" s="3">
        <f t="shared" si="257"/>
        <v>4.7885393819324475E-2</v>
      </c>
      <c r="AB271" s="3">
        <f t="shared" si="257"/>
        <v>1.7053603327278059E-2</v>
      </c>
      <c r="AC271" s="3">
        <f t="shared" si="257"/>
        <v>5.5968941204246011E-7</v>
      </c>
      <c r="AD271" s="3">
        <f t="shared" si="257"/>
        <v>8.114400399804174E-52</v>
      </c>
      <c r="AE271" s="3">
        <f t="shared" si="257"/>
        <v>0</v>
      </c>
      <c r="AF271" s="3">
        <f t="shared" si="257"/>
        <v>0</v>
      </c>
      <c r="AG271" s="3"/>
      <c r="AH271" s="3"/>
    </row>
    <row r="272" spans="2:34" x14ac:dyDescent="0.25">
      <c r="B272" s="3">
        <f t="shared" ref="B272:AF272" si="258">$C41*EXP(-B$246/$A41/EXP(-$E$126))</f>
        <v>5.7988003135982742E-2</v>
      </c>
      <c r="C272" s="3">
        <f t="shared" si="258"/>
        <v>5.7988003135982742E-2</v>
      </c>
      <c r="D272" s="3">
        <f t="shared" si="258"/>
        <v>5.7988003135982742E-2</v>
      </c>
      <c r="E272" s="3">
        <f t="shared" si="258"/>
        <v>5.7988003135982742E-2</v>
      </c>
      <c r="F272" s="3">
        <f t="shared" si="258"/>
        <v>5.7988003135982742E-2</v>
      </c>
      <c r="G272" s="3">
        <f t="shared" si="258"/>
        <v>5.7988003135982742E-2</v>
      </c>
      <c r="H272" s="3">
        <f t="shared" si="258"/>
        <v>5.7988003135982742E-2</v>
      </c>
      <c r="I272" s="3">
        <f t="shared" si="258"/>
        <v>5.7988003135982742E-2</v>
      </c>
      <c r="J272" s="3">
        <f t="shared" si="258"/>
        <v>5.7988003135982742E-2</v>
      </c>
      <c r="K272" s="3">
        <f t="shared" si="258"/>
        <v>5.7988003135982742E-2</v>
      </c>
      <c r="L272" s="3">
        <f t="shared" si="258"/>
        <v>5.7988003135982742E-2</v>
      </c>
      <c r="M272" s="3">
        <f t="shared" si="258"/>
        <v>5.7988003135982735E-2</v>
      </c>
      <c r="N272" s="3">
        <f t="shared" si="258"/>
        <v>5.798800313598268E-2</v>
      </c>
      <c r="O272" s="3">
        <f t="shared" si="258"/>
        <v>5.7988003135982076E-2</v>
      </c>
      <c r="P272" s="3">
        <f t="shared" si="258"/>
        <v>5.7988003135976095E-2</v>
      </c>
      <c r="Q272" s="3">
        <f t="shared" si="258"/>
        <v>5.7988003135916219E-2</v>
      </c>
      <c r="R272" s="3">
        <f t="shared" si="258"/>
        <v>5.7988003135317524E-2</v>
      </c>
      <c r="S272" s="3">
        <f t="shared" si="258"/>
        <v>5.7988003129330556E-2</v>
      </c>
      <c r="T272" s="3">
        <f t="shared" si="258"/>
        <v>5.7988003069460899E-2</v>
      </c>
      <c r="U272" s="3">
        <f t="shared" si="258"/>
        <v>5.7988002470764348E-2</v>
      </c>
      <c r="V272" s="3">
        <f t="shared" si="258"/>
        <v>5.7987996483799098E-2</v>
      </c>
      <c r="W272" s="3">
        <f t="shared" si="258"/>
        <v>5.798793661418062E-2</v>
      </c>
      <c r="X272" s="3">
        <f t="shared" si="258"/>
        <v>5.7987337921395481E-2</v>
      </c>
      <c r="Y272" s="3">
        <f t="shared" si="258"/>
        <v>5.7981351333497771E-2</v>
      </c>
      <c r="Z272" s="3">
        <f t="shared" si="258"/>
        <v>5.7921519436896704E-2</v>
      </c>
      <c r="AA272" s="3">
        <f t="shared" si="258"/>
        <v>5.7326585762795819E-2</v>
      </c>
      <c r="AB272" s="3">
        <f t="shared" si="258"/>
        <v>5.1703195614969881E-2</v>
      </c>
      <c r="AC272" s="3">
        <f t="shared" si="258"/>
        <v>1.8413251274432087E-2</v>
      </c>
      <c r="AD272" s="3">
        <f t="shared" si="258"/>
        <v>6.0431227241532633E-7</v>
      </c>
      <c r="AE272" s="3">
        <f t="shared" si="258"/>
        <v>8.7613444874699282E-52</v>
      </c>
      <c r="AF272" s="3">
        <f t="shared" si="258"/>
        <v>0</v>
      </c>
      <c r="AG272" s="3"/>
      <c r="AH272" s="3"/>
    </row>
    <row r="273" spans="1:34" x14ac:dyDescent="0.25">
      <c r="B273" s="3">
        <f t="shared" ref="B273:AF273" si="259">$C42*EXP(-B$246/$A42/EXP(-$E$126))</f>
        <v>5.3687364876348918E-2</v>
      </c>
      <c r="C273" s="3">
        <f t="shared" si="259"/>
        <v>5.3687364876348918E-2</v>
      </c>
      <c r="D273" s="3">
        <f t="shared" si="259"/>
        <v>5.3687364876348918E-2</v>
      </c>
      <c r="E273" s="3">
        <f t="shared" si="259"/>
        <v>5.3687364876348918E-2</v>
      </c>
      <c r="F273" s="3">
        <f t="shared" si="259"/>
        <v>5.3687364876348918E-2</v>
      </c>
      <c r="G273" s="3">
        <f t="shared" si="259"/>
        <v>5.3687364876348918E-2</v>
      </c>
      <c r="H273" s="3">
        <f t="shared" si="259"/>
        <v>5.3687364876348918E-2</v>
      </c>
      <c r="I273" s="3">
        <f t="shared" si="259"/>
        <v>5.3687364876348918E-2</v>
      </c>
      <c r="J273" s="3">
        <f t="shared" si="259"/>
        <v>5.3687364876348918E-2</v>
      </c>
      <c r="K273" s="3">
        <f t="shared" si="259"/>
        <v>5.3687364876348918E-2</v>
      </c>
      <c r="L273" s="3">
        <f t="shared" si="259"/>
        <v>5.3687364876348918E-2</v>
      </c>
      <c r="M273" s="3">
        <f t="shared" si="259"/>
        <v>5.3687364876348918E-2</v>
      </c>
      <c r="N273" s="3">
        <f t="shared" si="259"/>
        <v>5.3687364876348911E-2</v>
      </c>
      <c r="O273" s="3">
        <f t="shared" si="259"/>
        <v>5.3687364876348856E-2</v>
      </c>
      <c r="P273" s="3">
        <f t="shared" si="259"/>
        <v>5.3687364876348308E-2</v>
      </c>
      <c r="Q273" s="3">
        <f t="shared" si="259"/>
        <v>5.3687364876342764E-2</v>
      </c>
      <c r="R273" s="3">
        <f t="shared" si="259"/>
        <v>5.3687364876287329E-2</v>
      </c>
      <c r="S273" s="3">
        <f t="shared" si="259"/>
        <v>5.3687364875733036E-2</v>
      </c>
      <c r="T273" s="3">
        <f t="shared" si="259"/>
        <v>5.3687364870190088E-2</v>
      </c>
      <c r="U273" s="3">
        <f t="shared" si="259"/>
        <v>5.3687364814760621E-2</v>
      </c>
      <c r="V273" s="3">
        <f t="shared" si="259"/>
        <v>5.3687364260465963E-2</v>
      </c>
      <c r="W273" s="3">
        <f t="shared" si="259"/>
        <v>5.3687358717519659E-2</v>
      </c>
      <c r="X273" s="3">
        <f t="shared" si="259"/>
        <v>5.3687303288088073E-2</v>
      </c>
      <c r="Y273" s="3">
        <f t="shared" si="259"/>
        <v>5.3686748996919796E-2</v>
      </c>
      <c r="Z273" s="3">
        <f t="shared" si="259"/>
        <v>5.3681206399978233E-2</v>
      </c>
      <c r="AA273" s="3">
        <f t="shared" si="259"/>
        <v>5.3625811892660358E-2</v>
      </c>
      <c r="AB273" s="3">
        <f t="shared" si="259"/>
        <v>5.3075001043668364E-2</v>
      </c>
      <c r="AC273" s="3">
        <f t="shared" si="259"/>
        <v>4.7868665553887399E-2</v>
      </c>
      <c r="AD273" s="3">
        <f t="shared" si="259"/>
        <v>1.7047645827916277E-2</v>
      </c>
      <c r="AE273" s="3">
        <f t="shared" si="259"/>
        <v>5.5949389035410791E-7</v>
      </c>
      <c r="AF273" s="3">
        <f t="shared" si="259"/>
        <v>8.111565718225429E-52</v>
      </c>
      <c r="AG273" s="3"/>
      <c r="AH273" s="3"/>
    </row>
    <row r="274" spans="1:34" x14ac:dyDescent="0.25">
      <c r="B274" s="3">
        <f t="shared" ref="B274:AF274" si="260">$C43*EXP(-B$246/$A43/EXP(-$E$126))</f>
        <v>3.7741648856749126E-2</v>
      </c>
      <c r="C274" s="3">
        <f t="shared" si="260"/>
        <v>3.7741648856749126E-2</v>
      </c>
      <c r="D274" s="3">
        <f t="shared" si="260"/>
        <v>3.7741648856749126E-2</v>
      </c>
      <c r="E274" s="3">
        <f t="shared" si="260"/>
        <v>3.7741648856749126E-2</v>
      </c>
      <c r="F274" s="3">
        <f t="shared" si="260"/>
        <v>3.7741648856749126E-2</v>
      </c>
      <c r="G274" s="3">
        <f t="shared" si="260"/>
        <v>3.7741648856749126E-2</v>
      </c>
      <c r="H274" s="3">
        <f t="shared" si="260"/>
        <v>3.7741648856749126E-2</v>
      </c>
      <c r="I274" s="3">
        <f t="shared" si="260"/>
        <v>3.7741648856749126E-2</v>
      </c>
      <c r="J274" s="3">
        <f t="shared" si="260"/>
        <v>3.7741648856749126E-2</v>
      </c>
      <c r="K274" s="3">
        <f t="shared" si="260"/>
        <v>3.7741648856749126E-2</v>
      </c>
      <c r="L274" s="3">
        <f t="shared" si="260"/>
        <v>3.7741648856749126E-2</v>
      </c>
      <c r="M274" s="3">
        <f t="shared" si="260"/>
        <v>3.7741648856749126E-2</v>
      </c>
      <c r="N274" s="3">
        <f t="shared" si="260"/>
        <v>3.7741648856749126E-2</v>
      </c>
      <c r="O274" s="3">
        <f t="shared" si="260"/>
        <v>3.7741648856749119E-2</v>
      </c>
      <c r="P274" s="3">
        <f t="shared" si="260"/>
        <v>3.7741648856749084E-2</v>
      </c>
      <c r="Q274" s="3">
        <f t="shared" si="260"/>
        <v>3.7741648856748695E-2</v>
      </c>
      <c r="R274" s="3">
        <f t="shared" si="260"/>
        <v>3.7741648856744796E-2</v>
      </c>
      <c r="S274" s="3">
        <f t="shared" si="260"/>
        <v>3.7741648856705827E-2</v>
      </c>
      <c r="T274" s="3">
        <f t="shared" si="260"/>
        <v>3.7741648856316166E-2</v>
      </c>
      <c r="U274" s="3">
        <f t="shared" si="260"/>
        <v>3.7741648852419533E-2</v>
      </c>
      <c r="V274" s="3">
        <f t="shared" si="260"/>
        <v>3.7741648813453203E-2</v>
      </c>
      <c r="W274" s="3">
        <f t="shared" si="260"/>
        <v>3.7741648423789929E-2</v>
      </c>
      <c r="X274" s="3">
        <f t="shared" si="260"/>
        <v>3.7741644527157392E-2</v>
      </c>
      <c r="Y274" s="3">
        <f t="shared" si="260"/>
        <v>3.774160556085409E-2</v>
      </c>
      <c r="Z274" s="3">
        <f t="shared" si="260"/>
        <v>3.7741215900033785E-2</v>
      </c>
      <c r="AA274" s="3">
        <f t="shared" si="260"/>
        <v>3.7737319513090513E-2</v>
      </c>
      <c r="AB274" s="3">
        <f t="shared" si="260"/>
        <v>3.7698377761179257E-2</v>
      </c>
      <c r="AC274" s="3">
        <f t="shared" si="260"/>
        <v>3.731116356847259E-2</v>
      </c>
      <c r="AD274" s="3">
        <f t="shared" si="260"/>
        <v>3.3651164864153482E-2</v>
      </c>
      <c r="AE274" s="3">
        <f t="shared" si="260"/>
        <v>1.1984314450025882E-2</v>
      </c>
      <c r="AF274" s="3">
        <f t="shared" si="260"/>
        <v>3.9331827881430696E-7</v>
      </c>
      <c r="AG274" s="3"/>
      <c r="AH274" s="3"/>
    </row>
    <row r="275" spans="1:34" x14ac:dyDescent="0.25">
      <c r="B275" s="3">
        <f t="shared" ref="B275:AF275" si="261">$C44*EXP(-B$246/$A44/EXP(-$E$126))</f>
        <v>2.2979827884217336E-2</v>
      </c>
      <c r="C275" s="3">
        <f t="shared" si="261"/>
        <v>2.2979827884217336E-2</v>
      </c>
      <c r="D275" s="3">
        <f t="shared" si="261"/>
        <v>2.2979827884217336E-2</v>
      </c>
      <c r="E275" s="3">
        <f t="shared" si="261"/>
        <v>2.2979827884217336E-2</v>
      </c>
      <c r="F275" s="3">
        <f t="shared" si="261"/>
        <v>2.2979827884217336E-2</v>
      </c>
      <c r="G275" s="3">
        <f t="shared" si="261"/>
        <v>2.2979827884217336E-2</v>
      </c>
      <c r="H275" s="3">
        <f t="shared" si="261"/>
        <v>2.2979827884217336E-2</v>
      </c>
      <c r="I275" s="3">
        <f t="shared" si="261"/>
        <v>2.2979827884217336E-2</v>
      </c>
      <c r="J275" s="3">
        <f t="shared" si="261"/>
        <v>2.2979827884217336E-2</v>
      </c>
      <c r="K275" s="3">
        <f t="shared" si="261"/>
        <v>2.2979827884217336E-2</v>
      </c>
      <c r="L275" s="3">
        <f t="shared" si="261"/>
        <v>2.2979827884217336E-2</v>
      </c>
      <c r="M275" s="3">
        <f t="shared" si="261"/>
        <v>2.2979827884217336E-2</v>
      </c>
      <c r="N275" s="3">
        <f t="shared" si="261"/>
        <v>2.2979827884217336E-2</v>
      </c>
      <c r="O275" s="3">
        <f t="shared" si="261"/>
        <v>2.2979827884217336E-2</v>
      </c>
      <c r="P275" s="3">
        <f t="shared" si="261"/>
        <v>2.2979827884217333E-2</v>
      </c>
      <c r="Q275" s="3">
        <f t="shared" si="261"/>
        <v>2.2979827884217312E-2</v>
      </c>
      <c r="R275" s="3">
        <f t="shared" si="261"/>
        <v>2.2979827884217072E-2</v>
      </c>
      <c r="S275" s="3">
        <f t="shared" si="261"/>
        <v>2.2979827884214699E-2</v>
      </c>
      <c r="T275" s="3">
        <f t="shared" si="261"/>
        <v>2.2979827884190975E-2</v>
      </c>
      <c r="U275" s="3">
        <f t="shared" si="261"/>
        <v>2.2979827883953721E-2</v>
      </c>
      <c r="V275" s="3">
        <f t="shared" si="261"/>
        <v>2.297982788158117E-2</v>
      </c>
      <c r="W275" s="3">
        <f t="shared" si="261"/>
        <v>2.297982785785567E-2</v>
      </c>
      <c r="X275" s="3">
        <f t="shared" si="261"/>
        <v>2.2979827620600666E-2</v>
      </c>
      <c r="Y275" s="3">
        <f t="shared" si="261"/>
        <v>2.297982524805077E-2</v>
      </c>
      <c r="Z275" s="3">
        <f t="shared" si="261"/>
        <v>2.2979801522565256E-2</v>
      </c>
      <c r="AA275" s="3">
        <f t="shared" si="261"/>
        <v>2.2979564269057395E-2</v>
      </c>
      <c r="AB275" s="3">
        <f t="shared" si="261"/>
        <v>2.2977191868697608E-2</v>
      </c>
      <c r="AC275" s="3">
        <f t="shared" si="261"/>
        <v>2.295348133183614E-2</v>
      </c>
      <c r="AD275" s="3">
        <f t="shared" si="261"/>
        <v>2.2717717506665205E-2</v>
      </c>
      <c r="AE275" s="3">
        <f t="shared" si="261"/>
        <v>2.0489247293269341E-2</v>
      </c>
      <c r="AF275" s="3">
        <f t="shared" si="261"/>
        <v>7.2969118126561591E-3</v>
      </c>
      <c r="AG275" s="3"/>
      <c r="AH275" s="3"/>
    </row>
    <row r="276" spans="1:34" x14ac:dyDescent="0.25">
      <c r="B276" s="3">
        <f t="shared" ref="B276:AF276" si="262">$C45*EXP(-B$246/$A45/EXP(-$E$126))</f>
        <v>9.4093651761472351E-3</v>
      </c>
      <c r="C276" s="3">
        <f t="shared" si="262"/>
        <v>9.4093651761472351E-3</v>
      </c>
      <c r="D276" s="3">
        <f t="shared" si="262"/>
        <v>9.4093651761472351E-3</v>
      </c>
      <c r="E276" s="3">
        <f t="shared" si="262"/>
        <v>9.4093651761472351E-3</v>
      </c>
      <c r="F276" s="3">
        <f t="shared" si="262"/>
        <v>9.4093651761472351E-3</v>
      </c>
      <c r="G276" s="3">
        <f t="shared" si="262"/>
        <v>9.4093651761472351E-3</v>
      </c>
      <c r="H276" s="3">
        <f t="shared" si="262"/>
        <v>9.4093651761472351E-3</v>
      </c>
      <c r="I276" s="3">
        <f t="shared" si="262"/>
        <v>9.4093651761472351E-3</v>
      </c>
      <c r="J276" s="3">
        <f t="shared" si="262"/>
        <v>9.4093651761472351E-3</v>
      </c>
      <c r="K276" s="3">
        <f t="shared" si="262"/>
        <v>9.4093651761472351E-3</v>
      </c>
      <c r="L276" s="3">
        <f t="shared" si="262"/>
        <v>9.4093651761472351E-3</v>
      </c>
      <c r="M276" s="3">
        <f t="shared" si="262"/>
        <v>9.4093651761472351E-3</v>
      </c>
      <c r="N276" s="3">
        <f t="shared" si="262"/>
        <v>9.4093651761472351E-3</v>
      </c>
      <c r="O276" s="3">
        <f t="shared" si="262"/>
        <v>9.4093651761472351E-3</v>
      </c>
      <c r="P276" s="3">
        <f t="shared" si="262"/>
        <v>9.4093651761472351E-3</v>
      </c>
      <c r="Q276" s="3">
        <f t="shared" si="262"/>
        <v>9.4093651761472333E-3</v>
      </c>
      <c r="R276" s="3">
        <f t="shared" si="262"/>
        <v>9.4093651761472247E-3</v>
      </c>
      <c r="S276" s="3">
        <f t="shared" si="262"/>
        <v>9.4093651761471275E-3</v>
      </c>
      <c r="T276" s="3">
        <f t="shared" si="262"/>
        <v>9.4093651761461561E-3</v>
      </c>
      <c r="U276" s="3">
        <f t="shared" si="262"/>
        <v>9.4093651761364399E-3</v>
      </c>
      <c r="V276" s="3">
        <f t="shared" si="262"/>
        <v>9.4093651760392954E-3</v>
      </c>
      <c r="W276" s="3">
        <f t="shared" si="262"/>
        <v>9.4093651750678242E-3</v>
      </c>
      <c r="X276" s="3">
        <f t="shared" si="262"/>
        <v>9.4093651653531351E-3</v>
      </c>
      <c r="Y276" s="3">
        <f t="shared" si="262"/>
        <v>9.4093650682062387E-3</v>
      </c>
      <c r="Z276" s="3">
        <f t="shared" si="262"/>
        <v>9.4093640967373264E-3</v>
      </c>
      <c r="AA276" s="3">
        <f t="shared" si="262"/>
        <v>9.4093543820537237E-3</v>
      </c>
      <c r="AB276" s="3">
        <f t="shared" si="262"/>
        <v>9.4092572357693371E-3</v>
      </c>
      <c r="AC276" s="3">
        <f t="shared" si="262"/>
        <v>9.4082858280877067E-3</v>
      </c>
      <c r="AD276" s="3">
        <f t="shared" si="262"/>
        <v>9.3985772653875799E-3</v>
      </c>
      <c r="AE276" s="3">
        <f t="shared" si="262"/>
        <v>9.3020409493831304E-3</v>
      </c>
      <c r="AF276" s="3">
        <f t="shared" si="262"/>
        <v>8.3895671864090519E-3</v>
      </c>
      <c r="AG276" s="3"/>
      <c r="AH276" s="3"/>
    </row>
    <row r="277" spans="1:34" x14ac:dyDescent="0.25">
      <c r="B277" s="3">
        <f t="shared" ref="B277:AF277" si="263">$C46*EXP(-B$246/$A46/EXP(-$E$126))</f>
        <v>6.2705621285313361E-3</v>
      </c>
      <c r="C277" s="3">
        <f t="shared" si="263"/>
        <v>6.2705621285313361E-3</v>
      </c>
      <c r="D277" s="3">
        <f t="shared" si="263"/>
        <v>6.2705621285313361E-3</v>
      </c>
      <c r="E277" s="3">
        <f t="shared" si="263"/>
        <v>6.2705621285313361E-3</v>
      </c>
      <c r="F277" s="3">
        <f t="shared" si="263"/>
        <v>6.2705621285313361E-3</v>
      </c>
      <c r="G277" s="3">
        <f t="shared" si="263"/>
        <v>6.2705621285313361E-3</v>
      </c>
      <c r="H277" s="3">
        <f t="shared" si="263"/>
        <v>6.2705621285313361E-3</v>
      </c>
      <c r="I277" s="3">
        <f t="shared" si="263"/>
        <v>6.2705621285313361E-3</v>
      </c>
      <c r="J277" s="3">
        <f t="shared" si="263"/>
        <v>6.2705621285313361E-3</v>
      </c>
      <c r="K277" s="3">
        <f t="shared" si="263"/>
        <v>6.2705621285313361E-3</v>
      </c>
      <c r="L277" s="3">
        <f t="shared" si="263"/>
        <v>6.2705621285313361E-3</v>
      </c>
      <c r="M277" s="3">
        <f t="shared" si="263"/>
        <v>6.2705621285313361E-3</v>
      </c>
      <c r="N277" s="3">
        <f t="shared" si="263"/>
        <v>6.2705621285313361E-3</v>
      </c>
      <c r="O277" s="3">
        <f t="shared" si="263"/>
        <v>6.2705621285313361E-3</v>
      </c>
      <c r="P277" s="3">
        <f t="shared" si="263"/>
        <v>6.2705621285313361E-3</v>
      </c>
      <c r="Q277" s="3">
        <f t="shared" si="263"/>
        <v>6.2705621285313361E-3</v>
      </c>
      <c r="R277" s="3">
        <f t="shared" si="263"/>
        <v>6.2705621285313352E-3</v>
      </c>
      <c r="S277" s="3">
        <f t="shared" si="263"/>
        <v>6.2705621285313292E-3</v>
      </c>
      <c r="T277" s="3">
        <f t="shared" si="263"/>
        <v>6.2705621285312641E-3</v>
      </c>
      <c r="U277" s="3">
        <f t="shared" si="263"/>
        <v>6.2705621285306171E-3</v>
      </c>
      <c r="V277" s="3">
        <f t="shared" si="263"/>
        <v>6.2705621285241422E-3</v>
      </c>
      <c r="W277" s="3">
        <f t="shared" si="263"/>
        <v>6.2705621284594023E-3</v>
      </c>
      <c r="X277" s="3">
        <f t="shared" si="263"/>
        <v>6.2705621278119983E-3</v>
      </c>
      <c r="Y277" s="3">
        <f t="shared" si="263"/>
        <v>6.2705621213379626E-3</v>
      </c>
      <c r="Z277" s="3">
        <f t="shared" si="263"/>
        <v>6.2705620565976072E-3</v>
      </c>
      <c r="AA277" s="3">
        <f t="shared" si="263"/>
        <v>6.270561409194084E-3</v>
      </c>
      <c r="AB277" s="3">
        <f t="shared" si="263"/>
        <v>6.2705549351625258E-3</v>
      </c>
      <c r="AC277" s="3">
        <f t="shared" si="263"/>
        <v>6.2704901952145703E-3</v>
      </c>
      <c r="AD277" s="3">
        <f t="shared" si="263"/>
        <v>6.2698428324960698E-3</v>
      </c>
      <c r="AE277" s="3">
        <f t="shared" si="263"/>
        <v>6.2633728800125356E-3</v>
      </c>
      <c r="AF277" s="3">
        <f t="shared" si="263"/>
        <v>6.1990394254347533E-3</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1.3778594746513384E-2</v>
      </c>
      <c r="C279" s="3">
        <f t="shared" si="265"/>
        <v>1.3778594746513384E-2</v>
      </c>
      <c r="D279" s="3">
        <f t="shared" si="265"/>
        <v>1.3778594746513384E-2</v>
      </c>
      <c r="E279" s="3">
        <f t="shared" si="265"/>
        <v>1.3778594746513384E-2</v>
      </c>
      <c r="F279" s="3">
        <f t="shared" si="265"/>
        <v>1.3778594746513384E-2</v>
      </c>
      <c r="G279" s="3">
        <f t="shared" si="265"/>
        <v>1.3778594746513384E-2</v>
      </c>
      <c r="H279" s="3">
        <f t="shared" si="265"/>
        <v>1.3778594746513384E-2</v>
      </c>
      <c r="I279" s="3">
        <f t="shared" si="265"/>
        <v>1.3778594746513384E-2</v>
      </c>
      <c r="J279" s="3">
        <f t="shared" si="265"/>
        <v>1.3778594746513384E-2</v>
      </c>
      <c r="K279" s="3">
        <f t="shared" si="265"/>
        <v>1.3778594746513384E-2</v>
      </c>
      <c r="L279" s="3">
        <f t="shared" si="265"/>
        <v>1.3778594746513384E-2</v>
      </c>
      <c r="M279" s="3">
        <f t="shared" si="265"/>
        <v>1.3778594746513384E-2</v>
      </c>
      <c r="N279" s="3">
        <f t="shared" si="265"/>
        <v>1.3778594746513384E-2</v>
      </c>
      <c r="O279" s="3">
        <f t="shared" si="265"/>
        <v>1.3778594746513384E-2</v>
      </c>
      <c r="P279" s="3">
        <f t="shared" si="265"/>
        <v>1.3778594746513384E-2</v>
      </c>
      <c r="Q279" s="3">
        <f t="shared" si="265"/>
        <v>1.3778594746513384E-2</v>
      </c>
      <c r="R279" s="3">
        <f t="shared" si="265"/>
        <v>1.3778594746513384E-2</v>
      </c>
      <c r="S279" s="3">
        <f t="shared" si="265"/>
        <v>1.3778594746513384E-2</v>
      </c>
      <c r="T279" s="3">
        <f t="shared" si="265"/>
        <v>1.3778594746513382E-2</v>
      </c>
      <c r="U279" s="3">
        <f t="shared" si="265"/>
        <v>1.3778594746513368E-2</v>
      </c>
      <c r="V279" s="3">
        <f t="shared" si="265"/>
        <v>1.3778594746513226E-2</v>
      </c>
      <c r="W279" s="3">
        <f t="shared" si="265"/>
        <v>1.3778594746511804E-2</v>
      </c>
      <c r="X279" s="3">
        <f t="shared" si="265"/>
        <v>1.3778594746497577E-2</v>
      </c>
      <c r="Y279" s="3">
        <f t="shared" si="265"/>
        <v>1.3778594746355321E-2</v>
      </c>
      <c r="Z279" s="3">
        <f t="shared" si="265"/>
        <v>1.3778594744932751E-2</v>
      </c>
      <c r="AA279" s="3">
        <f t="shared" si="265"/>
        <v>1.3778594730707054E-2</v>
      </c>
      <c r="AB279" s="3">
        <f t="shared" si="265"/>
        <v>1.3778594588450092E-2</v>
      </c>
      <c r="AC279" s="3">
        <f t="shared" si="265"/>
        <v>1.3778593165880535E-2</v>
      </c>
      <c r="AD279" s="3">
        <f t="shared" si="265"/>
        <v>1.3778578940193046E-2</v>
      </c>
      <c r="AE279" s="3">
        <f t="shared" si="265"/>
        <v>1.3778436684125966E-2</v>
      </c>
      <c r="AF279" s="3">
        <f t="shared" si="265"/>
        <v>1.3777014204231917E-2</v>
      </c>
      <c r="AG279" s="3"/>
      <c r="AH279" s="3"/>
    </row>
    <row r="280" spans="1:34" x14ac:dyDescent="0.25">
      <c r="A280" s="79">
        <f>AVERAGE(B280:AF280)</f>
        <v>7.7066834067221488E-3</v>
      </c>
      <c r="B280" s="80">
        <f>IF($D$61&lt;=B246,IF($E$61&gt;=B246,ABS((B248-B247)/B247),0),0)</f>
        <v>2.1503382923728057E-2</v>
      </c>
      <c r="C280" s="80">
        <f t="shared" ref="C280:AF280" si="266">IF($D$61&lt;=C246,IF($E$61&gt;=C246,ABS((C248-C247)/C247),0),0)</f>
        <v>2.1342358539226208E-2</v>
      </c>
      <c r="D280" s="80">
        <f t="shared" si="266"/>
        <v>1.9733066653476308E-2</v>
      </c>
      <c r="E280" s="80">
        <f t="shared" si="266"/>
        <v>6.5941122599920132E-3</v>
      </c>
      <c r="F280" s="80">
        <f t="shared" si="266"/>
        <v>1.1006862280935491E-2</v>
      </c>
      <c r="G280" s="80">
        <f t="shared" si="266"/>
        <v>8.0451897269383389E-3</v>
      </c>
      <c r="H280" s="80">
        <f t="shared" si="266"/>
        <v>3.0394533547155756E-3</v>
      </c>
      <c r="I280" s="80">
        <f t="shared" si="266"/>
        <v>4.40408698333721E-3</v>
      </c>
      <c r="J280" s="80">
        <f t="shared" si="266"/>
        <v>4.6668875679961239E-3</v>
      </c>
      <c r="K280" s="80">
        <f t="shared" si="266"/>
        <v>5.2293280115064365E-3</v>
      </c>
      <c r="L280" s="80">
        <f t="shared" si="266"/>
        <v>5.6187298665242944E-3</v>
      </c>
      <c r="M280" s="80">
        <f t="shared" si="266"/>
        <v>5.6535305064799373E-3</v>
      </c>
      <c r="N280" s="80">
        <f t="shared" si="266"/>
        <v>5.7284083141101423E-3</v>
      </c>
      <c r="O280" s="80">
        <f t="shared" si="266"/>
        <v>6.9864913554364052E-3</v>
      </c>
      <c r="P280" s="80">
        <f t="shared" si="266"/>
        <v>8.1979056737321934E-3</v>
      </c>
      <c r="Q280" s="80">
        <f t="shared" si="266"/>
        <v>7.8757778300196455E-3</v>
      </c>
      <c r="R280" s="80">
        <f t="shared" si="266"/>
        <v>4.385708300332249E-3</v>
      </c>
      <c r="S280" s="80">
        <f t="shared" si="266"/>
        <v>3.0589735473537617E-3</v>
      </c>
      <c r="T280" s="80">
        <f t="shared" si="266"/>
        <v>1.5827283434466672E-2</v>
      </c>
      <c r="U280" s="80">
        <f t="shared" si="266"/>
        <v>2.2788302541918562E-2</v>
      </c>
      <c r="V280" s="80">
        <f t="shared" si="266"/>
        <v>2.1336862090344029E-2</v>
      </c>
      <c r="W280" s="80">
        <f t="shared" si="266"/>
        <v>1.4653669867689437E-2</v>
      </c>
      <c r="X280" s="80">
        <f t="shared" si="266"/>
        <v>8.9545114310187936E-3</v>
      </c>
      <c r="Y280" s="80">
        <f t="shared" si="266"/>
        <v>2.2763025471087273E-3</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14545.084445193264</v>
      </c>
      <c r="C281" s="21">
        <f t="shared" ref="C281:AF281" si="267">(C248-C247)^2</f>
        <v>14322.945558094943</v>
      </c>
      <c r="D281" s="21">
        <f t="shared" si="267"/>
        <v>12200.776450079806</v>
      </c>
      <c r="E281" s="21">
        <f t="shared" si="267"/>
        <v>1322.9445731705866</v>
      </c>
      <c r="F281" s="21">
        <f t="shared" si="267"/>
        <v>3473.3897189196932</v>
      </c>
      <c r="G281" s="21">
        <f t="shared" si="267"/>
        <v>1779.2323065526521</v>
      </c>
      <c r="H281" s="21">
        <f t="shared" si="267"/>
        <v>243.47530808599706</v>
      </c>
      <c r="I281" s="21">
        <f t="shared" si="267"/>
        <v>487.20573646762784</v>
      </c>
      <c r="J281" s="21">
        <f t="shared" si="267"/>
        <v>519.25281156967776</v>
      </c>
      <c r="K281" s="21">
        <f t="shared" si="267"/>
        <v>613.7954638014952</v>
      </c>
      <c r="L281" s="21">
        <f t="shared" si="267"/>
        <v>662.72051474657053</v>
      </c>
      <c r="M281" s="21">
        <f t="shared" si="267"/>
        <v>625.2376103630678</v>
      </c>
      <c r="N281" s="21">
        <f t="shared" si="267"/>
        <v>598.42744663719031</v>
      </c>
      <c r="O281" s="21">
        <f t="shared" si="267"/>
        <v>822.48477126758587</v>
      </c>
      <c r="P281" s="21">
        <f t="shared" si="267"/>
        <v>1024.3940995535363</v>
      </c>
      <c r="Q281" s="21">
        <f t="shared" si="267"/>
        <v>844.27707162323804</v>
      </c>
      <c r="R281" s="21">
        <f t="shared" si="267"/>
        <v>235.06493124169268</v>
      </c>
      <c r="S281" s="21">
        <f t="shared" si="267"/>
        <v>102.38932762107157</v>
      </c>
      <c r="T281" s="21">
        <f t="shared" si="267"/>
        <v>2413.2229241165041</v>
      </c>
      <c r="U281" s="21">
        <f t="shared" si="267"/>
        <v>4402.4133144764573</v>
      </c>
      <c r="V281" s="21">
        <f t="shared" si="267"/>
        <v>3391.0801920388972</v>
      </c>
      <c r="W281" s="21">
        <f t="shared" si="267"/>
        <v>1397.0775019631442</v>
      </c>
      <c r="X281" s="21">
        <f t="shared" si="267"/>
        <v>445.8865393894157</v>
      </c>
      <c r="Y281" s="21">
        <f t="shared" si="267"/>
        <v>24.135662436645227</v>
      </c>
      <c r="Z281" s="21">
        <f t="shared" si="267"/>
        <v>26.741138468297233</v>
      </c>
      <c r="AA281" s="21">
        <f t="shared" si="267"/>
        <v>544.18624827130145</v>
      </c>
      <c r="AB281" s="21">
        <f t="shared" si="267"/>
        <v>1058.5361421594528</v>
      </c>
      <c r="AC281" s="21">
        <f t="shared" si="267"/>
        <v>1386.2154991921168</v>
      </c>
      <c r="AD281" s="21">
        <f t="shared" si="267"/>
        <v>1126.9159274849528</v>
      </c>
      <c r="AE281" s="21">
        <f t="shared" si="267"/>
        <v>568.89878875621787</v>
      </c>
      <c r="AF281" s="21">
        <f t="shared" si="267"/>
        <v>183.56330434314248</v>
      </c>
      <c r="AG281" s="3"/>
      <c r="AH281" s="3"/>
    </row>
    <row r="282" spans="1:34" s="3" customFormat="1" x14ac:dyDescent="0.25">
      <c r="A282" s="71">
        <f>SUM(B282:AF282)</f>
        <v>66496.914279410776</v>
      </c>
      <c r="B282" s="21">
        <f>IF($D$61&lt;=B246,IF($E$61&gt;=B246,ABS(B281),0),0)</f>
        <v>14545.084445193264</v>
      </c>
      <c r="C282" s="21">
        <f t="shared" ref="C282:AF282" si="268">IF($D$61&lt;=C246,IF($E$61&gt;=C246,ABS(C281),0),0)</f>
        <v>14322.945558094943</v>
      </c>
      <c r="D282" s="21">
        <f t="shared" si="268"/>
        <v>12200.776450079806</v>
      </c>
      <c r="E282" s="21">
        <f t="shared" si="268"/>
        <v>1322.9445731705866</v>
      </c>
      <c r="F282" s="21">
        <f t="shared" si="268"/>
        <v>3473.3897189196932</v>
      </c>
      <c r="G282" s="21">
        <f t="shared" si="268"/>
        <v>1779.2323065526521</v>
      </c>
      <c r="H282" s="21">
        <f t="shared" si="268"/>
        <v>243.47530808599706</v>
      </c>
      <c r="I282" s="21">
        <f t="shared" si="268"/>
        <v>487.20573646762784</v>
      </c>
      <c r="J282" s="21">
        <f t="shared" si="268"/>
        <v>519.25281156967776</v>
      </c>
      <c r="K282" s="21">
        <f t="shared" si="268"/>
        <v>613.7954638014952</v>
      </c>
      <c r="L282" s="21">
        <f t="shared" si="268"/>
        <v>662.72051474657053</v>
      </c>
      <c r="M282" s="21">
        <f t="shared" si="268"/>
        <v>625.2376103630678</v>
      </c>
      <c r="N282" s="21">
        <f t="shared" si="268"/>
        <v>598.42744663719031</v>
      </c>
      <c r="O282" s="21">
        <f t="shared" si="268"/>
        <v>822.48477126758587</v>
      </c>
      <c r="P282" s="21">
        <f t="shared" si="268"/>
        <v>1024.3940995535363</v>
      </c>
      <c r="Q282" s="21">
        <f t="shared" si="268"/>
        <v>844.27707162323804</v>
      </c>
      <c r="R282" s="21">
        <f t="shared" si="268"/>
        <v>235.06493124169268</v>
      </c>
      <c r="S282" s="21">
        <f t="shared" si="268"/>
        <v>102.38932762107157</v>
      </c>
      <c r="T282" s="21">
        <f t="shared" si="268"/>
        <v>2413.2229241165041</v>
      </c>
      <c r="U282" s="21">
        <f t="shared" si="268"/>
        <v>4402.4133144764573</v>
      </c>
      <c r="V282" s="21">
        <f t="shared" si="268"/>
        <v>3391.0801920388972</v>
      </c>
      <c r="W282" s="21">
        <f t="shared" si="268"/>
        <v>1397.0775019631442</v>
      </c>
      <c r="X282" s="21">
        <f t="shared" si="268"/>
        <v>445.8865393894157</v>
      </c>
      <c r="Y282" s="21">
        <f t="shared" si="268"/>
        <v>24.135662436645227</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0" t="s">
        <v>22</v>
      </c>
      <c r="B287" s="27">
        <f>($C$17+SUM(B288:B318))*$B$51</f>
        <v>5480.4773169052678</v>
      </c>
      <c r="C287" s="27">
        <f t="shared" ref="C287:AF287" si="269">($C$17+SUM(C288:C318))*$B$51</f>
        <v>5420.9986215066801</v>
      </c>
      <c r="D287" s="27">
        <f t="shared" si="269"/>
        <v>5208.7375595952999</v>
      </c>
      <c r="E287" s="27">
        <f t="shared" si="269"/>
        <v>5123.030312333357</v>
      </c>
      <c r="F287" s="27">
        <f t="shared" si="269"/>
        <v>4997.0366224405097</v>
      </c>
      <c r="G287" s="27">
        <f t="shared" si="269"/>
        <v>4867.5219300910003</v>
      </c>
      <c r="H287" s="27">
        <f t="shared" si="269"/>
        <v>4721.7661297373716</v>
      </c>
      <c r="I287" s="27">
        <f t="shared" si="269"/>
        <v>4565.4300488449353</v>
      </c>
      <c r="J287" s="27">
        <f t="shared" si="269"/>
        <v>4407.3588792251148</v>
      </c>
      <c r="K287" s="27">
        <f t="shared" si="269"/>
        <v>4255.2963725755362</v>
      </c>
      <c r="L287" s="27">
        <f t="shared" si="269"/>
        <v>4087.3563089490945</v>
      </c>
      <c r="M287" s="27">
        <f t="shared" si="269"/>
        <v>3885.3272349169092</v>
      </c>
      <c r="N287" s="27">
        <f t="shared" si="269"/>
        <v>3672.5178182265131</v>
      </c>
      <c r="O287" s="27">
        <f t="shared" si="269"/>
        <v>3489.7673577153769</v>
      </c>
      <c r="P287" s="27">
        <f t="shared" si="269"/>
        <v>3327.4056147613355</v>
      </c>
      <c r="Q287" s="27">
        <f t="shared" si="269"/>
        <v>3161.9047380618867</v>
      </c>
      <c r="R287" s="27">
        <f t="shared" si="269"/>
        <v>2987.890931687582</v>
      </c>
      <c r="S287" s="27">
        <f t="shared" si="269"/>
        <v>2797.2336939845222</v>
      </c>
      <c r="T287" s="27">
        <f t="shared" si="269"/>
        <v>2598.3693361831815</v>
      </c>
      <c r="U287" s="27">
        <f t="shared" si="269"/>
        <v>2389.0510078482521</v>
      </c>
      <c r="V287" s="27">
        <f t="shared" si="269"/>
        <v>2174.2101637716914</v>
      </c>
      <c r="W287" s="27">
        <f t="shared" si="269"/>
        <v>1943.7201419131668</v>
      </c>
      <c r="X287" s="27">
        <f t="shared" si="269"/>
        <v>1690.5064649839712</v>
      </c>
      <c r="Y287" s="27">
        <f t="shared" si="269"/>
        <v>1402.9399004907955</v>
      </c>
      <c r="Z287" s="27">
        <f t="shared" si="269"/>
        <v>1089.4348886152579</v>
      </c>
      <c r="AA287" s="27">
        <f t="shared" si="269"/>
        <v>788.80586963005419</v>
      </c>
      <c r="AB287" s="27">
        <f t="shared" si="269"/>
        <v>553.20079599592907</v>
      </c>
      <c r="AC287" s="27">
        <f t="shared" si="269"/>
        <v>401.6535291807952</v>
      </c>
      <c r="AD287" s="27">
        <f t="shared" si="269"/>
        <v>323.15461789684525</v>
      </c>
      <c r="AE287" s="27">
        <f t="shared" si="269"/>
        <v>284.24295629438029</v>
      </c>
      <c r="AF287" s="27">
        <f t="shared" si="269"/>
        <v>264.78914253371687</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4.9628651075278536E-2</v>
      </c>
      <c r="C289" s="3">
        <f t="shared" si="271"/>
        <v>3.9288264956844753E-2</v>
      </c>
      <c r="D289" s="3">
        <f t="shared" si="271"/>
        <v>3.7981021334034123E-3</v>
      </c>
      <c r="E289" s="3">
        <f t="shared" si="271"/>
        <v>2.7077248417463825E-13</v>
      </c>
      <c r="F289" s="3">
        <f t="shared" si="271"/>
        <v>9.1829756539892974E-115</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9.6570288967745815E-3</v>
      </c>
      <c r="C290" s="3">
        <f t="shared" si="272"/>
        <v>9.4556225344307934E-3</v>
      </c>
      <c r="D290" s="3">
        <f t="shared" si="272"/>
        <v>7.6587181505400363E-3</v>
      </c>
      <c r="E290" s="3">
        <f t="shared" si="272"/>
        <v>9.3071280781354131E-4</v>
      </c>
      <c r="F290" s="3">
        <f t="shared" si="272"/>
        <v>6.5375002965802541E-13</v>
      </c>
      <c r="G290" s="3">
        <f t="shared" si="272"/>
        <v>1.9114900128862983E-104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2.5364310350872603E-2</v>
      </c>
      <c r="C291" s="3">
        <f t="shared" si="273"/>
        <v>2.5316131639869854E-2</v>
      </c>
      <c r="D291" s="3">
        <f t="shared" si="273"/>
        <v>2.4839349224087294E-2</v>
      </c>
      <c r="E291" s="3">
        <f t="shared" si="273"/>
        <v>2.0538508151243289E-2</v>
      </c>
      <c r="F291" s="3">
        <f t="shared" si="273"/>
        <v>3.0680024898429911E-3</v>
      </c>
      <c r="G291" s="3">
        <f t="shared" si="273"/>
        <v>1.6971641054681344E-11</v>
      </c>
      <c r="H291" s="3">
        <f t="shared" si="273"/>
        <v>4.5541270319801642E-94</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2.309821255098591E-2</v>
      </c>
      <c r="C292" s="3">
        <f t="shared" si="274"/>
        <v>2.3094251297530809E-2</v>
      </c>
      <c r="D292" s="3">
        <f t="shared" si="274"/>
        <v>2.3054676107437555E-2</v>
      </c>
      <c r="E292" s="3">
        <f t="shared" si="274"/>
        <v>2.2662635062190118E-2</v>
      </c>
      <c r="F292" s="3">
        <f t="shared" si="274"/>
        <v>1.9090803461581988E-2</v>
      </c>
      <c r="G292" s="3">
        <f t="shared" si="274"/>
        <v>3.4352806193848886E-3</v>
      </c>
      <c r="H292" s="3">
        <f t="shared" si="274"/>
        <v>1.2227631598299085E-10</v>
      </c>
      <c r="I292" s="3">
        <f t="shared" si="274"/>
        <v>3.9915687005786655E-85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2.764619115781836E-2</v>
      </c>
      <c r="C293" s="3">
        <f t="shared" si="275"/>
        <v>2.7645763427497003E-2</v>
      </c>
      <c r="D293" s="3">
        <f t="shared" si="275"/>
        <v>2.7641486488238134E-2</v>
      </c>
      <c r="E293" s="3">
        <f t="shared" si="275"/>
        <v>2.7598753470290782E-2</v>
      </c>
      <c r="F293" s="3">
        <f t="shared" si="275"/>
        <v>2.7175040018076253E-2</v>
      </c>
      <c r="G293" s="3">
        <f t="shared" si="275"/>
        <v>2.3279703485492281E-2</v>
      </c>
      <c r="H293" s="3">
        <f t="shared" si="275"/>
        <v>4.9550719522964935E-3</v>
      </c>
      <c r="I293" s="3">
        <f t="shared" si="275"/>
        <v>9.4574743841563866E-10</v>
      </c>
      <c r="J293" s="3">
        <f t="shared" si="275"/>
        <v>6.0677441194542448E-77</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2.9577705289094022E-2</v>
      </c>
      <c r="C294" s="3">
        <f t="shared" si="276"/>
        <v>2.9577664008222624E-2</v>
      </c>
      <c r="D294" s="3">
        <f t="shared" si="276"/>
        <v>2.9577251202677415E-2</v>
      </c>
      <c r="E294" s="3">
        <f t="shared" si="276"/>
        <v>2.9573123464088434E-2</v>
      </c>
      <c r="F294" s="3">
        <f t="shared" si="276"/>
        <v>2.953187774815284E-2</v>
      </c>
      <c r="G294" s="3">
        <f t="shared" si="276"/>
        <v>2.9122571290724826E-2</v>
      </c>
      <c r="H294" s="3">
        <f t="shared" si="276"/>
        <v>2.5328896452752908E-2</v>
      </c>
      <c r="I294" s="3">
        <f t="shared" si="276"/>
        <v>6.2730938273152974E-3</v>
      </c>
      <c r="J294" s="3">
        <f t="shared" si="276"/>
        <v>5.446743597389643E-9</v>
      </c>
      <c r="K294" s="3">
        <f t="shared" si="276"/>
        <v>1.3264424542972938E-69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2.9948202640474358E-2</v>
      </c>
      <c r="C295" s="3">
        <f t="shared" si="277"/>
        <v>2.9948198869947758E-2</v>
      </c>
      <c r="D295" s="3">
        <f t="shared" si="277"/>
        <v>2.9948161164707898E-2</v>
      </c>
      <c r="E295" s="3">
        <f t="shared" si="277"/>
        <v>2.9947784114920186E-2</v>
      </c>
      <c r="F295" s="3">
        <f t="shared" si="277"/>
        <v>2.9944013878123021E-2</v>
      </c>
      <c r="G295" s="3">
        <f t="shared" si="277"/>
        <v>2.9906337605988743E-2</v>
      </c>
      <c r="H295" s="3">
        <f t="shared" si="277"/>
        <v>2.9532172352833147E-2</v>
      </c>
      <c r="I295" s="3">
        <f t="shared" si="277"/>
        <v>2.6038563494345374E-2</v>
      </c>
      <c r="J295" s="3">
        <f t="shared" si="277"/>
        <v>7.3932142184208382E-3</v>
      </c>
      <c r="K295" s="3">
        <f t="shared" si="277"/>
        <v>2.5176536141024076E-8</v>
      </c>
      <c r="L295" s="3">
        <f t="shared" si="277"/>
        <v>5.2798655312875489E-63</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2.7071587432986849E-2</v>
      </c>
      <c r="C296" s="3">
        <f t="shared" si="278"/>
        <v>2.7071587125524751E-2</v>
      </c>
      <c r="D296" s="3">
        <f t="shared" si="278"/>
        <v>2.7071584050903978E-2</v>
      </c>
      <c r="E296" s="3">
        <f t="shared" si="278"/>
        <v>2.7071553304715452E-2</v>
      </c>
      <c r="F296" s="3">
        <f t="shared" si="278"/>
        <v>2.7071245844750774E-2</v>
      </c>
      <c r="G296" s="3">
        <f t="shared" si="278"/>
        <v>2.7068171437152892E-2</v>
      </c>
      <c r="H296" s="3">
        <f t="shared" si="278"/>
        <v>2.7037446557997915E-2</v>
      </c>
      <c r="I296" s="3">
        <f t="shared" si="278"/>
        <v>2.6732109406338297E-2</v>
      </c>
      <c r="J296" s="3">
        <f t="shared" si="278"/>
        <v>2.3862106985912443E-2</v>
      </c>
      <c r="K296" s="3">
        <f t="shared" si="278"/>
        <v>7.6641566882003917E-3</v>
      </c>
      <c r="L296" s="3">
        <f t="shared" si="278"/>
        <v>8.954064936729382E-8</v>
      </c>
      <c r="M296" s="3">
        <f t="shared" si="278"/>
        <v>4.2420803095036363E-57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3.2012499422471911E-2</v>
      </c>
      <c r="C297" s="3">
        <f t="shared" si="279"/>
        <v>3.2012499389674168E-2</v>
      </c>
      <c r="D297" s="3">
        <f t="shared" si="279"/>
        <v>3.2012499061696675E-2</v>
      </c>
      <c r="E297" s="3">
        <f t="shared" si="279"/>
        <v>3.2012495781921974E-2</v>
      </c>
      <c r="F297" s="3">
        <f t="shared" si="279"/>
        <v>3.2012462984193468E-2</v>
      </c>
      <c r="G297" s="3">
        <f t="shared" si="279"/>
        <v>3.2012135008756507E-2</v>
      </c>
      <c r="H297" s="3">
        <f t="shared" si="279"/>
        <v>3.2008855439191533E-2</v>
      </c>
      <c r="I297" s="3">
        <f t="shared" si="279"/>
        <v>3.1976078217003032E-2</v>
      </c>
      <c r="J297" s="3">
        <f t="shared" si="279"/>
        <v>3.1650146357549182E-2</v>
      </c>
      <c r="K297" s="3">
        <f t="shared" si="279"/>
        <v>2.8568074723284282E-2</v>
      </c>
      <c r="L297" s="3">
        <f t="shared" si="279"/>
        <v>1.0254948368893879E-2</v>
      </c>
      <c r="M297" s="3">
        <f t="shared" si="279"/>
        <v>3.6429946062738836E-7</v>
      </c>
      <c r="N297" s="3">
        <f t="shared" si="279"/>
        <v>1.1660281337763568E-51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4.0921071085836154E-2</v>
      </c>
      <c r="C298" s="3">
        <f t="shared" si="280"/>
        <v>4.0921071082054186E-2</v>
      </c>
      <c r="D298" s="3">
        <f t="shared" si="280"/>
        <v>4.0921071044234487E-2</v>
      </c>
      <c r="E298" s="3">
        <f t="shared" si="280"/>
        <v>4.0921070666037528E-2</v>
      </c>
      <c r="F298" s="3">
        <f t="shared" si="280"/>
        <v>4.0921066884068102E-2</v>
      </c>
      <c r="G298" s="3">
        <f t="shared" si="280"/>
        <v>4.0921029064393051E-2</v>
      </c>
      <c r="H298" s="3">
        <f t="shared" si="280"/>
        <v>4.0920650869564985E-2</v>
      </c>
      <c r="I298" s="3">
        <f t="shared" si="280"/>
        <v>4.0916869113520535E-2</v>
      </c>
      <c r="J298" s="3">
        <f t="shared" si="280"/>
        <v>4.0879070770128444E-2</v>
      </c>
      <c r="K298" s="3">
        <f t="shared" si="280"/>
        <v>4.050300248623237E-2</v>
      </c>
      <c r="L298" s="3">
        <f t="shared" si="280"/>
        <v>3.6927444406235528E-2</v>
      </c>
      <c r="M298" s="3">
        <f t="shared" si="280"/>
        <v>1.4654452462601152E-2</v>
      </c>
      <c r="N298" s="3">
        <f t="shared" si="280"/>
        <v>1.4196230131332009E-6</v>
      </c>
      <c r="O298" s="3">
        <f t="shared" si="280"/>
        <v>1.0332546685028946E-46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4.0569821627901605E-2</v>
      </c>
      <c r="C299" s="3">
        <f t="shared" si="281"/>
        <v>4.0569821627563368E-2</v>
      </c>
      <c r="D299" s="3">
        <f t="shared" si="281"/>
        <v>4.0569821624180998E-2</v>
      </c>
      <c r="E299" s="3">
        <f t="shared" si="281"/>
        <v>4.0569821590357331E-2</v>
      </c>
      <c r="F299" s="3">
        <f t="shared" si="281"/>
        <v>4.0569821252120629E-2</v>
      </c>
      <c r="G299" s="3">
        <f t="shared" si="281"/>
        <v>4.0569817869753749E-2</v>
      </c>
      <c r="H299" s="3">
        <f t="shared" si="281"/>
        <v>4.0569784046100482E-2</v>
      </c>
      <c r="I299" s="3">
        <f t="shared" si="281"/>
        <v>4.0569445811118751E-2</v>
      </c>
      <c r="J299" s="3">
        <f t="shared" si="281"/>
        <v>4.0566063616392353E-2</v>
      </c>
      <c r="K299" s="3">
        <f t="shared" si="281"/>
        <v>4.0532257173430251E-2</v>
      </c>
      <c r="L299" s="3">
        <f t="shared" si="281"/>
        <v>4.0195738401962798E-2</v>
      </c>
      <c r="M299" s="3">
        <f t="shared" si="281"/>
        <v>3.6980453009523018E-2</v>
      </c>
      <c r="N299" s="3">
        <f t="shared" si="281"/>
        <v>1.6065505131060219E-2</v>
      </c>
      <c r="O299" s="3">
        <f t="shared" si="281"/>
        <v>3.8469449131041166E-6</v>
      </c>
      <c r="P299" s="3">
        <f t="shared" si="281"/>
        <v>2.3841401951426337E-42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2.9319572011253216E-2</v>
      </c>
      <c r="C300" s="3">
        <f t="shared" si="282"/>
        <v>2.9319572011231164E-2</v>
      </c>
      <c r="D300" s="3">
        <f t="shared" si="282"/>
        <v>2.931957201101066E-2</v>
      </c>
      <c r="E300" s="3">
        <f t="shared" si="282"/>
        <v>2.931957200880559E-2</v>
      </c>
      <c r="F300" s="3">
        <f t="shared" si="282"/>
        <v>2.9319571986754916E-2</v>
      </c>
      <c r="G300" s="3">
        <f t="shared" si="282"/>
        <v>2.9319571766248186E-2</v>
      </c>
      <c r="H300" s="3">
        <f t="shared" si="282"/>
        <v>2.931956956118096E-2</v>
      </c>
      <c r="I300" s="3">
        <f t="shared" si="282"/>
        <v>2.9319547510517838E-2</v>
      </c>
      <c r="J300" s="3">
        <f t="shared" si="282"/>
        <v>2.9319327004798713E-2</v>
      </c>
      <c r="K300" s="3">
        <f t="shared" si="282"/>
        <v>2.9317122038815979E-2</v>
      </c>
      <c r="L300" s="3">
        <f t="shared" si="282"/>
        <v>2.9295081497301746E-2</v>
      </c>
      <c r="M300" s="3">
        <f t="shared" si="282"/>
        <v>2.9075585381213454E-2</v>
      </c>
      <c r="N300" s="3">
        <f t="shared" si="282"/>
        <v>2.69690739201171E-2</v>
      </c>
      <c r="O300" s="3">
        <f t="shared" si="282"/>
        <v>1.2712814160357621E-2</v>
      </c>
      <c r="P300" s="3">
        <f t="shared" si="282"/>
        <v>6.8864967334716821E-6</v>
      </c>
      <c r="Q300" s="3">
        <f t="shared" si="282"/>
        <v>1.4981828457790084E-38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3.1170147057573705E-2</v>
      </c>
      <c r="C301" s="3">
        <f t="shared" si="283"/>
        <v>3.1170147057571592E-2</v>
      </c>
      <c r="D301" s="3">
        <f t="shared" si="283"/>
        <v>3.1170147057550442E-2</v>
      </c>
      <c r="E301" s="3">
        <f t="shared" si="283"/>
        <v>3.1170147057338973E-2</v>
      </c>
      <c r="F301" s="3">
        <f t="shared" si="283"/>
        <v>3.1170147055224268E-2</v>
      </c>
      <c r="G301" s="3">
        <f t="shared" si="283"/>
        <v>3.1170147034077226E-2</v>
      </c>
      <c r="H301" s="3">
        <f t="shared" si="283"/>
        <v>3.1170146822606788E-2</v>
      </c>
      <c r="I301" s="3">
        <f t="shared" si="283"/>
        <v>3.117014470790247E-2</v>
      </c>
      <c r="J301" s="3">
        <f t="shared" si="283"/>
        <v>3.1170123560867197E-2</v>
      </c>
      <c r="K301" s="3">
        <f t="shared" si="283"/>
        <v>3.1169912091303556E-2</v>
      </c>
      <c r="L301" s="3">
        <f t="shared" si="283"/>
        <v>3.1167797474573333E-2</v>
      </c>
      <c r="M301" s="3">
        <f t="shared" si="283"/>
        <v>3.1146659195909556E-2</v>
      </c>
      <c r="N301" s="3">
        <f t="shared" si="283"/>
        <v>3.0936063296482109E-2</v>
      </c>
      <c r="O301" s="3">
        <f t="shared" si="283"/>
        <v>2.890685309421118E-2</v>
      </c>
      <c r="P301" s="3">
        <f t="shared" si="283"/>
        <v>1.4667580905196886E-2</v>
      </c>
      <c r="Q301" s="3">
        <f t="shared" si="283"/>
        <v>1.6593395442999901E-5</v>
      </c>
      <c r="R301" s="3">
        <f t="shared" si="283"/>
        <v>5.697744495184141E-35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2.9820997519102554E-2</v>
      </c>
      <c r="C302" s="3">
        <f t="shared" si="284"/>
        <v>2.9820997519102374E-2</v>
      </c>
      <c r="D302" s="3">
        <f t="shared" si="284"/>
        <v>2.9820997519100549E-2</v>
      </c>
      <c r="E302" s="3">
        <f t="shared" si="284"/>
        <v>2.9820997519082296E-2</v>
      </c>
      <c r="F302" s="3">
        <f t="shared" si="284"/>
        <v>2.982099751889979E-2</v>
      </c>
      <c r="G302" s="3">
        <f t="shared" si="284"/>
        <v>2.9820997517074718E-2</v>
      </c>
      <c r="H302" s="3">
        <f t="shared" si="284"/>
        <v>2.9820997498824019E-2</v>
      </c>
      <c r="I302" s="3">
        <f t="shared" si="284"/>
        <v>2.9820997316316999E-2</v>
      </c>
      <c r="J302" s="3">
        <f t="shared" si="284"/>
        <v>2.9820995491246859E-2</v>
      </c>
      <c r="K302" s="3">
        <f t="shared" si="284"/>
        <v>2.9820977240551595E-2</v>
      </c>
      <c r="L302" s="3">
        <f t="shared" si="284"/>
        <v>2.9820794734213299E-2</v>
      </c>
      <c r="M302" s="3">
        <f t="shared" si="284"/>
        <v>2.9818969732261509E-2</v>
      </c>
      <c r="N302" s="3">
        <f t="shared" si="284"/>
        <v>2.9800725854469214E-2</v>
      </c>
      <c r="O302" s="3">
        <f t="shared" si="284"/>
        <v>2.9618899860629759E-2</v>
      </c>
      <c r="P302" s="3">
        <f t="shared" si="284"/>
        <v>2.7860553146332196E-2</v>
      </c>
      <c r="Q302" s="3">
        <f t="shared" si="284"/>
        <v>1.5107682442007586E-2</v>
      </c>
      <c r="R302" s="3">
        <f t="shared" si="284"/>
        <v>3.3210772368733724E-5</v>
      </c>
      <c r="S302" s="3">
        <f t="shared" si="284"/>
        <v>8.7516564254924686E-32</v>
      </c>
      <c r="T302" s="3">
        <f t="shared" si="284"/>
        <v>1.4131982711151371E-297</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3.5099038806424392E-2</v>
      </c>
      <c r="C303" s="3">
        <f t="shared" si="285"/>
        <v>3.5099038806424378E-2</v>
      </c>
      <c r="D303" s="3">
        <f t="shared" si="285"/>
        <v>3.5099038806424183E-2</v>
      </c>
      <c r="E303" s="3">
        <f t="shared" si="285"/>
        <v>3.5099038806422241E-2</v>
      </c>
      <c r="F303" s="3">
        <f t="shared" si="285"/>
        <v>3.5099038806402867E-2</v>
      </c>
      <c r="G303" s="3">
        <f t="shared" si="285"/>
        <v>3.5099038806209092E-2</v>
      </c>
      <c r="H303" s="3">
        <f t="shared" si="285"/>
        <v>3.5099038804271336E-2</v>
      </c>
      <c r="I303" s="3">
        <f t="shared" si="285"/>
        <v>3.5099038784893774E-2</v>
      </c>
      <c r="J303" s="3">
        <f t="shared" si="285"/>
        <v>3.5099038591118112E-2</v>
      </c>
      <c r="K303" s="3">
        <f t="shared" si="285"/>
        <v>3.509903665336158E-2</v>
      </c>
      <c r="L303" s="3">
        <f t="shared" si="285"/>
        <v>3.5099017275802162E-2</v>
      </c>
      <c r="M303" s="3">
        <f t="shared" si="285"/>
        <v>3.5098823500796392E-2</v>
      </c>
      <c r="N303" s="3">
        <f t="shared" si="285"/>
        <v>3.5096885809576379E-2</v>
      </c>
      <c r="O303" s="3">
        <f t="shared" si="285"/>
        <v>3.507751477994963E-2</v>
      </c>
      <c r="P303" s="3">
        <f t="shared" si="285"/>
        <v>3.4884391541147662E-2</v>
      </c>
      <c r="Q303" s="3">
        <f t="shared" si="285"/>
        <v>3.3010683217336821E-2</v>
      </c>
      <c r="R303" s="3">
        <f t="shared" si="285"/>
        <v>1.900588595630354E-2</v>
      </c>
      <c r="S303" s="3">
        <f t="shared" si="285"/>
        <v>7.6071885239857245E-5</v>
      </c>
      <c r="T303" s="3">
        <f t="shared" si="285"/>
        <v>8.0275825768667069E-29</v>
      </c>
      <c r="U303" s="3">
        <f t="shared" si="285"/>
        <v>1.3746457901278244E-268</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3.5326793009577064E-2</v>
      </c>
      <c r="C304" s="3">
        <f t="shared" si="286"/>
        <v>3.5326793009577064E-2</v>
      </c>
      <c r="D304" s="3">
        <f t="shared" si="286"/>
        <v>3.5326793009577043E-2</v>
      </c>
      <c r="E304" s="3">
        <f t="shared" si="286"/>
        <v>3.5326793009576869E-2</v>
      </c>
      <c r="F304" s="3">
        <f t="shared" si="286"/>
        <v>3.5326793009575114E-2</v>
      </c>
      <c r="G304" s="3">
        <f t="shared" si="286"/>
        <v>3.5326793009557517E-2</v>
      </c>
      <c r="H304" s="3">
        <f t="shared" si="286"/>
        <v>3.5326793009381581E-2</v>
      </c>
      <c r="I304" s="3">
        <f t="shared" si="286"/>
        <v>3.5326793007622218E-2</v>
      </c>
      <c r="J304" s="3">
        <f t="shared" si="286"/>
        <v>3.5326792990028617E-2</v>
      </c>
      <c r="K304" s="3">
        <f t="shared" si="286"/>
        <v>3.5326792814092581E-2</v>
      </c>
      <c r="L304" s="3">
        <f t="shared" si="286"/>
        <v>3.5326791054732264E-2</v>
      </c>
      <c r="M304" s="3">
        <f t="shared" si="286"/>
        <v>3.5326773461133922E-2</v>
      </c>
      <c r="N304" s="3">
        <f t="shared" si="286"/>
        <v>3.5326597525632469E-2</v>
      </c>
      <c r="O304" s="3">
        <f t="shared" si="286"/>
        <v>3.5324838218808143E-2</v>
      </c>
      <c r="P304" s="3">
        <f t="shared" si="286"/>
        <v>3.5307249968702166E-2</v>
      </c>
      <c r="Q304" s="3">
        <f t="shared" si="286"/>
        <v>3.5131848394718779E-2</v>
      </c>
      <c r="R304" s="3">
        <f t="shared" si="286"/>
        <v>3.3425050844567823E-2</v>
      </c>
      <c r="S304" s="3">
        <f t="shared" si="286"/>
        <v>2.0313410387006327E-2</v>
      </c>
      <c r="T304" s="3">
        <f t="shared" si="286"/>
        <v>1.3960163427428074E-4</v>
      </c>
      <c r="U304" s="3">
        <f t="shared" si="286"/>
        <v>3.2807044042375654E-26</v>
      </c>
      <c r="V304" s="3">
        <f t="shared" si="286"/>
        <v>1.6855168302572452E-242</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3.9296148740720876E-2</v>
      </c>
      <c r="C305" s="3">
        <f t="shared" si="287"/>
        <v>3.9296148740720876E-2</v>
      </c>
      <c r="D305" s="3">
        <f t="shared" si="287"/>
        <v>3.9296148740720876E-2</v>
      </c>
      <c r="E305" s="3">
        <f t="shared" si="287"/>
        <v>3.9296148740720856E-2</v>
      </c>
      <c r="F305" s="3">
        <f t="shared" si="287"/>
        <v>3.9296148740720682E-2</v>
      </c>
      <c r="G305" s="3">
        <f t="shared" si="287"/>
        <v>3.9296148740718913E-2</v>
      </c>
      <c r="H305" s="3">
        <f t="shared" si="287"/>
        <v>3.929614874070126E-2</v>
      </c>
      <c r="I305" s="3">
        <f t="shared" si="287"/>
        <v>3.9296148740524721E-2</v>
      </c>
      <c r="J305" s="3">
        <f t="shared" si="287"/>
        <v>3.92961487387593E-2</v>
      </c>
      <c r="K305" s="3">
        <f t="shared" si="287"/>
        <v>3.9296148721105137E-2</v>
      </c>
      <c r="L305" s="3">
        <f t="shared" si="287"/>
        <v>3.9296148544563494E-2</v>
      </c>
      <c r="M305" s="3">
        <f t="shared" si="287"/>
        <v>3.9296146779147084E-2</v>
      </c>
      <c r="N305" s="3">
        <f t="shared" si="287"/>
        <v>3.9296129124987339E-2</v>
      </c>
      <c r="O305" s="3">
        <f t="shared" si="287"/>
        <v>3.9295952583826135E-2</v>
      </c>
      <c r="P305" s="3">
        <f t="shared" si="287"/>
        <v>3.929418721583542E-2</v>
      </c>
      <c r="Q305" s="3">
        <f t="shared" si="287"/>
        <v>3.9276537897337489E-2</v>
      </c>
      <c r="R305" s="3">
        <f t="shared" si="287"/>
        <v>3.9100480129167038E-2</v>
      </c>
      <c r="S305" s="3">
        <f t="shared" si="287"/>
        <v>3.738272896781724E-2</v>
      </c>
      <c r="T305" s="3">
        <f t="shared" si="287"/>
        <v>2.3853939829086054E-2</v>
      </c>
      <c r="U305" s="3">
        <f t="shared" si="287"/>
        <v>2.6696313480217506E-4</v>
      </c>
      <c r="V305" s="3">
        <f t="shared" si="287"/>
        <v>8.2293026122217738E-24</v>
      </c>
      <c r="W305" s="3">
        <f t="shared" si="287"/>
        <v>6.3750034824340899E-219</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3.6971709953281653E-2</v>
      </c>
      <c r="C306" s="3">
        <f t="shared" si="288"/>
        <v>3.6971709953281653E-2</v>
      </c>
      <c r="D306" s="3">
        <f t="shared" si="288"/>
        <v>3.6971709953281653E-2</v>
      </c>
      <c r="E306" s="3">
        <f t="shared" si="288"/>
        <v>3.6971709953281653E-2</v>
      </c>
      <c r="F306" s="3">
        <f t="shared" si="288"/>
        <v>3.697170995328164E-2</v>
      </c>
      <c r="G306" s="3">
        <f t="shared" si="288"/>
        <v>3.6971709953281487E-2</v>
      </c>
      <c r="H306" s="3">
        <f t="shared" si="288"/>
        <v>3.6971709953279988E-2</v>
      </c>
      <c r="I306" s="3">
        <f t="shared" si="288"/>
        <v>3.6971709953265007E-2</v>
      </c>
      <c r="J306" s="3">
        <f t="shared" si="288"/>
        <v>3.6971709953115169E-2</v>
      </c>
      <c r="K306" s="3">
        <f t="shared" si="288"/>
        <v>3.6971709951616819E-2</v>
      </c>
      <c r="L306" s="3">
        <f t="shared" si="288"/>
        <v>3.6971709936633318E-2</v>
      </c>
      <c r="M306" s="3">
        <f t="shared" si="288"/>
        <v>3.6971709786798305E-2</v>
      </c>
      <c r="N306" s="3">
        <f t="shared" si="288"/>
        <v>3.6971708288448209E-2</v>
      </c>
      <c r="O306" s="3">
        <f t="shared" si="288"/>
        <v>3.6971693304950599E-2</v>
      </c>
      <c r="P306" s="3">
        <f t="shared" si="288"/>
        <v>3.6971543470308496E-2</v>
      </c>
      <c r="Q306" s="3">
        <f t="shared" si="288"/>
        <v>3.6970045157284824E-2</v>
      </c>
      <c r="R306" s="3">
        <f t="shared" si="288"/>
        <v>3.6955065366286399E-2</v>
      </c>
      <c r="S306" s="3">
        <f t="shared" si="288"/>
        <v>3.6805600879960071E-2</v>
      </c>
      <c r="T306" s="3">
        <f t="shared" si="288"/>
        <v>3.5343803788387661E-2</v>
      </c>
      <c r="U306" s="3">
        <f t="shared" si="288"/>
        <v>2.356714857574595E-2</v>
      </c>
      <c r="V306" s="3">
        <f t="shared" si="288"/>
        <v>4.0949118950524532E-4</v>
      </c>
      <c r="W306" s="3">
        <f t="shared" si="288"/>
        <v>1.0271166863930578E-21</v>
      </c>
      <c r="X306" s="3">
        <f t="shared" si="288"/>
        <v>1.0124463335718151E-197</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4.6436807195408533E-2</v>
      </c>
      <c r="C307" s="3">
        <f t="shared" si="289"/>
        <v>4.6436807195408533E-2</v>
      </c>
      <c r="D307" s="3">
        <f t="shared" si="289"/>
        <v>4.6436807195408533E-2</v>
      </c>
      <c r="E307" s="3">
        <f t="shared" si="289"/>
        <v>4.6436807195408533E-2</v>
      </c>
      <c r="F307" s="3">
        <f t="shared" si="289"/>
        <v>4.6436807195408533E-2</v>
      </c>
      <c r="G307" s="3">
        <f t="shared" si="289"/>
        <v>4.6436807195408512E-2</v>
      </c>
      <c r="H307" s="3">
        <f t="shared" si="289"/>
        <v>4.6436807195408346E-2</v>
      </c>
      <c r="I307" s="3">
        <f t="shared" si="289"/>
        <v>4.6436807195406646E-2</v>
      </c>
      <c r="J307" s="3">
        <f t="shared" si="289"/>
        <v>4.6436807195389666E-2</v>
      </c>
      <c r="K307" s="3">
        <f t="shared" si="289"/>
        <v>4.6436807195219906E-2</v>
      </c>
      <c r="L307" s="3">
        <f t="shared" si="289"/>
        <v>4.6436807193522237E-2</v>
      </c>
      <c r="M307" s="3">
        <f t="shared" si="289"/>
        <v>4.643680717654556E-2</v>
      </c>
      <c r="N307" s="3">
        <f t="shared" si="289"/>
        <v>4.6436807006778776E-2</v>
      </c>
      <c r="O307" s="3">
        <f t="shared" si="289"/>
        <v>4.6436805309110998E-2</v>
      </c>
      <c r="P307" s="3">
        <f t="shared" si="289"/>
        <v>4.6436788332436613E-2</v>
      </c>
      <c r="Q307" s="3">
        <f t="shared" si="289"/>
        <v>4.6436618566034156E-2</v>
      </c>
      <c r="R307" s="3">
        <f t="shared" si="289"/>
        <v>4.6434920936144486E-2</v>
      </c>
      <c r="S307" s="3">
        <f t="shared" si="289"/>
        <v>4.6417948050280877E-2</v>
      </c>
      <c r="T307" s="3">
        <f t="shared" si="289"/>
        <v>4.6248560033733413E-2</v>
      </c>
      <c r="U307" s="3">
        <f t="shared" si="289"/>
        <v>4.4588307503817572E-2</v>
      </c>
      <c r="V307" s="3">
        <f t="shared" si="289"/>
        <v>3.0934899524422538E-2</v>
      </c>
      <c r="W307" s="3">
        <f t="shared" si="289"/>
        <v>7.993296665154819E-4</v>
      </c>
      <c r="X307" s="3">
        <f t="shared" si="289"/>
        <v>1.060469425251988E-19</v>
      </c>
      <c r="Y307" s="3">
        <f t="shared" si="289"/>
        <v>1.7915145982323378E-178</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2.268011809777468E-2</v>
      </c>
      <c r="C308" s="3">
        <f t="shared" si="290"/>
        <v>2.268011809777468E-2</v>
      </c>
      <c r="D308" s="3">
        <f t="shared" si="290"/>
        <v>2.268011809777468E-2</v>
      </c>
      <c r="E308" s="3">
        <f t="shared" si="290"/>
        <v>2.268011809777468E-2</v>
      </c>
      <c r="F308" s="3">
        <f t="shared" si="290"/>
        <v>2.268011809777468E-2</v>
      </c>
      <c r="G308" s="3">
        <f t="shared" si="290"/>
        <v>2.268011809777468E-2</v>
      </c>
      <c r="H308" s="3">
        <f t="shared" si="290"/>
        <v>2.2680118097774673E-2</v>
      </c>
      <c r="I308" s="3">
        <f t="shared" si="290"/>
        <v>2.2680118097774597E-2</v>
      </c>
      <c r="J308" s="3">
        <f t="shared" si="290"/>
        <v>2.2680118097773847E-2</v>
      </c>
      <c r="K308" s="3">
        <f t="shared" si="290"/>
        <v>2.2680118097766367E-2</v>
      </c>
      <c r="L308" s="3">
        <f t="shared" si="290"/>
        <v>2.2680118097691573E-2</v>
      </c>
      <c r="M308" s="3">
        <f t="shared" si="290"/>
        <v>2.2680118096943605E-2</v>
      </c>
      <c r="N308" s="3">
        <f t="shared" si="290"/>
        <v>2.2680118089463939E-2</v>
      </c>
      <c r="O308" s="3">
        <f t="shared" si="290"/>
        <v>2.268011801466727E-2</v>
      </c>
      <c r="P308" s="3">
        <f t="shared" si="290"/>
        <v>2.2680117266700578E-2</v>
      </c>
      <c r="Q308" s="3">
        <f t="shared" si="290"/>
        <v>2.2680109787035024E-2</v>
      </c>
      <c r="R308" s="3">
        <f t="shared" si="290"/>
        <v>2.2680034990515179E-2</v>
      </c>
      <c r="S308" s="3">
        <f t="shared" si="290"/>
        <v>2.2679287038883458E-2</v>
      </c>
      <c r="T308" s="3">
        <f t="shared" si="290"/>
        <v>2.2671808879076355E-2</v>
      </c>
      <c r="U308" s="3">
        <f t="shared" si="290"/>
        <v>2.2597162766636706E-2</v>
      </c>
      <c r="V308" s="3">
        <f t="shared" si="290"/>
        <v>2.1864086331138465E-2</v>
      </c>
      <c r="W308" s="3">
        <f t="shared" si="290"/>
        <v>1.5721918128161864E-2</v>
      </c>
      <c r="X308" s="3">
        <f t="shared" si="290"/>
        <v>5.8109548195007003E-4</v>
      </c>
      <c r="Y308" s="3">
        <f t="shared" si="290"/>
        <v>2.764822041637586E-18</v>
      </c>
      <c r="Z308" s="3">
        <f t="shared" si="290"/>
        <v>1.643856964782105E-161</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4.4296427252304087E-2</v>
      </c>
      <c r="C309" s="3">
        <f t="shared" si="291"/>
        <v>4.4296427252304087E-2</v>
      </c>
      <c r="D309" s="3">
        <f t="shared" si="291"/>
        <v>4.4296427252304087E-2</v>
      </c>
      <c r="E309" s="3">
        <f t="shared" si="291"/>
        <v>4.4296427252304087E-2</v>
      </c>
      <c r="F309" s="3">
        <f t="shared" si="291"/>
        <v>4.4296427252304087E-2</v>
      </c>
      <c r="G309" s="3">
        <f t="shared" si="291"/>
        <v>4.4296427252304087E-2</v>
      </c>
      <c r="H309" s="3">
        <f t="shared" si="291"/>
        <v>4.429642725230408E-2</v>
      </c>
      <c r="I309" s="3">
        <f t="shared" si="291"/>
        <v>4.4296427252304045E-2</v>
      </c>
      <c r="J309" s="3">
        <f t="shared" si="291"/>
        <v>4.4296427252303643E-2</v>
      </c>
      <c r="K309" s="3">
        <f t="shared" si="291"/>
        <v>4.4296427252299597E-2</v>
      </c>
      <c r="L309" s="3">
        <f t="shared" si="291"/>
        <v>4.4296427252259199E-2</v>
      </c>
      <c r="M309" s="3">
        <f t="shared" si="291"/>
        <v>4.4296427251855154E-2</v>
      </c>
      <c r="N309" s="3">
        <f t="shared" si="291"/>
        <v>4.4296427247814817E-2</v>
      </c>
      <c r="O309" s="3">
        <f t="shared" si="291"/>
        <v>4.4296427207411358E-2</v>
      </c>
      <c r="P309" s="3">
        <f t="shared" si="291"/>
        <v>4.4296426803376802E-2</v>
      </c>
      <c r="Q309" s="3">
        <f t="shared" si="291"/>
        <v>4.4296422763031418E-2</v>
      </c>
      <c r="R309" s="3">
        <f t="shared" si="291"/>
        <v>4.4296382359597826E-2</v>
      </c>
      <c r="S309" s="3">
        <f t="shared" si="291"/>
        <v>4.4295978327288869E-2</v>
      </c>
      <c r="T309" s="3">
        <f t="shared" si="291"/>
        <v>4.4291938206881064E-2</v>
      </c>
      <c r="U309" s="3">
        <f t="shared" si="291"/>
        <v>4.4251557264143815E-2</v>
      </c>
      <c r="V309" s="3">
        <f t="shared" si="291"/>
        <v>4.3849767149650005E-2</v>
      </c>
      <c r="W309" s="3">
        <f t="shared" si="291"/>
        <v>4.0027145549462823E-2</v>
      </c>
      <c r="X309" s="3">
        <f t="shared" si="291"/>
        <v>1.6077847663094575E-2</v>
      </c>
      <c r="Y309" s="3">
        <f t="shared" si="291"/>
        <v>1.75776494626147E-6</v>
      </c>
      <c r="Z309" s="3">
        <f t="shared" si="291"/>
        <v>4.2883448231297004E-46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5.3706126554366823E-2</v>
      </c>
      <c r="C310" s="3">
        <f t="shared" si="292"/>
        <v>5.3706126554366823E-2</v>
      </c>
      <c r="D310" s="3">
        <f t="shared" si="292"/>
        <v>5.3706126554366823E-2</v>
      </c>
      <c r="E310" s="3">
        <f t="shared" si="292"/>
        <v>5.3706126554366823E-2</v>
      </c>
      <c r="F310" s="3">
        <f t="shared" si="292"/>
        <v>5.3706126554366823E-2</v>
      </c>
      <c r="G310" s="3">
        <f t="shared" si="292"/>
        <v>5.3706126554366823E-2</v>
      </c>
      <c r="H310" s="3">
        <f t="shared" si="292"/>
        <v>5.3706126554366823E-2</v>
      </c>
      <c r="I310" s="3">
        <f t="shared" si="292"/>
        <v>5.3706126554366816E-2</v>
      </c>
      <c r="J310" s="3">
        <f t="shared" si="292"/>
        <v>5.3706126554366768E-2</v>
      </c>
      <c r="K310" s="3">
        <f t="shared" si="292"/>
        <v>5.3706126554366282E-2</v>
      </c>
      <c r="L310" s="3">
        <f t="shared" si="292"/>
        <v>5.3706126554361376E-2</v>
      </c>
      <c r="M310" s="3">
        <f t="shared" si="292"/>
        <v>5.3706126554312394E-2</v>
      </c>
      <c r="N310" s="3">
        <f t="shared" si="292"/>
        <v>5.3706126553822529E-2</v>
      </c>
      <c r="O310" s="3">
        <f t="shared" si="292"/>
        <v>5.3706126548923913E-2</v>
      </c>
      <c r="P310" s="3">
        <f t="shared" si="292"/>
        <v>5.3706126499937723E-2</v>
      </c>
      <c r="Q310" s="3">
        <f t="shared" si="292"/>
        <v>5.3706126010075843E-2</v>
      </c>
      <c r="R310" s="3">
        <f t="shared" si="292"/>
        <v>5.370612111145729E-2</v>
      </c>
      <c r="S310" s="3">
        <f t="shared" si="292"/>
        <v>5.3706072125296281E-2</v>
      </c>
      <c r="T310" s="3">
        <f t="shared" si="292"/>
        <v>5.3705582266143685E-2</v>
      </c>
      <c r="U310" s="3">
        <f t="shared" si="292"/>
        <v>5.3700683920354285E-2</v>
      </c>
      <c r="V310" s="3">
        <f t="shared" si="292"/>
        <v>5.3651725027830548E-2</v>
      </c>
      <c r="W310" s="3">
        <f t="shared" si="292"/>
        <v>5.3164584369411516E-2</v>
      </c>
      <c r="X310" s="3">
        <f t="shared" si="292"/>
        <v>4.852993972279545E-2</v>
      </c>
      <c r="Y310" s="3">
        <f t="shared" si="292"/>
        <v>1.9493195611415232E-2</v>
      </c>
      <c r="Z310" s="3">
        <f t="shared" si="292"/>
        <v>2.1311593849103919E-6</v>
      </c>
      <c r="AA310" s="3">
        <f t="shared" si="292"/>
        <v>5.1992994484174312E-46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5.7988003135982742E-2</v>
      </c>
      <c r="C311" s="3">
        <f t="shared" si="293"/>
        <v>5.7988003135982742E-2</v>
      </c>
      <c r="D311" s="3">
        <f t="shared" si="293"/>
        <v>5.7988003135982742E-2</v>
      </c>
      <c r="E311" s="3">
        <f t="shared" si="293"/>
        <v>5.7988003135982742E-2</v>
      </c>
      <c r="F311" s="3">
        <f t="shared" si="293"/>
        <v>5.7988003135982742E-2</v>
      </c>
      <c r="G311" s="3">
        <f t="shared" si="293"/>
        <v>5.7988003135982742E-2</v>
      </c>
      <c r="H311" s="3">
        <f t="shared" si="293"/>
        <v>5.7988003135982742E-2</v>
      </c>
      <c r="I311" s="3">
        <f t="shared" si="293"/>
        <v>5.7988003135982742E-2</v>
      </c>
      <c r="J311" s="3">
        <f t="shared" si="293"/>
        <v>5.7988003135982735E-2</v>
      </c>
      <c r="K311" s="3">
        <f t="shared" si="293"/>
        <v>5.7988003135982687E-2</v>
      </c>
      <c r="L311" s="3">
        <f t="shared" si="293"/>
        <v>5.7988003135982159E-2</v>
      </c>
      <c r="M311" s="3">
        <f t="shared" si="293"/>
        <v>5.7988003135976865E-2</v>
      </c>
      <c r="N311" s="3">
        <f t="shared" si="293"/>
        <v>5.7988003135923977E-2</v>
      </c>
      <c r="O311" s="3">
        <f t="shared" si="293"/>
        <v>5.7988003135395053E-2</v>
      </c>
      <c r="P311" s="3">
        <f t="shared" si="293"/>
        <v>5.7988003130105881E-2</v>
      </c>
      <c r="Q311" s="3">
        <f t="shared" si="293"/>
        <v>5.7988003077214127E-2</v>
      </c>
      <c r="R311" s="3">
        <f t="shared" si="293"/>
        <v>5.7988002548296592E-2</v>
      </c>
      <c r="S311" s="3">
        <f t="shared" si="293"/>
        <v>5.7987997259121474E-2</v>
      </c>
      <c r="T311" s="3">
        <f t="shared" si="293"/>
        <v>5.7987944367396814E-2</v>
      </c>
      <c r="U311" s="3">
        <f t="shared" si="293"/>
        <v>5.7987415452803649E-2</v>
      </c>
      <c r="V311" s="3">
        <f t="shared" si="293"/>
        <v>5.7982126572200629E-2</v>
      </c>
      <c r="W311" s="3">
        <f t="shared" si="293"/>
        <v>5.7929264290086005E-2</v>
      </c>
      <c r="X311" s="3">
        <f t="shared" si="293"/>
        <v>5.7403284930925336E-2</v>
      </c>
      <c r="Y311" s="3">
        <f t="shared" si="293"/>
        <v>5.2399129808509678E-2</v>
      </c>
      <c r="Z311" s="3">
        <f t="shared" si="293"/>
        <v>2.1047347123438403E-2</v>
      </c>
      <c r="AA311" s="3">
        <f t="shared" si="293"/>
        <v>2.301072243040296E-6</v>
      </c>
      <c r="AB311" s="3">
        <f t="shared" si="293"/>
        <v>5.6138286646782712E-46</v>
      </c>
      <c r="AC311" s="3">
        <f t="shared" si="293"/>
        <v>0</v>
      </c>
      <c r="AD311" s="3">
        <f t="shared" si="293"/>
        <v>0</v>
      </c>
      <c r="AE311" s="3">
        <f t="shared" si="293"/>
        <v>0</v>
      </c>
      <c r="AF311" s="3">
        <f t="shared" si="293"/>
        <v>0</v>
      </c>
      <c r="AG311" s="3"/>
      <c r="AH311" s="3"/>
    </row>
    <row r="312" spans="1:34" x14ac:dyDescent="0.25">
      <c r="B312" s="3">
        <f t="shared" ref="B312:AF312" si="294">$C42*EXP(-B$285/$A42/EXP(-$F$126))</f>
        <v>5.3687364876348918E-2</v>
      </c>
      <c r="C312" s="3">
        <f t="shared" si="294"/>
        <v>5.3687364876348918E-2</v>
      </c>
      <c r="D312" s="3">
        <f t="shared" si="294"/>
        <v>5.3687364876348918E-2</v>
      </c>
      <c r="E312" s="3">
        <f t="shared" si="294"/>
        <v>5.3687364876348918E-2</v>
      </c>
      <c r="F312" s="3">
        <f t="shared" si="294"/>
        <v>5.3687364876348918E-2</v>
      </c>
      <c r="G312" s="3">
        <f t="shared" si="294"/>
        <v>5.3687364876348918E-2</v>
      </c>
      <c r="H312" s="3">
        <f t="shared" si="294"/>
        <v>5.3687364876348918E-2</v>
      </c>
      <c r="I312" s="3">
        <f t="shared" si="294"/>
        <v>5.3687364876348918E-2</v>
      </c>
      <c r="J312" s="3">
        <f t="shared" si="294"/>
        <v>5.3687364876348918E-2</v>
      </c>
      <c r="K312" s="3">
        <f t="shared" si="294"/>
        <v>5.3687364876348911E-2</v>
      </c>
      <c r="L312" s="3">
        <f t="shared" si="294"/>
        <v>5.3687364876348863E-2</v>
      </c>
      <c r="M312" s="3">
        <f t="shared" si="294"/>
        <v>5.3687364876348377E-2</v>
      </c>
      <c r="N312" s="3">
        <f t="shared" si="294"/>
        <v>5.3687364876343478E-2</v>
      </c>
      <c r="O312" s="3">
        <f t="shared" si="294"/>
        <v>5.368736487629451E-2</v>
      </c>
      <c r="P312" s="3">
        <f t="shared" si="294"/>
        <v>5.3687364875804812E-2</v>
      </c>
      <c r="Q312" s="3">
        <f t="shared" si="294"/>
        <v>5.368736487090791E-2</v>
      </c>
      <c r="R312" s="3">
        <f t="shared" si="294"/>
        <v>5.3687364821938831E-2</v>
      </c>
      <c r="S312" s="3">
        <f t="shared" si="294"/>
        <v>5.3687364332248085E-2</v>
      </c>
      <c r="T312" s="3">
        <f t="shared" si="294"/>
        <v>5.3687359435340809E-2</v>
      </c>
      <c r="U312" s="3">
        <f t="shared" si="294"/>
        <v>5.3687310466292604E-2</v>
      </c>
      <c r="V312" s="3">
        <f t="shared" si="294"/>
        <v>5.3686820778267218E-2</v>
      </c>
      <c r="W312" s="3">
        <f t="shared" si="294"/>
        <v>5.36819241436641E-2</v>
      </c>
      <c r="X312" s="3">
        <f t="shared" si="294"/>
        <v>5.3632982354421425E-2</v>
      </c>
      <c r="Y312" s="3">
        <f t="shared" si="294"/>
        <v>5.3146011873536493E-2</v>
      </c>
      <c r="Z312" s="3">
        <f t="shared" si="294"/>
        <v>4.8512986291935269E-2</v>
      </c>
      <c r="AA312" s="3">
        <f t="shared" si="294"/>
        <v>1.9486385865803972E-2</v>
      </c>
      <c r="AB312" s="3">
        <f t="shared" si="294"/>
        <v>2.1304148864937346E-6</v>
      </c>
      <c r="AC312" s="3">
        <f t="shared" si="294"/>
        <v>5.1974831271068422E-46</v>
      </c>
      <c r="AD312" s="3">
        <f t="shared" si="294"/>
        <v>0</v>
      </c>
      <c r="AE312" s="3">
        <f t="shared" si="294"/>
        <v>0</v>
      </c>
      <c r="AF312" s="3">
        <f t="shared" si="294"/>
        <v>0</v>
      </c>
      <c r="AG312" s="3"/>
      <c r="AH312" s="3"/>
    </row>
    <row r="313" spans="1:34" x14ac:dyDescent="0.25">
      <c r="B313" s="3">
        <f t="shared" ref="B313:AF313" si="295">$C43*EXP(-B$285/$A43/EXP(-$F$126))</f>
        <v>3.7741648856749126E-2</v>
      </c>
      <c r="C313" s="3">
        <f t="shared" si="295"/>
        <v>3.7741648856749126E-2</v>
      </c>
      <c r="D313" s="3">
        <f t="shared" si="295"/>
        <v>3.7741648856749126E-2</v>
      </c>
      <c r="E313" s="3">
        <f t="shared" si="295"/>
        <v>3.7741648856749126E-2</v>
      </c>
      <c r="F313" s="3">
        <f t="shared" si="295"/>
        <v>3.7741648856749126E-2</v>
      </c>
      <c r="G313" s="3">
        <f t="shared" si="295"/>
        <v>3.7741648856749126E-2</v>
      </c>
      <c r="H313" s="3">
        <f t="shared" si="295"/>
        <v>3.7741648856749126E-2</v>
      </c>
      <c r="I313" s="3">
        <f t="shared" si="295"/>
        <v>3.7741648856749126E-2</v>
      </c>
      <c r="J313" s="3">
        <f t="shared" si="295"/>
        <v>3.7741648856749126E-2</v>
      </c>
      <c r="K313" s="3">
        <f t="shared" si="295"/>
        <v>3.7741648856749126E-2</v>
      </c>
      <c r="L313" s="3">
        <f t="shared" si="295"/>
        <v>3.7741648856749119E-2</v>
      </c>
      <c r="M313" s="3">
        <f t="shared" si="295"/>
        <v>3.7741648856749091E-2</v>
      </c>
      <c r="N313" s="3">
        <f t="shared" si="295"/>
        <v>3.7741648856748744E-2</v>
      </c>
      <c r="O313" s="3">
        <f t="shared" si="295"/>
        <v>3.7741648856745302E-2</v>
      </c>
      <c r="P313" s="3">
        <f t="shared" si="295"/>
        <v>3.7741648856710878E-2</v>
      </c>
      <c r="Q313" s="3">
        <f t="shared" si="295"/>
        <v>3.7741648856366626E-2</v>
      </c>
      <c r="R313" s="3">
        <f t="shared" si="295"/>
        <v>3.7741648852924158E-2</v>
      </c>
      <c r="S313" s="3">
        <f t="shared" si="295"/>
        <v>3.774164881849941E-2</v>
      </c>
      <c r="T313" s="3">
        <f t="shared" si="295"/>
        <v>3.7741648474252001E-2</v>
      </c>
      <c r="U313" s="3">
        <f t="shared" si="295"/>
        <v>3.7741645031778057E-2</v>
      </c>
      <c r="V313" s="3">
        <f t="shared" si="295"/>
        <v>3.7741610607055845E-2</v>
      </c>
      <c r="W313" s="3">
        <f t="shared" si="295"/>
        <v>3.7741266361560728E-2</v>
      </c>
      <c r="X313" s="3">
        <f t="shared" si="295"/>
        <v>3.7737824079299404E-2</v>
      </c>
      <c r="Y313" s="3">
        <f t="shared" si="295"/>
        <v>3.7703418519848458E-2</v>
      </c>
      <c r="Z313" s="3">
        <f t="shared" si="295"/>
        <v>3.7361083429730109E-2</v>
      </c>
      <c r="AA313" s="3">
        <f t="shared" si="295"/>
        <v>3.4104115518418826E-2</v>
      </c>
      <c r="AB313" s="3">
        <f t="shared" si="295"/>
        <v>1.3698722865764686E-2</v>
      </c>
      <c r="AC313" s="3">
        <f t="shared" si="295"/>
        <v>1.4976591000587336E-6</v>
      </c>
      <c r="AD313" s="3">
        <f t="shared" si="295"/>
        <v>3.6537755871225589E-46</v>
      </c>
      <c r="AE313" s="3">
        <f t="shared" si="295"/>
        <v>0</v>
      </c>
      <c r="AF313" s="3">
        <f t="shared" si="295"/>
        <v>0</v>
      </c>
      <c r="AG313" s="3"/>
      <c r="AH313" s="3"/>
    </row>
    <row r="314" spans="1:34" x14ac:dyDescent="0.25">
      <c r="B314" s="3">
        <f t="shared" ref="B314:AF314" si="296">$C44*EXP(-B$285/$A44/EXP(-$F$126))</f>
        <v>2.2979827884217336E-2</v>
      </c>
      <c r="C314" s="3">
        <f t="shared" si="296"/>
        <v>2.2979827884217336E-2</v>
      </c>
      <c r="D314" s="3">
        <f t="shared" si="296"/>
        <v>2.2979827884217336E-2</v>
      </c>
      <c r="E314" s="3">
        <f t="shared" si="296"/>
        <v>2.2979827884217336E-2</v>
      </c>
      <c r="F314" s="3">
        <f t="shared" si="296"/>
        <v>2.2979827884217336E-2</v>
      </c>
      <c r="G314" s="3">
        <f t="shared" si="296"/>
        <v>2.2979827884217336E-2</v>
      </c>
      <c r="H314" s="3">
        <f t="shared" si="296"/>
        <v>2.2979827884217336E-2</v>
      </c>
      <c r="I314" s="3">
        <f t="shared" si="296"/>
        <v>2.2979827884217336E-2</v>
      </c>
      <c r="J314" s="3">
        <f t="shared" si="296"/>
        <v>2.2979827884217336E-2</v>
      </c>
      <c r="K314" s="3">
        <f t="shared" si="296"/>
        <v>2.2979827884217336E-2</v>
      </c>
      <c r="L314" s="3">
        <f t="shared" si="296"/>
        <v>2.2979827884217336E-2</v>
      </c>
      <c r="M314" s="3">
        <f t="shared" si="296"/>
        <v>2.2979827884217333E-2</v>
      </c>
      <c r="N314" s="3">
        <f t="shared" si="296"/>
        <v>2.2979827884217312E-2</v>
      </c>
      <c r="O314" s="3">
        <f t="shared" si="296"/>
        <v>2.2979827884217104E-2</v>
      </c>
      <c r="P314" s="3">
        <f t="shared" si="296"/>
        <v>2.2979827884215008E-2</v>
      </c>
      <c r="Q314" s="3">
        <f t="shared" si="296"/>
        <v>2.2979827884194049E-2</v>
      </c>
      <c r="R314" s="3">
        <f t="shared" si="296"/>
        <v>2.2979827883984442E-2</v>
      </c>
      <c r="S314" s="3">
        <f t="shared" si="296"/>
        <v>2.2979827881888418E-2</v>
      </c>
      <c r="T314" s="3">
        <f t="shared" si="296"/>
        <v>2.2979827860928163E-2</v>
      </c>
      <c r="U314" s="3">
        <f t="shared" si="296"/>
        <v>2.2979827651325602E-2</v>
      </c>
      <c r="V314" s="3">
        <f t="shared" si="296"/>
        <v>2.2979825555300089E-2</v>
      </c>
      <c r="W314" s="3">
        <f t="shared" si="296"/>
        <v>2.2979804595055497E-2</v>
      </c>
      <c r="X314" s="3">
        <f t="shared" si="296"/>
        <v>2.2979594993661086E-2</v>
      </c>
      <c r="Y314" s="3">
        <f t="shared" si="296"/>
        <v>2.297749908486298E-2</v>
      </c>
      <c r="Z314" s="3">
        <f t="shared" si="296"/>
        <v>2.2956550507935568E-2</v>
      </c>
      <c r="AA314" s="3">
        <f t="shared" si="296"/>
        <v>2.2748112305367718E-2</v>
      </c>
      <c r="AB314" s="3">
        <f t="shared" si="296"/>
        <v>2.0765036199964119E-2</v>
      </c>
      <c r="AC314" s="3">
        <f t="shared" si="296"/>
        <v>8.3407668510638491E-3</v>
      </c>
      <c r="AD314" s="3">
        <f t="shared" si="296"/>
        <v>9.1188247972974078E-7</v>
      </c>
      <c r="AE314" s="3">
        <f t="shared" si="296"/>
        <v>2.2246811324624173E-46</v>
      </c>
      <c r="AF314" s="3">
        <f t="shared" si="296"/>
        <v>0</v>
      </c>
      <c r="AG314" s="3"/>
      <c r="AH314" s="3"/>
    </row>
    <row r="315" spans="1:34" x14ac:dyDescent="0.25">
      <c r="B315" s="3">
        <f t="shared" ref="B315:AF315" si="297">$C45*EXP(-B$285/$A45/EXP(-$F$126))</f>
        <v>9.4093651761472351E-3</v>
      </c>
      <c r="C315" s="3">
        <f t="shared" si="297"/>
        <v>9.4093651761472351E-3</v>
      </c>
      <c r="D315" s="3">
        <f t="shared" si="297"/>
        <v>9.4093651761472351E-3</v>
      </c>
      <c r="E315" s="3">
        <f t="shared" si="297"/>
        <v>9.4093651761472351E-3</v>
      </c>
      <c r="F315" s="3">
        <f t="shared" si="297"/>
        <v>9.4093651761472351E-3</v>
      </c>
      <c r="G315" s="3">
        <f t="shared" si="297"/>
        <v>9.4093651761472351E-3</v>
      </c>
      <c r="H315" s="3">
        <f t="shared" si="297"/>
        <v>9.4093651761472351E-3</v>
      </c>
      <c r="I315" s="3">
        <f t="shared" si="297"/>
        <v>9.4093651761472351E-3</v>
      </c>
      <c r="J315" s="3">
        <f t="shared" si="297"/>
        <v>9.4093651761472351E-3</v>
      </c>
      <c r="K315" s="3">
        <f t="shared" si="297"/>
        <v>9.4093651761472351E-3</v>
      </c>
      <c r="L315" s="3">
        <f t="shared" si="297"/>
        <v>9.4093651761472351E-3</v>
      </c>
      <c r="M315" s="3">
        <f t="shared" si="297"/>
        <v>9.4093651761472351E-3</v>
      </c>
      <c r="N315" s="3">
        <f t="shared" si="297"/>
        <v>9.4093651761472333E-3</v>
      </c>
      <c r="O315" s="3">
        <f t="shared" si="297"/>
        <v>9.4093651761472264E-3</v>
      </c>
      <c r="P315" s="3">
        <f t="shared" si="297"/>
        <v>9.4093651761471397E-3</v>
      </c>
      <c r="Q315" s="3">
        <f t="shared" si="297"/>
        <v>9.409365176146281E-3</v>
      </c>
      <c r="R315" s="3">
        <f t="shared" si="297"/>
        <v>9.4093651761376993E-3</v>
      </c>
      <c r="S315" s="3">
        <f t="shared" si="297"/>
        <v>9.4093651760518739E-3</v>
      </c>
      <c r="T315" s="3">
        <f t="shared" si="297"/>
        <v>9.4093651751936316E-3</v>
      </c>
      <c r="U315" s="3">
        <f t="shared" si="297"/>
        <v>9.4093651666112051E-3</v>
      </c>
      <c r="V315" s="3">
        <f t="shared" si="297"/>
        <v>9.4093650807869304E-3</v>
      </c>
      <c r="W315" s="3">
        <f t="shared" si="297"/>
        <v>9.4093642225442347E-3</v>
      </c>
      <c r="X315" s="3">
        <f t="shared" si="297"/>
        <v>9.409355640121575E-3</v>
      </c>
      <c r="Y315" s="3">
        <f t="shared" si="297"/>
        <v>9.4092698163255311E-3</v>
      </c>
      <c r="Z315" s="3">
        <f t="shared" si="297"/>
        <v>9.4084116214183857E-3</v>
      </c>
      <c r="AA315" s="3">
        <f t="shared" si="297"/>
        <v>9.399833976223489E-3</v>
      </c>
      <c r="AB315" s="3">
        <f t="shared" si="297"/>
        <v>9.3144864629826421E-3</v>
      </c>
      <c r="AC315" s="3">
        <f t="shared" si="297"/>
        <v>8.502492250412854E-3</v>
      </c>
      <c r="AD315" s="3">
        <f t="shared" si="297"/>
        <v>3.4152266738544544E-3</v>
      </c>
      <c r="AE315" s="3">
        <f t="shared" si="297"/>
        <v>3.7338117990869548E-7</v>
      </c>
      <c r="AF315" s="3">
        <f t="shared" si="297"/>
        <v>9.1092227849976383E-47</v>
      </c>
      <c r="AG315" s="3"/>
      <c r="AH315" s="3"/>
    </row>
    <row r="316" spans="1:34" x14ac:dyDescent="0.25">
      <c r="B316" s="3">
        <f t="shared" ref="B316:AF316" si="298">$C46*EXP(-B$285/$A46/EXP(-$F$126))</f>
        <v>6.2705621285313361E-3</v>
      </c>
      <c r="C316" s="3">
        <f t="shared" si="298"/>
        <v>6.2705621285313361E-3</v>
      </c>
      <c r="D316" s="3">
        <f t="shared" si="298"/>
        <v>6.2705621285313361E-3</v>
      </c>
      <c r="E316" s="3">
        <f t="shared" si="298"/>
        <v>6.2705621285313361E-3</v>
      </c>
      <c r="F316" s="3">
        <f t="shared" si="298"/>
        <v>6.2705621285313361E-3</v>
      </c>
      <c r="G316" s="3">
        <f t="shared" si="298"/>
        <v>6.2705621285313361E-3</v>
      </c>
      <c r="H316" s="3">
        <f t="shared" si="298"/>
        <v>6.2705621285313361E-3</v>
      </c>
      <c r="I316" s="3">
        <f t="shared" si="298"/>
        <v>6.2705621285313361E-3</v>
      </c>
      <c r="J316" s="3">
        <f t="shared" si="298"/>
        <v>6.2705621285313361E-3</v>
      </c>
      <c r="K316" s="3">
        <f t="shared" si="298"/>
        <v>6.2705621285313361E-3</v>
      </c>
      <c r="L316" s="3">
        <f t="shared" si="298"/>
        <v>6.2705621285313361E-3</v>
      </c>
      <c r="M316" s="3">
        <f t="shared" si="298"/>
        <v>6.2705621285313361E-3</v>
      </c>
      <c r="N316" s="3">
        <f t="shared" si="298"/>
        <v>6.2705621285313361E-3</v>
      </c>
      <c r="O316" s="3">
        <f t="shared" si="298"/>
        <v>6.2705621285313352E-3</v>
      </c>
      <c r="P316" s="3">
        <f t="shared" si="298"/>
        <v>6.27056212853133E-3</v>
      </c>
      <c r="Q316" s="3">
        <f t="shared" si="298"/>
        <v>6.2705621285312728E-3</v>
      </c>
      <c r="R316" s="3">
        <f t="shared" si="298"/>
        <v>6.2705621285307003E-3</v>
      </c>
      <c r="S316" s="3">
        <f t="shared" si="298"/>
        <v>6.2705621285249818E-3</v>
      </c>
      <c r="T316" s="3">
        <f t="shared" si="298"/>
        <v>6.2705621284677862E-3</v>
      </c>
      <c r="U316" s="3">
        <f t="shared" si="298"/>
        <v>6.2705621278958384E-3</v>
      </c>
      <c r="V316" s="3">
        <f t="shared" si="298"/>
        <v>6.2705621221763623E-3</v>
      </c>
      <c r="W316" s="3">
        <f t="shared" si="298"/>
        <v>6.270562064981596E-3</v>
      </c>
      <c r="X316" s="3">
        <f t="shared" si="298"/>
        <v>6.2705614930339618E-3</v>
      </c>
      <c r="Y316" s="3">
        <f t="shared" si="298"/>
        <v>6.2705557735604914E-3</v>
      </c>
      <c r="Z316" s="3">
        <f t="shared" si="298"/>
        <v>6.2704985791127129E-3</v>
      </c>
      <c r="AA316" s="3">
        <f t="shared" si="298"/>
        <v>6.2699266633263768E-3</v>
      </c>
      <c r="AB316" s="3">
        <f t="shared" si="298"/>
        <v>6.2642103736400695E-3</v>
      </c>
      <c r="AC316" s="3">
        <f t="shared" si="298"/>
        <v>6.2073333288794885E-3</v>
      </c>
      <c r="AD316" s="3">
        <f t="shared" si="298"/>
        <v>5.666206476790241E-3</v>
      </c>
      <c r="AE316" s="3">
        <f t="shared" si="298"/>
        <v>2.2759655556476703E-3</v>
      </c>
      <c r="AF316" s="3">
        <f t="shared" si="298"/>
        <v>2.488276140219361E-7</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1.3778594746513384E-2</v>
      </c>
      <c r="C318" s="3">
        <f t="shared" si="300"/>
        <v>1.3778594746513384E-2</v>
      </c>
      <c r="D318" s="3">
        <f t="shared" si="300"/>
        <v>1.3778594746513384E-2</v>
      </c>
      <c r="E318" s="3">
        <f t="shared" si="300"/>
        <v>1.3778594746513384E-2</v>
      </c>
      <c r="F318" s="3">
        <f t="shared" si="300"/>
        <v>1.3778594746513384E-2</v>
      </c>
      <c r="G318" s="3">
        <f t="shared" si="300"/>
        <v>1.3778594746513384E-2</v>
      </c>
      <c r="H318" s="3">
        <f t="shared" si="300"/>
        <v>1.3778594746513384E-2</v>
      </c>
      <c r="I318" s="3">
        <f t="shared" si="300"/>
        <v>1.3778594746513384E-2</v>
      </c>
      <c r="J318" s="3">
        <f t="shared" si="300"/>
        <v>1.3778594746513384E-2</v>
      </c>
      <c r="K318" s="3">
        <f t="shared" si="300"/>
        <v>1.3778594746513384E-2</v>
      </c>
      <c r="L318" s="3">
        <f t="shared" si="300"/>
        <v>1.3778594746513384E-2</v>
      </c>
      <c r="M318" s="3">
        <f t="shared" si="300"/>
        <v>1.3778594746513384E-2</v>
      </c>
      <c r="N318" s="3">
        <f t="shared" si="300"/>
        <v>1.3778594746513384E-2</v>
      </c>
      <c r="O318" s="3">
        <f t="shared" si="300"/>
        <v>1.3778594746513384E-2</v>
      </c>
      <c r="P318" s="3">
        <f t="shared" si="300"/>
        <v>1.3778594746513384E-2</v>
      </c>
      <c r="Q318" s="3">
        <f t="shared" si="300"/>
        <v>1.3778594746513382E-2</v>
      </c>
      <c r="R318" s="3">
        <f t="shared" si="300"/>
        <v>1.377859474651337E-2</v>
      </c>
      <c r="S318" s="3">
        <f t="shared" si="300"/>
        <v>1.3778594746513245E-2</v>
      </c>
      <c r="T318" s="3">
        <f t="shared" si="300"/>
        <v>1.3778594746511988E-2</v>
      </c>
      <c r="U318" s="3">
        <f t="shared" si="300"/>
        <v>1.3778594746499421E-2</v>
      </c>
      <c r="V318" s="3">
        <f t="shared" si="300"/>
        <v>1.3778594746373742E-2</v>
      </c>
      <c r="W318" s="3">
        <f t="shared" si="300"/>
        <v>1.3778594745116977E-2</v>
      </c>
      <c r="X318" s="3">
        <f t="shared" si="300"/>
        <v>1.3778594732549306E-2</v>
      </c>
      <c r="Y318" s="3">
        <f t="shared" si="300"/>
        <v>1.3778594606872615E-2</v>
      </c>
      <c r="Z318" s="3">
        <f t="shared" si="300"/>
        <v>1.3778593350105757E-2</v>
      </c>
      <c r="AA318" s="3">
        <f t="shared" si="300"/>
        <v>1.377858078244348E-2</v>
      </c>
      <c r="AB318" s="3">
        <f t="shared" si="300"/>
        <v>1.3778455106451195E-2</v>
      </c>
      <c r="AC318" s="3">
        <f t="shared" si="300"/>
        <v>1.3777198409573381E-2</v>
      </c>
      <c r="AD318" s="3">
        <f t="shared" si="300"/>
        <v>1.376463774317269E-2</v>
      </c>
      <c r="AE318" s="3">
        <f t="shared" si="300"/>
        <v>1.3639659195145943E-2</v>
      </c>
      <c r="AF318" s="3">
        <f t="shared" si="300"/>
        <v>1.2450616259510357E-2</v>
      </c>
      <c r="AG318" s="3"/>
      <c r="AH318" s="3"/>
    </row>
    <row r="319" spans="1:34" x14ac:dyDescent="0.25">
      <c r="A319" s="79">
        <f>AVERAGE(B319:AF319)</f>
        <v>1.5640900265462864E-3</v>
      </c>
      <c r="B319" s="80">
        <f>IF($A$64&lt;=B285,IF($B$64&gt;=B285,ABS((B287-B286)/B286),0),0)</f>
        <v>1.0982384289760633E-2</v>
      </c>
      <c r="C319" s="80">
        <f t="shared" ref="C319:AF319" si="301">IF($A$64&lt;=C285,IF($B$64&gt;=C285,ABS((C287-C286)/C286),0),0)</f>
        <v>1.4561984907642853E-2</v>
      </c>
      <c r="D319" s="80">
        <f t="shared" si="301"/>
        <v>4.1577916526970493E-3</v>
      </c>
      <c r="E319" s="80">
        <f t="shared" si="301"/>
        <v>5.635992424061207E-4</v>
      </c>
      <c r="F319" s="80">
        <f t="shared" si="301"/>
        <v>2.5475876279166458E-4</v>
      </c>
      <c r="G319" s="80">
        <f t="shared" si="301"/>
        <v>1.5776712092216546E-4</v>
      </c>
      <c r="H319" s="80">
        <f t="shared" si="301"/>
        <v>2.0671016138932552E-4</v>
      </c>
      <c r="I319" s="80">
        <f t="shared" si="301"/>
        <v>2.2659581407014434E-4</v>
      </c>
      <c r="J319" s="80">
        <f t="shared" si="301"/>
        <v>2.4405543739865223E-4</v>
      </c>
      <c r="K319" s="80">
        <f t="shared" si="301"/>
        <v>2.1235437629028156E-4</v>
      </c>
      <c r="L319" s="80">
        <f t="shared" si="301"/>
        <v>3.2611883075657857E-4</v>
      </c>
      <c r="M319" s="80">
        <f t="shared" si="301"/>
        <v>3.1340613839778348E-4</v>
      </c>
      <c r="N319" s="80">
        <f t="shared" si="301"/>
        <v>4.1638768906286796E-4</v>
      </c>
      <c r="O319" s="80">
        <f t="shared" si="301"/>
        <v>2.0889214146246725E-4</v>
      </c>
      <c r="P319" s="80">
        <f t="shared" si="301"/>
        <v>3.7312365986586345E-4</v>
      </c>
      <c r="Q319" s="80">
        <f t="shared" si="301"/>
        <v>2.371963279953314E-4</v>
      </c>
      <c r="R319" s="80">
        <f t="shared" si="301"/>
        <v>3.9091290108912979E-4</v>
      </c>
      <c r="S319" s="80">
        <f t="shared" si="301"/>
        <v>3.4004718960960461E-4</v>
      </c>
      <c r="T319" s="80">
        <f t="shared" si="301"/>
        <v>4.3613599822451307E-4</v>
      </c>
      <c r="U319" s="80">
        <f t="shared" si="301"/>
        <v>4.2552242874586337E-4</v>
      </c>
      <c r="V319" s="80">
        <f t="shared" si="301"/>
        <v>5.4710754949894799E-4</v>
      </c>
      <c r="W319" s="80">
        <f t="shared" si="301"/>
        <v>5.264188659520843E-4</v>
      </c>
      <c r="X319" s="80">
        <f t="shared" si="301"/>
        <v>1.064264121825806E-3</v>
      </c>
      <c r="Y319" s="80">
        <f t="shared" si="301"/>
        <v>1.3653326322154245E-3</v>
      </c>
      <c r="Z319" s="80">
        <f t="shared" si="301"/>
        <v>1.8394355336922425E-3</v>
      </c>
      <c r="AA319" s="80">
        <f t="shared" si="301"/>
        <v>2.2123341054156097E-3</v>
      </c>
      <c r="AB319" s="80">
        <f t="shared" si="301"/>
        <v>2.2391730847020098E-3</v>
      </c>
      <c r="AC319" s="80">
        <f t="shared" si="301"/>
        <v>1.6140456152611983E-3</v>
      </c>
      <c r="AD319" s="80">
        <f t="shared" si="301"/>
        <v>1.140174133728635E-3</v>
      </c>
      <c r="AE319" s="80">
        <f t="shared" si="301"/>
        <v>3.8127434714740519E-4</v>
      </c>
      <c r="AF319" s="80">
        <f t="shared" si="301"/>
        <v>5.2148576291662335E-4</v>
      </c>
    </row>
    <row r="320" spans="1:34" x14ac:dyDescent="0.25">
      <c r="B320" s="21">
        <f>(B287-B286)^2</f>
        <v>3703.5821955242832</v>
      </c>
      <c r="C320" s="21">
        <f t="shared" ref="C320:AF320" si="302">(C287-C286)^2</f>
        <v>6054.0022201383281</v>
      </c>
      <c r="D320" s="21">
        <f t="shared" si="302"/>
        <v>472.9435849134349</v>
      </c>
      <c r="E320" s="21">
        <f t="shared" si="302"/>
        <v>8.3273200057636316</v>
      </c>
      <c r="F320" s="21">
        <f t="shared" si="302"/>
        <v>1.6214540123128405</v>
      </c>
      <c r="G320" s="21">
        <f t="shared" si="302"/>
        <v>0.58991016496643867</v>
      </c>
      <c r="H320" s="21">
        <f t="shared" si="302"/>
        <v>0.95304226727372943</v>
      </c>
      <c r="I320" s="21">
        <f t="shared" si="302"/>
        <v>1.0706906064507242</v>
      </c>
      <c r="J320" s="21">
        <f t="shared" si="302"/>
        <v>1.157566144086388</v>
      </c>
      <c r="K320" s="21">
        <f t="shared" si="302"/>
        <v>0.81689554144083609</v>
      </c>
      <c r="L320" s="21">
        <f t="shared" si="302"/>
        <v>1.7779521112617589</v>
      </c>
      <c r="M320" s="21">
        <f t="shared" si="302"/>
        <v>1.4836875936765057</v>
      </c>
      <c r="N320" s="21">
        <f t="shared" si="302"/>
        <v>2.3403743490709794</v>
      </c>
      <c r="O320" s="21">
        <f t="shared" si="302"/>
        <v>0.53164118418094874</v>
      </c>
      <c r="P320" s="21">
        <f t="shared" si="302"/>
        <v>1.542556993565726</v>
      </c>
      <c r="Q320" s="21">
        <f t="shared" si="302"/>
        <v>0.56275522535416223</v>
      </c>
      <c r="R320" s="21">
        <f t="shared" si="302"/>
        <v>1.3653031628324428</v>
      </c>
      <c r="S320" s="21">
        <f t="shared" si="302"/>
        <v>0.90538082629748973</v>
      </c>
      <c r="T320" s="21">
        <f t="shared" si="302"/>
        <v>1.2853592850749895</v>
      </c>
      <c r="U320" s="21">
        <f t="shared" si="302"/>
        <v>1.0343450482247896</v>
      </c>
      <c r="V320" s="21">
        <f t="shared" si="302"/>
        <v>1.4165235529961306</v>
      </c>
      <c r="W320" s="21">
        <f t="shared" si="302"/>
        <v>1.0480638046826785</v>
      </c>
      <c r="X320" s="21">
        <f t="shared" si="302"/>
        <v>3.2438249915746433</v>
      </c>
      <c r="Y320" s="21">
        <f t="shared" si="302"/>
        <v>3.6791017391183205</v>
      </c>
      <c r="Z320" s="21">
        <f t="shared" si="302"/>
        <v>4.0306110085738922</v>
      </c>
      <c r="AA320" s="21">
        <f t="shared" si="302"/>
        <v>3.0589010877715936</v>
      </c>
      <c r="AB320" s="21">
        <f t="shared" si="302"/>
        <v>1.5413030039752926</v>
      </c>
      <c r="AC320" s="21">
        <f t="shared" si="302"/>
        <v>0.42163616847831997</v>
      </c>
      <c r="AD320" s="21">
        <f t="shared" si="302"/>
        <v>0.13606737578616085</v>
      </c>
      <c r="AE320" s="21">
        <f t="shared" si="302"/>
        <v>1.1754003857468037E-2</v>
      </c>
      <c r="AF320" s="21">
        <f t="shared" si="302"/>
        <v>1.908702902391618E-2</v>
      </c>
      <c r="AG320" s="3"/>
      <c r="AH320" s="3"/>
    </row>
    <row r="321" spans="1:34" x14ac:dyDescent="0.25">
      <c r="A321" s="71">
        <f>SUM(B321:AF321)</f>
        <v>10276.501108863718</v>
      </c>
      <c r="B321" s="60">
        <f>IF($A$64&lt;=B285,IF($B$64&gt;=B285,ABS(B320),0),0)</f>
        <v>3703.5821955242832</v>
      </c>
      <c r="C321" s="60">
        <f t="shared" ref="C321" si="303">IF($A$64&lt;=C285,IF($B$64&gt;=C285,ABS(C320),0),0)</f>
        <v>6054.0022201383281</v>
      </c>
      <c r="D321" s="60">
        <f t="shared" ref="D321" si="304">IF($A$64&lt;=D285,IF($B$64&gt;=D285,ABS(D320),0),0)</f>
        <v>472.9435849134349</v>
      </c>
      <c r="E321" s="60">
        <f t="shared" ref="E321" si="305">IF($A$64&lt;=E285,IF($B$64&gt;=E285,ABS(E320),0),0)</f>
        <v>8.3273200057636316</v>
      </c>
      <c r="F321" s="60">
        <f t="shared" ref="F321" si="306">IF($A$64&lt;=F285,IF($B$64&gt;=F285,ABS(F320),0),0)</f>
        <v>1.6214540123128405</v>
      </c>
      <c r="G321" s="60">
        <f t="shared" ref="G321" si="307">IF($A$64&lt;=G285,IF($B$64&gt;=G285,ABS(G320),0),0)</f>
        <v>0.58991016496643867</v>
      </c>
      <c r="H321" s="60">
        <f t="shared" ref="H321" si="308">IF($A$64&lt;=H285,IF($B$64&gt;=H285,ABS(H320),0),0)</f>
        <v>0.95304226727372943</v>
      </c>
      <c r="I321" s="60">
        <f t="shared" ref="I321" si="309">IF($A$64&lt;=I285,IF($B$64&gt;=I285,ABS(I320),0),0)</f>
        <v>1.0706906064507242</v>
      </c>
      <c r="J321" s="60">
        <f t="shared" ref="J321" si="310">IF($A$64&lt;=J285,IF($B$64&gt;=J285,ABS(J320),0),0)</f>
        <v>1.157566144086388</v>
      </c>
      <c r="K321" s="60">
        <f t="shared" ref="K321" si="311">IF($A$64&lt;=K285,IF($B$64&gt;=K285,ABS(K320),0),0)</f>
        <v>0.81689554144083609</v>
      </c>
      <c r="L321" s="60">
        <f t="shared" ref="L321" si="312">IF($A$64&lt;=L285,IF($B$64&gt;=L285,ABS(L320),0),0)</f>
        <v>1.7779521112617589</v>
      </c>
      <c r="M321" s="60">
        <f t="shared" ref="M321" si="313">IF($A$64&lt;=M285,IF($B$64&gt;=M285,ABS(M320),0),0)</f>
        <v>1.4836875936765057</v>
      </c>
      <c r="N321" s="60">
        <f t="shared" ref="N321" si="314">IF($A$64&lt;=N285,IF($B$64&gt;=N285,ABS(N320),0),0)</f>
        <v>2.3403743490709794</v>
      </c>
      <c r="O321" s="60">
        <f t="shared" ref="O321" si="315">IF($A$64&lt;=O285,IF($B$64&gt;=O285,ABS(O320),0),0)</f>
        <v>0.53164118418094874</v>
      </c>
      <c r="P321" s="60">
        <f t="shared" ref="P321" si="316">IF($A$64&lt;=P285,IF($B$64&gt;=P285,ABS(P320),0),0)</f>
        <v>1.542556993565726</v>
      </c>
      <c r="Q321" s="60">
        <f t="shared" ref="Q321" si="317">IF($A$64&lt;=Q285,IF($B$64&gt;=Q285,ABS(Q320),0),0)</f>
        <v>0.56275522535416223</v>
      </c>
      <c r="R321" s="60">
        <f t="shared" ref="R321" si="318">IF($A$64&lt;=R285,IF($B$64&gt;=R285,ABS(R320),0),0)</f>
        <v>1.3653031628324428</v>
      </c>
      <c r="S321" s="60">
        <f t="shared" ref="S321" si="319">IF($A$64&lt;=S285,IF($B$64&gt;=S285,ABS(S320),0),0)</f>
        <v>0.90538082629748973</v>
      </c>
      <c r="T321" s="60">
        <f t="shared" ref="T321" si="320">IF($A$64&lt;=T285,IF($B$64&gt;=T285,ABS(T320),0),0)</f>
        <v>1.2853592850749895</v>
      </c>
      <c r="U321" s="60">
        <f t="shared" ref="U321" si="321">IF($A$64&lt;=U285,IF($B$64&gt;=U285,ABS(U320),0),0)</f>
        <v>1.0343450482247896</v>
      </c>
      <c r="V321" s="60">
        <f t="shared" ref="V321" si="322">IF($A$64&lt;=V285,IF($B$64&gt;=V285,ABS(V320),0),0)</f>
        <v>1.4165235529961306</v>
      </c>
      <c r="W321" s="60">
        <f t="shared" ref="W321" si="323">IF($A$64&lt;=W285,IF($B$64&gt;=W285,ABS(W320),0),0)</f>
        <v>1.0480638046826785</v>
      </c>
      <c r="X321" s="60">
        <f t="shared" ref="X321" si="324">IF($A$64&lt;=X285,IF($B$64&gt;=X285,ABS(X320),0),0)</f>
        <v>3.2438249915746433</v>
      </c>
      <c r="Y321" s="60">
        <f t="shared" ref="Y321" si="325">IF($A$64&lt;=Y285,IF($B$64&gt;=Y285,ABS(Y320),0),0)</f>
        <v>3.6791017391183205</v>
      </c>
      <c r="Z321" s="60">
        <f t="shared" ref="Z321" si="326">IF($A$64&lt;=Z285,IF($B$64&gt;=Z285,ABS(Z320),0),0)</f>
        <v>4.0306110085738922</v>
      </c>
      <c r="AA321" s="60">
        <f t="shared" ref="AA321" si="327">IF($A$64&lt;=AA285,IF($B$64&gt;=AA285,ABS(AA320),0),0)</f>
        <v>3.0589010877715936</v>
      </c>
      <c r="AB321" s="60">
        <f t="shared" ref="AB321" si="328">IF($A$64&lt;=AB285,IF($B$64&gt;=AB285,ABS(AB320),0),0)</f>
        <v>1.5413030039752926</v>
      </c>
      <c r="AC321" s="60">
        <f t="shared" ref="AC321" si="329">IF($A$64&lt;=AC285,IF($B$64&gt;=AC285,ABS(AC320),0),0)</f>
        <v>0.42163616847831997</v>
      </c>
      <c r="AD321" s="60">
        <f t="shared" ref="AD321" si="330">IF($A$64&lt;=AD285,IF($B$64&gt;=AD285,ABS(AD320),0),0)</f>
        <v>0.13606737578616085</v>
      </c>
      <c r="AE321" s="60">
        <f t="shared" ref="AE321" si="331">IF($A$64&lt;=AE285,IF($B$64&gt;=AE285,ABS(AE320),0),0)</f>
        <v>1.1754003857468037E-2</v>
      </c>
      <c r="AF321" s="60">
        <f t="shared" ref="AF321" si="332">IF($A$64&lt;=AF285,IF($B$64&gt;=AF285,ABS(AF320),0),0)</f>
        <v>1.908702902391618E-2</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7" t="s">
        <v>22</v>
      </c>
      <c r="B326" s="27">
        <f>($C$17+SUM(B327:B357))*$B$51</f>
        <v>4553.5953321733377</v>
      </c>
      <c r="C326" s="27">
        <f t="shared" ref="C326:AF326" si="333">($C$17+SUM(C327:C357))*$B$51</f>
        <v>4395.4671807599007</v>
      </c>
      <c r="D326" s="27">
        <f t="shared" si="333"/>
        <v>4243.6029134534629</v>
      </c>
      <c r="E326" s="27">
        <f t="shared" si="333"/>
        <v>4073.4054294227994</v>
      </c>
      <c r="F326" s="27">
        <f t="shared" si="333"/>
        <v>3868.8219656797714</v>
      </c>
      <c r="G326" s="27">
        <f t="shared" si="333"/>
        <v>3657.1534241225149</v>
      </c>
      <c r="H326" s="27">
        <f t="shared" si="333"/>
        <v>3478.1422682809921</v>
      </c>
      <c r="I326" s="27">
        <f t="shared" si="333"/>
        <v>3315.5769400548797</v>
      </c>
      <c r="J326" s="27">
        <f t="shared" si="333"/>
        <v>3150.5723381923976</v>
      </c>
      <c r="K326" s="27">
        <f t="shared" si="333"/>
        <v>2975.3715267559769</v>
      </c>
      <c r="L326" s="27">
        <f t="shared" si="333"/>
        <v>2784.9012496352129</v>
      </c>
      <c r="M326" s="27">
        <f t="shared" si="333"/>
        <v>2585.4310005579164</v>
      </c>
      <c r="N326" s="27">
        <f t="shared" si="333"/>
        <v>2376.7258601966314</v>
      </c>
      <c r="O326" s="27">
        <f t="shared" si="333"/>
        <v>2160.2976256931743</v>
      </c>
      <c r="P326" s="27">
        <f t="shared" si="333"/>
        <v>1931.8630269578366</v>
      </c>
      <c r="Q326" s="27">
        <f t="shared" si="333"/>
        <v>1669.6632137709435</v>
      </c>
      <c r="R326" s="27">
        <f t="shared" si="333"/>
        <v>1380.2761454162855</v>
      </c>
      <c r="S326" s="27">
        <f t="shared" si="333"/>
        <v>1065.9375828230252</v>
      </c>
      <c r="T326" s="27">
        <f t="shared" si="333"/>
        <v>768.19962476168803</v>
      </c>
      <c r="U326" s="27">
        <f t="shared" si="333"/>
        <v>539.08126595169892</v>
      </c>
      <c r="V326" s="27">
        <f t="shared" si="333"/>
        <v>393.4455559787113</v>
      </c>
      <c r="W326" s="27">
        <f t="shared" si="333"/>
        <v>319.59688888159474</v>
      </c>
      <c r="X326" s="27">
        <f t="shared" si="333"/>
        <v>282.10960347218276</v>
      </c>
      <c r="Y326" s="27">
        <f t="shared" si="333"/>
        <v>263.60737987056183</v>
      </c>
      <c r="Z326" s="27">
        <f t="shared" si="333"/>
        <v>218.5673083891655</v>
      </c>
      <c r="AA326" s="27">
        <f t="shared" si="333"/>
        <v>194.88854391734938</v>
      </c>
      <c r="AB326" s="27">
        <f t="shared" si="333"/>
        <v>194.8879850805811</v>
      </c>
      <c r="AC326" s="27">
        <f t="shared" si="333"/>
        <v>194.8879850805811</v>
      </c>
      <c r="AD326" s="27">
        <f t="shared" si="333"/>
        <v>194.8879850805811</v>
      </c>
      <c r="AE326" s="27">
        <f t="shared" si="333"/>
        <v>194.8879850805811</v>
      </c>
      <c r="AF326" s="27">
        <f t="shared" si="333"/>
        <v>194.8879850805811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4.9009127419521539E-99</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5.2589528322989862E-11</v>
      </c>
      <c r="C332" s="3">
        <f t="shared" si="339"/>
        <v>1.7150164011539884E-89</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4.8337205356300678E-3</v>
      </c>
      <c r="C333" s="3">
        <f t="shared" si="340"/>
        <v>4.0191524152411532E-10</v>
      </c>
      <c r="D333" s="3">
        <f t="shared" si="340"/>
        <v>6.3483937739654455E-81</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2.5433458312199193E-2</v>
      </c>
      <c r="C334" s="3">
        <f t="shared" si="341"/>
        <v>5.8440947863226287E-3</v>
      </c>
      <c r="D334" s="3">
        <f t="shared" si="341"/>
        <v>2.3979249688888553E-9</v>
      </c>
      <c r="E334" s="3">
        <f t="shared" si="341"/>
        <v>3.24353789839758E-73</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2.6675468660296998E-2</v>
      </c>
      <c r="C335" s="3">
        <f t="shared" si="342"/>
        <v>2.3361303537039607E-2</v>
      </c>
      <c r="D335" s="3">
        <f t="shared" si="342"/>
        <v>6.1993650808007594E-3</v>
      </c>
      <c r="E335" s="3">
        <f t="shared" si="342"/>
        <v>1.0736151142925166E-8</v>
      </c>
      <c r="F335" s="3">
        <f t="shared" si="342"/>
        <v>2.6053295063240925E-66</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3.1969960540896486E-2</v>
      </c>
      <c r="C336" s="3">
        <f t="shared" si="343"/>
        <v>3.158964527680562E-2</v>
      </c>
      <c r="D336" s="3">
        <f t="shared" si="343"/>
        <v>2.8026653144077165E-2</v>
      </c>
      <c r="E336" s="3">
        <f t="shared" si="343"/>
        <v>8.4690780318212901E-3</v>
      </c>
      <c r="F336" s="3">
        <f t="shared" si="343"/>
        <v>5.3763197552083531E-8</v>
      </c>
      <c r="G336" s="3">
        <f t="shared" si="343"/>
        <v>5.714452806929889E-60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4.0916162880420812E-2</v>
      </c>
      <c r="C337" s="3">
        <f t="shared" si="344"/>
        <v>4.0872015511204049E-2</v>
      </c>
      <c r="D337" s="3">
        <f t="shared" si="344"/>
        <v>4.0433153213222016E-2</v>
      </c>
      <c r="E337" s="3">
        <f t="shared" si="344"/>
        <v>3.6295533240199157E-2</v>
      </c>
      <c r="F337" s="3">
        <f t="shared" si="344"/>
        <v>1.233130044773191E-2</v>
      </c>
      <c r="G337" s="3">
        <f t="shared" si="344"/>
        <v>2.526770859571823E-7</v>
      </c>
      <c r="H337" s="3">
        <f t="shared" si="344"/>
        <v>3.2971269051458604E-54</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4.0569382643464533E-2</v>
      </c>
      <c r="C338" s="3">
        <f t="shared" si="345"/>
        <v>4.0565431996937247E-2</v>
      </c>
      <c r="D338" s="3">
        <f t="shared" si="345"/>
        <v>4.0525946684752123E-2</v>
      </c>
      <c r="E338" s="3">
        <f t="shared" si="345"/>
        <v>4.0133201269530967E-2</v>
      </c>
      <c r="F338" s="3">
        <f t="shared" si="345"/>
        <v>3.6409117014566873E-2</v>
      </c>
      <c r="G338" s="3">
        <f t="shared" si="345"/>
        <v>1.3749078203314906E-2</v>
      </c>
      <c r="H338" s="3">
        <f t="shared" si="345"/>
        <v>8.1078916731055088E-7</v>
      </c>
      <c r="I338" s="3">
        <f t="shared" si="345"/>
        <v>4.1233622596363447E-49</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2.9319543392389884E-2</v>
      </c>
      <c r="C339" s="3">
        <f t="shared" si="346"/>
        <v>2.9319285823854929E-2</v>
      </c>
      <c r="D339" s="3">
        <f t="shared" si="346"/>
        <v>2.9316710262951021E-2</v>
      </c>
      <c r="E339" s="3">
        <f t="shared" si="346"/>
        <v>2.9290967094431079E-2</v>
      </c>
      <c r="F339" s="3">
        <f t="shared" si="346"/>
        <v>2.9034775426939642E-2</v>
      </c>
      <c r="G339" s="3">
        <f t="shared" si="346"/>
        <v>2.6592922914421425E-2</v>
      </c>
      <c r="H339" s="3">
        <f t="shared" si="346"/>
        <v>1.104694288432607E-2</v>
      </c>
      <c r="I339" s="3">
        <f t="shared" si="346"/>
        <v>1.6904504595944567E-6</v>
      </c>
      <c r="J339" s="3">
        <f t="shared" si="346"/>
        <v>1.1901613435436572E-44</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3.11701443129653E-2</v>
      </c>
      <c r="C340" s="3">
        <f t="shared" si="347"/>
        <v>3.11701196114984E-2</v>
      </c>
      <c r="D340" s="3">
        <f t="shared" si="347"/>
        <v>3.1169872597906052E-2</v>
      </c>
      <c r="E340" s="3">
        <f t="shared" si="347"/>
        <v>3.1167402569642857E-2</v>
      </c>
      <c r="F340" s="3">
        <f t="shared" si="347"/>
        <v>3.1142713049885144E-2</v>
      </c>
      <c r="G340" s="3">
        <f t="shared" si="347"/>
        <v>3.0896890990577644E-2</v>
      </c>
      <c r="H340" s="3">
        <f t="shared" si="347"/>
        <v>2.8542903215219712E-2</v>
      </c>
      <c r="I340" s="3">
        <f t="shared" si="347"/>
        <v>1.2922061027074312E-2</v>
      </c>
      <c r="J340" s="3">
        <f t="shared" si="347"/>
        <v>4.673779468053295E-6</v>
      </c>
      <c r="K340" s="3">
        <f t="shared" si="347"/>
        <v>1.7907398684507602E-40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2.9820997282232416E-2</v>
      </c>
      <c r="C341" s="3">
        <f t="shared" si="348"/>
        <v>2.982099515040108E-2</v>
      </c>
      <c r="D341" s="3">
        <f t="shared" si="348"/>
        <v>2.982097383209607E-2</v>
      </c>
      <c r="E341" s="3">
        <f t="shared" si="348"/>
        <v>2.9820760649884176E-2</v>
      </c>
      <c r="F341" s="3">
        <f t="shared" si="348"/>
        <v>2.9818628911582507E-2</v>
      </c>
      <c r="G341" s="3">
        <f t="shared" si="348"/>
        <v>2.9797319908075676E-2</v>
      </c>
      <c r="H341" s="3">
        <f t="shared" si="348"/>
        <v>2.9585065611809836E-2</v>
      </c>
      <c r="I341" s="3">
        <f t="shared" si="348"/>
        <v>2.7543927601211802E-2</v>
      </c>
      <c r="J341" s="3">
        <f t="shared" si="348"/>
        <v>1.3475943520983791E-2</v>
      </c>
      <c r="K341" s="3">
        <f t="shared" si="348"/>
        <v>1.0589911285932336E-5</v>
      </c>
      <c r="L341" s="3">
        <f t="shared" si="348"/>
        <v>9.5109460881372955E-37</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3.5099038781274863E-2</v>
      </c>
      <c r="C342" s="3">
        <f t="shared" si="349"/>
        <v>3.5099038554929025E-2</v>
      </c>
      <c r="D342" s="3">
        <f t="shared" si="349"/>
        <v>3.5099036291470757E-2</v>
      </c>
      <c r="E342" s="3">
        <f t="shared" si="349"/>
        <v>3.5099013656896098E-2</v>
      </c>
      <c r="F342" s="3">
        <f t="shared" si="349"/>
        <v>3.5098787311952304E-2</v>
      </c>
      <c r="G342" s="3">
        <f t="shared" si="349"/>
        <v>3.5096523942793181E-2</v>
      </c>
      <c r="H342" s="3">
        <f t="shared" si="349"/>
        <v>3.5073898277168586E-2</v>
      </c>
      <c r="I342" s="3">
        <f t="shared" si="349"/>
        <v>3.4848442305853655E-2</v>
      </c>
      <c r="J342" s="3">
        <f t="shared" si="349"/>
        <v>3.2672073121730455E-2</v>
      </c>
      <c r="K342" s="3">
        <f t="shared" si="349"/>
        <v>1.7143911386234476E-2</v>
      </c>
      <c r="L342" s="3">
        <f t="shared" si="349"/>
        <v>2.7129520752580991E-5</v>
      </c>
      <c r="M342" s="3">
        <f t="shared" si="349"/>
        <v>2.6715555497120562E-33</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3.532679300729364E-2</v>
      </c>
      <c r="C343" s="3">
        <f t="shared" si="350"/>
        <v>3.5326792986742871E-2</v>
      </c>
      <c r="D343" s="3">
        <f t="shared" si="350"/>
        <v>3.5326792781235183E-2</v>
      </c>
      <c r="E343" s="3">
        <f t="shared" si="350"/>
        <v>3.5326790726158297E-2</v>
      </c>
      <c r="F343" s="3">
        <f t="shared" si="350"/>
        <v>3.5326770175396004E-2</v>
      </c>
      <c r="G343" s="3">
        <f t="shared" si="350"/>
        <v>3.5326564668430642E-2</v>
      </c>
      <c r="H343" s="3">
        <f t="shared" si="350"/>
        <v>3.5324509664528304E-2</v>
      </c>
      <c r="I343" s="3">
        <f t="shared" si="350"/>
        <v>3.5303966199218779E-2</v>
      </c>
      <c r="J343" s="3">
        <f t="shared" si="350"/>
        <v>3.5099187504773831E-2</v>
      </c>
      <c r="K343" s="3">
        <f t="shared" si="350"/>
        <v>3.3115606232309122E-2</v>
      </c>
      <c r="L343" s="3">
        <f t="shared" si="350"/>
        <v>1.8509265105261807E-2</v>
      </c>
      <c r="M343" s="3">
        <f t="shared" si="350"/>
        <v>5.5074914920576659E-5</v>
      </c>
      <c r="N343" s="3">
        <f t="shared" si="350"/>
        <v>2.996404400542637E-30</v>
      </c>
      <c r="O343" s="3">
        <f t="shared" si="350"/>
        <v>6.8087335498060312E-283</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3.9296148740491747E-2</v>
      </c>
      <c r="C344" s="3">
        <f t="shared" si="351"/>
        <v>3.9296148738429598E-2</v>
      </c>
      <c r="D344" s="3">
        <f t="shared" si="351"/>
        <v>3.9296148717808087E-2</v>
      </c>
      <c r="E344" s="3">
        <f t="shared" si="351"/>
        <v>3.9296148511592993E-2</v>
      </c>
      <c r="F344" s="3">
        <f t="shared" si="351"/>
        <v>3.9296146449442085E-2</v>
      </c>
      <c r="G344" s="3">
        <f t="shared" si="351"/>
        <v>3.9296125827939017E-2</v>
      </c>
      <c r="H344" s="3">
        <f t="shared" si="351"/>
        <v>3.9295919613503517E-2</v>
      </c>
      <c r="I344" s="3">
        <f t="shared" si="351"/>
        <v>3.9293857528665918E-2</v>
      </c>
      <c r="J344" s="3">
        <f t="shared" si="351"/>
        <v>3.9273242630878495E-2</v>
      </c>
      <c r="K344" s="3">
        <f t="shared" si="351"/>
        <v>3.9067687558080398E-2</v>
      </c>
      <c r="L344" s="3">
        <f t="shared" si="351"/>
        <v>3.7070390186540229E-2</v>
      </c>
      <c r="M344" s="3">
        <f t="shared" si="351"/>
        <v>2.1934193558236028E-2</v>
      </c>
      <c r="N344" s="3">
        <f t="shared" si="351"/>
        <v>1.1536307268964928E-4</v>
      </c>
      <c r="O344" s="3">
        <f t="shared" si="351"/>
        <v>1.868608192306212E-27</v>
      </c>
      <c r="P344" s="3">
        <f t="shared" si="351"/>
        <v>2.3229110746437387E-255</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3.6971709953262204E-2</v>
      </c>
      <c r="C345" s="3">
        <f t="shared" si="352"/>
        <v>3.6971709953087184E-2</v>
      </c>
      <c r="D345" s="3">
        <f t="shared" si="352"/>
        <v>3.6971709951336994E-2</v>
      </c>
      <c r="E345" s="3">
        <f t="shared" si="352"/>
        <v>3.6971709933835036E-2</v>
      </c>
      <c r="F345" s="3">
        <f t="shared" si="352"/>
        <v>3.6971709758815474E-2</v>
      </c>
      <c r="G345" s="3">
        <f t="shared" si="352"/>
        <v>3.6971708008619895E-2</v>
      </c>
      <c r="H345" s="3">
        <f t="shared" si="352"/>
        <v>3.6971690506668632E-2</v>
      </c>
      <c r="I345" s="3">
        <f t="shared" si="352"/>
        <v>3.6971515487611739E-2</v>
      </c>
      <c r="J345" s="3">
        <f t="shared" si="352"/>
        <v>3.6969765342610587E-2</v>
      </c>
      <c r="K345" s="3">
        <f t="shared" si="352"/>
        <v>3.6952268448579226E-2</v>
      </c>
      <c r="L345" s="3">
        <f t="shared" si="352"/>
        <v>3.6777754309297556E-2</v>
      </c>
      <c r="M345" s="3">
        <f t="shared" si="352"/>
        <v>3.5077306406139229E-2</v>
      </c>
      <c r="N345" s="3">
        <f t="shared" si="352"/>
        <v>2.1849249723898543E-2</v>
      </c>
      <c r="O345" s="3">
        <f t="shared" si="352"/>
        <v>1.9210534505086993E-4</v>
      </c>
      <c r="P345" s="3">
        <f t="shared" si="352"/>
        <v>5.3035742182074602E-25</v>
      </c>
      <c r="Q345" s="3">
        <f t="shared" si="352"/>
        <v>1.3641454280486505E-230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4.6436807195406334E-2</v>
      </c>
      <c r="C346" s="3">
        <f t="shared" si="353"/>
        <v>4.6436807195386495E-2</v>
      </c>
      <c r="D346" s="3">
        <f t="shared" si="353"/>
        <v>4.6436807195188196E-2</v>
      </c>
      <c r="E346" s="3">
        <f t="shared" si="353"/>
        <v>4.6436807193205185E-2</v>
      </c>
      <c r="F346" s="3">
        <f t="shared" si="353"/>
        <v>4.6436807173375033E-2</v>
      </c>
      <c r="G346" s="3">
        <f t="shared" si="353"/>
        <v>4.6436806975073533E-2</v>
      </c>
      <c r="H346" s="3">
        <f t="shared" si="353"/>
        <v>4.6436804992058579E-2</v>
      </c>
      <c r="I346" s="3">
        <f t="shared" si="353"/>
        <v>4.6436785161913671E-2</v>
      </c>
      <c r="J346" s="3">
        <f t="shared" si="353"/>
        <v>4.6436586860930371E-2</v>
      </c>
      <c r="K346" s="3">
        <f t="shared" si="353"/>
        <v>4.6434603897671498E-2</v>
      </c>
      <c r="L346" s="3">
        <f t="shared" si="353"/>
        <v>4.6414778921759568E-2</v>
      </c>
      <c r="M346" s="3">
        <f t="shared" si="353"/>
        <v>4.6216994095392684E-2</v>
      </c>
      <c r="N346" s="3">
        <f t="shared" si="353"/>
        <v>4.4284912814822781E-2</v>
      </c>
      <c r="O346" s="3">
        <f t="shared" si="353"/>
        <v>2.8893275190954467E-2</v>
      </c>
      <c r="P346" s="3">
        <f t="shared" si="353"/>
        <v>4.0383743413847917E-4</v>
      </c>
      <c r="Q346" s="3">
        <f t="shared" si="353"/>
        <v>1.1489591088769477E-22</v>
      </c>
      <c r="R346" s="3">
        <f t="shared" si="353"/>
        <v>3.9928643804532713E-208</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2.2680118097774583E-2</v>
      </c>
      <c r="C347" s="3">
        <f t="shared" si="354"/>
        <v>2.2680118097773708E-2</v>
      </c>
      <c r="D347" s="3">
        <f t="shared" si="354"/>
        <v>2.2680118097764972E-2</v>
      </c>
      <c r="E347" s="3">
        <f t="shared" si="354"/>
        <v>2.2680118097677605E-2</v>
      </c>
      <c r="F347" s="3">
        <f t="shared" si="354"/>
        <v>2.2680118096803918E-2</v>
      </c>
      <c r="G347" s="3">
        <f t="shared" si="354"/>
        <v>2.2680118088067053E-2</v>
      </c>
      <c r="H347" s="3">
        <f t="shared" si="354"/>
        <v>2.268011800069842E-2</v>
      </c>
      <c r="I347" s="3">
        <f t="shared" si="354"/>
        <v>2.2680117127012088E-2</v>
      </c>
      <c r="J347" s="3">
        <f t="shared" si="354"/>
        <v>2.2680108390150618E-2</v>
      </c>
      <c r="K347" s="3">
        <f t="shared" si="354"/>
        <v>2.2680021021721036E-2</v>
      </c>
      <c r="L347" s="3">
        <f t="shared" si="354"/>
        <v>2.2679147355935878E-2</v>
      </c>
      <c r="M347" s="3">
        <f t="shared" si="354"/>
        <v>2.267041254888523E-2</v>
      </c>
      <c r="N347" s="3">
        <f t="shared" si="354"/>
        <v>2.2583249294943434E-2</v>
      </c>
      <c r="O347" s="3">
        <f t="shared" si="354"/>
        <v>2.1729837681808896E-2</v>
      </c>
      <c r="P347" s="3">
        <f t="shared" si="354"/>
        <v>1.4782810763055973E-2</v>
      </c>
      <c r="Q347" s="3">
        <f t="shared" si="354"/>
        <v>3.138790792169392E-4</v>
      </c>
      <c r="R347" s="3">
        <f t="shared" si="354"/>
        <v>5.845422330386209E-21</v>
      </c>
      <c r="S347" s="3">
        <f t="shared" si="354"/>
        <v>2.9332639060552296E-188</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4.4296427252304031E-2</v>
      </c>
      <c r="C348" s="3">
        <f t="shared" si="355"/>
        <v>4.4296427252303559E-2</v>
      </c>
      <c r="D348" s="3">
        <f t="shared" si="355"/>
        <v>4.4296427252298841E-2</v>
      </c>
      <c r="E348" s="3">
        <f t="shared" si="355"/>
        <v>4.4296427252251649E-2</v>
      </c>
      <c r="F348" s="3">
        <f t="shared" si="355"/>
        <v>4.4296427251779701E-2</v>
      </c>
      <c r="G348" s="3">
        <f t="shared" si="355"/>
        <v>4.4296427247060247E-2</v>
      </c>
      <c r="H348" s="3">
        <f t="shared" si="355"/>
        <v>4.42964271998657E-2</v>
      </c>
      <c r="I348" s="3">
        <f t="shared" si="355"/>
        <v>4.4296426727920259E-2</v>
      </c>
      <c r="J348" s="3">
        <f t="shared" si="355"/>
        <v>4.4296422008466084E-2</v>
      </c>
      <c r="K348" s="3">
        <f t="shared" si="355"/>
        <v>4.4296374813952037E-2</v>
      </c>
      <c r="L348" s="3">
        <f t="shared" si="355"/>
        <v>4.4295902871577031E-2</v>
      </c>
      <c r="M348" s="3">
        <f t="shared" si="355"/>
        <v>4.4291183724367335E-2</v>
      </c>
      <c r="N348" s="3">
        <f t="shared" si="355"/>
        <v>4.4244019895411067E-2</v>
      </c>
      <c r="O348" s="3">
        <f t="shared" si="355"/>
        <v>4.3775135053768205E-2</v>
      </c>
      <c r="P348" s="3">
        <f t="shared" si="355"/>
        <v>3.9351079574655612E-2</v>
      </c>
      <c r="Q348" s="3">
        <f t="shared" si="355"/>
        <v>1.3559641891109529E-2</v>
      </c>
      <c r="R348" s="3">
        <f t="shared" si="355"/>
        <v>3.2001026189387065E-7</v>
      </c>
      <c r="S348" s="3">
        <f t="shared" si="355"/>
        <v>1.715223655078283E-53</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5.3706126554366816E-2</v>
      </c>
      <c r="C349" s="3">
        <f t="shared" si="356"/>
        <v>5.3706126554366761E-2</v>
      </c>
      <c r="D349" s="3">
        <f t="shared" si="356"/>
        <v>5.3706126554366185E-2</v>
      </c>
      <c r="E349" s="3">
        <f t="shared" si="356"/>
        <v>5.3706126554360467E-2</v>
      </c>
      <c r="F349" s="3">
        <f t="shared" si="356"/>
        <v>5.3706126554303242E-2</v>
      </c>
      <c r="G349" s="3">
        <f t="shared" si="356"/>
        <v>5.3706126553731047E-2</v>
      </c>
      <c r="H349" s="3">
        <f t="shared" si="356"/>
        <v>5.3706126548009055E-2</v>
      </c>
      <c r="I349" s="3">
        <f t="shared" si="356"/>
        <v>5.370612649078918E-2</v>
      </c>
      <c r="J349" s="3">
        <f t="shared" si="356"/>
        <v>5.3706125918590399E-2</v>
      </c>
      <c r="K349" s="3">
        <f t="shared" si="356"/>
        <v>5.3706120196602897E-2</v>
      </c>
      <c r="L349" s="3">
        <f t="shared" si="356"/>
        <v>5.3706062976761441E-2</v>
      </c>
      <c r="M349" s="3">
        <f t="shared" si="356"/>
        <v>5.3705490781699887E-2</v>
      </c>
      <c r="N349" s="3">
        <f t="shared" si="356"/>
        <v>5.3699769166368948E-2</v>
      </c>
      <c r="O349" s="3">
        <f t="shared" si="356"/>
        <v>5.3642586528313593E-2</v>
      </c>
      <c r="P349" s="3">
        <f t="shared" si="356"/>
        <v>5.3074098498765203E-2</v>
      </c>
      <c r="Q349" s="3">
        <f t="shared" si="356"/>
        <v>4.7710259964080633E-2</v>
      </c>
      <c r="R349" s="3">
        <f t="shared" si="356"/>
        <v>1.6440058230609175E-2</v>
      </c>
      <c r="S349" s="3">
        <f t="shared" si="356"/>
        <v>3.879886638729838E-7</v>
      </c>
      <c r="T349" s="3">
        <f t="shared" si="356"/>
        <v>2.0795812304227393E-53</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5.7988003135982742E-2</v>
      </c>
      <c r="C350" s="3">
        <f t="shared" si="357"/>
        <v>5.7988003135982735E-2</v>
      </c>
      <c r="D350" s="3">
        <f t="shared" si="357"/>
        <v>5.7988003135982673E-2</v>
      </c>
      <c r="E350" s="3">
        <f t="shared" si="357"/>
        <v>5.7988003135982055E-2</v>
      </c>
      <c r="F350" s="3">
        <f t="shared" si="357"/>
        <v>5.798800313597588E-2</v>
      </c>
      <c r="G350" s="3">
        <f t="shared" si="357"/>
        <v>5.7988003135914096E-2</v>
      </c>
      <c r="H350" s="3">
        <f t="shared" si="357"/>
        <v>5.7988003135296277E-2</v>
      </c>
      <c r="I350" s="3">
        <f t="shared" si="357"/>
        <v>5.7988003129118088E-2</v>
      </c>
      <c r="J350" s="3">
        <f t="shared" si="357"/>
        <v>5.7988003067336188E-2</v>
      </c>
      <c r="K350" s="3">
        <f t="shared" si="357"/>
        <v>5.7988002449517198E-2</v>
      </c>
      <c r="L350" s="3">
        <f t="shared" si="357"/>
        <v>5.7987996271327662E-2</v>
      </c>
      <c r="M350" s="3">
        <f t="shared" si="357"/>
        <v>5.7987934489468526E-2</v>
      </c>
      <c r="N350" s="3">
        <f t="shared" si="357"/>
        <v>5.7987316674497441E-2</v>
      </c>
      <c r="O350" s="3">
        <f t="shared" si="357"/>
        <v>5.7981138886802827E-2</v>
      </c>
      <c r="P350" s="3">
        <f t="shared" si="357"/>
        <v>5.7919397197211397E-2</v>
      </c>
      <c r="Q350" s="3">
        <f t="shared" si="357"/>
        <v>5.7305584812010806E-2</v>
      </c>
      <c r="R350" s="3">
        <f t="shared" si="357"/>
        <v>5.1514098705573219E-2</v>
      </c>
      <c r="S350" s="3">
        <f t="shared" si="357"/>
        <v>1.7750789516858E-2</v>
      </c>
      <c r="T350" s="3">
        <f t="shared" si="357"/>
        <v>4.1892218450378971E-7</v>
      </c>
      <c r="U350" s="3">
        <f t="shared" si="357"/>
        <v>2.2453818707109771E-53</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5.3687364876348918E-2</v>
      </c>
      <c r="C351" s="3">
        <f t="shared" si="358"/>
        <v>5.3687364876348918E-2</v>
      </c>
      <c r="D351" s="3">
        <f t="shared" si="358"/>
        <v>5.3687364876348911E-2</v>
      </c>
      <c r="E351" s="3">
        <f t="shared" si="358"/>
        <v>5.3687364876348856E-2</v>
      </c>
      <c r="F351" s="3">
        <f t="shared" si="358"/>
        <v>5.368736487634828E-2</v>
      </c>
      <c r="G351" s="3">
        <f t="shared" si="358"/>
        <v>5.3687364876342562E-2</v>
      </c>
      <c r="H351" s="3">
        <f t="shared" si="358"/>
        <v>5.3687364876285365E-2</v>
      </c>
      <c r="I351" s="3">
        <f t="shared" si="358"/>
        <v>5.3687364875713364E-2</v>
      </c>
      <c r="J351" s="3">
        <f t="shared" si="358"/>
        <v>5.3687364869993377E-2</v>
      </c>
      <c r="K351" s="3">
        <f t="shared" si="358"/>
        <v>5.3687364812793487E-2</v>
      </c>
      <c r="L351" s="3">
        <f t="shared" si="358"/>
        <v>5.3687364240794594E-2</v>
      </c>
      <c r="M351" s="3">
        <f t="shared" si="358"/>
        <v>5.3687358520806014E-2</v>
      </c>
      <c r="N351" s="3">
        <f t="shared" si="358"/>
        <v>5.3687301320953715E-2</v>
      </c>
      <c r="O351" s="3">
        <f t="shared" si="358"/>
        <v>5.3686729325782563E-2</v>
      </c>
      <c r="P351" s="3">
        <f t="shared" si="358"/>
        <v>5.3681009709238572E-2</v>
      </c>
      <c r="Q351" s="3">
        <f t="shared" si="358"/>
        <v>5.3623847047344457E-2</v>
      </c>
      <c r="R351" s="3">
        <f t="shared" si="358"/>
        <v>5.3055557613190141E-2</v>
      </c>
      <c r="S351" s="3">
        <f t="shared" si="358"/>
        <v>4.7693592879838563E-2</v>
      </c>
      <c r="T351" s="3">
        <f t="shared" si="358"/>
        <v>1.6434315066860321E-2</v>
      </c>
      <c r="U351" s="3">
        <f t="shared" si="358"/>
        <v>3.8785312405931255E-7</v>
      </c>
      <c r="V351" s="3">
        <f t="shared" si="358"/>
        <v>2.0788547502991395E-53</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3.7741648856749126E-2</v>
      </c>
      <c r="C352" s="3">
        <f t="shared" si="359"/>
        <v>3.7741648856749126E-2</v>
      </c>
      <c r="D352" s="3">
        <f t="shared" si="359"/>
        <v>3.7741648856749126E-2</v>
      </c>
      <c r="E352" s="3">
        <f t="shared" si="359"/>
        <v>3.7741648856749119E-2</v>
      </c>
      <c r="F352" s="3">
        <f t="shared" si="359"/>
        <v>3.7741648856749077E-2</v>
      </c>
      <c r="G352" s="3">
        <f t="shared" si="359"/>
        <v>3.7741648856748675E-2</v>
      </c>
      <c r="H352" s="3">
        <f t="shared" si="359"/>
        <v>3.7741648856744657E-2</v>
      </c>
      <c r="I352" s="3">
        <f t="shared" si="359"/>
        <v>3.7741648856704446E-2</v>
      </c>
      <c r="J352" s="3">
        <f t="shared" si="359"/>
        <v>3.7741648856302337E-2</v>
      </c>
      <c r="K352" s="3">
        <f t="shared" si="359"/>
        <v>3.7741648852281248E-2</v>
      </c>
      <c r="L352" s="3">
        <f t="shared" si="359"/>
        <v>3.774164881207033E-2</v>
      </c>
      <c r="M352" s="3">
        <f t="shared" si="359"/>
        <v>3.7741648409961172E-2</v>
      </c>
      <c r="N352" s="3">
        <f t="shared" si="359"/>
        <v>3.7741644388869781E-2</v>
      </c>
      <c r="O352" s="3">
        <f t="shared" si="359"/>
        <v>3.7741604177979469E-2</v>
      </c>
      <c r="P352" s="3">
        <f t="shared" si="359"/>
        <v>3.7741202071432667E-2</v>
      </c>
      <c r="Q352" s="3">
        <f t="shared" si="359"/>
        <v>3.7737181241583866E-2</v>
      </c>
      <c r="R352" s="3">
        <f t="shared" si="359"/>
        <v>3.7696996495733624E-2</v>
      </c>
      <c r="S352" s="3">
        <f t="shared" si="359"/>
        <v>3.7297495042789314E-2</v>
      </c>
      <c r="T352" s="3">
        <f t="shared" si="359"/>
        <v>3.3528090628649816E-2</v>
      </c>
      <c r="U352" s="3">
        <f t="shared" si="359"/>
        <v>1.1553149421343051E-2</v>
      </c>
      <c r="V352" s="3">
        <f t="shared" si="359"/>
        <v>2.7265663811129525E-7</v>
      </c>
      <c r="W352" s="3">
        <f t="shared" si="359"/>
        <v>1.4614128704338591E-53</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2.2979827884217336E-2</v>
      </c>
      <c r="C353" s="3">
        <f t="shared" si="360"/>
        <v>2.2979827884217336E-2</v>
      </c>
      <c r="D353" s="3">
        <f t="shared" si="360"/>
        <v>2.2979827884217336E-2</v>
      </c>
      <c r="E353" s="3">
        <f t="shared" si="360"/>
        <v>2.2979827884217336E-2</v>
      </c>
      <c r="F353" s="3">
        <f t="shared" si="360"/>
        <v>2.2979827884217333E-2</v>
      </c>
      <c r="G353" s="3">
        <f t="shared" si="360"/>
        <v>2.2979827884217308E-2</v>
      </c>
      <c r="H353" s="3">
        <f t="shared" si="360"/>
        <v>2.2979827884217062E-2</v>
      </c>
      <c r="I353" s="3">
        <f t="shared" si="360"/>
        <v>2.2979827884214616E-2</v>
      </c>
      <c r="J353" s="3">
        <f t="shared" si="360"/>
        <v>2.2979827884190132E-2</v>
      </c>
      <c r="K353" s="3">
        <f t="shared" si="360"/>
        <v>2.29798278839453E-2</v>
      </c>
      <c r="L353" s="3">
        <f t="shared" si="360"/>
        <v>2.297982788149697E-2</v>
      </c>
      <c r="M353" s="3">
        <f t="shared" si="360"/>
        <v>2.2979827857013673E-2</v>
      </c>
      <c r="N353" s="3">
        <f t="shared" si="360"/>
        <v>2.2979827612180721E-2</v>
      </c>
      <c r="O353" s="3">
        <f t="shared" si="360"/>
        <v>2.2979825163851334E-2</v>
      </c>
      <c r="P353" s="3">
        <f t="shared" si="360"/>
        <v>2.2979800680571819E-2</v>
      </c>
      <c r="Q353" s="3">
        <f t="shared" si="360"/>
        <v>2.2979555849211332E-2</v>
      </c>
      <c r="R353" s="3">
        <f t="shared" si="360"/>
        <v>2.2977107679068368E-2</v>
      </c>
      <c r="S353" s="3">
        <f t="shared" si="360"/>
        <v>2.2952640318177106E-2</v>
      </c>
      <c r="T353" s="3">
        <f t="shared" si="360"/>
        <v>2.2709395126028768E-2</v>
      </c>
      <c r="U353" s="3">
        <f t="shared" si="360"/>
        <v>2.0414310854758384E-2</v>
      </c>
      <c r="V353" s="3">
        <f t="shared" si="360"/>
        <v>7.0343875602995138E-3</v>
      </c>
      <c r="W353" s="3">
        <f t="shared" si="360"/>
        <v>1.6601295399330324E-7</v>
      </c>
      <c r="X353" s="3">
        <f t="shared" si="360"/>
        <v>8.8981317053254885E-54</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9.4093651761472351E-3</v>
      </c>
      <c r="C354" s="3">
        <f t="shared" si="361"/>
        <v>9.4093651761472351E-3</v>
      </c>
      <c r="D354" s="3">
        <f t="shared" si="361"/>
        <v>9.4093651761472351E-3</v>
      </c>
      <c r="E354" s="3">
        <f t="shared" si="361"/>
        <v>9.4093651761472351E-3</v>
      </c>
      <c r="F354" s="3">
        <f t="shared" si="361"/>
        <v>9.4093651761472351E-3</v>
      </c>
      <c r="G354" s="3">
        <f t="shared" si="361"/>
        <v>9.4093651761472333E-3</v>
      </c>
      <c r="H354" s="3">
        <f t="shared" si="361"/>
        <v>9.4093651761472229E-3</v>
      </c>
      <c r="I354" s="3">
        <f t="shared" si="361"/>
        <v>9.4093651761471241E-3</v>
      </c>
      <c r="J354" s="3">
        <f t="shared" si="361"/>
        <v>9.4093651761461214E-3</v>
      </c>
      <c r="K354" s="3">
        <f t="shared" si="361"/>
        <v>9.4093651761360964E-3</v>
      </c>
      <c r="L354" s="3">
        <f t="shared" si="361"/>
        <v>9.4093651760358468E-3</v>
      </c>
      <c r="M354" s="3">
        <f t="shared" si="361"/>
        <v>9.4093651750333483E-3</v>
      </c>
      <c r="N354" s="3">
        <f t="shared" si="361"/>
        <v>9.4093651650083709E-3</v>
      </c>
      <c r="O354" s="3">
        <f t="shared" si="361"/>
        <v>9.409365064758592E-3</v>
      </c>
      <c r="P354" s="3">
        <f t="shared" si="361"/>
        <v>9.4093640622608631E-3</v>
      </c>
      <c r="Q354" s="3">
        <f t="shared" si="361"/>
        <v>9.4093540372894476E-3</v>
      </c>
      <c r="R354" s="3">
        <f t="shared" si="361"/>
        <v>9.4092537881627341E-3</v>
      </c>
      <c r="S354" s="3">
        <f t="shared" si="361"/>
        <v>9.4082513556378016E-3</v>
      </c>
      <c r="T354" s="3">
        <f t="shared" si="361"/>
        <v>9.3982329022933107E-3</v>
      </c>
      <c r="U354" s="3">
        <f t="shared" si="361"/>
        <v>9.2986332511646019E-3</v>
      </c>
      <c r="V354" s="3">
        <f t="shared" si="361"/>
        <v>8.3588835660398254E-3</v>
      </c>
      <c r="W354" s="3">
        <f t="shared" si="361"/>
        <v>2.8803140597438758E-3</v>
      </c>
      <c r="X354" s="3">
        <f t="shared" si="361"/>
        <v>6.7975988156410982E-8</v>
      </c>
      <c r="Y354" s="3">
        <f t="shared" si="361"/>
        <v>3.6434463749123444E-54</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6.2705621285313361E-3</v>
      </c>
      <c r="C355" s="3">
        <f t="shared" si="362"/>
        <v>6.2705621285313361E-3</v>
      </c>
      <c r="D355" s="3">
        <f t="shared" si="362"/>
        <v>6.2705621285313361E-3</v>
      </c>
      <c r="E355" s="3">
        <f t="shared" si="362"/>
        <v>6.2705621285313361E-3</v>
      </c>
      <c r="F355" s="3">
        <f t="shared" si="362"/>
        <v>6.2705621285313361E-3</v>
      </c>
      <c r="G355" s="3">
        <f t="shared" si="362"/>
        <v>6.2705621285313361E-3</v>
      </c>
      <c r="H355" s="3">
        <f t="shared" si="362"/>
        <v>6.2705621285313352E-3</v>
      </c>
      <c r="I355" s="3">
        <f t="shared" si="362"/>
        <v>6.2705621285313283E-3</v>
      </c>
      <c r="J355" s="3">
        <f t="shared" si="362"/>
        <v>6.2705621285312615E-3</v>
      </c>
      <c r="K355" s="3">
        <f t="shared" si="362"/>
        <v>6.2705621285305936E-3</v>
      </c>
      <c r="L355" s="3">
        <f t="shared" si="362"/>
        <v>6.2705621285239132E-3</v>
      </c>
      <c r="M355" s="3">
        <f t="shared" si="362"/>
        <v>6.2705621284571047E-3</v>
      </c>
      <c r="N355" s="3">
        <f t="shared" si="362"/>
        <v>6.2705621277890228E-3</v>
      </c>
      <c r="O355" s="3">
        <f t="shared" si="362"/>
        <v>6.2705621211082063E-3</v>
      </c>
      <c r="P355" s="3">
        <f t="shared" si="362"/>
        <v>6.2705620543000362E-3</v>
      </c>
      <c r="Q355" s="3">
        <f t="shared" si="362"/>
        <v>6.2705613862183776E-3</v>
      </c>
      <c r="R355" s="3">
        <f t="shared" si="362"/>
        <v>6.2705547054057063E-3</v>
      </c>
      <c r="S355" s="3">
        <f t="shared" si="362"/>
        <v>6.2704878976704743E-3</v>
      </c>
      <c r="T355" s="3">
        <f t="shared" si="362"/>
        <v>6.2698198594649665E-3</v>
      </c>
      <c r="U355" s="3">
        <f t="shared" si="362"/>
        <v>6.2631433905478411E-3</v>
      </c>
      <c r="V355" s="3">
        <f t="shared" si="362"/>
        <v>6.1967684769706922E-3</v>
      </c>
      <c r="W355" s="3">
        <f t="shared" si="362"/>
        <v>5.570503189618381E-3</v>
      </c>
      <c r="X355" s="3">
        <f t="shared" si="362"/>
        <v>1.9194906269650849E-3</v>
      </c>
      <c r="Y355" s="3">
        <f t="shared" si="362"/>
        <v>4.5300362883526321E-8</v>
      </c>
      <c r="Z355" s="3">
        <f t="shared" si="362"/>
        <v>2.4280550736595876E-54</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1.3778594746513384E-2</v>
      </c>
      <c r="C357" s="3">
        <f t="shared" si="364"/>
        <v>1.3778594746513384E-2</v>
      </c>
      <c r="D357" s="3">
        <f t="shared" si="364"/>
        <v>1.3778594746513384E-2</v>
      </c>
      <c r="E357" s="3">
        <f t="shared" si="364"/>
        <v>1.3778594746513384E-2</v>
      </c>
      <c r="F357" s="3">
        <f t="shared" si="364"/>
        <v>1.3778594746513384E-2</v>
      </c>
      <c r="G357" s="3">
        <f t="shared" si="364"/>
        <v>1.3778594746513384E-2</v>
      </c>
      <c r="H357" s="3">
        <f t="shared" si="364"/>
        <v>1.3778594746513384E-2</v>
      </c>
      <c r="I357" s="3">
        <f t="shared" si="364"/>
        <v>1.3778594746513384E-2</v>
      </c>
      <c r="J357" s="3">
        <f t="shared" si="364"/>
        <v>1.3778594746513382E-2</v>
      </c>
      <c r="K357" s="3">
        <f t="shared" si="364"/>
        <v>1.3778594746513367E-2</v>
      </c>
      <c r="L357" s="3">
        <f t="shared" si="364"/>
        <v>1.3778594746513221E-2</v>
      </c>
      <c r="M357" s="3">
        <f t="shared" si="364"/>
        <v>1.3778594746511753E-2</v>
      </c>
      <c r="N357" s="3">
        <f t="shared" si="364"/>
        <v>1.3778594746497072E-2</v>
      </c>
      <c r="O357" s="3">
        <f t="shared" si="364"/>
        <v>1.3778594746350271E-2</v>
      </c>
      <c r="P357" s="3">
        <f t="shared" si="364"/>
        <v>1.3778594744882265E-2</v>
      </c>
      <c r="Q357" s="3">
        <f t="shared" si="364"/>
        <v>1.3778594730202199E-2</v>
      </c>
      <c r="R357" s="3">
        <f t="shared" si="364"/>
        <v>1.3778594583401534E-2</v>
      </c>
      <c r="S357" s="3">
        <f t="shared" si="364"/>
        <v>1.3778593115394958E-2</v>
      </c>
      <c r="T357" s="3">
        <f t="shared" si="364"/>
        <v>1.3778578435337812E-2</v>
      </c>
      <c r="U357" s="3">
        <f t="shared" si="364"/>
        <v>1.3778431635626589E-2</v>
      </c>
      <c r="V357" s="3">
        <f t="shared" si="364"/>
        <v>1.3776963724533417E-2</v>
      </c>
      <c r="W357" s="3">
        <f t="shared" si="364"/>
        <v>1.3762293212119834E-2</v>
      </c>
      <c r="X357" s="3">
        <f t="shared" si="364"/>
        <v>1.3616444559835036E-2</v>
      </c>
      <c r="Y357" s="3">
        <f t="shared" si="364"/>
        <v>1.2240323022186337E-2</v>
      </c>
      <c r="Z357" s="3">
        <f t="shared" si="364"/>
        <v>4.2177850927182037E-3</v>
      </c>
      <c r="AA357" s="3">
        <f t="shared" si="364"/>
        <v>9.9540572160521333E-8</v>
      </c>
      <c r="AB357" s="3">
        <f t="shared" si="364"/>
        <v>5.335277156404938E-54</v>
      </c>
      <c r="AC357" s="3">
        <f t="shared" si="364"/>
        <v>0</v>
      </c>
      <c r="AD357" s="3">
        <f t="shared" si="364"/>
        <v>0</v>
      </c>
      <c r="AE357" s="3">
        <f t="shared" si="364"/>
        <v>0</v>
      </c>
      <c r="AF357" s="3">
        <f t="shared" si="364"/>
        <v>0</v>
      </c>
      <c r="AG357" s="3"/>
      <c r="AH357" s="3"/>
    </row>
    <row r="358" spans="1:34" x14ac:dyDescent="0.25">
      <c r="A358" s="79">
        <f>AVERAGE(B358:AF358)</f>
        <v>4.5558046362881154E-2</v>
      </c>
      <c r="B358" s="80">
        <f>IF($A$64&lt;=B324,IF($B$64&gt;=B324,ABS((B326-B325)/B325),0),0)</f>
        <v>2.8485681133655939E-3</v>
      </c>
      <c r="C358" s="80">
        <f t="shared" ref="C358:AF358" si="365">IF($A$64&lt;=C324,IF($B$64&gt;=C324,ABS((C326-C325)/C325),0),0)</f>
        <v>6.3068965958013069E-3</v>
      </c>
      <c r="D358" s="80">
        <f t="shared" si="365"/>
        <v>7.5636108189544565E-3</v>
      </c>
      <c r="E358" s="80">
        <f t="shared" si="365"/>
        <v>9.4889306310133089E-3</v>
      </c>
      <c r="F358" s="80">
        <f t="shared" si="365"/>
        <v>1.093264166527483E-2</v>
      </c>
      <c r="G358" s="80">
        <f t="shared" si="365"/>
        <v>1.0218959416610168E-2</v>
      </c>
      <c r="H358" s="80">
        <f t="shared" si="365"/>
        <v>9.1448984526667793E-3</v>
      </c>
      <c r="I358" s="80">
        <f t="shared" si="365"/>
        <v>9.7571382629350924E-3</v>
      </c>
      <c r="J358" s="80">
        <f t="shared" si="365"/>
        <v>7.8117767576116473E-3</v>
      </c>
      <c r="K358" s="80">
        <f t="shared" si="365"/>
        <v>1.4969982755902458E-3</v>
      </c>
      <c r="L358" s="80">
        <f t="shared" si="365"/>
        <v>1.0675798185603399E-2</v>
      </c>
      <c r="M358" s="80">
        <f t="shared" si="365"/>
        <v>2.121884860962062E-2</v>
      </c>
      <c r="N358" s="80">
        <f t="shared" si="365"/>
        <v>2.9584406711428549E-2</v>
      </c>
      <c r="O358" s="80">
        <f t="shared" si="365"/>
        <v>3.3780432521231536E-2</v>
      </c>
      <c r="P358" s="80">
        <f t="shared" si="365"/>
        <v>3.0839107010697774E-2</v>
      </c>
      <c r="Q358" s="80">
        <f t="shared" si="365"/>
        <v>2.2393946073885441E-2</v>
      </c>
      <c r="R358" s="80">
        <f t="shared" si="365"/>
        <v>1.9624103560389409E-3</v>
      </c>
      <c r="S358" s="80">
        <f t="shared" si="365"/>
        <v>1.9660670139823325E-2</v>
      </c>
      <c r="T358" s="80">
        <f t="shared" si="365"/>
        <v>3.321395657785782E-2</v>
      </c>
      <c r="U358" s="80">
        <f t="shared" si="365"/>
        <v>3.770050909467694E-2</v>
      </c>
      <c r="V358" s="80">
        <f t="shared" si="365"/>
        <v>2.5891705818788368E-2</v>
      </c>
      <c r="W358" s="80">
        <f t="shared" si="365"/>
        <v>1.7488397399838231E-2</v>
      </c>
      <c r="X358" s="80">
        <f t="shared" si="365"/>
        <v>5.0541033250523591E-3</v>
      </c>
      <c r="Y358" s="80">
        <f t="shared" si="365"/>
        <v>5.2182243152124582E-3</v>
      </c>
      <c r="Z358" s="80">
        <f t="shared" si="365"/>
        <v>0.12761005811910997</v>
      </c>
      <c r="AA358" s="80">
        <f t="shared" si="365"/>
        <v>0.20559445977450708</v>
      </c>
      <c r="AB358" s="80">
        <f t="shared" si="365"/>
        <v>0.16739418236680945</v>
      </c>
      <c r="AC358" s="80">
        <f t="shared" si="365"/>
        <v>0.13836016012547453</v>
      </c>
      <c r="AD358" s="80">
        <f t="shared" si="365"/>
        <v>0.13474766075173947</v>
      </c>
      <c r="AE358" s="80">
        <f t="shared" si="365"/>
        <v>0.1343565372703672</v>
      </c>
      <c r="AF358" s="80">
        <f t="shared" si="365"/>
        <v>0.13398344371172896</v>
      </c>
    </row>
    <row r="359" spans="1:34" x14ac:dyDescent="0.25">
      <c r="B359" s="21">
        <f>(B326-B325)^2</f>
        <v>169.2153860253546</v>
      </c>
      <c r="C359" s="21">
        <f t="shared" ref="C359:AF359" si="366">(C326-C325)^2</f>
        <v>758.8931040102118</v>
      </c>
      <c r="D359" s="21">
        <f t="shared" si="366"/>
        <v>1014.8056542357562</v>
      </c>
      <c r="E359" s="21">
        <f t="shared" si="366"/>
        <v>1466.0429609293599</v>
      </c>
      <c r="F359" s="21">
        <f t="shared" si="366"/>
        <v>1750.5046875161725</v>
      </c>
      <c r="G359" s="21">
        <f t="shared" si="366"/>
        <v>1368.5752421748541</v>
      </c>
      <c r="H359" s="21">
        <f t="shared" si="366"/>
        <v>993.44859740648576</v>
      </c>
      <c r="I359" s="21">
        <f t="shared" si="366"/>
        <v>1026.4298542398194</v>
      </c>
      <c r="J359" s="21">
        <f t="shared" si="366"/>
        <v>596.3753721676037</v>
      </c>
      <c r="K359" s="21">
        <f t="shared" si="366"/>
        <v>19.779973324001748</v>
      </c>
      <c r="L359" s="21">
        <f t="shared" si="366"/>
        <v>903.11497598515018</v>
      </c>
      <c r="M359" s="21">
        <f t="shared" si="366"/>
        <v>3141.5092108093486</v>
      </c>
      <c r="N359" s="21">
        <f t="shared" si="366"/>
        <v>5250.1097109596094</v>
      </c>
      <c r="O359" s="21">
        <f t="shared" si="366"/>
        <v>5704.3469422106045</v>
      </c>
      <c r="P359" s="21">
        <f t="shared" si="366"/>
        <v>3778.8920577455042</v>
      </c>
      <c r="Q359" s="21">
        <f t="shared" si="366"/>
        <v>1462.8212115424549</v>
      </c>
      <c r="R359" s="21">
        <f t="shared" si="366"/>
        <v>7.3657643668888504</v>
      </c>
      <c r="S359" s="21">
        <f t="shared" si="366"/>
        <v>422.4242550057063</v>
      </c>
      <c r="T359" s="21">
        <f t="shared" si="366"/>
        <v>609.83013385334698</v>
      </c>
      <c r="U359" s="21">
        <f t="shared" si="366"/>
        <v>383.58255637046778</v>
      </c>
      <c r="V359" s="21">
        <f t="shared" si="366"/>
        <v>98.602421170380595</v>
      </c>
      <c r="W359" s="21">
        <f t="shared" si="366"/>
        <v>30.174923781393584</v>
      </c>
      <c r="X359" s="21">
        <f t="shared" si="366"/>
        <v>2.0125426446777559</v>
      </c>
      <c r="Y359" s="21">
        <f t="shared" si="366"/>
        <v>1.872577970598547</v>
      </c>
      <c r="Z359" s="21">
        <f t="shared" si="366"/>
        <v>1022.1600933937126</v>
      </c>
      <c r="AA359" s="21">
        <f t="shared" si="366"/>
        <v>2543.9636875064039</v>
      </c>
      <c r="AB359" s="21">
        <f t="shared" si="366"/>
        <v>1535.2247728055761</v>
      </c>
      <c r="AC359" s="21">
        <f t="shared" si="366"/>
        <v>979.3562523368546</v>
      </c>
      <c r="AD359" s="21">
        <f t="shared" si="366"/>
        <v>921.14295685577656</v>
      </c>
      <c r="AE359" s="21">
        <f t="shared" si="366"/>
        <v>914.97584402878056</v>
      </c>
      <c r="AF359" s="21">
        <f t="shared" si="366"/>
        <v>909.1174910636264</v>
      </c>
      <c r="AG359" s="3"/>
      <c r="AH359" s="3"/>
    </row>
    <row r="360" spans="1:34" x14ac:dyDescent="0.25">
      <c r="A360" s="71">
        <f>SUM(B360:AF360)</f>
        <v>39786.671214436479</v>
      </c>
      <c r="B360" s="60">
        <f>IF($A$64&lt;=B324,IF($B$64&gt;=B324,ABS(B359),0),0)</f>
        <v>169.2153860253546</v>
      </c>
      <c r="C360" s="60">
        <f t="shared" ref="C360:AF360" si="367">IF($A$64&lt;=C324,IF($B$64&gt;=C324,ABS(C359),0),0)</f>
        <v>758.8931040102118</v>
      </c>
      <c r="D360" s="60">
        <f t="shared" si="367"/>
        <v>1014.8056542357562</v>
      </c>
      <c r="E360" s="60">
        <f t="shared" si="367"/>
        <v>1466.0429609293599</v>
      </c>
      <c r="F360" s="60">
        <f t="shared" si="367"/>
        <v>1750.5046875161725</v>
      </c>
      <c r="G360" s="60">
        <f t="shared" si="367"/>
        <v>1368.5752421748541</v>
      </c>
      <c r="H360" s="60">
        <f t="shared" si="367"/>
        <v>993.44859740648576</v>
      </c>
      <c r="I360" s="60">
        <f t="shared" si="367"/>
        <v>1026.4298542398194</v>
      </c>
      <c r="J360" s="60">
        <f t="shared" si="367"/>
        <v>596.3753721676037</v>
      </c>
      <c r="K360" s="60">
        <f t="shared" si="367"/>
        <v>19.779973324001748</v>
      </c>
      <c r="L360" s="60">
        <f t="shared" si="367"/>
        <v>903.11497598515018</v>
      </c>
      <c r="M360" s="60">
        <f t="shared" si="367"/>
        <v>3141.5092108093486</v>
      </c>
      <c r="N360" s="60">
        <f t="shared" si="367"/>
        <v>5250.1097109596094</v>
      </c>
      <c r="O360" s="60">
        <f t="shared" si="367"/>
        <v>5704.3469422106045</v>
      </c>
      <c r="P360" s="60">
        <f t="shared" si="367"/>
        <v>3778.8920577455042</v>
      </c>
      <c r="Q360" s="60">
        <f t="shared" si="367"/>
        <v>1462.8212115424549</v>
      </c>
      <c r="R360" s="60">
        <f t="shared" si="367"/>
        <v>7.3657643668888504</v>
      </c>
      <c r="S360" s="60">
        <f t="shared" si="367"/>
        <v>422.4242550057063</v>
      </c>
      <c r="T360" s="60">
        <f t="shared" si="367"/>
        <v>609.83013385334698</v>
      </c>
      <c r="U360" s="60">
        <f t="shared" si="367"/>
        <v>383.58255637046778</v>
      </c>
      <c r="V360" s="60">
        <f t="shared" si="367"/>
        <v>98.602421170380595</v>
      </c>
      <c r="W360" s="60">
        <f t="shared" si="367"/>
        <v>30.174923781393584</v>
      </c>
      <c r="X360" s="60">
        <f t="shared" si="367"/>
        <v>2.0125426446777559</v>
      </c>
      <c r="Y360" s="60">
        <f t="shared" si="367"/>
        <v>1.872577970598547</v>
      </c>
      <c r="Z360" s="60">
        <f t="shared" si="367"/>
        <v>1022.1600933937126</v>
      </c>
      <c r="AA360" s="60">
        <f t="shared" si="367"/>
        <v>2543.9636875064039</v>
      </c>
      <c r="AB360" s="60">
        <f t="shared" si="367"/>
        <v>1535.2247728055761</v>
      </c>
      <c r="AC360" s="60">
        <f t="shared" si="367"/>
        <v>979.3562523368546</v>
      </c>
      <c r="AD360" s="60">
        <f t="shared" si="367"/>
        <v>921.14295685577656</v>
      </c>
      <c r="AE360" s="60">
        <f t="shared" si="367"/>
        <v>914.97584402878056</v>
      </c>
      <c r="AF360" s="60">
        <f t="shared" si="367"/>
        <v>909.1174910636264</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0" t="s">
        <v>22</v>
      </c>
      <c r="B365" s="27">
        <f>($C$17+SUM(B366:B396))*$B$51</f>
        <v>3450.0733298442387</v>
      </c>
      <c r="C365" s="27">
        <f t="shared" ref="C365:AF365" si="368">($C$17+SUM(C366:C396))*$B$51</f>
        <v>3286.6173408942363</v>
      </c>
      <c r="D365" s="27">
        <f t="shared" si="368"/>
        <v>3122.2568981952954</v>
      </c>
      <c r="E365" s="27">
        <f t="shared" si="368"/>
        <v>2943.8395075162266</v>
      </c>
      <c r="F365" s="27">
        <f t="shared" si="368"/>
        <v>2753.608304953113</v>
      </c>
      <c r="G365" s="27">
        <f t="shared" si="368"/>
        <v>2552.5924578121617</v>
      </c>
      <c r="H365" s="27">
        <f t="shared" si="368"/>
        <v>2345.6465395170931</v>
      </c>
      <c r="I365" s="27">
        <f t="shared" si="368"/>
        <v>2125.4627724867983</v>
      </c>
      <c r="J365" s="27">
        <f t="shared" si="368"/>
        <v>1903.0409286916517</v>
      </c>
      <c r="K365" s="27">
        <f t="shared" si="368"/>
        <v>1622.3624066826019</v>
      </c>
      <c r="L365" s="27">
        <f t="shared" si="368"/>
        <v>1327.0671507336756</v>
      </c>
      <c r="M365" s="27">
        <f t="shared" si="368"/>
        <v>1011.3458102683412</v>
      </c>
      <c r="N365" s="27">
        <f t="shared" si="368"/>
        <v>721.01962050974191</v>
      </c>
      <c r="O365" s="27">
        <f t="shared" si="368"/>
        <v>506.99457817048898</v>
      </c>
      <c r="P365" s="27">
        <f t="shared" si="368"/>
        <v>375.04507186806359</v>
      </c>
      <c r="Q365" s="27">
        <f t="shared" si="368"/>
        <v>311.49334663978681</v>
      </c>
      <c r="R365" s="27">
        <f t="shared" si="368"/>
        <v>277.38793071447645</v>
      </c>
      <c r="S365" s="27">
        <f t="shared" si="368"/>
        <v>260.1656981751612</v>
      </c>
      <c r="T365" s="27">
        <f t="shared" si="368"/>
        <v>209.05379180953244</v>
      </c>
      <c r="U365" s="27">
        <f t="shared" si="368"/>
        <v>194.88798836157349</v>
      </c>
      <c r="V365" s="27">
        <f t="shared" si="368"/>
        <v>194.8879850805811</v>
      </c>
      <c r="W365" s="27">
        <f t="shared" si="368"/>
        <v>194.8879850805811</v>
      </c>
      <c r="X365" s="27">
        <f t="shared" si="368"/>
        <v>194.8879850805811</v>
      </c>
      <c r="Y365" s="27">
        <f t="shared" si="368"/>
        <v>194.8879850805811</v>
      </c>
      <c r="Z365" s="27">
        <f t="shared" si="368"/>
        <v>194.8879850805811</v>
      </c>
      <c r="AA365" s="27">
        <f t="shared" si="368"/>
        <v>194.8879850805811</v>
      </c>
      <c r="AB365" s="27">
        <f t="shared" si="368"/>
        <v>194.8879850805811</v>
      </c>
      <c r="AC365" s="27">
        <f t="shared" si="368"/>
        <v>194.8879850805811</v>
      </c>
      <c r="AD365" s="27">
        <f t="shared" si="368"/>
        <v>194.8879850805811</v>
      </c>
      <c r="AE365" s="27">
        <f t="shared" si="368"/>
        <v>194.8879850805811</v>
      </c>
      <c r="AF365" s="27">
        <f t="shared" si="368"/>
        <v>194.8879850805811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8.1180788142354631E-77</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7.4031525570627452E-9</v>
      </c>
      <c r="C377" s="3">
        <f t="shared" si="380"/>
        <v>1.6608832514726781E-69</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7.2320768419837133E-3</v>
      </c>
      <c r="C378" s="3">
        <f t="shared" si="381"/>
        <v>2.4446218057416995E-8</v>
      </c>
      <c r="D378" s="3">
        <f t="shared" si="381"/>
        <v>4.7609999276706469E-63</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2.7472722640497702E-2</v>
      </c>
      <c r="C379" s="3">
        <f t="shared" si="382"/>
        <v>8.8179443775741728E-3</v>
      </c>
      <c r="D379" s="3">
        <f t="shared" si="382"/>
        <v>1.0233492818314623E-7</v>
      </c>
      <c r="E379" s="3">
        <f t="shared" si="382"/>
        <v>4.535124667801318E-57</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2.9483253021085926E-2</v>
      </c>
      <c r="C380" s="3">
        <f t="shared" si="383"/>
        <v>2.6610589507768453E-2</v>
      </c>
      <c r="D380" s="3">
        <f t="shared" si="383"/>
        <v>9.5465281369267897E-3</v>
      </c>
      <c r="E380" s="3">
        <f t="shared" si="383"/>
        <v>3.3709714135344295E-7</v>
      </c>
      <c r="F380" s="3">
        <f t="shared" si="383"/>
        <v>1.01590055341728E-51</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3.5062992907065653E-2</v>
      </c>
      <c r="C381" s="3">
        <f t="shared" si="384"/>
        <v>3.4740241082637048E-2</v>
      </c>
      <c r="D381" s="3">
        <f t="shared" si="384"/>
        <v>3.1671692256484509E-2</v>
      </c>
      <c r="E381" s="3">
        <f t="shared" si="384"/>
        <v>1.2561910015644434E-2</v>
      </c>
      <c r="F381" s="3">
        <f t="shared" si="384"/>
        <v>1.2103187756695612E-6</v>
      </c>
      <c r="G381" s="3">
        <f t="shared" si="384"/>
        <v>8.343354466536829E-47</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3.5323518740092666E-2</v>
      </c>
      <c r="C382" s="3">
        <f t="shared" si="385"/>
        <v>3.5294063967787025E-2</v>
      </c>
      <c r="D382" s="3">
        <f t="shared" si="385"/>
        <v>3.5000863730242436E-2</v>
      </c>
      <c r="E382" s="3">
        <f t="shared" si="385"/>
        <v>3.2199541993651153E-2</v>
      </c>
      <c r="F382" s="3">
        <f t="shared" si="385"/>
        <v>1.3981669121798143E-2</v>
      </c>
      <c r="G382" s="3">
        <f t="shared" si="385"/>
        <v>3.3315955986273104E-6</v>
      </c>
      <c r="H382" s="3">
        <f t="shared" si="385"/>
        <v>1.9660061570233068E-42</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3.9295820172846413E-2</v>
      </c>
      <c r="C383" s="3">
        <f t="shared" si="386"/>
        <v>3.9292863185600345E-2</v>
      </c>
      <c r="D383" s="3">
        <f t="shared" si="386"/>
        <v>3.9263305548512137E-2</v>
      </c>
      <c r="E383" s="3">
        <f t="shared" si="386"/>
        <v>3.8968949314995206E-2</v>
      </c>
      <c r="F383" s="3">
        <f t="shared" si="386"/>
        <v>3.6144070750277014E-2</v>
      </c>
      <c r="G383" s="3">
        <f t="shared" si="386"/>
        <v>1.7030238732194766E-2</v>
      </c>
      <c r="H383" s="3">
        <f t="shared" si="386"/>
        <v>9.1845410417335661E-6</v>
      </c>
      <c r="I383" s="3">
        <f t="shared" si="386"/>
        <v>1.9117217922384159E-38</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3.6971682066853605E-2</v>
      </c>
      <c r="C384" s="3">
        <f t="shared" si="387"/>
        <v>3.6971431089947687E-2</v>
      </c>
      <c r="D384" s="3">
        <f t="shared" si="387"/>
        <v>3.6968921414591217E-2</v>
      </c>
      <c r="E384" s="3">
        <f t="shared" si="387"/>
        <v>3.6943834028944578E-2</v>
      </c>
      <c r="F384" s="3">
        <f t="shared" si="387"/>
        <v>3.6693894615607001E-2</v>
      </c>
      <c r="G384" s="3">
        <f t="shared" si="387"/>
        <v>3.4285639763678662E-2</v>
      </c>
      <c r="H384" s="3">
        <f t="shared" si="387"/>
        <v>1.7389886267562361E-2</v>
      </c>
      <c r="I384" s="3">
        <f t="shared" si="387"/>
        <v>1.9594833653099317E-5</v>
      </c>
      <c r="J384" s="3">
        <f t="shared" si="387"/>
        <v>6.4653192391448394E-35</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4.6436804035806065E-2</v>
      </c>
      <c r="C385" s="3">
        <f t="shared" si="388"/>
        <v>4.6436775599393569E-2</v>
      </c>
      <c r="D385" s="3">
        <f t="shared" si="388"/>
        <v>4.643649123622632E-2</v>
      </c>
      <c r="E385" s="3">
        <f t="shared" si="388"/>
        <v>4.6433647700325979E-2</v>
      </c>
      <c r="F385" s="3">
        <f t="shared" si="388"/>
        <v>4.6405221916370268E-2</v>
      </c>
      <c r="G385" s="3">
        <f t="shared" si="388"/>
        <v>4.6121919415650442E-2</v>
      </c>
      <c r="H385" s="3">
        <f t="shared" si="388"/>
        <v>4.3382298720347101E-2</v>
      </c>
      <c r="I385" s="3">
        <f t="shared" si="388"/>
        <v>2.3516053453171811E-2</v>
      </c>
      <c r="J385" s="3">
        <f t="shared" si="388"/>
        <v>5.1509012136120103E-5</v>
      </c>
      <c r="K385" s="3">
        <f t="shared" si="388"/>
        <v>1.3093960984084404E-31</v>
      </c>
      <c r="L385" s="3">
        <f t="shared" si="388"/>
        <v>1.475534129173856E-297</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2.2680117958567381E-2</v>
      </c>
      <c r="C386" s="3">
        <f t="shared" si="389"/>
        <v>2.2680116705701726E-2</v>
      </c>
      <c r="D386" s="3">
        <f t="shared" si="389"/>
        <v>2.2680104177048976E-2</v>
      </c>
      <c r="E386" s="3">
        <f t="shared" si="389"/>
        <v>2.2679978890902158E-2</v>
      </c>
      <c r="F386" s="3">
        <f t="shared" si="389"/>
        <v>2.2678726067498135E-2</v>
      </c>
      <c r="G386" s="3">
        <f t="shared" si="389"/>
        <v>2.2666201639098684E-2</v>
      </c>
      <c r="H386" s="3">
        <f t="shared" si="389"/>
        <v>2.2541337142491919E-2</v>
      </c>
      <c r="I386" s="3">
        <f t="shared" si="389"/>
        <v>2.1329906002023283E-2</v>
      </c>
      <c r="J386" s="3">
        <f t="shared" si="389"/>
        <v>1.2276699085692051E-2</v>
      </c>
      <c r="K386" s="3">
        <f t="shared" si="389"/>
        <v>4.8978818544525039E-5</v>
      </c>
      <c r="L386" s="3">
        <f t="shared" si="389"/>
        <v>5.0035154467298014E-29</v>
      </c>
      <c r="M386" s="3">
        <f t="shared" si="389"/>
        <v>6.1936212477894519E-269</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4.4296427177107474E-2</v>
      </c>
      <c r="C387" s="3">
        <f t="shared" si="390"/>
        <v>4.4296426500338E-2</v>
      </c>
      <c r="D387" s="3">
        <f t="shared" si="390"/>
        <v>4.4296419732643783E-2</v>
      </c>
      <c r="E387" s="3">
        <f t="shared" si="390"/>
        <v>4.4296352055758492E-2</v>
      </c>
      <c r="F387" s="3">
        <f t="shared" si="390"/>
        <v>4.4295675292592422E-2</v>
      </c>
      <c r="G387" s="3">
        <f t="shared" si="390"/>
        <v>4.4288908229585963E-2</v>
      </c>
      <c r="H387" s="3">
        <f t="shared" si="390"/>
        <v>4.4221294432808561E-2</v>
      </c>
      <c r="I387" s="3">
        <f t="shared" si="390"/>
        <v>4.3550807797156865E-2</v>
      </c>
      <c r="J387" s="3">
        <f t="shared" si="390"/>
        <v>3.7380392220307847E-2</v>
      </c>
      <c r="K387" s="3">
        <f t="shared" si="390"/>
        <v>8.1118562317029769E-3</v>
      </c>
      <c r="L387" s="3">
        <f t="shared" si="390"/>
        <v>1.878815587996487E-9</v>
      </c>
      <c r="M387" s="3">
        <f t="shared" si="390"/>
        <v>8.3468623712125338E-76</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5.370612654524979E-2</v>
      </c>
      <c r="C388" s="3">
        <f t="shared" si="391"/>
        <v>5.3706126463196523E-2</v>
      </c>
      <c r="D388" s="3">
        <f t="shared" si="391"/>
        <v>5.3706125642663818E-2</v>
      </c>
      <c r="E388" s="3">
        <f t="shared" si="391"/>
        <v>5.3706117437337463E-2</v>
      </c>
      <c r="F388" s="3">
        <f t="shared" si="391"/>
        <v>5.3706035384142842E-2</v>
      </c>
      <c r="G388" s="3">
        <f t="shared" si="391"/>
        <v>5.3705214859091528E-2</v>
      </c>
      <c r="H388" s="3">
        <f t="shared" si="391"/>
        <v>5.3697010298029382E-2</v>
      </c>
      <c r="I388" s="3">
        <f t="shared" si="391"/>
        <v>5.3615033593545629E-2</v>
      </c>
      <c r="J388" s="3">
        <f t="shared" si="391"/>
        <v>5.2802118368978655E-2</v>
      </c>
      <c r="K388" s="3">
        <f t="shared" si="391"/>
        <v>4.5320947980771943E-2</v>
      </c>
      <c r="L388" s="3">
        <f t="shared" si="391"/>
        <v>9.8350229215835566E-3</v>
      </c>
      <c r="M388" s="3">
        <f t="shared" si="391"/>
        <v>2.2779242932285986E-9</v>
      </c>
      <c r="N388" s="3">
        <f t="shared" si="391"/>
        <v>1.0119950403379438E-75</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5.7988003134998349E-2</v>
      </c>
      <c r="C389" s="3">
        <f t="shared" si="392"/>
        <v>5.7988003126138832E-2</v>
      </c>
      <c r="D389" s="3">
        <f t="shared" si="392"/>
        <v>5.7988003037543624E-2</v>
      </c>
      <c r="E389" s="3">
        <f t="shared" si="392"/>
        <v>5.7988002151591569E-2</v>
      </c>
      <c r="F389" s="3">
        <f t="shared" si="392"/>
        <v>5.7987993292071792E-2</v>
      </c>
      <c r="G389" s="3">
        <f t="shared" si="392"/>
        <v>5.7987904696948436E-2</v>
      </c>
      <c r="H389" s="3">
        <f t="shared" si="392"/>
        <v>5.7987018753159501E-2</v>
      </c>
      <c r="I389" s="3">
        <f t="shared" si="392"/>
        <v>5.7978160059689601E-2</v>
      </c>
      <c r="J389" s="3">
        <f t="shared" si="392"/>
        <v>5.7889647524869768E-2</v>
      </c>
      <c r="K389" s="3">
        <f t="shared" si="392"/>
        <v>5.7011920278169925E-2</v>
      </c>
      <c r="L389" s="3">
        <f t="shared" si="392"/>
        <v>4.8934291900092852E-2</v>
      </c>
      <c r="M389" s="3">
        <f t="shared" si="392"/>
        <v>1.0619148626217162E-2</v>
      </c>
      <c r="N389" s="3">
        <f t="shared" si="392"/>
        <v>2.4595384090035606E-9</v>
      </c>
      <c r="O389" s="3">
        <f t="shared" si="392"/>
        <v>1.0926792777228156E-75</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5.3687364876257783E-2</v>
      </c>
      <c r="C390" s="3">
        <f t="shared" si="393"/>
        <v>5.3687364875437536E-2</v>
      </c>
      <c r="D390" s="3">
        <f t="shared" si="393"/>
        <v>5.368736486723507E-2</v>
      </c>
      <c r="E390" s="3">
        <f t="shared" si="393"/>
        <v>5.3687364785210467E-2</v>
      </c>
      <c r="F390" s="3">
        <f t="shared" si="393"/>
        <v>5.3687363964964402E-2</v>
      </c>
      <c r="G390" s="3">
        <f t="shared" si="393"/>
        <v>5.3687355762504496E-2</v>
      </c>
      <c r="H390" s="3">
        <f t="shared" si="393"/>
        <v>5.3687273737974307E-2</v>
      </c>
      <c r="I390" s="3">
        <f t="shared" si="393"/>
        <v>5.3686453499564905E-2</v>
      </c>
      <c r="J390" s="3">
        <f t="shared" si="393"/>
        <v>5.3678251804681033E-2</v>
      </c>
      <c r="K390" s="3">
        <f t="shared" si="393"/>
        <v>5.3596303737908343E-2</v>
      </c>
      <c r="L390" s="3">
        <f t="shared" si="393"/>
        <v>5.2783672496839663E-2</v>
      </c>
      <c r="M390" s="3">
        <f t="shared" si="393"/>
        <v>4.5305115577878009E-2</v>
      </c>
      <c r="N390" s="3">
        <f t="shared" si="393"/>
        <v>9.8315871583812588E-3</v>
      </c>
      <c r="O390" s="3">
        <f t="shared" si="393"/>
        <v>2.2771285240141599E-9</v>
      </c>
      <c r="P390" s="3">
        <f t="shared" si="393"/>
        <v>1.011641510371799E-75</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3.7741648856742721E-2</v>
      </c>
      <c r="C391" s="3">
        <f t="shared" si="394"/>
        <v>3.7741648856685059E-2</v>
      </c>
      <c r="D391" s="3">
        <f t="shared" si="394"/>
        <v>3.774164885610843E-2</v>
      </c>
      <c r="E391" s="3">
        <f t="shared" si="394"/>
        <v>3.7741648850342188E-2</v>
      </c>
      <c r="F391" s="3">
        <f t="shared" si="394"/>
        <v>3.7741648792679758E-2</v>
      </c>
      <c r="G391" s="3">
        <f t="shared" si="394"/>
        <v>3.7741648216055468E-2</v>
      </c>
      <c r="H391" s="3">
        <f t="shared" si="394"/>
        <v>3.7741642449813033E-2</v>
      </c>
      <c r="I391" s="3">
        <f t="shared" si="394"/>
        <v>3.7741584787437103E-2</v>
      </c>
      <c r="J391" s="3">
        <f t="shared" si="394"/>
        <v>3.7741008168523181E-2</v>
      </c>
      <c r="K391" s="3">
        <f t="shared" si="394"/>
        <v>3.7735242463891365E-2</v>
      </c>
      <c r="L391" s="3">
        <f t="shared" si="394"/>
        <v>3.767763384093608E-2</v>
      </c>
      <c r="M391" s="3">
        <f t="shared" si="394"/>
        <v>3.7106362685775524E-2</v>
      </c>
      <c r="N391" s="3">
        <f t="shared" si="394"/>
        <v>3.1849016383889803E-2</v>
      </c>
      <c r="O391" s="3">
        <f t="shared" si="394"/>
        <v>6.9115016371312701E-3</v>
      </c>
      <c r="P391" s="3">
        <f t="shared" si="394"/>
        <v>1.6007972332590759E-9</v>
      </c>
      <c r="Q391" s="3">
        <f t="shared" si="394"/>
        <v>7.1117326658334209E-76</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2.2979827884216944E-2</v>
      </c>
      <c r="C392" s="3">
        <f t="shared" si="395"/>
        <v>2.2979827884213436E-2</v>
      </c>
      <c r="D392" s="3">
        <f t="shared" si="395"/>
        <v>2.2979827884178326E-2</v>
      </c>
      <c r="E392" s="3">
        <f t="shared" si="395"/>
        <v>2.2979827883827235E-2</v>
      </c>
      <c r="F392" s="3">
        <f t="shared" si="395"/>
        <v>2.2979827880316332E-2</v>
      </c>
      <c r="G392" s="3">
        <f t="shared" si="395"/>
        <v>2.2979827845207301E-2</v>
      </c>
      <c r="H392" s="3">
        <f t="shared" si="395"/>
        <v>2.2979827494116995E-2</v>
      </c>
      <c r="I392" s="3">
        <f t="shared" si="395"/>
        <v>2.297982398321425E-2</v>
      </c>
      <c r="J392" s="3">
        <f t="shared" si="395"/>
        <v>2.2979788874216249E-2</v>
      </c>
      <c r="K392" s="3">
        <f t="shared" si="395"/>
        <v>2.297943778718645E-2</v>
      </c>
      <c r="L392" s="3">
        <f t="shared" si="395"/>
        <v>2.2975927211891421E-2</v>
      </c>
      <c r="M392" s="3">
        <f t="shared" si="395"/>
        <v>2.2940850942564026E-2</v>
      </c>
      <c r="N392" s="3">
        <f t="shared" si="395"/>
        <v>2.2593020012584401E-2</v>
      </c>
      <c r="O392" s="3">
        <f t="shared" si="395"/>
        <v>1.9391969798704934E-2</v>
      </c>
      <c r="P392" s="3">
        <f t="shared" si="395"/>
        <v>4.208218847183756E-3</v>
      </c>
      <c r="Q392" s="3">
        <f t="shared" si="395"/>
        <v>9.7468038657899364E-10</v>
      </c>
      <c r="R392" s="3">
        <f t="shared" si="395"/>
        <v>4.3301338857693684E-76</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9.4093651761472195E-3</v>
      </c>
      <c r="C393" s="3">
        <f t="shared" si="396"/>
        <v>9.4093651761470755E-3</v>
      </c>
      <c r="D393" s="3">
        <f t="shared" si="396"/>
        <v>9.4093651761456374E-3</v>
      </c>
      <c r="E393" s="3">
        <f t="shared" si="396"/>
        <v>9.4093651761312617E-3</v>
      </c>
      <c r="F393" s="3">
        <f t="shared" si="396"/>
        <v>9.4093651759875035E-3</v>
      </c>
      <c r="G393" s="3">
        <f t="shared" si="396"/>
        <v>9.4093651745499225E-3</v>
      </c>
      <c r="H393" s="3">
        <f t="shared" si="396"/>
        <v>9.4093651601741095E-3</v>
      </c>
      <c r="I393" s="3">
        <f t="shared" si="396"/>
        <v>9.4093650164159895E-3</v>
      </c>
      <c r="J393" s="3">
        <f t="shared" si="396"/>
        <v>9.4093635788348971E-3</v>
      </c>
      <c r="K393" s="3">
        <f t="shared" si="396"/>
        <v>9.4093492030360524E-3</v>
      </c>
      <c r="L393" s="3">
        <f t="shared" si="396"/>
        <v>9.4092054462556005E-3</v>
      </c>
      <c r="M393" s="3">
        <f t="shared" si="396"/>
        <v>9.4077679992435621E-3</v>
      </c>
      <c r="N393" s="3">
        <f t="shared" si="396"/>
        <v>9.3934056015449706E-3</v>
      </c>
      <c r="O393" s="3">
        <f t="shared" si="396"/>
        <v>9.2509820700795737E-3</v>
      </c>
      <c r="P393" s="3">
        <f t="shared" si="396"/>
        <v>7.9402738018830767E-3</v>
      </c>
      <c r="Q393" s="3">
        <f t="shared" si="396"/>
        <v>1.7231055025217353E-3</v>
      </c>
      <c r="R393" s="3">
        <f t="shared" si="396"/>
        <v>3.9909453341244928E-10</v>
      </c>
      <c r="S393" s="3">
        <f t="shared" si="396"/>
        <v>1.7730250721675974E-76</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6.2705621285313344E-3</v>
      </c>
      <c r="C394" s="3">
        <f t="shared" si="397"/>
        <v>6.2705621285313257E-3</v>
      </c>
      <c r="D394" s="3">
        <f t="shared" si="397"/>
        <v>6.2705621285312294E-3</v>
      </c>
      <c r="E394" s="3">
        <f t="shared" si="397"/>
        <v>6.2705621285302719E-3</v>
      </c>
      <c r="F394" s="3">
        <f t="shared" si="397"/>
        <v>6.2705621285206918E-3</v>
      </c>
      <c r="G394" s="3">
        <f t="shared" si="397"/>
        <v>6.2705621284248883E-3</v>
      </c>
      <c r="H394" s="3">
        <f t="shared" si="397"/>
        <v>6.2705621274668595E-3</v>
      </c>
      <c r="I394" s="3">
        <f t="shared" si="397"/>
        <v>6.2705621178865724E-3</v>
      </c>
      <c r="J394" s="3">
        <f t="shared" si="397"/>
        <v>6.2705620220836972E-3</v>
      </c>
      <c r="K394" s="3">
        <f t="shared" si="397"/>
        <v>6.270561064055033E-3</v>
      </c>
      <c r="L394" s="3">
        <f t="shared" si="397"/>
        <v>6.2705514837764365E-3</v>
      </c>
      <c r="M394" s="3">
        <f t="shared" si="397"/>
        <v>6.2704556817955014E-3</v>
      </c>
      <c r="N394" s="3">
        <f t="shared" si="397"/>
        <v>6.2694977424843238E-3</v>
      </c>
      <c r="O394" s="3">
        <f t="shared" si="397"/>
        <v>6.2599263946412197E-3</v>
      </c>
      <c r="P394" s="3">
        <f t="shared" si="397"/>
        <v>6.1650129136677579E-3</v>
      </c>
      <c r="Q394" s="3">
        <f t="shared" si="397"/>
        <v>5.2915344723228801E-3</v>
      </c>
      <c r="R394" s="3">
        <f t="shared" si="397"/>
        <v>1.1483070223448281E-3</v>
      </c>
      <c r="S394" s="3">
        <f t="shared" si="397"/>
        <v>2.6596343324669249E-10</v>
      </c>
      <c r="T394" s="3">
        <f t="shared" si="397"/>
        <v>1.181574278640443E-76</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1.3778594746513384E-2</v>
      </c>
      <c r="C396" s="3">
        <f t="shared" si="399"/>
        <v>1.3778594746513384E-2</v>
      </c>
      <c r="D396" s="3">
        <f t="shared" si="399"/>
        <v>1.3778594746513381E-2</v>
      </c>
      <c r="E396" s="3">
        <f t="shared" si="399"/>
        <v>1.3778594746513361E-2</v>
      </c>
      <c r="F396" s="3">
        <f t="shared" si="399"/>
        <v>1.377859474651315E-2</v>
      </c>
      <c r="G396" s="3">
        <f t="shared" si="399"/>
        <v>1.3778594746511046E-2</v>
      </c>
      <c r="H396" s="3">
        <f t="shared" si="399"/>
        <v>1.3778594746489995E-2</v>
      </c>
      <c r="I396" s="3">
        <f t="shared" si="399"/>
        <v>1.3778594746279483E-2</v>
      </c>
      <c r="J396" s="3">
        <f t="shared" si="399"/>
        <v>1.3778594744174361E-2</v>
      </c>
      <c r="K396" s="3">
        <f t="shared" si="399"/>
        <v>1.3778594723123155E-2</v>
      </c>
      <c r="L396" s="3">
        <f t="shared" si="399"/>
        <v>1.3778594512611089E-2</v>
      </c>
      <c r="M396" s="3">
        <f t="shared" si="399"/>
        <v>1.3778592407490615E-2</v>
      </c>
      <c r="N396" s="3">
        <f t="shared" si="399"/>
        <v>1.3778571356303554E-2</v>
      </c>
      <c r="O396" s="3">
        <f t="shared" si="399"/>
        <v>1.3778360846201883E-2</v>
      </c>
      <c r="P396" s="3">
        <f t="shared" si="399"/>
        <v>1.3776255922067503E-2</v>
      </c>
      <c r="Q396" s="3">
        <f t="shared" si="399"/>
        <v>1.3755224358962819E-2</v>
      </c>
      <c r="R396" s="3">
        <f t="shared" si="399"/>
        <v>1.3546666599146709E-2</v>
      </c>
      <c r="S396" s="3">
        <f t="shared" si="399"/>
        <v>1.1627332221077787E-2</v>
      </c>
      <c r="T396" s="3">
        <f t="shared" si="399"/>
        <v>2.5232278671594387E-3</v>
      </c>
      <c r="U396" s="3">
        <f t="shared" si="399"/>
        <v>5.8441369194373128E-10</v>
      </c>
      <c r="V396" s="3">
        <f t="shared" si="399"/>
        <v>2.596327540431161E-76</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79">
        <f>AVERAGE(B397:AF397)</f>
        <v>7.0688044490547788E-2</v>
      </c>
      <c r="B397" s="80">
        <f>IF($A$64&lt;=B363,IF($B$64&gt;=B363,ABS((B365-B364)/B364),0),0)</f>
        <v>5.1834787852745819E-4</v>
      </c>
      <c r="C397" s="80">
        <f t="shared" ref="C397:AF397" si="400">IF($A$64&lt;=C363,IF($B$64&gt;=C363,ABS((C365-C364)/C364),0),0)</f>
        <v>1.4515707642446595E-2</v>
      </c>
      <c r="D397" s="80">
        <f t="shared" si="400"/>
        <v>1.3072147938675368E-2</v>
      </c>
      <c r="E397" s="80">
        <f t="shared" si="400"/>
        <v>6.3970221702982074E-3</v>
      </c>
      <c r="F397" s="80">
        <f t="shared" si="400"/>
        <v>5.4427520516034692E-3</v>
      </c>
      <c r="G397" s="80">
        <f t="shared" si="400"/>
        <v>1.363247349956611E-2</v>
      </c>
      <c r="H397" s="80">
        <f t="shared" si="400"/>
        <v>1.9570747539471363E-2</v>
      </c>
      <c r="I397" s="80">
        <f t="shared" si="400"/>
        <v>2.1778301013841084E-2</v>
      </c>
      <c r="J397" s="80">
        <f t="shared" si="400"/>
        <v>1.2927349130620625E-2</v>
      </c>
      <c r="K397" s="80">
        <f t="shared" si="400"/>
        <v>1.2979659072798544E-2</v>
      </c>
      <c r="L397" s="80">
        <f t="shared" si="400"/>
        <v>5.6044858991207381E-3</v>
      </c>
      <c r="M397" s="80">
        <f t="shared" si="400"/>
        <v>2.8192305992445744E-2</v>
      </c>
      <c r="N397" s="80">
        <f t="shared" si="400"/>
        <v>3.9440837442583039E-2</v>
      </c>
      <c r="O397" s="80">
        <f t="shared" si="400"/>
        <v>4.3327541966004086E-2</v>
      </c>
      <c r="P397" s="80">
        <f t="shared" si="400"/>
        <v>2.0864413202141146E-2</v>
      </c>
      <c r="Q397" s="80">
        <f t="shared" si="400"/>
        <v>1.4068868337161438E-2</v>
      </c>
      <c r="R397" s="80">
        <f t="shared" si="400"/>
        <v>6.0217999668917633E-3</v>
      </c>
      <c r="S397" s="80">
        <f t="shared" si="400"/>
        <v>5.7552724370353164E-3</v>
      </c>
      <c r="T397" s="80">
        <f t="shared" si="400"/>
        <v>0.16826538114131076</v>
      </c>
      <c r="U397" s="80">
        <f t="shared" si="400"/>
        <v>0.20818871230570135</v>
      </c>
      <c r="V397" s="80">
        <f t="shared" si="400"/>
        <v>0.16106682654216417</v>
      </c>
      <c r="W397" s="80">
        <f t="shared" si="400"/>
        <v>0.14237252509876988</v>
      </c>
      <c r="X397" s="80">
        <f t="shared" si="400"/>
        <v>0.13922495050224307</v>
      </c>
      <c r="Y397" s="80">
        <f t="shared" si="400"/>
        <v>0.13881495072745867</v>
      </c>
      <c r="Z397" s="80">
        <f t="shared" si="400"/>
        <v>0.13755448205869503</v>
      </c>
      <c r="AA397" s="80">
        <f t="shared" si="400"/>
        <v>0.13615876112828593</v>
      </c>
      <c r="AB397" s="80">
        <f t="shared" si="400"/>
        <v>0.13571842564656661</v>
      </c>
      <c r="AC397" s="80">
        <f t="shared" si="400"/>
        <v>0.13529668804685224</v>
      </c>
      <c r="AD397" s="80">
        <f t="shared" si="400"/>
        <v>0.13494023235391178</v>
      </c>
      <c r="AE397" s="80">
        <f t="shared" si="400"/>
        <v>0.13483624012507284</v>
      </c>
      <c r="AF397" s="80">
        <f t="shared" si="400"/>
        <v>0.13478117034871717</v>
      </c>
    </row>
    <row r="398" spans="1:34" x14ac:dyDescent="0.25">
      <c r="B398" s="21">
        <f>(B365-B364)^2</f>
        <v>3.1948405503752912</v>
      </c>
      <c r="C398" s="21">
        <f t="shared" ref="C398:AF398" si="401">(C365-C364)^2</f>
        <v>2211.3483353083648</v>
      </c>
      <c r="D398" s="21">
        <f t="shared" si="401"/>
        <v>1623.1192359888857</v>
      </c>
      <c r="E398" s="21">
        <f t="shared" si="401"/>
        <v>350.14286776131001</v>
      </c>
      <c r="F398" s="21">
        <f t="shared" si="401"/>
        <v>227.08155138499799</v>
      </c>
      <c r="G398" s="21">
        <f t="shared" si="401"/>
        <v>1244.6142123898433</v>
      </c>
      <c r="H398" s="21">
        <f t="shared" si="401"/>
        <v>2192.3376777197113</v>
      </c>
      <c r="I398" s="21">
        <f t="shared" si="401"/>
        <v>2239.1356963046464</v>
      </c>
      <c r="J398" s="21">
        <f t="shared" si="401"/>
        <v>621.17930095250688</v>
      </c>
      <c r="K398" s="21">
        <f t="shared" si="401"/>
        <v>455.16631425121994</v>
      </c>
      <c r="L398" s="21">
        <f t="shared" si="401"/>
        <v>54.70196858491061</v>
      </c>
      <c r="M398" s="21">
        <f t="shared" si="401"/>
        <v>768.97436272045422</v>
      </c>
      <c r="N398" s="21">
        <f t="shared" si="401"/>
        <v>748.49149633396689</v>
      </c>
      <c r="O398" s="21">
        <f t="shared" si="401"/>
        <v>443.29556756553018</v>
      </c>
      <c r="P398" s="21">
        <f t="shared" si="401"/>
        <v>58.754772183172015</v>
      </c>
      <c r="Q398" s="21">
        <f t="shared" si="401"/>
        <v>18.675875916781507</v>
      </c>
      <c r="R398" s="21">
        <f t="shared" si="401"/>
        <v>2.8240608641343212</v>
      </c>
      <c r="S398" s="21">
        <f t="shared" si="401"/>
        <v>2.2680114981750212</v>
      </c>
      <c r="T398" s="21">
        <f t="shared" si="401"/>
        <v>1788.6941596393108</v>
      </c>
      <c r="U398" s="21">
        <f t="shared" si="401"/>
        <v>2625.6759516539405</v>
      </c>
      <c r="V398" s="21">
        <f t="shared" si="401"/>
        <v>1399.9985936088081</v>
      </c>
      <c r="W398" s="21">
        <f t="shared" si="401"/>
        <v>1046.7070159898517</v>
      </c>
      <c r="X398" s="21">
        <f t="shared" si="401"/>
        <v>993.63054900427062</v>
      </c>
      <c r="Y398" s="21">
        <f t="shared" si="401"/>
        <v>986.84661190996417</v>
      </c>
      <c r="Z398" s="21">
        <f t="shared" si="401"/>
        <v>966.17608576997884</v>
      </c>
      <c r="AA398" s="21">
        <f t="shared" si="401"/>
        <v>943.61198338997929</v>
      </c>
      <c r="AB398" s="21">
        <f t="shared" si="401"/>
        <v>936.5635436255875</v>
      </c>
      <c r="AC398" s="21">
        <f t="shared" si="401"/>
        <v>929.84426614037773</v>
      </c>
      <c r="AD398" s="21">
        <f t="shared" si="401"/>
        <v>924.1890313339195</v>
      </c>
      <c r="AE398" s="21">
        <f t="shared" si="401"/>
        <v>922.54330185068989</v>
      </c>
      <c r="AF398" s="21">
        <f t="shared" si="401"/>
        <v>921.67254889460742</v>
      </c>
      <c r="AG398" s="3"/>
      <c r="AH398" s="3"/>
    </row>
    <row r="399" spans="1:34" x14ac:dyDescent="0.25">
      <c r="A399" s="71">
        <f>SUM(B399:AF399)</f>
        <v>28651.459791090274</v>
      </c>
      <c r="B399" s="60">
        <f>IF($A$64&lt;=B363,IF($B$64&gt;=B363,ABS(B398),0),0)</f>
        <v>3.1948405503752912</v>
      </c>
      <c r="C399" s="60">
        <f t="shared" ref="C399" si="402">IF($A$64&lt;=C363,IF($B$64&gt;=C363,ABS(C398),0),0)</f>
        <v>2211.3483353083648</v>
      </c>
      <c r="D399" s="60">
        <f t="shared" ref="D399" si="403">IF($A$64&lt;=D363,IF($B$64&gt;=D363,ABS(D398),0),0)</f>
        <v>1623.1192359888857</v>
      </c>
      <c r="E399" s="60">
        <f t="shared" ref="E399" si="404">IF($A$64&lt;=E363,IF($B$64&gt;=E363,ABS(E398),0),0)</f>
        <v>350.14286776131001</v>
      </c>
      <c r="F399" s="60">
        <f t="shared" ref="F399" si="405">IF($A$64&lt;=F363,IF($B$64&gt;=F363,ABS(F398),0),0)</f>
        <v>227.08155138499799</v>
      </c>
      <c r="G399" s="60">
        <f t="shared" ref="G399" si="406">IF($A$64&lt;=G363,IF($B$64&gt;=G363,ABS(G398),0),0)</f>
        <v>1244.6142123898433</v>
      </c>
      <c r="H399" s="60">
        <f t="shared" ref="H399" si="407">IF($A$64&lt;=H363,IF($B$64&gt;=H363,ABS(H398),0),0)</f>
        <v>2192.3376777197113</v>
      </c>
      <c r="I399" s="60">
        <f t="shared" ref="I399" si="408">IF($A$64&lt;=I363,IF($B$64&gt;=I363,ABS(I398),0),0)</f>
        <v>2239.1356963046464</v>
      </c>
      <c r="J399" s="60">
        <f t="shared" ref="J399" si="409">IF($A$64&lt;=J363,IF($B$64&gt;=J363,ABS(J398),0),0)</f>
        <v>621.17930095250688</v>
      </c>
      <c r="K399" s="60">
        <f t="shared" ref="K399" si="410">IF($A$64&lt;=K363,IF($B$64&gt;=K363,ABS(K398),0),0)</f>
        <v>455.16631425121994</v>
      </c>
      <c r="L399" s="60">
        <f t="shared" ref="L399" si="411">IF($A$64&lt;=L363,IF($B$64&gt;=L363,ABS(L398),0),0)</f>
        <v>54.70196858491061</v>
      </c>
      <c r="M399" s="60">
        <f t="shared" ref="M399" si="412">IF($A$64&lt;=M363,IF($B$64&gt;=M363,ABS(M398),0),0)</f>
        <v>768.97436272045422</v>
      </c>
      <c r="N399" s="60">
        <f t="shared" ref="N399" si="413">IF($A$64&lt;=N363,IF($B$64&gt;=N363,ABS(N398),0),0)</f>
        <v>748.49149633396689</v>
      </c>
      <c r="O399" s="60">
        <f t="shared" ref="O399" si="414">IF($A$64&lt;=O363,IF($B$64&gt;=O363,ABS(O398),0),0)</f>
        <v>443.29556756553018</v>
      </c>
      <c r="P399" s="60">
        <f t="shared" ref="P399" si="415">IF($A$64&lt;=P363,IF($B$64&gt;=P363,ABS(P398),0),0)</f>
        <v>58.754772183172015</v>
      </c>
      <c r="Q399" s="60">
        <f t="shared" ref="Q399" si="416">IF($A$64&lt;=Q363,IF($B$64&gt;=Q363,ABS(Q398),0),0)</f>
        <v>18.675875916781507</v>
      </c>
      <c r="R399" s="60">
        <f t="shared" ref="R399" si="417">IF($A$64&lt;=R363,IF($B$64&gt;=R363,ABS(R398),0),0)</f>
        <v>2.8240608641343212</v>
      </c>
      <c r="S399" s="60">
        <f t="shared" ref="S399" si="418">IF($A$64&lt;=S363,IF($B$64&gt;=S363,ABS(S398),0),0)</f>
        <v>2.2680114981750212</v>
      </c>
      <c r="T399" s="60">
        <f t="shared" ref="T399" si="419">IF($A$64&lt;=T363,IF($B$64&gt;=T363,ABS(T398),0),0)</f>
        <v>1788.6941596393108</v>
      </c>
      <c r="U399" s="60">
        <f t="shared" ref="U399" si="420">IF($A$64&lt;=U363,IF($B$64&gt;=U363,ABS(U398),0),0)</f>
        <v>2625.6759516539405</v>
      </c>
      <c r="V399" s="60">
        <f t="shared" ref="V399" si="421">IF($A$64&lt;=V363,IF($B$64&gt;=V363,ABS(V398),0),0)</f>
        <v>1399.9985936088081</v>
      </c>
      <c r="W399" s="60">
        <f t="shared" ref="W399" si="422">IF($A$64&lt;=W363,IF($B$64&gt;=W363,ABS(W398),0),0)</f>
        <v>1046.7070159898517</v>
      </c>
      <c r="X399" s="60">
        <f t="shared" ref="X399" si="423">IF($A$64&lt;=X363,IF($B$64&gt;=X363,ABS(X398),0),0)</f>
        <v>993.63054900427062</v>
      </c>
      <c r="Y399" s="60">
        <f t="shared" ref="Y399" si="424">IF($A$64&lt;=Y363,IF($B$64&gt;=Y363,ABS(Y398),0),0)</f>
        <v>986.84661190996417</v>
      </c>
      <c r="Z399" s="60">
        <f t="shared" ref="Z399" si="425">IF($A$64&lt;=Z363,IF($B$64&gt;=Z363,ABS(Z398),0),0)</f>
        <v>966.17608576997884</v>
      </c>
      <c r="AA399" s="60">
        <f t="shared" ref="AA399" si="426">IF($A$64&lt;=AA363,IF($B$64&gt;=AA363,ABS(AA398),0),0)</f>
        <v>943.61198338997929</v>
      </c>
      <c r="AB399" s="60">
        <f t="shared" ref="AB399" si="427">IF($A$64&lt;=AB363,IF($B$64&gt;=AB363,ABS(AB398),0),0)</f>
        <v>936.5635436255875</v>
      </c>
      <c r="AC399" s="60">
        <f t="shared" ref="AC399" si="428">IF($A$64&lt;=AC363,IF($B$64&gt;=AC363,ABS(AC398),0),0)</f>
        <v>929.84426614037773</v>
      </c>
      <c r="AD399" s="60">
        <f t="shared" ref="AD399" si="429">IF($A$64&lt;=AD363,IF($B$64&gt;=AD363,ABS(AD398),0),0)</f>
        <v>924.1890313339195</v>
      </c>
      <c r="AE399" s="60">
        <f t="shared" ref="AE399" si="430">IF($A$64&lt;=AE363,IF($B$64&gt;=AE363,ABS(AE398),0),0)</f>
        <v>922.54330185068989</v>
      </c>
      <c r="AF399" s="60">
        <f t="shared" ref="AF399" si="431">IF($A$64&lt;=AF363,IF($B$64&gt;=AF363,ABS(AF398),0),0)</f>
        <v>921.67254889460742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28" t="s">
        <v>163</v>
      </c>
      <c r="K402" s="128"/>
      <c r="L402" s="128"/>
      <c r="M402" s="128"/>
      <c r="N402" s="128"/>
      <c r="O402" s="128"/>
      <c r="P402" s="128"/>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-30.413972210948696</v>
      </c>
      <c r="C403" s="107">
        <f t="shared" ref="C403:H403" si="432">IF(C125=$B$2,0,C126)</f>
        <v>-17.935120667856175</v>
      </c>
      <c r="D403" s="107">
        <f t="shared" si="432"/>
        <v>-11.928740063453622</v>
      </c>
      <c r="E403" s="107">
        <f t="shared" si="432"/>
        <v>-6.7704611066142686</v>
      </c>
      <c r="F403" s="107">
        <f t="shared" si="432"/>
        <v>0</v>
      </c>
      <c r="G403" s="107">
        <f t="shared" si="432"/>
        <v>16.286830450969848</v>
      </c>
      <c r="H403" s="107">
        <f t="shared" si="432"/>
        <v>30.462808326534489</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6.1855695727129842E-29</v>
      </c>
      <c r="C404" s="3">
        <f t="shared" ref="C404:H419" si="433">$A404/EXP(-C$403)</f>
        <v>1.6250849252301357E-23</v>
      </c>
      <c r="D404" s="3">
        <f t="shared" si="433"/>
        <v>6.5980258754554607E-21</v>
      </c>
      <c r="E404" s="3">
        <f t="shared" si="433"/>
        <v>1.1471655632990057E-18</v>
      </c>
      <c r="F404" s="3">
        <f t="shared" si="433"/>
        <v>1.0000000000000001E-15</v>
      </c>
      <c r="G404" s="3">
        <f t="shared" si="433"/>
        <v>1.183806151913294E-8</v>
      </c>
      <c r="H404" s="3">
        <f t="shared" si="433"/>
        <v>1.6975773010911275E-2</v>
      </c>
      <c r="I404" s="109">
        <f>Comparison!AL3</f>
        <v>1.0000000000000001E-15</v>
      </c>
      <c r="J404" s="3">
        <f>Comparison!AM3</f>
        <v>5627.8046868132324</v>
      </c>
      <c r="K404" s="3">
        <f>Comparison!AN3</f>
        <v>5619.5329931741162</v>
      </c>
      <c r="L404" s="3">
        <f>Comparison!AO3</f>
        <v>5614.15966521874</v>
      </c>
      <c r="M404" s="3">
        <f>Comparison!AP3</f>
        <v>5608.5595412821331</v>
      </c>
      <c r="N404" s="3">
        <f>Comparison!AQ3</f>
        <v>5541.3343805505365</v>
      </c>
      <c r="O404" s="3">
        <f>Comparison!AR3</f>
        <v>4566.6036136134571</v>
      </c>
      <c r="P404" s="3">
        <f>Comparison!AS3</f>
        <v>3448.2859181540075</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6.1855695727129842E-28</v>
      </c>
      <c r="C405" s="3">
        <f t="shared" si="433"/>
        <v>1.6250849252301357E-22</v>
      </c>
      <c r="D405" s="3">
        <f t="shared" si="433"/>
        <v>6.5980258754554606E-20</v>
      </c>
      <c r="E405" s="3">
        <f t="shared" si="433"/>
        <v>1.1471655632990055E-17</v>
      </c>
      <c r="F405" s="3">
        <f t="shared" si="433"/>
        <v>1E-14</v>
      </c>
      <c r="G405" s="3">
        <f t="shared" si="433"/>
        <v>1.183806151913294E-7</v>
      </c>
      <c r="H405" s="3">
        <f t="shared" si="433"/>
        <v>0.16975773010911274</v>
      </c>
      <c r="I405" s="109">
        <f>Comparison!AL4</f>
        <v>1E-14</v>
      </c>
      <c r="J405" s="3">
        <f>Comparison!AM4</f>
        <v>5627.8375717832278</v>
      </c>
      <c r="K405" s="3">
        <f>Comparison!AN4</f>
        <v>5619.5658717740425</v>
      </c>
      <c r="L405" s="3">
        <f>Comparison!AO4</f>
        <v>5614.1868795733999</v>
      </c>
      <c r="M405" s="3">
        <f>Comparison!AP4</f>
        <v>5607.5578036030483</v>
      </c>
      <c r="N405" s="3">
        <f>Comparison!AQ4</f>
        <v>5343.1911525840997</v>
      </c>
      <c r="O405" s="3">
        <f>Comparison!AR4</f>
        <v>4367.9191662396088</v>
      </c>
      <c r="P405" s="3">
        <f>Comparison!AS4</f>
        <v>3239.5923652397146</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6.1855695727129845E-27</v>
      </c>
      <c r="C406" s="3">
        <f t="shared" si="433"/>
        <v>1.6250849252301356E-21</v>
      </c>
      <c r="D406" s="3">
        <f t="shared" si="433"/>
        <v>6.5980258754554598E-19</v>
      </c>
      <c r="E406" s="3">
        <f t="shared" si="433"/>
        <v>1.1471655632990056E-16</v>
      </c>
      <c r="F406" s="3">
        <f t="shared" si="433"/>
        <v>1E-13</v>
      </c>
      <c r="G406" s="3">
        <f t="shared" si="433"/>
        <v>1.183806151913294E-6</v>
      </c>
      <c r="H406" s="3">
        <f t="shared" si="433"/>
        <v>1.6975773010911275</v>
      </c>
      <c r="I406" s="109">
        <f>Comparison!AL5</f>
        <v>1E-13</v>
      </c>
      <c r="J406" s="3">
        <f>Comparison!AM5</f>
        <v>5627.8172471251501</v>
      </c>
      <c r="K406" s="3">
        <f>Comparison!AN5</f>
        <v>5619.5453722286029</v>
      </c>
      <c r="L406" s="3">
        <f>Comparison!AO5</f>
        <v>5614.1101001096886</v>
      </c>
      <c r="M406" s="3">
        <f>Comparison!AP5</f>
        <v>5597.5650860558781</v>
      </c>
      <c r="N406" s="3">
        <f>Comparison!AQ5</f>
        <v>5230.4848257433341</v>
      </c>
      <c r="O406" s="3">
        <f>Comparison!AR5</f>
        <v>4211.7468990411771</v>
      </c>
      <c r="P406" s="3">
        <f>Comparison!AS5</f>
        <v>3081.9689442141253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6.1855695727129838E-26</v>
      </c>
      <c r="C407" s="3">
        <f t="shared" si="433"/>
        <v>1.6250849252301354E-20</v>
      </c>
      <c r="D407" s="3">
        <f t="shared" si="433"/>
        <v>6.5980258754554602E-18</v>
      </c>
      <c r="E407" s="3">
        <f t="shared" si="433"/>
        <v>1.1471655632990055E-15</v>
      </c>
      <c r="F407" s="3">
        <f t="shared" si="433"/>
        <v>9.9999999999999998E-13</v>
      </c>
      <c r="G407" s="3">
        <f t="shared" si="433"/>
        <v>1.183806151913294E-5</v>
      </c>
      <c r="H407" s="3">
        <f t="shared" si="433"/>
        <v>16.975773010911276</v>
      </c>
      <c r="I407" s="109">
        <f>Comparison!AL6</f>
        <v>9.9999999999999998E-13</v>
      </c>
      <c r="J407" s="3">
        <f>Comparison!AM6</f>
        <v>5627.8109307653194</v>
      </c>
      <c r="K407" s="3">
        <f>Comparison!AN6</f>
        <v>5619.5381902049257</v>
      </c>
      <c r="L407" s="3">
        <f>Comparison!AO6</f>
        <v>5613.5440717227957</v>
      </c>
      <c r="M407" s="3">
        <f>Comparison!AP6</f>
        <v>5515.87592015054</v>
      </c>
      <c r="N407" s="3">
        <f>Comparison!AQ6</f>
        <v>5120.1446027142574</v>
      </c>
      <c r="O407" s="3">
        <f>Comparison!AR6</f>
        <v>4035.1164889708966</v>
      </c>
      <c r="P407" s="3">
        <f>Comparison!AS6</f>
        <v>2925.1274026703973</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6.185569572712984E-25</v>
      </c>
      <c r="C408" s="3">
        <f t="shared" si="433"/>
        <v>1.6250849252301354E-19</v>
      </c>
      <c r="D408" s="3">
        <f t="shared" si="433"/>
        <v>6.5980258754554592E-17</v>
      </c>
      <c r="E408" s="3">
        <f t="shared" si="433"/>
        <v>1.1471655632990055E-14</v>
      </c>
      <c r="F408" s="3">
        <f t="shared" si="433"/>
        <v>9.9999999999999994E-12</v>
      </c>
      <c r="G408" s="3">
        <f t="shared" si="433"/>
        <v>1.183806151913294E-4</v>
      </c>
      <c r="H408" s="3">
        <f t="shared" si="433"/>
        <v>169.75773010911274</v>
      </c>
      <c r="I408" s="109">
        <f>Comparison!AL7</f>
        <v>9.9999999999999994E-12</v>
      </c>
      <c r="J408" s="3">
        <f>Comparison!AM7</f>
        <v>5627.8090666274475</v>
      </c>
      <c r="K408" s="3">
        <f>Comparison!AN7</f>
        <v>5619.5270202096081</v>
      </c>
      <c r="L408" s="3">
        <f>Comparison!AO7</f>
        <v>5608.0875082385601</v>
      </c>
      <c r="M408" s="3">
        <f>Comparison!AP7</f>
        <v>5354.4297457358771</v>
      </c>
      <c r="N408" s="3">
        <f>Comparison!AQ7</f>
        <v>4998.3099857085181</v>
      </c>
      <c r="O408" s="3">
        <f>Comparison!AR7</f>
        <v>3826.9829326183326</v>
      </c>
      <c r="P408" s="3">
        <f>Comparison!AS7</f>
        <v>2768.6775302611704</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6.1855695727129842E-24</v>
      </c>
      <c r="C409" s="3">
        <f t="shared" si="433"/>
        <v>1.6250849252301357E-18</v>
      </c>
      <c r="D409" s="3">
        <f t="shared" si="433"/>
        <v>6.5980258754554599E-16</v>
      </c>
      <c r="E409" s="3">
        <f t="shared" si="433"/>
        <v>1.1471655632990055E-13</v>
      </c>
      <c r="F409" s="3">
        <f t="shared" si="433"/>
        <v>1E-10</v>
      </c>
      <c r="G409" s="3">
        <f t="shared" si="433"/>
        <v>1.1838061519132941E-3</v>
      </c>
      <c r="H409" s="3">
        <f t="shared" si="433"/>
        <v>1697.5773010911275</v>
      </c>
      <c r="I409" s="109">
        <f>Comparison!AL8</f>
        <v>1E-10</v>
      </c>
      <c r="J409" s="3">
        <f>Comparison!AM8</f>
        <v>5627.8083245923272</v>
      </c>
      <c r="K409" s="3">
        <f>Comparison!AN8</f>
        <v>5619.4334394084344</v>
      </c>
      <c r="L409" s="3">
        <f>Comparison!AO8</f>
        <v>5561.0618011761198</v>
      </c>
      <c r="M409" s="3">
        <f>Comparison!AP8</f>
        <v>5243.0021702463746</v>
      </c>
      <c r="N409" s="3">
        <f>Comparison!AQ8</f>
        <v>4868.289986185935</v>
      </c>
      <c r="O409" s="3">
        <f>Comparison!AR8</f>
        <v>3620.1591645384274</v>
      </c>
      <c r="P409" s="3">
        <f>Comparison!AS8</f>
        <v>2587.8715481120807</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6.1855695727129847E-23</v>
      </c>
      <c r="C410" s="3">
        <f t="shared" si="433"/>
        <v>1.6250849252301358E-17</v>
      </c>
      <c r="D410" s="3">
        <f t="shared" si="433"/>
        <v>6.5980258754554603E-15</v>
      </c>
      <c r="E410" s="3">
        <f t="shared" si="433"/>
        <v>1.1471655632990057E-12</v>
      </c>
      <c r="F410" s="3">
        <f t="shared" si="433"/>
        <v>1.0000000000000001E-9</v>
      </c>
      <c r="G410" s="3">
        <f t="shared" si="433"/>
        <v>1.183806151913294E-2</v>
      </c>
      <c r="H410" s="3">
        <f t="shared" si="433"/>
        <v>16975.773010911274</v>
      </c>
      <c r="I410" s="109">
        <f>Comparison!AL9</f>
        <v>1.0000000000000001E-9</v>
      </c>
      <c r="J410" s="3">
        <f>Comparison!AM9</f>
        <v>5627.808252198668</v>
      </c>
      <c r="K410" s="3">
        <f>Comparison!AN9</f>
        <v>5618.5096180858227</v>
      </c>
      <c r="L410" s="3">
        <f>Comparison!AO9</f>
        <v>5391.7011748892737</v>
      </c>
      <c r="M410" s="3">
        <f>Comparison!AP9</f>
        <v>5133.7176502815901</v>
      </c>
      <c r="N410" s="3">
        <f>Comparison!AQ9</f>
        <v>4722.7423685745798</v>
      </c>
      <c r="O410" s="3">
        <f>Comparison!AR9</f>
        <v>3446.6232486673289</v>
      </c>
      <c r="P410" s="3">
        <f>Comparison!AS9</f>
        <v>2392.4689452404186</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6.1855695727129844E-22</v>
      </c>
      <c r="C411" s="3">
        <f t="shared" si="433"/>
        <v>1.6250849252301356E-16</v>
      </c>
      <c r="D411" s="3">
        <f t="shared" si="433"/>
        <v>6.5980258754554598E-14</v>
      </c>
      <c r="E411" s="3">
        <f t="shared" si="433"/>
        <v>1.1471655632990056E-11</v>
      </c>
      <c r="F411" s="3">
        <f t="shared" si="433"/>
        <v>1E-8</v>
      </c>
      <c r="G411" s="3">
        <f t="shared" si="433"/>
        <v>0.11838061519132941</v>
      </c>
      <c r="H411" s="3">
        <f t="shared" si="433"/>
        <v>169757.73010911274</v>
      </c>
      <c r="I411" s="109">
        <f>Comparison!AL10</f>
        <v>1E-8</v>
      </c>
      <c r="J411" s="3">
        <f>Comparison!AM10</f>
        <v>5627.808053116114</v>
      </c>
      <c r="K411" s="3">
        <f>Comparison!AN10</f>
        <v>5609.604774269872</v>
      </c>
      <c r="L411" s="3">
        <f>Comparison!AO10</f>
        <v>5273.7806689105482</v>
      </c>
      <c r="M411" s="3">
        <f>Comparison!AP10</f>
        <v>5011.8758976932013</v>
      </c>
      <c r="N411" s="3">
        <f>Comparison!AQ10</f>
        <v>4566.4647906515956</v>
      </c>
      <c r="O411" s="3">
        <f>Comparison!AR10</f>
        <v>3283.5389960784037</v>
      </c>
      <c r="P411" s="3">
        <f>Comparison!AS10</f>
        <v>2172.7822789963197</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6.1855695727129839E-21</v>
      </c>
      <c r="C412" s="3">
        <f t="shared" si="433"/>
        <v>1.6250849252301354E-15</v>
      </c>
      <c r="D412" s="3">
        <f t="shared" si="433"/>
        <v>6.5980258754554598E-13</v>
      </c>
      <c r="E412" s="3">
        <f t="shared" si="433"/>
        <v>1.1471655632990055E-10</v>
      </c>
      <c r="F412" s="3">
        <f t="shared" si="433"/>
        <v>9.9999999999999995E-8</v>
      </c>
      <c r="G412" s="3">
        <f t="shared" si="433"/>
        <v>1.1838061519132939</v>
      </c>
      <c r="H412" s="3">
        <f t="shared" si="433"/>
        <v>1697577.3010911273</v>
      </c>
      <c r="I412" s="109">
        <f>Comparison!AL11</f>
        <v>9.9999999999999995E-8</v>
      </c>
      <c r="J412" s="3">
        <f>Comparison!AM11</f>
        <v>5627.8079807224613</v>
      </c>
      <c r="K412" s="3">
        <f>Comparison!AN11</f>
        <v>5534.6820731552771</v>
      </c>
      <c r="L412" s="3">
        <f>Comparison!AO11</f>
        <v>5167.1400623232676</v>
      </c>
      <c r="M412" s="3">
        <f>Comparison!AP11</f>
        <v>4882.7230333645084</v>
      </c>
      <c r="N412" s="3">
        <f>Comparison!AQ11</f>
        <v>4408.434781704007</v>
      </c>
      <c r="O412" s="3">
        <f>Comparison!AR11</f>
        <v>3126.1515402495047</v>
      </c>
      <c r="P412" s="3">
        <f>Comparison!AS11</f>
        <v>1927.9643975704516</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6.1855695727129842E-20</v>
      </c>
      <c r="C413" s="3">
        <f t="shared" si="433"/>
        <v>1.6250849252301354E-14</v>
      </c>
      <c r="D413" s="3">
        <f t="shared" si="433"/>
        <v>6.5980258754554594E-12</v>
      </c>
      <c r="E413" s="3">
        <f t="shared" si="433"/>
        <v>1.1471655632990055E-9</v>
      </c>
      <c r="F413" s="3">
        <f t="shared" si="433"/>
        <v>9.9999999999999995E-7</v>
      </c>
      <c r="G413" s="3">
        <f t="shared" si="433"/>
        <v>11.838061519132939</v>
      </c>
      <c r="H413" s="3">
        <f t="shared" si="433"/>
        <v>16975773.010911275</v>
      </c>
      <c r="I413" s="109">
        <f>Comparison!AL12</f>
        <v>9.9999999999999995E-7</v>
      </c>
      <c r="J413" s="3">
        <f>Comparison!AM12</f>
        <v>5627.8066052434133</v>
      </c>
      <c r="K413" s="3">
        <f>Comparison!AN12</f>
        <v>5370.399425083704</v>
      </c>
      <c r="L413" s="3">
        <f>Comparison!AO12</f>
        <v>5046.4639033804824</v>
      </c>
      <c r="M413" s="3">
        <f>Comparison!AP12</f>
        <v>4737.6825060207148</v>
      </c>
      <c r="N413" s="3">
        <f>Comparison!AQ12</f>
        <v>4256.2001953133786</v>
      </c>
      <c r="O413" s="3">
        <f>Comparison!AR12</f>
        <v>2970.9240585633979</v>
      </c>
      <c r="P413" s="3">
        <f>Comparison!AS12</f>
        <v>1643.6970338003</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6.1855695727129844E-19</v>
      </c>
      <c r="C414" s="3">
        <f t="shared" si="433"/>
        <v>1.6250849252301357E-13</v>
      </c>
      <c r="D414" s="3">
        <f t="shared" si="433"/>
        <v>6.5980258754554602E-11</v>
      </c>
      <c r="E414" s="3">
        <f t="shared" si="433"/>
        <v>1.1471655632990057E-8</v>
      </c>
      <c r="F414" s="3">
        <f t="shared" si="433"/>
        <v>1.0000000000000001E-5</v>
      </c>
      <c r="G414" s="3">
        <f t="shared" si="433"/>
        <v>118.38061519132941</v>
      </c>
      <c r="H414" s="3">
        <f t="shared" si="433"/>
        <v>169757730.10911277</v>
      </c>
      <c r="I414" s="109">
        <f>Comparison!AL13</f>
        <v>1.0000000000000001E-5</v>
      </c>
      <c r="J414" s="3">
        <f>Comparison!AM13</f>
        <v>5627.7932848495184</v>
      </c>
      <c r="K414" s="3">
        <f>Comparison!AN13</f>
        <v>5257.8155746015464</v>
      </c>
      <c r="L414" s="3">
        <f>Comparison!AO13</f>
        <v>4920.6469341545144</v>
      </c>
      <c r="M414" s="3">
        <f>Comparison!AP13</f>
        <v>4581.7042756516666</v>
      </c>
      <c r="N414" s="3">
        <f>Comparison!AQ13</f>
        <v>4088.6897076558816</v>
      </c>
      <c r="O414" s="3">
        <f>Comparison!AR13</f>
        <v>2814.9531210575578</v>
      </c>
      <c r="P414" s="3">
        <f>Comparison!AS13</f>
        <v>1319.6710728146086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6.1855695727129842E-18</v>
      </c>
      <c r="C415" s="3">
        <f t="shared" si="433"/>
        <v>1.6250849252301357E-12</v>
      </c>
      <c r="D415" s="3">
        <f t="shared" si="433"/>
        <v>6.5980258754554605E-10</v>
      </c>
      <c r="E415" s="3">
        <f t="shared" si="433"/>
        <v>1.1471655632990056E-7</v>
      </c>
      <c r="F415" s="3">
        <f t="shared" si="433"/>
        <v>1E-4</v>
      </c>
      <c r="G415" s="3">
        <f t="shared" si="433"/>
        <v>1183.8061519132941</v>
      </c>
      <c r="H415" s="3">
        <f t="shared" si="433"/>
        <v>1697577301.0911276</v>
      </c>
      <c r="I415" s="109">
        <f>Comparison!AL14</f>
        <v>1E-4</v>
      </c>
      <c r="J415" s="3">
        <f>Comparison!AM14</f>
        <v>5627.6610797391322</v>
      </c>
      <c r="K415" s="3">
        <f>Comparison!AN14</f>
        <v>5148.9525022518937</v>
      </c>
      <c r="L415" s="3">
        <f>Comparison!AO14</f>
        <v>4778.6212241451321</v>
      </c>
      <c r="M415" s="3">
        <f>Comparison!AP14</f>
        <v>4422.8560767502513</v>
      </c>
      <c r="N415" s="3">
        <f>Comparison!AQ14</f>
        <v>3886.5453020717396</v>
      </c>
      <c r="O415" s="3">
        <f>Comparison!AR14</f>
        <v>2641.4801683555684</v>
      </c>
      <c r="P415" s="3">
        <f>Comparison!AS14</f>
        <v>983.6154232764427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6.1855695727129847E-17</v>
      </c>
      <c r="C416" s="3">
        <f t="shared" si="433"/>
        <v>1.6250849252301355E-11</v>
      </c>
      <c r="D416" s="3">
        <f t="shared" si="433"/>
        <v>6.5980258754554599E-9</v>
      </c>
      <c r="E416" s="3">
        <f t="shared" si="433"/>
        <v>1.1471655632990055E-6</v>
      </c>
      <c r="F416" s="3">
        <f t="shared" si="433"/>
        <v>1E-3</v>
      </c>
      <c r="G416" s="3">
        <f t="shared" si="433"/>
        <v>11838.06151913294</v>
      </c>
      <c r="H416" s="3">
        <f t="shared" si="433"/>
        <v>16975773010.911276</v>
      </c>
      <c r="I416" s="109">
        <f>Comparison!AL15</f>
        <v>1E-3</v>
      </c>
      <c r="J416" s="3">
        <f>Comparison!AM15</f>
        <v>5626.3493372203875</v>
      </c>
      <c r="K416" s="3">
        <f>Comparison!AN15</f>
        <v>5026.92102925375</v>
      </c>
      <c r="L416" s="3">
        <f>Comparison!AO15</f>
        <v>4624.8276392807802</v>
      </c>
      <c r="M416" s="3">
        <f>Comparison!AP15</f>
        <v>4270.4317526073974</v>
      </c>
      <c r="N416" s="3">
        <f>Comparison!AQ15</f>
        <v>3674.0476464355193</v>
      </c>
      <c r="O416" s="3">
        <f>Comparison!AR15</f>
        <v>2449.1835010011705</v>
      </c>
      <c r="P416" s="3">
        <f>Comparison!AS15</f>
        <v>693.66104788005293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6.1855695727129847E-16</v>
      </c>
      <c r="C417" s="3">
        <f t="shared" si="433"/>
        <v>1.6250849252301356E-10</v>
      </c>
      <c r="D417" s="3">
        <f t="shared" si="433"/>
        <v>6.59802587545546E-8</v>
      </c>
      <c r="E417" s="3">
        <f t="shared" si="433"/>
        <v>1.1471655632990055E-5</v>
      </c>
      <c r="F417" s="3">
        <f t="shared" si="433"/>
        <v>0.01</v>
      </c>
      <c r="G417" s="3">
        <f t="shared" si="433"/>
        <v>118380.6151913294</v>
      </c>
      <c r="H417" s="3">
        <f t="shared" si="433"/>
        <v>169757730109.11276</v>
      </c>
      <c r="I417" s="109">
        <f>Comparison!AL16</f>
        <v>0.01</v>
      </c>
      <c r="J417" s="3">
        <f>Comparison!AM16</f>
        <v>5613.8255139047442</v>
      </c>
      <c r="K417" s="3">
        <f>Comparison!AN16</f>
        <v>4898.1924827249632</v>
      </c>
      <c r="L417" s="3">
        <f>Comparison!AO16</f>
        <v>4464.4431086830655</v>
      </c>
      <c r="M417" s="3">
        <f>Comparison!AP16</f>
        <v>4104.9210309366072</v>
      </c>
      <c r="N417" s="3">
        <f>Comparison!AQ16</f>
        <v>3490.4964950029853</v>
      </c>
      <c r="O417" s="3">
        <f>Comparison!AR16</f>
        <v>2235.8247528873858</v>
      </c>
      <c r="P417" s="3">
        <f>Comparison!AS16</f>
        <v>485.93999274200024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6.1855695727129843E-15</v>
      </c>
      <c r="C418" s="3">
        <f t="shared" si="433"/>
        <v>1.6250849252301358E-9</v>
      </c>
      <c r="D418" s="3">
        <f t="shared" si="433"/>
        <v>6.5980258754554605E-7</v>
      </c>
      <c r="E418" s="3">
        <f t="shared" si="433"/>
        <v>1.1471655632990057E-4</v>
      </c>
      <c r="F418" s="3">
        <f t="shared" si="433"/>
        <v>0.1</v>
      </c>
      <c r="G418" s="3">
        <f t="shared" si="433"/>
        <v>1183806.1519132941</v>
      </c>
      <c r="H418" s="3">
        <f t="shared" si="433"/>
        <v>1697577301091.1277</v>
      </c>
      <c r="I418" s="109">
        <f>Comparison!AL17</f>
        <v>0.1</v>
      </c>
      <c r="J418" s="3">
        <f>Comparison!AM17</f>
        <v>5517.4172060787987</v>
      </c>
      <c r="K418" s="3">
        <f>Comparison!AN17</f>
        <v>4753.3269146217463</v>
      </c>
      <c r="L418" s="3">
        <f>Comparison!AO17</f>
        <v>4311.3670250981177</v>
      </c>
      <c r="M418" s="3">
        <f>Comparison!AP17</f>
        <v>3904.1870554469519</v>
      </c>
      <c r="N418" s="3">
        <f>Comparison!AQ17</f>
        <v>3328.6476119407066</v>
      </c>
      <c r="O418" s="3">
        <f>Comparison!AR17</f>
        <v>1993.335720552192</v>
      </c>
      <c r="P418" s="3">
        <f>Comparison!AS17</f>
        <v>367.37990571310178</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6.1855695727129838E-14</v>
      </c>
      <c r="C419" s="3">
        <f t="shared" si="433"/>
        <v>1.6250849252301356E-8</v>
      </c>
      <c r="D419" s="3">
        <f t="shared" si="433"/>
        <v>6.5980258754554599E-6</v>
      </c>
      <c r="E419" s="3">
        <f t="shared" si="433"/>
        <v>1.1471655632990057E-3</v>
      </c>
      <c r="F419" s="3">
        <f t="shared" si="433"/>
        <v>1</v>
      </c>
      <c r="G419" s="3">
        <f t="shared" si="433"/>
        <v>11838061.51913294</v>
      </c>
      <c r="H419" s="3">
        <f t="shared" si="433"/>
        <v>16975773010911.275</v>
      </c>
      <c r="I419" s="109">
        <f>Comparison!AL18</f>
        <v>1</v>
      </c>
      <c r="J419" s="3">
        <f>Comparison!AM18</f>
        <v>5360.9194936383001</v>
      </c>
      <c r="K419" s="3">
        <f>Comparison!AN18</f>
        <v>4597.3394014710702</v>
      </c>
      <c r="L419" s="3">
        <f>Comparison!AO18</f>
        <v>4152.6891106145395</v>
      </c>
      <c r="M419" s="3">
        <f>Comparison!AP18</f>
        <v>3689.3430627142566</v>
      </c>
      <c r="N419" s="3">
        <f>Comparison!AQ18</f>
        <v>3162.6549081928265</v>
      </c>
      <c r="O419" s="3">
        <f>Comparison!AR18</f>
        <v>1707.9100595434049</v>
      </c>
      <c r="P419" s="3">
        <f>Comparison!AS18</f>
        <v>307.17178720865763</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6.1855695727129846E-13</v>
      </c>
      <c r="C420" s="3">
        <f t="shared" si="434"/>
        <v>1.6250849252301357E-7</v>
      </c>
      <c r="D420" s="3">
        <f t="shared" si="434"/>
        <v>6.5980258754554596E-5</v>
      </c>
      <c r="E420" s="3">
        <f t="shared" si="434"/>
        <v>1.1471655632990055E-2</v>
      </c>
      <c r="F420" s="3">
        <f t="shared" si="434"/>
        <v>10</v>
      </c>
      <c r="G420" s="3">
        <f t="shared" si="434"/>
        <v>118380615.1913294</v>
      </c>
      <c r="H420" s="3">
        <f t="shared" si="434"/>
        <v>169757730109112.75</v>
      </c>
      <c r="I420" s="109">
        <f>Comparison!AL19</f>
        <v>10</v>
      </c>
      <c r="J420" s="3">
        <f>Comparison!AM19</f>
        <v>5250.254742360099</v>
      </c>
      <c r="K420" s="3">
        <f>Comparison!AN19</f>
        <v>4437.480614548972</v>
      </c>
      <c r="L420" s="3">
        <f>Comparison!AO19</f>
        <v>3957.9636218361616</v>
      </c>
      <c r="M420" s="3">
        <f>Comparison!AP19</f>
        <v>3495.8611800317371</v>
      </c>
      <c r="N420" s="3">
        <f>Comparison!AQ19</f>
        <v>2989.0593935666489</v>
      </c>
      <c r="O420" s="3">
        <f>Comparison!AR19</f>
        <v>1382.9901395885138</v>
      </c>
      <c r="P420" s="3">
        <f>Comparison!AS19</f>
        <v>279.06842494658031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6.1855695727129838E-12</v>
      </c>
      <c r="C421" s="3">
        <f t="shared" si="434"/>
        <v>1.6250849252301356E-6</v>
      </c>
      <c r="D421" s="3">
        <f t="shared" si="434"/>
        <v>6.5980258754554598E-4</v>
      </c>
      <c r="E421" s="3">
        <f t="shared" si="434"/>
        <v>0.11471655632990056</v>
      </c>
      <c r="F421" s="3">
        <f t="shared" si="434"/>
        <v>100</v>
      </c>
      <c r="G421" s="3">
        <f t="shared" si="434"/>
        <v>1183806151.9132941</v>
      </c>
      <c r="H421" s="3">
        <f t="shared" si="434"/>
        <v>1697577301091127.5</v>
      </c>
      <c r="I421" s="109">
        <f>Comparison!AL20</f>
        <v>100</v>
      </c>
      <c r="J421" s="3">
        <f>Comparison!AM20</f>
        <v>5138.7770947931922</v>
      </c>
      <c r="K421" s="3">
        <f>Comparison!AN20</f>
        <v>4282.6976933023134</v>
      </c>
      <c r="L421" s="3">
        <f>Comparison!AO20</f>
        <v>3730.5898476111606</v>
      </c>
      <c r="M421" s="3">
        <f>Comparison!AP20</f>
        <v>3307.8943029856523</v>
      </c>
      <c r="N421" s="3">
        <f>Comparison!AQ20</f>
        <v>2798.1852090008501</v>
      </c>
      <c r="O421" s="3">
        <f>Comparison!AR20</f>
        <v>1045.3846206276212</v>
      </c>
      <c r="P421" s="3">
        <f>Comparison!AS20</f>
        <v>261.67169004040318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6.1855695727129844E-11</v>
      </c>
      <c r="C422" s="3">
        <f t="shared" si="434"/>
        <v>1.6250849252301355E-5</v>
      </c>
      <c r="D422" s="3">
        <f t="shared" si="434"/>
        <v>6.5980258754554603E-3</v>
      </c>
      <c r="E422" s="3">
        <f t="shared" si="434"/>
        <v>1.1471655632990057</v>
      </c>
      <c r="F422" s="3">
        <f t="shared" si="434"/>
        <v>1000</v>
      </c>
      <c r="G422" s="3">
        <f t="shared" si="434"/>
        <v>11838061519.13294</v>
      </c>
      <c r="H422" s="3">
        <f t="shared" si="434"/>
        <v>1.6975773010911274E+16</v>
      </c>
      <c r="I422" s="109">
        <f>Comparison!AL21</f>
        <v>1000</v>
      </c>
      <c r="J422" s="3">
        <f>Comparison!AM21</f>
        <v>5015.7448530146003</v>
      </c>
      <c r="K422" s="3">
        <f>Comparison!AN21</f>
        <v>4104.6708903026465</v>
      </c>
      <c r="L422" s="3">
        <f>Comparison!AO21</f>
        <v>3500.0702814112506</v>
      </c>
      <c r="M422" s="3">
        <f>Comparison!AP21</f>
        <v>3103.7900841852515</v>
      </c>
      <c r="N422" s="3">
        <f>Comparison!AQ21</f>
        <v>2599.5030730508342</v>
      </c>
      <c r="O422" s="3">
        <f>Comparison!AR21</f>
        <v>743.50488577028852</v>
      </c>
      <c r="P422" s="3">
        <f>Comparison!AS21</f>
        <v>251.34674819282765</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6.1855695727129844E-10</v>
      </c>
      <c r="C423" s="3">
        <f t="shared" si="434"/>
        <v>1.6250849252301357E-4</v>
      </c>
      <c r="D423" s="3">
        <f t="shared" si="434"/>
        <v>6.5980258754554599E-2</v>
      </c>
      <c r="E423" s="3">
        <f t="shared" si="434"/>
        <v>11.471655632990055</v>
      </c>
      <c r="F423" s="3">
        <f t="shared" si="434"/>
        <v>10000</v>
      </c>
      <c r="G423" s="3">
        <f t="shared" si="434"/>
        <v>118380615191.32941</v>
      </c>
      <c r="H423" s="3">
        <f t="shared" si="434"/>
        <v>1.6975773010911274E+17</v>
      </c>
      <c r="I423" s="109">
        <f>Comparison!AL22</f>
        <v>10000</v>
      </c>
      <c r="J423" s="3">
        <f>Comparison!AM22</f>
        <v>4881.370820360753</v>
      </c>
      <c r="K423" s="3">
        <f>Comparison!AN22</f>
        <v>3863.6251591234022</v>
      </c>
      <c r="L423" s="3">
        <f>Comparison!AO22</f>
        <v>3289.3669034465734</v>
      </c>
      <c r="M423" s="3">
        <f>Comparison!AP22</f>
        <v>2911.6115267339505</v>
      </c>
      <c r="N423" s="3">
        <f>Comparison!AQ22</f>
        <v>2390.0680354035449</v>
      </c>
      <c r="O423" s="3">
        <f>Comparison!AR22</f>
        <v>519.49600219625086</v>
      </c>
      <c r="P423" s="3">
        <f>Comparison!AS22</f>
        <v>246.12933837944422</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6.1855695727129842E-9</v>
      </c>
      <c r="C424" s="3">
        <f t="shared" si="434"/>
        <v>1.6250849252301355E-3</v>
      </c>
      <c r="D424" s="3">
        <f t="shared" si="434"/>
        <v>0.65980258754554599</v>
      </c>
      <c r="E424" s="3">
        <f t="shared" si="434"/>
        <v>114.71655632990056</v>
      </c>
      <c r="F424" s="3">
        <f t="shared" si="434"/>
        <v>100000</v>
      </c>
      <c r="G424" s="3">
        <f t="shared" si="434"/>
        <v>1183806151913.2939</v>
      </c>
      <c r="H424" s="3">
        <f t="shared" si="434"/>
        <v>1.6975773010911276E+18</v>
      </c>
      <c r="I424" s="109">
        <f>Comparison!AL23</f>
        <v>100000</v>
      </c>
      <c r="J424" s="3">
        <f>Comparison!AM23</f>
        <v>4715.1502303445186</v>
      </c>
      <c r="K424" s="3">
        <f>Comparison!AN23</f>
        <v>3593.12923880173</v>
      </c>
      <c r="L424" s="3">
        <f>Comparison!AO23</f>
        <v>3085.2633506749817</v>
      </c>
      <c r="M424" s="3">
        <f>Comparison!AP23</f>
        <v>2729.2195894835777</v>
      </c>
      <c r="N424" s="3">
        <f>Comparison!AQ23</f>
        <v>2175.40034172183</v>
      </c>
      <c r="O424" s="3">
        <f>Comparison!AR23</f>
        <v>383.51568079468302</v>
      </c>
      <c r="P424" s="3">
        <f>Comparison!AS23</f>
        <v>232.30454015462297</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6.1855695727129835E-8</v>
      </c>
      <c r="C425" s="3">
        <f t="shared" si="434"/>
        <v>1.6250849252301355E-2</v>
      </c>
      <c r="D425" s="3">
        <f t="shared" si="434"/>
        <v>6.5980258754554599</v>
      </c>
      <c r="E425" s="3">
        <f t="shared" si="434"/>
        <v>1147.1655632990055</v>
      </c>
      <c r="F425" s="3">
        <f t="shared" si="434"/>
        <v>1000000</v>
      </c>
      <c r="G425" s="3">
        <f t="shared" si="434"/>
        <v>11838061519132.939</v>
      </c>
      <c r="H425" s="3">
        <f t="shared" si="434"/>
        <v>1.6975773010911275E+19</v>
      </c>
      <c r="I425" s="109">
        <f>Comparison!AL24</f>
        <v>1000000</v>
      </c>
      <c r="J425" s="3">
        <f>Comparison!AM24</f>
        <v>4502.659399288631</v>
      </c>
      <c r="K425" s="3">
        <f>Comparison!AN24</f>
        <v>3360.468185804395</v>
      </c>
      <c r="L425" s="3">
        <f>Comparison!AO24</f>
        <v>2905.3736728917142</v>
      </c>
      <c r="M425" s="3">
        <f>Comparison!AP24</f>
        <v>2550.726219448276</v>
      </c>
      <c r="N425" s="3">
        <f>Comparison!AQ24</f>
        <v>1944.7438917872487</v>
      </c>
      <c r="O425" s="3">
        <f>Comparison!AR24</f>
        <v>314.10371823238006</v>
      </c>
      <c r="P425" s="3">
        <f>Comparison!AS24</f>
        <v>227.24083682489959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6.1855695727129843E-7</v>
      </c>
      <c r="C426" s="3">
        <f t="shared" si="434"/>
        <v>0.16250849252301355</v>
      </c>
      <c r="D426" s="3">
        <f t="shared" si="434"/>
        <v>65.980258754554598</v>
      </c>
      <c r="E426" s="3">
        <f t="shared" si="434"/>
        <v>11471.655632990056</v>
      </c>
      <c r="F426" s="3">
        <f t="shared" si="434"/>
        <v>10000000</v>
      </c>
      <c r="G426" s="3">
        <f t="shared" si="434"/>
        <v>118380615191329.41</v>
      </c>
      <c r="H426" s="3">
        <f t="shared" si="434"/>
        <v>1.6975773010911275E+20</v>
      </c>
      <c r="I426" s="109">
        <f>Comparison!AL25</f>
        <v>10000000</v>
      </c>
      <c r="J426" s="3">
        <f>Comparison!AM25</f>
        <v>4273.4157788380835</v>
      </c>
      <c r="K426" s="3">
        <f>Comparison!AN25</f>
        <v>3169.2406182554596</v>
      </c>
      <c r="L426" s="3">
        <f>Comparison!AO25</f>
        <v>2732.9260794562178</v>
      </c>
      <c r="M426" s="3">
        <f>Comparison!AP25</f>
        <v>2358.1438044871866</v>
      </c>
      <c r="N426" s="3">
        <f>Comparison!AQ25</f>
        <v>1692.3075271682321</v>
      </c>
      <c r="O426" s="3">
        <f>Comparison!AR25</f>
        <v>280.6909623460773</v>
      </c>
      <c r="P426" s="3">
        <f>Comparison!AS25</f>
        <v>226.40989093990805</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6.1855695727129839E-6</v>
      </c>
      <c r="C427" s="3">
        <f t="shared" si="434"/>
        <v>1.6250849252301356</v>
      </c>
      <c r="D427" s="3">
        <f t="shared" si="434"/>
        <v>659.80258754554598</v>
      </c>
      <c r="E427" s="3">
        <f t="shared" si="434"/>
        <v>114716.55632990056</v>
      </c>
      <c r="F427" s="3">
        <f t="shared" si="434"/>
        <v>100000000</v>
      </c>
      <c r="G427" s="3">
        <f t="shared" si="434"/>
        <v>1183806151913294</v>
      </c>
      <c r="H427" s="3">
        <f t="shared" si="434"/>
        <v>1.6975773010911274E+21</v>
      </c>
      <c r="I427" s="109">
        <f>Comparison!AL26</f>
        <v>100000000</v>
      </c>
      <c r="J427" s="3">
        <f>Comparison!AM26</f>
        <v>4058.4470173916279</v>
      </c>
      <c r="K427" s="3">
        <f>Comparison!AN26</f>
        <v>2988.8293612758935</v>
      </c>
      <c r="L427" s="3">
        <f>Comparison!AO26</f>
        <v>2568.1909736158736</v>
      </c>
      <c r="M427" s="3">
        <f>Comparison!AP26</f>
        <v>2158.239452794789</v>
      </c>
      <c r="N427" s="3">
        <f>Comparison!AQ26</f>
        <v>1404.857998960405</v>
      </c>
      <c r="O427" s="3">
        <f>Comparison!AR26</f>
        <v>262.23895816268134</v>
      </c>
      <c r="P427" s="3">
        <f>Comparison!AS26</f>
        <v>226.30209993218824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6.1855695727129848E-5</v>
      </c>
      <c r="C428" s="3">
        <f t="shared" si="434"/>
        <v>16.250849252301357</v>
      </c>
      <c r="D428" s="3">
        <f t="shared" si="434"/>
        <v>6598.0258754554598</v>
      </c>
      <c r="E428" s="3">
        <f t="shared" si="434"/>
        <v>1147165.5632990056</v>
      </c>
      <c r="F428" s="3">
        <f t="shared" si="434"/>
        <v>1000000000</v>
      </c>
      <c r="G428" s="3">
        <f t="shared" si="434"/>
        <v>1.183806151913294E+16</v>
      </c>
      <c r="H428" s="3">
        <f t="shared" si="434"/>
        <v>1.6975773010911274E+22</v>
      </c>
      <c r="I428" s="109">
        <f>Comparison!AL27</f>
        <v>1000000000</v>
      </c>
      <c r="J428" s="3">
        <f>Comparison!AM27</f>
        <v>3848.5922465336935</v>
      </c>
      <c r="K428" s="3">
        <f>Comparison!AN27</f>
        <v>2827.4607055264137</v>
      </c>
      <c r="L428" s="3">
        <f>Comparison!AO27</f>
        <v>2386.1123895749793</v>
      </c>
      <c r="M428" s="3">
        <f>Comparison!AP27</f>
        <v>1939.4329282086981</v>
      </c>
      <c r="N428" s="3">
        <f>Comparison!AQ27</f>
        <v>1091.4425267820036</v>
      </c>
      <c r="O428" s="3">
        <f>Comparison!AR27</f>
        <v>250.5385469230996</v>
      </c>
      <c r="P428" s="3">
        <f>Comparison!AS27</f>
        <v>225.971358220734</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6.1855695727129839E-4</v>
      </c>
      <c r="C429" s="3">
        <f t="shared" si="434"/>
        <v>162.50849252301356</v>
      </c>
      <c r="D429" s="3">
        <f t="shared" si="434"/>
        <v>65980.258754554598</v>
      </c>
      <c r="E429" s="3">
        <f t="shared" si="434"/>
        <v>11471655.632990055</v>
      </c>
      <c r="F429" s="3">
        <f t="shared" si="434"/>
        <v>10000000000</v>
      </c>
      <c r="G429" s="3">
        <f t="shared" si="434"/>
        <v>1.1838061519132939E+17</v>
      </c>
      <c r="H429" s="3">
        <f t="shared" si="434"/>
        <v>1.6975773010911277E+23</v>
      </c>
      <c r="I429" s="109">
        <f>Comparison!AL28</f>
        <v>10000000000</v>
      </c>
      <c r="J429" s="3">
        <f>Comparison!AM28</f>
        <v>3623.9563394023553</v>
      </c>
      <c r="K429" s="3">
        <f>Comparison!AN28</f>
        <v>2670.1707037079254</v>
      </c>
      <c r="L429" s="3">
        <f>Comparison!AO28</f>
        <v>2196.768027007945</v>
      </c>
      <c r="M429" s="3">
        <f>Comparison!AP28</f>
        <v>1697.1946565213088</v>
      </c>
      <c r="N429" s="3">
        <f>Comparison!AQ28</f>
        <v>790.55484106714846</v>
      </c>
      <c r="O429" s="3">
        <f>Comparison!AR28</f>
        <v>245.32626479673095</v>
      </c>
      <c r="P429" s="3">
        <f>Comparison!AS28</f>
        <v>225.60625299057205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6.1855695727129839E-3</v>
      </c>
      <c r="C430" s="3">
        <f t="shared" si="434"/>
        <v>1625.0849252301357</v>
      </c>
      <c r="D430" s="3">
        <f t="shared" si="434"/>
        <v>659802.587545546</v>
      </c>
      <c r="E430" s="3">
        <f t="shared" si="434"/>
        <v>114716556.32990056</v>
      </c>
      <c r="F430" s="3">
        <f t="shared" si="434"/>
        <v>100000000000</v>
      </c>
      <c r="G430" s="3">
        <f t="shared" si="434"/>
        <v>1.1838061519132941E+18</v>
      </c>
      <c r="H430" s="3">
        <f t="shared" si="434"/>
        <v>1.6975773010911275E+24</v>
      </c>
      <c r="I430" s="109">
        <f>Comparison!AL29</f>
        <v>100000000000</v>
      </c>
      <c r="J430" s="3">
        <f>Comparison!AM29</f>
        <v>3404.5451338992034</v>
      </c>
      <c r="K430" s="3">
        <f>Comparison!AN29</f>
        <v>2515.5612619665249</v>
      </c>
      <c r="L430" s="3">
        <f>Comparison!AO29</f>
        <v>1987.4046244520723</v>
      </c>
      <c r="M430" s="3">
        <f>Comparison!AP29</f>
        <v>1417.4356606109552</v>
      </c>
      <c r="N430" s="3">
        <f>Comparison!AQ29</f>
        <v>554.44228824478739</v>
      </c>
      <c r="O430" s="3">
        <f>Comparison!AR29</f>
        <v>234.06992955511652</v>
      </c>
      <c r="P430" s="3">
        <f>Comparison!AS29</f>
        <v>225.49131077609314</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6.1855695727129838E-2</v>
      </c>
      <c r="C431" s="3">
        <f t="shared" si="434"/>
        <v>16250.849252301356</v>
      </c>
      <c r="D431" s="3">
        <f t="shared" si="434"/>
        <v>6598025.8754554596</v>
      </c>
      <c r="E431" s="3">
        <f t="shared" si="434"/>
        <v>1147165563.2990055</v>
      </c>
      <c r="F431" s="3">
        <f t="shared" si="434"/>
        <v>1000000000000</v>
      </c>
      <c r="G431" s="3">
        <f t="shared" si="434"/>
        <v>1.183806151913294E+19</v>
      </c>
      <c r="H431" s="3">
        <f t="shared" si="434"/>
        <v>1.6975773010911275E+25</v>
      </c>
      <c r="I431" s="109">
        <f>Comparison!AL30</f>
        <v>1000000000000</v>
      </c>
      <c r="J431" s="3">
        <f>Comparison!AM30</f>
        <v>3224.8694264190117</v>
      </c>
      <c r="K431" s="3">
        <f>Comparison!AN30</f>
        <v>2336.7097855049965</v>
      </c>
      <c r="L431" s="3">
        <f>Comparison!AO30</f>
        <v>1756.4334468648422</v>
      </c>
      <c r="M431" s="3">
        <f>Comparison!AP30</f>
        <v>1107.9541803332813</v>
      </c>
      <c r="N431" s="3">
        <f>Comparison!AQ30</f>
        <v>402.30286435501444</v>
      </c>
      <c r="O431" s="3">
        <f>Comparison!AR30</f>
        <v>226.1826531941249</v>
      </c>
      <c r="P431" s="3">
        <f>Comparison!AS30</f>
        <v>225.3813329804162</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0.61855695727129845</v>
      </c>
      <c r="C432" s="3">
        <f t="shared" si="434"/>
        <v>162508.49252301356</v>
      </c>
      <c r="D432" s="3">
        <f t="shared" si="434"/>
        <v>65980258.7545546</v>
      </c>
      <c r="E432" s="3">
        <f t="shared" si="434"/>
        <v>11471655632.990055</v>
      </c>
      <c r="F432" s="3">
        <f t="shared" si="434"/>
        <v>10000000000000</v>
      </c>
      <c r="G432" s="3">
        <f t="shared" si="434"/>
        <v>1.1838061519132941E+20</v>
      </c>
      <c r="H432" s="3">
        <f t="shared" si="434"/>
        <v>1.6975773010911276E+26</v>
      </c>
      <c r="I432" s="109">
        <f>Comparison!AL31</f>
        <v>10000000000000</v>
      </c>
      <c r="J432" s="3">
        <f>Comparison!AM31</f>
        <v>3068.1804215620291</v>
      </c>
      <c r="K432" s="3">
        <f>Comparison!AN31</f>
        <v>2150.3686174171794</v>
      </c>
      <c r="L432" s="3">
        <f>Comparison!AO31</f>
        <v>1488.4468583518017</v>
      </c>
      <c r="M432" s="3">
        <f>Comparison!AP31</f>
        <v>805.95331833639966</v>
      </c>
      <c r="N432" s="3">
        <f>Comparison!AQ31</f>
        <v>323.52349101295181</v>
      </c>
      <c r="O432" s="3">
        <f>Comparison!AR31</f>
        <v>225.23832209445587</v>
      </c>
      <c r="P432" s="3">
        <f>Comparison!AS31</f>
        <v>225.28846256587596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6.1855695727129838</v>
      </c>
      <c r="C433" s="3">
        <f t="shared" si="434"/>
        <v>1625084.9252301357</v>
      </c>
      <c r="D433" s="3">
        <f t="shared" si="434"/>
        <v>659802587.54554605</v>
      </c>
      <c r="E433" s="3">
        <f t="shared" si="434"/>
        <v>114716556329.90056</v>
      </c>
      <c r="F433" s="3">
        <f t="shared" si="434"/>
        <v>100000000000000</v>
      </c>
      <c r="G433" s="3">
        <f t="shared" si="434"/>
        <v>1.183806151913294E+21</v>
      </c>
      <c r="H433" s="3">
        <f t="shared" si="434"/>
        <v>1.6975773010911276E+27</v>
      </c>
      <c r="I433" s="109">
        <f>Comparison!AL32</f>
        <v>100000000000000</v>
      </c>
      <c r="J433" s="3">
        <f>Comparison!AM32</f>
        <v>2915.919267959634</v>
      </c>
      <c r="K433" s="3">
        <f>Comparison!AN32</f>
        <v>1940.5173332718871</v>
      </c>
      <c r="L433" s="3">
        <f>Comparison!AO32</f>
        <v>1185.6745633902476</v>
      </c>
      <c r="M433" s="3">
        <f>Comparison!AP32</f>
        <v>565.79561192848462</v>
      </c>
      <c r="N433" s="3">
        <f>Comparison!AQ32</f>
        <v>284.35137217816799</v>
      </c>
      <c r="O433" s="3">
        <f>Comparison!AR32</f>
        <v>225.13655271656646</v>
      </c>
      <c r="P433" s="3">
        <f>Comparison!AS32</f>
        <v>225.26138301118297</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61.855695727129842</v>
      </c>
      <c r="C434" s="3">
        <f t="shared" si="434"/>
        <v>16250849.252301356</v>
      </c>
      <c r="D434" s="3">
        <f t="shared" si="434"/>
        <v>6598025875.4554596</v>
      </c>
      <c r="E434" s="3">
        <f t="shared" si="434"/>
        <v>1147165563299.0056</v>
      </c>
      <c r="F434" s="3">
        <f t="shared" si="434"/>
        <v>1000000000000000</v>
      </c>
      <c r="G434" s="3">
        <f t="shared" si="434"/>
        <v>1.183806151913294E+22</v>
      </c>
      <c r="H434" s="3">
        <f t="shared" si="434"/>
        <v>1.6975773010911275E+28</v>
      </c>
      <c r="I434" s="109">
        <f>Comparison!AL33</f>
        <v>1000000000000000</v>
      </c>
      <c r="J434" s="3">
        <f>Comparison!AM33</f>
        <v>2771.0117587804812</v>
      </c>
      <c r="K434" s="3">
        <f>Comparison!AN33</f>
        <v>1703.202634105066</v>
      </c>
      <c r="L434" s="3">
        <f>Comparison!AO33</f>
        <v>877.46280556758461</v>
      </c>
      <c r="M434" s="3">
        <f>Comparison!AP33</f>
        <v>408.65393596789795</v>
      </c>
      <c r="N434" s="3">
        <f>Comparison!AQ33</f>
        <v>264.92729834801332</v>
      </c>
      <c r="O434" s="3">
        <f>Comparison!AR33</f>
        <v>225.03956034728361</v>
      </c>
      <c r="P434" s="3">
        <f>Comparison!AS33</f>
        <v>225.24704548920718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t="s">
        <v>164</v>
      </c>
      <c r="B436" s="113">
        <f>'Universal Mastercurve'!D1</f>
        <v>5</v>
      </c>
      <c r="C436" s="73"/>
      <c r="D436" s="112">
        <f>B436*2+1</f>
        <v>11</v>
      </c>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14"/>
      <c r="B437" s="115"/>
      <c r="C437" s="115"/>
      <c r="D437" s="115"/>
      <c r="E437" s="115"/>
      <c r="F437" s="115"/>
      <c r="G437" s="115"/>
      <c r="H437" s="115"/>
      <c r="I437" s="115"/>
      <c r="J437" s="115"/>
      <c r="K437" s="115"/>
      <c r="L437" s="115"/>
      <c r="M437" s="115"/>
      <c r="N437" s="115"/>
      <c r="O437" s="115"/>
      <c r="P437" s="115"/>
      <c r="Q437" s="91"/>
      <c r="R437" s="91"/>
      <c r="S437" s="91"/>
      <c r="T437" s="91"/>
      <c r="U437" s="91"/>
      <c r="V437" s="91"/>
      <c r="W437" s="91"/>
      <c r="X437" s="91"/>
      <c r="Y437" s="91"/>
      <c r="Z437" s="91"/>
      <c r="AA437" s="91"/>
      <c r="AB437" s="91"/>
      <c r="AC437" s="91"/>
      <c r="AD437" s="91"/>
      <c r="AE437" s="91"/>
      <c r="AF437" s="91"/>
      <c r="AG437" s="3"/>
      <c r="AH437" s="3"/>
    </row>
    <row r="438" spans="1:34" x14ac:dyDescent="0.25">
      <c r="A438" s="92">
        <f>INDEX($A$404:$P$434,ROW(A404)-ROW($A$403)+15-$B$436,COLUMN(A404))</f>
        <v>1.0000000000000001E-5</v>
      </c>
      <c r="B438" s="92">
        <f t="shared" ref="B438:P438" si="435">INDEX($A$404:$P$434,ROW(B404)-ROW($A$403)+15-$B$436,COLUMN(B404))</f>
        <v>6.1855695727129844E-19</v>
      </c>
      <c r="C438" s="92">
        <f t="shared" si="435"/>
        <v>1.6250849252301357E-13</v>
      </c>
      <c r="D438" s="92">
        <f t="shared" si="435"/>
        <v>6.5980258754554602E-11</v>
      </c>
      <c r="E438" s="92">
        <f t="shared" si="435"/>
        <v>1.1471655632990057E-8</v>
      </c>
      <c r="F438" s="92">
        <f t="shared" si="435"/>
        <v>1.0000000000000001E-5</v>
      </c>
      <c r="G438" s="92">
        <f t="shared" si="435"/>
        <v>118.38061519132941</v>
      </c>
      <c r="H438" s="92">
        <f t="shared" si="435"/>
        <v>169757730.10911277</v>
      </c>
      <c r="I438" s="92">
        <f t="shared" si="435"/>
        <v>1.0000000000000001E-5</v>
      </c>
      <c r="J438" s="92">
        <f t="shared" si="435"/>
        <v>5627.7932848495184</v>
      </c>
      <c r="K438" s="92">
        <f t="shared" si="435"/>
        <v>5257.8155746015464</v>
      </c>
      <c r="L438" s="92">
        <f t="shared" si="435"/>
        <v>4920.6469341545144</v>
      </c>
      <c r="M438" s="92">
        <f t="shared" si="435"/>
        <v>4581.7042756516666</v>
      </c>
      <c r="N438" s="92">
        <f t="shared" si="435"/>
        <v>4088.6897076558816</v>
      </c>
      <c r="O438" s="92">
        <f t="shared" si="435"/>
        <v>2814.9531210575578</v>
      </c>
      <c r="P438" s="92">
        <f t="shared" si="435"/>
        <v>1319.6710728146086</v>
      </c>
      <c r="Q438" s="92"/>
      <c r="R438" s="92"/>
      <c r="S438" s="92"/>
      <c r="T438" s="92"/>
      <c r="U438" s="92"/>
      <c r="V438" s="72"/>
      <c r="W438" s="72"/>
      <c r="X438" s="72"/>
      <c r="Y438" s="72"/>
      <c r="Z438" s="72"/>
      <c r="AA438" s="72"/>
      <c r="AB438" s="72"/>
      <c r="AC438" s="72"/>
      <c r="AD438" s="72"/>
      <c r="AE438" s="72"/>
      <c r="AF438" s="72"/>
      <c r="AG438" s="3"/>
      <c r="AH438" s="3"/>
    </row>
    <row r="439" spans="1:34" x14ac:dyDescent="0.25">
      <c r="A439" s="92">
        <f t="shared" ref="A439:P468" si="436">INDEX($A$404:$P$434,ROW(A405)-ROW($A$403)+15-$B$436,COLUMN(A405))</f>
        <v>1E-4</v>
      </c>
      <c r="B439" s="92">
        <f t="shared" si="436"/>
        <v>6.1855695727129842E-18</v>
      </c>
      <c r="C439" s="92">
        <f t="shared" si="436"/>
        <v>1.6250849252301357E-12</v>
      </c>
      <c r="D439" s="92">
        <f t="shared" si="436"/>
        <v>6.5980258754554605E-10</v>
      </c>
      <c r="E439" s="92">
        <f t="shared" si="436"/>
        <v>1.1471655632990056E-7</v>
      </c>
      <c r="F439" s="92">
        <f t="shared" si="436"/>
        <v>1E-4</v>
      </c>
      <c r="G439" s="92">
        <f t="shared" si="436"/>
        <v>1183.8061519132941</v>
      </c>
      <c r="H439" s="92">
        <f t="shared" si="436"/>
        <v>1697577301.0911276</v>
      </c>
      <c r="I439" s="92">
        <f t="shared" si="436"/>
        <v>1E-4</v>
      </c>
      <c r="J439" s="92">
        <f t="shared" si="436"/>
        <v>5627.6610797391322</v>
      </c>
      <c r="K439" s="92">
        <f t="shared" si="436"/>
        <v>5148.9525022518937</v>
      </c>
      <c r="L439" s="92">
        <f t="shared" si="436"/>
        <v>4778.6212241451321</v>
      </c>
      <c r="M439" s="92">
        <f t="shared" si="436"/>
        <v>4422.8560767502513</v>
      </c>
      <c r="N439" s="92">
        <f t="shared" si="436"/>
        <v>3886.5453020717396</v>
      </c>
      <c r="O439" s="92">
        <f t="shared" si="436"/>
        <v>2641.4801683555684</v>
      </c>
      <c r="P439" s="92">
        <f t="shared" si="436"/>
        <v>983.6154232764427</v>
      </c>
      <c r="Q439" s="92"/>
      <c r="R439" s="92"/>
      <c r="S439" s="92"/>
      <c r="T439" s="92"/>
      <c r="U439" s="92"/>
      <c r="V439" s="15"/>
      <c r="W439" s="15"/>
      <c r="X439" s="15"/>
      <c r="Y439" s="15"/>
      <c r="Z439" s="15"/>
      <c r="AA439" s="15"/>
      <c r="AB439" s="15"/>
      <c r="AC439" s="15"/>
      <c r="AD439" s="15"/>
      <c r="AE439" s="15"/>
      <c r="AF439" s="15"/>
      <c r="AG439" s="38"/>
      <c r="AH439" s="38"/>
    </row>
    <row r="440" spans="1:34" x14ac:dyDescent="0.25">
      <c r="A440" s="92">
        <f t="shared" si="436"/>
        <v>1E-3</v>
      </c>
      <c r="B440" s="92">
        <f t="shared" si="436"/>
        <v>6.1855695727129847E-17</v>
      </c>
      <c r="C440" s="92">
        <f t="shared" si="436"/>
        <v>1.6250849252301355E-11</v>
      </c>
      <c r="D440" s="92">
        <f t="shared" si="436"/>
        <v>6.5980258754554599E-9</v>
      </c>
      <c r="E440" s="92">
        <f t="shared" si="436"/>
        <v>1.1471655632990055E-6</v>
      </c>
      <c r="F440" s="92">
        <f t="shared" si="436"/>
        <v>1E-3</v>
      </c>
      <c r="G440" s="92">
        <f t="shared" si="436"/>
        <v>11838.06151913294</v>
      </c>
      <c r="H440" s="92">
        <f t="shared" si="436"/>
        <v>16975773010.911276</v>
      </c>
      <c r="I440" s="92">
        <f t="shared" si="436"/>
        <v>1E-3</v>
      </c>
      <c r="J440" s="92">
        <f t="shared" si="436"/>
        <v>5626.3493372203875</v>
      </c>
      <c r="K440" s="92">
        <f t="shared" si="436"/>
        <v>5026.92102925375</v>
      </c>
      <c r="L440" s="92">
        <f t="shared" si="436"/>
        <v>4624.8276392807802</v>
      </c>
      <c r="M440" s="92">
        <f t="shared" si="436"/>
        <v>4270.4317526073974</v>
      </c>
      <c r="N440" s="92">
        <f t="shared" si="436"/>
        <v>3674.0476464355193</v>
      </c>
      <c r="O440" s="92">
        <f t="shared" si="436"/>
        <v>2449.1835010011705</v>
      </c>
      <c r="P440" s="92">
        <f t="shared" si="436"/>
        <v>693.66104788005293</v>
      </c>
      <c r="Q440" s="92"/>
      <c r="R440" s="92"/>
      <c r="S440" s="92"/>
      <c r="T440" s="92"/>
      <c r="U440" s="92"/>
      <c r="V440" s="15"/>
      <c r="W440" s="15"/>
      <c r="X440" s="15"/>
      <c r="Y440" s="15"/>
      <c r="Z440" s="15"/>
      <c r="AA440" s="15"/>
      <c r="AB440" s="15"/>
      <c r="AC440" s="15"/>
      <c r="AD440" s="15"/>
      <c r="AE440" s="15"/>
      <c r="AF440" s="15"/>
    </row>
    <row r="441" spans="1:34" x14ac:dyDescent="0.25">
      <c r="A441" s="92">
        <f t="shared" si="436"/>
        <v>0.01</v>
      </c>
      <c r="B441" s="92">
        <f t="shared" si="436"/>
        <v>6.1855695727129847E-16</v>
      </c>
      <c r="C441" s="92">
        <f t="shared" si="436"/>
        <v>1.6250849252301356E-10</v>
      </c>
      <c r="D441" s="92">
        <f t="shared" si="436"/>
        <v>6.59802587545546E-8</v>
      </c>
      <c r="E441" s="92">
        <f t="shared" si="436"/>
        <v>1.1471655632990055E-5</v>
      </c>
      <c r="F441" s="92">
        <f t="shared" si="436"/>
        <v>0.01</v>
      </c>
      <c r="G441" s="92">
        <f t="shared" si="436"/>
        <v>118380.6151913294</v>
      </c>
      <c r="H441" s="92">
        <f t="shared" si="436"/>
        <v>169757730109.11276</v>
      </c>
      <c r="I441" s="92">
        <f t="shared" si="436"/>
        <v>0.01</v>
      </c>
      <c r="J441" s="92">
        <f t="shared" si="436"/>
        <v>5613.8255139047442</v>
      </c>
      <c r="K441" s="92">
        <f t="shared" si="436"/>
        <v>4898.1924827249632</v>
      </c>
      <c r="L441" s="92">
        <f t="shared" si="436"/>
        <v>4464.4431086830655</v>
      </c>
      <c r="M441" s="92">
        <f t="shared" si="436"/>
        <v>4104.9210309366072</v>
      </c>
      <c r="N441" s="92">
        <f t="shared" si="436"/>
        <v>3490.4964950029853</v>
      </c>
      <c r="O441" s="92">
        <f t="shared" si="436"/>
        <v>2235.8247528873858</v>
      </c>
      <c r="P441" s="92">
        <f t="shared" si="436"/>
        <v>485.93999274200024</v>
      </c>
      <c r="Q441" s="92"/>
      <c r="R441" s="92"/>
      <c r="S441" s="92"/>
      <c r="T441" s="92"/>
      <c r="U441" s="92"/>
      <c r="V441" s="22"/>
      <c r="W441" s="22"/>
      <c r="X441" s="22"/>
      <c r="Y441" s="22"/>
      <c r="Z441" s="22"/>
      <c r="AA441" s="22"/>
      <c r="AB441" s="22"/>
      <c r="AC441" s="22"/>
      <c r="AD441" s="22"/>
      <c r="AE441" s="22"/>
      <c r="AF441" s="22"/>
      <c r="AG441" s="22"/>
      <c r="AH441" s="22"/>
    </row>
    <row r="442" spans="1:34" x14ac:dyDescent="0.25">
      <c r="A442" s="92">
        <f t="shared" si="436"/>
        <v>0.1</v>
      </c>
      <c r="B442" s="92">
        <f t="shared" si="436"/>
        <v>6.1855695727129843E-15</v>
      </c>
      <c r="C442" s="92">
        <f t="shared" si="436"/>
        <v>1.6250849252301358E-9</v>
      </c>
      <c r="D442" s="92">
        <f t="shared" si="436"/>
        <v>6.5980258754554605E-7</v>
      </c>
      <c r="E442" s="92">
        <f t="shared" si="436"/>
        <v>1.1471655632990057E-4</v>
      </c>
      <c r="F442" s="92">
        <f t="shared" si="436"/>
        <v>0.1</v>
      </c>
      <c r="G442" s="92">
        <f t="shared" si="436"/>
        <v>1183806.1519132941</v>
      </c>
      <c r="H442" s="92">
        <f t="shared" si="436"/>
        <v>1697577301091.1277</v>
      </c>
      <c r="I442" s="92">
        <f t="shared" si="436"/>
        <v>0.1</v>
      </c>
      <c r="J442" s="92">
        <f t="shared" si="436"/>
        <v>5517.4172060787987</v>
      </c>
      <c r="K442" s="92">
        <f t="shared" si="436"/>
        <v>4753.3269146217463</v>
      </c>
      <c r="L442" s="92">
        <f t="shared" si="436"/>
        <v>4311.3670250981177</v>
      </c>
      <c r="M442" s="92">
        <f t="shared" si="436"/>
        <v>3904.1870554469519</v>
      </c>
      <c r="N442" s="92">
        <f t="shared" si="436"/>
        <v>3328.6476119407066</v>
      </c>
      <c r="O442" s="92">
        <f t="shared" si="436"/>
        <v>1993.335720552192</v>
      </c>
      <c r="P442" s="92">
        <f t="shared" si="436"/>
        <v>367.37990571310178</v>
      </c>
      <c r="Q442" s="92"/>
      <c r="R442" s="92"/>
      <c r="S442" s="92"/>
      <c r="T442" s="92"/>
      <c r="U442" s="92"/>
      <c r="V442" s="22"/>
      <c r="W442" s="22"/>
      <c r="X442" s="22"/>
      <c r="Y442" s="22"/>
      <c r="Z442" s="22"/>
      <c r="AA442" s="22"/>
      <c r="AB442" s="22"/>
      <c r="AC442" s="22"/>
      <c r="AD442" s="22"/>
      <c r="AE442" s="22"/>
      <c r="AF442" s="22"/>
      <c r="AG442" s="26"/>
      <c r="AH442" s="26"/>
    </row>
    <row r="443" spans="1:34" x14ac:dyDescent="0.25">
      <c r="A443" s="92">
        <f t="shared" si="436"/>
        <v>1</v>
      </c>
      <c r="B443" s="92">
        <f t="shared" si="436"/>
        <v>6.1855695727129838E-14</v>
      </c>
      <c r="C443" s="92">
        <f t="shared" si="436"/>
        <v>1.6250849252301356E-8</v>
      </c>
      <c r="D443" s="92">
        <f t="shared" si="436"/>
        <v>6.5980258754554599E-6</v>
      </c>
      <c r="E443" s="92">
        <f t="shared" si="436"/>
        <v>1.1471655632990057E-3</v>
      </c>
      <c r="F443" s="92">
        <f t="shared" si="436"/>
        <v>1</v>
      </c>
      <c r="G443" s="92">
        <f t="shared" si="436"/>
        <v>11838061.51913294</v>
      </c>
      <c r="H443" s="92">
        <f t="shared" si="436"/>
        <v>16975773010911.275</v>
      </c>
      <c r="I443" s="92">
        <f t="shared" si="436"/>
        <v>1</v>
      </c>
      <c r="J443" s="92">
        <f t="shared" si="436"/>
        <v>5360.9194936383001</v>
      </c>
      <c r="K443" s="92">
        <f t="shared" si="436"/>
        <v>4597.3394014710702</v>
      </c>
      <c r="L443" s="92">
        <f t="shared" si="436"/>
        <v>4152.6891106145395</v>
      </c>
      <c r="M443" s="92">
        <f t="shared" si="436"/>
        <v>3689.3430627142566</v>
      </c>
      <c r="N443" s="92">
        <f t="shared" si="436"/>
        <v>3162.6549081928265</v>
      </c>
      <c r="O443" s="92">
        <f t="shared" si="436"/>
        <v>1707.9100595434049</v>
      </c>
      <c r="P443" s="92">
        <f t="shared" si="436"/>
        <v>307.17178720865763</v>
      </c>
      <c r="Q443" s="92"/>
      <c r="R443" s="92"/>
      <c r="S443" s="92"/>
      <c r="T443" s="92"/>
      <c r="U443" s="92"/>
      <c r="V443" s="22"/>
      <c r="W443" s="22"/>
      <c r="X443" s="22"/>
      <c r="Y443" s="22"/>
      <c r="Z443" s="22"/>
      <c r="AA443" s="22"/>
      <c r="AB443" s="22"/>
      <c r="AC443" s="22"/>
      <c r="AD443" s="22"/>
      <c r="AE443" s="22"/>
      <c r="AF443" s="22"/>
      <c r="AG443" s="27"/>
      <c r="AH443" s="27"/>
    </row>
    <row r="444" spans="1:34" x14ac:dyDescent="0.25">
      <c r="A444" s="92">
        <f t="shared" si="436"/>
        <v>10</v>
      </c>
      <c r="B444" s="92">
        <f t="shared" si="436"/>
        <v>6.1855695727129846E-13</v>
      </c>
      <c r="C444" s="92">
        <f t="shared" si="436"/>
        <v>1.6250849252301357E-7</v>
      </c>
      <c r="D444" s="92">
        <f t="shared" si="436"/>
        <v>6.5980258754554596E-5</v>
      </c>
      <c r="E444" s="92">
        <f t="shared" si="436"/>
        <v>1.1471655632990055E-2</v>
      </c>
      <c r="F444" s="92">
        <f t="shared" si="436"/>
        <v>10</v>
      </c>
      <c r="G444" s="92">
        <f t="shared" si="436"/>
        <v>118380615.1913294</v>
      </c>
      <c r="H444" s="92">
        <f t="shared" si="436"/>
        <v>169757730109112.75</v>
      </c>
      <c r="I444" s="92">
        <f t="shared" si="436"/>
        <v>10</v>
      </c>
      <c r="J444" s="92">
        <f t="shared" si="436"/>
        <v>5250.254742360099</v>
      </c>
      <c r="K444" s="92">
        <f t="shared" si="436"/>
        <v>4437.480614548972</v>
      </c>
      <c r="L444" s="92">
        <f t="shared" si="436"/>
        <v>3957.9636218361616</v>
      </c>
      <c r="M444" s="92">
        <f t="shared" si="436"/>
        <v>3495.8611800317371</v>
      </c>
      <c r="N444" s="92">
        <f t="shared" si="436"/>
        <v>2989.0593935666489</v>
      </c>
      <c r="O444" s="92">
        <f t="shared" si="436"/>
        <v>1382.9901395885138</v>
      </c>
      <c r="P444" s="92">
        <f t="shared" si="436"/>
        <v>279.06842494658031</v>
      </c>
      <c r="Q444" s="92"/>
      <c r="R444" s="92"/>
      <c r="S444" s="92"/>
      <c r="T444" s="92"/>
      <c r="U444" s="92"/>
      <c r="V444" s="42"/>
      <c r="W444" s="42"/>
      <c r="X444" s="42"/>
      <c r="Y444" s="42"/>
      <c r="Z444" s="42"/>
      <c r="AA444" s="42"/>
      <c r="AB444" s="42"/>
      <c r="AC444" s="42"/>
      <c r="AD444" s="42"/>
      <c r="AE444" s="42"/>
      <c r="AF444" s="42"/>
      <c r="AG444" s="3"/>
      <c r="AH444" s="3"/>
    </row>
    <row r="445" spans="1:34" x14ac:dyDescent="0.25">
      <c r="A445" s="92">
        <f t="shared" si="436"/>
        <v>100</v>
      </c>
      <c r="B445" s="92">
        <f t="shared" si="436"/>
        <v>6.1855695727129838E-12</v>
      </c>
      <c r="C445" s="92">
        <f t="shared" si="436"/>
        <v>1.6250849252301356E-6</v>
      </c>
      <c r="D445" s="92">
        <f t="shared" si="436"/>
        <v>6.5980258754554598E-4</v>
      </c>
      <c r="E445" s="92">
        <f t="shared" si="436"/>
        <v>0.11471655632990056</v>
      </c>
      <c r="F445" s="92">
        <f t="shared" si="436"/>
        <v>100</v>
      </c>
      <c r="G445" s="92">
        <f t="shared" si="436"/>
        <v>1183806151.9132941</v>
      </c>
      <c r="H445" s="92">
        <f t="shared" si="436"/>
        <v>1697577301091127.5</v>
      </c>
      <c r="I445" s="92">
        <f t="shared" si="436"/>
        <v>100</v>
      </c>
      <c r="J445" s="92">
        <f t="shared" si="436"/>
        <v>5138.7770947931922</v>
      </c>
      <c r="K445" s="92">
        <f t="shared" si="436"/>
        <v>4282.6976933023134</v>
      </c>
      <c r="L445" s="92">
        <f t="shared" si="436"/>
        <v>3730.5898476111606</v>
      </c>
      <c r="M445" s="92">
        <f t="shared" si="436"/>
        <v>3307.8943029856523</v>
      </c>
      <c r="N445" s="92">
        <f t="shared" si="436"/>
        <v>2798.1852090008501</v>
      </c>
      <c r="O445" s="92">
        <f t="shared" si="436"/>
        <v>1045.3846206276212</v>
      </c>
      <c r="P445" s="92">
        <f t="shared" si="436"/>
        <v>261.67169004040318</v>
      </c>
      <c r="Q445" s="92"/>
      <c r="R445" s="92"/>
      <c r="S445" s="92"/>
      <c r="T445" s="92"/>
      <c r="U445" s="92"/>
      <c r="V445" s="42"/>
      <c r="W445" s="42"/>
      <c r="X445" s="42"/>
      <c r="Y445" s="42"/>
      <c r="Z445" s="42"/>
      <c r="AA445" s="42"/>
      <c r="AB445" s="42"/>
      <c r="AC445" s="42"/>
      <c r="AD445" s="42"/>
      <c r="AE445" s="42"/>
      <c r="AF445" s="42"/>
      <c r="AG445" s="3"/>
      <c r="AH445" s="3"/>
    </row>
    <row r="446" spans="1:34" x14ac:dyDescent="0.25">
      <c r="A446" s="92">
        <f t="shared" si="436"/>
        <v>1000</v>
      </c>
      <c r="B446" s="92">
        <f t="shared" si="436"/>
        <v>6.1855695727129844E-11</v>
      </c>
      <c r="C446" s="92">
        <f t="shared" si="436"/>
        <v>1.6250849252301355E-5</v>
      </c>
      <c r="D446" s="92">
        <f t="shared" si="436"/>
        <v>6.5980258754554603E-3</v>
      </c>
      <c r="E446" s="92">
        <f t="shared" si="436"/>
        <v>1.1471655632990057</v>
      </c>
      <c r="F446" s="92">
        <f t="shared" si="436"/>
        <v>1000</v>
      </c>
      <c r="G446" s="92">
        <f t="shared" si="436"/>
        <v>11838061519.13294</v>
      </c>
      <c r="H446" s="92">
        <f t="shared" si="436"/>
        <v>1.6975773010911274E+16</v>
      </c>
      <c r="I446" s="92">
        <f t="shared" si="436"/>
        <v>1000</v>
      </c>
      <c r="J446" s="92">
        <f t="shared" si="436"/>
        <v>5015.7448530146003</v>
      </c>
      <c r="K446" s="92">
        <f t="shared" si="436"/>
        <v>4104.6708903026465</v>
      </c>
      <c r="L446" s="92">
        <f t="shared" si="436"/>
        <v>3500.0702814112506</v>
      </c>
      <c r="M446" s="92">
        <f t="shared" si="436"/>
        <v>3103.7900841852515</v>
      </c>
      <c r="N446" s="92">
        <f t="shared" si="436"/>
        <v>2599.5030730508342</v>
      </c>
      <c r="O446" s="92">
        <f t="shared" si="436"/>
        <v>743.50488577028852</v>
      </c>
      <c r="P446" s="92">
        <f t="shared" si="436"/>
        <v>251.34674819282765</v>
      </c>
      <c r="Q446" s="92"/>
      <c r="R446" s="92"/>
      <c r="S446" s="92"/>
      <c r="T446" s="92"/>
      <c r="U446" s="92"/>
      <c r="V446" s="42"/>
      <c r="W446" s="42"/>
      <c r="X446" s="42"/>
      <c r="Y446" s="42"/>
      <c r="Z446" s="42"/>
      <c r="AA446" s="42"/>
      <c r="AB446" s="42"/>
      <c r="AC446" s="42"/>
      <c r="AD446" s="42"/>
      <c r="AE446" s="42"/>
      <c r="AF446" s="42"/>
      <c r="AG446" s="3"/>
      <c r="AH446" s="3"/>
    </row>
    <row r="447" spans="1:34" x14ac:dyDescent="0.25">
      <c r="A447" s="92">
        <f t="shared" si="436"/>
        <v>10000</v>
      </c>
      <c r="B447" s="92">
        <f t="shared" si="436"/>
        <v>6.1855695727129844E-10</v>
      </c>
      <c r="C447" s="92">
        <f t="shared" si="436"/>
        <v>1.6250849252301357E-4</v>
      </c>
      <c r="D447" s="92">
        <f t="shared" si="436"/>
        <v>6.5980258754554599E-2</v>
      </c>
      <c r="E447" s="92">
        <f t="shared" si="436"/>
        <v>11.471655632990055</v>
      </c>
      <c r="F447" s="92">
        <f t="shared" si="436"/>
        <v>10000</v>
      </c>
      <c r="G447" s="92">
        <f t="shared" si="436"/>
        <v>118380615191.32941</v>
      </c>
      <c r="H447" s="92">
        <f t="shared" si="436"/>
        <v>1.6975773010911274E+17</v>
      </c>
      <c r="I447" s="92">
        <f t="shared" si="436"/>
        <v>10000</v>
      </c>
      <c r="J447" s="92">
        <f t="shared" si="436"/>
        <v>4881.370820360753</v>
      </c>
      <c r="K447" s="92">
        <f t="shared" si="436"/>
        <v>3863.6251591234022</v>
      </c>
      <c r="L447" s="92">
        <f t="shared" si="436"/>
        <v>3289.3669034465734</v>
      </c>
      <c r="M447" s="92">
        <f t="shared" si="436"/>
        <v>2911.6115267339505</v>
      </c>
      <c r="N447" s="92">
        <f t="shared" si="436"/>
        <v>2390.0680354035449</v>
      </c>
      <c r="O447" s="92">
        <f t="shared" si="436"/>
        <v>519.49600219625086</v>
      </c>
      <c r="P447" s="92">
        <f t="shared" si="436"/>
        <v>246.12933837944422</v>
      </c>
      <c r="Q447" s="92"/>
      <c r="R447" s="92"/>
      <c r="S447" s="92"/>
      <c r="T447" s="92"/>
      <c r="U447" s="92"/>
      <c r="V447" s="42"/>
      <c r="W447" s="42"/>
      <c r="X447" s="42"/>
      <c r="Y447" s="42"/>
      <c r="Z447" s="42"/>
      <c r="AA447" s="42"/>
      <c r="AB447" s="42"/>
      <c r="AC447" s="42"/>
      <c r="AD447" s="42"/>
      <c r="AE447" s="42"/>
      <c r="AF447" s="42"/>
      <c r="AG447" s="3"/>
      <c r="AH447" s="3"/>
    </row>
    <row r="448" spans="1:34" x14ac:dyDescent="0.25">
      <c r="A448" s="92">
        <f t="shared" si="436"/>
        <v>100000</v>
      </c>
      <c r="B448" s="92">
        <f t="shared" si="436"/>
        <v>6.1855695727129842E-9</v>
      </c>
      <c r="C448" s="92">
        <f t="shared" si="436"/>
        <v>1.6250849252301355E-3</v>
      </c>
      <c r="D448" s="92">
        <f t="shared" si="436"/>
        <v>0.65980258754554599</v>
      </c>
      <c r="E448" s="92">
        <f t="shared" si="436"/>
        <v>114.71655632990056</v>
      </c>
      <c r="F448" s="92">
        <f t="shared" si="436"/>
        <v>100000</v>
      </c>
      <c r="G448" s="92">
        <f t="shared" si="436"/>
        <v>1183806151913.2939</v>
      </c>
      <c r="H448" s="92">
        <f t="shared" si="436"/>
        <v>1.6975773010911276E+18</v>
      </c>
      <c r="I448" s="92">
        <f t="shared" si="436"/>
        <v>100000</v>
      </c>
      <c r="J448" s="92">
        <f t="shared" si="436"/>
        <v>4715.1502303445186</v>
      </c>
      <c r="K448" s="92">
        <f t="shared" si="436"/>
        <v>3593.12923880173</v>
      </c>
      <c r="L448" s="92">
        <f t="shared" si="436"/>
        <v>3085.2633506749817</v>
      </c>
      <c r="M448" s="92">
        <f t="shared" si="436"/>
        <v>2729.2195894835777</v>
      </c>
      <c r="N448" s="92">
        <f t="shared" si="436"/>
        <v>2175.40034172183</v>
      </c>
      <c r="O448" s="92">
        <f t="shared" si="436"/>
        <v>383.51568079468302</v>
      </c>
      <c r="P448" s="92">
        <f t="shared" si="436"/>
        <v>232.30454015462297</v>
      </c>
      <c r="Q448" s="92"/>
      <c r="R448" s="92"/>
      <c r="S448" s="92"/>
      <c r="T448" s="92"/>
      <c r="U448" s="92"/>
      <c r="V448" s="42"/>
      <c r="W448" s="42"/>
      <c r="X448" s="42"/>
      <c r="Y448" s="42"/>
      <c r="Z448" s="42"/>
      <c r="AA448" s="42"/>
      <c r="AB448" s="42"/>
      <c r="AC448" s="42"/>
      <c r="AD448" s="42"/>
      <c r="AE448" s="42"/>
      <c r="AF448" s="42"/>
      <c r="AG448" s="3"/>
      <c r="AH448" s="3"/>
    </row>
    <row r="449" spans="1:34" x14ac:dyDescent="0.25">
      <c r="A449" s="92">
        <f t="shared" si="436"/>
        <v>1000000</v>
      </c>
      <c r="B449" s="92">
        <f t="shared" si="436"/>
        <v>6.1855695727129835E-8</v>
      </c>
      <c r="C449" s="92">
        <f t="shared" si="436"/>
        <v>1.6250849252301355E-2</v>
      </c>
      <c r="D449" s="92">
        <f t="shared" si="436"/>
        <v>6.5980258754554599</v>
      </c>
      <c r="E449" s="92">
        <f t="shared" si="436"/>
        <v>1147.1655632990055</v>
      </c>
      <c r="F449" s="92">
        <f t="shared" si="436"/>
        <v>1000000</v>
      </c>
      <c r="G449" s="92">
        <f t="shared" si="436"/>
        <v>11838061519132.939</v>
      </c>
      <c r="H449" s="92">
        <f t="shared" si="436"/>
        <v>1.6975773010911275E+19</v>
      </c>
      <c r="I449" s="92">
        <f t="shared" si="436"/>
        <v>1000000</v>
      </c>
      <c r="J449" s="92">
        <f t="shared" si="436"/>
        <v>4502.659399288631</v>
      </c>
      <c r="K449" s="92">
        <f t="shared" si="436"/>
        <v>3360.468185804395</v>
      </c>
      <c r="L449" s="92">
        <f t="shared" si="436"/>
        <v>2905.3736728917142</v>
      </c>
      <c r="M449" s="92">
        <f t="shared" si="436"/>
        <v>2550.726219448276</v>
      </c>
      <c r="N449" s="92">
        <f t="shared" si="436"/>
        <v>1944.7438917872487</v>
      </c>
      <c r="O449" s="92">
        <f t="shared" si="436"/>
        <v>314.10371823238006</v>
      </c>
      <c r="P449" s="92">
        <f t="shared" si="436"/>
        <v>227.24083682489959</v>
      </c>
      <c r="Q449" s="92"/>
      <c r="R449" s="92"/>
      <c r="S449" s="92"/>
      <c r="T449" s="92"/>
      <c r="U449" s="92"/>
      <c r="V449" s="42"/>
      <c r="W449" s="42"/>
      <c r="X449" s="42"/>
      <c r="Y449" s="42"/>
      <c r="Z449" s="42"/>
      <c r="AA449" s="42"/>
      <c r="AB449" s="42"/>
      <c r="AC449" s="42"/>
      <c r="AD449" s="42"/>
      <c r="AE449" s="42"/>
      <c r="AF449" s="42"/>
      <c r="AG449" s="3"/>
      <c r="AH449" s="3"/>
    </row>
    <row r="450" spans="1:34" x14ac:dyDescent="0.25">
      <c r="A450" s="92">
        <f t="shared" si="436"/>
        <v>10000000</v>
      </c>
      <c r="B450" s="92">
        <f t="shared" si="436"/>
        <v>6.1855695727129843E-7</v>
      </c>
      <c r="C450" s="92">
        <f t="shared" si="436"/>
        <v>0.16250849252301355</v>
      </c>
      <c r="D450" s="92">
        <f t="shared" si="436"/>
        <v>65.980258754554598</v>
      </c>
      <c r="E450" s="92">
        <f t="shared" si="436"/>
        <v>11471.655632990056</v>
      </c>
      <c r="F450" s="92">
        <f t="shared" si="436"/>
        <v>10000000</v>
      </c>
      <c r="G450" s="92">
        <f t="shared" si="436"/>
        <v>118380615191329.41</v>
      </c>
      <c r="H450" s="92">
        <f t="shared" si="436"/>
        <v>1.6975773010911275E+20</v>
      </c>
      <c r="I450" s="92">
        <f t="shared" si="436"/>
        <v>10000000</v>
      </c>
      <c r="J450" s="92">
        <f t="shared" si="436"/>
        <v>4273.4157788380835</v>
      </c>
      <c r="K450" s="92">
        <f t="shared" si="436"/>
        <v>3169.2406182554596</v>
      </c>
      <c r="L450" s="92">
        <f t="shared" si="436"/>
        <v>2732.9260794562178</v>
      </c>
      <c r="M450" s="92">
        <f t="shared" si="436"/>
        <v>2358.1438044871866</v>
      </c>
      <c r="N450" s="92">
        <f t="shared" si="436"/>
        <v>1692.3075271682321</v>
      </c>
      <c r="O450" s="92">
        <f t="shared" si="436"/>
        <v>280.6909623460773</v>
      </c>
      <c r="P450" s="92">
        <f t="shared" si="436"/>
        <v>226.40989093990805</v>
      </c>
      <c r="Q450" s="92"/>
      <c r="R450" s="92"/>
      <c r="S450" s="92"/>
      <c r="T450" s="92"/>
      <c r="U450" s="92"/>
      <c r="V450" s="42"/>
      <c r="W450" s="42"/>
      <c r="X450" s="42"/>
      <c r="Y450" s="42"/>
      <c r="Z450" s="42"/>
      <c r="AA450" s="42"/>
      <c r="AB450" s="42"/>
      <c r="AC450" s="42"/>
      <c r="AD450" s="42"/>
      <c r="AE450" s="42"/>
      <c r="AF450" s="42"/>
      <c r="AG450" s="3"/>
      <c r="AH450" s="3"/>
    </row>
    <row r="451" spans="1:34" x14ac:dyDescent="0.25">
      <c r="A451" s="92">
        <f t="shared" si="436"/>
        <v>100000000</v>
      </c>
      <c r="B451" s="92">
        <f t="shared" si="436"/>
        <v>6.1855695727129839E-6</v>
      </c>
      <c r="C451" s="92">
        <f t="shared" si="436"/>
        <v>1.6250849252301356</v>
      </c>
      <c r="D451" s="92">
        <f t="shared" si="436"/>
        <v>659.80258754554598</v>
      </c>
      <c r="E451" s="92">
        <f t="shared" si="436"/>
        <v>114716.55632990056</v>
      </c>
      <c r="F451" s="92">
        <f t="shared" si="436"/>
        <v>100000000</v>
      </c>
      <c r="G451" s="92">
        <f t="shared" si="436"/>
        <v>1183806151913294</v>
      </c>
      <c r="H451" s="92">
        <f t="shared" si="436"/>
        <v>1.6975773010911274E+21</v>
      </c>
      <c r="I451" s="92">
        <f t="shared" si="436"/>
        <v>100000000</v>
      </c>
      <c r="J451" s="92">
        <f t="shared" si="436"/>
        <v>4058.4470173916279</v>
      </c>
      <c r="K451" s="92">
        <f t="shared" si="436"/>
        <v>2988.8293612758935</v>
      </c>
      <c r="L451" s="92">
        <f t="shared" si="436"/>
        <v>2568.1909736158736</v>
      </c>
      <c r="M451" s="92">
        <f t="shared" si="436"/>
        <v>2158.239452794789</v>
      </c>
      <c r="N451" s="92">
        <f t="shared" si="436"/>
        <v>1404.857998960405</v>
      </c>
      <c r="O451" s="92">
        <f t="shared" si="436"/>
        <v>262.23895816268134</v>
      </c>
      <c r="P451" s="92">
        <f t="shared" si="436"/>
        <v>226.30209993218824</v>
      </c>
      <c r="Q451" s="92"/>
      <c r="R451" s="92"/>
      <c r="S451" s="92"/>
      <c r="T451" s="92"/>
      <c r="U451" s="92"/>
      <c r="V451" s="42"/>
      <c r="W451" s="42"/>
      <c r="X451" s="42"/>
      <c r="Y451" s="42"/>
      <c r="Z451" s="42"/>
      <c r="AA451" s="42"/>
      <c r="AB451" s="42"/>
      <c r="AC451" s="42"/>
      <c r="AD451" s="42"/>
      <c r="AE451" s="42"/>
      <c r="AF451" s="42"/>
      <c r="AG451" s="3"/>
      <c r="AH451" s="3"/>
    </row>
    <row r="452" spans="1:34" x14ac:dyDescent="0.25">
      <c r="A452" s="92">
        <f t="shared" si="436"/>
        <v>1000000000</v>
      </c>
      <c r="B452" s="92">
        <f t="shared" si="436"/>
        <v>6.1855695727129848E-5</v>
      </c>
      <c r="C452" s="92">
        <f t="shared" si="436"/>
        <v>16.250849252301357</v>
      </c>
      <c r="D452" s="92">
        <f t="shared" si="436"/>
        <v>6598.0258754554598</v>
      </c>
      <c r="E452" s="92">
        <f t="shared" si="436"/>
        <v>1147165.5632990056</v>
      </c>
      <c r="F452" s="92">
        <f t="shared" si="436"/>
        <v>1000000000</v>
      </c>
      <c r="G452" s="92">
        <f t="shared" si="436"/>
        <v>1.183806151913294E+16</v>
      </c>
      <c r="H452" s="92">
        <f t="shared" si="436"/>
        <v>1.6975773010911274E+22</v>
      </c>
      <c r="I452" s="92">
        <f t="shared" si="436"/>
        <v>1000000000</v>
      </c>
      <c r="J452" s="92">
        <f t="shared" si="436"/>
        <v>3848.5922465336935</v>
      </c>
      <c r="K452" s="92">
        <f t="shared" si="436"/>
        <v>2827.4607055264137</v>
      </c>
      <c r="L452" s="92">
        <f t="shared" si="436"/>
        <v>2386.1123895749793</v>
      </c>
      <c r="M452" s="92">
        <f t="shared" si="436"/>
        <v>1939.4329282086981</v>
      </c>
      <c r="N452" s="92">
        <f t="shared" si="436"/>
        <v>1091.4425267820036</v>
      </c>
      <c r="O452" s="92">
        <f t="shared" si="436"/>
        <v>250.5385469230996</v>
      </c>
      <c r="P452" s="92">
        <f t="shared" si="436"/>
        <v>225.971358220734</v>
      </c>
      <c r="Q452" s="92"/>
      <c r="R452" s="92"/>
      <c r="S452" s="92"/>
      <c r="T452" s="92"/>
      <c r="U452" s="92"/>
      <c r="V452" s="42"/>
      <c r="W452" s="42"/>
      <c r="X452" s="42"/>
      <c r="Y452" s="42"/>
      <c r="Z452" s="42"/>
      <c r="AA452" s="42"/>
      <c r="AB452" s="42"/>
      <c r="AC452" s="42"/>
      <c r="AD452" s="42"/>
      <c r="AE452" s="42"/>
      <c r="AF452" s="42"/>
      <c r="AG452" s="3"/>
      <c r="AH452" s="3"/>
    </row>
    <row r="453" spans="1:34" x14ac:dyDescent="0.25">
      <c r="A453" s="92">
        <f t="shared" si="436"/>
        <v>10000000000</v>
      </c>
      <c r="B453" s="92">
        <f t="shared" si="436"/>
        <v>6.1855695727129839E-4</v>
      </c>
      <c r="C453" s="92">
        <f t="shared" si="436"/>
        <v>162.50849252301356</v>
      </c>
      <c r="D453" s="92">
        <f t="shared" si="436"/>
        <v>65980.258754554598</v>
      </c>
      <c r="E453" s="92">
        <f t="shared" si="436"/>
        <v>11471655.632990055</v>
      </c>
      <c r="F453" s="92">
        <f t="shared" si="436"/>
        <v>10000000000</v>
      </c>
      <c r="G453" s="92">
        <f t="shared" si="436"/>
        <v>1.1838061519132939E+17</v>
      </c>
      <c r="H453" s="92">
        <f t="shared" si="436"/>
        <v>1.6975773010911277E+23</v>
      </c>
      <c r="I453" s="92">
        <f t="shared" si="436"/>
        <v>10000000000</v>
      </c>
      <c r="J453" s="92">
        <f t="shared" si="436"/>
        <v>3623.9563394023553</v>
      </c>
      <c r="K453" s="92">
        <f t="shared" si="436"/>
        <v>2670.1707037079254</v>
      </c>
      <c r="L453" s="92">
        <f t="shared" si="436"/>
        <v>2196.768027007945</v>
      </c>
      <c r="M453" s="92">
        <f t="shared" si="436"/>
        <v>1697.1946565213088</v>
      </c>
      <c r="N453" s="92">
        <f t="shared" si="436"/>
        <v>790.55484106714846</v>
      </c>
      <c r="O453" s="92">
        <f t="shared" si="436"/>
        <v>245.32626479673095</v>
      </c>
      <c r="P453" s="92">
        <f t="shared" si="436"/>
        <v>225.60625299057205</v>
      </c>
      <c r="Q453" s="92"/>
      <c r="R453" s="92"/>
      <c r="S453" s="92"/>
      <c r="T453" s="92"/>
      <c r="U453" s="92"/>
      <c r="V453" s="42"/>
      <c r="W453" s="42"/>
      <c r="X453" s="42"/>
      <c r="Y453" s="42"/>
      <c r="Z453" s="42"/>
      <c r="AA453" s="42"/>
      <c r="AB453" s="42"/>
      <c r="AC453" s="42"/>
      <c r="AD453" s="42"/>
      <c r="AE453" s="42"/>
      <c r="AF453" s="42"/>
      <c r="AG453" s="3"/>
      <c r="AH453" s="3"/>
    </row>
    <row r="454" spans="1:34" x14ac:dyDescent="0.25">
      <c r="A454" s="92">
        <f t="shared" si="436"/>
        <v>100000000000</v>
      </c>
      <c r="B454" s="92">
        <f t="shared" ref="B454:P468" si="437">INDEX($A$404:$P$434,ROW(B420)-ROW($A$403)+15-$B$436,COLUMN(B420))</f>
        <v>6.1855695727129839E-3</v>
      </c>
      <c r="C454" s="92">
        <f t="shared" si="437"/>
        <v>1625.0849252301357</v>
      </c>
      <c r="D454" s="92">
        <f t="shared" si="437"/>
        <v>659802.587545546</v>
      </c>
      <c r="E454" s="92">
        <f t="shared" si="437"/>
        <v>114716556.32990056</v>
      </c>
      <c r="F454" s="92">
        <f t="shared" si="437"/>
        <v>100000000000</v>
      </c>
      <c r="G454" s="92">
        <f t="shared" si="437"/>
        <v>1.1838061519132941E+18</v>
      </c>
      <c r="H454" s="92">
        <f t="shared" si="437"/>
        <v>1.6975773010911275E+24</v>
      </c>
      <c r="I454" s="92">
        <f t="shared" si="437"/>
        <v>100000000000</v>
      </c>
      <c r="J454" s="92">
        <f t="shared" si="437"/>
        <v>3404.5451338992034</v>
      </c>
      <c r="K454" s="92">
        <f t="shared" si="437"/>
        <v>2515.5612619665249</v>
      </c>
      <c r="L454" s="92">
        <f t="shared" si="437"/>
        <v>1987.4046244520723</v>
      </c>
      <c r="M454" s="92">
        <f t="shared" si="437"/>
        <v>1417.4356606109552</v>
      </c>
      <c r="N454" s="92">
        <f t="shared" si="437"/>
        <v>554.44228824478739</v>
      </c>
      <c r="O454" s="92">
        <f t="shared" si="437"/>
        <v>234.06992955511652</v>
      </c>
      <c r="P454" s="92">
        <f t="shared" si="437"/>
        <v>225.49131077609314</v>
      </c>
      <c r="Q454" s="92"/>
      <c r="R454" s="92"/>
      <c r="S454" s="92"/>
      <c r="T454" s="92"/>
      <c r="U454" s="92"/>
      <c r="V454" s="42"/>
      <c r="W454" s="42"/>
      <c r="X454" s="42"/>
      <c r="Y454" s="42"/>
      <c r="Z454" s="42"/>
      <c r="AA454" s="42"/>
      <c r="AB454" s="42"/>
      <c r="AC454" s="42"/>
      <c r="AD454" s="42"/>
      <c r="AE454" s="42"/>
      <c r="AF454" s="42"/>
      <c r="AG454" s="3"/>
      <c r="AH454" s="3"/>
    </row>
    <row r="455" spans="1:34" x14ac:dyDescent="0.25">
      <c r="A455" s="92">
        <f t="shared" si="436"/>
        <v>1000000000000</v>
      </c>
      <c r="B455" s="92">
        <f t="shared" si="437"/>
        <v>6.1855695727129838E-2</v>
      </c>
      <c r="C455" s="92">
        <f t="shared" si="437"/>
        <v>16250.849252301356</v>
      </c>
      <c r="D455" s="92">
        <f t="shared" si="437"/>
        <v>6598025.8754554596</v>
      </c>
      <c r="E455" s="92">
        <f t="shared" si="437"/>
        <v>1147165563.2990055</v>
      </c>
      <c r="F455" s="92">
        <f t="shared" si="437"/>
        <v>1000000000000</v>
      </c>
      <c r="G455" s="92">
        <f t="shared" si="437"/>
        <v>1.183806151913294E+19</v>
      </c>
      <c r="H455" s="92">
        <f t="shared" si="437"/>
        <v>1.6975773010911275E+25</v>
      </c>
      <c r="I455" s="92">
        <f t="shared" si="437"/>
        <v>1000000000000</v>
      </c>
      <c r="J455" s="92">
        <f t="shared" si="437"/>
        <v>3224.8694264190117</v>
      </c>
      <c r="K455" s="92">
        <f t="shared" si="437"/>
        <v>2336.7097855049965</v>
      </c>
      <c r="L455" s="92">
        <f t="shared" si="437"/>
        <v>1756.4334468648422</v>
      </c>
      <c r="M455" s="92">
        <f t="shared" si="437"/>
        <v>1107.9541803332813</v>
      </c>
      <c r="N455" s="92">
        <f t="shared" si="437"/>
        <v>402.30286435501444</v>
      </c>
      <c r="O455" s="92">
        <f t="shared" si="437"/>
        <v>226.1826531941249</v>
      </c>
      <c r="P455" s="92">
        <f t="shared" si="437"/>
        <v>225.3813329804162</v>
      </c>
      <c r="Q455" s="92"/>
      <c r="R455" s="92"/>
      <c r="S455" s="92"/>
      <c r="T455" s="92"/>
      <c r="U455" s="92"/>
      <c r="V455" s="42"/>
      <c r="W455" s="42"/>
      <c r="X455" s="42"/>
      <c r="Y455" s="42"/>
      <c r="Z455" s="42"/>
      <c r="AA455" s="42"/>
      <c r="AB455" s="42"/>
      <c r="AC455" s="42"/>
      <c r="AD455" s="42"/>
      <c r="AE455" s="42"/>
      <c r="AF455" s="42"/>
      <c r="AG455" s="3"/>
      <c r="AH455" s="3"/>
    </row>
    <row r="456" spans="1:34" x14ac:dyDescent="0.25">
      <c r="A456" s="92">
        <f t="shared" si="436"/>
        <v>10000000000000</v>
      </c>
      <c r="B456" s="92">
        <f t="shared" si="437"/>
        <v>0.61855695727129845</v>
      </c>
      <c r="C456" s="92">
        <f t="shared" si="437"/>
        <v>162508.49252301356</v>
      </c>
      <c r="D456" s="92">
        <f t="shared" si="437"/>
        <v>65980258.7545546</v>
      </c>
      <c r="E456" s="92">
        <f t="shared" si="437"/>
        <v>11471655632.990055</v>
      </c>
      <c r="F456" s="92">
        <f t="shared" si="437"/>
        <v>10000000000000</v>
      </c>
      <c r="G456" s="92">
        <f t="shared" si="437"/>
        <v>1.1838061519132941E+20</v>
      </c>
      <c r="H456" s="92">
        <f t="shared" si="437"/>
        <v>1.6975773010911276E+26</v>
      </c>
      <c r="I456" s="92">
        <f t="shared" si="437"/>
        <v>10000000000000</v>
      </c>
      <c r="J456" s="92">
        <f t="shared" si="437"/>
        <v>3068.1804215620291</v>
      </c>
      <c r="K456" s="92">
        <f t="shared" si="437"/>
        <v>2150.3686174171794</v>
      </c>
      <c r="L456" s="92">
        <f t="shared" si="437"/>
        <v>1488.4468583518017</v>
      </c>
      <c r="M456" s="92">
        <f t="shared" si="437"/>
        <v>805.95331833639966</v>
      </c>
      <c r="N456" s="92">
        <f t="shared" si="437"/>
        <v>323.52349101295181</v>
      </c>
      <c r="O456" s="92">
        <f t="shared" si="437"/>
        <v>225.23832209445587</v>
      </c>
      <c r="P456" s="92">
        <f t="shared" si="437"/>
        <v>225.28846256587596</v>
      </c>
      <c r="Q456" s="92"/>
      <c r="R456" s="92"/>
      <c r="S456" s="92"/>
      <c r="T456" s="92"/>
      <c r="U456" s="92"/>
      <c r="V456" s="42"/>
      <c r="W456" s="42"/>
      <c r="X456" s="42"/>
      <c r="Y456" s="42"/>
      <c r="Z456" s="42"/>
      <c r="AA456" s="42"/>
      <c r="AB456" s="42"/>
      <c r="AC456" s="42"/>
      <c r="AD456" s="42"/>
      <c r="AE456" s="42"/>
      <c r="AF456" s="42"/>
      <c r="AG456" s="3"/>
      <c r="AH456" s="3"/>
    </row>
    <row r="457" spans="1:34" x14ac:dyDescent="0.25">
      <c r="A457" s="92">
        <f t="shared" si="436"/>
        <v>100000000000000</v>
      </c>
      <c r="B457" s="92">
        <f t="shared" si="437"/>
        <v>6.1855695727129838</v>
      </c>
      <c r="C457" s="92">
        <f t="shared" si="437"/>
        <v>1625084.9252301357</v>
      </c>
      <c r="D457" s="92">
        <f t="shared" si="437"/>
        <v>659802587.54554605</v>
      </c>
      <c r="E457" s="92">
        <f t="shared" si="437"/>
        <v>114716556329.90056</v>
      </c>
      <c r="F457" s="92">
        <f t="shared" si="437"/>
        <v>100000000000000</v>
      </c>
      <c r="G457" s="92">
        <f t="shared" si="437"/>
        <v>1.183806151913294E+21</v>
      </c>
      <c r="H457" s="92">
        <f t="shared" si="437"/>
        <v>1.6975773010911276E+27</v>
      </c>
      <c r="I457" s="92">
        <f t="shared" si="437"/>
        <v>100000000000000</v>
      </c>
      <c r="J457" s="92">
        <f t="shared" si="437"/>
        <v>2915.919267959634</v>
      </c>
      <c r="K457" s="92">
        <f t="shared" si="437"/>
        <v>1940.5173332718871</v>
      </c>
      <c r="L457" s="92">
        <f t="shared" si="437"/>
        <v>1185.6745633902476</v>
      </c>
      <c r="M457" s="92">
        <f t="shared" si="437"/>
        <v>565.79561192848462</v>
      </c>
      <c r="N457" s="92">
        <f t="shared" si="437"/>
        <v>284.35137217816799</v>
      </c>
      <c r="O457" s="92">
        <f t="shared" si="437"/>
        <v>225.13655271656646</v>
      </c>
      <c r="P457" s="92">
        <f t="shared" si="437"/>
        <v>225.26138301118297</v>
      </c>
      <c r="Q457" s="92"/>
      <c r="R457" s="92"/>
      <c r="S457" s="92"/>
      <c r="T457" s="92"/>
      <c r="U457" s="92"/>
      <c r="V457" s="42"/>
      <c r="W457" s="42"/>
      <c r="X457" s="42"/>
      <c r="Y457" s="42"/>
      <c r="Z457" s="42"/>
      <c r="AA457" s="42"/>
      <c r="AB457" s="42"/>
      <c r="AC457" s="42"/>
      <c r="AD457" s="42"/>
      <c r="AE457" s="42"/>
      <c r="AF457" s="42"/>
      <c r="AG457" s="3"/>
      <c r="AH457" s="3"/>
    </row>
    <row r="458" spans="1:34" x14ac:dyDescent="0.25">
      <c r="A458" s="92">
        <f t="shared" si="436"/>
        <v>1000000000000000</v>
      </c>
      <c r="B458" s="92">
        <f t="shared" si="437"/>
        <v>61.855695727129842</v>
      </c>
      <c r="C458" s="92">
        <f t="shared" si="437"/>
        <v>16250849.252301356</v>
      </c>
      <c r="D458" s="92">
        <f t="shared" si="437"/>
        <v>6598025875.4554596</v>
      </c>
      <c r="E458" s="92">
        <f t="shared" si="437"/>
        <v>1147165563299.0056</v>
      </c>
      <c r="F458" s="92">
        <f t="shared" si="437"/>
        <v>1000000000000000</v>
      </c>
      <c r="G458" s="92">
        <f t="shared" si="437"/>
        <v>1.183806151913294E+22</v>
      </c>
      <c r="H458" s="92">
        <f t="shared" si="437"/>
        <v>1.6975773010911275E+28</v>
      </c>
      <c r="I458" s="92">
        <f t="shared" si="437"/>
        <v>1000000000000000</v>
      </c>
      <c r="J458" s="92">
        <f t="shared" si="437"/>
        <v>2771.0117587804812</v>
      </c>
      <c r="K458" s="92">
        <f t="shared" si="437"/>
        <v>1703.202634105066</v>
      </c>
      <c r="L458" s="92">
        <f t="shared" si="437"/>
        <v>877.46280556758461</v>
      </c>
      <c r="M458" s="92">
        <f t="shared" si="437"/>
        <v>408.65393596789795</v>
      </c>
      <c r="N458" s="92">
        <f t="shared" si="437"/>
        <v>264.92729834801332</v>
      </c>
      <c r="O458" s="92">
        <f t="shared" si="437"/>
        <v>225.03956034728361</v>
      </c>
      <c r="P458" s="92">
        <f t="shared" si="437"/>
        <v>225.24704548920718</v>
      </c>
      <c r="Q458" s="92"/>
      <c r="R458" s="92"/>
      <c r="S458" s="92"/>
      <c r="T458" s="92"/>
      <c r="U458" s="92"/>
      <c r="V458" s="42"/>
      <c r="W458" s="42"/>
      <c r="X458" s="42"/>
      <c r="Y458" s="42"/>
      <c r="Z458" s="42"/>
      <c r="AA458" s="42"/>
      <c r="AB458" s="42"/>
      <c r="AC458" s="42"/>
      <c r="AD458" s="42"/>
      <c r="AE458" s="42"/>
      <c r="AF458" s="42"/>
      <c r="AG458" s="3"/>
      <c r="AH458" s="3"/>
    </row>
    <row r="459" spans="1:34" x14ac:dyDescent="0.25">
      <c r="A459" s="92" t="e">
        <f t="shared" si="436"/>
        <v>#REF!</v>
      </c>
      <c r="B459" s="92" t="e">
        <f t="shared" si="437"/>
        <v>#REF!</v>
      </c>
      <c r="C459" s="92" t="e">
        <f t="shared" si="437"/>
        <v>#REF!</v>
      </c>
      <c r="D459" s="92" t="e">
        <f t="shared" si="437"/>
        <v>#REF!</v>
      </c>
      <c r="E459" s="92" t="e">
        <f t="shared" si="437"/>
        <v>#REF!</v>
      </c>
      <c r="F459" s="92" t="e">
        <f t="shared" si="437"/>
        <v>#REF!</v>
      </c>
      <c r="G459" s="92" t="e">
        <f t="shared" si="437"/>
        <v>#REF!</v>
      </c>
      <c r="H459" s="92" t="e">
        <f t="shared" si="437"/>
        <v>#REF!</v>
      </c>
      <c r="I459" s="92" t="e">
        <f t="shared" si="437"/>
        <v>#REF!</v>
      </c>
      <c r="J459" s="92" t="e">
        <f t="shared" si="437"/>
        <v>#REF!</v>
      </c>
      <c r="K459" s="92" t="e">
        <f t="shared" si="437"/>
        <v>#REF!</v>
      </c>
      <c r="L459" s="92" t="e">
        <f t="shared" si="437"/>
        <v>#REF!</v>
      </c>
      <c r="M459" s="92" t="e">
        <f t="shared" si="437"/>
        <v>#REF!</v>
      </c>
      <c r="N459" s="92" t="e">
        <f t="shared" si="437"/>
        <v>#REF!</v>
      </c>
      <c r="O459" s="92" t="e">
        <f t="shared" si="437"/>
        <v>#REF!</v>
      </c>
      <c r="P459" s="92" t="e">
        <f t="shared" si="437"/>
        <v>#REF!</v>
      </c>
      <c r="Q459" s="92"/>
      <c r="R459" s="92"/>
      <c r="S459" s="92"/>
      <c r="T459" s="92"/>
      <c r="U459" s="92"/>
      <c r="V459" s="42"/>
      <c r="W459" s="42"/>
      <c r="X459" s="42"/>
      <c r="Y459" s="42"/>
      <c r="Z459" s="42"/>
      <c r="AA459" s="42"/>
      <c r="AB459" s="42"/>
      <c r="AC459" s="42"/>
      <c r="AD459" s="42"/>
      <c r="AE459" s="42"/>
      <c r="AF459" s="42"/>
      <c r="AG459" s="3"/>
      <c r="AH459" s="3"/>
    </row>
    <row r="460" spans="1:34" x14ac:dyDescent="0.25">
      <c r="A460" s="92" t="e">
        <f t="shared" si="436"/>
        <v>#REF!</v>
      </c>
      <c r="B460" s="92" t="e">
        <f t="shared" si="437"/>
        <v>#REF!</v>
      </c>
      <c r="C460" s="92" t="e">
        <f t="shared" si="437"/>
        <v>#REF!</v>
      </c>
      <c r="D460" s="92" t="e">
        <f t="shared" si="437"/>
        <v>#REF!</v>
      </c>
      <c r="E460" s="92" t="e">
        <f t="shared" si="437"/>
        <v>#REF!</v>
      </c>
      <c r="F460" s="92" t="e">
        <f t="shared" si="437"/>
        <v>#REF!</v>
      </c>
      <c r="G460" s="92" t="e">
        <f t="shared" si="437"/>
        <v>#REF!</v>
      </c>
      <c r="H460" s="92" t="e">
        <f t="shared" si="437"/>
        <v>#REF!</v>
      </c>
      <c r="I460" s="92" t="e">
        <f t="shared" si="437"/>
        <v>#REF!</v>
      </c>
      <c r="J460" s="92" t="e">
        <f t="shared" si="437"/>
        <v>#REF!</v>
      </c>
      <c r="K460" s="92" t="e">
        <f t="shared" si="437"/>
        <v>#REF!</v>
      </c>
      <c r="L460" s="92" t="e">
        <f t="shared" si="437"/>
        <v>#REF!</v>
      </c>
      <c r="M460" s="92" t="e">
        <f t="shared" si="437"/>
        <v>#REF!</v>
      </c>
      <c r="N460" s="92" t="e">
        <f t="shared" si="437"/>
        <v>#REF!</v>
      </c>
      <c r="O460" s="92" t="e">
        <f t="shared" si="437"/>
        <v>#REF!</v>
      </c>
      <c r="P460" s="92" t="e">
        <f t="shared" si="437"/>
        <v>#REF!</v>
      </c>
      <c r="Q460" s="92"/>
      <c r="R460" s="92"/>
      <c r="S460" s="92"/>
      <c r="T460" s="92"/>
      <c r="U460" s="92"/>
      <c r="V460" s="42"/>
      <c r="W460" s="42"/>
      <c r="X460" s="42"/>
      <c r="Y460" s="42"/>
      <c r="Z460" s="42"/>
      <c r="AA460" s="42"/>
      <c r="AB460" s="42"/>
      <c r="AC460" s="42"/>
      <c r="AD460" s="42"/>
      <c r="AE460" s="42"/>
      <c r="AF460" s="42"/>
      <c r="AG460" s="3"/>
      <c r="AH460" s="3"/>
    </row>
    <row r="461" spans="1:34" x14ac:dyDescent="0.25">
      <c r="A461" s="92" t="e">
        <f t="shared" si="436"/>
        <v>#REF!</v>
      </c>
      <c r="B461" s="92" t="e">
        <f t="shared" si="437"/>
        <v>#REF!</v>
      </c>
      <c r="C461" s="92" t="e">
        <f t="shared" si="437"/>
        <v>#REF!</v>
      </c>
      <c r="D461" s="92" t="e">
        <f t="shared" si="437"/>
        <v>#REF!</v>
      </c>
      <c r="E461" s="92" t="e">
        <f t="shared" si="437"/>
        <v>#REF!</v>
      </c>
      <c r="F461" s="92" t="e">
        <f t="shared" si="437"/>
        <v>#REF!</v>
      </c>
      <c r="G461" s="92" t="e">
        <f t="shared" si="437"/>
        <v>#REF!</v>
      </c>
      <c r="H461" s="92" t="e">
        <f t="shared" si="437"/>
        <v>#REF!</v>
      </c>
      <c r="I461" s="92" t="e">
        <f t="shared" si="437"/>
        <v>#REF!</v>
      </c>
      <c r="J461" s="92" t="e">
        <f t="shared" si="437"/>
        <v>#REF!</v>
      </c>
      <c r="K461" s="92" t="e">
        <f t="shared" si="437"/>
        <v>#REF!</v>
      </c>
      <c r="L461" s="92" t="e">
        <f t="shared" si="437"/>
        <v>#REF!</v>
      </c>
      <c r="M461" s="92" t="e">
        <f t="shared" si="437"/>
        <v>#REF!</v>
      </c>
      <c r="N461" s="92" t="e">
        <f t="shared" si="437"/>
        <v>#REF!</v>
      </c>
      <c r="O461" s="92" t="e">
        <f t="shared" si="437"/>
        <v>#REF!</v>
      </c>
      <c r="P461" s="92" t="e">
        <f t="shared" si="437"/>
        <v>#REF!</v>
      </c>
      <c r="Q461" s="92"/>
      <c r="R461" s="92"/>
      <c r="S461" s="92"/>
      <c r="T461" s="92"/>
      <c r="U461" s="92"/>
      <c r="V461" s="42"/>
      <c r="W461" s="42"/>
      <c r="X461" s="42"/>
      <c r="Y461" s="42"/>
      <c r="Z461" s="42"/>
      <c r="AA461" s="42"/>
      <c r="AB461" s="42"/>
      <c r="AC461" s="42"/>
      <c r="AD461" s="42"/>
      <c r="AE461" s="42"/>
      <c r="AF461" s="42"/>
      <c r="AG461" s="3"/>
      <c r="AH461" s="3"/>
    </row>
    <row r="462" spans="1:34" x14ac:dyDescent="0.25">
      <c r="A462" s="92" t="e">
        <f t="shared" si="436"/>
        <v>#REF!</v>
      </c>
      <c r="B462" s="92" t="e">
        <f t="shared" si="437"/>
        <v>#REF!</v>
      </c>
      <c r="C462" s="92" t="e">
        <f t="shared" si="437"/>
        <v>#REF!</v>
      </c>
      <c r="D462" s="92" t="e">
        <f t="shared" si="437"/>
        <v>#REF!</v>
      </c>
      <c r="E462" s="92" t="e">
        <f t="shared" si="437"/>
        <v>#REF!</v>
      </c>
      <c r="F462" s="92" t="e">
        <f t="shared" si="437"/>
        <v>#REF!</v>
      </c>
      <c r="G462" s="92" t="e">
        <f t="shared" si="437"/>
        <v>#REF!</v>
      </c>
      <c r="H462" s="92" t="e">
        <f t="shared" si="437"/>
        <v>#REF!</v>
      </c>
      <c r="I462" s="92" t="e">
        <f t="shared" si="437"/>
        <v>#REF!</v>
      </c>
      <c r="J462" s="92" t="e">
        <f t="shared" si="437"/>
        <v>#REF!</v>
      </c>
      <c r="K462" s="92" t="e">
        <f t="shared" si="437"/>
        <v>#REF!</v>
      </c>
      <c r="L462" s="92" t="e">
        <f t="shared" si="437"/>
        <v>#REF!</v>
      </c>
      <c r="M462" s="92" t="e">
        <f t="shared" si="437"/>
        <v>#REF!</v>
      </c>
      <c r="N462" s="92" t="e">
        <f t="shared" si="437"/>
        <v>#REF!</v>
      </c>
      <c r="O462" s="92" t="e">
        <f t="shared" si="437"/>
        <v>#REF!</v>
      </c>
      <c r="P462" s="92" t="e">
        <f t="shared" si="437"/>
        <v>#REF!</v>
      </c>
      <c r="Q462" s="92"/>
      <c r="R462" s="92"/>
      <c r="S462" s="92"/>
      <c r="T462" s="92"/>
      <c r="U462" s="92"/>
      <c r="V462" s="42"/>
      <c r="W462" s="42"/>
      <c r="X462" s="42"/>
      <c r="Y462" s="42"/>
      <c r="Z462" s="42"/>
      <c r="AA462" s="42"/>
      <c r="AB462" s="42"/>
      <c r="AC462" s="42"/>
      <c r="AD462" s="42"/>
      <c r="AE462" s="42"/>
      <c r="AF462" s="42"/>
      <c r="AG462" s="3"/>
      <c r="AH462" s="3"/>
    </row>
    <row r="463" spans="1:34" x14ac:dyDescent="0.25">
      <c r="A463" s="92" t="e">
        <f t="shared" si="436"/>
        <v>#REF!</v>
      </c>
      <c r="B463" s="92" t="e">
        <f t="shared" si="437"/>
        <v>#REF!</v>
      </c>
      <c r="C463" s="92" t="e">
        <f t="shared" si="437"/>
        <v>#REF!</v>
      </c>
      <c r="D463" s="92" t="e">
        <f t="shared" si="437"/>
        <v>#REF!</v>
      </c>
      <c r="E463" s="92" t="e">
        <f t="shared" si="437"/>
        <v>#REF!</v>
      </c>
      <c r="F463" s="92" t="e">
        <f t="shared" si="437"/>
        <v>#REF!</v>
      </c>
      <c r="G463" s="92" t="e">
        <f t="shared" si="437"/>
        <v>#REF!</v>
      </c>
      <c r="H463" s="92" t="e">
        <f t="shared" si="437"/>
        <v>#REF!</v>
      </c>
      <c r="I463" s="92" t="e">
        <f t="shared" si="437"/>
        <v>#REF!</v>
      </c>
      <c r="J463" s="92" t="e">
        <f t="shared" si="437"/>
        <v>#REF!</v>
      </c>
      <c r="K463" s="92" t="e">
        <f t="shared" si="437"/>
        <v>#REF!</v>
      </c>
      <c r="L463" s="92" t="e">
        <f t="shared" si="437"/>
        <v>#REF!</v>
      </c>
      <c r="M463" s="92" t="e">
        <f t="shared" si="437"/>
        <v>#REF!</v>
      </c>
      <c r="N463" s="92" t="e">
        <f t="shared" si="437"/>
        <v>#REF!</v>
      </c>
      <c r="O463" s="92" t="e">
        <f t="shared" si="437"/>
        <v>#REF!</v>
      </c>
      <c r="P463" s="92" t="e">
        <f t="shared" si="437"/>
        <v>#REF!</v>
      </c>
      <c r="Q463" s="92"/>
      <c r="R463" s="92"/>
      <c r="S463" s="92"/>
      <c r="T463" s="92"/>
      <c r="U463" s="92"/>
      <c r="V463" s="42"/>
      <c r="W463" s="42"/>
      <c r="X463" s="42"/>
      <c r="Y463" s="42"/>
      <c r="Z463" s="42"/>
      <c r="AA463" s="42"/>
      <c r="AB463" s="42"/>
      <c r="AC463" s="42"/>
      <c r="AD463" s="42"/>
      <c r="AE463" s="42"/>
      <c r="AF463" s="42"/>
      <c r="AG463" s="3"/>
      <c r="AH463" s="3"/>
    </row>
    <row r="464" spans="1:34" x14ac:dyDescent="0.25">
      <c r="A464" s="92" t="e">
        <f t="shared" si="436"/>
        <v>#REF!</v>
      </c>
      <c r="B464" s="92" t="e">
        <f t="shared" si="437"/>
        <v>#REF!</v>
      </c>
      <c r="C464" s="92" t="e">
        <f t="shared" si="437"/>
        <v>#REF!</v>
      </c>
      <c r="D464" s="92" t="e">
        <f t="shared" si="437"/>
        <v>#REF!</v>
      </c>
      <c r="E464" s="92" t="e">
        <f t="shared" si="437"/>
        <v>#REF!</v>
      </c>
      <c r="F464" s="92" t="e">
        <f t="shared" si="437"/>
        <v>#REF!</v>
      </c>
      <c r="G464" s="92" t="e">
        <f t="shared" si="437"/>
        <v>#REF!</v>
      </c>
      <c r="H464" s="92" t="e">
        <f t="shared" si="437"/>
        <v>#REF!</v>
      </c>
      <c r="I464" s="92" t="e">
        <f t="shared" si="437"/>
        <v>#REF!</v>
      </c>
      <c r="J464" s="92" t="e">
        <f t="shared" si="437"/>
        <v>#REF!</v>
      </c>
      <c r="K464" s="92" t="e">
        <f t="shared" si="437"/>
        <v>#REF!</v>
      </c>
      <c r="L464" s="92" t="e">
        <f t="shared" si="437"/>
        <v>#REF!</v>
      </c>
      <c r="M464" s="92" t="e">
        <f t="shared" si="437"/>
        <v>#REF!</v>
      </c>
      <c r="N464" s="92" t="e">
        <f t="shared" si="437"/>
        <v>#REF!</v>
      </c>
      <c r="O464" s="92" t="e">
        <f t="shared" si="437"/>
        <v>#REF!</v>
      </c>
      <c r="P464" s="92" t="e">
        <f t="shared" si="437"/>
        <v>#REF!</v>
      </c>
      <c r="Q464" s="92"/>
      <c r="R464" s="92"/>
      <c r="S464" s="92"/>
      <c r="T464" s="92"/>
      <c r="U464" s="92"/>
      <c r="V464" s="42"/>
      <c r="W464" s="42"/>
      <c r="X464" s="42"/>
      <c r="Y464" s="42"/>
      <c r="Z464" s="42"/>
      <c r="AA464" s="42"/>
      <c r="AB464" s="42"/>
      <c r="AC464" s="42"/>
      <c r="AD464" s="42"/>
      <c r="AE464" s="42"/>
      <c r="AF464" s="42"/>
      <c r="AG464" s="3"/>
      <c r="AH464" s="3"/>
    </row>
    <row r="465" spans="1:34" x14ac:dyDescent="0.25">
      <c r="A465" s="92" t="e">
        <f t="shared" si="436"/>
        <v>#REF!</v>
      </c>
      <c r="B465" s="92" t="e">
        <f t="shared" si="437"/>
        <v>#REF!</v>
      </c>
      <c r="C465" s="92" t="e">
        <f t="shared" si="437"/>
        <v>#REF!</v>
      </c>
      <c r="D465" s="92" t="e">
        <f t="shared" si="437"/>
        <v>#REF!</v>
      </c>
      <c r="E465" s="92" t="e">
        <f t="shared" si="437"/>
        <v>#REF!</v>
      </c>
      <c r="F465" s="92" t="e">
        <f t="shared" si="437"/>
        <v>#REF!</v>
      </c>
      <c r="G465" s="92" t="e">
        <f t="shared" si="437"/>
        <v>#REF!</v>
      </c>
      <c r="H465" s="92" t="e">
        <f t="shared" si="437"/>
        <v>#REF!</v>
      </c>
      <c r="I465" s="92" t="e">
        <f t="shared" si="437"/>
        <v>#REF!</v>
      </c>
      <c r="J465" s="92" t="e">
        <f t="shared" si="437"/>
        <v>#REF!</v>
      </c>
      <c r="K465" s="92" t="e">
        <f t="shared" si="437"/>
        <v>#REF!</v>
      </c>
      <c r="L465" s="92" t="e">
        <f t="shared" si="437"/>
        <v>#REF!</v>
      </c>
      <c r="M465" s="92" t="e">
        <f t="shared" si="437"/>
        <v>#REF!</v>
      </c>
      <c r="N465" s="92" t="e">
        <f t="shared" si="437"/>
        <v>#REF!</v>
      </c>
      <c r="O465" s="92" t="e">
        <f t="shared" si="437"/>
        <v>#REF!</v>
      </c>
      <c r="P465" s="92" t="e">
        <f t="shared" si="437"/>
        <v>#REF!</v>
      </c>
      <c r="Q465" s="92"/>
      <c r="R465" s="92"/>
      <c r="S465" s="92"/>
      <c r="T465" s="92"/>
      <c r="U465" s="92"/>
      <c r="V465" s="42"/>
      <c r="W465" s="42"/>
      <c r="X465" s="42"/>
      <c r="Y465" s="42"/>
      <c r="Z465" s="42"/>
      <c r="AA465" s="42"/>
      <c r="AB465" s="42"/>
      <c r="AC465" s="42"/>
      <c r="AD465" s="42"/>
      <c r="AE465" s="42"/>
      <c r="AF465" s="42"/>
      <c r="AG465" s="3"/>
      <c r="AH465" s="3"/>
    </row>
    <row r="466" spans="1:34" x14ac:dyDescent="0.25">
      <c r="A466" s="92" t="e">
        <f t="shared" si="436"/>
        <v>#REF!</v>
      </c>
      <c r="B466" s="92" t="e">
        <f t="shared" si="437"/>
        <v>#REF!</v>
      </c>
      <c r="C466" s="92" t="e">
        <f t="shared" si="437"/>
        <v>#REF!</v>
      </c>
      <c r="D466" s="92" t="e">
        <f t="shared" si="437"/>
        <v>#REF!</v>
      </c>
      <c r="E466" s="92" t="e">
        <f t="shared" si="437"/>
        <v>#REF!</v>
      </c>
      <c r="F466" s="92" t="e">
        <f t="shared" si="437"/>
        <v>#REF!</v>
      </c>
      <c r="G466" s="92" t="e">
        <f t="shared" si="437"/>
        <v>#REF!</v>
      </c>
      <c r="H466" s="92" t="e">
        <f t="shared" si="437"/>
        <v>#REF!</v>
      </c>
      <c r="I466" s="92" t="e">
        <f t="shared" si="437"/>
        <v>#REF!</v>
      </c>
      <c r="J466" s="92" t="e">
        <f t="shared" si="437"/>
        <v>#REF!</v>
      </c>
      <c r="K466" s="92" t="e">
        <f t="shared" si="437"/>
        <v>#REF!</v>
      </c>
      <c r="L466" s="92" t="e">
        <f t="shared" si="437"/>
        <v>#REF!</v>
      </c>
      <c r="M466" s="92" t="e">
        <f t="shared" si="437"/>
        <v>#REF!</v>
      </c>
      <c r="N466" s="92" t="e">
        <f t="shared" si="437"/>
        <v>#REF!</v>
      </c>
      <c r="O466" s="92" t="e">
        <f t="shared" si="437"/>
        <v>#REF!</v>
      </c>
      <c r="P466" s="92" t="e">
        <f t="shared" si="437"/>
        <v>#REF!</v>
      </c>
      <c r="Q466" s="92"/>
      <c r="R466" s="92"/>
      <c r="S466" s="92"/>
      <c r="T466" s="92"/>
      <c r="U466" s="92"/>
      <c r="V466" s="42"/>
      <c r="W466" s="42"/>
      <c r="X466" s="42"/>
      <c r="Y466" s="42"/>
      <c r="Z466" s="42"/>
      <c r="AA466" s="42"/>
      <c r="AB466" s="42"/>
      <c r="AC466" s="42"/>
      <c r="AD466" s="42"/>
      <c r="AE466" s="42"/>
      <c r="AF466" s="42"/>
      <c r="AG466" s="3"/>
      <c r="AH466" s="3"/>
    </row>
    <row r="467" spans="1:34" x14ac:dyDescent="0.25">
      <c r="A467" s="92" t="e">
        <f t="shared" si="436"/>
        <v>#REF!</v>
      </c>
      <c r="B467" s="92" t="e">
        <f t="shared" si="437"/>
        <v>#REF!</v>
      </c>
      <c r="C467" s="92" t="e">
        <f t="shared" si="437"/>
        <v>#REF!</v>
      </c>
      <c r="D467" s="92" t="e">
        <f t="shared" si="437"/>
        <v>#REF!</v>
      </c>
      <c r="E467" s="92" t="e">
        <f t="shared" si="437"/>
        <v>#REF!</v>
      </c>
      <c r="F467" s="92" t="e">
        <f t="shared" si="437"/>
        <v>#REF!</v>
      </c>
      <c r="G467" s="92" t="e">
        <f t="shared" si="437"/>
        <v>#REF!</v>
      </c>
      <c r="H467" s="92" t="e">
        <f t="shared" si="437"/>
        <v>#REF!</v>
      </c>
      <c r="I467" s="92" t="e">
        <f t="shared" si="437"/>
        <v>#REF!</v>
      </c>
      <c r="J467" s="92" t="e">
        <f t="shared" si="437"/>
        <v>#REF!</v>
      </c>
      <c r="K467" s="92" t="e">
        <f t="shared" si="437"/>
        <v>#REF!</v>
      </c>
      <c r="L467" s="92" t="e">
        <f t="shared" si="437"/>
        <v>#REF!</v>
      </c>
      <c r="M467" s="92" t="e">
        <f t="shared" si="437"/>
        <v>#REF!</v>
      </c>
      <c r="N467" s="92" t="e">
        <f t="shared" si="437"/>
        <v>#REF!</v>
      </c>
      <c r="O467" s="92" t="e">
        <f t="shared" si="437"/>
        <v>#REF!</v>
      </c>
      <c r="P467" s="92" t="e">
        <f t="shared" si="437"/>
        <v>#REF!</v>
      </c>
      <c r="Q467" s="92"/>
      <c r="R467" s="92"/>
      <c r="S467" s="92"/>
      <c r="T467" s="92"/>
      <c r="U467" s="92"/>
      <c r="V467" s="42"/>
      <c r="W467" s="42"/>
      <c r="X467" s="42"/>
      <c r="Y467" s="42"/>
      <c r="Z467" s="42"/>
      <c r="AA467" s="42"/>
      <c r="AB467" s="42"/>
      <c r="AC467" s="42"/>
      <c r="AD467" s="42"/>
      <c r="AE467" s="42"/>
      <c r="AF467" s="42"/>
      <c r="AG467" s="3"/>
      <c r="AH467" s="3"/>
    </row>
    <row r="468" spans="1:34" x14ac:dyDescent="0.25">
      <c r="A468" s="92" t="e">
        <f t="shared" si="436"/>
        <v>#REF!</v>
      </c>
      <c r="B468" s="92" t="e">
        <f t="shared" si="437"/>
        <v>#REF!</v>
      </c>
      <c r="C468" s="92" t="e">
        <f t="shared" si="437"/>
        <v>#REF!</v>
      </c>
      <c r="D468" s="92" t="e">
        <f t="shared" si="437"/>
        <v>#REF!</v>
      </c>
      <c r="E468" s="92" t="e">
        <f t="shared" si="437"/>
        <v>#REF!</v>
      </c>
      <c r="F468" s="92" t="e">
        <f t="shared" si="437"/>
        <v>#REF!</v>
      </c>
      <c r="G468" s="92" t="e">
        <f t="shared" si="437"/>
        <v>#REF!</v>
      </c>
      <c r="H468" s="92" t="e">
        <f t="shared" si="437"/>
        <v>#REF!</v>
      </c>
      <c r="I468" s="92" t="e">
        <f t="shared" si="437"/>
        <v>#REF!</v>
      </c>
      <c r="J468" s="92" t="e">
        <f t="shared" si="437"/>
        <v>#REF!</v>
      </c>
      <c r="K468" s="92" t="e">
        <f t="shared" si="437"/>
        <v>#REF!</v>
      </c>
      <c r="L468" s="92" t="e">
        <f t="shared" si="437"/>
        <v>#REF!</v>
      </c>
      <c r="M468" s="92" t="e">
        <f t="shared" si="437"/>
        <v>#REF!</v>
      </c>
      <c r="N468" s="92" t="e">
        <f t="shared" si="437"/>
        <v>#REF!</v>
      </c>
      <c r="O468" s="92" t="e">
        <f t="shared" si="437"/>
        <v>#REF!</v>
      </c>
      <c r="P468" s="92" t="e">
        <f t="shared" si="437"/>
        <v>#REF!</v>
      </c>
      <c r="Q468" s="92"/>
      <c r="R468" s="92"/>
      <c r="S468" s="92"/>
      <c r="T468" s="92"/>
      <c r="U468" s="92"/>
      <c r="V468" s="42"/>
      <c r="W468" s="42"/>
      <c r="X468" s="42"/>
      <c r="Y468" s="42"/>
      <c r="Z468" s="42"/>
      <c r="AA468" s="42"/>
      <c r="AB468" s="42"/>
      <c r="AC468" s="42"/>
      <c r="AD468" s="42"/>
      <c r="AE468" s="42"/>
      <c r="AF468" s="42"/>
      <c r="AG468" s="3"/>
      <c r="AH468" s="3"/>
    </row>
    <row r="469" spans="1:34" x14ac:dyDescent="0.25">
      <c r="A469" s="116"/>
      <c r="B469" s="20"/>
      <c r="C469" s="20"/>
      <c r="D469" s="20"/>
      <c r="E469" s="20"/>
      <c r="F469" s="20"/>
      <c r="G469" s="20"/>
      <c r="H469" s="20"/>
      <c r="I469" s="20"/>
      <c r="J469" s="20"/>
      <c r="K469" s="20"/>
      <c r="L469" s="20"/>
      <c r="M469" s="20"/>
      <c r="N469" s="20"/>
      <c r="O469" s="20"/>
      <c r="P469" s="20"/>
      <c r="Q469" s="42"/>
      <c r="R469" s="42"/>
      <c r="S469" s="42"/>
      <c r="T469" s="42"/>
      <c r="U469" s="42"/>
      <c r="V469" s="42"/>
      <c r="W469" s="42"/>
      <c r="X469" s="42"/>
      <c r="Y469" s="42"/>
      <c r="Z469" s="42"/>
      <c r="AA469" s="42"/>
      <c r="AB469" s="42"/>
      <c r="AC469" s="42"/>
      <c r="AD469" s="42"/>
      <c r="AE469" s="42"/>
      <c r="AF469" s="42"/>
      <c r="AG469" s="3"/>
      <c r="AH469" s="3"/>
    </row>
    <row r="470" spans="1:34" x14ac:dyDescent="0.25">
      <c r="A470" s="92"/>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92"/>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92"/>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92"/>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92"/>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2"/>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34"/>
      <c r="B532" s="134"/>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29"/>
      <c r="B534" s="129"/>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8">AF570+10</f>
        <v>10</v>
      </c>
      <c r="AH570" s="11">
        <f t="shared" si="438"/>
        <v>20</v>
      </c>
      <c r="AI570" s="11">
        <f t="shared" si="438"/>
        <v>30</v>
      </c>
      <c r="AJ570" s="11">
        <f t="shared" si="438"/>
        <v>40</v>
      </c>
      <c r="AK570" s="11">
        <f t="shared" si="438"/>
        <v>50</v>
      </c>
      <c r="AL570" s="11">
        <f t="shared" si="438"/>
        <v>60</v>
      </c>
      <c r="AM570" s="11">
        <f t="shared" si="438"/>
        <v>70</v>
      </c>
      <c r="AN570" s="11">
        <f t="shared" si="438"/>
        <v>80</v>
      </c>
      <c r="AO570" s="11">
        <f t="shared" si="438"/>
        <v>90</v>
      </c>
      <c r="AP570" s="11">
        <f t="shared" si="438"/>
        <v>100</v>
      </c>
      <c r="AQ570" s="11">
        <f t="shared" si="438"/>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9">AG570-$B$521</f>
        <v>10</v>
      </c>
      <c r="AH571" s="40">
        <f t="shared" si="439"/>
        <v>20</v>
      </c>
      <c r="AI571" s="40">
        <f t="shared" si="439"/>
        <v>30</v>
      </c>
      <c r="AJ571" s="40">
        <f t="shared" si="439"/>
        <v>40</v>
      </c>
      <c r="AK571" s="40">
        <f t="shared" si="439"/>
        <v>50</v>
      </c>
      <c r="AL571" s="40">
        <f t="shared" si="439"/>
        <v>60</v>
      </c>
      <c r="AM571" s="40">
        <f t="shared" si="439"/>
        <v>70</v>
      </c>
      <c r="AN571" s="40">
        <f t="shared" si="439"/>
        <v>80</v>
      </c>
      <c r="AO571" s="40">
        <f t="shared" si="439"/>
        <v>90</v>
      </c>
      <c r="AP571" s="40">
        <f t="shared" si="439"/>
        <v>100</v>
      </c>
      <c r="AQ571" s="40">
        <f t="shared" si="439"/>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40">$B572*AG$571^$A572</f>
        <v>0</v>
      </c>
      <c r="AH572" s="41">
        <f t="shared" si="440"/>
        <v>0</v>
      </c>
      <c r="AI572" s="41">
        <f t="shared" si="440"/>
        <v>0</v>
      </c>
      <c r="AJ572" s="41">
        <f t="shared" si="440"/>
        <v>0</v>
      </c>
      <c r="AK572" s="41">
        <f t="shared" si="440"/>
        <v>0</v>
      </c>
      <c r="AL572" s="41">
        <f t="shared" si="440"/>
        <v>0</v>
      </c>
      <c r="AM572" s="41">
        <f t="shared" si="440"/>
        <v>0</v>
      </c>
      <c r="AN572" s="41">
        <f t="shared" si="440"/>
        <v>0</v>
      </c>
      <c r="AO572" s="41">
        <f t="shared" si="440"/>
        <v>0</v>
      </c>
      <c r="AP572" s="41">
        <f t="shared" si="440"/>
        <v>0</v>
      </c>
      <c r="AQ572" s="41">
        <f t="shared" si="440"/>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40"/>
        <v>0</v>
      </c>
      <c r="AH573" s="41">
        <f t="shared" si="440"/>
        <v>0</v>
      </c>
      <c r="AI573" s="41">
        <f t="shared" si="440"/>
        <v>0</v>
      </c>
      <c r="AJ573" s="41">
        <f t="shared" si="440"/>
        <v>0</v>
      </c>
      <c r="AK573" s="41">
        <f t="shared" si="440"/>
        <v>0</v>
      </c>
      <c r="AL573" s="41">
        <f t="shared" si="440"/>
        <v>0</v>
      </c>
      <c r="AM573" s="41">
        <f t="shared" si="440"/>
        <v>0</v>
      </c>
      <c r="AN573" s="41">
        <f t="shared" si="440"/>
        <v>0</v>
      </c>
      <c r="AO573" s="41">
        <f t="shared" si="440"/>
        <v>0</v>
      </c>
      <c r="AP573" s="41">
        <f t="shared" si="440"/>
        <v>0</v>
      </c>
      <c r="AQ573" s="41">
        <f t="shared" si="440"/>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40"/>
        <v>0</v>
      </c>
      <c r="AH574" s="41">
        <f t="shared" si="440"/>
        <v>0</v>
      </c>
      <c r="AI574" s="41">
        <f t="shared" si="440"/>
        <v>0</v>
      </c>
      <c r="AJ574" s="41">
        <f t="shared" si="440"/>
        <v>0</v>
      </c>
      <c r="AK574" s="41">
        <f t="shared" si="440"/>
        <v>0</v>
      </c>
      <c r="AL574" s="41">
        <f t="shared" si="440"/>
        <v>0</v>
      </c>
      <c r="AM574" s="41">
        <f t="shared" si="440"/>
        <v>0</v>
      </c>
      <c r="AN574" s="41">
        <f t="shared" si="440"/>
        <v>0</v>
      </c>
      <c r="AO574" s="41">
        <f t="shared" si="440"/>
        <v>0</v>
      </c>
      <c r="AP574" s="41">
        <f t="shared" si="440"/>
        <v>0</v>
      </c>
      <c r="AQ574" s="41">
        <f t="shared" si="440"/>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40"/>
        <v>0</v>
      </c>
      <c r="AH575" s="41">
        <f t="shared" si="440"/>
        <v>0</v>
      </c>
      <c r="AI575" s="41">
        <f t="shared" si="440"/>
        <v>0</v>
      </c>
      <c r="AJ575" s="41">
        <f t="shared" si="440"/>
        <v>0</v>
      </c>
      <c r="AK575" s="41">
        <f t="shared" si="440"/>
        <v>0</v>
      </c>
      <c r="AL575" s="41">
        <f t="shared" si="440"/>
        <v>0</v>
      </c>
      <c r="AM575" s="41">
        <f t="shared" si="440"/>
        <v>0</v>
      </c>
      <c r="AN575" s="41">
        <f t="shared" si="440"/>
        <v>0</v>
      </c>
      <c r="AO575" s="41">
        <f t="shared" si="440"/>
        <v>0</v>
      </c>
      <c r="AP575" s="41">
        <f t="shared" si="440"/>
        <v>0</v>
      </c>
      <c r="AQ575" s="41">
        <f t="shared" si="440"/>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40"/>
        <v>0</v>
      </c>
      <c r="AH576" s="41">
        <f t="shared" si="440"/>
        <v>0</v>
      </c>
      <c r="AI576" s="41">
        <f t="shared" si="440"/>
        <v>0</v>
      </c>
      <c r="AJ576" s="41">
        <f t="shared" si="440"/>
        <v>0</v>
      </c>
      <c r="AK576" s="41">
        <f t="shared" si="440"/>
        <v>0</v>
      </c>
      <c r="AL576" s="41">
        <f t="shared" si="440"/>
        <v>0</v>
      </c>
      <c r="AM576" s="41">
        <f t="shared" si="440"/>
        <v>0</v>
      </c>
      <c r="AN576" s="41">
        <f t="shared" si="440"/>
        <v>0</v>
      </c>
      <c r="AO576" s="41">
        <f t="shared" si="440"/>
        <v>0</v>
      </c>
      <c r="AP576" s="41">
        <f t="shared" si="440"/>
        <v>0</v>
      </c>
      <c r="AQ576" s="41">
        <f t="shared" si="440"/>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40"/>
        <v>0</v>
      </c>
      <c r="AH577" s="41">
        <f t="shared" si="440"/>
        <v>0</v>
      </c>
      <c r="AI577" s="41">
        <f t="shared" si="440"/>
        <v>0</v>
      </c>
      <c r="AJ577" s="41">
        <f t="shared" si="440"/>
        <v>0</v>
      </c>
      <c r="AK577" s="41">
        <f t="shared" si="440"/>
        <v>0</v>
      </c>
      <c r="AL577" s="41">
        <f t="shared" si="440"/>
        <v>0</v>
      </c>
      <c r="AM577" s="41">
        <f t="shared" si="440"/>
        <v>0</v>
      </c>
      <c r="AN577" s="41">
        <f t="shared" si="440"/>
        <v>0</v>
      </c>
      <c r="AO577" s="41">
        <f t="shared" si="440"/>
        <v>0</v>
      </c>
      <c r="AP577" s="41">
        <f t="shared" si="440"/>
        <v>0</v>
      </c>
      <c r="AQ577" s="41">
        <f t="shared" si="440"/>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40"/>
        <v>0</v>
      </c>
      <c r="AH578" s="41">
        <f t="shared" si="440"/>
        <v>0</v>
      </c>
      <c r="AI578" s="41">
        <f t="shared" si="440"/>
        <v>0</v>
      </c>
      <c r="AJ578" s="41">
        <f t="shared" si="440"/>
        <v>0</v>
      </c>
      <c r="AK578" s="41">
        <f t="shared" si="440"/>
        <v>0</v>
      </c>
      <c r="AL578" s="41">
        <f t="shared" si="440"/>
        <v>0</v>
      </c>
      <c r="AM578" s="41">
        <f t="shared" si="440"/>
        <v>0</v>
      </c>
      <c r="AN578" s="41">
        <f t="shared" si="440"/>
        <v>0</v>
      </c>
      <c r="AO578" s="41">
        <f t="shared" si="440"/>
        <v>0</v>
      </c>
      <c r="AP578" s="41">
        <f t="shared" si="440"/>
        <v>0</v>
      </c>
      <c r="AQ578" s="41">
        <f t="shared" si="440"/>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40"/>
        <v>0</v>
      </c>
      <c r="AH579" s="41">
        <f t="shared" si="440"/>
        <v>0</v>
      </c>
      <c r="AI579" s="41">
        <f t="shared" si="440"/>
        <v>0</v>
      </c>
      <c r="AJ579" s="41">
        <f t="shared" si="440"/>
        <v>0</v>
      </c>
      <c r="AK579" s="41">
        <f t="shared" si="440"/>
        <v>0</v>
      </c>
      <c r="AL579" s="41">
        <f t="shared" si="440"/>
        <v>0</v>
      </c>
      <c r="AM579" s="41">
        <f t="shared" si="440"/>
        <v>0</v>
      </c>
      <c r="AN579" s="41">
        <f t="shared" si="440"/>
        <v>0</v>
      </c>
      <c r="AO579" s="41">
        <f t="shared" si="440"/>
        <v>0</v>
      </c>
      <c r="AP579" s="41">
        <f t="shared" si="440"/>
        <v>0</v>
      </c>
      <c r="AQ579" s="41">
        <f t="shared" si="440"/>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40"/>
        <v>0</v>
      </c>
      <c r="AH580" s="41">
        <f t="shared" si="440"/>
        <v>0</v>
      </c>
      <c r="AI580" s="41">
        <f t="shared" si="440"/>
        <v>0</v>
      </c>
      <c r="AJ580" s="41">
        <f t="shared" si="440"/>
        <v>0</v>
      </c>
      <c r="AK580" s="41">
        <f t="shared" si="440"/>
        <v>0</v>
      </c>
      <c r="AL580" s="41">
        <f t="shared" si="440"/>
        <v>0</v>
      </c>
      <c r="AM580" s="41">
        <f t="shared" si="440"/>
        <v>0</v>
      </c>
      <c r="AN580" s="41">
        <f t="shared" si="440"/>
        <v>0</v>
      </c>
      <c r="AO580" s="41">
        <f t="shared" si="440"/>
        <v>0</v>
      </c>
      <c r="AP580" s="41">
        <f t="shared" si="440"/>
        <v>0</v>
      </c>
      <c r="AQ580" s="41">
        <f t="shared" si="440"/>
        <v>0</v>
      </c>
      <c r="AR580" s="41"/>
      <c r="AS580" s="41"/>
      <c r="AT580" s="41"/>
      <c r="AU580" s="41"/>
    </row>
    <row r="581" spans="1:47" x14ac:dyDescent="0.25">
      <c r="A581" s="134"/>
      <c r="B581" s="134"/>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41">SUM(AG572:AG580)</f>
        <v>0</v>
      </c>
      <c r="AH581" s="41">
        <f t="shared" si="441"/>
        <v>0</v>
      </c>
      <c r="AI581" s="41">
        <f t="shared" si="441"/>
        <v>0</v>
      </c>
      <c r="AJ581" s="41">
        <f t="shared" si="441"/>
        <v>0</v>
      </c>
      <c r="AK581" s="41">
        <f t="shared" si="441"/>
        <v>0</v>
      </c>
      <c r="AL581" s="41">
        <f t="shared" si="441"/>
        <v>0</v>
      </c>
      <c r="AM581" s="41">
        <f t="shared" si="441"/>
        <v>0</v>
      </c>
      <c r="AN581" s="41">
        <f t="shared" si="441"/>
        <v>0</v>
      </c>
      <c r="AO581" s="41">
        <f t="shared" si="441"/>
        <v>0</v>
      </c>
      <c r="AP581" s="41">
        <f t="shared" si="441"/>
        <v>0</v>
      </c>
      <c r="AQ581" s="41">
        <f t="shared" si="441"/>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42">AF585+10</f>
        <v>10</v>
      </c>
      <c r="AH585" s="11">
        <f t="shared" si="442"/>
        <v>20</v>
      </c>
      <c r="AI585" s="11">
        <f t="shared" si="442"/>
        <v>30</v>
      </c>
      <c r="AJ585" s="11">
        <f t="shared" si="442"/>
        <v>40</v>
      </c>
      <c r="AK585" s="11">
        <f t="shared" si="442"/>
        <v>50</v>
      </c>
      <c r="AL585" s="11">
        <f t="shared" si="442"/>
        <v>60</v>
      </c>
      <c r="AM585" s="11">
        <f t="shared" si="442"/>
        <v>70</v>
      </c>
      <c r="AN585" s="11">
        <f t="shared" si="442"/>
        <v>80</v>
      </c>
      <c r="AO585" s="11">
        <f t="shared" si="442"/>
        <v>90</v>
      </c>
      <c r="AP585" s="11">
        <f t="shared" si="442"/>
        <v>100</v>
      </c>
      <c r="AQ585" s="11">
        <f t="shared" si="442"/>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3">AG585-$B$521</f>
        <v>10</v>
      </c>
      <c r="AH586" s="40">
        <f t="shared" si="443"/>
        <v>20</v>
      </c>
      <c r="AI586" s="40">
        <f t="shared" si="443"/>
        <v>30</v>
      </c>
      <c r="AJ586" s="40">
        <f t="shared" si="443"/>
        <v>40</v>
      </c>
      <c r="AK586" s="40">
        <f t="shared" si="443"/>
        <v>50</v>
      </c>
      <c r="AL586" s="40">
        <f t="shared" si="443"/>
        <v>60</v>
      </c>
      <c r="AM586" s="40">
        <f t="shared" si="443"/>
        <v>70</v>
      </c>
      <c r="AN586" s="40">
        <f t="shared" si="443"/>
        <v>80</v>
      </c>
      <c r="AO586" s="40">
        <f t="shared" si="443"/>
        <v>90</v>
      </c>
      <c r="AP586" s="40">
        <f t="shared" si="443"/>
        <v>100</v>
      </c>
      <c r="AQ586" s="40">
        <f t="shared" si="443"/>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4">$B587*AG$571^$A587</f>
        <v>0</v>
      </c>
      <c r="AH587" s="41">
        <f t="shared" si="444"/>
        <v>0</v>
      </c>
      <c r="AI587" s="41">
        <f t="shared" si="444"/>
        <v>0</v>
      </c>
      <c r="AJ587" s="41">
        <f t="shared" si="444"/>
        <v>0</v>
      </c>
      <c r="AK587" s="41">
        <f t="shared" si="444"/>
        <v>0</v>
      </c>
      <c r="AL587" s="41">
        <f t="shared" si="444"/>
        <v>0</v>
      </c>
      <c r="AM587" s="41">
        <f t="shared" si="444"/>
        <v>0</v>
      </c>
      <c r="AN587" s="41">
        <f t="shared" si="444"/>
        <v>0</v>
      </c>
      <c r="AO587" s="41">
        <f t="shared" si="444"/>
        <v>0</v>
      </c>
      <c r="AP587" s="41">
        <f t="shared" si="444"/>
        <v>0</v>
      </c>
      <c r="AQ587" s="41">
        <f t="shared" si="444"/>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4"/>
        <v>0</v>
      </c>
      <c r="AH588" s="41">
        <f t="shared" si="444"/>
        <v>0</v>
      </c>
      <c r="AI588" s="41">
        <f t="shared" si="444"/>
        <v>0</v>
      </c>
      <c r="AJ588" s="41">
        <f t="shared" si="444"/>
        <v>0</v>
      </c>
      <c r="AK588" s="41">
        <f t="shared" si="444"/>
        <v>0</v>
      </c>
      <c r="AL588" s="41">
        <f t="shared" si="444"/>
        <v>0</v>
      </c>
      <c r="AM588" s="41">
        <f t="shared" si="444"/>
        <v>0</v>
      </c>
      <c r="AN588" s="41">
        <f t="shared" si="444"/>
        <v>0</v>
      </c>
      <c r="AO588" s="41">
        <f t="shared" si="444"/>
        <v>0</v>
      </c>
      <c r="AP588" s="41">
        <f t="shared" si="444"/>
        <v>0</v>
      </c>
      <c r="AQ588" s="41">
        <f t="shared" si="444"/>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4"/>
        <v>0</v>
      </c>
      <c r="AH589" s="41">
        <f t="shared" si="444"/>
        <v>0</v>
      </c>
      <c r="AI589" s="41">
        <f t="shared" si="444"/>
        <v>0</v>
      </c>
      <c r="AJ589" s="41">
        <f t="shared" si="444"/>
        <v>0</v>
      </c>
      <c r="AK589" s="41">
        <f t="shared" si="444"/>
        <v>0</v>
      </c>
      <c r="AL589" s="41">
        <f t="shared" si="444"/>
        <v>0</v>
      </c>
      <c r="AM589" s="41">
        <f t="shared" si="444"/>
        <v>0</v>
      </c>
      <c r="AN589" s="41">
        <f t="shared" si="444"/>
        <v>0</v>
      </c>
      <c r="AO589" s="41">
        <f t="shared" si="444"/>
        <v>0</v>
      </c>
      <c r="AP589" s="41">
        <f t="shared" si="444"/>
        <v>0</v>
      </c>
      <c r="AQ589" s="41">
        <f t="shared" si="444"/>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4"/>
        <v>0</v>
      </c>
      <c r="AH590" s="41">
        <f t="shared" si="444"/>
        <v>0</v>
      </c>
      <c r="AI590" s="41">
        <f t="shared" si="444"/>
        <v>0</v>
      </c>
      <c r="AJ590" s="41">
        <f t="shared" si="444"/>
        <v>0</v>
      </c>
      <c r="AK590" s="41">
        <f t="shared" si="444"/>
        <v>0</v>
      </c>
      <c r="AL590" s="41">
        <f t="shared" si="444"/>
        <v>0</v>
      </c>
      <c r="AM590" s="41">
        <f t="shared" si="444"/>
        <v>0</v>
      </c>
      <c r="AN590" s="41">
        <f t="shared" si="444"/>
        <v>0</v>
      </c>
      <c r="AO590" s="41">
        <f t="shared" si="444"/>
        <v>0</v>
      </c>
      <c r="AP590" s="41">
        <f t="shared" si="444"/>
        <v>0</v>
      </c>
      <c r="AQ590" s="41">
        <f t="shared" si="444"/>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4"/>
        <v>0</v>
      </c>
      <c r="AH591" s="41">
        <f t="shared" si="444"/>
        <v>0</v>
      </c>
      <c r="AI591" s="41">
        <f t="shared" si="444"/>
        <v>0</v>
      </c>
      <c r="AJ591" s="41">
        <f t="shared" si="444"/>
        <v>0</v>
      </c>
      <c r="AK591" s="41">
        <f t="shared" si="444"/>
        <v>0</v>
      </c>
      <c r="AL591" s="41">
        <f t="shared" si="444"/>
        <v>0</v>
      </c>
      <c r="AM591" s="41">
        <f t="shared" si="444"/>
        <v>0</v>
      </c>
      <c r="AN591" s="41">
        <f t="shared" si="444"/>
        <v>0</v>
      </c>
      <c r="AO591" s="41">
        <f t="shared" si="444"/>
        <v>0</v>
      </c>
      <c r="AP591" s="41">
        <f t="shared" si="444"/>
        <v>0</v>
      </c>
      <c r="AQ591" s="41">
        <f t="shared" si="444"/>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4"/>
        <v>0</v>
      </c>
      <c r="AH592" s="41">
        <f t="shared" si="444"/>
        <v>0</v>
      </c>
      <c r="AI592" s="41">
        <f t="shared" si="444"/>
        <v>0</v>
      </c>
      <c r="AJ592" s="41">
        <f t="shared" si="444"/>
        <v>0</v>
      </c>
      <c r="AK592" s="41">
        <f t="shared" si="444"/>
        <v>0</v>
      </c>
      <c r="AL592" s="41">
        <f t="shared" si="444"/>
        <v>0</v>
      </c>
      <c r="AM592" s="41">
        <f t="shared" si="444"/>
        <v>0</v>
      </c>
      <c r="AN592" s="41">
        <f t="shared" si="444"/>
        <v>0</v>
      </c>
      <c r="AO592" s="41">
        <f t="shared" si="444"/>
        <v>0</v>
      </c>
      <c r="AP592" s="41">
        <f t="shared" si="444"/>
        <v>0</v>
      </c>
      <c r="AQ592" s="41">
        <f t="shared" si="444"/>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4"/>
        <v>0</v>
      </c>
      <c r="AH593" s="41">
        <f t="shared" si="444"/>
        <v>0</v>
      </c>
      <c r="AI593" s="41">
        <f t="shared" si="444"/>
        <v>0</v>
      </c>
      <c r="AJ593" s="41">
        <f t="shared" si="444"/>
        <v>0</v>
      </c>
      <c r="AK593" s="41">
        <f t="shared" si="444"/>
        <v>0</v>
      </c>
      <c r="AL593" s="41">
        <f t="shared" si="444"/>
        <v>0</v>
      </c>
      <c r="AM593" s="41">
        <f t="shared" si="444"/>
        <v>0</v>
      </c>
      <c r="AN593" s="41">
        <f t="shared" si="444"/>
        <v>0</v>
      </c>
      <c r="AO593" s="41">
        <f t="shared" si="444"/>
        <v>0</v>
      </c>
      <c r="AP593" s="41">
        <f t="shared" si="444"/>
        <v>0</v>
      </c>
      <c r="AQ593" s="41">
        <f t="shared" si="444"/>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4"/>
        <v>0</v>
      </c>
      <c r="AH594" s="41">
        <f t="shared" si="444"/>
        <v>0</v>
      </c>
      <c r="AI594" s="41">
        <f t="shared" si="444"/>
        <v>0</v>
      </c>
      <c r="AJ594" s="41">
        <f t="shared" si="444"/>
        <v>0</v>
      </c>
      <c r="AK594" s="41">
        <f t="shared" si="444"/>
        <v>0</v>
      </c>
      <c r="AL594" s="41">
        <f t="shared" si="444"/>
        <v>0</v>
      </c>
      <c r="AM594" s="41">
        <f t="shared" si="444"/>
        <v>0</v>
      </c>
      <c r="AN594" s="41">
        <f t="shared" si="444"/>
        <v>0</v>
      </c>
      <c r="AO594" s="41">
        <f t="shared" si="444"/>
        <v>0</v>
      </c>
      <c r="AP594" s="41">
        <f t="shared" si="444"/>
        <v>0</v>
      </c>
      <c r="AQ594" s="41">
        <f t="shared" si="444"/>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4"/>
        <v>0</v>
      </c>
      <c r="AH595" s="41">
        <f t="shared" si="444"/>
        <v>0</v>
      </c>
      <c r="AI595" s="41">
        <f t="shared" si="444"/>
        <v>0</v>
      </c>
      <c r="AJ595" s="41">
        <f t="shared" si="444"/>
        <v>0</v>
      </c>
      <c r="AK595" s="41">
        <f t="shared" si="444"/>
        <v>0</v>
      </c>
      <c r="AL595" s="41">
        <f t="shared" si="444"/>
        <v>0</v>
      </c>
      <c r="AM595" s="41">
        <f t="shared" si="444"/>
        <v>0</v>
      </c>
      <c r="AN595" s="41">
        <f t="shared" si="444"/>
        <v>0</v>
      </c>
      <c r="AO595" s="41">
        <f t="shared" si="444"/>
        <v>0</v>
      </c>
      <c r="AP595" s="41">
        <f t="shared" si="444"/>
        <v>0</v>
      </c>
      <c r="AQ595" s="41">
        <f t="shared" si="444"/>
        <v>0</v>
      </c>
    </row>
    <row r="596" spans="1:43" x14ac:dyDescent="0.25">
      <c r="A596" s="134"/>
      <c r="B596" s="134"/>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5">SUM(AG587:AG595)</f>
        <v>0</v>
      </c>
      <c r="AH596" s="41">
        <f t="shared" si="445"/>
        <v>0</v>
      </c>
      <c r="AI596" s="41">
        <f t="shared" si="445"/>
        <v>0</v>
      </c>
      <c r="AJ596" s="41">
        <f t="shared" si="445"/>
        <v>0</v>
      </c>
      <c r="AK596" s="41">
        <f t="shared" si="445"/>
        <v>0</v>
      </c>
      <c r="AL596" s="41">
        <f t="shared" si="445"/>
        <v>0</v>
      </c>
      <c r="AM596" s="41">
        <f t="shared" si="445"/>
        <v>0</v>
      </c>
      <c r="AN596" s="41">
        <f t="shared" si="445"/>
        <v>0</v>
      </c>
      <c r="AO596" s="41">
        <f t="shared" si="445"/>
        <v>0</v>
      </c>
      <c r="AP596" s="41">
        <f t="shared" si="445"/>
        <v>0</v>
      </c>
      <c r="AQ596" s="41">
        <f t="shared" si="445"/>
        <v>0</v>
      </c>
    </row>
    <row r="597" spans="1:43" x14ac:dyDescent="0.25">
      <c r="A597" s="129"/>
      <c r="B597" s="129"/>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6">(AG581-AG596)^2</f>
        <v>0</v>
      </c>
      <c r="AH597" s="41">
        <f t="shared" si="446"/>
        <v>0</v>
      </c>
      <c r="AI597" s="41">
        <f t="shared" si="446"/>
        <v>0</v>
      </c>
      <c r="AJ597" s="41">
        <f t="shared" si="446"/>
        <v>0</v>
      </c>
      <c r="AK597" s="41">
        <f t="shared" si="446"/>
        <v>0</v>
      </c>
      <c r="AL597" s="41">
        <f t="shared" si="446"/>
        <v>0</v>
      </c>
      <c r="AM597" s="41">
        <f t="shared" si="446"/>
        <v>0</v>
      </c>
      <c r="AN597" s="41">
        <f t="shared" si="446"/>
        <v>0</v>
      </c>
      <c r="AO597" s="41">
        <f t="shared" si="446"/>
        <v>0</v>
      </c>
      <c r="AP597" s="41">
        <f t="shared" si="446"/>
        <v>0</v>
      </c>
      <c r="AQ597" s="41">
        <f t="shared" si="446"/>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29"/>
      <c r="B626" s="129"/>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29"/>
      <c r="B627" s="129"/>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34"/>
      <c r="B650" s="134"/>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29"/>
      <c r="B651" s="129"/>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29"/>
      <c r="B652" s="129"/>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29"/>
      <c r="B653" s="129"/>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29"/>
      <c r="B654" s="129"/>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J152"/>
  <sheetViews>
    <sheetView tabSelected="1" topLeftCell="A165" zoomScale="110" zoomScaleNormal="110" workbookViewId="0">
      <selection activeCell="A4" sqref="A4"/>
    </sheetView>
  </sheetViews>
  <sheetFormatPr baseColWidth="10" defaultRowHeight="15" x14ac:dyDescent="0.25"/>
  <sheetData>
    <row r="1" spans="1:17" x14ac:dyDescent="0.25">
      <c r="A1">
        <f>'Mastercurve bestimmen'!D436</f>
        <v>11</v>
      </c>
      <c r="C1" t="str">
        <f>'Mastercurve bestimmen'!A436</f>
        <v>Intervall: +-</v>
      </c>
      <c r="D1" s="102">
        <v>5</v>
      </c>
    </row>
    <row r="3" spans="1:17" x14ac:dyDescent="0.25">
      <c r="A3" s="117"/>
      <c r="B3" s="117"/>
      <c r="C3" s="117"/>
      <c r="D3" s="117"/>
      <c r="E3" s="117"/>
      <c r="F3" s="117"/>
      <c r="G3" s="117"/>
      <c r="H3" s="117"/>
      <c r="I3" s="118"/>
      <c r="J3" s="118"/>
      <c r="K3" s="118"/>
      <c r="L3" s="118"/>
      <c r="M3" s="118"/>
      <c r="N3" s="118"/>
      <c r="O3" s="118"/>
      <c r="P3" s="118"/>
    </row>
    <row r="4" spans="1:17" x14ac:dyDescent="0.25">
      <c r="A4" s="10">
        <f>LOG10('Mastercurve bestimmen'!A438)</f>
        <v>-5</v>
      </c>
      <c r="B4" s="10">
        <f>LOG10('Mastercurve bestimmen'!B438)</f>
        <v>-18.208620303973863</v>
      </c>
      <c r="C4" s="10">
        <f>LOG10('Mastercurve bestimmen'!C438)</f>
        <v>-12.789123938318902</v>
      </c>
      <c r="D4" s="10">
        <f>LOG10('Mastercurve bestimmen'!D438)</f>
        <v>-10.180585985616155</v>
      </c>
      <c r="E4" s="10">
        <f>LOG10('Mastercurve bestimmen'!E438)</f>
        <v>-7.9403738985431609</v>
      </c>
      <c r="F4" s="10">
        <f>LOG10('Mastercurve bestimmen'!F438)</f>
        <v>-5</v>
      </c>
      <c r="G4" s="10">
        <f>LOG10('Mastercurve bestimmen'!G438)</f>
        <v>2.0732805925500557</v>
      </c>
      <c r="H4" s="10">
        <f>LOG10('Mastercurve bestimmen'!H438)</f>
        <v>8.2298295594903621</v>
      </c>
      <c r="I4" s="3">
        <f>'Mastercurve bestimmen'!I438</f>
        <v>1.0000000000000001E-5</v>
      </c>
      <c r="J4" s="3">
        <f>'Mastercurve bestimmen'!J438</f>
        <v>5627.7932848495184</v>
      </c>
      <c r="K4" s="3">
        <f>'Mastercurve bestimmen'!K438</f>
        <v>5257.8155746015464</v>
      </c>
      <c r="L4" s="3">
        <f>'Mastercurve bestimmen'!L438</f>
        <v>4920.6469341545144</v>
      </c>
      <c r="M4" s="3">
        <f>'Mastercurve bestimmen'!M438</f>
        <v>4581.7042756516666</v>
      </c>
      <c r="N4" s="3">
        <f>'Mastercurve bestimmen'!N438</f>
        <v>4088.6897076558816</v>
      </c>
      <c r="O4" s="3">
        <f>'Mastercurve bestimmen'!O438</f>
        <v>2814.9531210575578</v>
      </c>
      <c r="P4" s="3">
        <f>'Mastercurve bestimmen'!P438</f>
        <v>1319.6710728146086</v>
      </c>
      <c r="Q4" s="3"/>
    </row>
    <row r="5" spans="1:17" x14ac:dyDescent="0.25">
      <c r="A5" s="10">
        <f>LOG10('Mastercurve bestimmen'!A439)</f>
        <v>-4</v>
      </c>
      <c r="B5" s="10">
        <f>LOG10('Mastercurve bestimmen'!B439)</f>
        <v>-17.208620303973863</v>
      </c>
      <c r="C5" s="10">
        <f>LOG10('Mastercurve bestimmen'!C439)</f>
        <v>-11.789123938318902</v>
      </c>
      <c r="D5" s="10">
        <f>LOG10('Mastercurve bestimmen'!D439)</f>
        <v>-9.1805859856161547</v>
      </c>
      <c r="E5" s="10">
        <f>LOG10('Mastercurve bestimmen'!E439)</f>
        <v>-6.9403738985431609</v>
      </c>
      <c r="F5" s="10">
        <f>LOG10('Mastercurve bestimmen'!F439)</f>
        <v>-4</v>
      </c>
      <c r="G5" s="10">
        <f>LOG10('Mastercurve bestimmen'!G439)</f>
        <v>3.0732805925500557</v>
      </c>
      <c r="H5" s="10">
        <f>LOG10('Mastercurve bestimmen'!H439)</f>
        <v>9.2298295594903621</v>
      </c>
      <c r="I5" s="3">
        <f>'Mastercurve bestimmen'!I439</f>
        <v>1E-4</v>
      </c>
      <c r="J5" s="3">
        <f>'Mastercurve bestimmen'!J439</f>
        <v>5627.6610797391322</v>
      </c>
      <c r="K5" s="3">
        <f>'Mastercurve bestimmen'!K439</f>
        <v>5148.9525022518937</v>
      </c>
      <c r="L5" s="3">
        <f>'Mastercurve bestimmen'!L439</f>
        <v>4778.6212241451321</v>
      </c>
      <c r="M5" s="3">
        <f>'Mastercurve bestimmen'!M439</f>
        <v>4422.8560767502513</v>
      </c>
      <c r="N5" s="3">
        <f>'Mastercurve bestimmen'!N439</f>
        <v>3886.5453020717396</v>
      </c>
      <c r="O5" s="3">
        <f>'Mastercurve bestimmen'!O439</f>
        <v>2641.4801683555684</v>
      </c>
      <c r="P5" s="3">
        <f>'Mastercurve bestimmen'!P439</f>
        <v>983.6154232764427</v>
      </c>
    </row>
    <row r="6" spans="1:17" x14ac:dyDescent="0.25">
      <c r="A6" s="10">
        <f>LOG10('Mastercurve bestimmen'!A440)</f>
        <v>-3</v>
      </c>
      <c r="B6" s="10">
        <f>LOG10('Mastercurve bestimmen'!B440)</f>
        <v>-16.208620303973863</v>
      </c>
      <c r="C6" s="10">
        <f>LOG10('Mastercurve bestimmen'!C440)</f>
        <v>-10.789123938318902</v>
      </c>
      <c r="D6" s="10">
        <f>LOG10('Mastercurve bestimmen'!D440)</f>
        <v>-8.1805859856161547</v>
      </c>
      <c r="E6" s="10">
        <f>LOG10('Mastercurve bestimmen'!E440)</f>
        <v>-5.9403738985431609</v>
      </c>
      <c r="F6" s="10">
        <f>LOG10('Mastercurve bestimmen'!F440)</f>
        <v>-3</v>
      </c>
      <c r="G6" s="10">
        <f>LOG10('Mastercurve bestimmen'!G440)</f>
        <v>4.0732805925500557</v>
      </c>
      <c r="H6" s="10">
        <f>LOG10('Mastercurve bestimmen'!H440)</f>
        <v>10.229829559490362</v>
      </c>
      <c r="I6" s="3">
        <f>'Mastercurve bestimmen'!I440</f>
        <v>1E-3</v>
      </c>
      <c r="J6" s="3">
        <f>'Mastercurve bestimmen'!J440</f>
        <v>5626.3493372203875</v>
      </c>
      <c r="K6" s="3">
        <f>'Mastercurve bestimmen'!K440</f>
        <v>5026.92102925375</v>
      </c>
      <c r="L6" s="3">
        <f>'Mastercurve bestimmen'!L440</f>
        <v>4624.8276392807802</v>
      </c>
      <c r="M6" s="3">
        <f>'Mastercurve bestimmen'!M440</f>
        <v>4270.4317526073974</v>
      </c>
      <c r="N6" s="3">
        <f>'Mastercurve bestimmen'!N440</f>
        <v>3674.0476464355193</v>
      </c>
      <c r="O6" s="3">
        <f>'Mastercurve bestimmen'!O440</f>
        <v>2449.1835010011705</v>
      </c>
      <c r="P6" s="3">
        <f>'Mastercurve bestimmen'!P440</f>
        <v>693.66104788005293</v>
      </c>
    </row>
    <row r="7" spans="1:17" x14ac:dyDescent="0.25">
      <c r="A7" s="10">
        <f>LOG10('Mastercurve bestimmen'!A441)</f>
        <v>-2</v>
      </c>
      <c r="B7" s="10">
        <f>LOG10('Mastercurve bestimmen'!B441)</f>
        <v>-15.208620303973863</v>
      </c>
      <c r="C7" s="10">
        <f>LOG10('Mastercurve bestimmen'!C441)</f>
        <v>-9.7891239383189017</v>
      </c>
      <c r="D7" s="10">
        <f>LOG10('Mastercurve bestimmen'!D441)</f>
        <v>-7.1805859856161538</v>
      </c>
      <c r="E7" s="10">
        <f>LOG10('Mastercurve bestimmen'!E441)</f>
        <v>-4.9403738985431609</v>
      </c>
      <c r="F7" s="10">
        <f>LOG10('Mastercurve bestimmen'!F441)</f>
        <v>-2</v>
      </c>
      <c r="G7" s="10">
        <f>LOG10('Mastercurve bestimmen'!G441)</f>
        <v>5.0732805925500557</v>
      </c>
      <c r="H7" s="10">
        <f>LOG10('Mastercurve bestimmen'!H441)</f>
        <v>11.229829559490362</v>
      </c>
      <c r="I7" s="3">
        <f>'Mastercurve bestimmen'!I441</f>
        <v>0.01</v>
      </c>
      <c r="J7" s="3">
        <f>'Mastercurve bestimmen'!J441</f>
        <v>5613.8255139047442</v>
      </c>
      <c r="K7" s="3">
        <f>'Mastercurve bestimmen'!K441</f>
        <v>4898.1924827249632</v>
      </c>
      <c r="L7" s="3">
        <f>'Mastercurve bestimmen'!L441</f>
        <v>4464.4431086830655</v>
      </c>
      <c r="M7" s="3">
        <f>'Mastercurve bestimmen'!M441</f>
        <v>4104.9210309366072</v>
      </c>
      <c r="N7" s="3">
        <f>'Mastercurve bestimmen'!N441</f>
        <v>3490.4964950029853</v>
      </c>
      <c r="O7" s="3">
        <f>'Mastercurve bestimmen'!O441</f>
        <v>2235.8247528873858</v>
      </c>
      <c r="P7" s="3">
        <f>'Mastercurve bestimmen'!P441</f>
        <v>485.93999274200024</v>
      </c>
    </row>
    <row r="8" spans="1:17" x14ac:dyDescent="0.25">
      <c r="A8" s="10">
        <f>LOG10('Mastercurve bestimmen'!A442)</f>
        <v>-1</v>
      </c>
      <c r="B8" s="10">
        <f>LOG10('Mastercurve bestimmen'!B442)</f>
        <v>-14.208620303973863</v>
      </c>
      <c r="C8" s="10">
        <f>LOG10('Mastercurve bestimmen'!C442)</f>
        <v>-8.7891239383189017</v>
      </c>
      <c r="D8" s="10">
        <f>LOG10('Mastercurve bestimmen'!D442)</f>
        <v>-6.1805859856161538</v>
      </c>
      <c r="E8" s="10">
        <f>LOG10('Mastercurve bestimmen'!E442)</f>
        <v>-3.9403738985431609</v>
      </c>
      <c r="F8" s="10">
        <f>LOG10('Mastercurve bestimmen'!F442)</f>
        <v>-1</v>
      </c>
      <c r="G8" s="10">
        <f>LOG10('Mastercurve bestimmen'!G442)</f>
        <v>6.0732805925500557</v>
      </c>
      <c r="H8" s="10">
        <f>LOG10('Mastercurve bestimmen'!H442)</f>
        <v>12.229829559490362</v>
      </c>
      <c r="I8" s="3">
        <f>'Mastercurve bestimmen'!I442</f>
        <v>0.1</v>
      </c>
      <c r="J8" s="3">
        <f>'Mastercurve bestimmen'!J442</f>
        <v>5517.4172060787987</v>
      </c>
      <c r="K8" s="3">
        <f>'Mastercurve bestimmen'!K442</f>
        <v>4753.3269146217463</v>
      </c>
      <c r="L8" s="3">
        <f>'Mastercurve bestimmen'!L442</f>
        <v>4311.3670250981177</v>
      </c>
      <c r="M8" s="3">
        <f>'Mastercurve bestimmen'!M442</f>
        <v>3904.1870554469519</v>
      </c>
      <c r="N8" s="3">
        <f>'Mastercurve bestimmen'!N442</f>
        <v>3328.6476119407066</v>
      </c>
      <c r="O8" s="3">
        <f>'Mastercurve bestimmen'!O442</f>
        <v>1993.335720552192</v>
      </c>
      <c r="P8" s="3">
        <f>'Mastercurve bestimmen'!P442</f>
        <v>367.37990571310178</v>
      </c>
    </row>
    <row r="9" spans="1:17" x14ac:dyDescent="0.25">
      <c r="A9" s="10">
        <f>LOG10('Mastercurve bestimmen'!A443)</f>
        <v>0</v>
      </c>
      <c r="B9" s="10">
        <f>LOG10('Mastercurve bestimmen'!B443)</f>
        <v>-13.208620303973863</v>
      </c>
      <c r="C9" s="10">
        <f>LOG10('Mastercurve bestimmen'!C443)</f>
        <v>-7.7891239383189017</v>
      </c>
      <c r="D9" s="10">
        <f>LOG10('Mastercurve bestimmen'!D443)</f>
        <v>-5.1805859856161538</v>
      </c>
      <c r="E9" s="10">
        <f>LOG10('Mastercurve bestimmen'!E443)</f>
        <v>-2.9403738985431609</v>
      </c>
      <c r="F9" s="10">
        <f>LOG10('Mastercurve bestimmen'!F443)</f>
        <v>0</v>
      </c>
      <c r="G9" s="10">
        <f>LOG10('Mastercurve bestimmen'!G443)</f>
        <v>7.0732805925500557</v>
      </c>
      <c r="H9" s="10">
        <f>LOG10('Mastercurve bestimmen'!H443)</f>
        <v>13.229829559490362</v>
      </c>
      <c r="I9" s="3">
        <f>'Mastercurve bestimmen'!I443</f>
        <v>1</v>
      </c>
      <c r="J9" s="3">
        <f>'Mastercurve bestimmen'!J443</f>
        <v>5360.9194936383001</v>
      </c>
      <c r="K9" s="3">
        <f>'Mastercurve bestimmen'!K443</f>
        <v>4597.3394014710702</v>
      </c>
      <c r="L9" s="3">
        <f>'Mastercurve bestimmen'!L443</f>
        <v>4152.6891106145395</v>
      </c>
      <c r="M9" s="3">
        <f>'Mastercurve bestimmen'!M443</f>
        <v>3689.3430627142566</v>
      </c>
      <c r="N9" s="3">
        <f>'Mastercurve bestimmen'!N443</f>
        <v>3162.6549081928265</v>
      </c>
      <c r="O9" s="3">
        <f>'Mastercurve bestimmen'!O443</f>
        <v>1707.9100595434049</v>
      </c>
      <c r="P9" s="3">
        <f>'Mastercurve bestimmen'!P443</f>
        <v>307.17178720865763</v>
      </c>
    </row>
    <row r="10" spans="1:17" x14ac:dyDescent="0.25">
      <c r="A10" s="10">
        <f>LOG10('Mastercurve bestimmen'!A444)</f>
        <v>1</v>
      </c>
      <c r="B10" s="10">
        <f>LOG10('Mastercurve bestimmen'!B444)</f>
        <v>-12.208620303973863</v>
      </c>
      <c r="C10" s="10">
        <f>LOG10('Mastercurve bestimmen'!C444)</f>
        <v>-6.7891239383189017</v>
      </c>
      <c r="D10" s="10">
        <f>LOG10('Mastercurve bestimmen'!D444)</f>
        <v>-4.1805859856161538</v>
      </c>
      <c r="E10" s="10">
        <f>LOG10('Mastercurve bestimmen'!E444)</f>
        <v>-1.9403738985431609</v>
      </c>
      <c r="F10" s="10">
        <f>LOG10('Mastercurve bestimmen'!F444)</f>
        <v>1</v>
      </c>
      <c r="G10" s="10">
        <f>LOG10('Mastercurve bestimmen'!G444)</f>
        <v>8.0732805925500557</v>
      </c>
      <c r="H10" s="10">
        <f>LOG10('Mastercurve bestimmen'!H444)</f>
        <v>14.229829559490362</v>
      </c>
      <c r="I10" s="3">
        <f>'Mastercurve bestimmen'!I444</f>
        <v>10</v>
      </c>
      <c r="J10" s="3">
        <f>'Mastercurve bestimmen'!J444</f>
        <v>5250.254742360099</v>
      </c>
      <c r="K10" s="3">
        <f>'Mastercurve bestimmen'!K444</f>
        <v>4437.480614548972</v>
      </c>
      <c r="L10" s="3">
        <f>'Mastercurve bestimmen'!L444</f>
        <v>3957.9636218361616</v>
      </c>
      <c r="M10" s="3">
        <f>'Mastercurve bestimmen'!M444</f>
        <v>3495.8611800317371</v>
      </c>
      <c r="N10" s="3">
        <f>'Mastercurve bestimmen'!N444</f>
        <v>2989.0593935666489</v>
      </c>
      <c r="O10" s="3">
        <f>'Mastercurve bestimmen'!O444</f>
        <v>1382.9901395885138</v>
      </c>
      <c r="P10" s="3">
        <f>'Mastercurve bestimmen'!P444</f>
        <v>279.06842494658031</v>
      </c>
    </row>
    <row r="11" spans="1:17" x14ac:dyDescent="0.25">
      <c r="A11" s="10">
        <f>LOG10('Mastercurve bestimmen'!A445)</f>
        <v>2</v>
      </c>
      <c r="B11" s="10">
        <f>LOG10('Mastercurve bestimmen'!B445)</f>
        <v>-11.208620303973863</v>
      </c>
      <c r="C11" s="10">
        <f>LOG10('Mastercurve bestimmen'!C445)</f>
        <v>-5.7891239383189017</v>
      </c>
      <c r="D11" s="10">
        <f>LOG10('Mastercurve bestimmen'!D445)</f>
        <v>-3.1805859856161542</v>
      </c>
      <c r="E11" s="10">
        <f>LOG10('Mastercurve bestimmen'!E445)</f>
        <v>-0.94037389854316078</v>
      </c>
      <c r="F11" s="10">
        <f>LOG10('Mastercurve bestimmen'!F445)</f>
        <v>2</v>
      </c>
      <c r="G11" s="10">
        <f>LOG10('Mastercurve bestimmen'!G445)</f>
        <v>9.0732805925500557</v>
      </c>
      <c r="H11" s="10">
        <f>LOG10('Mastercurve bestimmen'!H445)</f>
        <v>15.229829559490362</v>
      </c>
      <c r="I11" s="3">
        <f>'Mastercurve bestimmen'!I445</f>
        <v>100</v>
      </c>
      <c r="J11" s="3">
        <f>'Mastercurve bestimmen'!J445</f>
        <v>5138.7770947931922</v>
      </c>
      <c r="K11" s="3">
        <f>'Mastercurve bestimmen'!K445</f>
        <v>4282.6976933023134</v>
      </c>
      <c r="L11" s="3">
        <f>'Mastercurve bestimmen'!L445</f>
        <v>3730.5898476111606</v>
      </c>
      <c r="M11" s="3">
        <f>'Mastercurve bestimmen'!M445</f>
        <v>3307.8943029856523</v>
      </c>
      <c r="N11" s="3">
        <f>'Mastercurve bestimmen'!N445</f>
        <v>2798.1852090008501</v>
      </c>
      <c r="O11" s="3">
        <f>'Mastercurve bestimmen'!O445</f>
        <v>1045.3846206276212</v>
      </c>
      <c r="P11" s="3">
        <f>'Mastercurve bestimmen'!P445</f>
        <v>261.67169004040318</v>
      </c>
    </row>
    <row r="12" spans="1:17" x14ac:dyDescent="0.25">
      <c r="A12" s="10">
        <f>LOG10('Mastercurve bestimmen'!A446)</f>
        <v>3</v>
      </c>
      <c r="B12" s="10">
        <f>LOG10('Mastercurve bestimmen'!B446)</f>
        <v>-10.208620303973863</v>
      </c>
      <c r="C12" s="10">
        <f>LOG10('Mastercurve bestimmen'!C446)</f>
        <v>-4.7891239383189017</v>
      </c>
      <c r="D12" s="10">
        <f>LOG10('Mastercurve bestimmen'!D446)</f>
        <v>-2.1805859856161542</v>
      </c>
      <c r="E12" s="10">
        <f>LOG10('Mastercurve bestimmen'!E446)</f>
        <v>5.9626101456839213E-2</v>
      </c>
      <c r="F12" s="10">
        <f>LOG10('Mastercurve bestimmen'!F446)</f>
        <v>3</v>
      </c>
      <c r="G12" s="10">
        <f>LOG10('Mastercurve bestimmen'!G446)</f>
        <v>10.073280592550056</v>
      </c>
      <c r="H12" s="10">
        <f>LOG10('Mastercurve bestimmen'!H446)</f>
        <v>16.229829559490362</v>
      </c>
      <c r="I12" s="3">
        <f>'Mastercurve bestimmen'!I446</f>
        <v>1000</v>
      </c>
      <c r="J12" s="3">
        <f>'Mastercurve bestimmen'!J446</f>
        <v>5015.7448530146003</v>
      </c>
      <c r="K12" s="3">
        <f>'Mastercurve bestimmen'!K446</f>
        <v>4104.6708903026465</v>
      </c>
      <c r="L12" s="3">
        <f>'Mastercurve bestimmen'!L446</f>
        <v>3500.0702814112506</v>
      </c>
      <c r="M12" s="3">
        <f>'Mastercurve bestimmen'!M446</f>
        <v>3103.7900841852515</v>
      </c>
      <c r="N12" s="3">
        <f>'Mastercurve bestimmen'!N446</f>
        <v>2599.5030730508342</v>
      </c>
      <c r="O12" s="3">
        <f>'Mastercurve bestimmen'!O446</f>
        <v>743.50488577028852</v>
      </c>
      <c r="P12" s="3">
        <f>'Mastercurve bestimmen'!P446</f>
        <v>251.34674819282765</v>
      </c>
    </row>
    <row r="13" spans="1:17" x14ac:dyDescent="0.25">
      <c r="A13" s="10">
        <f>LOG10('Mastercurve bestimmen'!A447)</f>
        <v>4</v>
      </c>
      <c r="B13" s="10">
        <f>LOG10('Mastercurve bestimmen'!B447)</f>
        <v>-9.2086203039738628</v>
      </c>
      <c r="C13" s="10">
        <f>LOG10('Mastercurve bestimmen'!C447)</f>
        <v>-3.7891239383189017</v>
      </c>
      <c r="D13" s="10">
        <f>LOG10('Mastercurve bestimmen'!D447)</f>
        <v>-1.1805859856161542</v>
      </c>
      <c r="E13" s="10">
        <f>LOG10('Mastercurve bestimmen'!E447)</f>
        <v>1.0596261014568391</v>
      </c>
      <c r="F13" s="10">
        <f>LOG10('Mastercurve bestimmen'!F447)</f>
        <v>4</v>
      </c>
      <c r="G13" s="10">
        <f>LOG10('Mastercurve bestimmen'!G447)</f>
        <v>11.073280592550056</v>
      </c>
      <c r="H13" s="10">
        <f>LOG10('Mastercurve bestimmen'!H447)</f>
        <v>17.229829559490362</v>
      </c>
      <c r="I13" s="3">
        <f>'Mastercurve bestimmen'!I447</f>
        <v>10000</v>
      </c>
      <c r="J13" s="3">
        <f>'Mastercurve bestimmen'!J447</f>
        <v>4881.370820360753</v>
      </c>
      <c r="K13" s="3">
        <f>'Mastercurve bestimmen'!K447</f>
        <v>3863.6251591234022</v>
      </c>
      <c r="L13" s="3">
        <f>'Mastercurve bestimmen'!L447</f>
        <v>3289.3669034465734</v>
      </c>
      <c r="M13" s="3">
        <f>'Mastercurve bestimmen'!M447</f>
        <v>2911.6115267339505</v>
      </c>
      <c r="N13" s="3">
        <f>'Mastercurve bestimmen'!N447</f>
        <v>2390.0680354035449</v>
      </c>
      <c r="O13" s="3">
        <f>'Mastercurve bestimmen'!O447</f>
        <v>519.49600219625086</v>
      </c>
      <c r="P13" s="3">
        <f>'Mastercurve bestimmen'!P447</f>
        <v>246.12933837944422</v>
      </c>
    </row>
    <row r="14" spans="1:17" x14ac:dyDescent="0.25">
      <c r="A14" s="10">
        <f>LOG10('Mastercurve bestimmen'!A448)</f>
        <v>5</v>
      </c>
      <c r="B14" s="10">
        <f>LOG10('Mastercurve bestimmen'!B448)</f>
        <v>-8.2086203039738628</v>
      </c>
      <c r="C14" s="10">
        <f>LOG10('Mastercurve bestimmen'!C448)</f>
        <v>-2.7891239383189017</v>
      </c>
      <c r="D14" s="10">
        <f>LOG10('Mastercurve bestimmen'!D448)</f>
        <v>-0.18058598561615419</v>
      </c>
      <c r="E14" s="10">
        <f>LOG10('Mastercurve bestimmen'!E448)</f>
        <v>2.0596261014568391</v>
      </c>
      <c r="F14" s="10">
        <f>LOG10('Mastercurve bestimmen'!F448)</f>
        <v>5</v>
      </c>
      <c r="G14" s="10">
        <f>LOG10('Mastercurve bestimmen'!G448)</f>
        <v>12.073280592550056</v>
      </c>
      <c r="H14" s="10">
        <f>LOG10('Mastercurve bestimmen'!H448)</f>
        <v>18.229829559490362</v>
      </c>
      <c r="I14" s="3">
        <f>'Mastercurve bestimmen'!I448</f>
        <v>100000</v>
      </c>
      <c r="J14" s="3">
        <f>'Mastercurve bestimmen'!J448</f>
        <v>4715.1502303445186</v>
      </c>
      <c r="K14" s="3">
        <f>'Mastercurve bestimmen'!K448</f>
        <v>3593.12923880173</v>
      </c>
      <c r="L14" s="3">
        <f>'Mastercurve bestimmen'!L448</f>
        <v>3085.2633506749817</v>
      </c>
      <c r="M14" s="3">
        <f>'Mastercurve bestimmen'!M448</f>
        <v>2729.2195894835777</v>
      </c>
      <c r="N14" s="3">
        <f>'Mastercurve bestimmen'!N448</f>
        <v>2175.40034172183</v>
      </c>
      <c r="O14" s="3">
        <f>'Mastercurve bestimmen'!O448</f>
        <v>383.51568079468302</v>
      </c>
      <c r="P14" s="3">
        <f>'Mastercurve bestimmen'!P448</f>
        <v>232.30454015462297</v>
      </c>
    </row>
    <row r="15" spans="1:17" x14ac:dyDescent="0.25">
      <c r="A15" s="10">
        <f>LOG10('Mastercurve bestimmen'!A449)</f>
        <v>6</v>
      </c>
      <c r="B15" s="10">
        <f>LOG10('Mastercurve bestimmen'!B449)</f>
        <v>-7.2086203039738628</v>
      </c>
      <c r="C15" s="10">
        <f>LOG10('Mastercurve bestimmen'!C449)</f>
        <v>-1.7891239383189015</v>
      </c>
      <c r="D15" s="10">
        <f>LOG10('Mastercurve bestimmen'!D449)</f>
        <v>0.81941401438384576</v>
      </c>
      <c r="E15" s="10">
        <f>LOG10('Mastercurve bestimmen'!E449)</f>
        <v>3.0596261014568391</v>
      </c>
      <c r="F15" s="10">
        <f>LOG10('Mastercurve bestimmen'!F449)</f>
        <v>6</v>
      </c>
      <c r="G15" s="10">
        <f>LOG10('Mastercurve bestimmen'!G449)</f>
        <v>13.073280592550056</v>
      </c>
      <c r="H15" s="10">
        <f>LOG10('Mastercurve bestimmen'!H449)</f>
        <v>19.229829559490362</v>
      </c>
      <c r="I15" s="3">
        <f>'Mastercurve bestimmen'!I449</f>
        <v>1000000</v>
      </c>
      <c r="J15" s="3">
        <f>'Mastercurve bestimmen'!J449</f>
        <v>4502.659399288631</v>
      </c>
      <c r="K15" s="3">
        <f>'Mastercurve bestimmen'!K449</f>
        <v>3360.468185804395</v>
      </c>
      <c r="L15" s="3">
        <f>'Mastercurve bestimmen'!L449</f>
        <v>2905.3736728917142</v>
      </c>
      <c r="M15" s="3">
        <f>'Mastercurve bestimmen'!M449</f>
        <v>2550.726219448276</v>
      </c>
      <c r="N15" s="3">
        <f>'Mastercurve bestimmen'!N449</f>
        <v>1944.7438917872487</v>
      </c>
      <c r="O15" s="3">
        <f>'Mastercurve bestimmen'!O449</f>
        <v>314.10371823238006</v>
      </c>
      <c r="P15" s="3">
        <f>'Mastercurve bestimmen'!P449</f>
        <v>227.24083682489959</v>
      </c>
    </row>
    <row r="16" spans="1:17" x14ac:dyDescent="0.25">
      <c r="A16" s="10">
        <f>LOG10('Mastercurve bestimmen'!A450)</f>
        <v>7</v>
      </c>
      <c r="B16" s="10">
        <f>LOG10('Mastercurve bestimmen'!B450)</f>
        <v>-6.2086203039738628</v>
      </c>
      <c r="C16" s="10">
        <f>LOG10('Mastercurve bestimmen'!C450)</f>
        <v>-0.7891239383189016</v>
      </c>
      <c r="D16" s="10">
        <f>LOG10('Mastercurve bestimmen'!D450)</f>
        <v>1.8194140143838458</v>
      </c>
      <c r="E16" s="10">
        <f>LOG10('Mastercurve bestimmen'!E450)</f>
        <v>4.0596261014568391</v>
      </c>
      <c r="F16" s="10">
        <f>LOG10('Mastercurve bestimmen'!F450)</f>
        <v>7</v>
      </c>
      <c r="G16" s="10">
        <f>LOG10('Mastercurve bestimmen'!G450)</f>
        <v>14.073280592550056</v>
      </c>
      <c r="H16" s="10">
        <f>LOG10('Mastercurve bestimmen'!H450)</f>
        <v>20.229829559490362</v>
      </c>
      <c r="I16" s="3">
        <f>'Mastercurve bestimmen'!I450</f>
        <v>10000000</v>
      </c>
      <c r="J16" s="3">
        <f>'Mastercurve bestimmen'!J450</f>
        <v>4273.4157788380835</v>
      </c>
      <c r="K16" s="3">
        <f>'Mastercurve bestimmen'!K450</f>
        <v>3169.2406182554596</v>
      </c>
      <c r="L16" s="3">
        <f>'Mastercurve bestimmen'!L450</f>
        <v>2732.9260794562178</v>
      </c>
      <c r="M16" s="3">
        <f>'Mastercurve bestimmen'!M450</f>
        <v>2358.1438044871866</v>
      </c>
      <c r="N16" s="3">
        <f>'Mastercurve bestimmen'!N450</f>
        <v>1692.3075271682321</v>
      </c>
      <c r="O16" s="3">
        <f>'Mastercurve bestimmen'!O450</f>
        <v>280.6909623460773</v>
      </c>
      <c r="P16" s="3">
        <f>'Mastercurve bestimmen'!P450</f>
        <v>226.40989093990805</v>
      </c>
    </row>
    <row r="17" spans="1:16" x14ac:dyDescent="0.25">
      <c r="A17" s="10">
        <f>LOG10('Mastercurve bestimmen'!A451)</f>
        <v>8</v>
      </c>
      <c r="B17" s="10">
        <f>LOG10('Mastercurve bestimmen'!B451)</f>
        <v>-5.2086203039738628</v>
      </c>
      <c r="C17" s="10">
        <f>LOG10('Mastercurve bestimmen'!C451)</f>
        <v>0.21087606168109846</v>
      </c>
      <c r="D17" s="10">
        <f>LOG10('Mastercurve bestimmen'!D451)</f>
        <v>2.8194140143838458</v>
      </c>
      <c r="E17" s="10">
        <f>LOG10('Mastercurve bestimmen'!E451)</f>
        <v>5.0596261014568391</v>
      </c>
      <c r="F17" s="10">
        <f>LOG10('Mastercurve bestimmen'!F451)</f>
        <v>8</v>
      </c>
      <c r="G17" s="10">
        <f>LOG10('Mastercurve bestimmen'!G451)</f>
        <v>15.073280592550056</v>
      </c>
      <c r="H17" s="10">
        <f>LOG10('Mastercurve bestimmen'!H451)</f>
        <v>21.229829559490362</v>
      </c>
      <c r="I17" s="3">
        <f>'Mastercurve bestimmen'!I451</f>
        <v>100000000</v>
      </c>
      <c r="J17" s="3">
        <f>'Mastercurve bestimmen'!J451</f>
        <v>4058.4470173916279</v>
      </c>
      <c r="K17" s="3">
        <f>'Mastercurve bestimmen'!K451</f>
        <v>2988.8293612758935</v>
      </c>
      <c r="L17" s="3">
        <f>'Mastercurve bestimmen'!L451</f>
        <v>2568.1909736158736</v>
      </c>
      <c r="M17" s="3">
        <f>'Mastercurve bestimmen'!M451</f>
        <v>2158.239452794789</v>
      </c>
      <c r="N17" s="3">
        <f>'Mastercurve bestimmen'!N451</f>
        <v>1404.857998960405</v>
      </c>
      <c r="O17" s="3">
        <f>'Mastercurve bestimmen'!O451</f>
        <v>262.23895816268134</v>
      </c>
      <c r="P17" s="3">
        <f>'Mastercurve bestimmen'!P451</f>
        <v>226.30209993218824</v>
      </c>
    </row>
    <row r="18" spans="1:16" x14ac:dyDescent="0.25">
      <c r="A18" s="10">
        <f>LOG10('Mastercurve bestimmen'!A452)</f>
        <v>9</v>
      </c>
      <c r="B18" s="10">
        <f>LOG10('Mastercurve bestimmen'!B452)</f>
        <v>-4.2086203039738628</v>
      </c>
      <c r="C18" s="10">
        <f>LOG10('Mastercurve bestimmen'!C452)</f>
        <v>1.2108760616810985</v>
      </c>
      <c r="D18" s="10">
        <f>LOG10('Mastercurve bestimmen'!D452)</f>
        <v>3.8194140143838458</v>
      </c>
      <c r="E18" s="10">
        <f>LOG10('Mastercurve bestimmen'!E452)</f>
        <v>6.0596261014568391</v>
      </c>
      <c r="F18" s="10">
        <f>LOG10('Mastercurve bestimmen'!F452)</f>
        <v>9</v>
      </c>
      <c r="G18" s="10">
        <f>LOG10('Mastercurve bestimmen'!G452)</f>
        <v>16.073280592550056</v>
      </c>
      <c r="H18" s="10">
        <f>LOG10('Mastercurve bestimmen'!H452)</f>
        <v>22.229829559490362</v>
      </c>
      <c r="I18" s="3">
        <f>'Mastercurve bestimmen'!I452</f>
        <v>1000000000</v>
      </c>
      <c r="J18" s="3">
        <f>'Mastercurve bestimmen'!J452</f>
        <v>3848.5922465336935</v>
      </c>
      <c r="K18" s="3">
        <f>'Mastercurve bestimmen'!K452</f>
        <v>2827.4607055264137</v>
      </c>
      <c r="L18" s="3">
        <f>'Mastercurve bestimmen'!L452</f>
        <v>2386.1123895749793</v>
      </c>
      <c r="M18" s="3">
        <f>'Mastercurve bestimmen'!M452</f>
        <v>1939.4329282086981</v>
      </c>
      <c r="N18" s="3">
        <f>'Mastercurve bestimmen'!N452</f>
        <v>1091.4425267820036</v>
      </c>
      <c r="O18" s="3">
        <f>'Mastercurve bestimmen'!O452</f>
        <v>250.5385469230996</v>
      </c>
      <c r="P18" s="3">
        <f>'Mastercurve bestimmen'!P452</f>
        <v>225.971358220734</v>
      </c>
    </row>
    <row r="19" spans="1:16" x14ac:dyDescent="0.25">
      <c r="A19" s="10">
        <f>LOG10('Mastercurve bestimmen'!A453)</f>
        <v>10</v>
      </c>
      <c r="B19" s="10">
        <f>LOG10('Mastercurve bestimmen'!B453)</f>
        <v>-3.2086203039738623</v>
      </c>
      <c r="C19" s="10">
        <f>LOG10('Mastercurve bestimmen'!C453)</f>
        <v>2.2108760616810983</v>
      </c>
      <c r="D19" s="10">
        <f>LOG10('Mastercurve bestimmen'!D453)</f>
        <v>4.8194140143838462</v>
      </c>
      <c r="E19" s="10">
        <f>LOG10('Mastercurve bestimmen'!E453)</f>
        <v>7.0596261014568391</v>
      </c>
      <c r="F19" s="10">
        <f>LOG10('Mastercurve bestimmen'!F453)</f>
        <v>10</v>
      </c>
      <c r="G19" s="10">
        <f>LOG10('Mastercurve bestimmen'!G453)</f>
        <v>17.073280592550056</v>
      </c>
      <c r="H19" s="10">
        <f>LOG10('Mastercurve bestimmen'!H453)</f>
        <v>23.229829559490362</v>
      </c>
      <c r="I19" s="3">
        <f>'Mastercurve bestimmen'!I453</f>
        <v>10000000000</v>
      </c>
      <c r="J19" s="3">
        <f>'Mastercurve bestimmen'!J453</f>
        <v>3623.9563394023553</v>
      </c>
      <c r="K19" s="3">
        <f>'Mastercurve bestimmen'!K453</f>
        <v>2670.1707037079254</v>
      </c>
      <c r="L19" s="3">
        <f>'Mastercurve bestimmen'!L453</f>
        <v>2196.768027007945</v>
      </c>
      <c r="M19" s="3">
        <f>'Mastercurve bestimmen'!M453</f>
        <v>1697.1946565213088</v>
      </c>
      <c r="N19" s="3">
        <f>'Mastercurve bestimmen'!N453</f>
        <v>790.55484106714846</v>
      </c>
      <c r="O19" s="3">
        <f>'Mastercurve bestimmen'!O453</f>
        <v>245.32626479673095</v>
      </c>
      <c r="P19" s="3">
        <f>'Mastercurve bestimmen'!P453</f>
        <v>225.60625299057205</v>
      </c>
    </row>
    <row r="20" spans="1:16" x14ac:dyDescent="0.25">
      <c r="A20" s="10">
        <f>LOG10('Mastercurve bestimmen'!A454)</f>
        <v>11</v>
      </c>
      <c r="B20" s="10">
        <f>LOG10('Mastercurve bestimmen'!B454)</f>
        <v>-2.2086203039738623</v>
      </c>
      <c r="C20" s="10">
        <f>LOG10('Mastercurve bestimmen'!C454)</f>
        <v>3.2108760616810983</v>
      </c>
      <c r="D20" s="10">
        <f>LOG10('Mastercurve bestimmen'!D454)</f>
        <v>5.8194140143838462</v>
      </c>
      <c r="E20" s="10">
        <f>LOG10('Mastercurve bestimmen'!E454)</f>
        <v>8.0596261014568391</v>
      </c>
      <c r="F20" s="10">
        <f>LOG10('Mastercurve bestimmen'!F454)</f>
        <v>11</v>
      </c>
      <c r="G20" s="10">
        <f>LOG10('Mastercurve bestimmen'!G454)</f>
        <v>18.073280592550056</v>
      </c>
      <c r="H20" s="10">
        <f>LOG10('Mastercurve bestimmen'!H454)</f>
        <v>24.229829559490362</v>
      </c>
      <c r="I20" s="3">
        <f>'Mastercurve bestimmen'!I454</f>
        <v>100000000000</v>
      </c>
      <c r="J20" s="3">
        <f>'Mastercurve bestimmen'!J454</f>
        <v>3404.5451338992034</v>
      </c>
      <c r="K20" s="3">
        <f>'Mastercurve bestimmen'!K454</f>
        <v>2515.5612619665249</v>
      </c>
      <c r="L20" s="3">
        <f>'Mastercurve bestimmen'!L454</f>
        <v>1987.4046244520723</v>
      </c>
      <c r="M20" s="3">
        <f>'Mastercurve bestimmen'!M454</f>
        <v>1417.4356606109552</v>
      </c>
      <c r="N20" s="3">
        <f>'Mastercurve bestimmen'!N454</f>
        <v>554.44228824478739</v>
      </c>
      <c r="O20" s="3">
        <f>'Mastercurve bestimmen'!O454</f>
        <v>234.06992955511652</v>
      </c>
      <c r="P20" s="3">
        <f>'Mastercurve bestimmen'!P454</f>
        <v>225.49131077609314</v>
      </c>
    </row>
    <row r="21" spans="1:16" x14ac:dyDescent="0.25">
      <c r="A21" s="10">
        <f>LOG10('Mastercurve bestimmen'!A455)</f>
        <v>12</v>
      </c>
      <c r="B21" s="10">
        <f>LOG10('Mastercurve bestimmen'!B455)</f>
        <v>-1.2086203039738626</v>
      </c>
      <c r="C21" s="10">
        <f>LOG10('Mastercurve bestimmen'!C455)</f>
        <v>4.2108760616810983</v>
      </c>
      <c r="D21" s="10">
        <f>LOG10('Mastercurve bestimmen'!D455)</f>
        <v>6.8194140143838462</v>
      </c>
      <c r="E21" s="10">
        <f>LOG10('Mastercurve bestimmen'!E455)</f>
        <v>9.0596261014568391</v>
      </c>
      <c r="F21" s="10">
        <f>LOG10('Mastercurve bestimmen'!F455)</f>
        <v>12</v>
      </c>
      <c r="G21" s="10">
        <f>LOG10('Mastercurve bestimmen'!G455)</f>
        <v>19.073280592550056</v>
      </c>
      <c r="H21" s="10">
        <f>LOG10('Mastercurve bestimmen'!H455)</f>
        <v>25.229829559490362</v>
      </c>
      <c r="I21" s="3">
        <f>'Mastercurve bestimmen'!I455</f>
        <v>1000000000000</v>
      </c>
      <c r="J21" s="3">
        <f>'Mastercurve bestimmen'!J455</f>
        <v>3224.8694264190117</v>
      </c>
      <c r="K21" s="3">
        <f>'Mastercurve bestimmen'!K455</f>
        <v>2336.7097855049965</v>
      </c>
      <c r="L21" s="3">
        <f>'Mastercurve bestimmen'!L455</f>
        <v>1756.4334468648422</v>
      </c>
      <c r="M21" s="3">
        <f>'Mastercurve bestimmen'!M455</f>
        <v>1107.9541803332813</v>
      </c>
      <c r="N21" s="3">
        <f>'Mastercurve bestimmen'!N455</f>
        <v>402.30286435501444</v>
      </c>
      <c r="O21" s="3">
        <f>'Mastercurve bestimmen'!O455</f>
        <v>226.1826531941249</v>
      </c>
      <c r="P21" s="3">
        <f>'Mastercurve bestimmen'!P455</f>
        <v>225.3813329804162</v>
      </c>
    </row>
    <row r="22" spans="1:16" x14ac:dyDescent="0.25">
      <c r="A22" s="10">
        <f>LOG10('Mastercurve bestimmen'!A456)</f>
        <v>13</v>
      </c>
      <c r="B22" s="10">
        <f>LOG10('Mastercurve bestimmen'!B456)</f>
        <v>-0.20862030397386244</v>
      </c>
      <c r="C22" s="10">
        <f>LOG10('Mastercurve bestimmen'!C456)</f>
        <v>5.2108760616810983</v>
      </c>
      <c r="D22" s="10">
        <f>LOG10('Mastercurve bestimmen'!D456)</f>
        <v>7.8194140143838462</v>
      </c>
      <c r="E22" s="10">
        <f>LOG10('Mastercurve bestimmen'!E456)</f>
        <v>10.059626101456839</v>
      </c>
      <c r="F22" s="10">
        <f>LOG10('Mastercurve bestimmen'!F456)</f>
        <v>13</v>
      </c>
      <c r="G22" s="10">
        <f>LOG10('Mastercurve bestimmen'!G456)</f>
        <v>20.073280592550056</v>
      </c>
      <c r="H22" s="10">
        <f>LOG10('Mastercurve bestimmen'!H456)</f>
        <v>26.229829559490362</v>
      </c>
      <c r="I22" s="3">
        <f>'Mastercurve bestimmen'!I456</f>
        <v>10000000000000</v>
      </c>
      <c r="J22" s="3">
        <f>'Mastercurve bestimmen'!J456</f>
        <v>3068.1804215620291</v>
      </c>
      <c r="K22" s="3">
        <f>'Mastercurve bestimmen'!K456</f>
        <v>2150.3686174171794</v>
      </c>
      <c r="L22" s="3">
        <f>'Mastercurve bestimmen'!L456</f>
        <v>1488.4468583518017</v>
      </c>
      <c r="M22" s="3">
        <f>'Mastercurve bestimmen'!M456</f>
        <v>805.95331833639966</v>
      </c>
      <c r="N22" s="3">
        <f>'Mastercurve bestimmen'!N456</f>
        <v>323.52349101295181</v>
      </c>
      <c r="O22" s="3">
        <f>'Mastercurve bestimmen'!O456</f>
        <v>225.23832209445587</v>
      </c>
      <c r="P22" s="3">
        <f>'Mastercurve bestimmen'!P456</f>
        <v>225.28846256587596</v>
      </c>
    </row>
    <row r="23" spans="1:16" x14ac:dyDescent="0.25">
      <c r="A23" s="10">
        <f>LOG10('Mastercurve bestimmen'!A457)</f>
        <v>14</v>
      </c>
      <c r="B23" s="10">
        <f>LOG10('Mastercurve bestimmen'!B457)</f>
        <v>0.79137969602613756</v>
      </c>
      <c r="C23" s="10">
        <f>LOG10('Mastercurve bestimmen'!C457)</f>
        <v>6.2108760616810983</v>
      </c>
      <c r="D23" s="10">
        <f>LOG10('Mastercurve bestimmen'!D457)</f>
        <v>8.8194140143838453</v>
      </c>
      <c r="E23" s="10">
        <f>LOG10('Mastercurve bestimmen'!E457)</f>
        <v>11.059626101456839</v>
      </c>
      <c r="F23" s="10">
        <f>LOG10('Mastercurve bestimmen'!F457)</f>
        <v>14</v>
      </c>
      <c r="G23" s="10">
        <f>LOG10('Mastercurve bestimmen'!G457)</f>
        <v>21.073280592550056</v>
      </c>
      <c r="H23" s="10">
        <f>LOG10('Mastercurve bestimmen'!H457)</f>
        <v>27.229829559490362</v>
      </c>
      <c r="I23" s="3">
        <f>'Mastercurve bestimmen'!I457</f>
        <v>100000000000000</v>
      </c>
      <c r="J23" s="3">
        <f>'Mastercurve bestimmen'!J457</f>
        <v>2915.919267959634</v>
      </c>
      <c r="K23" s="3">
        <f>'Mastercurve bestimmen'!K457</f>
        <v>1940.5173332718871</v>
      </c>
      <c r="L23" s="3">
        <f>'Mastercurve bestimmen'!L457</f>
        <v>1185.6745633902476</v>
      </c>
      <c r="M23" s="3">
        <f>'Mastercurve bestimmen'!M457</f>
        <v>565.79561192848462</v>
      </c>
      <c r="N23" s="3">
        <f>'Mastercurve bestimmen'!N457</f>
        <v>284.35137217816799</v>
      </c>
      <c r="O23" s="3">
        <f>'Mastercurve bestimmen'!O457</f>
        <v>225.13655271656646</v>
      </c>
      <c r="P23" s="3">
        <f>'Mastercurve bestimmen'!P457</f>
        <v>225.26138301118297</v>
      </c>
    </row>
    <row r="24" spans="1:16" x14ac:dyDescent="0.25">
      <c r="A24" s="10">
        <f>LOG10('Mastercurve bestimmen'!A458)</f>
        <v>15</v>
      </c>
      <c r="B24" s="10">
        <f>LOG10('Mastercurve bestimmen'!B458)</f>
        <v>1.7913796960261374</v>
      </c>
      <c r="C24" s="10">
        <f>LOG10('Mastercurve bestimmen'!C458)</f>
        <v>7.2108760616810983</v>
      </c>
      <c r="D24" s="10">
        <f>LOG10('Mastercurve bestimmen'!D458)</f>
        <v>9.8194140143838453</v>
      </c>
      <c r="E24" s="10">
        <f>LOG10('Mastercurve bestimmen'!E458)</f>
        <v>12.059626101456839</v>
      </c>
      <c r="F24" s="10">
        <f>LOG10('Mastercurve bestimmen'!F458)</f>
        <v>15</v>
      </c>
      <c r="G24" s="10">
        <f>LOG10('Mastercurve bestimmen'!G458)</f>
        <v>22.073280592550056</v>
      </c>
      <c r="H24" s="10">
        <f>LOG10('Mastercurve bestimmen'!H458)</f>
        <v>28.229829559490362</v>
      </c>
      <c r="I24" s="3">
        <f>'Mastercurve bestimmen'!I458</f>
        <v>1000000000000000</v>
      </c>
      <c r="J24" s="3">
        <f>'Mastercurve bestimmen'!J458</f>
        <v>2771.0117587804812</v>
      </c>
      <c r="K24" s="3">
        <f>'Mastercurve bestimmen'!K458</f>
        <v>1703.202634105066</v>
      </c>
      <c r="L24" s="3">
        <f>'Mastercurve bestimmen'!L458</f>
        <v>877.46280556758461</v>
      </c>
      <c r="M24" s="3">
        <f>'Mastercurve bestimmen'!M458</f>
        <v>408.65393596789795</v>
      </c>
      <c r="N24" s="3">
        <f>'Mastercurve bestimmen'!N458</f>
        <v>264.92729834801332</v>
      </c>
      <c r="O24" s="3">
        <f>'Mastercurve bestimmen'!O458</f>
        <v>225.03956034728361</v>
      </c>
      <c r="P24" s="3">
        <f>'Mastercurve bestimmen'!P458</f>
        <v>225.24704548920718</v>
      </c>
    </row>
    <row r="25" spans="1:16" x14ac:dyDescent="0.25">
      <c r="A25" s="10" t="e">
        <f>LOG10('Mastercurve bestimmen'!A459)</f>
        <v>#REF!</v>
      </c>
      <c r="B25" s="10" t="e">
        <f>LOG10('Mastercurve bestimmen'!B459)</f>
        <v>#REF!</v>
      </c>
      <c r="C25" s="10" t="e">
        <f>LOG10('Mastercurve bestimmen'!C459)</f>
        <v>#REF!</v>
      </c>
      <c r="D25" s="10" t="e">
        <f>LOG10('Mastercurve bestimmen'!D459)</f>
        <v>#REF!</v>
      </c>
      <c r="E25" s="10" t="e">
        <f>LOG10('Mastercurve bestimmen'!E459)</f>
        <v>#REF!</v>
      </c>
      <c r="F25" s="10" t="e">
        <f>LOG10('Mastercurve bestimmen'!F459)</f>
        <v>#REF!</v>
      </c>
      <c r="G25" s="10" t="e">
        <f>LOG10('Mastercurve bestimmen'!G459)</f>
        <v>#REF!</v>
      </c>
      <c r="H25" s="10" t="e">
        <f>LOG10('Mastercurve bestimmen'!H459)</f>
        <v>#REF!</v>
      </c>
      <c r="I25" s="3" t="e">
        <f>'Mastercurve bestimmen'!I459</f>
        <v>#REF!</v>
      </c>
      <c r="J25" s="3" t="e">
        <f>'Mastercurve bestimmen'!J459</f>
        <v>#REF!</v>
      </c>
      <c r="K25" s="3" t="e">
        <f>'Mastercurve bestimmen'!K459</f>
        <v>#REF!</v>
      </c>
      <c r="L25" s="3" t="e">
        <f>'Mastercurve bestimmen'!L459</f>
        <v>#REF!</v>
      </c>
      <c r="M25" s="3" t="e">
        <f>'Mastercurve bestimmen'!M459</f>
        <v>#REF!</v>
      </c>
      <c r="N25" s="3" t="e">
        <f>'Mastercurve bestimmen'!N459</f>
        <v>#REF!</v>
      </c>
      <c r="O25" s="3" t="e">
        <f>'Mastercurve bestimmen'!O459</f>
        <v>#REF!</v>
      </c>
      <c r="P25" s="3" t="e">
        <f>'Mastercurve bestimmen'!P459</f>
        <v>#REF!</v>
      </c>
    </row>
    <row r="26" spans="1:16" x14ac:dyDescent="0.25">
      <c r="A26" s="10" t="e">
        <f>LOG10('Mastercurve bestimmen'!A460)</f>
        <v>#REF!</v>
      </c>
      <c r="B26" s="10" t="e">
        <f>LOG10('Mastercurve bestimmen'!B460)</f>
        <v>#REF!</v>
      </c>
      <c r="C26" s="10" t="e">
        <f>LOG10('Mastercurve bestimmen'!C460)</f>
        <v>#REF!</v>
      </c>
      <c r="D26" s="10" t="e">
        <f>LOG10('Mastercurve bestimmen'!D460)</f>
        <v>#REF!</v>
      </c>
      <c r="E26" s="10" t="e">
        <f>LOG10('Mastercurve bestimmen'!E460)</f>
        <v>#REF!</v>
      </c>
      <c r="F26" s="10" t="e">
        <f>LOG10('Mastercurve bestimmen'!F460)</f>
        <v>#REF!</v>
      </c>
      <c r="G26" s="10" t="e">
        <f>LOG10('Mastercurve bestimmen'!G460)</f>
        <v>#REF!</v>
      </c>
      <c r="H26" s="10" t="e">
        <f>LOG10('Mastercurve bestimmen'!H460)</f>
        <v>#REF!</v>
      </c>
      <c r="I26" s="3" t="e">
        <f>'Mastercurve bestimmen'!I460</f>
        <v>#REF!</v>
      </c>
      <c r="J26" s="3" t="e">
        <f>'Mastercurve bestimmen'!J460</f>
        <v>#REF!</v>
      </c>
      <c r="K26" s="3" t="e">
        <f>'Mastercurve bestimmen'!K460</f>
        <v>#REF!</v>
      </c>
      <c r="L26" s="3" t="e">
        <f>'Mastercurve bestimmen'!L460</f>
        <v>#REF!</v>
      </c>
      <c r="M26" s="3" t="e">
        <f>'Mastercurve bestimmen'!M460</f>
        <v>#REF!</v>
      </c>
      <c r="N26" s="3" t="e">
        <f>'Mastercurve bestimmen'!N460</f>
        <v>#REF!</v>
      </c>
      <c r="O26" s="3" t="e">
        <f>'Mastercurve bestimmen'!O460</f>
        <v>#REF!</v>
      </c>
      <c r="P26" s="3" t="e">
        <f>'Mastercurve bestimmen'!P460</f>
        <v>#REF!</v>
      </c>
    </row>
    <row r="27" spans="1:16" x14ac:dyDescent="0.25">
      <c r="A27" s="10" t="e">
        <f>LOG10('Mastercurve bestimmen'!A461)</f>
        <v>#REF!</v>
      </c>
      <c r="B27" s="10" t="e">
        <f>LOG10('Mastercurve bestimmen'!B461)</f>
        <v>#REF!</v>
      </c>
      <c r="C27" s="10" t="e">
        <f>LOG10('Mastercurve bestimmen'!C461)</f>
        <v>#REF!</v>
      </c>
      <c r="D27" s="10" t="e">
        <f>LOG10('Mastercurve bestimmen'!D461)</f>
        <v>#REF!</v>
      </c>
      <c r="E27" s="10" t="e">
        <f>LOG10('Mastercurve bestimmen'!E461)</f>
        <v>#REF!</v>
      </c>
      <c r="F27" s="10" t="e">
        <f>LOG10('Mastercurve bestimmen'!F461)</f>
        <v>#REF!</v>
      </c>
      <c r="G27" s="10" t="e">
        <f>LOG10('Mastercurve bestimmen'!G461)</f>
        <v>#REF!</v>
      </c>
      <c r="H27" s="10" t="e">
        <f>LOG10('Mastercurve bestimmen'!H461)</f>
        <v>#REF!</v>
      </c>
      <c r="I27" s="3" t="e">
        <f>'Mastercurve bestimmen'!I461</f>
        <v>#REF!</v>
      </c>
      <c r="J27" s="3" t="e">
        <f>'Mastercurve bestimmen'!J461</f>
        <v>#REF!</v>
      </c>
      <c r="K27" s="3" t="e">
        <f>'Mastercurve bestimmen'!K461</f>
        <v>#REF!</v>
      </c>
      <c r="L27" s="3" t="e">
        <f>'Mastercurve bestimmen'!L461</f>
        <v>#REF!</v>
      </c>
      <c r="M27" s="3" t="e">
        <f>'Mastercurve bestimmen'!M461</f>
        <v>#REF!</v>
      </c>
      <c r="N27" s="3" t="e">
        <f>'Mastercurve bestimmen'!N461</f>
        <v>#REF!</v>
      </c>
      <c r="O27" s="3" t="e">
        <f>'Mastercurve bestimmen'!O461</f>
        <v>#REF!</v>
      </c>
      <c r="P27" s="3" t="e">
        <f>'Mastercurve bestimmen'!P461</f>
        <v>#REF!</v>
      </c>
    </row>
    <row r="28" spans="1:16" x14ac:dyDescent="0.25">
      <c r="A28" s="10" t="e">
        <f>LOG10('Mastercurve bestimmen'!A462)</f>
        <v>#REF!</v>
      </c>
      <c r="B28" s="10" t="e">
        <f>LOG10('Mastercurve bestimmen'!B462)</f>
        <v>#REF!</v>
      </c>
      <c r="C28" s="10" t="e">
        <f>LOG10('Mastercurve bestimmen'!C462)</f>
        <v>#REF!</v>
      </c>
      <c r="D28" s="10" t="e">
        <f>LOG10('Mastercurve bestimmen'!D462)</f>
        <v>#REF!</v>
      </c>
      <c r="E28" s="10" t="e">
        <f>LOG10('Mastercurve bestimmen'!E462)</f>
        <v>#REF!</v>
      </c>
      <c r="F28" s="10" t="e">
        <f>LOG10('Mastercurve bestimmen'!F462)</f>
        <v>#REF!</v>
      </c>
      <c r="G28" s="10" t="e">
        <f>LOG10('Mastercurve bestimmen'!G462)</f>
        <v>#REF!</v>
      </c>
      <c r="H28" s="10" t="e">
        <f>LOG10('Mastercurve bestimmen'!H462)</f>
        <v>#REF!</v>
      </c>
      <c r="I28" s="3" t="e">
        <f>'Mastercurve bestimmen'!I462</f>
        <v>#REF!</v>
      </c>
      <c r="J28" s="3" t="e">
        <f>'Mastercurve bestimmen'!J462</f>
        <v>#REF!</v>
      </c>
      <c r="K28" s="3" t="e">
        <f>'Mastercurve bestimmen'!K462</f>
        <v>#REF!</v>
      </c>
      <c r="L28" s="3" t="e">
        <f>'Mastercurve bestimmen'!L462</f>
        <v>#REF!</v>
      </c>
      <c r="M28" s="3" t="e">
        <f>'Mastercurve bestimmen'!M462</f>
        <v>#REF!</v>
      </c>
      <c r="N28" s="3" t="e">
        <f>'Mastercurve bestimmen'!N462</f>
        <v>#REF!</v>
      </c>
      <c r="O28" s="3" t="e">
        <f>'Mastercurve bestimmen'!O462</f>
        <v>#REF!</v>
      </c>
      <c r="P28" s="3" t="e">
        <f>'Mastercurve bestimmen'!P462</f>
        <v>#REF!</v>
      </c>
    </row>
    <row r="29" spans="1:16" x14ac:dyDescent="0.25">
      <c r="A29" s="10" t="e">
        <f>LOG10('Mastercurve bestimmen'!A463)</f>
        <v>#REF!</v>
      </c>
      <c r="B29" s="10" t="e">
        <f>LOG10('Mastercurve bestimmen'!B463)</f>
        <v>#REF!</v>
      </c>
      <c r="C29" s="10" t="e">
        <f>LOG10('Mastercurve bestimmen'!C463)</f>
        <v>#REF!</v>
      </c>
      <c r="D29" s="10" t="e">
        <f>LOG10('Mastercurve bestimmen'!D463)</f>
        <v>#REF!</v>
      </c>
      <c r="E29" s="10" t="e">
        <f>LOG10('Mastercurve bestimmen'!E463)</f>
        <v>#REF!</v>
      </c>
      <c r="F29" s="10" t="e">
        <f>LOG10('Mastercurve bestimmen'!F463)</f>
        <v>#REF!</v>
      </c>
      <c r="G29" s="10" t="e">
        <f>LOG10('Mastercurve bestimmen'!G463)</f>
        <v>#REF!</v>
      </c>
      <c r="H29" s="10" t="e">
        <f>LOG10('Mastercurve bestimmen'!H463)</f>
        <v>#REF!</v>
      </c>
      <c r="I29" s="3" t="e">
        <f>'Mastercurve bestimmen'!I463</f>
        <v>#REF!</v>
      </c>
      <c r="J29" s="3" t="e">
        <f>'Mastercurve bestimmen'!J463</f>
        <v>#REF!</v>
      </c>
      <c r="K29" s="3" t="e">
        <f>'Mastercurve bestimmen'!K463</f>
        <v>#REF!</v>
      </c>
      <c r="L29" s="3" t="e">
        <f>'Mastercurve bestimmen'!L463</f>
        <v>#REF!</v>
      </c>
      <c r="M29" s="3" t="e">
        <f>'Mastercurve bestimmen'!M463</f>
        <v>#REF!</v>
      </c>
      <c r="N29" s="3" t="e">
        <f>'Mastercurve bestimmen'!N463</f>
        <v>#REF!</v>
      </c>
      <c r="O29" s="3" t="e">
        <f>'Mastercurve bestimmen'!O463</f>
        <v>#REF!</v>
      </c>
      <c r="P29" s="3" t="e">
        <f>'Mastercurve bestimmen'!P463</f>
        <v>#REF!</v>
      </c>
    </row>
    <row r="30" spans="1:16" x14ac:dyDescent="0.25">
      <c r="A30" s="10" t="e">
        <f>LOG10('Mastercurve bestimmen'!A464)</f>
        <v>#REF!</v>
      </c>
      <c r="B30" s="10" t="e">
        <f>LOG10('Mastercurve bestimmen'!B464)</f>
        <v>#REF!</v>
      </c>
      <c r="C30" s="10" t="e">
        <f>LOG10('Mastercurve bestimmen'!C464)</f>
        <v>#REF!</v>
      </c>
      <c r="D30" s="10" t="e">
        <f>LOG10('Mastercurve bestimmen'!D464)</f>
        <v>#REF!</v>
      </c>
      <c r="E30" s="10" t="e">
        <f>LOG10('Mastercurve bestimmen'!E464)</f>
        <v>#REF!</v>
      </c>
      <c r="F30" s="10" t="e">
        <f>LOG10('Mastercurve bestimmen'!F464)</f>
        <v>#REF!</v>
      </c>
      <c r="G30" s="10" t="e">
        <f>LOG10('Mastercurve bestimmen'!G464)</f>
        <v>#REF!</v>
      </c>
      <c r="H30" s="10" t="e">
        <f>LOG10('Mastercurve bestimmen'!H464)</f>
        <v>#REF!</v>
      </c>
      <c r="I30" s="3" t="e">
        <f>'Mastercurve bestimmen'!I464</f>
        <v>#REF!</v>
      </c>
      <c r="J30" s="3" t="e">
        <f>'Mastercurve bestimmen'!J464</f>
        <v>#REF!</v>
      </c>
      <c r="K30" s="3" t="e">
        <f>'Mastercurve bestimmen'!K464</f>
        <v>#REF!</v>
      </c>
      <c r="L30" s="3" t="e">
        <f>'Mastercurve bestimmen'!L464</f>
        <v>#REF!</v>
      </c>
      <c r="M30" s="3" t="e">
        <f>'Mastercurve bestimmen'!M464</f>
        <v>#REF!</v>
      </c>
      <c r="N30" s="3" t="e">
        <f>'Mastercurve bestimmen'!N464</f>
        <v>#REF!</v>
      </c>
      <c r="O30" s="3" t="e">
        <f>'Mastercurve bestimmen'!O464</f>
        <v>#REF!</v>
      </c>
      <c r="P30" s="3" t="e">
        <f>'Mastercurve bestimmen'!P464</f>
        <v>#REF!</v>
      </c>
    </row>
    <row r="31" spans="1:16" x14ac:dyDescent="0.25">
      <c r="A31" s="10" t="e">
        <f>LOG10('Mastercurve bestimmen'!A465)</f>
        <v>#REF!</v>
      </c>
      <c r="B31" s="10" t="e">
        <f>LOG10('Mastercurve bestimmen'!B465)</f>
        <v>#REF!</v>
      </c>
      <c r="C31" s="10" t="e">
        <f>LOG10('Mastercurve bestimmen'!C465)</f>
        <v>#REF!</v>
      </c>
      <c r="D31" s="10" t="e">
        <f>LOG10('Mastercurve bestimmen'!D465)</f>
        <v>#REF!</v>
      </c>
      <c r="E31" s="10" t="e">
        <f>LOG10('Mastercurve bestimmen'!E465)</f>
        <v>#REF!</v>
      </c>
      <c r="F31" s="10" t="e">
        <f>LOG10('Mastercurve bestimmen'!F465)</f>
        <v>#REF!</v>
      </c>
      <c r="G31" s="10" t="e">
        <f>LOG10('Mastercurve bestimmen'!G465)</f>
        <v>#REF!</v>
      </c>
      <c r="H31" s="10" t="e">
        <f>LOG10('Mastercurve bestimmen'!H465)</f>
        <v>#REF!</v>
      </c>
      <c r="I31" s="3" t="e">
        <f>'Mastercurve bestimmen'!I465</f>
        <v>#REF!</v>
      </c>
      <c r="J31" s="3" t="e">
        <f>'Mastercurve bestimmen'!J465</f>
        <v>#REF!</v>
      </c>
      <c r="K31" s="3" t="e">
        <f>'Mastercurve bestimmen'!K465</f>
        <v>#REF!</v>
      </c>
      <c r="L31" s="3" t="e">
        <f>'Mastercurve bestimmen'!L465</f>
        <v>#REF!</v>
      </c>
      <c r="M31" s="3" t="e">
        <f>'Mastercurve bestimmen'!M465</f>
        <v>#REF!</v>
      </c>
      <c r="N31" s="3" t="e">
        <f>'Mastercurve bestimmen'!N465</f>
        <v>#REF!</v>
      </c>
      <c r="O31" s="3" t="e">
        <f>'Mastercurve bestimmen'!O465</f>
        <v>#REF!</v>
      </c>
      <c r="P31" s="3" t="e">
        <f>'Mastercurve bestimmen'!P465</f>
        <v>#REF!</v>
      </c>
    </row>
    <row r="32" spans="1:16" x14ac:dyDescent="0.25">
      <c r="A32" s="10" t="e">
        <f>LOG10('Mastercurve bestimmen'!A466)</f>
        <v>#REF!</v>
      </c>
      <c r="B32" s="10" t="e">
        <f>LOG10('Mastercurve bestimmen'!B466)</f>
        <v>#REF!</v>
      </c>
      <c r="C32" s="10" t="e">
        <f>LOG10('Mastercurve bestimmen'!C466)</f>
        <v>#REF!</v>
      </c>
      <c r="D32" s="10" t="e">
        <f>LOG10('Mastercurve bestimmen'!D466)</f>
        <v>#REF!</v>
      </c>
      <c r="E32" s="10" t="e">
        <f>LOG10('Mastercurve bestimmen'!E466)</f>
        <v>#REF!</v>
      </c>
      <c r="F32" s="10" t="e">
        <f>LOG10('Mastercurve bestimmen'!F466)</f>
        <v>#REF!</v>
      </c>
      <c r="G32" s="10" t="e">
        <f>LOG10('Mastercurve bestimmen'!G466)</f>
        <v>#REF!</v>
      </c>
      <c r="H32" s="10" t="e">
        <f>LOG10('Mastercurve bestimmen'!H466)</f>
        <v>#REF!</v>
      </c>
      <c r="I32" s="3" t="e">
        <f>'Mastercurve bestimmen'!I466</f>
        <v>#REF!</v>
      </c>
      <c r="J32" s="3" t="e">
        <f>'Mastercurve bestimmen'!J466</f>
        <v>#REF!</v>
      </c>
      <c r="K32" s="3" t="e">
        <f>'Mastercurve bestimmen'!K466</f>
        <v>#REF!</v>
      </c>
      <c r="L32" s="3" t="e">
        <f>'Mastercurve bestimmen'!L466</f>
        <v>#REF!</v>
      </c>
      <c r="M32" s="3" t="e">
        <f>'Mastercurve bestimmen'!M466</f>
        <v>#REF!</v>
      </c>
      <c r="N32" s="3" t="e">
        <f>'Mastercurve bestimmen'!N466</f>
        <v>#REF!</v>
      </c>
      <c r="O32" s="3" t="e">
        <f>'Mastercurve bestimmen'!O466</f>
        <v>#REF!</v>
      </c>
      <c r="P32" s="3" t="e">
        <f>'Mastercurve bestimmen'!P466</f>
        <v>#REF!</v>
      </c>
    </row>
    <row r="33" spans="1:16" x14ac:dyDescent="0.25">
      <c r="A33" s="10" t="e">
        <f>LOG10('Mastercurve bestimmen'!A467)</f>
        <v>#REF!</v>
      </c>
      <c r="B33" s="10" t="e">
        <f>LOG10('Mastercurve bestimmen'!B467)</f>
        <v>#REF!</v>
      </c>
      <c r="C33" s="10" t="e">
        <f>LOG10('Mastercurve bestimmen'!C467)</f>
        <v>#REF!</v>
      </c>
      <c r="D33" s="10" t="e">
        <f>LOG10('Mastercurve bestimmen'!D467)</f>
        <v>#REF!</v>
      </c>
      <c r="E33" s="10" t="e">
        <f>LOG10('Mastercurve bestimmen'!E467)</f>
        <v>#REF!</v>
      </c>
      <c r="F33" s="10" t="e">
        <f>LOG10('Mastercurve bestimmen'!F467)</f>
        <v>#REF!</v>
      </c>
      <c r="G33" s="10" t="e">
        <f>LOG10('Mastercurve bestimmen'!G467)</f>
        <v>#REF!</v>
      </c>
      <c r="H33" s="10" t="e">
        <f>LOG10('Mastercurve bestimmen'!H467)</f>
        <v>#REF!</v>
      </c>
      <c r="I33" s="3" t="e">
        <f>'Mastercurve bestimmen'!I467</f>
        <v>#REF!</v>
      </c>
      <c r="J33" s="3" t="e">
        <f>'Mastercurve bestimmen'!J467</f>
        <v>#REF!</v>
      </c>
      <c r="K33" s="3" t="e">
        <f>'Mastercurve bestimmen'!K467</f>
        <v>#REF!</v>
      </c>
      <c r="L33" s="3" t="e">
        <f>'Mastercurve bestimmen'!L467</f>
        <v>#REF!</v>
      </c>
      <c r="M33" s="3" t="e">
        <f>'Mastercurve bestimmen'!M467</f>
        <v>#REF!</v>
      </c>
      <c r="N33" s="3" t="e">
        <f>'Mastercurve bestimmen'!N467</f>
        <v>#REF!</v>
      </c>
      <c r="O33" s="3" t="e">
        <f>'Mastercurve bestimmen'!O467</f>
        <v>#REF!</v>
      </c>
      <c r="P33" s="3" t="e">
        <f>'Mastercurve bestimmen'!P467</f>
        <v>#REF!</v>
      </c>
    </row>
    <row r="34" spans="1:16" x14ac:dyDescent="0.25">
      <c r="A34" s="10" t="e">
        <f>LOG10('Mastercurve bestimmen'!A468)</f>
        <v>#REF!</v>
      </c>
      <c r="B34" s="10" t="e">
        <f>LOG10('Mastercurve bestimmen'!B468)</f>
        <v>#REF!</v>
      </c>
      <c r="C34" s="10" t="e">
        <f>LOG10('Mastercurve bestimmen'!C468)</f>
        <v>#REF!</v>
      </c>
      <c r="D34" s="10" t="e">
        <f>LOG10('Mastercurve bestimmen'!D468)</f>
        <v>#REF!</v>
      </c>
      <c r="E34" s="10" t="e">
        <f>LOG10('Mastercurve bestimmen'!E468)</f>
        <v>#REF!</v>
      </c>
      <c r="F34" s="10" t="e">
        <f>LOG10('Mastercurve bestimmen'!F468)</f>
        <v>#REF!</v>
      </c>
      <c r="G34" s="10" t="e">
        <f>LOG10('Mastercurve bestimmen'!G468)</f>
        <v>#REF!</v>
      </c>
      <c r="H34" s="10" t="e">
        <f>LOG10('Mastercurve bestimmen'!H468)</f>
        <v>#REF!</v>
      </c>
      <c r="I34" s="3" t="e">
        <f>'Mastercurve bestimmen'!I468</f>
        <v>#REF!</v>
      </c>
      <c r="J34" s="3" t="e">
        <f>'Mastercurve bestimmen'!J468</f>
        <v>#REF!</v>
      </c>
      <c r="K34" s="3" t="e">
        <f>'Mastercurve bestimmen'!K468</f>
        <v>#REF!</v>
      </c>
      <c r="L34" s="3" t="e">
        <f>'Mastercurve bestimmen'!L468</f>
        <v>#REF!</v>
      </c>
      <c r="M34" s="3" t="e">
        <f>'Mastercurve bestimmen'!M468</f>
        <v>#REF!</v>
      </c>
      <c r="N34" s="3" t="e">
        <f>'Mastercurve bestimmen'!N468</f>
        <v>#REF!</v>
      </c>
      <c r="O34" s="3" t="e">
        <f>'Mastercurve bestimmen'!O468</f>
        <v>#REF!</v>
      </c>
      <c r="P34" s="3" t="e">
        <f>'Mastercurve bestimmen'!P468</f>
        <v>#REF!</v>
      </c>
    </row>
    <row r="35" spans="1:16" x14ac:dyDescent="0.25">
      <c r="A35" s="3"/>
      <c r="B35" s="3"/>
      <c r="C35" s="3"/>
      <c r="D35" s="3"/>
      <c r="E35" s="3"/>
      <c r="F35" s="3"/>
      <c r="G35" s="3"/>
      <c r="H35" s="3"/>
      <c r="I35" s="3"/>
      <c r="J35" s="3"/>
      <c r="K35" s="3"/>
      <c r="L35" s="3"/>
      <c r="M35" s="3"/>
      <c r="N35" s="3"/>
      <c r="O35" s="3"/>
      <c r="P35" s="3"/>
    </row>
    <row r="36" spans="1:16" x14ac:dyDescent="0.25">
      <c r="A36" s="3" t="s">
        <v>165</v>
      </c>
      <c r="B36" s="3"/>
      <c r="C36" s="3"/>
      <c r="D36" s="3"/>
      <c r="E36" s="3"/>
      <c r="F36" s="3"/>
      <c r="G36" s="3"/>
      <c r="H36" s="3"/>
      <c r="I36" s="3"/>
      <c r="J36" s="3"/>
      <c r="K36" s="3"/>
      <c r="L36" s="3"/>
      <c r="M36" s="3"/>
      <c r="N36" s="3"/>
      <c r="O36" s="3"/>
      <c r="P36" s="3"/>
    </row>
    <row r="37" spans="1:16" x14ac:dyDescent="0.25">
      <c r="A37" s="119">
        <f>-15</f>
        <v>-15</v>
      </c>
      <c r="B37" s="3">
        <v>5601.8925069571324</v>
      </c>
      <c r="C37" s="3">
        <v>4849.0183151997016</v>
      </c>
      <c r="D37" s="3">
        <v>3650.944801897288</v>
      </c>
      <c r="E37" s="3">
        <v>3252.3994743162075</v>
      </c>
      <c r="F37" s="3">
        <v>2740.008300322364</v>
      </c>
      <c r="G37" s="3">
        <v>2175.40034172183</v>
      </c>
      <c r="H37" s="3">
        <v>392.11692573143432</v>
      </c>
      <c r="I37" s="3"/>
      <c r="J37" s="3"/>
      <c r="K37" s="3"/>
      <c r="L37" s="3"/>
      <c r="M37" s="3"/>
      <c r="N37" s="3"/>
      <c r="O37" s="3"/>
      <c r="P37" s="3"/>
    </row>
    <row r="38" spans="1:16" x14ac:dyDescent="0.25">
      <c r="A38" s="120">
        <f>A37+1</f>
        <v>-14</v>
      </c>
      <c r="B38" s="3">
        <v>5485.8790565962363</v>
      </c>
      <c r="C38" s="3">
        <v>4849.0183151997016</v>
      </c>
      <c r="D38" s="3">
        <v>3650.944801897288</v>
      </c>
      <c r="E38" s="3">
        <v>3252.3994743162075</v>
      </c>
      <c r="F38" s="3">
        <v>2740.008300322364</v>
      </c>
      <c r="G38" s="3">
        <v>2175.40034172183</v>
      </c>
      <c r="H38" s="3">
        <v>392.11692573143432</v>
      </c>
      <c r="I38" s="3"/>
      <c r="J38" s="3"/>
      <c r="K38" s="3"/>
      <c r="L38" s="3"/>
      <c r="M38" s="3"/>
      <c r="N38" s="3"/>
      <c r="O38" s="3"/>
      <c r="P38" s="3"/>
    </row>
    <row r="39" spans="1:16" x14ac:dyDescent="0.25">
      <c r="A39" s="120">
        <f t="shared" ref="A39:A67" si="0">A38+1</f>
        <v>-13</v>
      </c>
      <c r="B39" s="3">
        <v>5333.8371344694751</v>
      </c>
      <c r="C39" s="3">
        <v>4849.0183151997016</v>
      </c>
      <c r="D39" s="3">
        <v>3650.944801897288</v>
      </c>
      <c r="E39" s="3">
        <v>3252.3994743162075</v>
      </c>
      <c r="F39" s="3">
        <v>2740.008300322364</v>
      </c>
      <c r="G39" s="3">
        <v>2175.40034172183</v>
      </c>
      <c r="H39" s="3">
        <v>392.11692573143432</v>
      </c>
      <c r="I39" s="3"/>
      <c r="J39" s="3"/>
      <c r="K39" s="3"/>
      <c r="L39" s="3"/>
      <c r="M39" s="3"/>
      <c r="N39" s="3"/>
      <c r="O39" s="3"/>
      <c r="P39" s="3"/>
    </row>
    <row r="40" spans="1:16" x14ac:dyDescent="0.25">
      <c r="A40" s="120">
        <f t="shared" si="0"/>
        <v>-12</v>
      </c>
      <c r="B40" s="3">
        <v>5228.4765423863282</v>
      </c>
      <c r="C40" s="3">
        <v>5182.2562418226044</v>
      </c>
      <c r="D40" s="3">
        <v>3650.944801897288</v>
      </c>
      <c r="E40" s="3">
        <v>3252.3994743162075</v>
      </c>
      <c r="F40" s="3">
        <v>2740.008300322364</v>
      </c>
      <c r="G40" s="3">
        <v>2175.40034172183</v>
      </c>
      <c r="H40" s="3">
        <v>392.11692573143432</v>
      </c>
      <c r="I40" s="3"/>
      <c r="J40" s="3"/>
      <c r="K40" s="3"/>
      <c r="L40" s="3"/>
      <c r="M40" s="3"/>
      <c r="N40" s="3"/>
      <c r="O40" s="3"/>
      <c r="P40" s="3"/>
    </row>
    <row r="41" spans="1:16" x14ac:dyDescent="0.25">
      <c r="A41" s="120">
        <f t="shared" si="0"/>
        <v>-11</v>
      </c>
      <c r="B41" s="3">
        <v>5113.7383408755868</v>
      </c>
      <c r="C41" s="3">
        <v>5057.129024968378</v>
      </c>
      <c r="D41" s="3">
        <v>3650.944801897288</v>
      </c>
      <c r="E41" s="3">
        <v>3252.3994743162075</v>
      </c>
      <c r="F41" s="3">
        <v>2740.008300322364</v>
      </c>
      <c r="G41" s="3">
        <v>2175.40034172183</v>
      </c>
      <c r="H41" s="3">
        <v>392.11692573143432</v>
      </c>
      <c r="I41" s="3"/>
      <c r="J41" s="3"/>
      <c r="K41" s="3"/>
      <c r="L41" s="3"/>
      <c r="M41" s="3"/>
      <c r="N41" s="3"/>
      <c r="O41" s="3"/>
      <c r="P41" s="3"/>
    </row>
    <row r="42" spans="1:16" x14ac:dyDescent="0.25">
      <c r="A42" s="120">
        <f t="shared" si="0"/>
        <v>-10</v>
      </c>
      <c r="B42" s="3">
        <v>4989.4007755450184</v>
      </c>
      <c r="C42" s="3">
        <v>4925.3875078056353</v>
      </c>
      <c r="D42" s="3">
        <v>4902.5275624334008</v>
      </c>
      <c r="E42" s="3">
        <v>3252.3994743162075</v>
      </c>
      <c r="F42" s="3">
        <v>2740.008300322364</v>
      </c>
      <c r="G42" s="3">
        <v>2175.40034172183</v>
      </c>
      <c r="H42" s="3">
        <v>392.11692573143432</v>
      </c>
      <c r="I42" s="3"/>
      <c r="J42" s="3"/>
      <c r="K42" s="3"/>
      <c r="L42" s="3"/>
      <c r="M42" s="3"/>
      <c r="N42" s="3"/>
      <c r="O42" s="3"/>
      <c r="P42" s="3"/>
    </row>
    <row r="43" spans="1:16" x14ac:dyDescent="0.25">
      <c r="A43" s="120">
        <f t="shared" si="0"/>
        <v>-9</v>
      </c>
      <c r="B43" s="3">
        <v>4849.0183151997016</v>
      </c>
      <c r="C43" s="3">
        <v>4785.3579110479695</v>
      </c>
      <c r="D43" s="3">
        <v>4760.8271474680751</v>
      </c>
      <c r="E43" s="3">
        <v>3252.3994743162075</v>
      </c>
      <c r="F43" s="3">
        <v>2740.008300322364</v>
      </c>
      <c r="G43" s="3">
        <v>2175.40034172183</v>
      </c>
      <c r="H43" s="3">
        <v>392.11692573143432</v>
      </c>
      <c r="I43" s="3"/>
      <c r="J43" s="3"/>
      <c r="K43" s="3"/>
      <c r="L43" s="3"/>
      <c r="M43" s="3"/>
      <c r="N43" s="3"/>
      <c r="O43" s="3"/>
      <c r="P43" s="3"/>
    </row>
    <row r="44" spans="1:16" x14ac:dyDescent="0.25">
      <c r="A44" s="120">
        <f t="shared" si="0"/>
        <v>-8</v>
      </c>
      <c r="B44" s="3">
        <v>4849.0183151997016</v>
      </c>
      <c r="C44" s="3">
        <v>4630.8177653696994</v>
      </c>
      <c r="D44" s="3">
        <v>4593.4789786421388</v>
      </c>
      <c r="E44" s="3">
        <v>3252.3994743162075</v>
      </c>
      <c r="F44" s="3">
        <v>2740.008300322364</v>
      </c>
      <c r="G44" s="3">
        <v>2175.40034172183</v>
      </c>
      <c r="H44" s="3">
        <v>392.11692573143432</v>
      </c>
      <c r="I44" s="3"/>
      <c r="J44" s="3"/>
      <c r="K44" s="3"/>
      <c r="L44" s="3"/>
      <c r="M44" s="3"/>
      <c r="N44" s="3"/>
      <c r="O44" s="3"/>
      <c r="P44" s="3"/>
    </row>
    <row r="45" spans="1:16" x14ac:dyDescent="0.25">
      <c r="A45" s="120">
        <f t="shared" si="0"/>
        <v>-7</v>
      </c>
      <c r="B45" s="3">
        <v>4849.0183151997016</v>
      </c>
      <c r="C45" s="3">
        <v>4470.7649900528859</v>
      </c>
      <c r="D45" s="3">
        <v>4436.860371622688</v>
      </c>
      <c r="E45" s="3">
        <v>4437.0303633717413</v>
      </c>
      <c r="F45" s="3">
        <v>2740.008300322364</v>
      </c>
      <c r="G45" s="3">
        <v>2175.40034172183</v>
      </c>
      <c r="H45" s="3">
        <v>392.11692573143432</v>
      </c>
      <c r="I45" s="3"/>
      <c r="J45" s="3"/>
      <c r="K45" s="3"/>
      <c r="L45" s="3"/>
      <c r="M45" s="3"/>
      <c r="N45" s="3"/>
      <c r="O45" s="3"/>
      <c r="P45" s="3"/>
    </row>
    <row r="46" spans="1:16" x14ac:dyDescent="0.25">
      <c r="A46" s="120">
        <f t="shared" si="0"/>
        <v>-6</v>
      </c>
      <c r="B46" s="3">
        <v>4849.0183151997016</v>
      </c>
      <c r="C46" s="3">
        <v>4315.7262910230784</v>
      </c>
      <c r="D46" s="3">
        <v>4283.8658354426489</v>
      </c>
      <c r="E46" s="3">
        <v>4280.974567667783</v>
      </c>
      <c r="F46" s="3">
        <v>2740.008300322364</v>
      </c>
      <c r="G46" s="3">
        <v>2175.40034172183</v>
      </c>
      <c r="H46" s="3">
        <v>392.11692573143432</v>
      </c>
      <c r="I46" s="3"/>
      <c r="J46" s="3"/>
      <c r="K46" s="3"/>
      <c r="L46" s="3"/>
      <c r="M46" s="3"/>
      <c r="N46" s="3"/>
      <c r="O46" s="3"/>
      <c r="P46" s="3"/>
    </row>
    <row r="47" spans="1:16" x14ac:dyDescent="0.25">
      <c r="A47" s="120">
        <f t="shared" si="0"/>
        <v>-5</v>
      </c>
      <c r="B47" s="3">
        <v>4849.0183151997016</v>
      </c>
      <c r="C47" s="3">
        <v>4146.9816244187004</v>
      </c>
      <c r="D47" s="3">
        <v>4120.6540489805011</v>
      </c>
      <c r="E47" s="3">
        <v>4115.3577979907341</v>
      </c>
      <c r="F47" s="3">
        <v>4088.6897076558816</v>
      </c>
      <c r="G47" s="3">
        <v>2175.40034172183</v>
      </c>
      <c r="H47" s="3">
        <v>392.11692573143432</v>
      </c>
      <c r="I47" s="3"/>
      <c r="J47" s="3"/>
      <c r="K47" s="3"/>
      <c r="L47" s="3"/>
      <c r="M47" s="3"/>
      <c r="N47" s="3"/>
      <c r="O47" s="3"/>
      <c r="P47" s="3"/>
    </row>
    <row r="48" spans="1:16" x14ac:dyDescent="0.25">
      <c r="A48" s="120">
        <f t="shared" si="0"/>
        <v>-4</v>
      </c>
      <c r="B48" s="3">
        <v>4849.0183151997016</v>
      </c>
      <c r="C48" s="3">
        <v>3918.4365956805696</v>
      </c>
      <c r="D48" s="3">
        <v>3918.6392966486264</v>
      </c>
      <c r="E48" s="3">
        <v>3917.039410567229</v>
      </c>
      <c r="F48" s="3">
        <v>3886.5453020717396</v>
      </c>
      <c r="G48" s="3">
        <v>2175.40034172183</v>
      </c>
      <c r="H48" s="3">
        <v>392.11692573143432</v>
      </c>
      <c r="I48" s="3"/>
      <c r="J48" s="3"/>
      <c r="K48" s="3"/>
      <c r="L48" s="3"/>
      <c r="M48" s="3"/>
      <c r="N48" s="3"/>
      <c r="O48" s="3"/>
      <c r="P48" s="3"/>
    </row>
    <row r="49" spans="1:16" x14ac:dyDescent="0.25">
      <c r="A49" s="120">
        <f t="shared" si="0"/>
        <v>-3</v>
      </c>
      <c r="B49" s="3">
        <v>4849.0183151997016</v>
      </c>
      <c r="C49" s="3">
        <v>3650.944801897288</v>
      </c>
      <c r="D49" s="3">
        <v>3688.2262111815749</v>
      </c>
      <c r="E49" s="3">
        <v>3701.6797868899298</v>
      </c>
      <c r="F49" s="3">
        <v>3674.0476464355193</v>
      </c>
      <c r="G49" s="3">
        <v>2175.40034172183</v>
      </c>
      <c r="H49" s="3">
        <v>392.11692573143432</v>
      </c>
      <c r="I49" s="3"/>
      <c r="J49" s="3"/>
      <c r="K49" s="3"/>
      <c r="L49" s="3"/>
      <c r="M49" s="3"/>
      <c r="N49" s="3"/>
      <c r="O49" s="3"/>
      <c r="P49" s="3"/>
    </row>
    <row r="50" spans="1:16" x14ac:dyDescent="0.25">
      <c r="A50" s="120">
        <f t="shared" si="0"/>
        <v>-2</v>
      </c>
      <c r="B50" s="3">
        <v>4849.0183151997016</v>
      </c>
      <c r="C50" s="3">
        <v>3650.944801897288</v>
      </c>
      <c r="D50" s="3">
        <v>3460.6092530683427</v>
      </c>
      <c r="E50" s="3">
        <v>3506.9228931370944</v>
      </c>
      <c r="F50" s="3">
        <v>3490.4964950029853</v>
      </c>
      <c r="G50" s="3">
        <v>2175.40034172183</v>
      </c>
      <c r="H50" s="3">
        <v>392.11692573143432</v>
      </c>
      <c r="I50" s="3"/>
      <c r="J50" s="3"/>
      <c r="K50" s="3"/>
      <c r="L50" s="3"/>
      <c r="M50" s="3"/>
      <c r="N50" s="3"/>
      <c r="O50" s="3"/>
      <c r="P50" s="3"/>
    </row>
    <row r="51" spans="1:16" x14ac:dyDescent="0.25">
      <c r="A51" s="120">
        <f t="shared" si="0"/>
        <v>-1</v>
      </c>
      <c r="B51" s="3">
        <v>4849.0183151997016</v>
      </c>
      <c r="C51" s="3">
        <v>3650.944801897288</v>
      </c>
      <c r="D51" s="3">
        <v>3252.3994743162075</v>
      </c>
      <c r="E51" s="3">
        <v>3319.6058151482252</v>
      </c>
      <c r="F51" s="3">
        <v>3328.6476119407066</v>
      </c>
      <c r="G51" s="3">
        <v>2175.40034172183</v>
      </c>
      <c r="H51" s="3">
        <v>392.11692573143432</v>
      </c>
      <c r="I51" s="3"/>
      <c r="J51" s="3"/>
      <c r="K51" s="3"/>
      <c r="L51" s="3"/>
      <c r="M51" s="3"/>
      <c r="N51" s="3"/>
      <c r="O51" s="3"/>
      <c r="P51" s="3"/>
    </row>
    <row r="52" spans="1:16" x14ac:dyDescent="0.25">
      <c r="A52" s="120">
        <f t="shared" si="0"/>
        <v>0</v>
      </c>
      <c r="B52" s="3">
        <v>4849.0183151997016</v>
      </c>
      <c r="C52" s="3">
        <v>3650.944801897288</v>
      </c>
      <c r="D52" s="3">
        <v>3252.3994743162075</v>
      </c>
      <c r="E52" s="3">
        <v>3115.8478073469728</v>
      </c>
      <c r="F52" s="3">
        <v>3162.6549081928265</v>
      </c>
      <c r="G52" s="3">
        <v>2175.40034172183</v>
      </c>
      <c r="H52" s="3">
        <v>392.11692573143432</v>
      </c>
      <c r="I52" s="3"/>
      <c r="J52" s="3"/>
      <c r="K52" s="3"/>
      <c r="L52" s="3"/>
      <c r="M52" s="3"/>
      <c r="N52" s="3"/>
      <c r="O52" s="3"/>
      <c r="P52" s="3"/>
    </row>
    <row r="53" spans="1:16" x14ac:dyDescent="0.25">
      <c r="A53" s="120">
        <f t="shared" si="0"/>
        <v>1</v>
      </c>
      <c r="B53" s="3">
        <v>4849.0183151997016</v>
      </c>
      <c r="C53" s="3">
        <v>3650.944801897288</v>
      </c>
      <c r="D53" s="3">
        <v>3252.3994743162075</v>
      </c>
      <c r="E53" s="3">
        <v>2922.6767609083195</v>
      </c>
      <c r="F53" s="3">
        <v>2989.0593935666489</v>
      </c>
      <c r="G53" s="3">
        <v>2175.40034172183</v>
      </c>
      <c r="H53" s="3">
        <v>392.11692573143432</v>
      </c>
      <c r="I53" s="3"/>
      <c r="J53" s="3"/>
      <c r="K53" s="3"/>
      <c r="L53" s="3"/>
      <c r="M53" s="3"/>
      <c r="N53" s="3"/>
      <c r="O53" s="3"/>
      <c r="P53" s="3"/>
    </row>
    <row r="54" spans="1:16" x14ac:dyDescent="0.25">
      <c r="A54" s="120">
        <f t="shared" si="0"/>
        <v>2</v>
      </c>
      <c r="B54" s="3">
        <v>4849.0183151997016</v>
      </c>
      <c r="C54" s="3">
        <v>3650.944801897288</v>
      </c>
      <c r="D54" s="3">
        <v>3252.3994743162075</v>
      </c>
      <c r="E54" s="3">
        <v>2740.008300322364</v>
      </c>
      <c r="F54" s="3">
        <v>2798.1852090008501</v>
      </c>
      <c r="G54" s="3">
        <v>2175.40034172183</v>
      </c>
      <c r="H54" s="3">
        <v>392.11692573143432</v>
      </c>
      <c r="I54" s="3"/>
      <c r="J54" s="3"/>
      <c r="K54" s="3"/>
      <c r="L54" s="3"/>
      <c r="M54" s="3"/>
      <c r="N54" s="3"/>
      <c r="O54" s="3"/>
      <c r="P54" s="3"/>
    </row>
    <row r="55" spans="1:16" x14ac:dyDescent="0.25">
      <c r="A55" s="120">
        <f t="shared" si="0"/>
        <v>3</v>
      </c>
      <c r="B55" s="3">
        <v>4849.0183151997016</v>
      </c>
      <c r="C55" s="3">
        <v>3650.944801897288</v>
      </c>
      <c r="D55" s="3">
        <v>3252.3994743162075</v>
      </c>
      <c r="E55" s="3">
        <v>2740.008300322364</v>
      </c>
      <c r="F55" s="3">
        <v>2599.5030730508342</v>
      </c>
      <c r="G55" s="3">
        <v>2661.1384537479526</v>
      </c>
      <c r="H55" s="3">
        <v>392.11692573143432</v>
      </c>
      <c r="I55" s="3"/>
      <c r="J55" s="3"/>
      <c r="K55" s="3"/>
      <c r="L55" s="3"/>
      <c r="M55" s="3"/>
      <c r="N55" s="3"/>
      <c r="O55" s="3"/>
      <c r="P55" s="3"/>
    </row>
    <row r="56" spans="1:16" x14ac:dyDescent="0.25">
      <c r="A56" s="120">
        <f t="shared" si="0"/>
        <v>4</v>
      </c>
      <c r="B56" s="3">
        <v>4849.0183151997016</v>
      </c>
      <c r="C56" s="3">
        <v>3650.944801897288</v>
      </c>
      <c r="D56" s="3">
        <v>3252.3994743162075</v>
      </c>
      <c r="E56" s="3">
        <v>2740.008300322364</v>
      </c>
      <c r="F56" s="3">
        <v>2390.0680354035449</v>
      </c>
      <c r="G56" s="3">
        <v>2465.8327548183115</v>
      </c>
      <c r="H56" s="3">
        <v>392.11692573143432</v>
      </c>
      <c r="I56" s="3"/>
      <c r="J56" s="3"/>
      <c r="K56" s="3"/>
      <c r="L56" s="3"/>
      <c r="M56" s="3"/>
      <c r="N56" s="3"/>
      <c r="O56" s="3"/>
      <c r="P56" s="3"/>
    </row>
    <row r="57" spans="1:16" x14ac:dyDescent="0.25">
      <c r="A57" s="120">
        <f t="shared" si="0"/>
        <v>5</v>
      </c>
      <c r="B57" s="3">
        <v>4849.0183151997016</v>
      </c>
      <c r="C57" s="3">
        <v>3650.944801897288</v>
      </c>
      <c r="D57" s="3">
        <v>3252.3994743162075</v>
      </c>
      <c r="E57" s="3">
        <v>2740.008300322364</v>
      </c>
      <c r="F57" s="3">
        <v>2175.40034172183</v>
      </c>
      <c r="G57" s="3">
        <v>2251.7856368823232</v>
      </c>
      <c r="H57" s="3">
        <v>392.11692573143432</v>
      </c>
      <c r="I57" s="3"/>
      <c r="J57" s="3"/>
      <c r="K57" s="3"/>
      <c r="L57" s="3"/>
      <c r="M57" s="3"/>
      <c r="N57" s="3"/>
      <c r="O57" s="3"/>
      <c r="P57" s="3"/>
    </row>
    <row r="58" spans="1:16" x14ac:dyDescent="0.25">
      <c r="A58" s="120">
        <f t="shared" si="0"/>
        <v>6</v>
      </c>
      <c r="B58" s="3">
        <v>4849.0183151997016</v>
      </c>
      <c r="C58" s="3">
        <v>3650.944801897288</v>
      </c>
      <c r="D58" s="3">
        <v>3252.3994743162075</v>
      </c>
      <c r="E58" s="3">
        <v>2740.008300322364</v>
      </c>
      <c r="F58" s="3">
        <v>2175.40034172183</v>
      </c>
      <c r="G58" s="3">
        <v>2012.5911993145396</v>
      </c>
      <c r="H58" s="3">
        <v>392.11692573143432</v>
      </c>
      <c r="I58" s="3"/>
      <c r="J58" s="3"/>
      <c r="K58" s="3"/>
      <c r="L58" s="3"/>
      <c r="M58" s="3"/>
      <c r="N58" s="3"/>
      <c r="O58" s="3"/>
      <c r="P58" s="3"/>
    </row>
    <row r="59" spans="1:16" x14ac:dyDescent="0.25">
      <c r="A59" s="120">
        <f t="shared" si="0"/>
        <v>7</v>
      </c>
      <c r="B59" s="3">
        <v>4849.0183151997016</v>
      </c>
      <c r="C59" s="3">
        <v>3650.944801897288</v>
      </c>
      <c r="D59" s="3">
        <v>3252.3994743162075</v>
      </c>
      <c r="E59" s="3">
        <v>2740.008300322364</v>
      </c>
      <c r="F59" s="3">
        <v>2175.40034172183</v>
      </c>
      <c r="G59" s="3">
        <v>1730.2986832896065</v>
      </c>
      <c r="H59" s="3">
        <v>392.11692573143432</v>
      </c>
      <c r="I59" s="3"/>
      <c r="J59" s="3"/>
      <c r="K59" s="3"/>
      <c r="L59" s="3"/>
      <c r="M59" s="3"/>
      <c r="N59" s="3"/>
      <c r="O59" s="3"/>
      <c r="P59" s="3"/>
    </row>
    <row r="60" spans="1:16" x14ac:dyDescent="0.25">
      <c r="A60" s="120">
        <f t="shared" si="0"/>
        <v>8</v>
      </c>
      <c r="B60" s="3">
        <v>4849.0183151997016</v>
      </c>
      <c r="C60" s="3">
        <v>3650.944801897288</v>
      </c>
      <c r="D60" s="3">
        <v>3252.3994743162075</v>
      </c>
      <c r="E60" s="3">
        <v>2740.008300322364</v>
      </c>
      <c r="F60" s="3">
        <v>2175.40034172183</v>
      </c>
      <c r="G60" s="3">
        <v>1407.7220108273536</v>
      </c>
      <c r="H60" s="3">
        <v>392.11692573143432</v>
      </c>
      <c r="I60" s="3"/>
      <c r="J60" s="3"/>
      <c r="K60" s="3"/>
      <c r="L60" s="3"/>
      <c r="M60" s="3"/>
      <c r="N60" s="3"/>
      <c r="O60" s="3"/>
      <c r="P60" s="3"/>
    </row>
    <row r="61" spans="1:16" x14ac:dyDescent="0.25">
      <c r="A61" s="120">
        <f t="shared" si="0"/>
        <v>9</v>
      </c>
      <c r="B61" s="3">
        <v>4849.0183151997016</v>
      </c>
      <c r="C61" s="3">
        <v>3650.944801897288</v>
      </c>
      <c r="D61" s="3">
        <v>3252.3994743162075</v>
      </c>
      <c r="E61" s="3">
        <v>2740.008300322364</v>
      </c>
      <c r="F61" s="3">
        <v>2175.40034172183</v>
      </c>
      <c r="G61" s="3">
        <v>1069.5043656874418</v>
      </c>
      <c r="H61" s="3">
        <v>1090.0813534777994</v>
      </c>
      <c r="I61" s="3"/>
      <c r="J61" s="3"/>
      <c r="K61" s="3"/>
      <c r="L61" s="3"/>
      <c r="M61" s="3"/>
      <c r="N61" s="3"/>
      <c r="O61" s="3"/>
      <c r="P61" s="3"/>
    </row>
    <row r="62" spans="1:16" x14ac:dyDescent="0.25">
      <c r="A62" s="120">
        <f t="shared" si="0"/>
        <v>10</v>
      </c>
      <c r="B62" s="3">
        <v>4849.0183151997016</v>
      </c>
      <c r="C62" s="3">
        <v>3650.944801897288</v>
      </c>
      <c r="D62" s="3">
        <v>3252.3994743162075</v>
      </c>
      <c r="E62" s="3">
        <v>2740.008300322364</v>
      </c>
      <c r="F62" s="3">
        <v>2175.40034172183</v>
      </c>
      <c r="G62" s="3">
        <v>763.43610565152335</v>
      </c>
      <c r="H62" s="3">
        <v>767.57451671669673</v>
      </c>
      <c r="I62" s="3"/>
      <c r="J62" s="3"/>
      <c r="K62" s="3"/>
      <c r="L62" s="3"/>
      <c r="M62" s="3"/>
      <c r="N62" s="3"/>
      <c r="O62" s="3"/>
      <c r="P62" s="3"/>
    </row>
    <row r="63" spans="1:16" x14ac:dyDescent="0.25">
      <c r="A63" s="120">
        <f t="shared" si="0"/>
        <v>11</v>
      </c>
      <c r="B63" s="3">
        <v>4849.0183151997016</v>
      </c>
      <c r="C63" s="3">
        <v>3650.944801897288</v>
      </c>
      <c r="D63" s="3">
        <v>3252.3994743162075</v>
      </c>
      <c r="E63" s="3">
        <v>2740.008300322364</v>
      </c>
      <c r="F63" s="3">
        <v>2175.40034172183</v>
      </c>
      <c r="G63" s="3">
        <v>532.50159138634126</v>
      </c>
      <c r="H63" s="3">
        <v>521.76577771855091</v>
      </c>
      <c r="I63" s="3"/>
      <c r="J63" s="3"/>
      <c r="K63" s="3"/>
      <c r="L63" s="3"/>
      <c r="M63" s="3"/>
      <c r="N63" s="3"/>
      <c r="O63" s="3"/>
      <c r="P63" s="3"/>
    </row>
    <row r="64" spans="1:16" x14ac:dyDescent="0.25">
      <c r="A64" s="120">
        <f t="shared" si="0"/>
        <v>12</v>
      </c>
      <c r="B64" s="3">
        <v>4849.0183151997016</v>
      </c>
      <c r="C64" s="3">
        <v>3650.944801897288</v>
      </c>
      <c r="D64" s="3">
        <v>3252.3994743162075</v>
      </c>
      <c r="E64" s="3">
        <v>2740.008300322364</v>
      </c>
      <c r="F64" s="3">
        <v>2175.40034172183</v>
      </c>
      <c r="G64" s="3">
        <v>392.11692573143432</v>
      </c>
      <c r="H64" s="3">
        <v>389.17523109299816</v>
      </c>
      <c r="I64" s="3"/>
      <c r="J64" s="3"/>
      <c r="K64" s="3"/>
      <c r="L64" s="3"/>
      <c r="M64" s="3"/>
      <c r="N64" s="3"/>
      <c r="O64" s="3"/>
      <c r="P64" s="3"/>
    </row>
    <row r="65" spans="1:16" x14ac:dyDescent="0.25">
      <c r="A65" s="120">
        <f t="shared" si="0"/>
        <v>13</v>
      </c>
      <c r="B65" s="3">
        <v>4849.0183151997016</v>
      </c>
      <c r="C65" s="3">
        <v>3650.944801897288</v>
      </c>
      <c r="D65" s="3">
        <v>3252.3994743162075</v>
      </c>
      <c r="E65" s="3">
        <v>2740.008300322364</v>
      </c>
      <c r="F65" s="3">
        <v>2175.40034172183</v>
      </c>
      <c r="G65" s="3">
        <v>392.11692573143432</v>
      </c>
      <c r="H65" s="3">
        <v>317.04411250990495</v>
      </c>
      <c r="I65" s="3"/>
      <c r="J65" s="3"/>
      <c r="K65" s="3"/>
      <c r="L65" s="3"/>
      <c r="M65" s="3"/>
      <c r="N65" s="3"/>
      <c r="O65" s="3"/>
      <c r="P65" s="3"/>
    </row>
    <row r="66" spans="1:16" x14ac:dyDescent="0.25">
      <c r="A66" s="120">
        <f t="shared" si="0"/>
        <v>14</v>
      </c>
      <c r="B66" s="3">
        <v>4849.0183151997016</v>
      </c>
      <c r="C66" s="3">
        <v>3650.944801897288</v>
      </c>
      <c r="D66" s="3">
        <v>3252.3994743162075</v>
      </c>
      <c r="E66" s="3">
        <v>2740.008300322364</v>
      </c>
      <c r="F66" s="3">
        <v>2175.40034172183</v>
      </c>
      <c r="G66" s="3">
        <v>392.11692573143432</v>
      </c>
      <c r="H66" s="3">
        <v>284.07968124978095</v>
      </c>
      <c r="I66" s="3"/>
      <c r="J66" s="3"/>
      <c r="K66" s="3"/>
      <c r="L66" s="3"/>
      <c r="M66" s="3"/>
      <c r="N66" s="3"/>
      <c r="O66" s="3"/>
      <c r="P66" s="3"/>
    </row>
    <row r="67" spans="1:16" x14ac:dyDescent="0.25">
      <c r="A67" s="120">
        <f t="shared" si="0"/>
        <v>15</v>
      </c>
      <c r="B67" s="3">
        <v>4849.0183151997016</v>
      </c>
      <c r="C67" s="3">
        <v>3650.944801897288</v>
      </c>
      <c r="D67" s="3">
        <v>3252.3994743162075</v>
      </c>
      <c r="E67" s="3">
        <v>2740.008300322364</v>
      </c>
      <c r="F67" s="3">
        <v>2175.40034172183</v>
      </c>
      <c r="G67" s="3">
        <v>392.11692573143432</v>
      </c>
      <c r="H67" s="3">
        <v>265.08253847122182</v>
      </c>
      <c r="I67" s="3"/>
      <c r="J67" s="3"/>
      <c r="K67" s="3"/>
      <c r="L67" s="3"/>
      <c r="M67" s="3"/>
      <c r="N67" s="3"/>
      <c r="O67" s="3"/>
      <c r="P67" s="3"/>
    </row>
    <row r="68" spans="1:16" x14ac:dyDescent="0.25">
      <c r="A68" s="3"/>
      <c r="B68" s="3"/>
      <c r="C68" s="3"/>
      <c r="D68" s="3"/>
      <c r="E68" s="3"/>
      <c r="F68" s="3"/>
      <c r="G68" s="3"/>
      <c r="H68" s="3"/>
      <c r="I68" s="3"/>
      <c r="J68" s="3"/>
      <c r="K68" s="3"/>
      <c r="L68" s="3"/>
      <c r="M68" s="3"/>
      <c r="N68" s="3"/>
      <c r="O68" s="3"/>
      <c r="P68" s="3"/>
    </row>
    <row r="69" spans="1:16" x14ac:dyDescent="0.25">
      <c r="A69" s="121"/>
      <c r="B69" s="121"/>
      <c r="C69" s="121"/>
      <c r="D69" s="121"/>
      <c r="E69" s="121"/>
      <c r="F69" s="121"/>
      <c r="G69" s="121"/>
      <c r="H69" s="121"/>
      <c r="I69" s="121"/>
      <c r="J69" s="121"/>
      <c r="K69" s="3"/>
      <c r="L69" s="3"/>
      <c r="M69" s="3"/>
      <c r="N69" s="3"/>
      <c r="O69" s="3"/>
      <c r="P69" s="3"/>
    </row>
    <row r="70" spans="1:16" x14ac:dyDescent="0.25">
      <c r="A70" s="3"/>
      <c r="B70" s="3"/>
      <c r="C70" s="3"/>
      <c r="D70" s="3"/>
      <c r="E70" s="3"/>
      <c r="F70" s="3"/>
      <c r="G70" s="3"/>
      <c r="H70" s="3"/>
      <c r="I70" s="3"/>
      <c r="J70" s="3"/>
      <c r="K70" s="3"/>
      <c r="L70" s="3"/>
      <c r="M70" s="3"/>
      <c r="N70" s="3"/>
      <c r="O70" s="3"/>
      <c r="P70" s="3"/>
    </row>
    <row r="71" spans="1:16" x14ac:dyDescent="0.25">
      <c r="A71" s="121" t="s">
        <v>17</v>
      </c>
      <c r="B71" s="3"/>
      <c r="C71" s="3"/>
      <c r="D71" s="3"/>
      <c r="E71" s="3"/>
      <c r="F71" s="3"/>
      <c r="G71" s="3"/>
      <c r="H71" s="3"/>
      <c r="I71" s="3"/>
      <c r="J71" s="3"/>
      <c r="K71" s="3"/>
      <c r="L71" s="3"/>
      <c r="M71" s="3"/>
      <c r="N71" s="3"/>
      <c r="O71" s="3"/>
      <c r="P71" s="3"/>
    </row>
    <row r="72" spans="1:16" x14ac:dyDescent="0.25">
      <c r="A72" s="121">
        <f>10^A37</f>
        <v>1.0000000000000001E-15</v>
      </c>
      <c r="B72" s="122">
        <f t="shared" ref="B72:H79" si="1">IF($A72&gt;=10^B$4,IF($A72&lt;=10^INDEX($B$4:$H$34,$A$1,COLUMN(B4)-1),B37,"nv"),"nv")</f>
        <v>5601.8925069571324</v>
      </c>
      <c r="C72" s="122" t="str">
        <f t="shared" si="1"/>
        <v>nv</v>
      </c>
      <c r="D72" s="122" t="str">
        <f t="shared" si="1"/>
        <v>nv</v>
      </c>
      <c r="E72" s="122" t="str">
        <f t="shared" si="1"/>
        <v>nv</v>
      </c>
      <c r="F72" s="122" t="str">
        <f t="shared" si="1"/>
        <v>nv</v>
      </c>
      <c r="G72" s="122" t="str">
        <f t="shared" si="1"/>
        <v>nv</v>
      </c>
      <c r="H72" s="122" t="str">
        <f t="shared" si="1"/>
        <v>nv</v>
      </c>
      <c r="I72" s="122"/>
      <c r="J72" s="122">
        <f t="shared" ref="J72:J101" si="2">IF(ISERROR(AVERAGE(B72:H72)),J71,AVERAGE(B72:H72))</f>
        <v>5601.8925069571324</v>
      </c>
      <c r="K72" s="3"/>
      <c r="L72" s="3"/>
      <c r="M72" s="3"/>
      <c r="N72" s="3"/>
      <c r="O72" s="3"/>
      <c r="P72" s="3"/>
    </row>
    <row r="73" spans="1:16" x14ac:dyDescent="0.25">
      <c r="A73" s="121">
        <f t="shared" ref="A73:A102" si="3">10^A38</f>
        <v>1E-14</v>
      </c>
      <c r="B73" s="122">
        <f t="shared" si="1"/>
        <v>5485.8790565962363</v>
      </c>
      <c r="C73" s="122" t="str">
        <f t="shared" si="1"/>
        <v>nv</v>
      </c>
      <c r="D73" s="122" t="str">
        <f t="shared" si="1"/>
        <v>nv</v>
      </c>
      <c r="E73" s="122" t="str">
        <f t="shared" si="1"/>
        <v>nv</v>
      </c>
      <c r="F73" s="122" t="str">
        <f t="shared" si="1"/>
        <v>nv</v>
      </c>
      <c r="G73" s="122" t="str">
        <f t="shared" si="1"/>
        <v>nv</v>
      </c>
      <c r="H73" s="122" t="str">
        <f t="shared" si="1"/>
        <v>nv</v>
      </c>
      <c r="I73" s="122"/>
      <c r="J73" s="122">
        <f t="shared" si="2"/>
        <v>5485.8790565962363</v>
      </c>
      <c r="K73" s="3"/>
      <c r="L73" s="3"/>
      <c r="M73" s="3"/>
      <c r="N73" s="3"/>
      <c r="O73" s="3"/>
      <c r="P73" s="3"/>
    </row>
    <row r="74" spans="1:16" x14ac:dyDescent="0.25">
      <c r="A74" s="121">
        <f t="shared" si="3"/>
        <v>1E-13</v>
      </c>
      <c r="B74" s="122">
        <f t="shared" si="1"/>
        <v>5333.8371344694751</v>
      </c>
      <c r="C74" s="122" t="str">
        <f t="shared" si="1"/>
        <v>nv</v>
      </c>
      <c r="D74" s="122" t="str">
        <f t="shared" si="1"/>
        <v>nv</v>
      </c>
      <c r="E74" s="122" t="str">
        <f t="shared" si="1"/>
        <v>nv</v>
      </c>
      <c r="F74" s="122" t="str">
        <f t="shared" si="1"/>
        <v>nv</v>
      </c>
      <c r="G74" s="122" t="str">
        <f t="shared" si="1"/>
        <v>nv</v>
      </c>
      <c r="H74" s="122" t="str">
        <f t="shared" si="1"/>
        <v>nv</v>
      </c>
      <c r="I74" s="122"/>
      <c r="J74" s="122">
        <f t="shared" si="2"/>
        <v>5333.8371344694751</v>
      </c>
      <c r="K74" s="3"/>
      <c r="L74" s="3"/>
      <c r="M74" s="3"/>
      <c r="N74" s="3"/>
      <c r="O74" s="3"/>
      <c r="P74" s="3"/>
    </row>
    <row r="75" spans="1:16" x14ac:dyDescent="0.25">
      <c r="A75" s="121">
        <f t="shared" si="3"/>
        <v>9.9999999999999998E-13</v>
      </c>
      <c r="B75" s="122">
        <f t="shared" si="1"/>
        <v>5228.4765423863282</v>
      </c>
      <c r="C75" s="122">
        <f t="shared" si="1"/>
        <v>5182.2562418226044</v>
      </c>
      <c r="D75" s="122" t="str">
        <f t="shared" si="1"/>
        <v>nv</v>
      </c>
      <c r="E75" s="122" t="str">
        <f t="shared" si="1"/>
        <v>nv</v>
      </c>
      <c r="F75" s="122" t="str">
        <f t="shared" si="1"/>
        <v>nv</v>
      </c>
      <c r="G75" s="122" t="str">
        <f t="shared" si="1"/>
        <v>nv</v>
      </c>
      <c r="H75" s="122" t="str">
        <f t="shared" si="1"/>
        <v>nv</v>
      </c>
      <c r="I75" s="122"/>
      <c r="J75" s="122">
        <f t="shared" si="2"/>
        <v>5205.3663921044663</v>
      </c>
      <c r="K75" s="3"/>
      <c r="L75" s="3"/>
      <c r="M75" s="3"/>
      <c r="N75" s="3"/>
      <c r="O75" s="3"/>
      <c r="P75" s="3"/>
    </row>
    <row r="76" spans="1:16" x14ac:dyDescent="0.25">
      <c r="A76" s="121">
        <f t="shared" si="3"/>
        <v>9.9999999999999994E-12</v>
      </c>
      <c r="B76" s="122">
        <f t="shared" si="1"/>
        <v>5113.7383408755868</v>
      </c>
      <c r="C76" s="122">
        <f t="shared" si="1"/>
        <v>5057.129024968378</v>
      </c>
      <c r="D76" s="122" t="str">
        <f t="shared" si="1"/>
        <v>nv</v>
      </c>
      <c r="E76" s="122" t="str">
        <f t="shared" si="1"/>
        <v>nv</v>
      </c>
      <c r="F76" s="122" t="str">
        <f t="shared" si="1"/>
        <v>nv</v>
      </c>
      <c r="G76" s="122" t="str">
        <f t="shared" si="1"/>
        <v>nv</v>
      </c>
      <c r="H76" s="122" t="str">
        <f t="shared" si="1"/>
        <v>nv</v>
      </c>
      <c r="I76" s="122"/>
      <c r="J76" s="122">
        <f t="shared" si="2"/>
        <v>5085.4336829219828</v>
      </c>
      <c r="K76" s="3"/>
      <c r="L76" s="3"/>
      <c r="M76" s="3"/>
      <c r="N76" s="3"/>
      <c r="O76" s="3"/>
      <c r="P76" s="3"/>
    </row>
    <row r="77" spans="1:16" x14ac:dyDescent="0.25">
      <c r="A77" s="121">
        <f t="shared" si="3"/>
        <v>1E-10</v>
      </c>
      <c r="B77" s="122">
        <f t="shared" si="1"/>
        <v>4989.4007755450184</v>
      </c>
      <c r="C77" s="122">
        <f t="shared" si="1"/>
        <v>4925.3875078056353</v>
      </c>
      <c r="D77" s="122">
        <f t="shared" si="1"/>
        <v>4902.5275624334008</v>
      </c>
      <c r="E77" s="122" t="str">
        <f t="shared" si="1"/>
        <v>nv</v>
      </c>
      <c r="F77" s="122" t="str">
        <f t="shared" si="1"/>
        <v>nv</v>
      </c>
      <c r="G77" s="122" t="str">
        <f t="shared" si="1"/>
        <v>nv</v>
      </c>
      <c r="H77" s="122" t="str">
        <f t="shared" si="1"/>
        <v>nv</v>
      </c>
      <c r="I77" s="122"/>
      <c r="J77" s="122">
        <f t="shared" si="2"/>
        <v>4939.1052819280185</v>
      </c>
      <c r="K77" s="3"/>
      <c r="L77" s="3"/>
      <c r="M77" s="3"/>
      <c r="N77" s="3"/>
      <c r="O77" s="3"/>
      <c r="P77" s="3"/>
    </row>
    <row r="78" spans="1:16" x14ac:dyDescent="0.25">
      <c r="A78" s="121">
        <f t="shared" si="3"/>
        <v>1.0000000000000001E-9</v>
      </c>
      <c r="B78" s="122">
        <f t="shared" si="1"/>
        <v>4849.0183151997016</v>
      </c>
      <c r="C78" s="122">
        <f t="shared" si="1"/>
        <v>4785.3579110479695</v>
      </c>
      <c r="D78" s="122">
        <f t="shared" si="1"/>
        <v>4760.8271474680751</v>
      </c>
      <c r="E78" s="122" t="str">
        <f t="shared" si="1"/>
        <v>nv</v>
      </c>
      <c r="F78" s="122" t="str">
        <f t="shared" si="1"/>
        <v>nv</v>
      </c>
      <c r="G78" s="122" t="str">
        <f t="shared" si="1"/>
        <v>nv</v>
      </c>
      <c r="H78" s="122" t="str">
        <f t="shared" si="1"/>
        <v>nv</v>
      </c>
      <c r="I78" s="122"/>
      <c r="J78" s="122">
        <f t="shared" si="2"/>
        <v>4798.4011245719148</v>
      </c>
    </row>
    <row r="79" spans="1:16" x14ac:dyDescent="0.25">
      <c r="A79" s="121">
        <f t="shared" si="3"/>
        <v>1E-8</v>
      </c>
      <c r="B79" s="122" t="str">
        <f t="shared" si="1"/>
        <v>nv</v>
      </c>
      <c r="C79" s="122">
        <f t="shared" si="1"/>
        <v>4630.8177653696994</v>
      </c>
      <c r="D79" s="122">
        <f t="shared" si="1"/>
        <v>4593.4789786421388</v>
      </c>
      <c r="E79" s="122" t="str">
        <f t="shared" si="1"/>
        <v>nv</v>
      </c>
      <c r="F79" s="122" t="str">
        <f t="shared" si="1"/>
        <v>nv</v>
      </c>
      <c r="G79" s="122" t="str">
        <f t="shared" si="1"/>
        <v>nv</v>
      </c>
      <c r="H79" s="122" t="str">
        <f t="shared" si="1"/>
        <v>nv</v>
      </c>
      <c r="I79" s="122"/>
      <c r="J79" s="122">
        <f t="shared" si="2"/>
        <v>4612.1483720059186</v>
      </c>
    </row>
    <row r="80" spans="1:16" x14ac:dyDescent="0.25">
      <c r="A80" s="121">
        <f t="shared" si="3"/>
        <v>9.9999999999999995E-8</v>
      </c>
      <c r="B80" s="122" t="str">
        <f>IF($A80&gt;=10^B$4,IF($A80&lt;=10^INDEX($B$4:$H$34,$A$1,COLUMN(B12)-1),B45,"nv"),"nv")</f>
        <v>nv</v>
      </c>
      <c r="C80" s="122">
        <f t="shared" ref="C80:H80" si="4">IF($A80&gt;=10^C$4,IF($A80&lt;=10^INDEX($B$4:$H$34,$A$1,COLUMN(C12)-1),C45,"nv"),"nv")</f>
        <v>4470.7649900528859</v>
      </c>
      <c r="D80" s="122">
        <f t="shared" si="4"/>
        <v>4436.860371622688</v>
      </c>
      <c r="E80" s="122">
        <f t="shared" si="4"/>
        <v>4437.0303633717413</v>
      </c>
      <c r="F80" s="122" t="str">
        <f t="shared" si="4"/>
        <v>nv</v>
      </c>
      <c r="G80" s="122" t="str">
        <f t="shared" si="4"/>
        <v>nv</v>
      </c>
      <c r="H80" s="122" t="str">
        <f t="shared" si="4"/>
        <v>nv</v>
      </c>
      <c r="I80" s="122"/>
      <c r="J80" s="122">
        <f t="shared" si="2"/>
        <v>4448.2185750157723</v>
      </c>
    </row>
    <row r="81" spans="1:10" x14ac:dyDescent="0.25">
      <c r="A81" s="121">
        <f t="shared" si="3"/>
        <v>9.9999999999999995E-7</v>
      </c>
      <c r="B81" s="122" t="str">
        <f t="shared" ref="B81:H102" si="5">IF($A81&gt;=10^B$4,IF($A81&lt;=10^INDEX($B$4:$H$34,$A$1,COLUMN(B13)-1),B46,"nv"),"nv")</f>
        <v>nv</v>
      </c>
      <c r="C81" s="122">
        <f t="shared" si="5"/>
        <v>4315.7262910230784</v>
      </c>
      <c r="D81" s="122">
        <f t="shared" si="5"/>
        <v>4283.8658354426489</v>
      </c>
      <c r="E81" s="122">
        <f t="shared" si="5"/>
        <v>4280.974567667783</v>
      </c>
      <c r="F81" s="122" t="str">
        <f t="shared" si="5"/>
        <v>nv</v>
      </c>
      <c r="G81" s="122" t="str">
        <f t="shared" si="5"/>
        <v>nv</v>
      </c>
      <c r="H81" s="122" t="str">
        <f t="shared" si="5"/>
        <v>nv</v>
      </c>
      <c r="I81" s="122"/>
      <c r="J81" s="122">
        <f t="shared" si="2"/>
        <v>4293.5222313778368</v>
      </c>
    </row>
    <row r="82" spans="1:10" x14ac:dyDescent="0.25">
      <c r="A82" s="121">
        <f t="shared" si="3"/>
        <v>1.0000000000000001E-5</v>
      </c>
      <c r="B82" s="122" t="str">
        <f t="shared" si="5"/>
        <v>nv</v>
      </c>
      <c r="C82" s="122">
        <f t="shared" si="5"/>
        <v>4146.9816244187004</v>
      </c>
      <c r="D82" s="122">
        <f t="shared" si="5"/>
        <v>4120.6540489805011</v>
      </c>
      <c r="E82" s="122">
        <f t="shared" si="5"/>
        <v>4115.3577979907341</v>
      </c>
      <c r="F82" s="122">
        <f t="shared" si="5"/>
        <v>4088.6897076558816</v>
      </c>
      <c r="G82" s="122" t="str">
        <f t="shared" si="5"/>
        <v>nv</v>
      </c>
      <c r="H82" s="122" t="str">
        <f t="shared" si="5"/>
        <v>nv</v>
      </c>
      <c r="I82" s="122"/>
      <c r="J82" s="122">
        <f t="shared" si="2"/>
        <v>4117.9207947614541</v>
      </c>
    </row>
    <row r="83" spans="1:10" x14ac:dyDescent="0.25">
      <c r="A83" s="121">
        <f t="shared" si="3"/>
        <v>1E-4</v>
      </c>
      <c r="B83" s="122" t="str">
        <f t="shared" si="5"/>
        <v>nv</v>
      </c>
      <c r="C83" s="122">
        <f t="shared" si="5"/>
        <v>3918.4365956805696</v>
      </c>
      <c r="D83" s="122">
        <f t="shared" si="5"/>
        <v>3918.6392966486264</v>
      </c>
      <c r="E83" s="122">
        <f t="shared" si="5"/>
        <v>3917.039410567229</v>
      </c>
      <c r="F83" s="122">
        <f t="shared" si="5"/>
        <v>3886.5453020717396</v>
      </c>
      <c r="G83" s="122" t="str">
        <f t="shared" si="5"/>
        <v>nv</v>
      </c>
      <c r="H83" s="122" t="str">
        <f t="shared" si="5"/>
        <v>nv</v>
      </c>
      <c r="I83" s="122"/>
      <c r="J83" s="122">
        <f t="shared" si="2"/>
        <v>3910.1651512420412</v>
      </c>
    </row>
    <row r="84" spans="1:10" x14ac:dyDescent="0.25">
      <c r="A84" s="121">
        <f t="shared" si="3"/>
        <v>1E-3</v>
      </c>
      <c r="B84" s="122" t="str">
        <f t="shared" si="5"/>
        <v>nv</v>
      </c>
      <c r="C84" s="122">
        <f t="shared" si="5"/>
        <v>3650.944801897288</v>
      </c>
      <c r="D84" s="122">
        <f t="shared" si="5"/>
        <v>3688.2262111815749</v>
      </c>
      <c r="E84" s="122">
        <f t="shared" si="5"/>
        <v>3701.6797868899298</v>
      </c>
      <c r="F84" s="122">
        <f t="shared" si="5"/>
        <v>3674.0476464355193</v>
      </c>
      <c r="G84" s="122" t="str">
        <f t="shared" si="5"/>
        <v>nv</v>
      </c>
      <c r="H84" s="122" t="str">
        <f t="shared" si="5"/>
        <v>nv</v>
      </c>
      <c r="I84" s="122"/>
      <c r="J84" s="122">
        <f t="shared" si="2"/>
        <v>3678.7246116010783</v>
      </c>
    </row>
    <row r="85" spans="1:10" x14ac:dyDescent="0.25">
      <c r="A85" s="121">
        <f t="shared" si="3"/>
        <v>0.01</v>
      </c>
      <c r="B85" s="122" t="str">
        <f t="shared" si="5"/>
        <v>nv</v>
      </c>
      <c r="C85" s="122" t="str">
        <f t="shared" si="5"/>
        <v>nv</v>
      </c>
      <c r="D85" s="122">
        <f t="shared" si="5"/>
        <v>3460.6092530683427</v>
      </c>
      <c r="E85" s="122">
        <f t="shared" si="5"/>
        <v>3506.9228931370944</v>
      </c>
      <c r="F85" s="122">
        <f t="shared" si="5"/>
        <v>3490.4964950029853</v>
      </c>
      <c r="G85" s="122" t="str">
        <f t="shared" si="5"/>
        <v>nv</v>
      </c>
      <c r="H85" s="122" t="str">
        <f t="shared" si="5"/>
        <v>nv</v>
      </c>
      <c r="I85" s="122"/>
      <c r="J85" s="122">
        <f t="shared" si="2"/>
        <v>3486.0095470694741</v>
      </c>
    </row>
    <row r="86" spans="1:10" x14ac:dyDescent="0.25">
      <c r="A86" s="121">
        <f t="shared" si="3"/>
        <v>0.1</v>
      </c>
      <c r="B86" s="122" t="str">
        <f t="shared" si="5"/>
        <v>nv</v>
      </c>
      <c r="C86" s="122" t="str">
        <f t="shared" si="5"/>
        <v>nv</v>
      </c>
      <c r="D86" s="122">
        <f t="shared" si="5"/>
        <v>3252.3994743162075</v>
      </c>
      <c r="E86" s="122">
        <f t="shared" si="5"/>
        <v>3319.6058151482252</v>
      </c>
      <c r="F86" s="122">
        <f t="shared" si="5"/>
        <v>3328.6476119407066</v>
      </c>
      <c r="G86" s="122" t="str">
        <f t="shared" si="5"/>
        <v>nv</v>
      </c>
      <c r="H86" s="122" t="str">
        <f t="shared" si="5"/>
        <v>nv</v>
      </c>
      <c r="I86" s="122"/>
      <c r="J86" s="122">
        <f t="shared" si="2"/>
        <v>3300.217633801713</v>
      </c>
    </row>
    <row r="87" spans="1:10" x14ac:dyDescent="0.25">
      <c r="A87" s="121">
        <f t="shared" si="3"/>
        <v>1</v>
      </c>
      <c r="B87" s="122" t="str">
        <f t="shared" si="5"/>
        <v>nv</v>
      </c>
      <c r="C87" s="122" t="str">
        <f t="shared" si="5"/>
        <v>nv</v>
      </c>
      <c r="D87" s="122" t="str">
        <f t="shared" si="5"/>
        <v>nv</v>
      </c>
      <c r="E87" s="122">
        <f t="shared" si="5"/>
        <v>3115.8478073469728</v>
      </c>
      <c r="F87" s="122">
        <f t="shared" si="5"/>
        <v>3162.6549081928265</v>
      </c>
      <c r="G87" s="122" t="str">
        <f t="shared" si="5"/>
        <v>nv</v>
      </c>
      <c r="H87" s="122" t="str">
        <f t="shared" si="5"/>
        <v>nv</v>
      </c>
      <c r="I87" s="122"/>
      <c r="J87" s="122">
        <f t="shared" si="2"/>
        <v>3139.2513577698996</v>
      </c>
    </row>
    <row r="88" spans="1:10" x14ac:dyDescent="0.25">
      <c r="A88" s="121">
        <f t="shared" si="3"/>
        <v>10</v>
      </c>
      <c r="B88" s="122" t="str">
        <f t="shared" si="5"/>
        <v>nv</v>
      </c>
      <c r="C88" s="122" t="str">
        <f t="shared" si="5"/>
        <v>nv</v>
      </c>
      <c r="D88" s="122" t="str">
        <f t="shared" si="5"/>
        <v>nv</v>
      </c>
      <c r="E88" s="122">
        <f t="shared" si="5"/>
        <v>2922.6767609083195</v>
      </c>
      <c r="F88" s="122">
        <f t="shared" si="5"/>
        <v>2989.0593935666489</v>
      </c>
      <c r="G88" s="122" t="str">
        <f t="shared" si="5"/>
        <v>nv</v>
      </c>
      <c r="H88" s="122" t="str">
        <f t="shared" si="5"/>
        <v>nv</v>
      </c>
      <c r="I88" s="122"/>
      <c r="J88" s="122">
        <f t="shared" si="2"/>
        <v>2955.8680772374842</v>
      </c>
    </row>
    <row r="89" spans="1:10" x14ac:dyDescent="0.25">
      <c r="A89" s="121">
        <f t="shared" si="3"/>
        <v>100</v>
      </c>
      <c r="B89" s="122" t="str">
        <f t="shared" si="5"/>
        <v>nv</v>
      </c>
      <c r="C89" s="122" t="str">
        <f t="shared" si="5"/>
        <v>nv</v>
      </c>
      <c r="D89" s="122" t="str">
        <f t="shared" si="5"/>
        <v>nv</v>
      </c>
      <c r="E89" s="122">
        <f t="shared" si="5"/>
        <v>2740.008300322364</v>
      </c>
      <c r="F89" s="122">
        <f t="shared" si="5"/>
        <v>2798.1852090008501</v>
      </c>
      <c r="G89" s="122" t="str">
        <f t="shared" si="5"/>
        <v>nv</v>
      </c>
      <c r="H89" s="122" t="str">
        <f t="shared" si="5"/>
        <v>nv</v>
      </c>
      <c r="I89" s="122"/>
      <c r="J89" s="122">
        <f t="shared" si="2"/>
        <v>2769.0967546616071</v>
      </c>
    </row>
    <row r="90" spans="1:10" x14ac:dyDescent="0.25">
      <c r="A90" s="121">
        <f t="shared" si="3"/>
        <v>1000</v>
      </c>
      <c r="B90" s="122" t="str">
        <f t="shared" si="5"/>
        <v>nv</v>
      </c>
      <c r="C90" s="122" t="str">
        <f t="shared" si="5"/>
        <v>nv</v>
      </c>
      <c r="D90" s="122" t="str">
        <f t="shared" si="5"/>
        <v>nv</v>
      </c>
      <c r="E90" s="122" t="str">
        <f t="shared" si="5"/>
        <v>nv</v>
      </c>
      <c r="F90" s="122">
        <f t="shared" si="5"/>
        <v>2599.5030730508342</v>
      </c>
      <c r="G90" s="122">
        <f t="shared" si="5"/>
        <v>2661.1384537479526</v>
      </c>
      <c r="H90" s="122" t="str">
        <f t="shared" si="5"/>
        <v>nv</v>
      </c>
      <c r="I90" s="122"/>
      <c r="J90" s="122">
        <f t="shared" si="2"/>
        <v>2630.3207633993934</v>
      </c>
    </row>
    <row r="91" spans="1:10" x14ac:dyDescent="0.25">
      <c r="A91" s="121">
        <f t="shared" si="3"/>
        <v>10000</v>
      </c>
      <c r="B91" s="122" t="str">
        <f t="shared" si="5"/>
        <v>nv</v>
      </c>
      <c r="C91" s="122" t="str">
        <f t="shared" si="5"/>
        <v>nv</v>
      </c>
      <c r="D91" s="122" t="str">
        <f t="shared" si="5"/>
        <v>nv</v>
      </c>
      <c r="E91" s="122" t="str">
        <f t="shared" si="5"/>
        <v>nv</v>
      </c>
      <c r="F91" s="122">
        <f t="shared" si="5"/>
        <v>2390.0680354035449</v>
      </c>
      <c r="G91" s="122">
        <f t="shared" si="5"/>
        <v>2465.8327548183115</v>
      </c>
      <c r="H91" s="122" t="str">
        <f t="shared" si="5"/>
        <v>nv</v>
      </c>
      <c r="I91" s="122"/>
      <c r="J91" s="122">
        <f t="shared" si="2"/>
        <v>2427.9503951109282</v>
      </c>
    </row>
    <row r="92" spans="1:10" x14ac:dyDescent="0.25">
      <c r="A92" s="121">
        <f t="shared" si="3"/>
        <v>100000</v>
      </c>
      <c r="B92" s="122" t="str">
        <f t="shared" si="5"/>
        <v>nv</v>
      </c>
      <c r="C92" s="122" t="str">
        <f t="shared" si="5"/>
        <v>nv</v>
      </c>
      <c r="D92" s="122" t="str">
        <f t="shared" si="5"/>
        <v>nv</v>
      </c>
      <c r="E92" s="122" t="str">
        <f t="shared" si="5"/>
        <v>nv</v>
      </c>
      <c r="F92" s="122">
        <f t="shared" si="5"/>
        <v>2175.40034172183</v>
      </c>
      <c r="G92" s="122">
        <f t="shared" si="5"/>
        <v>2251.7856368823232</v>
      </c>
      <c r="H92" s="122" t="str">
        <f t="shared" si="5"/>
        <v>nv</v>
      </c>
      <c r="I92" s="122"/>
      <c r="J92" s="122">
        <f t="shared" si="2"/>
        <v>2213.5929893020766</v>
      </c>
    </row>
    <row r="93" spans="1:10" x14ac:dyDescent="0.25">
      <c r="A93" s="121">
        <f t="shared" si="3"/>
        <v>1000000</v>
      </c>
      <c r="B93" s="122" t="str">
        <f t="shared" si="5"/>
        <v>nv</v>
      </c>
      <c r="C93" s="122" t="str">
        <f t="shared" si="5"/>
        <v>nv</v>
      </c>
      <c r="D93" s="122" t="str">
        <f t="shared" si="5"/>
        <v>nv</v>
      </c>
      <c r="E93" s="122" t="str">
        <f t="shared" si="5"/>
        <v>nv</v>
      </c>
      <c r="F93" s="122" t="str">
        <f t="shared" si="5"/>
        <v>nv</v>
      </c>
      <c r="G93" s="122">
        <f t="shared" si="5"/>
        <v>2012.5911993145396</v>
      </c>
      <c r="H93" s="122" t="str">
        <f t="shared" si="5"/>
        <v>nv</v>
      </c>
      <c r="I93" s="122"/>
      <c r="J93" s="122">
        <f t="shared" si="2"/>
        <v>2012.5911993145396</v>
      </c>
    </row>
    <row r="94" spans="1:10" x14ac:dyDescent="0.25">
      <c r="A94" s="121">
        <f t="shared" si="3"/>
        <v>10000000</v>
      </c>
      <c r="B94" s="122" t="str">
        <f t="shared" si="5"/>
        <v>nv</v>
      </c>
      <c r="C94" s="122" t="str">
        <f t="shared" si="5"/>
        <v>nv</v>
      </c>
      <c r="D94" s="122" t="str">
        <f t="shared" si="5"/>
        <v>nv</v>
      </c>
      <c r="E94" s="122" t="str">
        <f t="shared" si="5"/>
        <v>nv</v>
      </c>
      <c r="F94" s="122" t="str">
        <f t="shared" si="5"/>
        <v>nv</v>
      </c>
      <c r="G94" s="122">
        <f t="shared" si="5"/>
        <v>1730.2986832896065</v>
      </c>
      <c r="H94" s="122" t="str">
        <f t="shared" si="5"/>
        <v>nv</v>
      </c>
      <c r="I94" s="122"/>
      <c r="J94" s="122">
        <f t="shared" si="2"/>
        <v>1730.2986832896065</v>
      </c>
    </row>
    <row r="95" spans="1:10" x14ac:dyDescent="0.25">
      <c r="A95" s="121">
        <f t="shared" si="3"/>
        <v>100000000</v>
      </c>
      <c r="B95" s="122" t="str">
        <f t="shared" si="5"/>
        <v>nv</v>
      </c>
      <c r="C95" s="122" t="str">
        <f t="shared" si="5"/>
        <v>nv</v>
      </c>
      <c r="D95" s="122" t="str">
        <f t="shared" si="5"/>
        <v>nv</v>
      </c>
      <c r="E95" s="122" t="str">
        <f t="shared" si="5"/>
        <v>nv</v>
      </c>
      <c r="F95" s="122" t="str">
        <f t="shared" si="5"/>
        <v>nv</v>
      </c>
      <c r="G95" s="122">
        <f t="shared" si="5"/>
        <v>1407.7220108273536</v>
      </c>
      <c r="H95" s="122" t="str">
        <f t="shared" si="5"/>
        <v>nv</v>
      </c>
      <c r="I95" s="122"/>
      <c r="J95" s="122">
        <f t="shared" si="2"/>
        <v>1407.7220108273536</v>
      </c>
    </row>
    <row r="96" spans="1:10" x14ac:dyDescent="0.25">
      <c r="A96" s="121">
        <f t="shared" si="3"/>
        <v>1000000000</v>
      </c>
      <c r="B96" s="122" t="str">
        <f t="shared" si="5"/>
        <v>nv</v>
      </c>
      <c r="C96" s="122" t="str">
        <f t="shared" si="5"/>
        <v>nv</v>
      </c>
      <c r="D96" s="122" t="str">
        <f t="shared" si="5"/>
        <v>nv</v>
      </c>
      <c r="E96" s="122" t="str">
        <f t="shared" si="5"/>
        <v>nv</v>
      </c>
      <c r="F96" s="122" t="str">
        <f t="shared" si="5"/>
        <v>nv</v>
      </c>
      <c r="G96" s="122">
        <f t="shared" si="5"/>
        <v>1069.5043656874418</v>
      </c>
      <c r="H96" s="122">
        <f t="shared" si="5"/>
        <v>1090.0813534777994</v>
      </c>
      <c r="I96" s="122"/>
      <c r="J96" s="122">
        <f t="shared" si="2"/>
        <v>1079.7928595826206</v>
      </c>
    </row>
    <row r="97" spans="1:36" x14ac:dyDescent="0.25">
      <c r="A97" s="121">
        <f t="shared" si="3"/>
        <v>10000000000</v>
      </c>
      <c r="B97" s="122" t="str">
        <f t="shared" si="5"/>
        <v>nv</v>
      </c>
      <c r="C97" s="122" t="str">
        <f t="shared" si="5"/>
        <v>nv</v>
      </c>
      <c r="D97" s="122" t="str">
        <f t="shared" si="5"/>
        <v>nv</v>
      </c>
      <c r="E97" s="122" t="str">
        <f t="shared" si="5"/>
        <v>nv</v>
      </c>
      <c r="F97" s="122" t="str">
        <f t="shared" si="5"/>
        <v>nv</v>
      </c>
      <c r="G97" s="122">
        <f t="shared" si="5"/>
        <v>763.43610565152335</v>
      </c>
      <c r="H97" s="122">
        <f t="shared" si="5"/>
        <v>767.57451671669673</v>
      </c>
      <c r="I97" s="122"/>
      <c r="J97" s="122">
        <f t="shared" si="2"/>
        <v>765.50531118411004</v>
      </c>
    </row>
    <row r="98" spans="1:36" x14ac:dyDescent="0.25">
      <c r="A98" s="121">
        <f t="shared" si="3"/>
        <v>100000000000</v>
      </c>
      <c r="B98" s="122" t="str">
        <f t="shared" si="5"/>
        <v>nv</v>
      </c>
      <c r="C98" s="122" t="str">
        <f t="shared" si="5"/>
        <v>nv</v>
      </c>
      <c r="D98" s="122" t="str">
        <f t="shared" si="5"/>
        <v>nv</v>
      </c>
      <c r="E98" s="122" t="str">
        <f t="shared" si="5"/>
        <v>nv</v>
      </c>
      <c r="F98" s="122" t="str">
        <f t="shared" si="5"/>
        <v>nv</v>
      </c>
      <c r="G98" s="122">
        <f t="shared" si="5"/>
        <v>532.50159138634126</v>
      </c>
      <c r="H98" s="122">
        <f t="shared" si="5"/>
        <v>521.76577771855091</v>
      </c>
      <c r="I98" s="122"/>
      <c r="J98" s="122">
        <f t="shared" si="2"/>
        <v>527.13368455244608</v>
      </c>
    </row>
    <row r="99" spans="1:36" x14ac:dyDescent="0.25">
      <c r="A99" s="121">
        <f t="shared" si="3"/>
        <v>1000000000000</v>
      </c>
      <c r="B99" s="122" t="str">
        <f t="shared" si="5"/>
        <v>nv</v>
      </c>
      <c r="C99" s="122" t="str">
        <f t="shared" si="5"/>
        <v>nv</v>
      </c>
      <c r="D99" s="122" t="str">
        <f t="shared" si="5"/>
        <v>nv</v>
      </c>
      <c r="E99" s="122" t="str">
        <f t="shared" si="5"/>
        <v>nv</v>
      </c>
      <c r="F99" s="122" t="str">
        <f t="shared" si="5"/>
        <v>nv</v>
      </c>
      <c r="G99" s="122">
        <f t="shared" si="5"/>
        <v>392.11692573143432</v>
      </c>
      <c r="H99" s="122">
        <f t="shared" si="5"/>
        <v>389.17523109299816</v>
      </c>
      <c r="I99" s="122"/>
      <c r="J99" s="122">
        <f t="shared" si="2"/>
        <v>390.64607841221624</v>
      </c>
    </row>
    <row r="100" spans="1:36" x14ac:dyDescent="0.25">
      <c r="A100" s="121">
        <f t="shared" si="3"/>
        <v>10000000000000</v>
      </c>
      <c r="B100" s="122" t="str">
        <f t="shared" si="5"/>
        <v>nv</v>
      </c>
      <c r="C100" s="122" t="str">
        <f t="shared" si="5"/>
        <v>nv</v>
      </c>
      <c r="D100" s="122" t="str">
        <f t="shared" si="5"/>
        <v>nv</v>
      </c>
      <c r="E100" s="122" t="str">
        <f t="shared" si="5"/>
        <v>nv</v>
      </c>
      <c r="F100" s="122" t="str">
        <f t="shared" si="5"/>
        <v>nv</v>
      </c>
      <c r="G100" s="122" t="str">
        <f t="shared" si="5"/>
        <v>nv</v>
      </c>
      <c r="H100" s="122">
        <f t="shared" si="5"/>
        <v>317.04411250990495</v>
      </c>
      <c r="I100" s="122"/>
      <c r="J100" s="122">
        <f t="shared" si="2"/>
        <v>317.04411250990495</v>
      </c>
    </row>
    <row r="101" spans="1:36" x14ac:dyDescent="0.25">
      <c r="A101" s="121">
        <f t="shared" si="3"/>
        <v>100000000000000</v>
      </c>
      <c r="B101" s="122" t="str">
        <f t="shared" si="5"/>
        <v>nv</v>
      </c>
      <c r="C101" s="122" t="str">
        <f t="shared" si="5"/>
        <v>nv</v>
      </c>
      <c r="D101" s="122" t="str">
        <f t="shared" si="5"/>
        <v>nv</v>
      </c>
      <c r="E101" s="122" t="str">
        <f t="shared" si="5"/>
        <v>nv</v>
      </c>
      <c r="F101" s="122" t="str">
        <f t="shared" si="5"/>
        <v>nv</v>
      </c>
      <c r="G101" s="122" t="str">
        <f t="shared" si="5"/>
        <v>nv</v>
      </c>
      <c r="H101" s="122">
        <f t="shared" si="5"/>
        <v>284.07968124978095</v>
      </c>
      <c r="I101" s="122"/>
      <c r="J101" s="122">
        <f t="shared" si="2"/>
        <v>284.07968124978095</v>
      </c>
    </row>
    <row r="102" spans="1:36" x14ac:dyDescent="0.25">
      <c r="A102" s="121">
        <f t="shared" si="3"/>
        <v>1000000000000000</v>
      </c>
      <c r="B102" s="122" t="str">
        <f t="shared" si="5"/>
        <v>nv</v>
      </c>
      <c r="C102" s="122" t="str">
        <f t="shared" si="5"/>
        <v>nv</v>
      </c>
      <c r="D102" s="122" t="str">
        <f t="shared" si="5"/>
        <v>nv</v>
      </c>
      <c r="E102" s="122" t="str">
        <f t="shared" si="5"/>
        <v>nv</v>
      </c>
      <c r="F102" s="122" t="str">
        <f t="shared" si="5"/>
        <v>nv</v>
      </c>
      <c r="G102" s="122" t="str">
        <f t="shared" si="5"/>
        <v>nv</v>
      </c>
      <c r="H102" s="122">
        <f t="shared" si="5"/>
        <v>265.08253847122182</v>
      </c>
      <c r="I102" s="122"/>
      <c r="J102" s="122">
        <f>IF(ISERROR(AVERAGE(B102:H102)),J101,AVERAGE(B102:H102))</f>
        <v>265.08253847122182</v>
      </c>
    </row>
    <row r="103" spans="1:36" x14ac:dyDescent="0.25">
      <c r="A103" s="3"/>
    </row>
    <row r="104" spans="1:36" x14ac:dyDescent="0.25">
      <c r="A104" s="3"/>
    </row>
    <row r="105" spans="1:36" x14ac:dyDescent="0.25">
      <c r="A105" s="3"/>
    </row>
    <row r="106" spans="1:36" x14ac:dyDescent="0.25">
      <c r="A106" s="3"/>
    </row>
    <row r="107" spans="1:36" x14ac:dyDescent="0.25">
      <c r="A107" s="3"/>
    </row>
    <row r="108" spans="1:36" x14ac:dyDescent="0.25">
      <c r="A108" s="130" t="s">
        <v>26</v>
      </c>
      <c r="B108" s="130"/>
      <c r="C108" s="130"/>
      <c r="D108" s="111"/>
      <c r="E108" s="111" t="s">
        <v>17</v>
      </c>
      <c r="F108" s="22">
        <f>INDEX($A$72:$A$102,COLUMN(A72),1)</f>
        <v>1.0000000000000001E-15</v>
      </c>
      <c r="G108" s="22">
        <f t="shared" ref="G108:AJ108" si="6">INDEX($A$72:$A$102,COLUMN(B72),1)</f>
        <v>1E-14</v>
      </c>
      <c r="H108" s="22">
        <f t="shared" si="6"/>
        <v>1E-13</v>
      </c>
      <c r="I108" s="22">
        <f t="shared" si="6"/>
        <v>9.9999999999999998E-13</v>
      </c>
      <c r="J108" s="22">
        <f t="shared" si="6"/>
        <v>9.9999999999999994E-12</v>
      </c>
      <c r="K108" s="22">
        <f t="shared" si="6"/>
        <v>1E-10</v>
      </c>
      <c r="L108" s="22">
        <f t="shared" si="6"/>
        <v>1.0000000000000001E-9</v>
      </c>
      <c r="M108" s="22">
        <f t="shared" si="6"/>
        <v>1E-8</v>
      </c>
      <c r="N108" s="22">
        <f t="shared" si="6"/>
        <v>9.9999999999999995E-8</v>
      </c>
      <c r="O108" s="22">
        <f t="shared" si="6"/>
        <v>9.9999999999999995E-7</v>
      </c>
      <c r="P108" s="22">
        <f t="shared" si="6"/>
        <v>1.0000000000000001E-5</v>
      </c>
      <c r="Q108" s="22">
        <f t="shared" si="6"/>
        <v>1E-4</v>
      </c>
      <c r="R108" s="22">
        <f t="shared" si="6"/>
        <v>1E-3</v>
      </c>
      <c r="S108" s="22">
        <f t="shared" si="6"/>
        <v>0.01</v>
      </c>
      <c r="T108" s="22">
        <f t="shared" si="6"/>
        <v>0.1</v>
      </c>
      <c r="U108" s="22">
        <f t="shared" si="6"/>
        <v>1</v>
      </c>
      <c r="V108" s="22">
        <f t="shared" si="6"/>
        <v>10</v>
      </c>
      <c r="W108" s="22">
        <f t="shared" si="6"/>
        <v>100</v>
      </c>
      <c r="X108" s="22">
        <f t="shared" si="6"/>
        <v>1000</v>
      </c>
      <c r="Y108" s="22">
        <f t="shared" si="6"/>
        <v>10000</v>
      </c>
      <c r="Z108" s="22">
        <f t="shared" si="6"/>
        <v>100000</v>
      </c>
      <c r="AA108" s="22">
        <f t="shared" si="6"/>
        <v>1000000</v>
      </c>
      <c r="AB108" s="22">
        <f t="shared" si="6"/>
        <v>10000000</v>
      </c>
      <c r="AC108" s="22">
        <f t="shared" si="6"/>
        <v>100000000</v>
      </c>
      <c r="AD108" s="22">
        <f t="shared" si="6"/>
        <v>1000000000</v>
      </c>
      <c r="AE108" s="22">
        <f t="shared" si="6"/>
        <v>10000000000</v>
      </c>
      <c r="AF108" s="22">
        <f t="shared" si="6"/>
        <v>100000000000</v>
      </c>
      <c r="AG108" s="22">
        <f t="shared" si="6"/>
        <v>1000000000000</v>
      </c>
      <c r="AH108" s="22">
        <f t="shared" si="6"/>
        <v>10000000000000</v>
      </c>
      <c r="AI108" s="22">
        <f t="shared" si="6"/>
        <v>100000000000000</v>
      </c>
      <c r="AJ108" s="22">
        <f t="shared" si="6"/>
        <v>1000000000000000</v>
      </c>
    </row>
    <row r="109" spans="1:36" x14ac:dyDescent="0.25">
      <c r="A109" s="11" t="s">
        <v>18</v>
      </c>
      <c r="B109" s="24" t="s">
        <v>19</v>
      </c>
      <c r="C109" s="24"/>
      <c r="D109" s="111"/>
      <c r="E109" s="25" t="s">
        <v>23</v>
      </c>
      <c r="F109" s="26">
        <f>INDEX($J$72:$J$102,COLUMN(A72),1)</f>
        <v>5601.8925069571324</v>
      </c>
      <c r="G109" s="26">
        <f t="shared" ref="G109:AJ109" si="7">INDEX($J$72:$J$102,COLUMN(B72),1)</f>
        <v>5485.8790565962363</v>
      </c>
      <c r="H109" s="26">
        <f t="shared" si="7"/>
        <v>5333.8371344694751</v>
      </c>
      <c r="I109" s="26">
        <f t="shared" si="7"/>
        <v>5205.3663921044663</v>
      </c>
      <c r="J109" s="26">
        <f t="shared" si="7"/>
        <v>5085.4336829219828</v>
      </c>
      <c r="K109" s="26">
        <f t="shared" si="7"/>
        <v>4939.1052819280185</v>
      </c>
      <c r="L109" s="26">
        <f t="shared" si="7"/>
        <v>4798.4011245719148</v>
      </c>
      <c r="M109" s="26">
        <f t="shared" si="7"/>
        <v>4612.1483720059186</v>
      </c>
      <c r="N109" s="26">
        <f t="shared" si="7"/>
        <v>4448.2185750157723</v>
      </c>
      <c r="O109" s="26">
        <f t="shared" si="7"/>
        <v>4293.5222313778368</v>
      </c>
      <c r="P109" s="26">
        <f t="shared" si="7"/>
        <v>4117.9207947614541</v>
      </c>
      <c r="Q109" s="26">
        <f t="shared" si="7"/>
        <v>3910.1651512420412</v>
      </c>
      <c r="R109" s="26">
        <f t="shared" si="7"/>
        <v>3678.7246116010783</v>
      </c>
      <c r="S109" s="26">
        <f t="shared" si="7"/>
        <v>3486.0095470694741</v>
      </c>
      <c r="T109" s="26">
        <f t="shared" si="7"/>
        <v>3300.217633801713</v>
      </c>
      <c r="U109" s="26">
        <f t="shared" si="7"/>
        <v>3139.2513577698996</v>
      </c>
      <c r="V109" s="26">
        <f t="shared" si="7"/>
        <v>2955.8680772374842</v>
      </c>
      <c r="W109" s="26">
        <f t="shared" si="7"/>
        <v>2769.0967546616071</v>
      </c>
      <c r="X109" s="26">
        <f t="shared" si="7"/>
        <v>2630.3207633993934</v>
      </c>
      <c r="Y109" s="26">
        <f t="shared" si="7"/>
        <v>2427.9503951109282</v>
      </c>
      <c r="Z109" s="26">
        <f t="shared" si="7"/>
        <v>2213.5929893020766</v>
      </c>
      <c r="AA109" s="26">
        <f t="shared" si="7"/>
        <v>2012.5911993145396</v>
      </c>
      <c r="AB109" s="26">
        <f t="shared" si="7"/>
        <v>1730.2986832896065</v>
      </c>
      <c r="AC109" s="26">
        <f t="shared" si="7"/>
        <v>1407.7220108273536</v>
      </c>
      <c r="AD109" s="26">
        <f t="shared" si="7"/>
        <v>1079.7928595826206</v>
      </c>
      <c r="AE109" s="26">
        <f t="shared" si="7"/>
        <v>765.50531118411004</v>
      </c>
      <c r="AF109" s="26">
        <f t="shared" si="7"/>
        <v>527.13368455244608</v>
      </c>
      <c r="AG109" s="26">
        <f t="shared" si="7"/>
        <v>390.64607841221624</v>
      </c>
      <c r="AH109" s="26">
        <f t="shared" si="7"/>
        <v>317.04411250990495</v>
      </c>
      <c r="AI109" s="26">
        <f t="shared" si="7"/>
        <v>284.07968124978095</v>
      </c>
      <c r="AJ109" s="26">
        <f t="shared" si="7"/>
        <v>265.08253847122182</v>
      </c>
    </row>
    <row r="110" spans="1:36" x14ac:dyDescent="0.25">
      <c r="A110" s="14" t="s">
        <v>20</v>
      </c>
      <c r="B110" s="105">
        <v>1.8333785507747224E-2</v>
      </c>
      <c r="C110" s="18">
        <f>ABS(B110/$B$142)</f>
        <v>1.1343437036247121E-2</v>
      </c>
      <c r="D110" s="111"/>
      <c r="E110" s="77" t="s">
        <v>22</v>
      </c>
      <c r="F110" s="27">
        <f>($C$110+SUM(F111:F141))*$B$144</f>
        <v>5574.3361256856788</v>
      </c>
      <c r="G110" s="27">
        <f t="shared" ref="G110:AJ110" si="8">($C$110+SUM(G111:G141))*$B$144</f>
        <v>5521.5219885927081</v>
      </c>
      <c r="H110" s="27">
        <f t="shared" si="8"/>
        <v>5324.4028767401669</v>
      </c>
      <c r="I110" s="27">
        <f t="shared" si="8"/>
        <v>5206.9036859189418</v>
      </c>
      <c r="J110" s="27">
        <f t="shared" si="8"/>
        <v>5085.224188738448</v>
      </c>
      <c r="K110" s="27">
        <f t="shared" si="8"/>
        <v>4939.1127524157373</v>
      </c>
      <c r="L110" s="27">
        <f t="shared" si="8"/>
        <v>4798.4655692511697</v>
      </c>
      <c r="M110" s="27">
        <f t="shared" si="8"/>
        <v>4611.9502903687635</v>
      </c>
      <c r="N110" s="27">
        <f t="shared" si="8"/>
        <v>4448.7030370040893</v>
      </c>
      <c r="O110" s="27">
        <f t="shared" si="8"/>
        <v>4292.5385609694595</v>
      </c>
      <c r="P110" s="27">
        <f t="shared" si="8"/>
        <v>4119.6032286246336</v>
      </c>
      <c r="Q110" s="27">
        <f t="shared" si="8"/>
        <v>3907.7318747000099</v>
      </c>
      <c r="R110" s="27">
        <f t="shared" si="8"/>
        <v>3681.716357154889</v>
      </c>
      <c r="S110" s="27">
        <f t="shared" si="8"/>
        <v>3482.8684162922991</v>
      </c>
      <c r="T110" s="27">
        <f t="shared" si="8"/>
        <v>3303.0439740636593</v>
      </c>
      <c r="U110" s="27">
        <f t="shared" si="8"/>
        <v>3137.0657204225918</v>
      </c>
      <c r="V110" s="27">
        <f t="shared" si="8"/>
        <v>2957.3232391287588</v>
      </c>
      <c r="W110" s="27">
        <f t="shared" si="8"/>
        <v>2768.2603503307078</v>
      </c>
      <c r="X110" s="27">
        <f t="shared" si="8"/>
        <v>2630.7371661362727</v>
      </c>
      <c r="Y110" s="27">
        <f t="shared" si="8"/>
        <v>2427.7717593841849</v>
      </c>
      <c r="Z110" s="27">
        <f t="shared" si="8"/>
        <v>2213.6598514417037</v>
      </c>
      <c r="AA110" s="27">
        <f t="shared" si="8"/>
        <v>2012.569466739453</v>
      </c>
      <c r="AB110" s="27">
        <f t="shared" si="8"/>
        <v>1730.3081420345827</v>
      </c>
      <c r="AC110" s="27">
        <f t="shared" si="8"/>
        <v>1407.7121319201972</v>
      </c>
      <c r="AD110" s="27">
        <f t="shared" si="8"/>
        <v>1079.805916008168</v>
      </c>
      <c r="AE110" s="27">
        <f t="shared" si="8"/>
        <v>765.48853818322209</v>
      </c>
      <c r="AF110" s="27">
        <f t="shared" si="8"/>
        <v>527.15527754167431</v>
      </c>
      <c r="AG110" s="27">
        <f t="shared" si="8"/>
        <v>390.61812875353911</v>
      </c>
      <c r="AH110" s="27">
        <f t="shared" si="8"/>
        <v>317.08015593434629</v>
      </c>
      <c r="AI110" s="27">
        <f t="shared" si="8"/>
        <v>284.05622891656844</v>
      </c>
      <c r="AJ110" s="27">
        <f t="shared" si="8"/>
        <v>265.08554186709426</v>
      </c>
    </row>
    <row r="111" spans="1:36" x14ac:dyDescent="0.25">
      <c r="A111" s="3">
        <f>0.000000000000001/10^5</f>
        <v>1.0000000000000001E-20</v>
      </c>
      <c r="B111" s="105">
        <v>9.5587191615969687E-3</v>
      </c>
      <c r="C111" s="18">
        <f t="shared" ref="C111:C141" si="9">ABS(B111/$B$142)</f>
        <v>5.9141484398257983E-3</v>
      </c>
      <c r="D111" s="17"/>
      <c r="E111" s="11"/>
      <c r="F111" s="3">
        <f>$C111*EXP(-F$108/$A111)</f>
        <v>0</v>
      </c>
      <c r="G111" s="3">
        <f t="shared" ref="G111:AJ119" si="10">$C111*EXP(-G$108/$A111)</f>
        <v>0</v>
      </c>
      <c r="H111" s="3">
        <f t="shared" si="10"/>
        <v>0</v>
      </c>
      <c r="I111" s="3">
        <f t="shared" si="10"/>
        <v>0</v>
      </c>
      <c r="J111" s="3">
        <f t="shared" si="10"/>
        <v>0</v>
      </c>
      <c r="K111" s="3">
        <f t="shared" si="10"/>
        <v>0</v>
      </c>
      <c r="L111" s="3">
        <f t="shared" si="10"/>
        <v>0</v>
      </c>
      <c r="M111" s="3">
        <f t="shared" si="10"/>
        <v>0</v>
      </c>
      <c r="N111" s="3">
        <f t="shared" si="10"/>
        <v>0</v>
      </c>
      <c r="O111" s="3">
        <f t="shared" si="10"/>
        <v>0</v>
      </c>
      <c r="P111" s="3">
        <f t="shared" si="10"/>
        <v>0</v>
      </c>
      <c r="Q111" s="3">
        <f t="shared" si="10"/>
        <v>0</v>
      </c>
      <c r="R111" s="3">
        <f t="shared" si="10"/>
        <v>0</v>
      </c>
      <c r="S111" s="3">
        <f t="shared" si="10"/>
        <v>0</v>
      </c>
      <c r="T111" s="3">
        <f t="shared" si="10"/>
        <v>0</v>
      </c>
      <c r="U111" s="3">
        <f t="shared" si="10"/>
        <v>0</v>
      </c>
      <c r="V111" s="3">
        <f t="shared" si="10"/>
        <v>0</v>
      </c>
      <c r="W111" s="3">
        <f t="shared" si="10"/>
        <v>0</v>
      </c>
      <c r="X111" s="3">
        <f t="shared" si="10"/>
        <v>0</v>
      </c>
      <c r="Y111" s="3">
        <f t="shared" si="10"/>
        <v>0</v>
      </c>
      <c r="Z111" s="3">
        <f t="shared" si="10"/>
        <v>0</v>
      </c>
      <c r="AA111" s="3">
        <f t="shared" si="10"/>
        <v>0</v>
      </c>
      <c r="AB111" s="3">
        <f t="shared" si="10"/>
        <v>0</v>
      </c>
      <c r="AC111" s="3">
        <f t="shared" si="10"/>
        <v>0</v>
      </c>
      <c r="AD111" s="3">
        <f t="shared" si="10"/>
        <v>0</v>
      </c>
      <c r="AE111" s="3">
        <f t="shared" si="10"/>
        <v>0</v>
      </c>
      <c r="AF111" s="3">
        <f t="shared" si="10"/>
        <v>0</v>
      </c>
      <c r="AG111" s="3">
        <f t="shared" si="10"/>
        <v>0</v>
      </c>
      <c r="AH111" s="3">
        <f t="shared" si="10"/>
        <v>0</v>
      </c>
      <c r="AI111" s="3">
        <f t="shared" si="10"/>
        <v>0</v>
      </c>
      <c r="AJ111" s="3">
        <f t="shared" si="10"/>
        <v>0</v>
      </c>
    </row>
    <row r="112" spans="1:36" x14ac:dyDescent="0.25">
      <c r="A112" s="3">
        <v>3.9038946506297401E-14</v>
      </c>
      <c r="B112" s="105">
        <v>7.2221512734176332E-2</v>
      </c>
      <c r="C112" s="18">
        <f t="shared" si="9"/>
        <v>4.4684726022155452E-2</v>
      </c>
      <c r="D112" s="17"/>
      <c r="E112" s="11"/>
      <c r="F112" s="3">
        <f t="shared" ref="F112:U141" si="11">$C112*EXP(-F$108/$A112)</f>
        <v>4.3554642453997393E-2</v>
      </c>
      <c r="G112" s="3">
        <f t="shared" si="11"/>
        <v>3.4586979291832805E-2</v>
      </c>
      <c r="H112" s="3">
        <f t="shared" si="11"/>
        <v>3.4490099209750517E-3</v>
      </c>
      <c r="I112" s="3">
        <f t="shared" si="11"/>
        <v>3.3536098832059372E-13</v>
      </c>
      <c r="J112" s="3">
        <f t="shared" si="11"/>
        <v>2.5333401917511054E-113</v>
      </c>
      <c r="K112" s="3">
        <f t="shared" si="11"/>
        <v>0</v>
      </c>
      <c r="L112" s="3">
        <f t="shared" si="11"/>
        <v>0</v>
      </c>
      <c r="M112" s="3">
        <f t="shared" si="11"/>
        <v>0</v>
      </c>
      <c r="N112" s="3">
        <f t="shared" si="11"/>
        <v>0</v>
      </c>
      <c r="O112" s="3">
        <f t="shared" si="11"/>
        <v>0</v>
      </c>
      <c r="P112" s="3">
        <f t="shared" si="11"/>
        <v>0</v>
      </c>
      <c r="Q112" s="3">
        <f t="shared" si="11"/>
        <v>0</v>
      </c>
      <c r="R112" s="3">
        <f t="shared" si="11"/>
        <v>0</v>
      </c>
      <c r="S112" s="3">
        <f t="shared" si="11"/>
        <v>0</v>
      </c>
      <c r="T112" s="3">
        <f t="shared" si="11"/>
        <v>0</v>
      </c>
      <c r="U112" s="3">
        <f t="shared" si="11"/>
        <v>0</v>
      </c>
      <c r="V112" s="3">
        <f t="shared" si="10"/>
        <v>0</v>
      </c>
      <c r="W112" s="3">
        <f t="shared" si="10"/>
        <v>0</v>
      </c>
      <c r="X112" s="3">
        <f t="shared" si="10"/>
        <v>0</v>
      </c>
      <c r="Y112" s="3">
        <f t="shared" si="10"/>
        <v>0</v>
      </c>
      <c r="Z112" s="3">
        <f t="shared" si="10"/>
        <v>0</v>
      </c>
      <c r="AA112" s="3">
        <f t="shared" si="10"/>
        <v>0</v>
      </c>
      <c r="AB112" s="3">
        <f t="shared" si="10"/>
        <v>0</v>
      </c>
      <c r="AC112" s="3">
        <f t="shared" si="10"/>
        <v>0</v>
      </c>
      <c r="AD112" s="3">
        <f t="shared" si="10"/>
        <v>0</v>
      </c>
      <c r="AE112" s="3">
        <f t="shared" si="10"/>
        <v>0</v>
      </c>
      <c r="AF112" s="3">
        <f t="shared" si="10"/>
        <v>0</v>
      </c>
      <c r="AG112" s="3">
        <f t="shared" si="10"/>
        <v>0</v>
      </c>
      <c r="AH112" s="3">
        <f t="shared" si="10"/>
        <v>0</v>
      </c>
      <c r="AI112" s="3">
        <f t="shared" si="10"/>
        <v>0</v>
      </c>
      <c r="AJ112" s="3">
        <f t="shared" si="10"/>
        <v>0</v>
      </c>
    </row>
    <row r="113" spans="1:36" x14ac:dyDescent="0.25">
      <c r="A113" s="3">
        <v>4.3276437088188502E-13</v>
      </c>
      <c r="B113" s="105">
        <v>3.0979468312232129E-2</v>
      </c>
      <c r="C113" s="18">
        <f t="shared" si="9"/>
        <v>1.9167544425984624E-2</v>
      </c>
      <c r="D113" s="17"/>
      <c r="E113" s="11"/>
      <c r="F113" s="3">
        <f t="shared" si="11"/>
        <v>1.9123304610307815E-2</v>
      </c>
      <c r="G113" s="3">
        <f t="shared" si="10"/>
        <v>1.8729712966463835E-2</v>
      </c>
      <c r="H113" s="3">
        <f t="shared" si="10"/>
        <v>1.5212931570000858E-2</v>
      </c>
      <c r="I113" s="3">
        <f t="shared" si="10"/>
        <v>1.901213155705706E-3</v>
      </c>
      <c r="J113" s="3">
        <f t="shared" si="10"/>
        <v>1.7668911734246331E-12</v>
      </c>
      <c r="K113" s="3">
        <f t="shared" si="10"/>
        <v>8.4917989899929727E-103</v>
      </c>
      <c r="L113" s="3">
        <f t="shared" si="10"/>
        <v>0</v>
      </c>
      <c r="M113" s="3">
        <f t="shared" si="10"/>
        <v>0</v>
      </c>
      <c r="N113" s="3">
        <f t="shared" si="10"/>
        <v>0</v>
      </c>
      <c r="O113" s="3">
        <f t="shared" si="10"/>
        <v>0</v>
      </c>
      <c r="P113" s="3">
        <f t="shared" si="10"/>
        <v>0</v>
      </c>
      <c r="Q113" s="3">
        <f t="shared" si="10"/>
        <v>0</v>
      </c>
      <c r="R113" s="3">
        <f t="shared" si="10"/>
        <v>0</v>
      </c>
      <c r="S113" s="3">
        <f t="shared" si="10"/>
        <v>0</v>
      </c>
      <c r="T113" s="3">
        <f t="shared" si="10"/>
        <v>0</v>
      </c>
      <c r="U113" s="3">
        <f t="shared" si="10"/>
        <v>0</v>
      </c>
      <c r="V113" s="3">
        <f t="shared" si="10"/>
        <v>0</v>
      </c>
      <c r="W113" s="3">
        <f t="shared" si="10"/>
        <v>0</v>
      </c>
      <c r="X113" s="3">
        <f t="shared" si="10"/>
        <v>0</v>
      </c>
      <c r="Y113" s="3">
        <f t="shared" si="10"/>
        <v>0</v>
      </c>
      <c r="Z113" s="3">
        <f t="shared" si="10"/>
        <v>0</v>
      </c>
      <c r="AA113" s="3">
        <f t="shared" si="10"/>
        <v>0</v>
      </c>
      <c r="AB113" s="3">
        <f t="shared" si="10"/>
        <v>0</v>
      </c>
      <c r="AC113" s="3">
        <f t="shared" si="10"/>
        <v>0</v>
      </c>
      <c r="AD113" s="3">
        <f t="shared" si="10"/>
        <v>0</v>
      </c>
      <c r="AE113" s="3">
        <f t="shared" si="10"/>
        <v>0</v>
      </c>
      <c r="AF113" s="3">
        <f t="shared" si="10"/>
        <v>0</v>
      </c>
      <c r="AG113" s="3">
        <f t="shared" si="10"/>
        <v>0</v>
      </c>
      <c r="AH113" s="3">
        <f t="shared" si="10"/>
        <v>0</v>
      </c>
      <c r="AI113" s="3">
        <f t="shared" si="10"/>
        <v>0</v>
      </c>
      <c r="AJ113" s="3">
        <f t="shared" si="10"/>
        <v>0</v>
      </c>
    </row>
    <row r="114" spans="1:36" x14ac:dyDescent="0.25">
      <c r="A114" s="3">
        <v>4.7973886968128502E-12</v>
      </c>
      <c r="B114" s="105">
        <v>3.5151103862410563E-2</v>
      </c>
      <c r="C114" s="18">
        <f t="shared" si="9"/>
        <v>2.174860905017929E-2</v>
      </c>
      <c r="D114" s="17"/>
      <c r="E114" s="11"/>
      <c r="F114" s="3">
        <f t="shared" si="11"/>
        <v>2.1744076096135174E-2</v>
      </c>
      <c r="G114" s="3">
        <f t="shared" si="10"/>
        <v>2.1703322001261325E-2</v>
      </c>
      <c r="H114" s="3">
        <f t="shared" si="10"/>
        <v>2.1299958630641633E-2</v>
      </c>
      <c r="I114" s="3">
        <f t="shared" si="10"/>
        <v>1.7656483816028596E-2</v>
      </c>
      <c r="J114" s="3">
        <f t="shared" si="10"/>
        <v>2.7049474237097739E-3</v>
      </c>
      <c r="K114" s="3">
        <f t="shared" si="10"/>
        <v>1.9262156290136622E-11</v>
      </c>
      <c r="L114" s="3">
        <f t="shared" si="10"/>
        <v>6.4590053554443694E-93</v>
      </c>
      <c r="M114" s="3">
        <f t="shared" si="10"/>
        <v>0</v>
      </c>
      <c r="N114" s="3">
        <f t="shared" si="10"/>
        <v>0</v>
      </c>
      <c r="O114" s="3">
        <f t="shared" si="10"/>
        <v>0</v>
      </c>
      <c r="P114" s="3">
        <f t="shared" si="10"/>
        <v>0</v>
      </c>
      <c r="Q114" s="3">
        <f t="shared" si="10"/>
        <v>0</v>
      </c>
      <c r="R114" s="3">
        <f t="shared" si="10"/>
        <v>0</v>
      </c>
      <c r="S114" s="3">
        <f t="shared" si="10"/>
        <v>0</v>
      </c>
      <c r="T114" s="3">
        <f t="shared" si="10"/>
        <v>0</v>
      </c>
      <c r="U114" s="3">
        <f t="shared" si="10"/>
        <v>0</v>
      </c>
      <c r="V114" s="3">
        <f t="shared" si="10"/>
        <v>0</v>
      </c>
      <c r="W114" s="3">
        <f t="shared" si="10"/>
        <v>0</v>
      </c>
      <c r="X114" s="3">
        <f t="shared" si="10"/>
        <v>0</v>
      </c>
      <c r="Y114" s="3">
        <f t="shared" si="10"/>
        <v>0</v>
      </c>
      <c r="Z114" s="3">
        <f t="shared" si="10"/>
        <v>0</v>
      </c>
      <c r="AA114" s="3">
        <f t="shared" si="10"/>
        <v>0</v>
      </c>
      <c r="AB114" s="3">
        <f t="shared" si="10"/>
        <v>0</v>
      </c>
      <c r="AC114" s="3">
        <f t="shared" si="10"/>
        <v>0</v>
      </c>
      <c r="AD114" s="3">
        <f t="shared" si="10"/>
        <v>0</v>
      </c>
      <c r="AE114" s="3">
        <f t="shared" si="10"/>
        <v>0</v>
      </c>
      <c r="AF114" s="3">
        <f t="shared" si="10"/>
        <v>0</v>
      </c>
      <c r="AG114" s="3">
        <f t="shared" si="10"/>
        <v>0</v>
      </c>
      <c r="AH114" s="3">
        <f t="shared" si="10"/>
        <v>0</v>
      </c>
      <c r="AI114" s="3">
        <f t="shared" si="10"/>
        <v>0</v>
      </c>
      <c r="AJ114" s="3">
        <f t="shared" si="10"/>
        <v>0</v>
      </c>
    </row>
    <row r="115" spans="1:36" x14ac:dyDescent="0.25">
      <c r="A115" s="3">
        <v>5.31812225239524E-11</v>
      </c>
      <c r="B115" s="105">
        <v>4.6688356746679489E-2</v>
      </c>
      <c r="C115" s="18">
        <f t="shared" si="9"/>
        <v>2.8886911263252692E-2</v>
      </c>
      <c r="D115" s="17"/>
      <c r="E115" s="11"/>
      <c r="F115" s="3">
        <f t="shared" si="11"/>
        <v>2.8886368089585286E-2</v>
      </c>
      <c r="G115" s="3">
        <f t="shared" si="10"/>
        <v>2.888147998616488E-2</v>
      </c>
      <c r="H115" s="3">
        <f t="shared" si="10"/>
        <v>2.8832644422496199E-2</v>
      </c>
      <c r="I115" s="3">
        <f t="shared" si="10"/>
        <v>2.8348807495900016E-2</v>
      </c>
      <c r="J115" s="3">
        <f t="shared" si="10"/>
        <v>2.393525079470608E-2</v>
      </c>
      <c r="K115" s="3">
        <f t="shared" si="10"/>
        <v>4.4062573422221337E-3</v>
      </c>
      <c r="L115" s="3">
        <f t="shared" si="10"/>
        <v>1.9696479759110919E-10</v>
      </c>
      <c r="M115" s="3">
        <f t="shared" si="10"/>
        <v>6.2744573982076602E-84</v>
      </c>
      <c r="N115" s="3">
        <f t="shared" si="10"/>
        <v>0</v>
      </c>
      <c r="O115" s="3">
        <f t="shared" si="10"/>
        <v>0</v>
      </c>
      <c r="P115" s="3">
        <f t="shared" si="10"/>
        <v>0</v>
      </c>
      <c r="Q115" s="3">
        <f t="shared" si="10"/>
        <v>0</v>
      </c>
      <c r="R115" s="3">
        <f t="shared" si="10"/>
        <v>0</v>
      </c>
      <c r="S115" s="3">
        <f t="shared" si="10"/>
        <v>0</v>
      </c>
      <c r="T115" s="3">
        <f t="shared" si="10"/>
        <v>0</v>
      </c>
      <c r="U115" s="3">
        <f t="shared" si="10"/>
        <v>0</v>
      </c>
      <c r="V115" s="3">
        <f t="shared" si="10"/>
        <v>0</v>
      </c>
      <c r="W115" s="3">
        <f t="shared" si="10"/>
        <v>0</v>
      </c>
      <c r="X115" s="3">
        <f t="shared" si="10"/>
        <v>0</v>
      </c>
      <c r="Y115" s="3">
        <f t="shared" si="10"/>
        <v>0</v>
      </c>
      <c r="Z115" s="3">
        <f t="shared" si="10"/>
        <v>0</v>
      </c>
      <c r="AA115" s="3">
        <f t="shared" si="10"/>
        <v>0</v>
      </c>
      <c r="AB115" s="3">
        <f t="shared" si="10"/>
        <v>0</v>
      </c>
      <c r="AC115" s="3">
        <f t="shared" si="10"/>
        <v>0</v>
      </c>
      <c r="AD115" s="3">
        <f t="shared" si="10"/>
        <v>0</v>
      </c>
      <c r="AE115" s="3">
        <f t="shared" si="10"/>
        <v>0</v>
      </c>
      <c r="AF115" s="3">
        <f t="shared" si="10"/>
        <v>0</v>
      </c>
      <c r="AG115" s="3">
        <f t="shared" si="10"/>
        <v>0</v>
      </c>
      <c r="AH115" s="3">
        <f t="shared" si="10"/>
        <v>0</v>
      </c>
      <c r="AI115" s="3">
        <f t="shared" si="10"/>
        <v>0</v>
      </c>
      <c r="AJ115" s="3">
        <f t="shared" si="10"/>
        <v>0</v>
      </c>
    </row>
    <row r="116" spans="1:36" x14ac:dyDescent="0.25">
      <c r="A116" s="3">
        <v>5.8953789402578301E-10</v>
      </c>
      <c r="B116" s="105">
        <v>3.7294046545390237E-2</v>
      </c>
      <c r="C116" s="18">
        <f t="shared" si="9"/>
        <v>2.3074485552137633E-2</v>
      </c>
      <c r="D116" s="17"/>
      <c r="E116" s="11"/>
      <c r="F116" s="3">
        <f t="shared" si="11"/>
        <v>2.3074446412217679E-2</v>
      </c>
      <c r="G116" s="3">
        <f t="shared" si="10"/>
        <v>2.3074094155925661E-2</v>
      </c>
      <c r="H116" s="3">
        <f t="shared" si="10"/>
        <v>2.3070571888758412E-2</v>
      </c>
      <c r="I116" s="3">
        <f t="shared" si="10"/>
        <v>2.3035378775678215E-2</v>
      </c>
      <c r="J116" s="3">
        <f t="shared" si="10"/>
        <v>2.2686386875922355E-2</v>
      </c>
      <c r="K116" s="3">
        <f t="shared" si="10"/>
        <v>1.9474445230957003E-2</v>
      </c>
      <c r="L116" s="3">
        <f t="shared" si="10"/>
        <v>4.2311917098681231E-3</v>
      </c>
      <c r="M116" s="3">
        <f t="shared" si="10"/>
        <v>9.9183353117264586E-10</v>
      </c>
      <c r="N116" s="3">
        <f t="shared" si="10"/>
        <v>4.9682062927559258E-76</v>
      </c>
      <c r="O116" s="3">
        <f t="shared" si="10"/>
        <v>0</v>
      </c>
      <c r="P116" s="3">
        <f t="shared" si="10"/>
        <v>0</v>
      </c>
      <c r="Q116" s="3">
        <f t="shared" si="10"/>
        <v>0</v>
      </c>
      <c r="R116" s="3">
        <f t="shared" si="10"/>
        <v>0</v>
      </c>
      <c r="S116" s="3">
        <f t="shared" si="10"/>
        <v>0</v>
      </c>
      <c r="T116" s="3">
        <f t="shared" si="10"/>
        <v>0</v>
      </c>
      <c r="U116" s="3">
        <f t="shared" si="10"/>
        <v>0</v>
      </c>
      <c r="V116" s="3">
        <f t="shared" si="10"/>
        <v>0</v>
      </c>
      <c r="W116" s="3">
        <f t="shared" si="10"/>
        <v>0</v>
      </c>
      <c r="X116" s="3">
        <f t="shared" si="10"/>
        <v>0</v>
      </c>
      <c r="Y116" s="3">
        <f t="shared" si="10"/>
        <v>0</v>
      </c>
      <c r="Z116" s="3">
        <f t="shared" si="10"/>
        <v>0</v>
      </c>
      <c r="AA116" s="3">
        <f t="shared" si="10"/>
        <v>0</v>
      </c>
      <c r="AB116" s="3">
        <f t="shared" si="10"/>
        <v>0</v>
      </c>
      <c r="AC116" s="3">
        <f t="shared" si="10"/>
        <v>0</v>
      </c>
      <c r="AD116" s="3">
        <f t="shared" si="10"/>
        <v>0</v>
      </c>
      <c r="AE116" s="3">
        <f t="shared" si="10"/>
        <v>0</v>
      </c>
      <c r="AF116" s="3">
        <f t="shared" si="10"/>
        <v>0</v>
      </c>
      <c r="AG116" s="3">
        <f t="shared" si="10"/>
        <v>0</v>
      </c>
      <c r="AH116" s="3">
        <f t="shared" si="10"/>
        <v>0</v>
      </c>
      <c r="AI116" s="3">
        <f t="shared" si="10"/>
        <v>0</v>
      </c>
      <c r="AJ116" s="3">
        <f t="shared" si="10"/>
        <v>0</v>
      </c>
    </row>
    <row r="117" spans="1:36" x14ac:dyDescent="0.25">
      <c r="A117" s="3">
        <v>6.5352940755699598E-9</v>
      </c>
      <c r="B117" s="105">
        <v>6.4125196535487317E-2</v>
      </c>
      <c r="C117" s="18">
        <f t="shared" si="9"/>
        <v>3.9675392134913889E-2</v>
      </c>
      <c r="D117" s="17"/>
      <c r="E117" s="11"/>
      <c r="F117" s="3">
        <f t="shared" si="11"/>
        <v>3.9675386063972223E-2</v>
      </c>
      <c r="G117" s="3">
        <f t="shared" si="10"/>
        <v>3.9675331425539036E-2</v>
      </c>
      <c r="H117" s="3">
        <f t="shared" si="10"/>
        <v>3.9674785045345606E-2</v>
      </c>
      <c r="I117" s="3">
        <f t="shared" si="10"/>
        <v>3.9669321657233782E-2</v>
      </c>
      <c r="J117" s="3">
        <f t="shared" si="10"/>
        <v>3.9614729137285379E-2</v>
      </c>
      <c r="K117" s="3">
        <f t="shared" si="10"/>
        <v>3.9072919056982659E-2</v>
      </c>
      <c r="L117" s="3">
        <f t="shared" si="10"/>
        <v>3.4046112220351081E-2</v>
      </c>
      <c r="M117" s="3">
        <f t="shared" si="10"/>
        <v>8.5898229524057051E-3</v>
      </c>
      <c r="N117" s="3">
        <f t="shared" si="10"/>
        <v>8.9774103094257876E-9</v>
      </c>
      <c r="O117" s="3">
        <f t="shared" si="10"/>
        <v>1.3957887662567708E-68</v>
      </c>
      <c r="P117" s="3">
        <f t="shared" si="10"/>
        <v>0</v>
      </c>
      <c r="Q117" s="3">
        <f t="shared" si="10"/>
        <v>0</v>
      </c>
      <c r="R117" s="3">
        <f t="shared" si="10"/>
        <v>0</v>
      </c>
      <c r="S117" s="3">
        <f t="shared" si="10"/>
        <v>0</v>
      </c>
      <c r="T117" s="3">
        <f t="shared" si="10"/>
        <v>0</v>
      </c>
      <c r="U117" s="3">
        <f t="shared" si="10"/>
        <v>0</v>
      </c>
      <c r="V117" s="3">
        <f t="shared" si="10"/>
        <v>0</v>
      </c>
      <c r="W117" s="3">
        <f t="shared" si="10"/>
        <v>0</v>
      </c>
      <c r="X117" s="3">
        <f t="shared" si="10"/>
        <v>0</v>
      </c>
      <c r="Y117" s="3">
        <f t="shared" si="10"/>
        <v>0</v>
      </c>
      <c r="Z117" s="3">
        <f t="shared" si="10"/>
        <v>0</v>
      </c>
      <c r="AA117" s="3">
        <f t="shared" si="10"/>
        <v>0</v>
      </c>
      <c r="AB117" s="3">
        <f t="shared" si="10"/>
        <v>0</v>
      </c>
      <c r="AC117" s="3">
        <f t="shared" si="10"/>
        <v>0</v>
      </c>
      <c r="AD117" s="3">
        <f t="shared" si="10"/>
        <v>0</v>
      </c>
      <c r="AE117" s="3">
        <f t="shared" si="10"/>
        <v>0</v>
      </c>
      <c r="AF117" s="3">
        <f t="shared" si="10"/>
        <v>0</v>
      </c>
      <c r="AG117" s="3">
        <f t="shared" si="10"/>
        <v>0</v>
      </c>
      <c r="AH117" s="3">
        <f t="shared" si="10"/>
        <v>0</v>
      </c>
      <c r="AI117" s="3">
        <f t="shared" si="10"/>
        <v>0</v>
      </c>
      <c r="AJ117" s="3">
        <f t="shared" si="10"/>
        <v>0</v>
      </c>
    </row>
    <row r="118" spans="1:36" x14ac:dyDescent="0.25">
      <c r="A118" s="3">
        <v>7.2446689325643296E-8</v>
      </c>
      <c r="B118" s="105">
        <v>4.4500519500691116E-2</v>
      </c>
      <c r="C118" s="18">
        <f t="shared" si="9"/>
        <v>2.7533257701911618E-2</v>
      </c>
      <c r="D118" s="17"/>
      <c r="E118" s="11"/>
      <c r="F118" s="3">
        <f t="shared" si="11"/>
        <v>2.753325732186309E-2</v>
      </c>
      <c r="G118" s="3">
        <f t="shared" si="10"/>
        <v>2.753325390142659E-2</v>
      </c>
      <c r="H118" s="3">
        <f t="shared" si="10"/>
        <v>2.7533219697084957E-2</v>
      </c>
      <c r="I118" s="3">
        <f t="shared" si="10"/>
        <v>2.7532877656005657E-2</v>
      </c>
      <c r="J118" s="3">
        <f t="shared" si="10"/>
        <v>2.7529457478905849E-2</v>
      </c>
      <c r="K118" s="3">
        <f t="shared" si="10"/>
        <v>2.7495279066487778E-2</v>
      </c>
      <c r="L118" s="3">
        <f t="shared" si="10"/>
        <v>2.7155820099160215E-2</v>
      </c>
      <c r="M118" s="3">
        <f t="shared" si="10"/>
        <v>2.3983404510458529E-2</v>
      </c>
      <c r="N118" s="3">
        <f t="shared" si="10"/>
        <v>6.9245240453196608E-3</v>
      </c>
      <c r="O118" s="3">
        <f t="shared" si="10"/>
        <v>2.7872818073899342E-8</v>
      </c>
      <c r="P118" s="3">
        <f t="shared" si="10"/>
        <v>3.1123641549858668E-62</v>
      </c>
      <c r="Q118" s="3">
        <f t="shared" si="10"/>
        <v>0</v>
      </c>
      <c r="R118" s="3">
        <f t="shared" si="10"/>
        <v>0</v>
      </c>
      <c r="S118" s="3">
        <f t="shared" si="10"/>
        <v>0</v>
      </c>
      <c r="T118" s="3">
        <f t="shared" si="10"/>
        <v>0</v>
      </c>
      <c r="U118" s="3">
        <f t="shared" si="10"/>
        <v>0</v>
      </c>
      <c r="V118" s="3">
        <f t="shared" si="10"/>
        <v>0</v>
      </c>
      <c r="W118" s="3">
        <f t="shared" si="10"/>
        <v>0</v>
      </c>
      <c r="X118" s="3">
        <f t="shared" si="10"/>
        <v>0</v>
      </c>
      <c r="Y118" s="3">
        <f t="shared" si="10"/>
        <v>0</v>
      </c>
      <c r="Z118" s="3">
        <f t="shared" si="10"/>
        <v>0</v>
      </c>
      <c r="AA118" s="3">
        <f t="shared" si="10"/>
        <v>0</v>
      </c>
      <c r="AB118" s="3">
        <f t="shared" si="10"/>
        <v>0</v>
      </c>
      <c r="AC118" s="3">
        <f t="shared" si="10"/>
        <v>0</v>
      </c>
      <c r="AD118" s="3">
        <f t="shared" si="10"/>
        <v>0</v>
      </c>
      <c r="AE118" s="3">
        <f t="shared" si="10"/>
        <v>0</v>
      </c>
      <c r="AF118" s="3">
        <f t="shared" si="10"/>
        <v>0</v>
      </c>
      <c r="AG118" s="3">
        <f t="shared" si="10"/>
        <v>0</v>
      </c>
      <c r="AH118" s="3">
        <f t="shared" si="10"/>
        <v>0</v>
      </c>
      <c r="AI118" s="3">
        <f t="shared" si="10"/>
        <v>0</v>
      </c>
      <c r="AJ118" s="3">
        <f t="shared" si="10"/>
        <v>0</v>
      </c>
    </row>
    <row r="119" spans="1:36" x14ac:dyDescent="0.25">
      <c r="A119" s="3">
        <v>8.03104303120212E-7</v>
      </c>
      <c r="B119" s="105">
        <v>4.7287580935830673E-2</v>
      </c>
      <c r="C119" s="18">
        <f t="shared" si="9"/>
        <v>2.9257661856869073E-2</v>
      </c>
      <c r="D119" s="17"/>
      <c r="E119" s="11"/>
      <c r="F119" s="3">
        <f t="shared" si="11"/>
        <v>2.925766182043836E-2</v>
      </c>
      <c r="G119" s="3">
        <f t="shared" si="10"/>
        <v>2.925766149256195E-2</v>
      </c>
      <c r="H119" s="3">
        <f t="shared" si="10"/>
        <v>2.9257658213798065E-2</v>
      </c>
      <c r="I119" s="3">
        <f t="shared" si="10"/>
        <v>2.92576254261794E-2</v>
      </c>
      <c r="J119" s="3">
        <f t="shared" si="10"/>
        <v>2.9257297552013645E-2</v>
      </c>
      <c r="K119" s="3">
        <f t="shared" si="10"/>
        <v>2.9254019012436142E-2</v>
      </c>
      <c r="L119" s="3">
        <f t="shared" si="10"/>
        <v>2.9221253816288126E-2</v>
      </c>
      <c r="M119" s="3">
        <f t="shared" si="10"/>
        <v>2.8895613466965706E-2</v>
      </c>
      <c r="N119" s="3">
        <f t="shared" si="10"/>
        <v>2.5832274394526986E-2</v>
      </c>
      <c r="O119" s="3">
        <f t="shared" si="10"/>
        <v>8.4230602126259841E-3</v>
      </c>
      <c r="P119" s="3">
        <f t="shared" si="10"/>
        <v>1.1443068725299352E-7</v>
      </c>
      <c r="Q119" s="3">
        <f t="shared" si="10"/>
        <v>2.4505779192785481E-56</v>
      </c>
      <c r="R119" s="3">
        <f t="shared" si="10"/>
        <v>0</v>
      </c>
      <c r="S119" s="3">
        <f t="shared" si="10"/>
        <v>0</v>
      </c>
      <c r="T119" s="3">
        <f t="shared" si="10"/>
        <v>0</v>
      </c>
      <c r="U119" s="3">
        <f t="shared" si="10"/>
        <v>0</v>
      </c>
      <c r="V119" s="3">
        <f t="shared" si="10"/>
        <v>0</v>
      </c>
      <c r="W119" s="3">
        <f t="shared" si="10"/>
        <v>0</v>
      </c>
      <c r="X119" s="3">
        <f t="shared" si="10"/>
        <v>0</v>
      </c>
      <c r="Y119" s="3">
        <f t="shared" si="10"/>
        <v>0</v>
      </c>
      <c r="Z119" s="3">
        <f t="shared" si="10"/>
        <v>0</v>
      </c>
      <c r="AA119" s="3">
        <f t="shared" si="10"/>
        <v>0</v>
      </c>
      <c r="AB119" s="3">
        <f t="shared" si="10"/>
        <v>0</v>
      </c>
      <c r="AC119" s="3">
        <f t="shared" si="10"/>
        <v>0</v>
      </c>
      <c r="AD119" s="3">
        <f t="shared" si="10"/>
        <v>0</v>
      </c>
      <c r="AE119" s="3">
        <f t="shared" si="10"/>
        <v>0</v>
      </c>
      <c r="AF119" s="3">
        <f t="shared" si="10"/>
        <v>0</v>
      </c>
      <c r="AG119" s="3">
        <f t="shared" si="10"/>
        <v>0</v>
      </c>
      <c r="AH119" s="3">
        <f t="shared" si="10"/>
        <v>0</v>
      </c>
      <c r="AI119" s="3">
        <f t="shared" si="10"/>
        <v>0</v>
      </c>
      <c r="AJ119" s="3">
        <f t="shared" si="10"/>
        <v>0</v>
      </c>
    </row>
    <row r="120" spans="1:36" x14ac:dyDescent="0.25">
      <c r="A120" s="3">
        <v>8.9027742702096099E-6</v>
      </c>
      <c r="B120" s="105">
        <v>5.1794921308859251E-2</v>
      </c>
      <c r="C120" s="18">
        <f t="shared" si="9"/>
        <v>3.2046432986583613E-2</v>
      </c>
      <c r="D120" s="17"/>
      <c r="E120" s="11"/>
      <c r="F120" s="3">
        <f t="shared" si="11"/>
        <v>3.2046432982984013E-2</v>
      </c>
      <c r="G120" s="3">
        <f t="shared" ref="G120:AJ128" si="12">$C120*EXP(-G$108/$A120)</f>
        <v>3.2046432950587608E-2</v>
      </c>
      <c r="H120" s="3">
        <f t="shared" si="12"/>
        <v>3.2046432626623537E-2</v>
      </c>
      <c r="I120" s="3">
        <f t="shared" si="12"/>
        <v>3.2046429386983058E-2</v>
      </c>
      <c r="J120" s="3">
        <f t="shared" si="12"/>
        <v>3.2046396990596276E-2</v>
      </c>
      <c r="K120" s="3">
        <f t="shared" si="12"/>
        <v>3.2046073028529701E-2</v>
      </c>
      <c r="L120" s="3">
        <f t="shared" si="12"/>
        <v>3.2042833587982572E-2</v>
      </c>
      <c r="M120" s="3">
        <f t="shared" si="12"/>
        <v>3.2010457187638765E-2</v>
      </c>
      <c r="N120" s="3">
        <f t="shared" si="12"/>
        <v>3.1688486980473239E-2</v>
      </c>
      <c r="O120" s="3">
        <f t="shared" si="12"/>
        <v>2.8641632600309136E-2</v>
      </c>
      <c r="P120" s="3">
        <f t="shared" si="12"/>
        <v>1.0422224628573978E-2</v>
      </c>
      <c r="Q120" s="3">
        <f t="shared" si="12"/>
        <v>4.2421598175472992E-7</v>
      </c>
      <c r="R120" s="3">
        <f t="shared" si="12"/>
        <v>5.2948418543181143E-51</v>
      </c>
      <c r="S120" s="3">
        <f t="shared" si="12"/>
        <v>0</v>
      </c>
      <c r="T120" s="3">
        <f t="shared" si="12"/>
        <v>0</v>
      </c>
      <c r="U120" s="3">
        <f t="shared" si="12"/>
        <v>0</v>
      </c>
      <c r="V120" s="3">
        <f t="shared" si="12"/>
        <v>0</v>
      </c>
      <c r="W120" s="3">
        <f t="shared" si="12"/>
        <v>0</v>
      </c>
      <c r="X120" s="3">
        <f t="shared" si="12"/>
        <v>0</v>
      </c>
      <c r="Y120" s="3">
        <f t="shared" si="12"/>
        <v>0</v>
      </c>
      <c r="Z120" s="3">
        <f t="shared" si="12"/>
        <v>0</v>
      </c>
      <c r="AA120" s="3">
        <f t="shared" si="12"/>
        <v>0</v>
      </c>
      <c r="AB120" s="3">
        <f t="shared" si="12"/>
        <v>0</v>
      </c>
      <c r="AC120" s="3">
        <f t="shared" si="12"/>
        <v>0</v>
      </c>
      <c r="AD120" s="3">
        <f t="shared" si="12"/>
        <v>0</v>
      </c>
      <c r="AE120" s="3">
        <f t="shared" si="12"/>
        <v>0</v>
      </c>
      <c r="AF120" s="3">
        <f t="shared" si="12"/>
        <v>0</v>
      </c>
      <c r="AG120" s="3">
        <f t="shared" si="12"/>
        <v>0</v>
      </c>
      <c r="AH120" s="3">
        <f t="shared" si="12"/>
        <v>0</v>
      </c>
      <c r="AI120" s="3">
        <f t="shared" si="12"/>
        <v>0</v>
      </c>
      <c r="AJ120" s="3">
        <f t="shared" si="12"/>
        <v>0</v>
      </c>
    </row>
    <row r="121" spans="1:36" x14ac:dyDescent="0.25">
      <c r="A121" s="3">
        <v>9.86912775817142E-5</v>
      </c>
      <c r="B121" s="105">
        <v>7.0929408876439712E-2</v>
      </c>
      <c r="C121" s="18">
        <f t="shared" si="9"/>
        <v>4.3885278534982995E-2</v>
      </c>
      <c r="D121" s="17"/>
      <c r="E121" s="11"/>
      <c r="F121" s="3">
        <f t="shared" si="11"/>
        <v>4.3885278534538323E-2</v>
      </c>
      <c r="G121" s="3">
        <f t="shared" si="12"/>
        <v>4.3885278530536274E-2</v>
      </c>
      <c r="H121" s="3">
        <f t="shared" si="12"/>
        <v>4.388527849051576E-2</v>
      </c>
      <c r="I121" s="3">
        <f t="shared" si="12"/>
        <v>4.3885278090310689E-2</v>
      </c>
      <c r="J121" s="3">
        <f t="shared" si="12"/>
        <v>4.3885274088260103E-2</v>
      </c>
      <c r="K121" s="3">
        <f t="shared" si="12"/>
        <v>4.3885234067774365E-2</v>
      </c>
      <c r="L121" s="3">
        <f t="shared" si="12"/>
        <v>4.3884833864924255E-2</v>
      </c>
      <c r="M121" s="3">
        <f t="shared" si="12"/>
        <v>4.3880832037144102E-2</v>
      </c>
      <c r="N121" s="3">
        <f t="shared" si="12"/>
        <v>4.3840833824668385E-2</v>
      </c>
      <c r="O121" s="3">
        <f t="shared" si="12"/>
        <v>4.3442851478620578E-2</v>
      </c>
      <c r="P121" s="3">
        <f t="shared" si="12"/>
        <v>3.9656419766864792E-2</v>
      </c>
      <c r="Q121" s="3">
        <f t="shared" si="12"/>
        <v>1.5931816572269764E-2</v>
      </c>
      <c r="R121" s="3">
        <f t="shared" si="12"/>
        <v>1.7449510318703627E-6</v>
      </c>
      <c r="S121" s="3">
        <f t="shared" si="12"/>
        <v>4.3347365486634268E-46</v>
      </c>
      <c r="T121" s="3">
        <f t="shared" si="12"/>
        <v>0</v>
      </c>
      <c r="U121" s="3">
        <f t="shared" si="12"/>
        <v>0</v>
      </c>
      <c r="V121" s="3">
        <f t="shared" si="12"/>
        <v>0</v>
      </c>
      <c r="W121" s="3">
        <f t="shared" si="12"/>
        <v>0</v>
      </c>
      <c r="X121" s="3">
        <f t="shared" si="12"/>
        <v>0</v>
      </c>
      <c r="Y121" s="3">
        <f t="shared" si="12"/>
        <v>0</v>
      </c>
      <c r="Z121" s="3">
        <f t="shared" si="12"/>
        <v>0</v>
      </c>
      <c r="AA121" s="3">
        <f t="shared" si="12"/>
        <v>0</v>
      </c>
      <c r="AB121" s="3">
        <f t="shared" si="12"/>
        <v>0</v>
      </c>
      <c r="AC121" s="3">
        <f t="shared" si="12"/>
        <v>0</v>
      </c>
      <c r="AD121" s="3">
        <f t="shared" si="12"/>
        <v>0</v>
      </c>
      <c r="AE121" s="3">
        <f t="shared" si="12"/>
        <v>0</v>
      </c>
      <c r="AF121" s="3">
        <f t="shared" si="12"/>
        <v>0</v>
      </c>
      <c r="AG121" s="3">
        <f t="shared" si="12"/>
        <v>0</v>
      </c>
      <c r="AH121" s="3">
        <f t="shared" si="12"/>
        <v>0</v>
      </c>
      <c r="AI121" s="3">
        <f t="shared" si="12"/>
        <v>0</v>
      </c>
      <c r="AJ121" s="3">
        <f t="shared" si="12"/>
        <v>0</v>
      </c>
    </row>
    <row r="122" spans="1:36" x14ac:dyDescent="0.25">
      <c r="A122" s="3">
        <v>1.0940374286813801E-3</v>
      </c>
      <c r="B122" s="105">
        <v>6.8620711401838563E-2</v>
      </c>
      <c r="C122" s="18">
        <f t="shared" si="9"/>
        <v>4.245684661470038E-2</v>
      </c>
      <c r="D122" s="17"/>
      <c r="E122" s="11"/>
      <c r="F122" s="3">
        <f t="shared" si="11"/>
        <v>4.2456846614661571E-2</v>
      </c>
      <c r="G122" s="3">
        <f t="shared" si="12"/>
        <v>4.2456846614312302E-2</v>
      </c>
      <c r="H122" s="3">
        <f t="shared" si="12"/>
        <v>4.245684661081963E-2</v>
      </c>
      <c r="I122" s="3">
        <f t="shared" si="12"/>
        <v>4.2456846575892888E-2</v>
      </c>
      <c r="J122" s="3">
        <f t="shared" si="12"/>
        <v>4.2456846226625482E-2</v>
      </c>
      <c r="K122" s="3">
        <f t="shared" si="12"/>
        <v>4.2456842733951554E-2</v>
      </c>
      <c r="L122" s="3">
        <f t="shared" si="12"/>
        <v>4.2456807807228082E-2</v>
      </c>
      <c r="M122" s="3">
        <f t="shared" si="12"/>
        <v>4.2456458541573587E-2</v>
      </c>
      <c r="N122" s="3">
        <f t="shared" si="12"/>
        <v>4.2452966043050239E-2</v>
      </c>
      <c r="O122" s="3">
        <f t="shared" si="12"/>
        <v>4.2418056855165878E-2</v>
      </c>
      <c r="P122" s="3">
        <f t="shared" si="12"/>
        <v>4.2070539913440341E-2</v>
      </c>
      <c r="Q122" s="3">
        <f t="shared" si="12"/>
        <v>3.8748174122425739E-2</v>
      </c>
      <c r="R122" s="3">
        <f t="shared" si="12"/>
        <v>1.7020911490968078E-2</v>
      </c>
      <c r="S122" s="3">
        <f t="shared" si="12"/>
        <v>4.5530091241951495E-6</v>
      </c>
      <c r="T122" s="3">
        <f t="shared" si="12"/>
        <v>8.5399552142922156E-42</v>
      </c>
      <c r="U122" s="3">
        <f t="shared" si="12"/>
        <v>0</v>
      </c>
      <c r="V122" s="3">
        <f t="shared" si="12"/>
        <v>0</v>
      </c>
      <c r="W122" s="3">
        <f t="shared" si="12"/>
        <v>0</v>
      </c>
      <c r="X122" s="3">
        <f t="shared" si="12"/>
        <v>0</v>
      </c>
      <c r="Y122" s="3">
        <f t="shared" si="12"/>
        <v>0</v>
      </c>
      <c r="Z122" s="3">
        <f t="shared" si="12"/>
        <v>0</v>
      </c>
      <c r="AA122" s="3">
        <f t="shared" si="12"/>
        <v>0</v>
      </c>
      <c r="AB122" s="3">
        <f t="shared" si="12"/>
        <v>0</v>
      </c>
      <c r="AC122" s="3">
        <f t="shared" si="12"/>
        <v>0</v>
      </c>
      <c r="AD122" s="3">
        <f t="shared" si="12"/>
        <v>0</v>
      </c>
      <c r="AE122" s="3">
        <f t="shared" si="12"/>
        <v>0</v>
      </c>
      <c r="AF122" s="3">
        <f t="shared" si="12"/>
        <v>0</v>
      </c>
      <c r="AG122" s="3">
        <f t="shared" si="12"/>
        <v>0</v>
      </c>
      <c r="AH122" s="3">
        <f t="shared" si="12"/>
        <v>0</v>
      </c>
      <c r="AI122" s="3">
        <f t="shared" si="12"/>
        <v>0</v>
      </c>
      <c r="AJ122" s="3">
        <f t="shared" si="12"/>
        <v>0</v>
      </c>
    </row>
    <row r="123" spans="1:36" x14ac:dyDescent="0.25">
      <c r="A123" s="3">
        <v>1.2127899493091E-2</v>
      </c>
      <c r="B123" s="105">
        <v>5.3547460550087279E-2</v>
      </c>
      <c r="C123" s="18">
        <f t="shared" si="9"/>
        <v>3.3130759981029025E-2</v>
      </c>
      <c r="D123" s="17"/>
      <c r="E123" s="11"/>
      <c r="F123" s="3">
        <f t="shared" si="11"/>
        <v>3.3130759981026291E-2</v>
      </c>
      <c r="G123" s="3">
        <f t="shared" si="12"/>
        <v>3.3130759981001706E-2</v>
      </c>
      <c r="H123" s="3">
        <f t="shared" si="12"/>
        <v>3.3130759980755847E-2</v>
      </c>
      <c r="I123" s="3">
        <f t="shared" si="12"/>
        <v>3.3130759978297245E-2</v>
      </c>
      <c r="J123" s="3">
        <f t="shared" si="12"/>
        <v>3.3130759953711217E-2</v>
      </c>
      <c r="K123" s="3">
        <f t="shared" si="12"/>
        <v>3.3130759707850968E-2</v>
      </c>
      <c r="L123" s="3">
        <f t="shared" si="12"/>
        <v>3.3130757249248584E-2</v>
      </c>
      <c r="M123" s="3">
        <f t="shared" si="12"/>
        <v>3.3130732663234762E-2</v>
      </c>
      <c r="N123" s="3">
        <f t="shared" si="12"/>
        <v>3.3130486804099982E-2</v>
      </c>
      <c r="O123" s="3">
        <f t="shared" si="12"/>
        <v>3.3128028313096983E-2</v>
      </c>
      <c r="P123" s="3">
        <f t="shared" si="12"/>
        <v>3.310345343478787E-2</v>
      </c>
      <c r="Q123" s="3">
        <f t="shared" si="12"/>
        <v>3.2858705074799731E-2</v>
      </c>
      <c r="R123" s="3">
        <f t="shared" si="12"/>
        <v>3.0508570563964357E-2</v>
      </c>
      <c r="S123" s="3">
        <f t="shared" si="12"/>
        <v>1.4525664692914024E-2</v>
      </c>
      <c r="T123" s="3">
        <f t="shared" si="12"/>
        <v>8.6951597225694285E-6</v>
      </c>
      <c r="U123" s="3">
        <f t="shared" si="12"/>
        <v>5.1368047253070596E-38</v>
      </c>
      <c r="V123" s="3">
        <f t="shared" si="12"/>
        <v>0</v>
      </c>
      <c r="W123" s="3">
        <f t="shared" si="12"/>
        <v>0</v>
      </c>
      <c r="X123" s="3">
        <f t="shared" si="12"/>
        <v>0</v>
      </c>
      <c r="Y123" s="3">
        <f t="shared" si="12"/>
        <v>0</v>
      </c>
      <c r="Z123" s="3">
        <f t="shared" si="12"/>
        <v>0</v>
      </c>
      <c r="AA123" s="3">
        <f t="shared" si="12"/>
        <v>0</v>
      </c>
      <c r="AB123" s="3">
        <f t="shared" si="12"/>
        <v>0</v>
      </c>
      <c r="AC123" s="3">
        <f t="shared" si="12"/>
        <v>0</v>
      </c>
      <c r="AD123" s="3">
        <f t="shared" si="12"/>
        <v>0</v>
      </c>
      <c r="AE123" s="3">
        <f t="shared" si="12"/>
        <v>0</v>
      </c>
      <c r="AF123" s="3">
        <f t="shared" si="12"/>
        <v>0</v>
      </c>
      <c r="AG123" s="3">
        <f t="shared" si="12"/>
        <v>0</v>
      </c>
      <c r="AH123" s="3">
        <f t="shared" si="12"/>
        <v>0</v>
      </c>
      <c r="AI123" s="3">
        <f t="shared" si="12"/>
        <v>0</v>
      </c>
      <c r="AJ123" s="3">
        <f t="shared" si="12"/>
        <v>0</v>
      </c>
    </row>
    <row r="124" spans="1:36" x14ac:dyDescent="0.25">
      <c r="A124" s="3">
        <v>0.13444324870292301</v>
      </c>
      <c r="B124" s="105">
        <v>5.6420697626631398E-2</v>
      </c>
      <c r="C124" s="18">
        <f t="shared" si="9"/>
        <v>3.4908482527974752E-2</v>
      </c>
      <c r="D124" s="17"/>
      <c r="E124" s="11"/>
      <c r="F124" s="3">
        <f t="shared" si="11"/>
        <v>3.4908482527974495E-2</v>
      </c>
      <c r="G124" s="3">
        <f t="shared" si="12"/>
        <v>3.4908482527972157E-2</v>
      </c>
      <c r="H124" s="3">
        <f t="shared" si="12"/>
        <v>3.4908482527948786E-2</v>
      </c>
      <c r="I124" s="3">
        <f t="shared" si="12"/>
        <v>3.4908482527715098E-2</v>
      </c>
      <c r="J124" s="3">
        <f t="shared" si="12"/>
        <v>3.4908482525378232E-2</v>
      </c>
      <c r="K124" s="3">
        <f t="shared" si="12"/>
        <v>3.4908482502009536E-2</v>
      </c>
      <c r="L124" s="3">
        <f t="shared" si="12"/>
        <v>3.490848226832257E-2</v>
      </c>
      <c r="M124" s="3">
        <f t="shared" si="12"/>
        <v>3.4908479931453053E-2</v>
      </c>
      <c r="N124" s="3">
        <f t="shared" si="12"/>
        <v>3.490845656276647E-2</v>
      </c>
      <c r="O124" s="3">
        <f t="shared" si="12"/>
        <v>3.4908222876761034E-2</v>
      </c>
      <c r="P124" s="3">
        <f t="shared" si="12"/>
        <v>3.4905886102744324E-2</v>
      </c>
      <c r="Q124" s="3">
        <f t="shared" si="12"/>
        <v>3.4882526964215378E-2</v>
      </c>
      <c r="R124" s="3">
        <f t="shared" si="12"/>
        <v>3.4649793616021995E-2</v>
      </c>
      <c r="S124" s="3">
        <f t="shared" si="12"/>
        <v>3.2406176107203373E-2</v>
      </c>
      <c r="T124" s="3">
        <f t="shared" si="12"/>
        <v>1.6592015468458794E-2</v>
      </c>
      <c r="U124" s="3">
        <f t="shared" si="12"/>
        <v>2.0540580133991064E-5</v>
      </c>
      <c r="V124" s="3">
        <f t="shared" si="12"/>
        <v>1.7367940376330129E-34</v>
      </c>
      <c r="W124" s="3">
        <f t="shared" si="12"/>
        <v>0</v>
      </c>
      <c r="X124" s="3">
        <f t="shared" si="12"/>
        <v>0</v>
      </c>
      <c r="Y124" s="3">
        <f t="shared" si="12"/>
        <v>0</v>
      </c>
      <c r="Z124" s="3">
        <f t="shared" si="12"/>
        <v>0</v>
      </c>
      <c r="AA124" s="3">
        <f t="shared" si="12"/>
        <v>0</v>
      </c>
      <c r="AB124" s="3">
        <f t="shared" si="12"/>
        <v>0</v>
      </c>
      <c r="AC124" s="3">
        <f t="shared" si="12"/>
        <v>0</v>
      </c>
      <c r="AD124" s="3">
        <f t="shared" si="12"/>
        <v>0</v>
      </c>
      <c r="AE124" s="3">
        <f t="shared" si="12"/>
        <v>0</v>
      </c>
      <c r="AF124" s="3">
        <f t="shared" si="12"/>
        <v>0</v>
      </c>
      <c r="AG124" s="3">
        <f t="shared" si="12"/>
        <v>0</v>
      </c>
      <c r="AH124" s="3">
        <f t="shared" si="12"/>
        <v>0</v>
      </c>
      <c r="AI124" s="3">
        <f t="shared" si="12"/>
        <v>0</v>
      </c>
      <c r="AJ124" s="3">
        <f t="shared" si="12"/>
        <v>0</v>
      </c>
    </row>
    <row r="125" spans="1:36" x14ac:dyDescent="0.25">
      <c r="A125" s="3">
        <v>1.49036419143257</v>
      </c>
      <c r="B125" s="105">
        <v>3.9739756963705845E-2</v>
      </c>
      <c r="C125" s="18">
        <f t="shared" si="9"/>
        <v>2.4587689801600112E-2</v>
      </c>
      <c r="D125" s="17"/>
      <c r="E125" s="11"/>
      <c r="F125" s="3">
        <f t="shared" si="11"/>
        <v>2.4587689801600095E-2</v>
      </c>
      <c r="G125" s="3">
        <f t="shared" si="12"/>
        <v>2.4587689801599949E-2</v>
      </c>
      <c r="H125" s="3">
        <f t="shared" si="12"/>
        <v>2.4587689801598464E-2</v>
      </c>
      <c r="I125" s="3">
        <f t="shared" si="12"/>
        <v>2.4587689801583615E-2</v>
      </c>
      <c r="J125" s="3">
        <f t="shared" si="12"/>
        <v>2.4587689801435136E-2</v>
      </c>
      <c r="K125" s="3">
        <f t="shared" si="12"/>
        <v>2.4587689799950335E-2</v>
      </c>
      <c r="L125" s="3">
        <f t="shared" si="12"/>
        <v>2.458768978510234E-2</v>
      </c>
      <c r="M125" s="3">
        <f t="shared" si="12"/>
        <v>2.4587689636622386E-2</v>
      </c>
      <c r="N125" s="3">
        <f t="shared" si="12"/>
        <v>2.4587688151822891E-2</v>
      </c>
      <c r="O125" s="3">
        <f t="shared" si="12"/>
        <v>2.4587673303832859E-2</v>
      </c>
      <c r="P125" s="3">
        <f t="shared" si="12"/>
        <v>2.4587524824425711E-2</v>
      </c>
      <c r="Q125" s="3">
        <f t="shared" si="12"/>
        <v>2.4586040079668203E-2</v>
      </c>
      <c r="R125" s="3">
        <f t="shared" si="12"/>
        <v>2.4571197562386952E-2</v>
      </c>
      <c r="S125" s="3">
        <f t="shared" si="12"/>
        <v>2.4423264319136037E-2</v>
      </c>
      <c r="T125" s="3">
        <f t="shared" si="12"/>
        <v>2.2992043227198576E-2</v>
      </c>
      <c r="U125" s="3">
        <f t="shared" si="12"/>
        <v>1.2569446223753059E-2</v>
      </c>
      <c r="V125" s="3">
        <f t="shared" si="12"/>
        <v>2.997104693015119E-5</v>
      </c>
      <c r="W125" s="3">
        <f t="shared" si="12"/>
        <v>1.780572281618168E-31</v>
      </c>
      <c r="X125" s="3">
        <f t="shared" si="12"/>
        <v>9.7529625139604431E-294</v>
      </c>
      <c r="Y125" s="3">
        <f t="shared" si="12"/>
        <v>0</v>
      </c>
      <c r="Z125" s="3">
        <f t="shared" si="12"/>
        <v>0</v>
      </c>
      <c r="AA125" s="3">
        <f t="shared" si="12"/>
        <v>0</v>
      </c>
      <c r="AB125" s="3">
        <f t="shared" si="12"/>
        <v>0</v>
      </c>
      <c r="AC125" s="3">
        <f t="shared" si="12"/>
        <v>0</v>
      </c>
      <c r="AD125" s="3">
        <f t="shared" si="12"/>
        <v>0</v>
      </c>
      <c r="AE125" s="3">
        <f t="shared" si="12"/>
        <v>0</v>
      </c>
      <c r="AF125" s="3">
        <f t="shared" si="12"/>
        <v>0</v>
      </c>
      <c r="AG125" s="3">
        <f t="shared" si="12"/>
        <v>0</v>
      </c>
      <c r="AH125" s="3">
        <f t="shared" si="12"/>
        <v>0</v>
      </c>
      <c r="AI125" s="3">
        <f t="shared" si="12"/>
        <v>0</v>
      </c>
      <c r="AJ125" s="3">
        <f t="shared" si="12"/>
        <v>0</v>
      </c>
    </row>
    <row r="126" spans="1:36" x14ac:dyDescent="0.25">
      <c r="A126" s="3">
        <v>16.521360830937301</v>
      </c>
      <c r="B126" s="105">
        <v>7.5326890730396043E-2</v>
      </c>
      <c r="C126" s="18">
        <f t="shared" si="9"/>
        <v>4.6606078257839696E-2</v>
      </c>
      <c r="D126" s="17"/>
      <c r="E126" s="11"/>
      <c r="F126" s="3">
        <f t="shared" si="11"/>
        <v>4.6606078257839689E-2</v>
      </c>
      <c r="G126" s="3">
        <f t="shared" si="12"/>
        <v>4.6606078257839668E-2</v>
      </c>
      <c r="H126" s="3">
        <f t="shared" si="12"/>
        <v>4.6606078257839412E-2</v>
      </c>
      <c r="I126" s="3">
        <f t="shared" si="12"/>
        <v>4.6606078257836879E-2</v>
      </c>
      <c r="J126" s="3">
        <f t="shared" si="12"/>
        <v>4.6606078257811483E-2</v>
      </c>
      <c r="K126" s="3">
        <f t="shared" si="12"/>
        <v>4.6606078257557595E-2</v>
      </c>
      <c r="L126" s="3">
        <f t="shared" si="12"/>
        <v>4.6606078255018737E-2</v>
      </c>
      <c r="M126" s="3">
        <f t="shared" si="12"/>
        <v>4.6606078229630109E-2</v>
      </c>
      <c r="N126" s="3">
        <f t="shared" si="12"/>
        <v>4.6606077975743815E-2</v>
      </c>
      <c r="O126" s="3">
        <f t="shared" si="12"/>
        <v>4.660607543688098E-2</v>
      </c>
      <c r="P126" s="3">
        <f t="shared" si="12"/>
        <v>4.6606050048260211E-2</v>
      </c>
      <c r="Q126" s="3">
        <f t="shared" si="12"/>
        <v>4.6605796162813219E-2</v>
      </c>
      <c r="R126" s="3">
        <f t="shared" si="12"/>
        <v>4.6603257384409E-2</v>
      </c>
      <c r="S126" s="3">
        <f t="shared" si="12"/>
        <v>4.6577877205404641E-2</v>
      </c>
      <c r="T126" s="3">
        <f t="shared" si="12"/>
        <v>4.6324834388523854E-2</v>
      </c>
      <c r="U126" s="3">
        <f t="shared" si="12"/>
        <v>4.3868795805576496E-2</v>
      </c>
      <c r="V126" s="3">
        <f t="shared" si="12"/>
        <v>2.5443338249829379E-2</v>
      </c>
      <c r="W126" s="3">
        <f t="shared" si="12"/>
        <v>1.0958670655997839E-4</v>
      </c>
      <c r="X126" s="3">
        <f t="shared" si="12"/>
        <v>2.4076630672174979E-28</v>
      </c>
      <c r="Y126" s="3">
        <f t="shared" si="12"/>
        <v>6.3091967082022698E-265</v>
      </c>
      <c r="Z126" s="3">
        <f t="shared" si="12"/>
        <v>0</v>
      </c>
      <c r="AA126" s="3">
        <f t="shared" si="12"/>
        <v>0</v>
      </c>
      <c r="AB126" s="3">
        <f t="shared" si="12"/>
        <v>0</v>
      </c>
      <c r="AC126" s="3">
        <f t="shared" si="12"/>
        <v>0</v>
      </c>
      <c r="AD126" s="3">
        <f t="shared" si="12"/>
        <v>0</v>
      </c>
      <c r="AE126" s="3">
        <f t="shared" si="12"/>
        <v>0</v>
      </c>
      <c r="AF126" s="3">
        <f t="shared" si="12"/>
        <v>0</v>
      </c>
      <c r="AG126" s="3">
        <f t="shared" si="12"/>
        <v>0</v>
      </c>
      <c r="AH126" s="3">
        <f t="shared" si="12"/>
        <v>0</v>
      </c>
      <c r="AI126" s="3">
        <f t="shared" si="12"/>
        <v>0</v>
      </c>
      <c r="AJ126" s="3">
        <f t="shared" si="12"/>
        <v>0</v>
      </c>
    </row>
    <row r="127" spans="1:36" x14ac:dyDescent="0.25">
      <c r="A127" s="3">
        <v>183.146753843879</v>
      </c>
      <c r="B127" s="105">
        <v>2.887742638960724E-2</v>
      </c>
      <c r="C127" s="18">
        <f t="shared" si="9"/>
        <v>1.7866973947139903E-2</v>
      </c>
      <c r="D127" s="17"/>
      <c r="E127" s="11"/>
      <c r="F127" s="3">
        <f t="shared" si="11"/>
        <v>1.7866973947139903E-2</v>
      </c>
      <c r="G127" s="3">
        <f t="shared" si="12"/>
        <v>1.7866973947139903E-2</v>
      </c>
      <c r="H127" s="3">
        <f t="shared" si="12"/>
        <v>1.7866973947139892E-2</v>
      </c>
      <c r="I127" s="3">
        <f t="shared" si="12"/>
        <v>1.7866973947139805E-2</v>
      </c>
      <c r="J127" s="3">
        <f t="shared" si="12"/>
        <v>1.7866973947138928E-2</v>
      </c>
      <c r="K127" s="3">
        <f t="shared" si="12"/>
        <v>1.7866973947130146E-2</v>
      </c>
      <c r="L127" s="3">
        <f t="shared" si="12"/>
        <v>1.7866973947042349E-2</v>
      </c>
      <c r="M127" s="3">
        <f t="shared" si="12"/>
        <v>1.786697394616435E-2</v>
      </c>
      <c r="N127" s="3">
        <f t="shared" si="12"/>
        <v>1.7866973937384352E-2</v>
      </c>
      <c r="O127" s="3">
        <f t="shared" si="12"/>
        <v>1.7866973849584397E-2</v>
      </c>
      <c r="P127" s="3">
        <f t="shared" si="12"/>
        <v>1.7866972971584887E-2</v>
      </c>
      <c r="Q127" s="3">
        <f t="shared" si="12"/>
        <v>1.7866964191592127E-2</v>
      </c>
      <c r="R127" s="3">
        <f t="shared" si="12"/>
        <v>1.7866876391901852E-2</v>
      </c>
      <c r="S127" s="3">
        <f t="shared" si="12"/>
        <v>1.7865998418728751E-2</v>
      </c>
      <c r="T127" s="3">
        <f t="shared" si="12"/>
        <v>1.7857221059532188E-2</v>
      </c>
      <c r="U127" s="3">
        <f t="shared" si="12"/>
        <v>1.776968429020032E-2</v>
      </c>
      <c r="V127" s="3">
        <f t="shared" si="12"/>
        <v>1.6917573867383909E-2</v>
      </c>
      <c r="W127" s="3">
        <f t="shared" si="12"/>
        <v>1.0349557387378902E-2</v>
      </c>
      <c r="X127" s="3">
        <f t="shared" si="12"/>
        <v>7.5990400397918213E-5</v>
      </c>
      <c r="Y127" s="3">
        <f t="shared" si="12"/>
        <v>3.4604158386780893E-26</v>
      </c>
      <c r="Z127" s="3">
        <f t="shared" si="12"/>
        <v>1.3268562496735985E-239</v>
      </c>
      <c r="AA127" s="3">
        <f t="shared" si="12"/>
        <v>0</v>
      </c>
      <c r="AB127" s="3">
        <f t="shared" si="12"/>
        <v>0</v>
      </c>
      <c r="AC127" s="3">
        <f t="shared" si="12"/>
        <v>0</v>
      </c>
      <c r="AD127" s="3">
        <f t="shared" si="12"/>
        <v>0</v>
      </c>
      <c r="AE127" s="3">
        <f t="shared" si="12"/>
        <v>0</v>
      </c>
      <c r="AF127" s="3">
        <f t="shared" si="12"/>
        <v>0</v>
      </c>
      <c r="AG127" s="3">
        <f t="shared" si="12"/>
        <v>0</v>
      </c>
      <c r="AH127" s="3">
        <f t="shared" si="12"/>
        <v>0</v>
      </c>
      <c r="AI127" s="3">
        <f t="shared" si="12"/>
        <v>0</v>
      </c>
      <c r="AJ127" s="3">
        <f t="shared" si="12"/>
        <v>0</v>
      </c>
    </row>
    <row r="128" spans="1:36" x14ac:dyDescent="0.25">
      <c r="A128" s="3">
        <v>2030.26456396616</v>
      </c>
      <c r="B128" s="105">
        <v>5.8790678030364481E-2</v>
      </c>
      <c r="C128" s="18">
        <f t="shared" si="9"/>
        <v>3.6374831279329216E-2</v>
      </c>
      <c r="D128" s="17"/>
      <c r="E128" s="11"/>
      <c r="F128" s="3">
        <f t="shared" si="11"/>
        <v>3.6374831279329216E-2</v>
      </c>
      <c r="G128" s="3">
        <f t="shared" si="12"/>
        <v>3.6374831279329216E-2</v>
      </c>
      <c r="H128" s="3">
        <f t="shared" si="12"/>
        <v>3.6374831279329216E-2</v>
      </c>
      <c r="I128" s="3">
        <f t="shared" si="12"/>
        <v>3.6374831279329202E-2</v>
      </c>
      <c r="J128" s="3">
        <f t="shared" si="12"/>
        <v>3.6374831279329035E-2</v>
      </c>
      <c r="K128" s="3">
        <f t="shared" si="12"/>
        <v>3.6374831279327426E-2</v>
      </c>
      <c r="L128" s="3">
        <f t="shared" si="12"/>
        <v>3.63748312793113E-2</v>
      </c>
      <c r="M128" s="3">
        <f t="shared" si="12"/>
        <v>3.6374831279150054E-2</v>
      </c>
      <c r="N128" s="3">
        <f t="shared" si="12"/>
        <v>3.6374831277537586E-2</v>
      </c>
      <c r="O128" s="3">
        <f t="shared" si="12"/>
        <v>3.6374831261412915E-2</v>
      </c>
      <c r="P128" s="3">
        <f t="shared" si="12"/>
        <v>3.6374831100166205E-2</v>
      </c>
      <c r="Q128" s="3">
        <f t="shared" si="12"/>
        <v>3.6374829487699149E-2</v>
      </c>
      <c r="R128" s="3">
        <f t="shared" si="12"/>
        <v>3.6374813363032506E-2</v>
      </c>
      <c r="S128" s="3">
        <f t="shared" si="12"/>
        <v>3.6374652116759255E-2</v>
      </c>
      <c r="T128" s="3">
        <f t="shared" si="12"/>
        <v>3.6373039693339659E-2</v>
      </c>
      <c r="U128" s="3">
        <f t="shared" si="12"/>
        <v>3.6356919389792852E-2</v>
      </c>
      <c r="V128" s="3">
        <f t="shared" ref="G128:AJ136" si="13">$C128*EXP(-V$108/$A128)</f>
        <v>3.6196108775308253E-2</v>
      </c>
      <c r="W128" s="3">
        <f t="shared" si="13"/>
        <v>3.4626608648284957E-2</v>
      </c>
      <c r="X128" s="3">
        <f t="shared" si="13"/>
        <v>2.2227504019285624E-2</v>
      </c>
      <c r="Y128" s="3">
        <f t="shared" si="13"/>
        <v>2.6405724410045453E-4</v>
      </c>
      <c r="Z128" s="3">
        <f t="shared" si="13"/>
        <v>1.4783319917610691E-23</v>
      </c>
      <c r="AA128" s="3">
        <f t="shared" si="13"/>
        <v>4.4720933991226999E-216</v>
      </c>
      <c r="AB128" s="3">
        <f t="shared" si="13"/>
        <v>0</v>
      </c>
      <c r="AC128" s="3">
        <f t="shared" si="13"/>
        <v>0</v>
      </c>
      <c r="AD128" s="3">
        <f t="shared" si="13"/>
        <v>0</v>
      </c>
      <c r="AE128" s="3">
        <f t="shared" si="13"/>
        <v>0</v>
      </c>
      <c r="AF128" s="3">
        <f t="shared" si="13"/>
        <v>0</v>
      </c>
      <c r="AG128" s="3">
        <f t="shared" si="13"/>
        <v>0</v>
      </c>
      <c r="AH128" s="3">
        <f t="shared" si="13"/>
        <v>0</v>
      </c>
      <c r="AI128" s="3">
        <f t="shared" si="13"/>
        <v>0</v>
      </c>
      <c r="AJ128" s="3">
        <f t="shared" si="13"/>
        <v>0</v>
      </c>
    </row>
    <row r="129" spans="1:36" x14ac:dyDescent="0.25">
      <c r="A129" s="3">
        <v>22506.400540467101</v>
      </c>
      <c r="B129" s="105">
        <v>6.4528618478129213E-2</v>
      </c>
      <c r="C129" s="18">
        <f t="shared" si="9"/>
        <v>3.9924996418953598E-2</v>
      </c>
      <c r="D129" s="17"/>
      <c r="E129" s="11"/>
      <c r="F129" s="3">
        <f t="shared" si="11"/>
        <v>3.9924996418953598E-2</v>
      </c>
      <c r="G129" s="3">
        <f t="shared" si="13"/>
        <v>3.9924996418953598E-2</v>
      </c>
      <c r="H129" s="3">
        <f t="shared" si="13"/>
        <v>3.9924996418953598E-2</v>
      </c>
      <c r="I129" s="3">
        <f t="shared" si="13"/>
        <v>3.9924996418953598E-2</v>
      </c>
      <c r="J129" s="3">
        <f t="shared" si="13"/>
        <v>3.9924996418953577E-2</v>
      </c>
      <c r="K129" s="3">
        <f t="shared" si="13"/>
        <v>3.9924996418953418E-2</v>
      </c>
      <c r="L129" s="3">
        <f t="shared" si="13"/>
        <v>3.9924996418951822E-2</v>
      </c>
      <c r="M129" s="3">
        <f t="shared" si="13"/>
        <v>3.9924996418935862E-2</v>
      </c>
      <c r="N129" s="3">
        <f t="shared" si="13"/>
        <v>3.9924996418776205E-2</v>
      </c>
      <c r="O129" s="3">
        <f t="shared" si="13"/>
        <v>3.9924996417179656E-2</v>
      </c>
      <c r="P129" s="3">
        <f t="shared" si="13"/>
        <v>3.9924996401214205E-2</v>
      </c>
      <c r="Q129" s="3">
        <f t="shared" si="13"/>
        <v>3.9924996241559631E-2</v>
      </c>
      <c r="R129" s="3">
        <f t="shared" si="13"/>
        <v>3.9924994645013985E-2</v>
      </c>
      <c r="S129" s="3">
        <f t="shared" si="13"/>
        <v>3.9924978679560991E-2</v>
      </c>
      <c r="T129" s="3">
        <f t="shared" si="13"/>
        <v>3.9924819025382155E-2</v>
      </c>
      <c r="U129" s="3">
        <f t="shared" si="13"/>
        <v>3.9923222518707287E-2</v>
      </c>
      <c r="V129" s="3">
        <f t="shared" si="13"/>
        <v>3.9907260962783069E-2</v>
      </c>
      <c r="W129" s="3">
        <f t="shared" si="13"/>
        <v>3.9747995967085101E-2</v>
      </c>
      <c r="X129" s="3">
        <f t="shared" si="13"/>
        <v>3.8189889179358623E-2</v>
      </c>
      <c r="Y129" s="3">
        <f t="shared" si="13"/>
        <v>2.560236050435416E-2</v>
      </c>
      <c r="Z129" s="3">
        <f t="shared" si="13"/>
        <v>4.6945731736349725E-4</v>
      </c>
      <c r="AA129" s="3">
        <f t="shared" si="13"/>
        <v>2.0172380649402079E-21</v>
      </c>
      <c r="AB129" s="3">
        <f t="shared" si="13"/>
        <v>4.3288005246960155E-195</v>
      </c>
      <c r="AC129" s="3">
        <f t="shared" si="13"/>
        <v>0</v>
      </c>
      <c r="AD129" s="3">
        <f t="shared" si="13"/>
        <v>0</v>
      </c>
      <c r="AE129" s="3">
        <f t="shared" si="13"/>
        <v>0</v>
      </c>
      <c r="AF129" s="3">
        <f t="shared" si="13"/>
        <v>0</v>
      </c>
      <c r="AG129" s="3">
        <f t="shared" si="13"/>
        <v>0</v>
      </c>
      <c r="AH129" s="3">
        <f t="shared" si="13"/>
        <v>0</v>
      </c>
      <c r="AI129" s="3">
        <f t="shared" si="13"/>
        <v>0</v>
      </c>
      <c r="AJ129" s="3">
        <f t="shared" si="13"/>
        <v>0</v>
      </c>
    </row>
    <row r="130" spans="1:36" x14ac:dyDescent="0.25">
      <c r="A130" s="3">
        <v>249493.62476110301</v>
      </c>
      <c r="B130" s="105">
        <v>6.5363994602993775E-2</v>
      </c>
      <c r="C130" s="18">
        <f t="shared" si="9"/>
        <v>4.0441858387802364E-2</v>
      </c>
      <c r="D130" s="17"/>
      <c r="E130" s="11"/>
      <c r="F130" s="3">
        <f t="shared" si="11"/>
        <v>4.0441858387802364E-2</v>
      </c>
      <c r="G130" s="3">
        <f t="shared" si="13"/>
        <v>4.0441858387802364E-2</v>
      </c>
      <c r="H130" s="3">
        <f t="shared" si="13"/>
        <v>4.0441858387802364E-2</v>
      </c>
      <c r="I130" s="3">
        <f t="shared" si="13"/>
        <v>4.0441858387802364E-2</v>
      </c>
      <c r="J130" s="3">
        <f t="shared" si="13"/>
        <v>4.0441858387802364E-2</v>
      </c>
      <c r="K130" s="3">
        <f t="shared" si="13"/>
        <v>4.0441858387802343E-2</v>
      </c>
      <c r="L130" s="3">
        <f t="shared" si="13"/>
        <v>4.0441858387802204E-2</v>
      </c>
      <c r="M130" s="3">
        <f t="shared" si="13"/>
        <v>4.044185838780074E-2</v>
      </c>
      <c r="N130" s="3">
        <f t="shared" si="13"/>
        <v>4.0441858387786155E-2</v>
      </c>
      <c r="O130" s="3">
        <f t="shared" si="13"/>
        <v>4.0441858387640264E-2</v>
      </c>
      <c r="P130" s="3">
        <f t="shared" si="13"/>
        <v>4.044185838618141E-2</v>
      </c>
      <c r="Q130" s="3">
        <f t="shared" si="13"/>
        <v>4.0441858371592788E-2</v>
      </c>
      <c r="R130" s="3">
        <f t="shared" si="13"/>
        <v>4.044185822570661E-2</v>
      </c>
      <c r="S130" s="3">
        <f t="shared" si="13"/>
        <v>4.0441856766844808E-2</v>
      </c>
      <c r="T130" s="3">
        <f t="shared" si="13"/>
        <v>4.0441842178229749E-2</v>
      </c>
      <c r="U130" s="3">
        <f t="shared" si="13"/>
        <v>4.0441696292368545E-2</v>
      </c>
      <c r="V130" s="3">
        <f t="shared" si="13"/>
        <v>4.0440237462700229E-2</v>
      </c>
      <c r="W130" s="3">
        <f t="shared" si="13"/>
        <v>4.0425652059996868E-2</v>
      </c>
      <c r="X130" s="3">
        <f t="shared" si="13"/>
        <v>4.028008704506017E-2</v>
      </c>
      <c r="Y130" s="3">
        <f t="shared" si="13"/>
        <v>3.885295605371749E-2</v>
      </c>
      <c r="Z130" s="3">
        <f t="shared" si="13"/>
        <v>2.7086989016961213E-2</v>
      </c>
      <c r="AA130" s="3">
        <f t="shared" si="13"/>
        <v>7.3472933414811797E-4</v>
      </c>
      <c r="AB130" s="3">
        <f t="shared" si="13"/>
        <v>1.5841410842092698E-19</v>
      </c>
      <c r="AC130" s="3">
        <f t="shared" si="13"/>
        <v>3.4392095419475081E-176</v>
      </c>
      <c r="AD130" s="3">
        <f t="shared" si="13"/>
        <v>0</v>
      </c>
      <c r="AE130" s="3">
        <f t="shared" si="13"/>
        <v>0</v>
      </c>
      <c r="AF130" s="3">
        <f t="shared" si="13"/>
        <v>0</v>
      </c>
      <c r="AG130" s="3">
        <f t="shared" si="13"/>
        <v>0</v>
      </c>
      <c r="AH130" s="3">
        <f t="shared" si="13"/>
        <v>0</v>
      </c>
      <c r="AI130" s="3">
        <f t="shared" si="13"/>
        <v>0</v>
      </c>
      <c r="AJ130" s="3">
        <f t="shared" si="13"/>
        <v>0</v>
      </c>
    </row>
    <row r="131" spans="1:36" x14ac:dyDescent="0.25">
      <c r="A131" s="3">
        <v>2765749.6224023802</v>
      </c>
      <c r="B131" s="105">
        <v>1.3766714349501257E-2</v>
      </c>
      <c r="C131" s="18">
        <f t="shared" si="9"/>
        <v>8.5177094143257352E-3</v>
      </c>
      <c r="D131" s="17"/>
      <c r="E131" s="11"/>
      <c r="F131" s="3">
        <f t="shared" si="11"/>
        <v>8.5177094143257352E-3</v>
      </c>
      <c r="G131" s="3">
        <f t="shared" si="13"/>
        <v>8.5177094143257352E-3</v>
      </c>
      <c r="H131" s="3">
        <f t="shared" si="13"/>
        <v>8.5177094143257352E-3</v>
      </c>
      <c r="I131" s="3">
        <f t="shared" si="13"/>
        <v>8.5177094143257352E-3</v>
      </c>
      <c r="J131" s="3">
        <f t="shared" si="13"/>
        <v>8.5177094143257352E-3</v>
      </c>
      <c r="K131" s="3">
        <f t="shared" si="13"/>
        <v>8.5177094143257352E-3</v>
      </c>
      <c r="L131" s="3">
        <f t="shared" si="13"/>
        <v>8.5177094143257318E-3</v>
      </c>
      <c r="M131" s="3">
        <f t="shared" si="13"/>
        <v>8.517709414325704E-3</v>
      </c>
      <c r="N131" s="3">
        <f t="shared" si="13"/>
        <v>8.5177094143254264E-3</v>
      </c>
      <c r="O131" s="3">
        <f t="shared" si="13"/>
        <v>8.5177094143226561E-3</v>
      </c>
      <c r="P131" s="3">
        <f t="shared" si="13"/>
        <v>8.5177094142949387E-3</v>
      </c>
      <c r="Q131" s="3">
        <f t="shared" si="13"/>
        <v>8.5177094140177646E-3</v>
      </c>
      <c r="R131" s="3">
        <f t="shared" si="13"/>
        <v>8.5177094112460234E-3</v>
      </c>
      <c r="S131" s="3">
        <f t="shared" si="13"/>
        <v>8.5177093835286256E-3</v>
      </c>
      <c r="T131" s="3">
        <f t="shared" si="13"/>
        <v>8.5177091063546456E-3</v>
      </c>
      <c r="U131" s="3">
        <f t="shared" si="13"/>
        <v>8.5177063346153353E-3</v>
      </c>
      <c r="V131" s="3">
        <f t="shared" si="13"/>
        <v>8.517678617271849E-3</v>
      </c>
      <c r="W131" s="3">
        <f t="shared" si="13"/>
        <v>8.5174014487976318E-3</v>
      </c>
      <c r="X131" s="3">
        <f t="shared" si="13"/>
        <v>8.5146302600612143E-3</v>
      </c>
      <c r="Y131" s="3">
        <f t="shared" si="13"/>
        <v>8.486967913603689E-3</v>
      </c>
      <c r="Z131" s="3">
        <f t="shared" si="13"/>
        <v>8.2152394074009715E-3</v>
      </c>
      <c r="AA131" s="3">
        <f t="shared" si="13"/>
        <v>5.9333075807125454E-3</v>
      </c>
      <c r="AB131" s="3">
        <f t="shared" si="13"/>
        <v>2.2912013028227602E-4</v>
      </c>
      <c r="AC131" s="3">
        <f t="shared" si="13"/>
        <v>1.6893790231892358E-18</v>
      </c>
      <c r="AD131" s="3">
        <f t="shared" si="13"/>
        <v>8.0235321014271018E-160</v>
      </c>
      <c r="AE131" s="3">
        <f t="shared" si="13"/>
        <v>0</v>
      </c>
      <c r="AF131" s="3">
        <f t="shared" si="13"/>
        <v>0</v>
      </c>
      <c r="AG131" s="3">
        <f t="shared" si="13"/>
        <v>0</v>
      </c>
      <c r="AH131" s="3">
        <f t="shared" si="13"/>
        <v>0</v>
      </c>
      <c r="AI131" s="3">
        <f t="shared" si="13"/>
        <v>0</v>
      </c>
      <c r="AJ131" s="3">
        <f t="shared" si="13"/>
        <v>0</v>
      </c>
    </row>
    <row r="132" spans="1:36" x14ac:dyDescent="0.25">
      <c r="A132" s="3">
        <f>10000000</f>
        <v>10000000</v>
      </c>
      <c r="B132" s="105">
        <v>0.1185460438529613</v>
      </c>
      <c r="C132" s="18">
        <f t="shared" si="9"/>
        <v>7.3346531940936294E-2</v>
      </c>
      <c r="D132" s="17"/>
      <c r="E132" s="11"/>
      <c r="F132" s="3">
        <f t="shared" si="11"/>
        <v>7.3346531940936294E-2</v>
      </c>
      <c r="G132" s="3">
        <f t="shared" si="13"/>
        <v>7.3346531940936294E-2</v>
      </c>
      <c r="H132" s="3">
        <f t="shared" si="13"/>
        <v>7.3346531940936294E-2</v>
      </c>
      <c r="I132" s="3">
        <f t="shared" si="13"/>
        <v>7.3346531940936294E-2</v>
      </c>
      <c r="J132" s="3">
        <f t="shared" si="13"/>
        <v>7.3346531940936294E-2</v>
      </c>
      <c r="K132" s="3">
        <f t="shared" si="13"/>
        <v>7.3346531940936294E-2</v>
      </c>
      <c r="L132" s="3">
        <f t="shared" si="13"/>
        <v>7.334653194093628E-2</v>
      </c>
      <c r="M132" s="3">
        <f t="shared" si="13"/>
        <v>7.3346531940936224E-2</v>
      </c>
      <c r="N132" s="3">
        <f t="shared" si="13"/>
        <v>7.3346531940935558E-2</v>
      </c>
      <c r="O132" s="3">
        <f t="shared" si="13"/>
        <v>7.3346531940928952E-2</v>
      </c>
      <c r="P132" s="3">
        <f t="shared" si="13"/>
        <v>7.334653194086295E-2</v>
      </c>
      <c r="Q132" s="3">
        <f t="shared" si="13"/>
        <v>7.3346531940202825E-2</v>
      </c>
      <c r="R132" s="3">
        <f t="shared" si="13"/>
        <v>7.3346531933601633E-2</v>
      </c>
      <c r="S132" s="3">
        <f t="shared" si="13"/>
        <v>7.334653186758977E-2</v>
      </c>
      <c r="T132" s="3">
        <f t="shared" si="13"/>
        <v>7.3346531207470977E-2</v>
      </c>
      <c r="U132" s="3">
        <f t="shared" si="13"/>
        <v>7.3346524606283464E-2</v>
      </c>
      <c r="V132" s="3">
        <f t="shared" si="13"/>
        <v>7.3346458594441027E-2</v>
      </c>
      <c r="W132" s="3">
        <f t="shared" si="13"/>
        <v>7.3345798479284199E-2</v>
      </c>
      <c r="X132" s="3">
        <f t="shared" si="13"/>
        <v>7.3339197654462632E-2</v>
      </c>
      <c r="Y132" s="3">
        <f t="shared" si="13"/>
        <v>7.3273222070039959E-2</v>
      </c>
      <c r="Z132" s="3">
        <f t="shared" si="13"/>
        <v>7.2616721754202029E-2</v>
      </c>
      <c r="AA132" s="3">
        <f t="shared" si="13"/>
        <v>6.6366686583328824E-2</v>
      </c>
      <c r="AB132" s="3">
        <f t="shared" si="13"/>
        <v>2.698268118229499E-2</v>
      </c>
      <c r="AC132" s="3">
        <f t="shared" si="13"/>
        <v>3.3299273984403595E-6</v>
      </c>
      <c r="AD132" s="3">
        <f t="shared" si="13"/>
        <v>2.7285467139792201E-45</v>
      </c>
      <c r="AE132" s="3">
        <f t="shared" si="13"/>
        <v>0</v>
      </c>
      <c r="AF132" s="3">
        <f t="shared" si="13"/>
        <v>0</v>
      </c>
      <c r="AG132" s="3">
        <f t="shared" si="13"/>
        <v>0</v>
      </c>
      <c r="AH132" s="3">
        <f t="shared" si="13"/>
        <v>0</v>
      </c>
      <c r="AI132" s="3">
        <f t="shared" si="13"/>
        <v>0</v>
      </c>
      <c r="AJ132" s="3">
        <f t="shared" si="13"/>
        <v>0</v>
      </c>
    </row>
    <row r="133" spans="1:36" x14ac:dyDescent="0.25">
      <c r="A133" s="3">
        <f t="shared" ref="A133:A141" si="14">A132*10</f>
        <v>100000000</v>
      </c>
      <c r="B133" s="105">
        <v>7.170771485793262E-2</v>
      </c>
      <c r="C133" s="18">
        <f t="shared" si="9"/>
        <v>4.4366830197746183E-2</v>
      </c>
      <c r="D133" s="17"/>
      <c r="E133" s="11"/>
      <c r="F133" s="3">
        <f t="shared" si="11"/>
        <v>4.4366830197746183E-2</v>
      </c>
      <c r="G133" s="3">
        <f t="shared" si="13"/>
        <v>4.4366830197746183E-2</v>
      </c>
      <c r="H133" s="3">
        <f t="shared" si="13"/>
        <v>4.4366830197746183E-2</v>
      </c>
      <c r="I133" s="3">
        <f t="shared" si="13"/>
        <v>4.4366830197746183E-2</v>
      </c>
      <c r="J133" s="3">
        <f t="shared" si="13"/>
        <v>4.4366830197746183E-2</v>
      </c>
      <c r="K133" s="3">
        <f t="shared" si="13"/>
        <v>4.4366830197746183E-2</v>
      </c>
      <c r="L133" s="3">
        <f t="shared" si="13"/>
        <v>4.4366830197746183E-2</v>
      </c>
      <c r="M133" s="3">
        <f t="shared" si="13"/>
        <v>4.4366830197746177E-2</v>
      </c>
      <c r="N133" s="3">
        <f t="shared" si="13"/>
        <v>4.4366830197746142E-2</v>
      </c>
      <c r="O133" s="3">
        <f t="shared" si="13"/>
        <v>4.4366830197745739E-2</v>
      </c>
      <c r="P133" s="3">
        <f t="shared" si="13"/>
        <v>4.4366830197741743E-2</v>
      </c>
      <c r="Q133" s="3">
        <f t="shared" si="13"/>
        <v>4.4366830197701816E-2</v>
      </c>
      <c r="R133" s="3">
        <f t="shared" si="13"/>
        <v>4.4366830197302518E-2</v>
      </c>
      <c r="S133" s="3">
        <f t="shared" si="13"/>
        <v>4.4366830193309503E-2</v>
      </c>
      <c r="T133" s="3">
        <f t="shared" si="13"/>
        <v>4.4366830153379354E-2</v>
      </c>
      <c r="U133" s="3">
        <f t="shared" si="13"/>
        <v>4.4366829754077887E-2</v>
      </c>
      <c r="V133" s="3">
        <f t="shared" si="13"/>
        <v>4.4366825761063385E-2</v>
      </c>
      <c r="W133" s="3">
        <f t="shared" si="13"/>
        <v>4.4366785830938171E-2</v>
      </c>
      <c r="X133" s="3">
        <f t="shared" si="13"/>
        <v>4.4366386531662541E-2</v>
      </c>
      <c r="Y133" s="3">
        <f t="shared" si="13"/>
        <v>4.4362393736553166E-2</v>
      </c>
      <c r="Z133" s="3">
        <f t="shared" si="13"/>
        <v>4.4322485543570912E-2</v>
      </c>
      <c r="AA133" s="3">
        <f t="shared" si="13"/>
        <v>4.3925372861256182E-2</v>
      </c>
      <c r="AB133" s="3">
        <f t="shared" si="13"/>
        <v>4.0144768082568498E-2</v>
      </c>
      <c r="AC133" s="3">
        <f t="shared" si="13"/>
        <v>1.6321644699695138E-2</v>
      </c>
      <c r="AD133" s="3">
        <f t="shared" si="13"/>
        <v>2.0142509747617687E-6</v>
      </c>
      <c r="AE133" s="3">
        <f t="shared" si="13"/>
        <v>1.6504797915083133E-45</v>
      </c>
      <c r="AF133" s="3">
        <f t="shared" si="13"/>
        <v>0</v>
      </c>
      <c r="AG133" s="3">
        <f t="shared" si="13"/>
        <v>0</v>
      </c>
      <c r="AH133" s="3">
        <f t="shared" si="13"/>
        <v>0</v>
      </c>
      <c r="AI133" s="3">
        <f t="shared" si="13"/>
        <v>0</v>
      </c>
      <c r="AJ133" s="3">
        <f t="shared" si="13"/>
        <v>0</v>
      </c>
    </row>
    <row r="134" spans="1:36" x14ac:dyDescent="0.25">
      <c r="A134" s="3">
        <f t="shared" si="14"/>
        <v>1000000000</v>
      </c>
      <c r="B134" s="105">
        <v>0.11280703163381239</v>
      </c>
      <c r="C134" s="18">
        <f t="shared" si="9"/>
        <v>6.9795703677419219E-2</v>
      </c>
      <c r="D134" s="17"/>
      <c r="E134" s="11"/>
      <c r="F134" s="3">
        <f t="shared" si="11"/>
        <v>6.9795703677419219E-2</v>
      </c>
      <c r="G134" s="3">
        <f t="shared" si="13"/>
        <v>6.9795703677419219E-2</v>
      </c>
      <c r="H134" s="3">
        <f t="shared" si="13"/>
        <v>6.9795703677419219E-2</v>
      </c>
      <c r="I134" s="3">
        <f t="shared" si="13"/>
        <v>6.9795703677419219E-2</v>
      </c>
      <c r="J134" s="3">
        <f t="shared" si="13"/>
        <v>6.9795703677419219E-2</v>
      </c>
      <c r="K134" s="3">
        <f t="shared" si="13"/>
        <v>6.9795703677419219E-2</v>
      </c>
      <c r="L134" s="3">
        <f t="shared" si="13"/>
        <v>6.9795703677419219E-2</v>
      </c>
      <c r="M134" s="3">
        <f t="shared" si="13"/>
        <v>6.9795703677419219E-2</v>
      </c>
      <c r="N134" s="3">
        <f t="shared" si="13"/>
        <v>6.9795703677419205E-2</v>
      </c>
      <c r="O134" s="3">
        <f t="shared" si="13"/>
        <v>6.9795703677419149E-2</v>
      </c>
      <c r="P134" s="3">
        <f t="shared" si="13"/>
        <v>6.9795703677418525E-2</v>
      </c>
      <c r="Q134" s="3">
        <f t="shared" si="13"/>
        <v>6.9795703677412238E-2</v>
      </c>
      <c r="R134" s="3">
        <f t="shared" si="13"/>
        <v>6.9795703677349427E-2</v>
      </c>
      <c r="S134" s="3">
        <f t="shared" si="13"/>
        <v>6.9795703676721263E-2</v>
      </c>
      <c r="T134" s="3">
        <f t="shared" si="13"/>
        <v>6.9795703670439649E-2</v>
      </c>
      <c r="U134" s="3">
        <f t="shared" si="13"/>
        <v>6.9795703607623522E-2</v>
      </c>
      <c r="V134" s="3">
        <f t="shared" si="13"/>
        <v>6.9795702979462179E-2</v>
      </c>
      <c r="W134" s="3">
        <f t="shared" si="13"/>
        <v>6.9795696697849199E-2</v>
      </c>
      <c r="X134" s="3">
        <f t="shared" si="13"/>
        <v>6.9795633881750446E-2</v>
      </c>
      <c r="Y134" s="3">
        <f t="shared" si="13"/>
        <v>6.9795005723872219E-2</v>
      </c>
      <c r="Z134" s="3">
        <f t="shared" si="13"/>
        <v>6.9788724456018358E-2</v>
      </c>
      <c r="AA134" s="3">
        <f t="shared" si="13"/>
        <v>6.9725942859963932E-2</v>
      </c>
      <c r="AB134" s="3">
        <f t="shared" si="13"/>
        <v>6.9101224822235102E-2</v>
      </c>
      <c r="AC134" s="3">
        <f t="shared" si="13"/>
        <v>6.3153764305478935E-2</v>
      </c>
      <c r="AD134" s="3">
        <f t="shared" si="13"/>
        <v>2.5676404465016563E-2</v>
      </c>
      <c r="AE134" s="3">
        <f t="shared" si="13"/>
        <v>3.1687200446780386E-6</v>
      </c>
      <c r="AF134" s="3">
        <f t="shared" si="13"/>
        <v>2.5964532047983636E-45</v>
      </c>
      <c r="AG134" s="3">
        <f t="shared" si="13"/>
        <v>0</v>
      </c>
      <c r="AH134" s="3">
        <f t="shared" si="13"/>
        <v>0</v>
      </c>
      <c r="AI134" s="3">
        <f t="shared" si="13"/>
        <v>0</v>
      </c>
      <c r="AJ134" s="3">
        <f t="shared" si="13"/>
        <v>0</v>
      </c>
    </row>
    <row r="135" spans="1:36" x14ac:dyDescent="0.25">
      <c r="A135" s="3">
        <f t="shared" si="14"/>
        <v>10000000000</v>
      </c>
      <c r="B135" s="105">
        <v>7.9851599439197563E-2</v>
      </c>
      <c r="C135" s="18">
        <f t="shared" si="9"/>
        <v>4.9405595483780873E-2</v>
      </c>
      <c r="D135" s="17"/>
      <c r="E135" s="11"/>
      <c r="F135" s="3">
        <f t="shared" si="11"/>
        <v>4.9405595483780873E-2</v>
      </c>
      <c r="G135" s="3">
        <f t="shared" si="13"/>
        <v>4.9405595483780873E-2</v>
      </c>
      <c r="H135" s="3">
        <f t="shared" si="13"/>
        <v>4.9405595483780873E-2</v>
      </c>
      <c r="I135" s="3">
        <f t="shared" si="13"/>
        <v>4.9405595483780873E-2</v>
      </c>
      <c r="J135" s="3">
        <f t="shared" si="13"/>
        <v>4.9405595483780873E-2</v>
      </c>
      <c r="K135" s="3">
        <f t="shared" si="13"/>
        <v>4.9405595483780873E-2</v>
      </c>
      <c r="L135" s="3">
        <f t="shared" si="13"/>
        <v>4.9405595483780873E-2</v>
      </c>
      <c r="M135" s="3">
        <f t="shared" si="13"/>
        <v>4.9405595483780873E-2</v>
      </c>
      <c r="N135" s="3">
        <f t="shared" si="13"/>
        <v>4.9405595483780873E-2</v>
      </c>
      <c r="O135" s="3">
        <f t="shared" si="13"/>
        <v>4.9405595483780866E-2</v>
      </c>
      <c r="P135" s="3">
        <f t="shared" si="13"/>
        <v>4.9405595483780824E-2</v>
      </c>
      <c r="Q135" s="3">
        <f t="shared" si="13"/>
        <v>4.940559548378038E-2</v>
      </c>
      <c r="R135" s="3">
        <f t="shared" si="13"/>
        <v>4.9405595483775933E-2</v>
      </c>
      <c r="S135" s="3">
        <f t="shared" si="13"/>
        <v>4.9405595483731468E-2</v>
      </c>
      <c r="T135" s="3">
        <f t="shared" si="13"/>
        <v>4.9405595483286817E-2</v>
      </c>
      <c r="U135" s="3">
        <f t="shared" si="13"/>
        <v>4.9405595478840311E-2</v>
      </c>
      <c r="V135" s="3">
        <f t="shared" si="13"/>
        <v>4.9405595434375282E-2</v>
      </c>
      <c r="W135" s="3">
        <f t="shared" si="13"/>
        <v>4.9405594989724924E-2</v>
      </c>
      <c r="X135" s="3">
        <f t="shared" si="13"/>
        <v>4.9405590543221571E-2</v>
      </c>
      <c r="Y135" s="3">
        <f t="shared" si="13"/>
        <v>4.9405546078210093E-2</v>
      </c>
      <c r="Z135" s="3">
        <f t="shared" si="13"/>
        <v>4.9405101430296305E-2</v>
      </c>
      <c r="AA135" s="3">
        <f t="shared" si="13"/>
        <v>4.9400655171252236E-2</v>
      </c>
      <c r="AB135" s="3">
        <f t="shared" si="13"/>
        <v>4.9356214582862629E-2</v>
      </c>
      <c r="AC135" s="3">
        <f t="shared" si="13"/>
        <v>4.8914001594995905E-2</v>
      </c>
      <c r="AD135" s="3">
        <f t="shared" si="13"/>
        <v>4.4704031454073347E-2</v>
      </c>
      <c r="AE135" s="3">
        <f t="shared" si="13"/>
        <v>1.8175302857315643E-2</v>
      </c>
      <c r="AF135" s="3">
        <f t="shared" si="13"/>
        <v>2.2430105648373905E-6</v>
      </c>
      <c r="AG135" s="3">
        <f t="shared" si="13"/>
        <v>1.8379256884021676E-45</v>
      </c>
      <c r="AH135" s="3">
        <f t="shared" si="13"/>
        <v>0</v>
      </c>
      <c r="AI135" s="3">
        <f t="shared" si="13"/>
        <v>0</v>
      </c>
      <c r="AJ135" s="3">
        <f t="shared" si="13"/>
        <v>0</v>
      </c>
    </row>
    <row r="136" spans="1:36" x14ac:dyDescent="0.25">
      <c r="A136" s="3">
        <f t="shared" si="14"/>
        <v>100000000000</v>
      </c>
      <c r="B136" s="105">
        <v>6.9183081854164899E-2</v>
      </c>
      <c r="C136" s="18">
        <f t="shared" si="9"/>
        <v>4.2804795150168627E-2</v>
      </c>
      <c r="D136" s="17"/>
      <c r="E136" s="11"/>
      <c r="F136" s="3">
        <f t="shared" si="11"/>
        <v>4.2804795150168627E-2</v>
      </c>
      <c r="G136" s="3">
        <f t="shared" si="13"/>
        <v>4.2804795150168627E-2</v>
      </c>
      <c r="H136" s="3">
        <f t="shared" si="13"/>
        <v>4.2804795150168627E-2</v>
      </c>
      <c r="I136" s="3">
        <f t="shared" si="13"/>
        <v>4.2804795150168627E-2</v>
      </c>
      <c r="J136" s="3">
        <f t="shared" si="13"/>
        <v>4.2804795150168627E-2</v>
      </c>
      <c r="K136" s="3">
        <f t="shared" si="13"/>
        <v>4.2804795150168627E-2</v>
      </c>
      <c r="L136" s="3">
        <f t="shared" si="13"/>
        <v>4.2804795150168627E-2</v>
      </c>
      <c r="M136" s="3">
        <f t="shared" si="13"/>
        <v>4.2804795150168627E-2</v>
      </c>
      <c r="N136" s="3">
        <f t="shared" si="13"/>
        <v>4.2804795150168627E-2</v>
      </c>
      <c r="O136" s="3">
        <f t="shared" si="13"/>
        <v>4.2804795150168627E-2</v>
      </c>
      <c r="P136" s="3">
        <f t="shared" si="13"/>
        <v>4.280479515016862E-2</v>
      </c>
      <c r="Q136" s="3">
        <f t="shared" si="13"/>
        <v>4.2804795150168586E-2</v>
      </c>
      <c r="R136" s="3">
        <f t="shared" si="13"/>
        <v>4.2804795150168197E-2</v>
      </c>
      <c r="S136" s="3">
        <f t="shared" si="13"/>
        <v>4.2804795150164346E-2</v>
      </c>
      <c r="T136" s="3">
        <f t="shared" si="13"/>
        <v>4.2804795150125821E-2</v>
      </c>
      <c r="U136" s="3">
        <f t="shared" si="13"/>
        <v>4.2804795149740581E-2</v>
      </c>
      <c r="V136" s="3">
        <f t="shared" si="13"/>
        <v>4.2804795145888148E-2</v>
      </c>
      <c r="W136" s="3">
        <f t="shared" si="13"/>
        <v>4.2804795107363833E-2</v>
      </c>
      <c r="X136" s="3">
        <f t="shared" si="13"/>
        <v>4.2804794722120676E-2</v>
      </c>
      <c r="Y136" s="3">
        <f t="shared" si="13"/>
        <v>4.280479086968933E-2</v>
      </c>
      <c r="Z136" s="3">
        <f t="shared" si="13"/>
        <v>4.2804752345394881E-2</v>
      </c>
      <c r="AA136" s="3">
        <f t="shared" si="13"/>
        <v>4.2804367104357359E-2</v>
      </c>
      <c r="AB136" s="3">
        <f t="shared" si="13"/>
        <v>4.2800514884670453E-2</v>
      </c>
      <c r="AC136" s="3">
        <f t="shared" si="13"/>
        <v>4.2762011750283685E-2</v>
      </c>
      <c r="AD136" s="3">
        <f t="shared" si="13"/>
        <v>4.2378880322091646E-2</v>
      </c>
      <c r="AE136" s="3">
        <f t="shared" si="13"/>
        <v>3.8731380323236746E-2</v>
      </c>
      <c r="AF136" s="3">
        <f t="shared" si="13"/>
        <v>1.5747004119302098E-2</v>
      </c>
      <c r="AG136" s="3">
        <f t="shared" si="13"/>
        <v>1.9433346933152081E-6</v>
      </c>
      <c r="AH136" s="3">
        <f t="shared" si="13"/>
        <v>1.5923709009663551E-45</v>
      </c>
      <c r="AI136" s="3">
        <f t="shared" si="13"/>
        <v>0</v>
      </c>
      <c r="AJ136" s="3">
        <f t="shared" si="13"/>
        <v>0</v>
      </c>
    </row>
    <row r="137" spans="1:36" x14ac:dyDescent="0.25">
      <c r="A137" s="3">
        <f t="shared" si="14"/>
        <v>1000000000000</v>
      </c>
      <c r="B137" s="105">
        <v>2.193971830051376E-2</v>
      </c>
      <c r="C137" s="18">
        <f t="shared" si="9"/>
        <v>1.3574491368938069E-2</v>
      </c>
      <c r="D137" s="17"/>
      <c r="E137" s="11"/>
      <c r="F137" s="3">
        <f t="shared" si="11"/>
        <v>1.3574491368938069E-2</v>
      </c>
      <c r="G137" s="3">
        <f t="shared" ref="G137:AJ141" si="15">$C137*EXP(-G$108/$A137)</f>
        <v>1.3574491368938069E-2</v>
      </c>
      <c r="H137" s="3">
        <f t="shared" si="15"/>
        <v>1.3574491368938069E-2</v>
      </c>
      <c r="I137" s="3">
        <f t="shared" si="15"/>
        <v>1.3574491368938069E-2</v>
      </c>
      <c r="J137" s="3">
        <f t="shared" si="15"/>
        <v>1.3574491368938069E-2</v>
      </c>
      <c r="K137" s="3">
        <f t="shared" si="15"/>
        <v>1.3574491368938069E-2</v>
      </c>
      <c r="L137" s="3">
        <f t="shared" si="15"/>
        <v>1.3574491368938069E-2</v>
      </c>
      <c r="M137" s="3">
        <f t="shared" si="15"/>
        <v>1.3574491368938069E-2</v>
      </c>
      <c r="N137" s="3">
        <f t="shared" si="15"/>
        <v>1.3574491368938069E-2</v>
      </c>
      <c r="O137" s="3">
        <f t="shared" si="15"/>
        <v>1.3574491368938069E-2</v>
      </c>
      <c r="P137" s="3">
        <f t="shared" si="15"/>
        <v>1.3574491368938069E-2</v>
      </c>
      <c r="Q137" s="3">
        <f t="shared" si="15"/>
        <v>1.3574491368938067E-2</v>
      </c>
      <c r="R137" s="3">
        <f t="shared" si="15"/>
        <v>1.3574491368938055E-2</v>
      </c>
      <c r="S137" s="3">
        <f t="shared" si="15"/>
        <v>1.3574491368937933E-2</v>
      </c>
      <c r="T137" s="3">
        <f t="shared" si="15"/>
        <v>1.357449136893671E-2</v>
      </c>
      <c r="U137" s="3">
        <f t="shared" si="15"/>
        <v>1.3574491368924494E-2</v>
      </c>
      <c r="V137" s="3">
        <f t="shared" si="15"/>
        <v>1.3574491368802323E-2</v>
      </c>
      <c r="W137" s="3">
        <f t="shared" si="15"/>
        <v>1.357449136758062E-2</v>
      </c>
      <c r="X137" s="3">
        <f t="shared" si="15"/>
        <v>1.3574491355363578E-2</v>
      </c>
      <c r="Y137" s="3">
        <f t="shared" si="15"/>
        <v>1.3574491233193155E-2</v>
      </c>
      <c r="Z137" s="3">
        <f t="shared" si="15"/>
        <v>1.3574490011489001E-2</v>
      </c>
      <c r="AA137" s="3">
        <f t="shared" si="15"/>
        <v>1.3574477794453487E-2</v>
      </c>
      <c r="AB137" s="3">
        <f t="shared" si="15"/>
        <v>1.3574355624703102E-2</v>
      </c>
      <c r="AC137" s="3">
        <f t="shared" si="15"/>
        <v>1.3573133987671369E-2</v>
      </c>
      <c r="AD137" s="3">
        <f t="shared" si="15"/>
        <v>1.3560923662552966E-2</v>
      </c>
      <c r="AE137" s="3">
        <f t="shared" si="15"/>
        <v>1.3439422923046652E-2</v>
      </c>
      <c r="AF137" s="3">
        <f t="shared" si="15"/>
        <v>1.228270772142134E-2</v>
      </c>
      <c r="AG137" s="3">
        <f t="shared" si="15"/>
        <v>4.9937762989915035E-3</v>
      </c>
      <c r="AH137" s="3">
        <f t="shared" si="15"/>
        <v>6.1628095471124518E-7</v>
      </c>
      <c r="AI137" s="3">
        <f t="shared" si="15"/>
        <v>5.0498139228288698E-46</v>
      </c>
      <c r="AJ137" s="3">
        <f t="shared" si="15"/>
        <v>0</v>
      </c>
    </row>
    <row r="138" spans="1:36" x14ac:dyDescent="0.25">
      <c r="A138" s="3">
        <f t="shared" si="14"/>
        <v>10000000000000</v>
      </c>
      <c r="B138" s="105">
        <v>2.4284394899970928E-2</v>
      </c>
      <c r="C138" s="18">
        <f t="shared" si="9"/>
        <v>1.502518420949004E-2</v>
      </c>
      <c r="D138" s="17"/>
      <c r="E138" s="11"/>
      <c r="F138" s="3">
        <f t="shared" si="11"/>
        <v>1.502518420949004E-2</v>
      </c>
      <c r="G138" s="3">
        <f t="shared" si="15"/>
        <v>1.502518420949004E-2</v>
      </c>
      <c r="H138" s="3">
        <f t="shared" si="15"/>
        <v>1.502518420949004E-2</v>
      </c>
      <c r="I138" s="3">
        <f t="shared" si="15"/>
        <v>1.502518420949004E-2</v>
      </c>
      <c r="J138" s="3">
        <f t="shared" si="15"/>
        <v>1.502518420949004E-2</v>
      </c>
      <c r="K138" s="3">
        <f t="shared" si="15"/>
        <v>1.502518420949004E-2</v>
      </c>
      <c r="L138" s="3">
        <f t="shared" si="15"/>
        <v>1.502518420949004E-2</v>
      </c>
      <c r="M138" s="3">
        <f t="shared" si="15"/>
        <v>1.502518420949004E-2</v>
      </c>
      <c r="N138" s="3">
        <f t="shared" si="15"/>
        <v>1.502518420949004E-2</v>
      </c>
      <c r="O138" s="3">
        <f t="shared" si="15"/>
        <v>1.502518420949004E-2</v>
      </c>
      <c r="P138" s="3">
        <f t="shared" si="15"/>
        <v>1.502518420949004E-2</v>
      </c>
      <c r="Q138" s="3">
        <f t="shared" si="15"/>
        <v>1.502518420949004E-2</v>
      </c>
      <c r="R138" s="3">
        <f t="shared" si="15"/>
        <v>1.5025184209490039E-2</v>
      </c>
      <c r="S138" s="3">
        <f t="shared" si="15"/>
        <v>1.5025184209490025E-2</v>
      </c>
      <c r="T138" s="3">
        <f t="shared" si="15"/>
        <v>1.5025184209489889E-2</v>
      </c>
      <c r="U138" s="3">
        <f t="shared" si="15"/>
        <v>1.5025184209488538E-2</v>
      </c>
      <c r="V138" s="3">
        <f t="shared" si="15"/>
        <v>1.5025184209475016E-2</v>
      </c>
      <c r="W138" s="3">
        <f t="shared" si="15"/>
        <v>1.5025184209339789E-2</v>
      </c>
      <c r="X138" s="3">
        <f t="shared" si="15"/>
        <v>1.5025184207987522E-2</v>
      </c>
      <c r="Y138" s="3">
        <f t="shared" si="15"/>
        <v>1.5025184194464856E-2</v>
      </c>
      <c r="Z138" s="3">
        <f t="shared" si="15"/>
        <v>1.50251840592382E-2</v>
      </c>
      <c r="AA138" s="3">
        <f t="shared" si="15"/>
        <v>1.5025182706971695E-2</v>
      </c>
      <c r="AB138" s="3">
        <f t="shared" si="15"/>
        <v>1.5025169184313344E-2</v>
      </c>
      <c r="AC138" s="3">
        <f t="shared" si="15"/>
        <v>1.5025033958399202E-2</v>
      </c>
      <c r="AD138" s="3">
        <f t="shared" si="15"/>
        <v>1.5023681766192508E-2</v>
      </c>
      <c r="AE138" s="3">
        <f t="shared" si="15"/>
        <v>1.5010166535369084E-2</v>
      </c>
      <c r="AF138" s="3">
        <f t="shared" si="15"/>
        <v>1.487568112865624E-2</v>
      </c>
      <c r="AG138" s="3">
        <f t="shared" si="15"/>
        <v>1.3595348885629637E-2</v>
      </c>
      <c r="AH138" s="3">
        <f t="shared" si="15"/>
        <v>5.5274563704851756E-3</v>
      </c>
      <c r="AI138" s="3">
        <f t="shared" si="15"/>
        <v>6.8214230777924431E-7</v>
      </c>
      <c r="AJ138" s="3">
        <f t="shared" si="15"/>
        <v>5.5894826813011519E-46</v>
      </c>
    </row>
    <row r="139" spans="1:36" x14ac:dyDescent="0.25">
      <c r="A139" s="3">
        <f t="shared" si="14"/>
        <v>100000000000000</v>
      </c>
      <c r="B139" s="105">
        <v>0</v>
      </c>
      <c r="C139" s="18">
        <f t="shared" si="9"/>
        <v>0</v>
      </c>
      <c r="D139" s="17"/>
      <c r="E139" s="11"/>
      <c r="F139" s="3">
        <f t="shared" si="11"/>
        <v>0</v>
      </c>
      <c r="G139" s="3">
        <f t="shared" si="15"/>
        <v>0</v>
      </c>
      <c r="H139" s="3">
        <f t="shared" si="15"/>
        <v>0</v>
      </c>
      <c r="I139" s="3">
        <f t="shared" si="15"/>
        <v>0</v>
      </c>
      <c r="J139" s="3">
        <f t="shared" si="15"/>
        <v>0</v>
      </c>
      <c r="K139" s="3">
        <f t="shared" si="15"/>
        <v>0</v>
      </c>
      <c r="L139" s="3">
        <f t="shared" si="15"/>
        <v>0</v>
      </c>
      <c r="M139" s="3">
        <f t="shared" si="15"/>
        <v>0</v>
      </c>
      <c r="N139" s="3">
        <f t="shared" si="15"/>
        <v>0</v>
      </c>
      <c r="O139" s="3">
        <f t="shared" si="15"/>
        <v>0</v>
      </c>
      <c r="P139" s="3">
        <f t="shared" si="15"/>
        <v>0</v>
      </c>
      <c r="Q139" s="3">
        <f t="shared" si="15"/>
        <v>0</v>
      </c>
      <c r="R139" s="3">
        <f t="shared" si="15"/>
        <v>0</v>
      </c>
      <c r="S139" s="3">
        <f t="shared" si="15"/>
        <v>0</v>
      </c>
      <c r="T139" s="3">
        <f t="shared" si="15"/>
        <v>0</v>
      </c>
      <c r="U139" s="3">
        <f t="shared" si="15"/>
        <v>0</v>
      </c>
      <c r="V139" s="3">
        <f t="shared" si="15"/>
        <v>0</v>
      </c>
      <c r="W139" s="3">
        <f t="shared" si="15"/>
        <v>0</v>
      </c>
      <c r="X139" s="3">
        <f t="shared" si="15"/>
        <v>0</v>
      </c>
      <c r="Y139" s="3">
        <f t="shared" si="15"/>
        <v>0</v>
      </c>
      <c r="Z139" s="3">
        <f t="shared" si="15"/>
        <v>0</v>
      </c>
      <c r="AA139" s="3">
        <f t="shared" si="15"/>
        <v>0</v>
      </c>
      <c r="AB139" s="3">
        <f t="shared" si="15"/>
        <v>0</v>
      </c>
      <c r="AC139" s="3">
        <f t="shared" si="15"/>
        <v>0</v>
      </c>
      <c r="AD139" s="3">
        <f t="shared" si="15"/>
        <v>0</v>
      </c>
      <c r="AE139" s="3">
        <f t="shared" si="15"/>
        <v>0</v>
      </c>
      <c r="AF139" s="3">
        <f t="shared" si="15"/>
        <v>0</v>
      </c>
      <c r="AG139" s="3">
        <f t="shared" si="15"/>
        <v>0</v>
      </c>
      <c r="AH139" s="3">
        <f t="shared" si="15"/>
        <v>0</v>
      </c>
      <c r="AI139" s="3">
        <f t="shared" si="15"/>
        <v>0</v>
      </c>
      <c r="AJ139" s="3">
        <f t="shared" si="15"/>
        <v>0</v>
      </c>
    </row>
    <row r="140" spans="1:36" x14ac:dyDescent="0.25">
      <c r="A140" s="3">
        <f t="shared" si="14"/>
        <v>1000000000000000</v>
      </c>
      <c r="B140" s="105">
        <v>0</v>
      </c>
      <c r="C140" s="18">
        <f t="shared" si="9"/>
        <v>0</v>
      </c>
      <c r="D140" s="17"/>
      <c r="E140" s="11"/>
      <c r="F140" s="3">
        <f t="shared" si="11"/>
        <v>0</v>
      </c>
      <c r="G140" s="3">
        <f t="shared" si="15"/>
        <v>0</v>
      </c>
      <c r="H140" s="3">
        <f t="shared" si="15"/>
        <v>0</v>
      </c>
      <c r="I140" s="3">
        <f t="shared" si="15"/>
        <v>0</v>
      </c>
      <c r="J140" s="3">
        <f t="shared" si="15"/>
        <v>0</v>
      </c>
      <c r="K140" s="3">
        <f t="shared" si="15"/>
        <v>0</v>
      </c>
      <c r="L140" s="3">
        <f t="shared" si="15"/>
        <v>0</v>
      </c>
      <c r="M140" s="3">
        <f t="shared" si="15"/>
        <v>0</v>
      </c>
      <c r="N140" s="3">
        <f t="shared" si="15"/>
        <v>0</v>
      </c>
      <c r="O140" s="3">
        <f t="shared" si="15"/>
        <v>0</v>
      </c>
      <c r="P140" s="3">
        <f t="shared" si="15"/>
        <v>0</v>
      </c>
      <c r="Q140" s="3">
        <f t="shared" si="15"/>
        <v>0</v>
      </c>
      <c r="R140" s="3">
        <f t="shared" si="15"/>
        <v>0</v>
      </c>
      <c r="S140" s="3">
        <f t="shared" si="15"/>
        <v>0</v>
      </c>
      <c r="T140" s="3">
        <f t="shared" si="15"/>
        <v>0</v>
      </c>
      <c r="U140" s="3">
        <f t="shared" si="15"/>
        <v>0</v>
      </c>
      <c r="V140" s="3">
        <f t="shared" si="15"/>
        <v>0</v>
      </c>
      <c r="W140" s="3">
        <f t="shared" si="15"/>
        <v>0</v>
      </c>
      <c r="X140" s="3">
        <f t="shared" si="15"/>
        <v>0</v>
      </c>
      <c r="Y140" s="3">
        <f t="shared" si="15"/>
        <v>0</v>
      </c>
      <c r="Z140" s="3">
        <f t="shared" si="15"/>
        <v>0</v>
      </c>
      <c r="AA140" s="3">
        <f t="shared" si="15"/>
        <v>0</v>
      </c>
      <c r="AB140" s="3">
        <f t="shared" si="15"/>
        <v>0</v>
      </c>
      <c r="AC140" s="3">
        <f t="shared" si="15"/>
        <v>0</v>
      </c>
      <c r="AD140" s="3">
        <f t="shared" si="15"/>
        <v>0</v>
      </c>
      <c r="AE140" s="3">
        <f t="shared" si="15"/>
        <v>0</v>
      </c>
      <c r="AF140" s="3">
        <f t="shared" si="15"/>
        <v>0</v>
      </c>
      <c r="AG140" s="3">
        <f t="shared" si="15"/>
        <v>0</v>
      </c>
      <c r="AH140" s="3">
        <f t="shared" si="15"/>
        <v>0</v>
      </c>
      <c r="AI140" s="3">
        <f t="shared" si="15"/>
        <v>0</v>
      </c>
      <c r="AJ140" s="3">
        <f t="shared" si="15"/>
        <v>0</v>
      </c>
    </row>
    <row r="141" spans="1:36" x14ac:dyDescent="0.25">
      <c r="A141" s="3">
        <f t="shared" si="14"/>
        <v>1E+16</v>
      </c>
      <c r="B141" s="105">
        <v>6.4078914037735996E-2</v>
      </c>
      <c r="C141" s="18">
        <f t="shared" si="9"/>
        <v>3.9646756335782248E-2</v>
      </c>
      <c r="D141" s="17"/>
      <c r="E141" s="11"/>
      <c r="F141" s="3">
        <f t="shared" si="11"/>
        <v>3.9646756335782248E-2</v>
      </c>
      <c r="G141" s="3">
        <f t="shared" si="15"/>
        <v>3.9646756335782248E-2</v>
      </c>
      <c r="H141" s="3">
        <f t="shared" si="15"/>
        <v>3.9646756335782248E-2</v>
      </c>
      <c r="I141" s="3">
        <f t="shared" si="15"/>
        <v>3.9646756335782248E-2</v>
      </c>
      <c r="J141" s="3">
        <f t="shared" si="15"/>
        <v>3.9646756335782248E-2</v>
      </c>
      <c r="K141" s="3">
        <f t="shared" si="15"/>
        <v>3.9646756335782248E-2</v>
      </c>
      <c r="L141" s="3">
        <f t="shared" si="15"/>
        <v>3.9646756335782248E-2</v>
      </c>
      <c r="M141" s="3">
        <f t="shared" si="15"/>
        <v>3.9646756335782248E-2</v>
      </c>
      <c r="N141" s="3">
        <f t="shared" si="15"/>
        <v>3.9646756335782248E-2</v>
      </c>
      <c r="O141" s="3">
        <f t="shared" si="15"/>
        <v>3.9646756335782248E-2</v>
      </c>
      <c r="P141" s="3">
        <f t="shared" si="15"/>
        <v>3.9646756335782248E-2</v>
      </c>
      <c r="Q141" s="3">
        <f t="shared" si="15"/>
        <v>3.9646756335782248E-2</v>
      </c>
      <c r="R141" s="3">
        <f t="shared" si="15"/>
        <v>3.9646756335782248E-2</v>
      </c>
      <c r="S141" s="3">
        <f t="shared" si="15"/>
        <v>3.9646756335782248E-2</v>
      </c>
      <c r="T141" s="3">
        <f t="shared" si="15"/>
        <v>3.9646756335782248E-2</v>
      </c>
      <c r="U141" s="3">
        <f t="shared" si="15"/>
        <v>3.9646756335782241E-2</v>
      </c>
      <c r="V141" s="3">
        <f t="shared" si="15"/>
        <v>3.9646756335782206E-2</v>
      </c>
      <c r="W141" s="3">
        <f t="shared" si="15"/>
        <v>3.9646756335781852E-2</v>
      </c>
      <c r="X141" s="3">
        <f t="shared" si="15"/>
        <v>3.9646756335778278E-2</v>
      </c>
      <c r="Y141" s="3">
        <f t="shared" si="15"/>
        <v>3.9646756335742599E-2</v>
      </c>
      <c r="Z141" s="3">
        <f t="shared" si="15"/>
        <v>3.964675633538578E-2</v>
      </c>
      <c r="AA141" s="3">
        <f t="shared" si="15"/>
        <v>3.9646756331817572E-2</v>
      </c>
      <c r="AB141" s="3">
        <f t="shared" si="15"/>
        <v>3.9646756296135489E-2</v>
      </c>
      <c r="AC141" s="3">
        <f t="shared" si="15"/>
        <v>3.9646755939314687E-2</v>
      </c>
      <c r="AD141" s="3">
        <f t="shared" si="15"/>
        <v>3.9646752371106812E-2</v>
      </c>
      <c r="AE141" s="3">
        <f t="shared" si="15"/>
        <v>3.9646716689045736E-2</v>
      </c>
      <c r="AF141" s="3">
        <f t="shared" si="15"/>
        <v>3.9646359870201223E-2</v>
      </c>
      <c r="AG141" s="3">
        <f t="shared" si="15"/>
        <v>3.9642791858375846E-2</v>
      </c>
      <c r="AH141" s="3">
        <f t="shared" si="15"/>
        <v>3.9607129396218493E-2</v>
      </c>
      <c r="AI141" s="3">
        <f t="shared" si="15"/>
        <v>3.9252264518934994E-2</v>
      </c>
      <c r="AJ141" s="3">
        <f t="shared" si="15"/>
        <v>3.5873868636370029E-2</v>
      </c>
    </row>
    <row r="142" spans="1:36" x14ac:dyDescent="0.25">
      <c r="A142" s="11"/>
      <c r="B142" s="123">
        <f>SUM(B110:B141)</f>
        <v>1.6162460680270854</v>
      </c>
      <c r="C142" s="18">
        <f>SUM(C110:C141)</f>
        <v>1.0000000000000002</v>
      </c>
      <c r="D142" s="11"/>
      <c r="E142" s="11"/>
      <c r="F142" s="3">
        <f t="shared" ref="F142:AJ142" si="16">F109-F110</f>
        <v>27.556381271453574</v>
      </c>
      <c r="G142" s="3">
        <f t="shared" si="16"/>
        <v>-35.642931996471816</v>
      </c>
      <c r="H142" s="3">
        <f t="shared" si="16"/>
        <v>9.4342577293082286</v>
      </c>
      <c r="I142" s="3">
        <f t="shared" si="16"/>
        <v>-1.5372938144755608</v>
      </c>
      <c r="J142" s="3">
        <f t="shared" si="16"/>
        <v>0.20949418353484361</v>
      </c>
      <c r="K142" s="3">
        <f t="shared" si="16"/>
        <v>-7.4704877188196406E-3</v>
      </c>
      <c r="L142" s="3">
        <f t="shared" si="16"/>
        <v>-6.444467925484787E-2</v>
      </c>
      <c r="M142" s="3">
        <f t="shared" si="16"/>
        <v>0.19808163715515548</v>
      </c>
      <c r="N142" s="3">
        <f t="shared" si="16"/>
        <v>-0.48446198831697984</v>
      </c>
      <c r="O142" s="3">
        <f t="shared" si="16"/>
        <v>0.98367040837729292</v>
      </c>
      <c r="P142" s="3">
        <f t="shared" si="16"/>
        <v>-1.6824338631795399</v>
      </c>
      <c r="Q142" s="3">
        <f t="shared" si="16"/>
        <v>2.4332765420313081</v>
      </c>
      <c r="R142" s="3">
        <f t="shared" si="16"/>
        <v>-2.9917455538106879</v>
      </c>
      <c r="S142" s="3">
        <f t="shared" si="16"/>
        <v>3.1411307771750216</v>
      </c>
      <c r="T142" s="3">
        <f t="shared" si="16"/>
        <v>-2.8263402619463704</v>
      </c>
      <c r="U142" s="3">
        <f t="shared" si="16"/>
        <v>2.1856373473078747</v>
      </c>
      <c r="V142" s="3">
        <f t="shared" si="16"/>
        <v>-1.4551618912746562</v>
      </c>
      <c r="W142" s="3">
        <f t="shared" si="16"/>
        <v>0.83640433089931321</v>
      </c>
      <c r="X142" s="3">
        <f t="shared" si="16"/>
        <v>-0.4164027368792631</v>
      </c>
      <c r="Y142" s="3">
        <f t="shared" si="16"/>
        <v>0.17863572674332318</v>
      </c>
      <c r="Z142" s="3">
        <f t="shared" si="16"/>
        <v>-6.6862139627119177E-2</v>
      </c>
      <c r="AA142" s="3">
        <f t="shared" si="16"/>
        <v>2.1732575086616635E-2</v>
      </c>
      <c r="AB142" s="3">
        <f t="shared" si="16"/>
        <v>-9.4587449762002507E-3</v>
      </c>
      <c r="AC142" s="3">
        <f t="shared" si="16"/>
        <v>9.8789071564624464E-3</v>
      </c>
      <c r="AD142" s="3">
        <f t="shared" si="16"/>
        <v>-1.3056425547347317E-2</v>
      </c>
      <c r="AE142" s="3">
        <f t="shared" si="16"/>
        <v>1.6773000887951639E-2</v>
      </c>
      <c r="AF142" s="3">
        <f t="shared" si="16"/>
        <v>-2.1592989228224724E-2</v>
      </c>
      <c r="AG142" s="3">
        <f t="shared" si="16"/>
        <v>2.7949658677130174E-2</v>
      </c>
      <c r="AH142" s="3">
        <f t="shared" si="16"/>
        <v>-3.6043424441345451E-2</v>
      </c>
      <c r="AI142" s="3">
        <f t="shared" si="16"/>
        <v>2.3452333212503618E-2</v>
      </c>
      <c r="AJ142" s="3">
        <f t="shared" si="16"/>
        <v>-3.003395872440251E-3</v>
      </c>
    </row>
    <row r="143" spans="1:36" x14ac:dyDescent="0.25">
      <c r="A143" s="11"/>
      <c r="B143" s="11"/>
      <c r="C143" s="11"/>
      <c r="D143" s="11"/>
      <c r="E143" s="11"/>
      <c r="F143" s="57">
        <f t="shared" ref="F143:AJ143" si="17">F142/F110</f>
        <v>4.9434373260123354E-3</v>
      </c>
      <c r="G143" s="57">
        <f t="shared" si="17"/>
        <v>-6.4552730334333543E-3</v>
      </c>
      <c r="H143" s="57">
        <f t="shared" si="17"/>
        <v>1.7718902847344818E-3</v>
      </c>
      <c r="I143" s="57">
        <f t="shared" si="17"/>
        <v>-2.9524145388609219E-4</v>
      </c>
      <c r="J143" s="57">
        <f t="shared" si="17"/>
        <v>4.119664655076207E-5</v>
      </c>
      <c r="K143" s="57">
        <f t="shared" si="17"/>
        <v>-1.5125161326122388E-6</v>
      </c>
      <c r="L143" s="57">
        <f t="shared" si="17"/>
        <v>-1.3430268139843059E-5</v>
      </c>
      <c r="M143" s="57">
        <f t="shared" si="17"/>
        <v>4.2949647043857714E-5</v>
      </c>
      <c r="N143" s="57">
        <f t="shared" si="17"/>
        <v>-1.0889960158887866E-4</v>
      </c>
      <c r="O143" s="57">
        <f t="shared" si="17"/>
        <v>2.2915819960744473E-4</v>
      </c>
      <c r="P143" s="57">
        <f t="shared" si="17"/>
        <v>-4.0839706394279031E-4</v>
      </c>
      <c r="Q143" s="57">
        <f t="shared" si="17"/>
        <v>6.2268257394658291E-4</v>
      </c>
      <c r="R143" s="57">
        <f t="shared" si="17"/>
        <v>-8.1259533966994999E-4</v>
      </c>
      <c r="S143" s="57">
        <f t="shared" si="17"/>
        <v>9.0188040480694489E-4</v>
      </c>
      <c r="T143" s="57">
        <f t="shared" si="17"/>
        <v>-8.5567745514123102E-4</v>
      </c>
      <c r="U143" s="57">
        <f t="shared" si="17"/>
        <v>6.9671391742900728E-4</v>
      </c>
      <c r="V143" s="57">
        <f t="shared" si="17"/>
        <v>-4.9205371669258364E-4</v>
      </c>
      <c r="W143" s="57">
        <f t="shared" si="17"/>
        <v>3.021407761735246E-4</v>
      </c>
      <c r="X143" s="57">
        <f t="shared" si="17"/>
        <v>-1.5828367129918494E-4</v>
      </c>
      <c r="Y143" s="57">
        <f t="shared" si="17"/>
        <v>7.3580115615413087E-5</v>
      </c>
      <c r="Z143" s="57">
        <f t="shared" si="17"/>
        <v>-3.0204342181827738E-5</v>
      </c>
      <c r="AA143" s="57">
        <f t="shared" si="17"/>
        <v>1.0798422338099662E-5</v>
      </c>
      <c r="AB143" s="57">
        <f t="shared" si="17"/>
        <v>-5.4665089682108219E-6</v>
      </c>
      <c r="AC143" s="57">
        <f t="shared" si="17"/>
        <v>7.0177040692169573E-6</v>
      </c>
      <c r="AD143" s="57">
        <f t="shared" si="17"/>
        <v>-1.2091455838299514E-5</v>
      </c>
      <c r="AE143" s="57">
        <f t="shared" si="17"/>
        <v>2.1911498410884068E-5</v>
      </c>
      <c r="AF143" s="57">
        <f t="shared" si="17"/>
        <v>-4.0961345068802216E-5</v>
      </c>
      <c r="AG143" s="57">
        <f t="shared" si="17"/>
        <v>7.1552384847875405E-5</v>
      </c>
      <c r="AH143" s="57">
        <f t="shared" si="17"/>
        <v>-1.136729113026187E-4</v>
      </c>
      <c r="AI143" s="57">
        <f t="shared" si="17"/>
        <v>8.2562291634843607E-5</v>
      </c>
      <c r="AJ143" s="57">
        <f t="shared" si="17"/>
        <v>-1.1329912040038989E-5</v>
      </c>
    </row>
    <row r="144" spans="1:36" x14ac:dyDescent="0.25">
      <c r="A144" s="13" t="s">
        <v>21</v>
      </c>
      <c r="B144" s="3">
        <f>STUTT!D8</f>
        <v>5614.1607000000004</v>
      </c>
      <c r="C144" s="11"/>
      <c r="D144" s="11"/>
      <c r="E144" s="11" t="s">
        <v>24</v>
      </c>
      <c r="F144" s="20">
        <f t="shared" ref="F144:AJ144" si="18">(F109-F110)^2</f>
        <v>759.35414877771734</v>
      </c>
      <c r="G144" s="20">
        <f t="shared" si="18"/>
        <v>1270.4186013051144</v>
      </c>
      <c r="H144" s="20">
        <f t="shared" si="18"/>
        <v>89.00521890301205</v>
      </c>
      <c r="I144" s="20">
        <f t="shared" si="18"/>
        <v>2.3632722720248198</v>
      </c>
      <c r="J144" s="20">
        <f t="shared" si="18"/>
        <v>4.3887812934930742E-2</v>
      </c>
      <c r="K144" s="20">
        <f t="shared" si="18"/>
        <v>5.580818675703508E-5</v>
      </c>
      <c r="L144" s="20">
        <f t="shared" si="18"/>
        <v>4.1531166842602198E-3</v>
      </c>
      <c r="M144" s="20">
        <f t="shared" si="18"/>
        <v>3.9236334978066674E-2</v>
      </c>
      <c r="N144" s="20">
        <f t="shared" si="18"/>
        <v>0.23470341812404152</v>
      </c>
      <c r="O144" s="20">
        <f t="shared" si="18"/>
        <v>0.96760747231715016</v>
      </c>
      <c r="P144" s="20">
        <f t="shared" si="18"/>
        <v>2.8305837039732307</v>
      </c>
      <c r="Q144" s="20">
        <f t="shared" si="18"/>
        <v>5.9208347299998403</v>
      </c>
      <c r="R144" s="20">
        <f t="shared" si="18"/>
        <v>8.9505414587460201</v>
      </c>
      <c r="S144" s="20">
        <f t="shared" si="18"/>
        <v>9.8667025593161561</v>
      </c>
      <c r="T144" s="20">
        <f t="shared" si="18"/>
        <v>7.9881992762990777</v>
      </c>
      <c r="U144" s="20">
        <f t="shared" si="18"/>
        <v>4.7770106139470032</v>
      </c>
      <c r="V144" s="20">
        <f t="shared" si="18"/>
        <v>2.1174961298180346</v>
      </c>
      <c r="W144" s="20">
        <f t="shared" si="18"/>
        <v>0.69957220474712778</v>
      </c>
      <c r="X144" s="20">
        <f t="shared" si="18"/>
        <v>0.17339123928054082</v>
      </c>
      <c r="Y144" s="20">
        <f t="shared" si="18"/>
        <v>3.1910722869115227E-2</v>
      </c>
      <c r="Z144" s="20">
        <f t="shared" si="18"/>
        <v>4.4705457155163808E-3</v>
      </c>
      <c r="AA144" s="20">
        <f t="shared" si="18"/>
        <v>4.7230481989543003E-4</v>
      </c>
      <c r="AB144" s="20">
        <f t="shared" si="18"/>
        <v>8.9467856524793476E-5</v>
      </c>
      <c r="AC144" s="20">
        <f t="shared" si="18"/>
        <v>9.759280660600494E-5</v>
      </c>
      <c r="AD144" s="20">
        <f t="shared" si="18"/>
        <v>1.7047024807342369E-4</v>
      </c>
      <c r="AE144" s="20">
        <f t="shared" si="18"/>
        <v>2.8133355878722649E-4</v>
      </c>
      <c r="AF144" s="20">
        <f t="shared" si="18"/>
        <v>4.6625718381022895E-4</v>
      </c>
      <c r="AG144" s="20">
        <f t="shared" si="18"/>
        <v>7.8118342016807803E-4</v>
      </c>
      <c r="AH144" s="20">
        <f t="shared" si="18"/>
        <v>1.2991284454589786E-3</v>
      </c>
      <c r="AI144" s="20">
        <f t="shared" si="18"/>
        <v>5.5001193311030028E-4</v>
      </c>
      <c r="AJ144" s="20">
        <f t="shared" si="18"/>
        <v>9.0203867665911355E-6</v>
      </c>
    </row>
    <row r="145" spans="1:36" x14ac:dyDescent="0.25">
      <c r="A145" s="13"/>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row>
    <row r="146" spans="1:36" x14ac:dyDescent="0.25">
      <c r="A146" s="11"/>
      <c r="B146" s="11"/>
      <c r="C146" s="11"/>
      <c r="D146" s="11"/>
      <c r="E146" s="131" t="s">
        <v>25</v>
      </c>
      <c r="F146" s="131"/>
      <c r="G146" s="104">
        <f>SUM(F144:AJ144)</f>
        <v>2165.7958151764651</v>
      </c>
      <c r="H146" s="11"/>
      <c r="I146" s="3">
        <f>G146+C216</f>
        <v>2165.7958151764651</v>
      </c>
      <c r="J146" s="11"/>
      <c r="K146" s="3">
        <f>SUM(Z144:AJ144)</f>
        <v>8.6873163747174346E-3</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row>
    <row r="147" spans="1:36" x14ac:dyDescent="0.25">
      <c r="A147" s="11"/>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row>
    <row r="148" spans="1:36" x14ac:dyDescent="0.25">
      <c r="A148" s="11"/>
      <c r="B148" s="11"/>
      <c r="C148" s="11"/>
      <c r="D148" s="11"/>
      <c r="E148" s="30" t="s">
        <v>30</v>
      </c>
      <c r="F148" s="31">
        <f t="shared" ref="F148:AJ148" si="19">ABS(F110-F109)/F109</f>
        <v>4.9191199647673723E-3</v>
      </c>
      <c r="G148" s="31">
        <f t="shared" si="19"/>
        <v>6.4972143258635378E-3</v>
      </c>
      <c r="H148" s="31">
        <f t="shared" si="19"/>
        <v>1.7687562427319216E-3</v>
      </c>
      <c r="I148" s="31">
        <f t="shared" si="19"/>
        <v>2.9532864714524958E-4</v>
      </c>
      <c r="J148" s="31">
        <f t="shared" si="19"/>
        <v>4.1194949456989611E-5</v>
      </c>
      <c r="K148" s="31">
        <f t="shared" si="19"/>
        <v>1.5125184203207502E-6</v>
      </c>
      <c r="L148" s="31">
        <f t="shared" si="19"/>
        <v>1.3430448514367844E-5</v>
      </c>
      <c r="M148" s="31">
        <f t="shared" si="19"/>
        <v>4.2947802450901138E-5</v>
      </c>
      <c r="N148" s="31">
        <f t="shared" si="19"/>
        <v>1.0891146200369932E-4</v>
      </c>
      <c r="O148" s="31">
        <f t="shared" si="19"/>
        <v>2.2910569815813499E-4</v>
      </c>
      <c r="P148" s="31">
        <f t="shared" si="19"/>
        <v>4.0856392024825268E-4</v>
      </c>
      <c r="Q148" s="31">
        <f t="shared" si="19"/>
        <v>6.2229508164339086E-4</v>
      </c>
      <c r="R148" s="31">
        <f t="shared" si="19"/>
        <v>8.1325618785816126E-4</v>
      </c>
      <c r="S148" s="31">
        <f t="shared" si="19"/>
        <v>9.0106774946030314E-4</v>
      </c>
      <c r="T148" s="31">
        <f t="shared" si="19"/>
        <v>8.5641026609828289E-4</v>
      </c>
      <c r="U148" s="31">
        <f t="shared" si="19"/>
        <v>6.9622884510290857E-4</v>
      </c>
      <c r="V148" s="31">
        <f t="shared" si="19"/>
        <v>4.9229595274584502E-4</v>
      </c>
      <c r="W148" s="31">
        <f t="shared" si="19"/>
        <v>3.0204951469871072E-4</v>
      </c>
      <c r="X148" s="31">
        <f t="shared" si="19"/>
        <v>1.5830872898600756E-4</v>
      </c>
      <c r="Y148" s="31">
        <f t="shared" si="19"/>
        <v>7.357470198033501E-5</v>
      </c>
      <c r="Z148" s="31">
        <f t="shared" si="19"/>
        <v>3.0205254511670697E-5</v>
      </c>
      <c r="AA148" s="31">
        <f t="shared" si="19"/>
        <v>1.0798305733433816E-5</v>
      </c>
      <c r="AB148" s="31">
        <f t="shared" si="19"/>
        <v>5.466538851094476E-6</v>
      </c>
      <c r="AC148" s="31">
        <f t="shared" si="19"/>
        <v>7.0176548213921611E-6</v>
      </c>
      <c r="AD148" s="31">
        <f t="shared" si="19"/>
        <v>1.2091602043371636E-5</v>
      </c>
      <c r="AE148" s="31">
        <f t="shared" si="19"/>
        <v>2.1911018307641238E-5</v>
      </c>
      <c r="AF148" s="31">
        <f t="shared" si="19"/>
        <v>4.0963022969321121E-5</v>
      </c>
      <c r="AG148" s="31">
        <f t="shared" si="19"/>
        <v>7.1547265470401654E-5</v>
      </c>
      <c r="AH148" s="31">
        <f t="shared" si="19"/>
        <v>1.1368583430237771E-4</v>
      </c>
      <c r="AI148" s="31">
        <f t="shared" si="19"/>
        <v>8.255547566558564E-5</v>
      </c>
      <c r="AJ148" s="31">
        <f t="shared" si="19"/>
        <v>1.1330040408400226E-5</v>
      </c>
    </row>
    <row r="149" spans="1:36" x14ac:dyDescent="0.25">
      <c r="A149" s="11"/>
      <c r="B149" s="11"/>
      <c r="C149" s="11"/>
      <c r="D149" s="11"/>
      <c r="E149" s="13" t="s">
        <v>31</v>
      </c>
      <c r="F149" s="32">
        <f>AVERAGE(F148:AJ148)</f>
        <v>6.3384338778772189E-4</v>
      </c>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row>
    <row r="150" spans="1:36" x14ac:dyDescent="0.25">
      <c r="A150" s="42"/>
      <c r="B150" s="15"/>
      <c r="C150" s="15"/>
      <c r="D150" s="15"/>
      <c r="E150" s="11"/>
      <c r="F150" s="60">
        <f>AVERAGE(S148:X148)</f>
        <v>5.6772684284867633E-4</v>
      </c>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row>
    <row r="151" spans="1:36" x14ac:dyDescent="0.25">
      <c r="A151" s="11"/>
      <c r="B151" s="11"/>
      <c r="C151" s="11"/>
      <c r="D151" s="11"/>
      <c r="E151" s="11"/>
      <c r="F151" s="57"/>
      <c r="G151" s="57"/>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c r="AE151" s="57"/>
      <c r="AF151" s="57"/>
      <c r="AG151" s="57"/>
      <c r="AH151" s="57"/>
      <c r="AI151" s="57"/>
      <c r="AJ151" s="57"/>
    </row>
    <row r="152" spans="1:36" x14ac:dyDescent="0.25">
      <c r="A152" s="11"/>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row>
  </sheetData>
  <mergeCells count="2">
    <mergeCell ref="A108:C108"/>
    <mergeCell ref="E146:F14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-30.413972210948696</v>
      </c>
      <c r="M1" s="54">
        <v>1</v>
      </c>
      <c r="N1" s="56">
        <f>INDEX($H$217:$P$217,1,Q1)</f>
        <v>0.28059766363332267</v>
      </c>
      <c r="O1" s="11"/>
      <c r="P1" s="55">
        <v>1</v>
      </c>
      <c r="Q1" s="11">
        <v>2</v>
      </c>
    </row>
    <row r="2" spans="1:17" x14ac:dyDescent="0.25">
      <c r="A2" s="11">
        <f>'Mastercurve bestimmen'!M119</f>
        <v>0</v>
      </c>
      <c r="B2" s="11">
        <f>'Mastercurve bestimmen'!N119</f>
        <v>-17.935120667856175</v>
      </c>
      <c r="M2" s="54">
        <v>2</v>
      </c>
      <c r="N2" s="56">
        <f t="shared" ref="N2:N9" si="0">INDEX($H$217:$P$217,1,Q2)</f>
        <v>2.1673095681549572E-3</v>
      </c>
      <c r="O2" s="11"/>
      <c r="P2" s="55">
        <v>2</v>
      </c>
      <c r="Q2" s="11">
        <f>Q1+1</f>
        <v>3</v>
      </c>
    </row>
    <row r="3" spans="1:17" x14ac:dyDescent="0.25">
      <c r="A3" s="11">
        <f>'Mastercurve bestimmen'!M120</f>
        <v>25</v>
      </c>
      <c r="B3" s="11">
        <f>'Mastercurve bestimmen'!N120</f>
        <v>-11.928740063453622</v>
      </c>
      <c r="M3" s="54">
        <v>3</v>
      </c>
      <c r="N3" s="56">
        <f t="shared" si="0"/>
        <v>5.4903527246225159E-6</v>
      </c>
      <c r="O3" s="11"/>
      <c r="P3" s="55">
        <v>3</v>
      </c>
      <c r="Q3" s="11">
        <f t="shared" ref="Q3:Q8" si="1">Q2+1</f>
        <v>4</v>
      </c>
    </row>
    <row r="4" spans="1:17" x14ac:dyDescent="0.25">
      <c r="A4" s="11">
        <f>'Mastercurve bestimmen'!M121</f>
        <v>50</v>
      </c>
      <c r="B4" s="11">
        <f>'Mastercurve bestimmen'!N121</f>
        <v>-6.7704611066142686</v>
      </c>
      <c r="M4" s="54">
        <v>4</v>
      </c>
      <c r="N4" s="56">
        <f t="shared" si="0"/>
        <v>-3.0338183625443461E-7</v>
      </c>
      <c r="O4" s="11"/>
      <c r="P4" s="55">
        <v>4</v>
      </c>
      <c r="Q4" s="11">
        <f t="shared" si="1"/>
        <v>5</v>
      </c>
    </row>
    <row r="5" spans="1:17" x14ac:dyDescent="0.25">
      <c r="A5" s="11">
        <f>'Mastercurve bestimmen'!M122</f>
        <v>80</v>
      </c>
      <c r="B5" s="11">
        <f>'Mastercurve bestimmen'!N122</f>
        <v>0</v>
      </c>
      <c r="M5" s="54">
        <v>5</v>
      </c>
      <c r="N5" s="56">
        <f t="shared" si="0"/>
        <v>-6.7461867632953907E-10</v>
      </c>
      <c r="O5" s="11"/>
      <c r="P5" s="55">
        <v>5</v>
      </c>
      <c r="Q5" s="11">
        <f t="shared" si="1"/>
        <v>6</v>
      </c>
    </row>
    <row r="6" spans="1:17" x14ac:dyDescent="0.25">
      <c r="A6" s="11">
        <f>'Mastercurve bestimmen'!M123</f>
        <v>125</v>
      </c>
      <c r="B6" s="11">
        <f>'Mastercurve bestimmen'!N123</f>
        <v>16.286830450969848</v>
      </c>
      <c r="M6" s="54">
        <v>6</v>
      </c>
      <c r="N6" s="56">
        <f t="shared" si="0"/>
        <v>1.7066869672461702E-11</v>
      </c>
      <c r="O6" s="11"/>
      <c r="P6" s="55">
        <v>6</v>
      </c>
      <c r="Q6" s="11">
        <f t="shared" si="1"/>
        <v>7</v>
      </c>
    </row>
    <row r="7" spans="1:17" x14ac:dyDescent="0.25">
      <c r="A7" s="11">
        <f>'Mastercurve bestimmen'!M124</f>
        <v>160</v>
      </c>
      <c r="B7" s="11">
        <f>'Mastercurve bestimmen'!N124</f>
        <v>30.462808326534489</v>
      </c>
      <c r="M7" s="54">
        <v>7</v>
      </c>
      <c r="N7" s="56">
        <f t="shared" si="0"/>
        <v>7.1414370084012693E-14</v>
      </c>
      <c r="O7" s="11"/>
      <c r="P7" s="55">
        <v>7</v>
      </c>
      <c r="Q7" s="11">
        <f t="shared" si="1"/>
        <v>8</v>
      </c>
    </row>
    <row r="8" spans="1:17" x14ac:dyDescent="0.25">
      <c r="A8" s="11"/>
      <c r="B8" s="11"/>
      <c r="M8" s="54">
        <v>8</v>
      </c>
      <c r="N8" s="56">
        <f t="shared" si="0"/>
        <v>5.6793836650726333E-17</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-30.413972210948693</v>
      </c>
      <c r="E15" s="11">
        <f>A15-'Mastercurve bestimmen'!$B$2</f>
        <v>-120</v>
      </c>
      <c r="F15" s="11">
        <f>B15</f>
        <v>-30.413972210948693</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-30.163124219186201</v>
      </c>
      <c r="E16" s="11">
        <f>A16-'Mastercurve bestimmen'!$B$2</f>
        <v>-119</v>
      </c>
      <c r="F16" s="11">
        <f t="shared" ref="F16:F79" si="4">B16</f>
        <v>-30.163124219186201</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-29.91204687171334</v>
      </c>
      <c r="E17" s="11">
        <f>A17-'Mastercurve bestimmen'!$B$2</f>
        <v>-118</v>
      </c>
      <c r="F17" s="11">
        <f t="shared" si="4"/>
        <v>-29.91204687171334</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-29.660510812819727</v>
      </c>
      <c r="E18" s="11">
        <f>A18-'Mastercurve bestimmen'!$B$2</f>
        <v>-117</v>
      </c>
      <c r="F18" s="11">
        <f t="shared" si="4"/>
        <v>-29.660510812819727</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-29.408286686794995</v>
      </c>
      <c r="E19" s="11">
        <f>A19-'Mastercurve bestimmen'!$B$2</f>
        <v>-116</v>
      </c>
      <c r="F19" s="11">
        <f t="shared" si="4"/>
        <v>-29.408286686794995</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-29.155145137928759</v>
      </c>
      <c r="E20" s="11">
        <f>A20-'Mastercurve bestimmen'!$B$2</f>
        <v>-115</v>
      </c>
      <c r="F20" s="11">
        <f t="shared" si="4"/>
        <v>-29.155145137928759</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-28.900856810510653</v>
      </c>
      <c r="E21" s="11">
        <f>A21-'Mastercurve bestimmen'!$B$2</f>
        <v>-114</v>
      </c>
      <c r="F21" s="11">
        <f t="shared" si="4"/>
        <v>-28.900856810510653</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-28.645192348830296</v>
      </c>
      <c r="E22" s="11">
        <f>A22-'Mastercurve bestimmen'!$B$2</f>
        <v>-113</v>
      </c>
      <c r="F22" s="11">
        <f t="shared" si="4"/>
        <v>-28.645192348830296</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-28.38792239717732</v>
      </c>
      <c r="E23" s="11">
        <f>A23-'Mastercurve bestimmen'!$B$2</f>
        <v>-112</v>
      </c>
      <c r="F23" s="11">
        <f t="shared" si="4"/>
        <v>-28.38792239717732</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-28.128817599841348</v>
      </c>
      <c r="E24" s="11">
        <f>A24-'Mastercurve bestimmen'!$B$2</f>
        <v>-111</v>
      </c>
      <c r="F24" s="11">
        <f t="shared" si="4"/>
        <v>-28.128817599841348</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-27.867648601112002</v>
      </c>
      <c r="E25" s="11">
        <f>A25-'Mastercurve bestimmen'!$B$2</f>
        <v>-110</v>
      </c>
      <c r="F25" s="11">
        <f t="shared" si="4"/>
        <v>-27.867648601112002</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-27.604186045278915</v>
      </c>
      <c r="E26" s="11">
        <f>A26-'Mastercurve bestimmen'!$B$2</f>
        <v>-109</v>
      </c>
      <c r="F26" s="11">
        <f t="shared" si="4"/>
        <v>-27.604186045278915</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-27.338200576631703</v>
      </c>
      <c r="E27" s="11">
        <f>A27-'Mastercurve bestimmen'!$B$2</f>
        <v>-108</v>
      </c>
      <c r="F27" s="11">
        <f t="shared" si="4"/>
        <v>-27.338200576631703</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-27.069462839459995</v>
      </c>
      <c r="E28" s="11">
        <f>A28-'Mastercurve bestimmen'!$B$2</f>
        <v>-107</v>
      </c>
      <c r="F28" s="11">
        <f t="shared" si="4"/>
        <v>-27.069462839459995</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-26.797743478053423</v>
      </c>
      <c r="E29" s="11">
        <f>A29-'Mastercurve bestimmen'!$B$2</f>
        <v>-106</v>
      </c>
      <c r="F29" s="11">
        <f t="shared" si="4"/>
        <v>-26.797743478053423</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-26.522813136701604</v>
      </c>
      <c r="E30" s="11">
        <f>A30-'Mastercurve bestimmen'!$B$2</f>
        <v>-105</v>
      </c>
      <c r="F30" s="11">
        <f t="shared" si="4"/>
        <v>-26.522813136701604</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-26.244442459694163</v>
      </c>
      <c r="E31" s="11">
        <f>A31-'Mastercurve bestimmen'!$B$2</f>
        <v>-104</v>
      </c>
      <c r="F31" s="11">
        <f t="shared" si="4"/>
        <v>-26.244442459694163</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-25.96240209132073</v>
      </c>
      <c r="E32" s="11">
        <f>A32-'Mastercurve bestimmen'!$B$2</f>
        <v>-103</v>
      </c>
      <c r="F32" s="11">
        <f t="shared" si="4"/>
        <v>-25.96240209132073</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-25.67646267587093</v>
      </c>
      <c r="E33" s="11">
        <f>A33-'Mastercurve bestimmen'!$B$2</f>
        <v>-102</v>
      </c>
      <c r="F33" s="11">
        <f t="shared" si="4"/>
        <v>-25.67646267587093</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-25.386394857634393</v>
      </c>
      <c r="E34" s="11">
        <f>A34-'Mastercurve bestimmen'!$B$2</f>
        <v>-101</v>
      </c>
      <c r="F34" s="11">
        <f t="shared" si="4"/>
        <v>-25.386394857634393</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-25.091969280900734</v>
      </c>
      <c r="E35" s="11">
        <f>A35-'Mastercurve bestimmen'!$B$2</f>
        <v>-100</v>
      </c>
      <c r="F35" s="11">
        <f t="shared" si="4"/>
        <v>-25.091969280900734</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-24.792956589959584</v>
      </c>
      <c r="E36" s="11">
        <f>A36-'Mastercurve bestimmen'!$B$2</f>
        <v>-99</v>
      </c>
      <c r="F36" s="11">
        <f t="shared" si="4"/>
        <v>-24.792956589959584</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-24.48912742910057</v>
      </c>
      <c r="E37" s="11">
        <f>A37-'Mastercurve bestimmen'!$B$2</f>
        <v>-98</v>
      </c>
      <c r="F37" s="11">
        <f t="shared" si="4"/>
        <v>-24.48912742910057</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-24.180252442613316</v>
      </c>
      <c r="E38" s="11">
        <f>A38-'Mastercurve bestimmen'!$B$2</f>
        <v>-97</v>
      </c>
      <c r="F38" s="11">
        <f t="shared" si="4"/>
        <v>-24.180252442613316</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-23.866102274787444</v>
      </c>
      <c r="E39" s="11">
        <f>A39-'Mastercurve bestimmen'!$B$2</f>
        <v>-96</v>
      </c>
      <c r="F39" s="11">
        <f t="shared" si="4"/>
        <v>-23.866102274787444</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-23.54644756991258</v>
      </c>
      <c r="E40" s="11">
        <f>A40-'Mastercurve bestimmen'!$B$2</f>
        <v>-95</v>
      </c>
      <c r="F40" s="11">
        <f t="shared" si="4"/>
        <v>-23.54644756991258</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-23.221058972278357</v>
      </c>
      <c r="E41" s="11">
        <f>A41-'Mastercurve bestimmen'!$B$2</f>
        <v>-94</v>
      </c>
      <c r="F41" s="11">
        <f t="shared" si="4"/>
        <v>-23.221058972278357</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-22.889707126174393</v>
      </c>
      <c r="E42" s="11">
        <f>A42-'Mastercurve bestimmen'!$B$2</f>
        <v>-93</v>
      </c>
      <c r="F42" s="11">
        <f t="shared" si="4"/>
        <v>-22.889707126174393</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-22.552162675890315</v>
      </c>
      <c r="E43" s="11">
        <f>A43-'Mastercurve bestimmen'!$B$2</f>
        <v>-92</v>
      </c>
      <c r="F43" s="11">
        <f t="shared" si="4"/>
        <v>-22.552162675890315</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-22.208196265715745</v>
      </c>
      <c r="E44" s="11">
        <f>A44-'Mastercurve bestimmen'!$B$2</f>
        <v>-91</v>
      </c>
      <c r="F44" s="11">
        <f t="shared" si="4"/>
        <v>-22.208196265715745</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-21.857578539940317</v>
      </c>
      <c r="E45" s="11">
        <f>A45-'Mastercurve bestimmen'!$B$2</f>
        <v>-90</v>
      </c>
      <c r="F45" s="11">
        <f t="shared" si="4"/>
        <v>-21.857578539940317</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-21.500080142853651</v>
      </c>
      <c r="E46" s="11">
        <f>A46-'Mastercurve bestimmen'!$B$2</f>
        <v>-89</v>
      </c>
      <c r="F46" s="11">
        <f t="shared" si="4"/>
        <v>-21.500080142853651</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-21.135471718745372</v>
      </c>
      <c r="E47" s="11">
        <f>A47-'Mastercurve bestimmen'!$B$2</f>
        <v>-88</v>
      </c>
      <c r="F47" s="11">
        <f t="shared" si="4"/>
        <v>-21.135471718745372</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-20.763523911905107</v>
      </c>
      <c r="E48" s="11">
        <f>A48-'Mastercurve bestimmen'!$B$2</f>
        <v>-87</v>
      </c>
      <c r="F48" s="11">
        <f t="shared" si="4"/>
        <v>-20.763523911905107</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-20.384007366622484</v>
      </c>
      <c r="E49" s="11">
        <f>A49-'Mastercurve bestimmen'!$B$2</f>
        <v>-86</v>
      </c>
      <c r="F49" s="11">
        <f t="shared" si="4"/>
        <v>-20.384007366622484</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-19.996692727187121</v>
      </c>
      <c r="E50" s="11">
        <f>A50-'Mastercurve bestimmen'!$B$2</f>
        <v>-85</v>
      </c>
      <c r="F50" s="11">
        <f t="shared" si="4"/>
        <v>-19.996692727187121</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-19.601350637888654</v>
      </c>
      <c r="E51" s="11">
        <f>A51-'Mastercurve bestimmen'!$B$2</f>
        <v>-84</v>
      </c>
      <c r="F51" s="11">
        <f t="shared" si="4"/>
        <v>-19.601350637888654</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-19.197751743016696</v>
      </c>
      <c r="E52" s="11">
        <f>A52-'Mastercurve bestimmen'!$B$2</f>
        <v>-83</v>
      </c>
      <c r="F52" s="11">
        <f t="shared" si="4"/>
        <v>-19.197751743016696</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-18.785666686860878</v>
      </c>
      <c r="E53" s="11">
        <f>A53-'Mastercurve bestimmen'!$B$2</f>
        <v>-82</v>
      </c>
      <c r="F53" s="11">
        <f t="shared" si="4"/>
        <v>-18.785666686860878</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-18.364866113710832</v>
      </c>
      <c r="E54" s="11">
        <f>A54-'Mastercurve bestimmen'!$B$2</f>
        <v>-81</v>
      </c>
      <c r="F54" s="11">
        <f t="shared" si="4"/>
        <v>-18.364866113710832</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-17.935120667856175</v>
      </c>
      <c r="E55" s="11">
        <f>A55-'Mastercurve bestimmen'!$B$2</f>
        <v>-80</v>
      </c>
      <c r="F55" s="11">
        <f t="shared" si="4"/>
        <v>-17.935120667856175</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-17.748123067843146</v>
      </c>
      <c r="E56" s="11">
        <f>A56-'Mastercurve bestimmen'!$B$2</f>
        <v>-79</v>
      </c>
      <c r="F56" s="11">
        <f t="shared" si="4"/>
        <v>-17.748123067843146</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-17.552497711692219</v>
      </c>
      <c r="E57" s="11">
        <f>A57-'Mastercurve bestimmen'!$B$2</f>
        <v>-78</v>
      </c>
      <c r="F57" s="11">
        <f t="shared" si="4"/>
        <v>-17.552497711692219</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-17.34879107168047</v>
      </c>
      <c r="E58" s="11">
        <f>A58-'Mastercurve bestimmen'!$B$2</f>
        <v>-77</v>
      </c>
      <c r="F58" s="11">
        <f t="shared" si="4"/>
        <v>-17.34879107168047</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-17.137549620084997</v>
      </c>
      <c r="E59" s="11">
        <f>A59-'Mastercurve bestimmen'!$B$2</f>
        <v>-76</v>
      </c>
      <c r="F59" s="11">
        <f t="shared" si="4"/>
        <v>-17.137549620084997</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-16.919319829182875</v>
      </c>
      <c r="E60" s="11">
        <f>A60-'Mastercurve bestimmen'!$B$2</f>
        <v>-75</v>
      </c>
      <c r="F60" s="11">
        <f t="shared" si="4"/>
        <v>-16.919319829182875</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-16.694648171251188</v>
      </c>
      <c r="E61" s="11">
        <f>A61-'Mastercurve bestimmen'!$B$2</f>
        <v>-74</v>
      </c>
      <c r="F61" s="11">
        <f t="shared" si="4"/>
        <v>-16.694648171251188</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-16.464081118567023</v>
      </c>
      <c r="E62" s="11">
        <f>A62-'Mastercurve bestimmen'!$B$2</f>
        <v>-73</v>
      </c>
      <c r="F62" s="11">
        <f t="shared" si="4"/>
        <v>-16.464081118567023</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-16.228165143407463</v>
      </c>
      <c r="E63" s="11">
        <f>A63-'Mastercurve bestimmen'!$B$2</f>
        <v>-72</v>
      </c>
      <c r="F63" s="11">
        <f t="shared" si="4"/>
        <v>-16.228165143407463</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-15.987446718049586</v>
      </c>
      <c r="E64" s="11">
        <f>A64-'Mastercurve bestimmen'!$B$2</f>
        <v>-71</v>
      </c>
      <c r="F64" s="11">
        <f t="shared" si="4"/>
        <v>-15.987446718049586</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-15.742472314770485</v>
      </c>
      <c r="E65" s="11">
        <f>A65-'Mastercurve bestimmen'!$B$2</f>
        <v>-70</v>
      </c>
      <c r="F65" s="11">
        <f t="shared" si="4"/>
        <v>-15.742472314770485</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-15.493788405847239</v>
      </c>
      <c r="E66" s="11">
        <f>A66-'Mastercurve bestimmen'!$B$2</f>
        <v>-69</v>
      </c>
      <c r="F66" s="11">
        <f t="shared" si="4"/>
        <v>-15.493788405847239</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-15.24194146355693</v>
      </c>
      <c r="E67" s="11">
        <f>A67-'Mastercurve bestimmen'!$B$2</f>
        <v>-68</v>
      </c>
      <c r="F67" s="11">
        <f t="shared" si="4"/>
        <v>-15.24194146355693</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-14.987477960176649</v>
      </c>
      <c r="E68" s="11">
        <f>A68-'Mastercurve bestimmen'!$B$2</f>
        <v>-67</v>
      </c>
      <c r="F68" s="11">
        <f t="shared" si="4"/>
        <v>-14.987477960176649</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-14.730944367983472</v>
      </c>
      <c r="E69" s="11">
        <f>A69-'Mastercurve bestimmen'!$B$2</f>
        <v>-66</v>
      </c>
      <c r="F69" s="11">
        <f t="shared" si="4"/>
        <v>-14.730944367983472</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-14.472887159254489</v>
      </c>
      <c r="E70" s="11">
        <f>A70-'Mastercurve bestimmen'!$B$2</f>
        <v>-65</v>
      </c>
      <c r="F70" s="11">
        <f t="shared" si="4"/>
        <v>-14.472887159254489</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-14.213852806266779</v>
      </c>
      <c r="E71" s="11">
        <f>A71-'Mastercurve bestimmen'!$B$2</f>
        <v>-64</v>
      </c>
      <c r="F71" s="11">
        <f t="shared" si="4"/>
        <v>-14.213852806266779</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-13.954387781297431</v>
      </c>
      <c r="E72" s="11">
        <f>A72-'Mastercurve bestimmen'!$B$2</f>
        <v>-63</v>
      </c>
      <c r="F72" s="11">
        <f t="shared" si="4"/>
        <v>-13.954387781297431</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-13.695038556623523</v>
      </c>
      <c r="E73" s="11">
        <f>A73-'Mastercurve bestimmen'!$B$2</f>
        <v>-62</v>
      </c>
      <c r="F73" s="11">
        <f t="shared" si="4"/>
        <v>-13.695038556623523</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-13.436351604522143</v>
      </c>
      <c r="E74" s="11">
        <f>A74-'Mastercurve bestimmen'!$B$2</f>
        <v>-61</v>
      </c>
      <c r="F74" s="11">
        <f t="shared" si="4"/>
        <v>-13.436351604522143</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-13.178873397270374</v>
      </c>
      <c r="E75" s="11">
        <f>A75-'Mastercurve bestimmen'!$B$2</f>
        <v>-60</v>
      </c>
      <c r="F75" s="11">
        <f t="shared" si="4"/>
        <v>-13.178873397270374</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-12.923150407145299</v>
      </c>
      <c r="E76" s="11">
        <f>A76-'Mastercurve bestimmen'!$B$2</f>
        <v>-59</v>
      </c>
      <c r="F76" s="11">
        <f t="shared" si="4"/>
        <v>-12.923150407145299</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-12.669729106424002</v>
      </c>
      <c r="E77" s="11">
        <f>A77-'Mastercurve bestimmen'!$B$2</f>
        <v>-58</v>
      </c>
      <c r="F77" s="11">
        <f t="shared" si="4"/>
        <v>-12.669729106424002</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-12.419155967383567</v>
      </c>
      <c r="E78" s="11">
        <f>A78-'Mastercurve bestimmen'!$B$2</f>
        <v>-57</v>
      </c>
      <c r="F78" s="11">
        <f t="shared" si="4"/>
        <v>-12.419155967383567</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-12.171977462301079</v>
      </c>
      <c r="E79" s="11">
        <f>A79-'Mastercurve bestimmen'!$B$2</f>
        <v>-56</v>
      </c>
      <c r="F79" s="11">
        <f t="shared" si="4"/>
        <v>-12.171977462301079</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-11.92874006345362</v>
      </c>
      <c r="E80" s="11">
        <f>A80-'Mastercurve bestimmen'!$B$2</f>
        <v>-55</v>
      </c>
      <c r="F80" s="11">
        <f t="shared" ref="F80:F143" si="10">B80</f>
        <v>-11.92874006345362</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-11.689865018483237</v>
      </c>
      <c r="E81" s="11">
        <f>A81-'Mastercurve bestimmen'!$B$2</f>
        <v>-54</v>
      </c>
      <c r="F81" s="11">
        <f t="shared" si="10"/>
        <v>-11.689865018483237</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-11.455272676491807</v>
      </c>
      <c r="E82" s="11">
        <f>A82-'Mastercurve bestimmen'!$B$2</f>
        <v>-53</v>
      </c>
      <c r="F82" s="11">
        <f t="shared" si="10"/>
        <v>-11.455272676491807</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-11.224758161946173</v>
      </c>
      <c r="E83" s="11">
        <f>A83-'Mastercurve bestimmen'!$B$2</f>
        <v>-52</v>
      </c>
      <c r="F83" s="11">
        <f t="shared" si="10"/>
        <v>-11.224758161946173</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-10.998116599313176</v>
      </c>
      <c r="E84" s="11">
        <f>A84-'Mastercurve bestimmen'!$B$2</f>
        <v>-51</v>
      </c>
      <c r="F84" s="11">
        <f t="shared" si="10"/>
        <v>-10.998116599313176</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-10.775143113059656</v>
      </c>
      <c r="E85" s="11">
        <f>A85-'Mastercurve bestimmen'!$B$2</f>
        <v>-50</v>
      </c>
      <c r="F85" s="11">
        <f t="shared" si="10"/>
        <v>-10.775143113059656</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-10.555632827652452</v>
      </c>
      <c r="E86" s="11">
        <f>A86-'Mastercurve bestimmen'!$B$2</f>
        <v>-49</v>
      </c>
      <c r="F86" s="11">
        <f t="shared" si="10"/>
        <v>-10.555632827652452</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-10.339380867558409</v>
      </c>
      <c r="E87" s="11">
        <f>A87-'Mastercurve bestimmen'!$B$2</f>
        <v>-48</v>
      </c>
      <c r="F87" s="11">
        <f t="shared" si="10"/>
        <v>-10.339380867558409</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-10.126182357244364</v>
      </c>
      <c r="E88" s="11">
        <f>A88-'Mastercurve bestimmen'!$B$2</f>
        <v>-47</v>
      </c>
      <c r="F88" s="11">
        <f t="shared" si="10"/>
        <v>-10.126182357244364</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-9.9158324211771607</v>
      </c>
      <c r="E89" s="11">
        <f>A89-'Mastercurve bestimmen'!$B$2</f>
        <v>-46</v>
      </c>
      <c r="F89" s="11">
        <f t="shared" si="10"/>
        <v>-9.9158324211771607</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-9.7081261838236372</v>
      </c>
      <c r="E90" s="11">
        <f>A90-'Mastercurve bestimmen'!$B$2</f>
        <v>-45</v>
      </c>
      <c r="F90" s="11">
        <f t="shared" si="10"/>
        <v>-9.7081261838236372</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-9.5028587696506364</v>
      </c>
      <c r="E91" s="11">
        <f>A91-'Mastercurve bestimmen'!$B$2</f>
        <v>-44</v>
      </c>
      <c r="F91" s="11">
        <f t="shared" si="10"/>
        <v>-9.5028587696506364</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-9.2998253031249973</v>
      </c>
      <c r="E92" s="11">
        <f>A92-'Mastercurve bestimmen'!$B$2</f>
        <v>-43</v>
      </c>
      <c r="F92" s="11">
        <f t="shared" si="10"/>
        <v>-9.2998253031249973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-9.098820908713563</v>
      </c>
      <c r="E93" s="11">
        <f>A93-'Mastercurve bestimmen'!$B$2</f>
        <v>-42</v>
      </c>
      <c r="F93" s="11">
        <f t="shared" si="10"/>
        <v>-9.098820908713563</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-8.8996407108831725</v>
      </c>
      <c r="E94" s="11">
        <f>A94-'Mastercurve bestimmen'!$B$2</f>
        <v>-41</v>
      </c>
      <c r="F94" s="11">
        <f t="shared" si="10"/>
        <v>-8.8996407108831725</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-8.7020798341006671</v>
      </c>
      <c r="E95" s="11">
        <f>A95-'Mastercurve bestimmen'!$B$2</f>
        <v>-40</v>
      </c>
      <c r="F95" s="11">
        <f t="shared" si="10"/>
        <v>-8.7020798341006671</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-8.5059334028328877</v>
      </c>
      <c r="E96" s="11">
        <f>A96-'Mastercurve bestimmen'!$B$2</f>
        <v>-39</v>
      </c>
      <c r="F96" s="11">
        <f t="shared" si="10"/>
        <v>-8.5059334028328877</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-8.3109965415466753</v>
      </c>
      <c r="E97" s="11">
        <f>A97-'Mastercurve bestimmen'!$B$2</f>
        <v>-38</v>
      </c>
      <c r="F97" s="11">
        <f t="shared" si="10"/>
        <v>-8.3109965415466753</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-8.1170643747088693</v>
      </c>
      <c r="E98" s="11">
        <f>A98-'Mastercurve bestimmen'!$B$2</f>
        <v>-37</v>
      </c>
      <c r="F98" s="11">
        <f t="shared" si="10"/>
        <v>-8.1170643747088693</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-7.9239320267863125</v>
      </c>
      <c r="E99" s="11">
        <f>A99-'Mastercurve bestimmen'!$B$2</f>
        <v>-36</v>
      </c>
      <c r="F99" s="11">
        <f t="shared" si="10"/>
        <v>-7.9239320267863125</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-7.7313946222458449</v>
      </c>
      <c r="E100" s="11">
        <f>A100-'Mastercurve bestimmen'!$B$2</f>
        <v>-35</v>
      </c>
      <c r="F100" s="11">
        <f t="shared" si="10"/>
        <v>-7.7313946222458449</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-7.539247285554306</v>
      </c>
      <c r="E101" s="11">
        <f>A101-'Mastercurve bestimmen'!$B$2</f>
        <v>-34</v>
      </c>
      <c r="F101" s="11">
        <f t="shared" si="10"/>
        <v>-7.539247285554306</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-7.3472851411785385</v>
      </c>
      <c r="E102" s="11">
        <f>A102-'Mastercurve bestimmen'!$B$2</f>
        <v>-33</v>
      </c>
      <c r="F102" s="11">
        <f t="shared" si="10"/>
        <v>-7.3472851411785385</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-7.1553033135853834</v>
      </c>
      <c r="E103" s="11">
        <f>A103-'Mastercurve bestimmen'!$B$2</f>
        <v>-32</v>
      </c>
      <c r="F103" s="11">
        <f t="shared" si="10"/>
        <v>-7.1553033135853834</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-6.9630969272416792</v>
      </c>
      <c r="E104" s="11">
        <f>A104-'Mastercurve bestimmen'!$B$2</f>
        <v>-31</v>
      </c>
      <c r="F104" s="11">
        <f t="shared" si="10"/>
        <v>-6.9630969272416792</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-6.7704611066142695</v>
      </c>
      <c r="E105" s="11">
        <f>A105-'Mastercurve bestimmen'!$B$2</f>
        <v>-30</v>
      </c>
      <c r="F105" s="11">
        <f t="shared" si="10"/>
        <v>-6.7704611066142695</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-6.5771992903588288</v>
      </c>
      <c r="E106" s="11">
        <f>A106-'Mastercurve bestimmen'!$B$2</f>
        <v>-29</v>
      </c>
      <c r="F106" s="11">
        <f t="shared" si="10"/>
        <v>-6.5771992903588288</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-6.3831481738863856</v>
      </c>
      <c r="E107" s="11">
        <f>A107-'Mastercurve bestimmen'!$B$2</f>
        <v>-28</v>
      </c>
      <c r="F107" s="11">
        <f t="shared" si="10"/>
        <v>-6.3831481738863856</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-6.1881527667968053</v>
      </c>
      <c r="E108" s="11">
        <f>A108-'Mastercurve bestimmen'!$B$2</f>
        <v>-27</v>
      </c>
      <c r="F108" s="11">
        <f t="shared" si="10"/>
        <v>-6.1881527667968053</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-5.9920580786899462</v>
      </c>
      <c r="E109" s="11">
        <f>A109-'Mastercurve bestimmen'!$B$2</f>
        <v>-26</v>
      </c>
      <c r="F109" s="11">
        <f t="shared" si="10"/>
        <v>-5.9920580786899462</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-5.7947091191656757</v>
      </c>
      <c r="E110" s="11">
        <f>A110-'Mastercurve bestimmen'!$B$2</f>
        <v>-25</v>
      </c>
      <c r="F110" s="11">
        <f t="shared" si="10"/>
        <v>-5.7947091191656757</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-5.5959508978238546</v>
      </c>
      <c r="E111" s="11">
        <f>A111-'Mastercurve bestimmen'!$B$2</f>
        <v>-24</v>
      </c>
      <c r="F111" s="11">
        <f t="shared" si="10"/>
        <v>-5.5959508978238546</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-5.3956284242643493</v>
      </c>
      <c r="E112" s="11">
        <f>A112-'Mastercurve bestimmen'!$B$2</f>
        <v>-23</v>
      </c>
      <c r="F112" s="11">
        <f t="shared" si="10"/>
        <v>-5.3956284242643493</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-5.1935867080870191</v>
      </c>
      <c r="E113" s="11">
        <f>A113-'Mastercurve bestimmen'!$B$2</f>
        <v>-22</v>
      </c>
      <c r="F113" s="11">
        <f t="shared" si="10"/>
        <v>-5.1935867080870191</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-4.9896707588917311</v>
      </c>
      <c r="E114" s="11">
        <f>A114-'Mastercurve bestimmen'!$B$2</f>
        <v>-21</v>
      </c>
      <c r="F114" s="11">
        <f t="shared" si="10"/>
        <v>-4.9896707588917311</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-4.7837255862783472</v>
      </c>
      <c r="E115" s="11">
        <f>A115-'Mastercurve bestimmen'!$B$2</f>
        <v>-20</v>
      </c>
      <c r="F115" s="11">
        <f t="shared" si="10"/>
        <v>-4.7837255862783472</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-4.5755961998467285</v>
      </c>
      <c r="E116" s="11">
        <f>A116-'Mastercurve bestimmen'!$B$2</f>
        <v>-19</v>
      </c>
      <c r="F116" s="11">
        <f t="shared" si="10"/>
        <v>-4.5755961998467285</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-4.3651276091967421</v>
      </c>
      <c r="E117" s="11">
        <f>A117-'Mastercurve bestimmen'!$B$2</f>
        <v>-18</v>
      </c>
      <c r="F117" s="11">
        <f t="shared" si="10"/>
        <v>-4.3651276091967421</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-4.1521648239282483</v>
      </c>
      <c r="E118" s="11">
        <f>A118-'Mastercurve bestimmen'!$B$2</f>
        <v>-17</v>
      </c>
      <c r="F118" s="11">
        <f t="shared" si="10"/>
        <v>-4.1521648239282483</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-3.9365528536411123</v>
      </c>
      <c r="E119" s="11">
        <f>A119-'Mastercurve bestimmen'!$B$2</f>
        <v>-16</v>
      </c>
      <c r="F119" s="11">
        <f t="shared" si="10"/>
        <v>-3.9365528536411123</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-3.718136707935197</v>
      </c>
      <c r="E120" s="11">
        <f>A120-'Mastercurve bestimmen'!$B$2</f>
        <v>-15</v>
      </c>
      <c r="F120" s="11">
        <f t="shared" si="10"/>
        <v>-3.718136707935197</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-3.4967613964103657</v>
      </c>
      <c r="E121" s="11">
        <f>A121-'Mastercurve bestimmen'!$B$2</f>
        <v>-14</v>
      </c>
      <c r="F121" s="11">
        <f t="shared" si="10"/>
        <v>-3.4967613964103657</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-3.2722719286664814</v>
      </c>
      <c r="E122" s="11">
        <f>A122-'Mastercurve bestimmen'!$B$2</f>
        <v>-13</v>
      </c>
      <c r="F122" s="11">
        <f t="shared" si="10"/>
        <v>-3.2722719286664814</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-3.0445133143034075</v>
      </c>
      <c r="E123" s="11">
        <f>A123-'Mastercurve bestimmen'!$B$2</f>
        <v>-12</v>
      </c>
      <c r="F123" s="11">
        <f t="shared" si="10"/>
        <v>-3.0445133143034075</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-2.8133305629210077</v>
      </c>
      <c r="E124" s="11">
        <f>A124-'Mastercurve bestimmen'!$B$2</f>
        <v>-11</v>
      </c>
      <c r="F124" s="11">
        <f t="shared" si="10"/>
        <v>-2.8133305629210077</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-2.5785686841191451</v>
      </c>
      <c r="E125" s="11">
        <f>A125-'Mastercurve bestimmen'!$B$2</f>
        <v>-10</v>
      </c>
      <c r="F125" s="11">
        <f t="shared" si="10"/>
        <v>-2.5785686841191451</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-2.3400726874976829</v>
      </c>
      <c r="E126" s="11">
        <f>A126-'Mastercurve bestimmen'!$B$2</f>
        <v>-9</v>
      </c>
      <c r="F126" s="11">
        <f t="shared" si="10"/>
        <v>-2.3400726874976829</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-2.0976875826564849</v>
      </c>
      <c r="E127" s="11">
        <f>A127-'Mastercurve bestimmen'!$B$2</f>
        <v>-8</v>
      </c>
      <c r="F127" s="11">
        <f t="shared" si="10"/>
        <v>-2.0976875826564849</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-1.8512583791954138</v>
      </c>
      <c r="E128" s="11">
        <f>A128-'Mastercurve bestimmen'!$B$2</f>
        <v>-7</v>
      </c>
      <c r="F128" s="11">
        <f t="shared" si="10"/>
        <v>-1.8512583791954138</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-1.6006300867143335</v>
      </c>
      <c r="E129" s="11">
        <f>A129-'Mastercurve bestimmen'!$B$2</f>
        <v>-6</v>
      </c>
      <c r="F129" s="11">
        <f t="shared" si="10"/>
        <v>-1.6006300867143335</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-1.3456477148131072</v>
      </c>
      <c r="E130" s="11">
        <f>A130-'Mastercurve bestimmen'!$B$2</f>
        <v>-5</v>
      </c>
      <c r="F130" s="11">
        <f t="shared" si="10"/>
        <v>-1.3456477148131072</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-1.0861562730915977</v>
      </c>
      <c r="E131" s="11">
        <f>A131-'Mastercurve bestimmen'!$B$2</f>
        <v>-4</v>
      </c>
      <c r="F131" s="11">
        <f t="shared" si="10"/>
        <v>-1.0861562730915977</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-0.82200077114966918</v>
      </c>
      <c r="E132" s="11">
        <f>A132-'Mastercurve bestimmen'!$B$2</f>
        <v>-3</v>
      </c>
      <c r="F132" s="11">
        <f t="shared" si="10"/>
        <v>-0.82200077114966918</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-0.55302621858718437</v>
      </c>
      <c r="E133" s="11">
        <f>A133-'Mastercurve bestimmen'!$B$2</f>
        <v>-2</v>
      </c>
      <c r="F133" s="11">
        <f t="shared" si="10"/>
        <v>-0.55302621858718437</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-0.2790776250040069</v>
      </c>
      <c r="E134" s="11">
        <f>A134-'Mastercurve bestimmen'!$B$2</f>
        <v>-1</v>
      </c>
      <c r="F134" s="11">
        <f t="shared" si="10"/>
        <v>-0.2790776250040069</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0.28431672633627086</v>
      </c>
      <c r="E136" s="11">
        <f>A136-'Mastercurve bestimmen'!$B$2</f>
        <v>1</v>
      </c>
      <c r="F136" s="11">
        <f t="shared" si="10"/>
        <v>0.28431672633627086</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0.57380294196143156</v>
      </c>
      <c r="E137" s="11">
        <f>A137-'Mastercurve bestimmen'!$B$2</f>
        <v>2</v>
      </c>
      <c r="F137" s="11">
        <f t="shared" si="10"/>
        <v>0.57380294196143156</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0.86834411434340564</v>
      </c>
      <c r="E138" s="11">
        <f>A138-'Mastercurve bestimmen'!$B$2</f>
        <v>3</v>
      </c>
      <c r="F138" s="11">
        <f t="shared" si="10"/>
        <v>0.86834411434340564</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1.1678257109501164</v>
      </c>
      <c r="E139" s="11">
        <f>A139-'Mastercurve bestimmen'!$B$2</f>
        <v>4</v>
      </c>
      <c r="F139" s="11">
        <f t="shared" si="10"/>
        <v>1.1678257109501164</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1.4721331992494886</v>
      </c>
      <c r="E140" s="11">
        <f>A140-'Mastercurve bestimmen'!$B$2</f>
        <v>5</v>
      </c>
      <c r="F140" s="11">
        <f t="shared" si="10"/>
        <v>1.4721331992494886</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1.7811520467094448</v>
      </c>
      <c r="E141" s="11">
        <f>A141-'Mastercurve bestimmen'!$B$2</f>
        <v>6</v>
      </c>
      <c r="F141" s="11">
        <f t="shared" si="10"/>
        <v>1.7811520467094448</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2.0947677207979094</v>
      </c>
      <c r="E142" s="11">
        <f>A142-'Mastercurve bestimmen'!$B$2</f>
        <v>7</v>
      </c>
      <c r="F142" s="11">
        <f t="shared" si="10"/>
        <v>2.0947677207979094</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2.4128656889828051</v>
      </c>
      <c r="E143" s="11">
        <f>A143-'Mastercurve bestimmen'!$B$2</f>
        <v>8</v>
      </c>
      <c r="F143" s="11">
        <f t="shared" si="10"/>
        <v>2.4128656889828051</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2.7353314187320565</v>
      </c>
      <c r="E144" s="11">
        <f>A144-'Mastercurve bestimmen'!$B$2</f>
        <v>9</v>
      </c>
      <c r="F144" s="11">
        <f t="shared" ref="F144:F207" si="15">B144</f>
        <v>2.7353314187320565</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3.0620503775135877</v>
      </c>
      <c r="E145" s="11">
        <f>A145-'Mastercurve bestimmen'!$B$2</f>
        <v>10</v>
      </c>
      <c r="F145" s="11">
        <f t="shared" si="15"/>
        <v>3.0620503775135877</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3.3929080327953205</v>
      </c>
      <c r="E146" s="11">
        <f>A146-'Mastercurve bestimmen'!$B$2</f>
        <v>11</v>
      </c>
      <c r="F146" s="11">
        <f t="shared" si="15"/>
        <v>3.3929080327953205</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3.7277898520451807</v>
      </c>
      <c r="E147" s="11">
        <f>A147-'Mastercurve bestimmen'!$B$2</f>
        <v>12</v>
      </c>
      <c r="F147" s="11">
        <f t="shared" si="15"/>
        <v>3.7277898520451807</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4.0665813027310902</v>
      </c>
      <c r="E148" s="11">
        <f>A148-'Mastercurve bestimmen'!$B$2</f>
        <v>13</v>
      </c>
      <c r="F148" s="11">
        <f t="shared" si="15"/>
        <v>4.0665813027310902</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4.4091678523209739</v>
      </c>
      <c r="E149" s="11">
        <f>A149-'Mastercurve bestimmen'!$B$2</f>
        <v>14</v>
      </c>
      <c r="F149" s="11">
        <f t="shared" si="15"/>
        <v>4.4091678523209739</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4.7554349682827546</v>
      </c>
      <c r="E150" s="11">
        <f>A150-'Mastercurve bestimmen'!$B$2</f>
        <v>15</v>
      </c>
      <c r="F150" s="11">
        <f t="shared" si="15"/>
        <v>4.7554349682827546</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5.1052681180843571</v>
      </c>
      <c r="E151" s="11">
        <f>A151-'Mastercurve bestimmen'!$B$2</f>
        <v>16</v>
      </c>
      <c r="F151" s="11">
        <f t="shared" si="15"/>
        <v>5.1052681180843571</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5.4585527691937035</v>
      </c>
      <c r="E152" s="11">
        <f>A152-'Mastercurve bestimmen'!$B$2</f>
        <v>17</v>
      </c>
      <c r="F152" s="11">
        <f t="shared" si="15"/>
        <v>5.4585527691937035</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5.8151743890787184</v>
      </c>
      <c r="E153" s="11">
        <f>A153-'Mastercurve bestimmen'!$B$2</f>
        <v>18</v>
      </c>
      <c r="F153" s="11">
        <f t="shared" si="15"/>
        <v>5.8151743890787184</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6.1750184452073258</v>
      </c>
      <c r="E154" s="11">
        <f>A154-'Mastercurve bestimmen'!$B$2</f>
        <v>19</v>
      </c>
      <c r="F154" s="11">
        <f t="shared" si="15"/>
        <v>6.1750184452073258</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6.5379704050474494</v>
      </c>
      <c r="E155" s="11">
        <f>A155-'Mastercurve bestimmen'!$B$2</f>
        <v>20</v>
      </c>
      <c r="F155" s="11">
        <f t="shared" si="15"/>
        <v>6.5379704050474494</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6.9039157360670105</v>
      </c>
      <c r="E156" s="11">
        <f>A156-'Mastercurve bestimmen'!$B$2</f>
        <v>21</v>
      </c>
      <c r="F156" s="11">
        <f t="shared" si="15"/>
        <v>6.9039157360670105</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7.2727399057339364</v>
      </c>
      <c r="E157" s="11">
        <f>A157-'Mastercurve bestimmen'!$B$2</f>
        <v>22</v>
      </c>
      <c r="F157" s="11">
        <f t="shared" si="15"/>
        <v>7.2727399057339364</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7.6443283815161482</v>
      </c>
      <c r="E158" s="11">
        <f>A158-'Mastercurve bestimmen'!$B$2</f>
        <v>23</v>
      </c>
      <c r="F158" s="11">
        <f t="shared" si="15"/>
        <v>7.6443283815161482</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8.0185666308815708</v>
      </c>
      <c r="E159" s="11">
        <f>A159-'Mastercurve bestimmen'!$B$2</f>
        <v>24</v>
      </c>
      <c r="F159" s="11">
        <f t="shared" si="15"/>
        <v>8.0185666308815708</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8.395340121298128</v>
      </c>
      <c r="E160" s="11">
        <f>A160-'Mastercurve bestimmen'!$B$2</f>
        <v>25</v>
      </c>
      <c r="F160" s="11">
        <f t="shared" si="15"/>
        <v>8.395340121298128</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8.7745343202337409</v>
      </c>
      <c r="E161" s="11">
        <f>A161-'Mastercurve bestimmen'!$B$2</f>
        <v>26</v>
      </c>
      <c r="F161" s="11">
        <f t="shared" si="15"/>
        <v>8.7745343202337409</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9.1560346951563361</v>
      </c>
      <c r="E162" s="11">
        <f>A162-'Mastercurve bestimmen'!$B$2</f>
        <v>27</v>
      </c>
      <c r="F162" s="11">
        <f t="shared" si="15"/>
        <v>9.1560346951563361</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9.5397267135338382</v>
      </c>
      <c r="E163" s="11">
        <f>A163-'Mastercurve bestimmen'!$B$2</f>
        <v>28</v>
      </c>
      <c r="F163" s="11">
        <f t="shared" si="15"/>
        <v>9.5397267135338382</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9.9254958428341666</v>
      </c>
      <c r="E164" s="11">
        <f>A164-'Mastercurve bestimmen'!$B$2</f>
        <v>29</v>
      </c>
      <c r="F164" s="11">
        <f t="shared" si="15"/>
        <v>9.9254958428341666</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10.313227550525248</v>
      </c>
      <c r="E165" s="11">
        <f>A165-'Mastercurve bestimmen'!$B$2</f>
        <v>30</v>
      </c>
      <c r="F165" s="11">
        <f t="shared" si="15"/>
        <v>10.313227550525248</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10.702807304075007</v>
      </c>
      <c r="E166" s="11">
        <f>A166-'Mastercurve bestimmen'!$B$2</f>
        <v>31</v>
      </c>
      <c r="F166" s="11">
        <f t="shared" si="15"/>
        <v>10.702807304075007</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11.094120570951363</v>
      </c>
      <c r="E167" s="11">
        <f>A167-'Mastercurve bestimmen'!$B$2</f>
        <v>32</v>
      </c>
      <c r="F167" s="11">
        <f t="shared" si="15"/>
        <v>11.094120570951363</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11.487052818622244</v>
      </c>
      <c r="E168" s="11">
        <f>A168-'Mastercurve bestimmen'!$B$2</f>
        <v>33</v>
      </c>
      <c r="F168" s="11">
        <f t="shared" si="15"/>
        <v>11.487052818622244</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11.881489514555572</v>
      </c>
      <c r="E169" s="11">
        <f>A169-'Mastercurve bestimmen'!$B$2</f>
        <v>34</v>
      </c>
      <c r="F169" s="11">
        <f t="shared" si="15"/>
        <v>11.881489514555572</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12.27731612621927</v>
      </c>
      <c r="E170" s="11">
        <f>A170-'Mastercurve bestimmen'!$B$2</f>
        <v>35</v>
      </c>
      <c r="F170" s="11">
        <f t="shared" si="15"/>
        <v>12.27731612621927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12.674418121081263</v>
      </c>
      <c r="E171" s="11">
        <f>A171-'Mastercurve bestimmen'!$B$2</f>
        <v>36</v>
      </c>
      <c r="F171" s="11">
        <f t="shared" si="15"/>
        <v>12.674418121081263</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13.072680966609475</v>
      </c>
      <c r="E172" s="11">
        <f>A172-'Mastercurve bestimmen'!$B$2</f>
        <v>37</v>
      </c>
      <c r="F172" s="11">
        <f t="shared" si="15"/>
        <v>13.072680966609475</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13.471990130271827</v>
      </c>
      <c r="E173" s="11">
        <f>A173-'Mastercurve bestimmen'!$B$2</f>
        <v>38</v>
      </c>
      <c r="F173" s="11">
        <f t="shared" si="15"/>
        <v>13.471990130271827</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13.872231079536244</v>
      </c>
      <c r="E174" s="11">
        <f>A174-'Mastercurve bestimmen'!$B$2</f>
        <v>39</v>
      </c>
      <c r="F174" s="11">
        <f t="shared" si="15"/>
        <v>13.872231079536244</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14.273289281870651</v>
      </c>
      <c r="E175" s="11">
        <f>A175-'Mastercurve bestimmen'!$B$2</f>
        <v>40</v>
      </c>
      <c r="F175" s="11">
        <f t="shared" si="15"/>
        <v>14.273289281870651</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14.675050204742972</v>
      </c>
      <c r="E176" s="11">
        <f>A176-'Mastercurve bestimmen'!$B$2</f>
        <v>41</v>
      </c>
      <c r="F176" s="11">
        <f t="shared" si="15"/>
        <v>14.675050204742972</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15.077399315621125</v>
      </c>
      <c r="E177" s="11">
        <f>A177-'Mastercurve bestimmen'!$B$2</f>
        <v>42</v>
      </c>
      <c r="F177" s="11">
        <f t="shared" si="15"/>
        <v>15.077399315621125</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15.480222081973043</v>
      </c>
      <c r="E178" s="11">
        <f>A178-'Mastercurve bestimmen'!$B$2</f>
        <v>43</v>
      </c>
      <c r="F178" s="11">
        <f t="shared" si="15"/>
        <v>15.480222081973043</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15.883403971266642</v>
      </c>
      <c r="E179" s="11">
        <f>A179-'Mastercurve bestimmen'!$B$2</f>
        <v>44</v>
      </c>
      <c r="F179" s="11">
        <f t="shared" si="15"/>
        <v>15.883403971266642</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16.286830450969852</v>
      </c>
      <c r="E180" s="11">
        <f>A180-'Mastercurve bestimmen'!$B$2</f>
        <v>45</v>
      </c>
      <c r="F180" s="11">
        <f t="shared" si="15"/>
        <v>16.286830450969852</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16.690405457982706</v>
      </c>
      <c r="E181" s="11">
        <f>A181-'Mastercurve bestimmen'!$B$2</f>
        <v>46</v>
      </c>
      <c r="F181" s="11">
        <f t="shared" si="15"/>
        <v>16.690405457982706</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17.094106806933738</v>
      </c>
      <c r="E182" s="11">
        <f>A182-'Mastercurve bestimmen'!$B$2</f>
        <v>47</v>
      </c>
      <c r="F182" s="11">
        <f t="shared" si="15"/>
        <v>17.094106806933738</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17.497930781883582</v>
      </c>
      <c r="E183" s="11">
        <f>A183-'Mastercurve bestimmen'!$B$2</f>
        <v>48</v>
      </c>
      <c r="F183" s="11">
        <f t="shared" si="15"/>
        <v>17.497930781883582</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17.901873666892882</v>
      </c>
      <c r="E184" s="11">
        <f>A184-'Mastercurve bestimmen'!$B$2</f>
        <v>49</v>
      </c>
      <c r="F184" s="11">
        <f t="shared" si="15"/>
        <v>17.901873666892882</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18.305931746022285</v>
      </c>
      <c r="E185" s="11">
        <f>A185-'Mastercurve bestimmen'!$B$2</f>
        <v>50</v>
      </c>
      <c r="F185" s="11">
        <f t="shared" si="15"/>
        <v>18.305931746022285</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18.710101303332426</v>
      </c>
      <c r="E186" s="11">
        <f>A186-'Mastercurve bestimmen'!$B$2</f>
        <v>51</v>
      </c>
      <c r="F186" s="11">
        <f t="shared" si="15"/>
        <v>18.710101303332426</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19.114378622883955</v>
      </c>
      <c r="E187" s="11">
        <f>A187-'Mastercurve bestimmen'!$B$2</f>
        <v>52</v>
      </c>
      <c r="F187" s="11">
        <f t="shared" si="15"/>
        <v>19.114378622883955</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19.518759988737504</v>
      </c>
      <c r="E188" s="11">
        <f>A188-'Mastercurve bestimmen'!$B$2</f>
        <v>53</v>
      </c>
      <c r="F188" s="11">
        <f t="shared" si="15"/>
        <v>19.518759988737504</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19.923241684953719</v>
      </c>
      <c r="E189" s="11">
        <f>A189-'Mastercurve bestimmen'!$B$2</f>
        <v>54</v>
      </c>
      <c r="F189" s="11">
        <f t="shared" si="15"/>
        <v>19.923241684953719</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20.327819995593245</v>
      </c>
      <c r="E190" s="11">
        <f>A190-'Mastercurve bestimmen'!$B$2</f>
        <v>55</v>
      </c>
      <c r="F190" s="11">
        <f t="shared" si="15"/>
        <v>20.327819995593245</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20.732491204716723</v>
      </c>
      <c r="E191" s="11">
        <f>A191-'Mastercurve bestimmen'!$B$2</f>
        <v>56</v>
      </c>
      <c r="F191" s="11">
        <f t="shared" si="15"/>
        <v>20.732491204716723</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21.13725159638479</v>
      </c>
      <c r="E192" s="11">
        <f>A192-'Mastercurve bestimmen'!$B$2</f>
        <v>57</v>
      </c>
      <c r="F192" s="11">
        <f t="shared" si="15"/>
        <v>21.13725159638479</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21.542097454658094</v>
      </c>
      <c r="E193" s="11">
        <f>A193-'Mastercurve bestimmen'!$B$2</f>
        <v>58</v>
      </c>
      <c r="F193" s="11">
        <f t="shared" si="15"/>
        <v>21.542097454658094</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21.947025063597273</v>
      </c>
      <c r="E194" s="11">
        <f>A194-'Mastercurve bestimmen'!$B$2</f>
        <v>59</v>
      </c>
      <c r="F194" s="11">
        <f t="shared" si="15"/>
        <v>21.947025063597273</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22.352030707262973</v>
      </c>
      <c r="E195" s="11">
        <f>A195-'Mastercurve bestimmen'!$B$2</f>
        <v>60</v>
      </c>
      <c r="F195" s="11">
        <f t="shared" si="15"/>
        <v>22.352030707262973</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22.757110669715829</v>
      </c>
      <c r="E196" s="11">
        <f>A196-'Mastercurve bestimmen'!$B$2</f>
        <v>61</v>
      </c>
      <c r="F196" s="11">
        <f t="shared" si="15"/>
        <v>22.757110669715829</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23.162261235016494</v>
      </c>
      <c r="E197" s="11">
        <f>A197-'Mastercurve bestimmen'!$B$2</f>
        <v>62</v>
      </c>
      <c r="F197" s="11">
        <f t="shared" si="15"/>
        <v>23.162261235016494</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23.567478687225599</v>
      </c>
      <c r="E198" s="11">
        <f>A198-'Mastercurve bestimmen'!$B$2</f>
        <v>63</v>
      </c>
      <c r="F198" s="11">
        <f t="shared" si="15"/>
        <v>23.567478687225599</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23.972759310403791</v>
      </c>
      <c r="E199" s="11">
        <f>A199-'Mastercurve bestimmen'!$B$2</f>
        <v>64</v>
      </c>
      <c r="F199" s="11">
        <f t="shared" si="15"/>
        <v>23.972759310403791</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24.378099388611712</v>
      </c>
      <c r="E200" s="11">
        <f>A200-'Mastercurve bestimmen'!$B$2</f>
        <v>65</v>
      </c>
      <c r="F200" s="11">
        <f t="shared" si="15"/>
        <v>24.378099388611712</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24.783495205910008</v>
      </c>
      <c r="E201" s="11">
        <f>A201-'Mastercurve bestimmen'!$B$2</f>
        <v>66</v>
      </c>
      <c r="F201" s="11">
        <f t="shared" si="15"/>
        <v>24.783495205910008</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25.188943046359309</v>
      </c>
      <c r="E202" s="11">
        <f>A202-'Mastercurve bestimmen'!$B$2</f>
        <v>67</v>
      </c>
      <c r="F202" s="11">
        <f t="shared" si="15"/>
        <v>25.188943046359309</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25.594439194020268</v>
      </c>
      <c r="E203" s="11">
        <f>A203-'Mastercurve bestimmen'!$B$2</f>
        <v>68</v>
      </c>
      <c r="F203" s="11">
        <f t="shared" si="15"/>
        <v>25.594439194020268</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25.999979932953522</v>
      </c>
      <c r="E204" s="11">
        <f>A204-'Mastercurve bestimmen'!$B$2</f>
        <v>69</v>
      </c>
      <c r="F204" s="11">
        <f t="shared" si="15"/>
        <v>25.999979932953522</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26.405561547219715</v>
      </c>
      <c r="E205" s="11">
        <f>A205-'Mastercurve bestimmen'!$B$2</f>
        <v>70</v>
      </c>
      <c r="F205" s="11">
        <f t="shared" si="15"/>
        <v>26.405561547219715</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26.81118032087949</v>
      </c>
      <c r="E206" s="11">
        <f>A206-'Mastercurve bestimmen'!$B$2</f>
        <v>71</v>
      </c>
      <c r="F206" s="11">
        <f t="shared" si="15"/>
        <v>26.81118032087949</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27.216832537993486</v>
      </c>
      <c r="E207" s="11">
        <f>A207-'Mastercurve bestimmen'!$B$2</f>
        <v>72</v>
      </c>
      <c r="F207" s="11">
        <f t="shared" si="15"/>
        <v>27.216832537993486</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27.622514482622343</v>
      </c>
      <c r="E208" s="11">
        <f>A208-'Mastercurve bestimmen'!$B$2</f>
        <v>73</v>
      </c>
      <c r="F208" s="11">
        <f t="shared" ref="F208:F215" si="21">B208</f>
        <v>27.622514482622343</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28.02822243882671</v>
      </c>
      <c r="E209" s="11">
        <f>A209-'Mastercurve bestimmen'!$B$2</f>
        <v>74</v>
      </c>
      <c r="F209" s="11">
        <f t="shared" si="21"/>
        <v>28.02822243882671</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28.433952690667226</v>
      </c>
      <c r="E210" s="11">
        <f>A210-'Mastercurve bestimmen'!$B$2</f>
        <v>75</v>
      </c>
      <c r="F210" s="11">
        <f t="shared" si="21"/>
        <v>28.433952690667226</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28.839701522204528</v>
      </c>
      <c r="E211" s="11">
        <f>A211-'Mastercurve bestimmen'!$B$2</f>
        <v>76</v>
      </c>
      <c r="F211" s="11">
        <f t="shared" si="21"/>
        <v>28.839701522204528</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29.245465217499266</v>
      </c>
      <c r="E212" s="11">
        <f>A212-'Mastercurve bestimmen'!$B$2</f>
        <v>77</v>
      </c>
      <c r="F212" s="11">
        <f t="shared" si="21"/>
        <v>29.245465217499266</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29.651240060612075</v>
      </c>
      <c r="E213" s="11">
        <f>A213-'Mastercurve bestimmen'!$B$2</f>
        <v>78</v>
      </c>
      <c r="F213" s="11">
        <f t="shared" si="21"/>
        <v>29.651240060612075</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30.057022335603602</v>
      </c>
      <c r="E214" s="11">
        <f>A214-'Mastercurve bestimmen'!$B$2</f>
        <v>79</v>
      </c>
      <c r="F214" s="11">
        <f t="shared" si="21"/>
        <v>30.057022335603602</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30.462808326534489</v>
      </c>
      <c r="E215" s="11">
        <f>A215-'Mastercurve bestimmen'!$B$2</f>
        <v>80</v>
      </c>
      <c r="F215" s="11">
        <f t="shared" si="21"/>
        <v>30.462808326534489</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0.28059766363332267</v>
      </c>
      <c r="J217" s="98">
        <v>2.1673095681549572E-3</v>
      </c>
      <c r="K217" s="98">
        <v>5.4903527246225159E-6</v>
      </c>
      <c r="L217" s="98">
        <v>-3.0338183625443461E-7</v>
      </c>
      <c r="M217" s="98">
        <v>-6.7461867632953907E-10</v>
      </c>
      <c r="N217" s="98">
        <v>1.7066869672461702E-11</v>
      </c>
      <c r="O217" s="98">
        <v>7.1414370084012693E-14</v>
      </c>
      <c r="P217" s="98">
        <v>5.6793836650726333E-17</v>
      </c>
    </row>
    <row r="218" spans="1:16" x14ac:dyDescent="0.25">
      <c r="G218" s="11"/>
      <c r="H218" s="11">
        <v>0</v>
      </c>
      <c r="I218" s="11">
        <v>1.0899160736146992E-3</v>
      </c>
      <c r="J218" s="11">
        <v>2.0301370744671472E-5</v>
      </c>
      <c r="K218" s="3">
        <v>1.0315044010621652E-6</v>
      </c>
      <c r="L218" s="3">
        <v>9.3921543919549822E-9</v>
      </c>
      <c r="M218" s="3">
        <v>2.9491540656256057E-10</v>
      </c>
      <c r="N218" s="3">
        <v>1.6205911492658917E-12</v>
      </c>
      <c r="O218" s="11">
        <v>2.6060049473872478E-14</v>
      </c>
      <c r="P218" s="11">
        <v>1.5847081097284902E-16</v>
      </c>
    </row>
    <row r="219" spans="1:16" x14ac:dyDescent="0.25">
      <c r="G219" s="11"/>
      <c r="H219" s="11">
        <v>0.99995778171510252</v>
      </c>
      <c r="I219" s="11">
        <v>0.11275697914907193</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-30.258006661905771</v>
      </c>
      <c r="G222">
        <f>F15</f>
        <v>-30.413972210948693</v>
      </c>
    </row>
    <row r="223" spans="1:16" x14ac:dyDescent="0.25">
      <c r="E223" s="11">
        <f t="shared" ref="E223:E286" si="25">E16</f>
        <v>-119</v>
      </c>
      <c r="F223" s="11">
        <f t="shared" ref="F223:F286" si="26">$H$217*0+E223*$I$217+E223^2*$J$217+E223^3*$K$217+E223^4*$L$217+E223^5*$M$217+E223^6*$N$217+E223^7*$O$217+E223^8*$P$217</f>
        <v>-30.074970940541036</v>
      </c>
      <c r="G223" s="11">
        <f t="shared" ref="G223:G286" si="27">F16</f>
        <v>-30.163124219186201</v>
      </c>
    </row>
    <row r="224" spans="1:16" x14ac:dyDescent="0.25">
      <c r="E224" s="11">
        <f t="shared" si="25"/>
        <v>-118</v>
      </c>
      <c r="F224" s="11">
        <f t="shared" si="26"/>
        <v>-29.880207638745926</v>
      </c>
      <c r="G224" s="11">
        <f t="shared" si="27"/>
        <v>-29.91204687171334</v>
      </c>
    </row>
    <row r="225" spans="5:7" x14ac:dyDescent="0.25">
      <c r="E225" s="11">
        <f t="shared" si="25"/>
        <v>-117</v>
      </c>
      <c r="F225" s="11">
        <f t="shared" si="26"/>
        <v>-29.67428597895579</v>
      </c>
      <c r="G225" s="11">
        <f t="shared" si="27"/>
        <v>-29.660510812819727</v>
      </c>
    </row>
    <row r="226" spans="5:7" x14ac:dyDescent="0.25">
      <c r="E226" s="11">
        <f t="shared" si="25"/>
        <v>-116</v>
      </c>
      <c r="F226" s="11">
        <f t="shared" si="26"/>
        <v>-29.457767428204122</v>
      </c>
      <c r="G226" s="11">
        <f t="shared" si="27"/>
        <v>-29.408286686794995</v>
      </c>
    </row>
    <row r="227" spans="5:7" x14ac:dyDescent="0.25">
      <c r="E227" s="11">
        <f t="shared" si="25"/>
        <v>-115</v>
      </c>
      <c r="F227" s="11">
        <f t="shared" si="26"/>
        <v>-29.231205357417284</v>
      </c>
      <c r="G227" s="11">
        <f t="shared" si="27"/>
        <v>-29.155145137928759</v>
      </c>
    </row>
    <row r="228" spans="5:7" x14ac:dyDescent="0.25">
      <c r="E228" s="11">
        <f t="shared" si="25"/>
        <v>-114</v>
      </c>
      <c r="F228" s="11">
        <f t="shared" si="26"/>
        <v>-28.995144714858785</v>
      </c>
      <c r="G228" s="11">
        <f t="shared" si="27"/>
        <v>-28.900856810510653</v>
      </c>
    </row>
    <row r="229" spans="5:7" x14ac:dyDescent="0.25">
      <c r="E229" s="11">
        <f t="shared" si="25"/>
        <v>-113</v>
      </c>
      <c r="F229" s="11">
        <f t="shared" si="26"/>
        <v>-28.750121713629913</v>
      </c>
      <c r="G229" s="11">
        <f t="shared" si="27"/>
        <v>-28.645192348830296</v>
      </c>
    </row>
    <row r="230" spans="5:7" x14ac:dyDescent="0.25">
      <c r="E230" s="11">
        <f t="shared" si="25"/>
        <v>-112</v>
      </c>
      <c r="F230" s="11">
        <f t="shared" si="26"/>
        <v>-28.49666353313118</v>
      </c>
      <c r="G230" s="11">
        <f t="shared" si="27"/>
        <v>-28.38792239717732</v>
      </c>
    </row>
    <row r="231" spans="5:7" x14ac:dyDescent="0.25">
      <c r="E231" s="11">
        <f t="shared" si="25"/>
        <v>-111</v>
      </c>
      <c r="F231" s="11">
        <f t="shared" si="26"/>
        <v>-28.235288034387068</v>
      </c>
      <c r="G231" s="11">
        <f t="shared" si="27"/>
        <v>-28.128817599841348</v>
      </c>
    </row>
    <row r="232" spans="5:7" x14ac:dyDescent="0.25">
      <c r="E232" s="11">
        <f t="shared" si="25"/>
        <v>-110</v>
      </c>
      <c r="F232" s="11">
        <f t="shared" si="26"/>
        <v>-27.966503489133817</v>
      </c>
      <c r="G232" s="11">
        <f t="shared" si="27"/>
        <v>-27.867648601112002</v>
      </c>
    </row>
    <row r="233" spans="5:7" x14ac:dyDescent="0.25">
      <c r="E233" s="11">
        <f t="shared" si="25"/>
        <v>-109</v>
      </c>
      <c r="F233" s="11">
        <f t="shared" si="26"/>
        <v>-27.690808322568106</v>
      </c>
      <c r="G233" s="11">
        <f t="shared" si="27"/>
        <v>-27.604186045278915</v>
      </c>
    </row>
    <row r="234" spans="5:7" x14ac:dyDescent="0.25">
      <c r="E234" s="11">
        <f t="shared" si="25"/>
        <v>-108</v>
      </c>
      <c r="F234" s="11">
        <f t="shared" si="26"/>
        <v>-27.408690869652002</v>
      </c>
      <c r="G234" s="11">
        <f t="shared" si="27"/>
        <v>-27.338200576631703</v>
      </c>
    </row>
    <row r="235" spans="5:7" x14ac:dyDescent="0.25">
      <c r="E235" s="11">
        <f t="shared" si="25"/>
        <v>-107</v>
      </c>
      <c r="F235" s="11">
        <f t="shared" si="26"/>
        <v>-27.12062914486712</v>
      </c>
      <c r="G235" s="11">
        <f t="shared" si="27"/>
        <v>-27.069462839459995</v>
      </c>
    </row>
    <row r="236" spans="5:7" x14ac:dyDescent="0.25">
      <c r="E236" s="11">
        <f t="shared" si="25"/>
        <v>-106</v>
      </c>
      <c r="F236" s="11">
        <f t="shared" si="26"/>
        <v>-26.827090625309168</v>
      </c>
      <c r="G236" s="11">
        <f t="shared" si="27"/>
        <v>-26.797743478053423</v>
      </c>
    </row>
    <row r="237" spans="5:7" x14ac:dyDescent="0.25">
      <c r="E237" s="11">
        <f t="shared" si="25"/>
        <v>-105</v>
      </c>
      <c r="F237" s="11">
        <f t="shared" si="26"/>
        <v>-26.528532047010984</v>
      </c>
      <c r="G237" s="11">
        <f t="shared" si="27"/>
        <v>-26.522813136701604</v>
      </c>
    </row>
    <row r="238" spans="5:7" x14ac:dyDescent="0.25">
      <c r="E238" s="11">
        <f t="shared" si="25"/>
        <v>-104</v>
      </c>
      <c r="F238" s="11">
        <f t="shared" si="26"/>
        <v>-26.225399214380587</v>
      </c>
      <c r="G238" s="11">
        <f t="shared" si="27"/>
        <v>-26.244442459694163</v>
      </c>
    </row>
    <row r="239" spans="5:7" x14ac:dyDescent="0.25">
      <c r="E239" s="11">
        <f t="shared" si="25"/>
        <v>-103</v>
      </c>
      <c r="F239" s="11">
        <f t="shared" si="26"/>
        <v>-25.918126822638158</v>
      </c>
      <c r="G239" s="11">
        <f t="shared" si="27"/>
        <v>-25.96240209132073</v>
      </c>
    </row>
    <row r="240" spans="5:7" x14ac:dyDescent="0.25">
      <c r="E240" s="11">
        <f t="shared" si="25"/>
        <v>-102</v>
      </c>
      <c r="F240" s="11">
        <f t="shared" si="26"/>
        <v>-25.607138293133449</v>
      </c>
      <c r="G240" s="11">
        <f t="shared" si="27"/>
        <v>-25.67646267587093</v>
      </c>
    </row>
    <row r="241" spans="5:7" x14ac:dyDescent="0.25">
      <c r="E241" s="11">
        <f t="shared" si="25"/>
        <v>-101</v>
      </c>
      <c r="F241" s="11">
        <f t="shared" si="26"/>
        <v>-25.292845621423229</v>
      </c>
      <c r="G241" s="11">
        <f t="shared" si="27"/>
        <v>-25.386394857634393</v>
      </c>
    </row>
    <row r="242" spans="5:7" x14ac:dyDescent="0.25">
      <c r="E242" s="11">
        <f t="shared" si="25"/>
        <v>-100</v>
      </c>
      <c r="F242" s="11">
        <f t="shared" si="26"/>
        <v>-24.975649237985575</v>
      </c>
      <c r="G242" s="11">
        <f t="shared" si="27"/>
        <v>-25.091969280900734</v>
      </c>
    </row>
    <row r="243" spans="5:7" x14ac:dyDescent="0.25">
      <c r="E243" s="11">
        <f t="shared" si="25"/>
        <v>-99</v>
      </c>
      <c r="F243" s="11">
        <f t="shared" si="26"/>
        <v>-24.655937881446135</v>
      </c>
      <c r="G243" s="11">
        <f t="shared" si="27"/>
        <v>-24.792956589959584</v>
      </c>
    </row>
    <row r="244" spans="5:7" x14ac:dyDescent="0.25">
      <c r="E244" s="11">
        <f t="shared" si="25"/>
        <v>-98</v>
      </c>
      <c r="F244" s="11">
        <f t="shared" si="26"/>
        <v>-24.334088484188417</v>
      </c>
      <c r="G244" s="11">
        <f t="shared" si="27"/>
        <v>-24.48912742910057</v>
      </c>
    </row>
    <row r="245" spans="5:7" x14ac:dyDescent="0.25">
      <c r="E245" s="11">
        <f t="shared" si="25"/>
        <v>-97</v>
      </c>
      <c r="F245" s="11">
        <f t="shared" si="26"/>
        <v>-24.010466070218804</v>
      </c>
      <c r="G245" s="11">
        <f t="shared" si="27"/>
        <v>-24.180252442613316</v>
      </c>
    </row>
    <row r="246" spans="5:7" x14ac:dyDescent="0.25">
      <c r="E246" s="11">
        <f t="shared" si="25"/>
        <v>-96</v>
      </c>
      <c r="F246" s="11">
        <f t="shared" si="26"/>
        <v>-23.685423665153831</v>
      </c>
      <c r="G246" s="11">
        <f t="shared" si="27"/>
        <v>-23.866102274787444</v>
      </c>
    </row>
    <row r="247" spans="5:7" x14ac:dyDescent="0.25">
      <c r="E247" s="11">
        <f t="shared" si="25"/>
        <v>-95</v>
      </c>
      <c r="F247" s="11">
        <f t="shared" si="26"/>
        <v>-23.359302218195541</v>
      </c>
      <c r="G247" s="11">
        <f t="shared" si="27"/>
        <v>-23.54644756991258</v>
      </c>
    </row>
    <row r="248" spans="5:7" x14ac:dyDescent="0.25">
      <c r="E248" s="11">
        <f t="shared" si="25"/>
        <v>-94</v>
      </c>
      <c r="F248" s="11">
        <f t="shared" si="26"/>
        <v>-23.032430535958198</v>
      </c>
      <c r="G248" s="11">
        <f t="shared" si="27"/>
        <v>-23.221058972278357</v>
      </c>
    </row>
    <row r="249" spans="5:7" x14ac:dyDescent="0.25">
      <c r="E249" s="11">
        <f t="shared" si="25"/>
        <v>-93</v>
      </c>
      <c r="F249" s="11">
        <f t="shared" si="26"/>
        <v>-22.705125228007489</v>
      </c>
      <c r="G249" s="11">
        <f t="shared" si="27"/>
        <v>-22.889707126174393</v>
      </c>
    </row>
    <row r="250" spans="5:7" x14ac:dyDescent="0.25">
      <c r="E250" s="11">
        <f t="shared" si="25"/>
        <v>-92</v>
      </c>
      <c r="F250" s="11">
        <f t="shared" si="26"/>
        <v>-22.377690663970785</v>
      </c>
      <c r="G250" s="11">
        <f t="shared" si="27"/>
        <v>-22.552162675890315</v>
      </c>
    </row>
    <row r="251" spans="5:7" x14ac:dyDescent="0.25">
      <c r="E251" s="11">
        <f t="shared" si="25"/>
        <v>-91</v>
      </c>
      <c r="F251" s="11">
        <f t="shared" si="26"/>
        <v>-22.050418942075215</v>
      </c>
      <c r="G251" s="11">
        <f t="shared" si="27"/>
        <v>-22.208196265715745</v>
      </c>
    </row>
    <row r="252" spans="5:7" x14ac:dyDescent="0.25">
      <c r="E252" s="11">
        <f t="shared" si="25"/>
        <v>-90</v>
      </c>
      <c r="F252" s="11">
        <f t="shared" si="26"/>
        <v>-21.723589868967405</v>
      </c>
      <c r="G252" s="11">
        <f t="shared" si="27"/>
        <v>-21.857578539940317</v>
      </c>
    </row>
    <row r="253" spans="5:7" x14ac:dyDescent="0.25">
      <c r="E253" s="11">
        <f t="shared" si="25"/>
        <v>-89</v>
      </c>
      <c r="F253" s="11">
        <f t="shared" si="26"/>
        <v>-21.397470950667088</v>
      </c>
      <c r="G253" s="11">
        <f t="shared" si="27"/>
        <v>-21.500080142853651</v>
      </c>
    </row>
    <row r="254" spans="5:7" x14ac:dyDescent="0.25">
      <c r="E254" s="11">
        <f t="shared" si="25"/>
        <v>-88</v>
      </c>
      <c r="F254" s="11">
        <f t="shared" si="26"/>
        <v>-21.072317394503941</v>
      </c>
      <c r="G254" s="11">
        <f t="shared" si="27"/>
        <v>-21.135471718745372</v>
      </c>
    </row>
    <row r="255" spans="5:7" x14ac:dyDescent="0.25">
      <c r="E255" s="11">
        <f t="shared" si="25"/>
        <v>-87</v>
      </c>
      <c r="F255" s="11">
        <f t="shared" si="26"/>
        <v>-20.748372121885083</v>
      </c>
      <c r="G255" s="11">
        <f t="shared" si="27"/>
        <v>-20.763523911905107</v>
      </c>
    </row>
    <row r="256" spans="5:7" x14ac:dyDescent="0.25">
      <c r="E256" s="11">
        <f t="shared" si="25"/>
        <v>-86</v>
      </c>
      <c r="F256" s="11">
        <f t="shared" si="26"/>
        <v>-20.425865791738268</v>
      </c>
      <c r="G256" s="11">
        <f t="shared" si="27"/>
        <v>-20.384007366622484</v>
      </c>
    </row>
    <row r="257" spans="5:7" x14ac:dyDescent="0.25">
      <c r="E257" s="11">
        <f t="shared" si="25"/>
        <v>-85</v>
      </c>
      <c r="F257" s="11">
        <f t="shared" si="26"/>
        <v>-20.105016834473382</v>
      </c>
      <c r="G257" s="11">
        <f t="shared" si="27"/>
        <v>-19.996692727187121</v>
      </c>
    </row>
    <row r="258" spans="5:7" x14ac:dyDescent="0.25">
      <c r="E258" s="11">
        <f t="shared" si="25"/>
        <v>-84</v>
      </c>
      <c r="F258" s="11">
        <f t="shared" si="26"/>
        <v>-19.786031496302826</v>
      </c>
      <c r="G258" s="11">
        <f t="shared" si="27"/>
        <v>-19.601350637888654</v>
      </c>
    </row>
    <row r="259" spans="5:7" x14ac:dyDescent="0.25">
      <c r="E259" s="11">
        <f t="shared" si="25"/>
        <v>-83</v>
      </c>
      <c r="F259" s="11">
        <f t="shared" si="26"/>
        <v>-19.469103893758859</v>
      </c>
      <c r="G259" s="11">
        <f t="shared" si="27"/>
        <v>-19.197751743016696</v>
      </c>
    </row>
    <row r="260" spans="5:7" x14ac:dyDescent="0.25">
      <c r="E260" s="11">
        <f t="shared" si="25"/>
        <v>-82</v>
      </c>
      <c r="F260" s="11">
        <f t="shared" si="26"/>
        <v>-19.154416078243763</v>
      </c>
      <c r="G260" s="11">
        <f t="shared" si="27"/>
        <v>-18.785666686860878</v>
      </c>
    </row>
    <row r="261" spans="5:7" x14ac:dyDescent="0.25">
      <c r="E261" s="11">
        <f t="shared" si="25"/>
        <v>-81</v>
      </c>
      <c r="F261" s="11">
        <f t="shared" si="26"/>
        <v>-18.842138110446392</v>
      </c>
      <c r="G261" s="11">
        <f t="shared" si="27"/>
        <v>-18.364866113710832</v>
      </c>
    </row>
    <row r="262" spans="5:7" x14ac:dyDescent="0.25">
      <c r="E262" s="11">
        <f t="shared" si="25"/>
        <v>-80</v>
      </c>
      <c r="F262" s="11">
        <f t="shared" si="26"/>
        <v>-18.532428144456503</v>
      </c>
      <c r="G262" s="11">
        <f t="shared" si="27"/>
        <v>-17.935120667856175</v>
      </c>
    </row>
    <row r="263" spans="5:7" x14ac:dyDescent="0.25">
      <c r="E263" s="11">
        <f t="shared" si="25"/>
        <v>-79</v>
      </c>
      <c r="F263" s="11">
        <f t="shared" si="26"/>
        <v>-18.225432521405619</v>
      </c>
      <c r="G263" s="11">
        <f t="shared" si="27"/>
        <v>-17.748123067843146</v>
      </c>
    </row>
    <row r="264" spans="5:7" x14ac:dyDescent="0.25">
      <c r="E264" s="11">
        <f t="shared" si="25"/>
        <v>-78</v>
      </c>
      <c r="F264" s="11">
        <f t="shared" si="26"/>
        <v>-17.921285872461386</v>
      </c>
      <c r="G264" s="11">
        <f t="shared" si="27"/>
        <v>-17.552497711692219</v>
      </c>
    </row>
    <row r="265" spans="5:7" x14ac:dyDescent="0.25">
      <c r="E265" s="11">
        <f t="shared" si="25"/>
        <v>-77</v>
      </c>
      <c r="F265" s="11">
        <f t="shared" si="26"/>
        <v>-17.620111230999669</v>
      </c>
      <c r="G265" s="11">
        <f t="shared" si="27"/>
        <v>-17.34879107168047</v>
      </c>
    </row>
    <row r="266" spans="5:7" x14ac:dyDescent="0.25">
      <c r="E266" s="11">
        <f t="shared" si="25"/>
        <v>-76</v>
      </c>
      <c r="F266" s="11">
        <f t="shared" si="26"/>
        <v>-17.322020153776556</v>
      </c>
      <c r="G266" s="11">
        <f t="shared" si="27"/>
        <v>-17.137549620084997</v>
      </c>
    </row>
    <row r="267" spans="5:7" x14ac:dyDescent="0.25">
      <c r="E267" s="11">
        <f t="shared" si="25"/>
        <v>-75</v>
      </c>
      <c r="F267" s="11">
        <f t="shared" si="26"/>
        <v>-17.027112850920108</v>
      </c>
      <c r="G267" s="11">
        <f t="shared" si="27"/>
        <v>-16.919319829182875</v>
      </c>
    </row>
    <row r="268" spans="5:7" x14ac:dyDescent="0.25">
      <c r="E268" s="11">
        <f t="shared" si="25"/>
        <v>-74</v>
      </c>
      <c r="F268" s="11">
        <f t="shared" si="26"/>
        <v>-16.735478324559381</v>
      </c>
      <c r="G268" s="11">
        <f t="shared" si="27"/>
        <v>-16.694648171251188</v>
      </c>
    </row>
    <row r="269" spans="5:7" x14ac:dyDescent="0.25">
      <c r="E269" s="11">
        <f t="shared" si="25"/>
        <v>-73</v>
      </c>
      <c r="F269" s="11">
        <f t="shared" si="26"/>
        <v>-16.447194515906027</v>
      </c>
      <c r="G269" s="11">
        <f t="shared" si="27"/>
        <v>-16.464081118567023</v>
      </c>
    </row>
    <row r="270" spans="5:7" x14ac:dyDescent="0.25">
      <c r="E270" s="11">
        <f t="shared" si="25"/>
        <v>-72</v>
      </c>
      <c r="F270" s="11">
        <f t="shared" si="26"/>
        <v>-16.162328460601262</v>
      </c>
      <c r="G270" s="11">
        <f t="shared" si="27"/>
        <v>-16.228165143407463</v>
      </c>
    </row>
    <row r="271" spans="5:7" x14ac:dyDescent="0.25">
      <c r="E271" s="11">
        <f t="shared" si="25"/>
        <v>-71</v>
      </c>
      <c r="F271" s="11">
        <f t="shared" si="26"/>
        <v>-15.880936452139192</v>
      </c>
      <c r="G271" s="11">
        <f t="shared" si="27"/>
        <v>-15.987446718049586</v>
      </c>
    </row>
    <row r="272" spans="5:7" x14ac:dyDescent="0.25">
      <c r="E272" s="11">
        <f t="shared" si="25"/>
        <v>-70</v>
      </c>
      <c r="F272" s="11">
        <f t="shared" si="26"/>
        <v>-15.603064213174479</v>
      </c>
      <c r="G272" s="11">
        <f t="shared" si="27"/>
        <v>-15.742472314770485</v>
      </c>
    </row>
    <row r="273" spans="5:7" x14ac:dyDescent="0.25">
      <c r="E273" s="11">
        <f t="shared" si="25"/>
        <v>-69</v>
      </c>
      <c r="F273" s="11">
        <f t="shared" si="26"/>
        <v>-15.328747074520781</v>
      </c>
      <c r="G273" s="11">
        <f t="shared" si="27"/>
        <v>-15.493788405847239</v>
      </c>
    </row>
    <row r="274" spans="5:7" x14ac:dyDescent="0.25">
      <c r="E274" s="11">
        <f t="shared" si="25"/>
        <v>-68</v>
      </c>
      <c r="F274" s="11">
        <f t="shared" si="26"/>
        <v>-15.05801016164359</v>
      </c>
      <c r="G274" s="11">
        <f t="shared" si="27"/>
        <v>-15.24194146355693</v>
      </c>
    </row>
    <row r="275" spans="5:7" x14ac:dyDescent="0.25">
      <c r="E275" s="11">
        <f t="shared" si="25"/>
        <v>-67</v>
      </c>
      <c r="F275" s="11">
        <f t="shared" si="26"/>
        <v>-14.790868588448999</v>
      </c>
      <c r="G275" s="11">
        <f t="shared" si="27"/>
        <v>-14.987477960176649</v>
      </c>
    </row>
    <row r="276" spans="5:7" x14ac:dyDescent="0.25">
      <c r="E276" s="11">
        <f t="shared" si="25"/>
        <v>-66</v>
      </c>
      <c r="F276" s="11">
        <f t="shared" si="26"/>
        <v>-14.52732765816765</v>
      </c>
      <c r="G276" s="11">
        <f t="shared" si="27"/>
        <v>-14.730944367983472</v>
      </c>
    </row>
    <row r="277" spans="5:7" x14ac:dyDescent="0.25">
      <c r="E277" s="11">
        <f t="shared" si="25"/>
        <v>-65</v>
      </c>
      <c r="F277" s="11">
        <f t="shared" si="26"/>
        <v>-14.267383071130814</v>
      </c>
      <c r="G277" s="11">
        <f t="shared" si="27"/>
        <v>-14.472887159254489</v>
      </c>
    </row>
    <row r="278" spans="5:7" x14ac:dyDescent="0.25">
      <c r="E278" s="11">
        <f t="shared" si="25"/>
        <v>-64</v>
      </c>
      <c r="F278" s="11">
        <f t="shared" si="26"/>
        <v>-14.011021139233161</v>
      </c>
      <c r="G278" s="11">
        <f t="shared" si="27"/>
        <v>-14.213852806266779</v>
      </c>
    </row>
    <row r="279" spans="5:7" x14ac:dyDescent="0.25">
      <c r="E279" s="11">
        <f t="shared" si="25"/>
        <v>-63</v>
      </c>
      <c r="F279" s="11">
        <f t="shared" si="26"/>
        <v>-13.75821900687467</v>
      </c>
      <c r="G279" s="11">
        <f t="shared" si="27"/>
        <v>-13.954387781297431</v>
      </c>
    </row>
    <row r="280" spans="5:7" x14ac:dyDescent="0.25">
      <c r="E280" s="11">
        <f t="shared" si="25"/>
        <v>-62</v>
      </c>
      <c r="F280" s="11">
        <f t="shared" si="26"/>
        <v>-13.508944878171683</v>
      </c>
      <c r="G280" s="11">
        <f t="shared" si="27"/>
        <v>-13.695038556623523</v>
      </c>
    </row>
    <row r="281" spans="5:7" x14ac:dyDescent="0.25">
      <c r="E281" s="11">
        <f t="shared" si="25"/>
        <v>-61</v>
      </c>
      <c r="F281" s="11">
        <f t="shared" si="26"/>
        <v>-13.263158250224864</v>
      </c>
      <c r="G281" s="11">
        <f t="shared" si="27"/>
        <v>-13.436351604522143</v>
      </c>
    </row>
    <row r="282" spans="5:7" x14ac:dyDescent="0.25">
      <c r="E282" s="11">
        <f t="shared" si="25"/>
        <v>-60</v>
      </c>
      <c r="F282" s="11">
        <f t="shared" si="26"/>
        <v>-13.020810152229615</v>
      </c>
      <c r="G282" s="11">
        <f t="shared" si="27"/>
        <v>-13.178873397270374</v>
      </c>
    </row>
    <row r="283" spans="5:7" x14ac:dyDescent="0.25">
      <c r="E283" s="11">
        <f t="shared" si="25"/>
        <v>-59</v>
      </c>
      <c r="F283" s="11">
        <f t="shared" si="26"/>
        <v>-12.78184339021205</v>
      </c>
      <c r="G283" s="11">
        <f t="shared" si="27"/>
        <v>-12.923150407145299</v>
      </c>
    </row>
    <row r="284" spans="5:7" x14ac:dyDescent="0.25">
      <c r="E284" s="11">
        <f t="shared" si="25"/>
        <v>-58</v>
      </c>
      <c r="F284" s="11">
        <f t="shared" si="26"/>
        <v>-12.546192797171509</v>
      </c>
      <c r="G284" s="11">
        <f t="shared" si="27"/>
        <v>-12.669729106424002</v>
      </c>
    </row>
    <row r="285" spans="5:7" x14ac:dyDescent="0.25">
      <c r="E285" s="11">
        <f t="shared" si="25"/>
        <v>-57</v>
      </c>
      <c r="F285" s="11">
        <f t="shared" si="26"/>
        <v>-12.313785488408168</v>
      </c>
      <c r="G285" s="11">
        <f t="shared" si="27"/>
        <v>-12.419155967383567</v>
      </c>
    </row>
    <row r="286" spans="5:7" x14ac:dyDescent="0.25">
      <c r="E286" s="11">
        <f t="shared" si="25"/>
        <v>-56</v>
      </c>
      <c r="F286" s="11">
        <f t="shared" si="26"/>
        <v>-12.084541121812091</v>
      </c>
      <c r="G286" s="11">
        <f t="shared" si="27"/>
        <v>-12.171977462301079</v>
      </c>
    </row>
    <row r="287" spans="5:7" x14ac:dyDescent="0.25">
      <c r="E287" s="11">
        <f t="shared" ref="E287:E350" si="28">E80</f>
        <v>-55</v>
      </c>
      <c r="F287" s="11">
        <f t="shared" ref="F287:F350" si="29">$H$217*0+E287*$I$217+E287^2*$J$217+E287^3*$K$217+E287^4*$L$217+E287^5*$M$217+E287^6*$N$217+E287^7*$O$217+E287^8*$P$217</f>
        <v>-11.858372162887758</v>
      </c>
      <c r="G287" s="11">
        <f t="shared" ref="G287:G350" si="30">F80</f>
        <v>-11.92874006345362</v>
      </c>
    </row>
    <row r="288" spans="5:7" x14ac:dyDescent="0.25">
      <c r="E288" s="11">
        <f t="shared" si="28"/>
        <v>-54</v>
      </c>
      <c r="F288" s="11">
        <f t="shared" si="29"/>
        <v>-11.635184154285826</v>
      </c>
      <c r="G288" s="11">
        <f t="shared" si="30"/>
        <v>-11.689865018483237</v>
      </c>
    </row>
    <row r="289" spans="5:7" x14ac:dyDescent="0.25">
      <c r="E289" s="11">
        <f t="shared" si="28"/>
        <v>-53</v>
      </c>
      <c r="F289" s="11">
        <f t="shared" si="29"/>
        <v>-11.414875989611506</v>
      </c>
      <c r="G289" s="11">
        <f t="shared" si="30"/>
        <v>-11.455272676491807</v>
      </c>
    </row>
    <row r="290" spans="5:7" x14ac:dyDescent="0.25">
      <c r="E290" s="11">
        <f t="shared" si="28"/>
        <v>-52</v>
      </c>
      <c r="F290" s="11">
        <f t="shared" si="29"/>
        <v>-11.197340191276835</v>
      </c>
      <c r="G290" s="11">
        <f t="shared" si="30"/>
        <v>-11.224758161946173</v>
      </c>
    </row>
    <row r="291" spans="5:7" x14ac:dyDescent="0.25">
      <c r="E291" s="11">
        <f t="shared" si="28"/>
        <v>-51</v>
      </c>
      <c r="F291" s="11">
        <f t="shared" si="29"/>
        <v>-10.982463192161596</v>
      </c>
      <c r="G291" s="11">
        <f t="shared" si="30"/>
        <v>-10.998116599313176</v>
      </c>
    </row>
    <row r="292" spans="5:7" x14ac:dyDescent="0.25">
      <c r="E292" s="11">
        <f t="shared" si="28"/>
        <v>-50</v>
      </c>
      <c r="F292" s="11">
        <f t="shared" si="29"/>
        <v>-10.77012562084554</v>
      </c>
      <c r="G292" s="11">
        <f t="shared" si="30"/>
        <v>-10.775143113059656</v>
      </c>
    </row>
    <row r="293" spans="5:7" x14ac:dyDescent="0.25">
      <c r="E293" s="11">
        <f t="shared" si="28"/>
        <v>-49</v>
      </c>
      <c r="F293" s="11">
        <f t="shared" si="29"/>
        <v>-10.560202590172217</v>
      </c>
      <c r="G293" s="11">
        <f t="shared" si="30"/>
        <v>-10.555632827652452</v>
      </c>
    </row>
    <row r="294" spans="5:7" x14ac:dyDescent="0.25">
      <c r="E294" s="11">
        <f t="shared" si="28"/>
        <v>-48</v>
      </c>
      <c r="F294" s="11">
        <f t="shared" si="29"/>
        <v>-10.352563988902324</v>
      </c>
      <c r="G294" s="11">
        <f t="shared" si="30"/>
        <v>-10.339380867558409</v>
      </c>
    </row>
    <row r="295" spans="5:7" x14ac:dyDescent="0.25">
      <c r="E295" s="11">
        <f t="shared" si="28"/>
        <v>-47</v>
      </c>
      <c r="F295" s="11">
        <f t="shared" si="29"/>
        <v>-10.147074776212401</v>
      </c>
      <c r="G295" s="11">
        <f t="shared" si="30"/>
        <v>-10.126182357244364</v>
      </c>
    </row>
    <row r="296" spans="5:7" x14ac:dyDescent="0.25">
      <c r="E296" s="11">
        <f t="shared" si="28"/>
        <v>-46</v>
      </c>
      <c r="F296" s="11">
        <f t="shared" si="29"/>
        <v>-9.9435952787922268</v>
      </c>
      <c r="G296" s="11">
        <f t="shared" si="30"/>
        <v>-9.9158324211771607</v>
      </c>
    </row>
    <row r="297" spans="5:7" x14ac:dyDescent="0.25">
      <c r="E297" s="11">
        <f t="shared" si="28"/>
        <v>-45</v>
      </c>
      <c r="F297" s="11">
        <f t="shared" si="29"/>
        <v>-9.7419814902920496</v>
      </c>
      <c r="G297" s="11">
        <f t="shared" si="30"/>
        <v>-9.7081261838236372</v>
      </c>
    </row>
    <row r="298" spans="5:7" x14ac:dyDescent="0.25">
      <c r="E298" s="11">
        <f t="shared" si="28"/>
        <v>-44</v>
      </c>
      <c r="F298" s="11">
        <f t="shared" si="29"/>
        <v>-9.5420853728685273</v>
      </c>
      <c r="G298" s="11">
        <f t="shared" si="30"/>
        <v>-9.5028587696506364</v>
      </c>
    </row>
    <row r="299" spans="5:7" x14ac:dyDescent="0.25">
      <c r="E299" s="11">
        <f t="shared" si="28"/>
        <v>-43</v>
      </c>
      <c r="F299" s="11">
        <f t="shared" si="29"/>
        <v>-9.3437551605759026</v>
      </c>
      <c r="G299" s="11">
        <f t="shared" si="30"/>
        <v>-9.2998253031249973</v>
      </c>
    </row>
    <row r="300" spans="5:7" x14ac:dyDescent="0.25">
      <c r="E300" s="11">
        <f t="shared" si="28"/>
        <v>-42</v>
      </c>
      <c r="F300" s="11">
        <f t="shared" si="29"/>
        <v>-9.1468356643467175</v>
      </c>
      <c r="G300" s="11">
        <f t="shared" si="30"/>
        <v>-9.098820908713563</v>
      </c>
    </row>
    <row r="301" spans="5:7" x14ac:dyDescent="0.25">
      <c r="E301" s="11">
        <f t="shared" si="28"/>
        <v>-41</v>
      </c>
      <c r="F301" s="11">
        <f t="shared" si="29"/>
        <v>-8.9511685783039283</v>
      </c>
      <c r="G301" s="11">
        <f t="shared" si="30"/>
        <v>-8.8996407108831725</v>
      </c>
    </row>
    <row r="302" spans="5:7" x14ac:dyDescent="0.25">
      <c r="E302" s="11">
        <f t="shared" si="28"/>
        <v>-40</v>
      </c>
      <c r="F302" s="11">
        <f t="shared" si="29"/>
        <v>-8.7565927871443119</v>
      </c>
      <c r="G302" s="11">
        <f t="shared" si="30"/>
        <v>-8.7020798341006671</v>
      </c>
    </row>
    <row r="303" spans="5:7" x14ac:dyDescent="0.25">
      <c r="E303" s="11">
        <f t="shared" si="28"/>
        <v>-39</v>
      </c>
      <c r="F303" s="11">
        <f t="shared" si="29"/>
        <v>-8.5629446743303088</v>
      </c>
      <c r="G303" s="11">
        <f t="shared" si="30"/>
        <v>-8.5059334028328877</v>
      </c>
    </row>
    <row r="304" spans="5:7" x14ac:dyDescent="0.25">
      <c r="E304" s="11">
        <f t="shared" si="28"/>
        <v>-38</v>
      </c>
      <c r="F304" s="11">
        <f t="shared" si="29"/>
        <v>-8.3700584308256047</v>
      </c>
      <c r="G304" s="11">
        <f t="shared" si="30"/>
        <v>-8.3109965415466753</v>
      </c>
    </row>
    <row r="305" spans="5:7" x14ac:dyDescent="0.25">
      <c r="E305" s="11">
        <f t="shared" si="28"/>
        <v>-37</v>
      </c>
      <c r="F305" s="11">
        <f t="shared" si="29"/>
        <v>-8.1777663641071676</v>
      </c>
      <c r="G305" s="11">
        <f t="shared" si="30"/>
        <v>-8.1170643747088693</v>
      </c>
    </row>
    <row r="306" spans="5:7" x14ac:dyDescent="0.25">
      <c r="E306" s="11">
        <f t="shared" si="28"/>
        <v>-36</v>
      </c>
      <c r="F306" s="11">
        <f t="shared" si="29"/>
        <v>-7.9858992071842687</v>
      </c>
      <c r="G306" s="11">
        <f t="shared" si="30"/>
        <v>-7.9239320267863125</v>
      </c>
    </row>
    <row r="307" spans="5:7" x14ac:dyDescent="0.25">
      <c r="E307" s="11">
        <f t="shared" si="28"/>
        <v>-35</v>
      </c>
      <c r="F307" s="11">
        <f t="shared" si="29"/>
        <v>-7.7942864273527697</v>
      </c>
      <c r="G307" s="11">
        <f t="shared" si="30"/>
        <v>-7.7313946222458449</v>
      </c>
    </row>
    <row r="308" spans="5:7" x14ac:dyDescent="0.25">
      <c r="E308" s="11">
        <f t="shared" si="28"/>
        <v>-34</v>
      </c>
      <c r="F308" s="11">
        <f t="shared" si="29"/>
        <v>-7.6027565344105517</v>
      </c>
      <c r="G308" s="11">
        <f t="shared" si="30"/>
        <v>-7.539247285554306</v>
      </c>
    </row>
    <row r="309" spans="5:7" x14ac:dyDescent="0.25">
      <c r="E309" s="11">
        <f t="shared" si="28"/>
        <v>-33</v>
      </c>
      <c r="F309" s="11">
        <f t="shared" si="29"/>
        <v>-7.4111373880578117</v>
      </c>
      <c r="G309" s="11">
        <f t="shared" si="30"/>
        <v>-7.3472851411785385</v>
      </c>
    </row>
    <row r="310" spans="5:7" x14ac:dyDescent="0.25">
      <c r="E310" s="11">
        <f t="shared" si="28"/>
        <v>-32</v>
      </c>
      <c r="F310" s="11">
        <f t="shared" si="29"/>
        <v>-7.2192565042035186</v>
      </c>
      <c r="G310" s="11">
        <f t="shared" si="30"/>
        <v>-7.1553033135853834</v>
      </c>
    </row>
    <row r="311" spans="5:7" x14ac:dyDescent="0.25">
      <c r="E311" s="11">
        <f t="shared" si="28"/>
        <v>-31</v>
      </c>
      <c r="F311" s="11">
        <f t="shared" si="29"/>
        <v>-7.0269413598971751</v>
      </c>
      <c r="G311" s="11">
        <f t="shared" si="30"/>
        <v>-6.9630969272416792</v>
      </c>
    </row>
    <row r="312" spans="5:7" x14ac:dyDescent="0.25">
      <c r="E312" s="11">
        <f t="shared" si="28"/>
        <v>-30</v>
      </c>
      <c r="F312" s="11">
        <f t="shared" si="29"/>
        <v>-6.8340196966025983</v>
      </c>
      <c r="G312" s="11">
        <f t="shared" si="30"/>
        <v>-6.7704611066142695</v>
      </c>
    </row>
    <row r="313" spans="5:7" x14ac:dyDescent="0.25">
      <c r="E313" s="11">
        <f t="shared" si="28"/>
        <v>-29</v>
      </c>
      <c r="F313" s="11">
        <f t="shared" si="29"/>
        <v>-6.6403198215282746</v>
      </c>
      <c r="G313" s="11">
        <f t="shared" si="30"/>
        <v>-6.5771992903588288</v>
      </c>
    </row>
    <row r="314" spans="5:7" x14ac:dyDescent="0.25">
      <c r="E314" s="11">
        <f t="shared" si="28"/>
        <v>-28</v>
      </c>
      <c r="F314" s="11">
        <f t="shared" si="29"/>
        <v>-6.4456709067264661</v>
      </c>
      <c r="G314" s="11">
        <f t="shared" si="30"/>
        <v>-6.3831481738863856</v>
      </c>
    </row>
    <row r="315" spans="5:7" x14ac:dyDescent="0.25">
      <c r="E315" s="11">
        <f t="shared" si="28"/>
        <v>-27</v>
      </c>
      <c r="F315" s="11">
        <f t="shared" si="29"/>
        <v>-6.2499032856709551</v>
      </c>
      <c r="G315" s="11">
        <f t="shared" si="30"/>
        <v>-6.1881527667968053</v>
      </c>
    </row>
    <row r="316" spans="5:7" x14ac:dyDescent="0.25">
      <c r="E316" s="11">
        <f t="shared" si="28"/>
        <v>-26</v>
      </c>
      <c r="F316" s="11">
        <f t="shared" si="29"/>
        <v>-6.052848747021117</v>
      </c>
      <c r="G316" s="11">
        <f t="shared" si="30"/>
        <v>-5.9920580786899462</v>
      </c>
    </row>
    <row r="317" spans="5:7" x14ac:dyDescent="0.25">
      <c r="E317" s="11">
        <f t="shared" si="28"/>
        <v>-25</v>
      </c>
      <c r="F317" s="11">
        <f t="shared" si="29"/>
        <v>-5.854340825277597</v>
      </c>
      <c r="G317" s="11">
        <f t="shared" si="30"/>
        <v>-5.7947091191656757</v>
      </c>
    </row>
    <row r="318" spans="5:7" x14ac:dyDescent="0.25">
      <c r="E318" s="11">
        <f t="shared" si="28"/>
        <v>-24</v>
      </c>
      <c r="F318" s="11">
        <f t="shared" si="29"/>
        <v>-5.6542150880326609</v>
      </c>
      <c r="G318" s="11">
        <f t="shared" si="30"/>
        <v>-5.5959508978238546</v>
      </c>
    </row>
    <row r="319" spans="5:7" x14ac:dyDescent="0.25">
      <c r="E319" s="11">
        <f t="shared" si="28"/>
        <v>-23</v>
      </c>
      <c r="F319" s="11">
        <f t="shared" si="29"/>
        <v>-5.4523094195159736</v>
      </c>
      <c r="G319" s="11">
        <f t="shared" si="30"/>
        <v>-5.3956284242643493</v>
      </c>
    </row>
    <row r="320" spans="5:7" x14ac:dyDescent="0.25">
      <c r="E320" s="11">
        <f t="shared" si="28"/>
        <v>-22</v>
      </c>
      <c r="F320" s="11">
        <f t="shared" si="29"/>
        <v>-5.2484643001342643</v>
      </c>
      <c r="G320" s="11">
        <f t="shared" si="30"/>
        <v>-5.1935867080870191</v>
      </c>
    </row>
    <row r="321" spans="5:7" x14ac:dyDescent="0.25">
      <c r="E321" s="11">
        <f t="shared" si="28"/>
        <v>-21</v>
      </c>
      <c r="F321" s="11">
        <f t="shared" si="29"/>
        <v>-5.0425230817010567</v>
      </c>
      <c r="G321" s="11">
        <f t="shared" si="30"/>
        <v>-4.9896707588917311</v>
      </c>
    </row>
    <row r="322" spans="5:7" x14ac:dyDescent="0.25">
      <c r="E322" s="11">
        <f t="shared" si="28"/>
        <v>-20</v>
      </c>
      <c r="F322" s="11">
        <f t="shared" si="29"/>
        <v>-4.8343322580503578</v>
      </c>
      <c r="G322" s="11">
        <f t="shared" si="30"/>
        <v>-4.7837255862783472</v>
      </c>
    </row>
    <row r="323" spans="5:7" x14ac:dyDescent="0.25">
      <c r="E323" s="11">
        <f t="shared" si="28"/>
        <v>-19</v>
      </c>
      <c r="F323" s="11">
        <f t="shared" si="29"/>
        <v>-4.6237417307258672</v>
      </c>
      <c r="G323" s="11">
        <f t="shared" si="30"/>
        <v>-4.5755961998467285</v>
      </c>
    </row>
    <row r="324" spans="5:7" x14ac:dyDescent="0.25">
      <c r="E324" s="11">
        <f t="shared" si="28"/>
        <v>-18</v>
      </c>
      <c r="F324" s="11">
        <f t="shared" si="29"/>
        <v>-4.4106050694350714</v>
      </c>
      <c r="G324" s="11">
        <f t="shared" si="30"/>
        <v>-4.3651276091967421</v>
      </c>
    </row>
    <row r="325" spans="5:7" x14ac:dyDescent="0.25">
      <c r="E325" s="11">
        <f t="shared" si="28"/>
        <v>-17</v>
      </c>
      <c r="F325" s="11">
        <f t="shared" si="29"/>
        <v>-4.194779766955155</v>
      </c>
      <c r="G325" s="11">
        <f t="shared" si="30"/>
        <v>-4.1521648239282483</v>
      </c>
    </row>
    <row r="326" spans="5:7" x14ac:dyDescent="0.25">
      <c r="E326" s="11">
        <f t="shared" si="28"/>
        <v>-16</v>
      </c>
      <c r="F326" s="11">
        <f t="shared" si="29"/>
        <v>-3.9761274881755564</v>
      </c>
      <c r="G326" s="11">
        <f t="shared" si="30"/>
        <v>-3.9365528536411123</v>
      </c>
    </row>
    <row r="327" spans="5:7" x14ac:dyDescent="0.25">
      <c r="E327" s="11">
        <f t="shared" si="28"/>
        <v>-15</v>
      </c>
      <c r="F327" s="11">
        <f t="shared" si="29"/>
        <v>-3.7545143129595031</v>
      </c>
      <c r="G327" s="11">
        <f t="shared" si="30"/>
        <v>-3.718136707935197</v>
      </c>
    </row>
    <row r="328" spans="5:7" x14ac:dyDescent="0.25">
      <c r="E328" s="11">
        <f t="shared" si="28"/>
        <v>-14</v>
      </c>
      <c r="F328" s="11">
        <f t="shared" si="29"/>
        <v>-3.5298109725047397</v>
      </c>
      <c r="G328" s="11">
        <f t="shared" si="30"/>
        <v>-3.4967613964103657</v>
      </c>
    </row>
    <row r="329" spans="5:7" x14ac:dyDescent="0.25">
      <c r="E329" s="11">
        <f t="shared" si="28"/>
        <v>-13</v>
      </c>
      <c r="F329" s="11">
        <f t="shared" si="29"/>
        <v>-3.3018930788812759</v>
      </c>
      <c r="G329" s="11">
        <f t="shared" si="30"/>
        <v>-3.2722719286664814</v>
      </c>
    </row>
    <row r="330" spans="5:7" x14ac:dyDescent="0.25">
      <c r="E330" s="11">
        <f t="shared" si="28"/>
        <v>-12</v>
      </c>
      <c r="F330" s="11">
        <f t="shared" si="29"/>
        <v>-3.070641347421724</v>
      </c>
      <c r="G330" s="11">
        <f t="shared" si="30"/>
        <v>-3.0445133143034075</v>
      </c>
    </row>
    <row r="331" spans="5:7" x14ac:dyDescent="0.25">
      <c r="E331" s="11">
        <f t="shared" si="28"/>
        <v>-11</v>
      </c>
      <c r="F331" s="11">
        <f t="shared" si="29"/>
        <v>-2.8359418116375066</v>
      </c>
      <c r="G331" s="11">
        <f t="shared" si="30"/>
        <v>-2.8133305629210077</v>
      </c>
    </row>
    <row r="332" spans="5:7" x14ac:dyDescent="0.25">
      <c r="E332" s="11">
        <f t="shared" si="28"/>
        <v>-10</v>
      </c>
      <c r="F332" s="11">
        <f t="shared" si="29"/>
        <v>-2.5976860303319089</v>
      </c>
      <c r="G332" s="11">
        <f t="shared" si="30"/>
        <v>-2.5785686841191451</v>
      </c>
    </row>
    <row r="333" spans="5:7" x14ac:dyDescent="0.25">
      <c r="E333" s="11">
        <f t="shared" si="28"/>
        <v>-9</v>
      </c>
      <c r="F333" s="11">
        <f t="shared" si="29"/>
        <v>-2.3557712865786935</v>
      </c>
      <c r="G333" s="11">
        <f t="shared" si="30"/>
        <v>-2.3400726874976829</v>
      </c>
    </row>
    <row r="334" spans="5:7" x14ac:dyDescent="0.25">
      <c r="E334" s="11">
        <f t="shared" si="28"/>
        <v>-8</v>
      </c>
      <c r="F334" s="11">
        <f t="shared" si="29"/>
        <v>-2.1101007782326464</v>
      </c>
      <c r="G334" s="11">
        <f t="shared" si="30"/>
        <v>-2.0976875826564849</v>
      </c>
    </row>
    <row r="335" spans="5:7" x14ac:dyDescent="0.25">
      <c r="E335" s="11">
        <f t="shared" si="28"/>
        <v>-7</v>
      </c>
      <c r="F335" s="11">
        <f t="shared" si="29"/>
        <v>-1.8605837996362142</v>
      </c>
      <c r="G335" s="11">
        <f t="shared" si="30"/>
        <v>-1.8512583791954138</v>
      </c>
    </row>
    <row r="336" spans="5:7" x14ac:dyDescent="0.25">
      <c r="E336" s="11">
        <f t="shared" si="28"/>
        <v>-6</v>
      </c>
      <c r="F336" s="11">
        <f t="shared" si="29"/>
        <v>-1.6071359141840245</v>
      </c>
      <c r="G336" s="11">
        <f t="shared" si="30"/>
        <v>-1.6006300867143335</v>
      </c>
    </row>
    <row r="337" spans="5:7" x14ac:dyDescent="0.25">
      <c r="E337" s="11">
        <f t="shared" si="28"/>
        <v>-5</v>
      </c>
      <c r="F337" s="11">
        <f t="shared" si="29"/>
        <v>-1.349679117404837</v>
      </c>
      <c r="G337" s="11">
        <f t="shared" si="30"/>
        <v>-1.3456477148131072</v>
      </c>
    </row>
    <row r="338" spans="5:7" x14ac:dyDescent="0.25">
      <c r="E338" s="11">
        <f t="shared" si="28"/>
        <v>-4</v>
      </c>
      <c r="F338" s="11">
        <f t="shared" si="29"/>
        <v>-1.0881419902181766</v>
      </c>
      <c r="G338" s="11">
        <f t="shared" si="30"/>
        <v>-1.0861562730915977</v>
      </c>
    </row>
    <row r="339" spans="5:7" x14ac:dyDescent="0.25">
      <c r="E339" s="11">
        <f t="shared" si="28"/>
        <v>-3</v>
      </c>
      <c r="F339" s="11">
        <f t="shared" si="29"/>
        <v>-0.82245984202059896</v>
      </c>
      <c r="G339" s="11">
        <f t="shared" si="30"/>
        <v>-0.82200077114966918</v>
      </c>
    </row>
    <row r="340" spans="5:7" x14ac:dyDescent="0.25">
      <c r="E340" s="11">
        <f t="shared" si="28"/>
        <v>-2</v>
      </c>
      <c r="F340" s="11">
        <f t="shared" si="29"/>
        <v>-0.55257484325425177</v>
      </c>
      <c r="G340" s="11">
        <f t="shared" si="30"/>
        <v>-0.55302621858718437</v>
      </c>
    </row>
    <row r="341" spans="5:7" x14ac:dyDescent="0.25">
      <c r="E341" s="11">
        <f t="shared" si="28"/>
        <v>-1</v>
      </c>
      <c r="F341" s="11">
        <f t="shared" si="29"/>
        <v>-0.27843614710811437</v>
      </c>
      <c r="G341" s="11">
        <f t="shared" si="30"/>
        <v>-0.2790776250040069</v>
      </c>
    </row>
    <row r="342" spans="5:7" x14ac:dyDescent="0.25">
      <c r="E342" s="11">
        <f t="shared" si="28"/>
        <v>0</v>
      </c>
      <c r="F342" s="11">
        <f t="shared" si="29"/>
        <v>0</v>
      </c>
      <c r="G342" s="11">
        <f t="shared" si="30"/>
        <v>0</v>
      </c>
    </row>
    <row r="343" spans="5:7" x14ac:dyDescent="0.25">
      <c r="E343" s="11">
        <f t="shared" si="28"/>
        <v>1</v>
      </c>
      <c r="F343" s="11">
        <f t="shared" si="29"/>
        <v>0.2827701595148856</v>
      </c>
      <c r="G343" s="11">
        <f t="shared" si="30"/>
        <v>0.28431672633627086</v>
      </c>
    </row>
    <row r="344" spans="5:7" x14ac:dyDescent="0.25">
      <c r="E344" s="11">
        <f t="shared" si="28"/>
        <v>2</v>
      </c>
      <c r="F344" s="11">
        <f t="shared" si="29"/>
        <v>0.56990361376531962</v>
      </c>
      <c r="G344" s="11">
        <f t="shared" si="30"/>
        <v>0.57380294196143156</v>
      </c>
    </row>
    <row r="345" spans="5:7" x14ac:dyDescent="0.25">
      <c r="E345" s="11">
        <f t="shared" si="28"/>
        <v>3</v>
      </c>
      <c r="F345" s="11">
        <f t="shared" si="29"/>
        <v>0.86142229127415615</v>
      </c>
      <c r="G345" s="11">
        <f t="shared" si="30"/>
        <v>0.86834411434340564</v>
      </c>
    </row>
    <row r="346" spans="5:7" x14ac:dyDescent="0.25">
      <c r="E346" s="11">
        <f t="shared" si="28"/>
        <v>4</v>
      </c>
      <c r="F346" s="11">
        <f t="shared" si="29"/>
        <v>1.1573407047182136</v>
      </c>
      <c r="G346" s="11">
        <f t="shared" si="30"/>
        <v>1.1678257109501164</v>
      </c>
    </row>
    <row r="347" spans="5:7" x14ac:dyDescent="0.25">
      <c r="E347" s="11">
        <f t="shared" si="28"/>
        <v>5</v>
      </c>
      <c r="F347" s="11">
        <f t="shared" si="29"/>
        <v>1.4576659019013141</v>
      </c>
      <c r="G347" s="11">
        <f t="shared" si="30"/>
        <v>1.4721331992494886</v>
      </c>
    </row>
    <row r="348" spans="5:7" x14ac:dyDescent="0.25">
      <c r="E348" s="11">
        <f t="shared" si="28"/>
        <v>6</v>
      </c>
      <c r="F348" s="11">
        <f t="shared" si="29"/>
        <v>1.762397430106136</v>
      </c>
      <c r="G348" s="11">
        <f t="shared" si="30"/>
        <v>1.7811520467094448</v>
      </c>
    </row>
    <row r="349" spans="5:7" x14ac:dyDescent="0.25">
      <c r="E349" s="11">
        <f t="shared" si="28"/>
        <v>7</v>
      </c>
      <c r="F349" s="11">
        <f t="shared" si="29"/>
        <v>2.0715273141928168</v>
      </c>
      <c r="G349" s="11">
        <f t="shared" si="30"/>
        <v>2.0947677207979094</v>
      </c>
    </row>
    <row r="350" spans="5:7" x14ac:dyDescent="0.25">
      <c r="E350" s="11">
        <f t="shared" si="28"/>
        <v>8</v>
      </c>
      <c r="F350" s="11">
        <f t="shared" si="29"/>
        <v>2.3850400488145365</v>
      </c>
      <c r="G350" s="11">
        <f t="shared" si="30"/>
        <v>2.4128656889828051</v>
      </c>
    </row>
    <row r="351" spans="5:7" x14ac:dyDescent="0.25">
      <c r="E351" s="11">
        <f t="shared" ref="E351:E414" si="31">E144</f>
        <v>9</v>
      </c>
      <c r="F351" s="11">
        <f t="shared" ref="F351:F414" si="32">$H$217*0+E351*$I$217+E351^2*$J$217+E351^3*$K$217+E351^4*$L$217+E351^5*$M$217+E351^6*$N$217+E351^7*$O$217+E351^8*$P$217</f>
        <v>2.7029126051226133</v>
      </c>
      <c r="G351" s="11">
        <f t="shared" ref="G351:G414" si="33">F144</f>
        <v>2.7353314187320565</v>
      </c>
    </row>
    <row r="352" spans="5:7" x14ac:dyDescent="0.25">
      <c r="E352" s="11">
        <f t="shared" si="31"/>
        <v>10</v>
      </c>
      <c r="F352" s="11">
        <f t="shared" si="32"/>
        <v>3.0251144523359246</v>
      </c>
      <c r="G352" s="11">
        <f t="shared" si="33"/>
        <v>3.0620503775135877</v>
      </c>
    </row>
    <row r="353" spans="5:7" x14ac:dyDescent="0.25">
      <c r="E353" s="11">
        <f t="shared" si="31"/>
        <v>11</v>
      </c>
      <c r="F353" s="11">
        <f t="shared" si="32"/>
        <v>3.3516075945517381</v>
      </c>
      <c r="G353" s="11">
        <f t="shared" si="33"/>
        <v>3.3929080327953205</v>
      </c>
    </row>
    <row r="354" spans="5:7" x14ac:dyDescent="0.25">
      <c r="E354" s="11">
        <f t="shared" si="31"/>
        <v>12</v>
      </c>
      <c r="F354" s="11">
        <f t="shared" si="32"/>
        <v>3.6823466231773732</v>
      </c>
      <c r="G354" s="11">
        <f t="shared" si="33"/>
        <v>3.7277898520451807</v>
      </c>
    </row>
    <row r="355" spans="5:7" x14ac:dyDescent="0.25">
      <c r="E355" s="11">
        <f t="shared" si="31"/>
        <v>13</v>
      </c>
      <c r="F355" s="11">
        <f t="shared" si="32"/>
        <v>4.0172787853643541</v>
      </c>
      <c r="G355" s="11">
        <f t="shared" si="33"/>
        <v>4.0665813027310902</v>
      </c>
    </row>
    <row r="356" spans="5:7" x14ac:dyDescent="0.25">
      <c r="E356" s="11">
        <f t="shared" si="31"/>
        <v>14</v>
      </c>
      <c r="F356" s="11">
        <f t="shared" si="32"/>
        <v>4.3563440688290394</v>
      </c>
      <c r="G356" s="11">
        <f t="shared" si="33"/>
        <v>4.4091678523209739</v>
      </c>
    </row>
    <row r="357" spans="5:7" x14ac:dyDescent="0.25">
      <c r="E357" s="11">
        <f t="shared" si="31"/>
        <v>15</v>
      </c>
      <c r="F357" s="11">
        <f t="shared" si="32"/>
        <v>4.6994753034459817</v>
      </c>
      <c r="G357" s="11">
        <f t="shared" si="33"/>
        <v>4.7554349682827546</v>
      </c>
    </row>
    <row r="358" spans="5:7" x14ac:dyDescent="0.25">
      <c r="E358" s="11">
        <f t="shared" si="31"/>
        <v>16</v>
      </c>
      <c r="F358" s="11">
        <f t="shared" si="32"/>
        <v>5.0465982800025726</v>
      </c>
      <c r="G358" s="11">
        <f t="shared" si="33"/>
        <v>5.1052681180843571</v>
      </c>
    </row>
    <row r="359" spans="5:7" x14ac:dyDescent="0.25">
      <c r="E359" s="11">
        <f t="shared" si="31"/>
        <v>17</v>
      </c>
      <c r="F359" s="11">
        <f t="shared" si="32"/>
        <v>5.3976318865058284</v>
      </c>
      <c r="G359" s="11">
        <f t="shared" si="33"/>
        <v>5.4585527691937035</v>
      </c>
    </row>
    <row r="360" spans="5:7" x14ac:dyDescent="0.25">
      <c r="E360" s="11">
        <f t="shared" si="31"/>
        <v>18</v>
      </c>
      <c r="F360" s="11">
        <f t="shared" si="32"/>
        <v>5.7524882624344311</v>
      </c>
      <c r="G360" s="11">
        <f t="shared" si="33"/>
        <v>5.8151743890787184</v>
      </c>
    </row>
    <row r="361" spans="5:7" x14ac:dyDescent="0.25">
      <c r="E361" s="11">
        <f t="shared" si="31"/>
        <v>19</v>
      </c>
      <c r="F361" s="11">
        <f t="shared" si="32"/>
        <v>6.1110729713314358</v>
      </c>
      <c r="G361" s="11">
        <f t="shared" si="33"/>
        <v>6.1750184452073258</v>
      </c>
    </row>
    <row r="362" spans="5:7" x14ac:dyDescent="0.25">
      <c r="E362" s="11">
        <f t="shared" si="31"/>
        <v>20</v>
      </c>
      <c r="F362" s="11">
        <f t="shared" si="32"/>
        <v>6.4732851921354158</v>
      </c>
      <c r="G362" s="11">
        <f t="shared" si="33"/>
        <v>6.5379704050474494</v>
      </c>
    </row>
    <row r="363" spans="5:7" x14ac:dyDescent="0.25">
      <c r="E363" s="11">
        <f t="shared" si="31"/>
        <v>21</v>
      </c>
      <c r="F363" s="11">
        <f t="shared" si="32"/>
        <v>6.8390179296499634</v>
      </c>
      <c r="G363" s="11">
        <f t="shared" si="33"/>
        <v>6.9039157360670105</v>
      </c>
    </row>
    <row r="364" spans="5:7" x14ac:dyDescent="0.25">
      <c r="E364" s="11">
        <f t="shared" si="31"/>
        <v>22</v>
      </c>
      <c r="F364" s="11">
        <f t="shared" si="32"/>
        <v>7.2081582445539087</v>
      </c>
      <c r="G364" s="11">
        <f t="shared" si="33"/>
        <v>7.2727399057339364</v>
      </c>
    </row>
    <row r="365" spans="5:7" x14ac:dyDescent="0.25">
      <c r="E365" s="11">
        <f t="shared" si="31"/>
        <v>23</v>
      </c>
      <c r="F365" s="11">
        <f t="shared" si="32"/>
        <v>7.5805875033567958</v>
      </c>
      <c r="G365" s="11">
        <f t="shared" si="33"/>
        <v>7.6443283815161482</v>
      </c>
    </row>
    <row r="366" spans="5:7" x14ac:dyDescent="0.25">
      <c r="E366" s="11">
        <f t="shared" si="31"/>
        <v>24</v>
      </c>
      <c r="F366" s="11">
        <f t="shared" si="32"/>
        <v>7.956181648706516</v>
      </c>
      <c r="G366" s="11">
        <f t="shared" si="33"/>
        <v>8.0185666308815708</v>
      </c>
    </row>
    <row r="367" spans="5:7" x14ac:dyDescent="0.25">
      <c r="E367" s="11">
        <f t="shared" si="31"/>
        <v>25</v>
      </c>
      <c r="F367" s="11">
        <f t="shared" si="32"/>
        <v>8.3348114904582431</v>
      </c>
      <c r="G367" s="11">
        <f t="shared" si="33"/>
        <v>8.395340121298128</v>
      </c>
    </row>
    <row r="368" spans="5:7" x14ac:dyDescent="0.25">
      <c r="E368" s="11">
        <f t="shared" si="31"/>
        <v>26</v>
      </c>
      <c r="F368" s="11">
        <f t="shared" si="32"/>
        <v>8.7163430179161114</v>
      </c>
      <c r="G368" s="11">
        <f t="shared" si="33"/>
        <v>8.7745343202337409</v>
      </c>
    </row>
    <row r="369" spans="5:7" x14ac:dyDescent="0.25">
      <c r="E369" s="11">
        <f t="shared" si="31"/>
        <v>27</v>
      </c>
      <c r="F369" s="11">
        <f t="shared" si="32"/>
        <v>9.1006377336614257</v>
      </c>
      <c r="G369" s="11">
        <f t="shared" si="33"/>
        <v>9.1560346951563361</v>
      </c>
    </row>
    <row r="370" spans="5:7" x14ac:dyDescent="0.25">
      <c r="E370" s="11">
        <f t="shared" si="31"/>
        <v>28</v>
      </c>
      <c r="F370" s="11">
        <f t="shared" si="32"/>
        <v>9.4875530093833707</v>
      </c>
      <c r="G370" s="11">
        <f t="shared" si="33"/>
        <v>9.5397267135338382</v>
      </c>
    </row>
    <row r="371" spans="5:7" x14ac:dyDescent="0.25">
      <c r="E371" s="11">
        <f t="shared" si="31"/>
        <v>29</v>
      </c>
      <c r="F371" s="11">
        <f t="shared" si="32"/>
        <v>9.8769424641305879</v>
      </c>
      <c r="G371" s="11">
        <f t="shared" si="33"/>
        <v>9.9254958428341666</v>
      </c>
    </row>
    <row r="372" spans="5:7" x14ac:dyDescent="0.25">
      <c r="E372" s="11">
        <f t="shared" si="31"/>
        <v>30</v>
      </c>
      <c r="F372" s="11">
        <f t="shared" si="32"/>
        <v>10.268656365404237</v>
      </c>
      <c r="G372" s="11">
        <f t="shared" si="33"/>
        <v>10.313227550525248</v>
      </c>
    </row>
    <row r="373" spans="5:7" x14ac:dyDescent="0.25">
      <c r="E373" s="11">
        <f t="shared" si="31"/>
        <v>31</v>
      </c>
      <c r="F373" s="11">
        <f t="shared" si="32"/>
        <v>10.662542053515374</v>
      </c>
      <c r="G373" s="11">
        <f t="shared" si="33"/>
        <v>10.702807304075007</v>
      </c>
    </row>
    <row r="374" spans="5:7" x14ac:dyDescent="0.25">
      <c r="E374" s="11">
        <f t="shared" si="31"/>
        <v>32</v>
      </c>
      <c r="F374" s="11">
        <f t="shared" si="32"/>
        <v>11.058444389631935</v>
      </c>
      <c r="G374" s="11">
        <f t="shared" si="33"/>
        <v>11.094120570951363</v>
      </c>
    </row>
    <row r="375" spans="5:7" x14ac:dyDescent="0.25">
      <c r="E375" s="11">
        <f t="shared" si="31"/>
        <v>33</v>
      </c>
      <c r="F375" s="11">
        <f t="shared" si="32"/>
        <v>11.456206227942737</v>
      </c>
      <c r="G375" s="11">
        <f t="shared" si="33"/>
        <v>11.487052818622244</v>
      </c>
    </row>
    <row r="376" spans="5:7" x14ac:dyDescent="0.25">
      <c r="E376" s="11">
        <f t="shared" si="31"/>
        <v>34</v>
      </c>
      <c r="F376" s="11">
        <f t="shared" si="32"/>
        <v>11.855668912368284</v>
      </c>
      <c r="G376" s="11">
        <f t="shared" si="33"/>
        <v>11.881489514555572</v>
      </c>
    </row>
    <row r="377" spans="5:7" x14ac:dyDescent="0.25">
      <c r="E377" s="11">
        <f t="shared" si="31"/>
        <v>35</v>
      </c>
      <c r="F377" s="11">
        <f t="shared" si="32"/>
        <v>12.25667279825046</v>
      </c>
      <c r="G377" s="11">
        <f t="shared" si="33"/>
        <v>12.27731612621927</v>
      </c>
    </row>
    <row r="378" spans="5:7" x14ac:dyDescent="0.25">
      <c r="E378" s="11">
        <f t="shared" si="31"/>
        <v>36</v>
      </c>
      <c r="F378" s="11">
        <f t="shared" si="32"/>
        <v>12.659057799455436</v>
      </c>
      <c r="G378" s="11">
        <f t="shared" si="33"/>
        <v>12.674418121081263</v>
      </c>
    </row>
    <row r="379" spans="5:7" x14ac:dyDescent="0.25">
      <c r="E379" s="11">
        <f t="shared" si="31"/>
        <v>37</v>
      </c>
      <c r="F379" s="11">
        <f t="shared" si="32"/>
        <v>13.062663961326425</v>
      </c>
      <c r="G379" s="11">
        <f t="shared" si="33"/>
        <v>13.072680966609475</v>
      </c>
    </row>
    <row r="380" spans="5:7" x14ac:dyDescent="0.25">
      <c r="E380" s="11">
        <f t="shared" si="31"/>
        <v>38</v>
      </c>
      <c r="F380" s="11">
        <f t="shared" si="32"/>
        <v>13.46733205992528</v>
      </c>
      <c r="G380" s="11">
        <f t="shared" si="33"/>
        <v>13.471990130271827</v>
      </c>
    </row>
    <row r="381" spans="5:7" x14ac:dyDescent="0.25">
      <c r="E381" s="11">
        <f t="shared" si="31"/>
        <v>39</v>
      </c>
      <c r="F381" s="11">
        <f t="shared" si="32"/>
        <v>13.872904228004032</v>
      </c>
      <c r="G381" s="11">
        <f t="shared" si="33"/>
        <v>13.872231079536244</v>
      </c>
    </row>
    <row r="382" spans="5:7" x14ac:dyDescent="0.25">
      <c r="E382" s="11">
        <f t="shared" si="31"/>
        <v>40</v>
      </c>
      <c r="F382" s="11">
        <f t="shared" si="32"/>
        <v>14.279224608150022</v>
      </c>
      <c r="G382" s="11">
        <f t="shared" si="33"/>
        <v>14.273289281870651</v>
      </c>
    </row>
    <row r="383" spans="5:7" x14ac:dyDescent="0.25">
      <c r="E383" s="11">
        <f t="shared" si="31"/>
        <v>41</v>
      </c>
      <c r="F383" s="11">
        <f t="shared" si="32"/>
        <v>14.686140033550334</v>
      </c>
      <c r="G383" s="11">
        <f t="shared" si="33"/>
        <v>14.675050204742972</v>
      </c>
    </row>
    <row r="384" spans="5:7" x14ac:dyDescent="0.25">
      <c r="E384" s="11">
        <f t="shared" si="31"/>
        <v>42</v>
      </c>
      <c r="F384" s="11">
        <f t="shared" si="32"/>
        <v>15.093500736823611</v>
      </c>
      <c r="G384" s="11">
        <f t="shared" si="33"/>
        <v>15.077399315621125</v>
      </c>
    </row>
    <row r="385" spans="5:7" x14ac:dyDescent="0.25">
      <c r="E385" s="11">
        <f t="shared" si="31"/>
        <v>43</v>
      </c>
      <c r="F385" s="11">
        <f t="shared" si="32"/>
        <v>15.501161087369756</v>
      </c>
      <c r="G385" s="11">
        <f t="shared" si="33"/>
        <v>15.480222081973043</v>
      </c>
    </row>
    <row r="386" spans="5:7" x14ac:dyDescent="0.25">
      <c r="E386" s="11">
        <f t="shared" si="31"/>
        <v>44</v>
      </c>
      <c r="F386" s="11">
        <f t="shared" si="32"/>
        <v>15.908980357689982</v>
      </c>
      <c r="G386" s="11">
        <f t="shared" si="33"/>
        <v>15.883403971266642</v>
      </c>
    </row>
    <row r="387" spans="5:7" x14ac:dyDescent="0.25">
      <c r="E387" s="11">
        <f t="shared" si="31"/>
        <v>45</v>
      </c>
      <c r="F387" s="11">
        <f t="shared" si="32"/>
        <v>16.31682351913242</v>
      </c>
      <c r="G387" s="11">
        <f t="shared" si="33"/>
        <v>16.286830450969852</v>
      </c>
    </row>
    <row r="388" spans="5:7" x14ac:dyDescent="0.25">
      <c r="E388" s="11">
        <f t="shared" si="31"/>
        <v>46</v>
      </c>
      <c r="F388" s="11">
        <f t="shared" si="32"/>
        <v>16.724562067520292</v>
      </c>
      <c r="G388" s="11">
        <f t="shared" si="33"/>
        <v>16.690405457982706</v>
      </c>
    </row>
    <row r="389" spans="5:7" x14ac:dyDescent="0.25">
      <c r="E389" s="11">
        <f t="shared" si="31"/>
        <v>47</v>
      </c>
      <c r="F389" s="11">
        <f t="shared" si="32"/>
        <v>17.132074879122364</v>
      </c>
      <c r="G389" s="11">
        <f t="shared" si="33"/>
        <v>17.094106806933738</v>
      </c>
    </row>
    <row r="390" spans="5:7" x14ac:dyDescent="0.25">
      <c r="E390" s="11">
        <f t="shared" si="31"/>
        <v>48</v>
      </c>
      <c r="F390" s="11">
        <f t="shared" si="32"/>
        <v>17.539249097427447</v>
      </c>
      <c r="G390" s="11">
        <f t="shared" si="33"/>
        <v>17.497930781883582</v>
      </c>
    </row>
    <row r="391" spans="5:7" x14ac:dyDescent="0.25">
      <c r="E391" s="11">
        <f t="shared" si="31"/>
        <v>49</v>
      </c>
      <c r="F391" s="11">
        <f t="shared" si="32"/>
        <v>17.945981051187065</v>
      </c>
      <c r="G391" s="11">
        <f t="shared" si="33"/>
        <v>17.901873666892882</v>
      </c>
    </row>
    <row r="392" spans="5:7" x14ac:dyDescent="0.25">
      <c r="E392" s="11">
        <f t="shared" si="31"/>
        <v>50</v>
      </c>
      <c r="F392" s="11">
        <f t="shared" si="32"/>
        <v>18.35217720419266</v>
      </c>
      <c r="G392" s="11">
        <f t="shared" si="33"/>
        <v>18.305931746022285</v>
      </c>
    </row>
    <row r="393" spans="5:7" x14ac:dyDescent="0.25">
      <c r="E393" s="11">
        <f t="shared" si="31"/>
        <v>51</v>
      </c>
      <c r="F393" s="11">
        <f t="shared" si="32"/>
        <v>18.757755137256137</v>
      </c>
      <c r="G393" s="11">
        <f t="shared" si="33"/>
        <v>18.710101303332426</v>
      </c>
    </row>
    <row r="394" spans="5:7" x14ac:dyDescent="0.25">
      <c r="E394" s="11">
        <f t="shared" si="31"/>
        <v>52</v>
      </c>
      <c r="F394" s="11">
        <f t="shared" si="32"/>
        <v>19.162644562864653</v>
      </c>
      <c r="G394" s="11">
        <f t="shared" si="33"/>
        <v>19.114378622883955</v>
      </c>
    </row>
    <row r="395" spans="5:7" x14ac:dyDescent="0.25">
      <c r="E395" s="11">
        <f t="shared" si="31"/>
        <v>53</v>
      </c>
      <c r="F395" s="11">
        <f t="shared" si="32"/>
        <v>19.566788372982938</v>
      </c>
      <c r="G395" s="11">
        <f t="shared" si="33"/>
        <v>19.518759988737504</v>
      </c>
    </row>
    <row r="396" spans="5:7" x14ac:dyDescent="0.25">
      <c r="E396" s="11">
        <f t="shared" si="31"/>
        <v>54</v>
      </c>
      <c r="F396" s="11">
        <f t="shared" si="32"/>
        <v>19.970143720478763</v>
      </c>
      <c r="G396" s="11">
        <f t="shared" si="33"/>
        <v>19.923241684953719</v>
      </c>
    </row>
    <row r="397" spans="5:7" x14ac:dyDescent="0.25">
      <c r="E397" s="11">
        <f t="shared" si="31"/>
        <v>55</v>
      </c>
      <c r="F397" s="11">
        <f t="shared" si="32"/>
        <v>20.372683134649392</v>
      </c>
      <c r="G397" s="11">
        <f t="shared" si="33"/>
        <v>20.327819995593245</v>
      </c>
    </row>
    <row r="398" spans="5:7" x14ac:dyDescent="0.25">
      <c r="E398" s="11">
        <f t="shared" si="31"/>
        <v>56</v>
      </c>
      <c r="F398" s="11">
        <f t="shared" si="32"/>
        <v>20.774395671329103</v>
      </c>
      <c r="G398" s="11">
        <f t="shared" si="33"/>
        <v>20.732491204716723</v>
      </c>
    </row>
    <row r="399" spans="5:7" x14ac:dyDescent="0.25">
      <c r="E399" s="11">
        <f t="shared" si="31"/>
        <v>57</v>
      </c>
      <c r="F399" s="11">
        <f t="shared" si="32"/>
        <v>21.17528809806036</v>
      </c>
      <c r="G399" s="11">
        <f t="shared" si="33"/>
        <v>21.13725159638479</v>
      </c>
    </row>
    <row r="400" spans="5:7" x14ac:dyDescent="0.25">
      <c r="E400" s="11">
        <f t="shared" si="31"/>
        <v>58</v>
      </c>
      <c r="F400" s="11">
        <f t="shared" si="32"/>
        <v>21.57538611481322</v>
      </c>
      <c r="G400" s="11">
        <f t="shared" si="33"/>
        <v>21.542097454658094</v>
      </c>
    </row>
    <row r="401" spans="5:7" x14ac:dyDescent="0.25">
      <c r="E401" s="11">
        <f t="shared" si="31"/>
        <v>59</v>
      </c>
      <c r="F401" s="11">
        <f t="shared" si="32"/>
        <v>21.974735610740094</v>
      </c>
      <c r="G401" s="11">
        <f t="shared" si="33"/>
        <v>21.947025063597273</v>
      </c>
    </row>
    <row r="402" spans="5:7" x14ac:dyDescent="0.25">
      <c r="E402" s="11">
        <f t="shared" si="31"/>
        <v>60</v>
      </c>
      <c r="F402" s="11">
        <f t="shared" si="32"/>
        <v>22.373403957455096</v>
      </c>
      <c r="G402" s="11">
        <f t="shared" si="33"/>
        <v>22.352030707262973</v>
      </c>
    </row>
    <row r="403" spans="5:7" x14ac:dyDescent="0.25">
      <c r="E403" s="11">
        <f t="shared" si="31"/>
        <v>61</v>
      </c>
      <c r="F403" s="11">
        <f t="shared" si="32"/>
        <v>22.771481339329657</v>
      </c>
      <c r="G403" s="11">
        <f t="shared" si="33"/>
        <v>22.757110669715829</v>
      </c>
    </row>
    <row r="404" spans="5:7" x14ac:dyDescent="0.25">
      <c r="E404" s="11">
        <f t="shared" si="31"/>
        <v>62</v>
      </c>
      <c r="F404" s="11">
        <f t="shared" si="32"/>
        <v>23.16908212129826</v>
      </c>
      <c r="G404" s="11">
        <f t="shared" si="33"/>
        <v>23.162261235016494</v>
      </c>
    </row>
    <row r="405" spans="5:7" x14ac:dyDescent="0.25">
      <c r="E405" s="11">
        <f t="shared" si="31"/>
        <v>63</v>
      </c>
      <c r="F405" s="11">
        <f t="shared" si="32"/>
        <v>23.566346254670375</v>
      </c>
      <c r="G405" s="11">
        <f t="shared" si="33"/>
        <v>23.567478687225599</v>
      </c>
    </row>
    <row r="406" spans="5:7" x14ac:dyDescent="0.25">
      <c r="E406" s="11">
        <f t="shared" si="31"/>
        <v>64</v>
      </c>
      <c r="F406" s="11">
        <f t="shared" si="32"/>
        <v>23.963440721447302</v>
      </c>
      <c r="G406" s="11">
        <f t="shared" si="33"/>
        <v>23.972759310403791</v>
      </c>
    </row>
    <row r="407" spans="5:7" x14ac:dyDescent="0.25">
      <c r="E407" s="11">
        <f t="shared" si="31"/>
        <v>65</v>
      </c>
      <c r="F407" s="11">
        <f t="shared" si="32"/>
        <v>24.360561017644429</v>
      </c>
      <c r="G407" s="11">
        <f t="shared" si="33"/>
        <v>24.378099388611712</v>
      </c>
    </row>
    <row r="408" spans="5:7" x14ac:dyDescent="0.25">
      <c r="E408" s="11">
        <f t="shared" si="31"/>
        <v>66</v>
      </c>
      <c r="F408" s="11">
        <f t="shared" si="32"/>
        <v>24.757932676122081</v>
      </c>
      <c r="G408" s="11">
        <f t="shared" si="33"/>
        <v>24.783495205910008</v>
      </c>
    </row>
    <row r="409" spans="5:7" x14ac:dyDescent="0.25">
      <c r="E409" s="11">
        <f t="shared" si="31"/>
        <v>67</v>
      </c>
      <c r="F409" s="11">
        <f t="shared" si="32"/>
        <v>25.155812829430303</v>
      </c>
      <c r="G409" s="11">
        <f t="shared" si="33"/>
        <v>25.188943046359309</v>
      </c>
    </row>
    <row r="410" spans="5:7" x14ac:dyDescent="0.25">
      <c r="E410" s="11">
        <f t="shared" si="31"/>
        <v>68</v>
      </c>
      <c r="F410" s="11">
        <f t="shared" si="32"/>
        <v>25.554491813175183</v>
      </c>
      <c r="G410" s="11">
        <f t="shared" si="33"/>
        <v>25.594439194020268</v>
      </c>
    </row>
    <row r="411" spans="5:7" x14ac:dyDescent="0.25">
      <c r="E411" s="11">
        <f t="shared" si="31"/>
        <v>69</v>
      </c>
      <c r="F411" s="11">
        <f t="shared" si="32"/>
        <v>25.954294810416581</v>
      </c>
      <c r="G411" s="11">
        <f t="shared" si="33"/>
        <v>25.999979932953522</v>
      </c>
    </row>
    <row r="412" spans="5:7" x14ac:dyDescent="0.25">
      <c r="E412" s="11">
        <f t="shared" si="31"/>
        <v>70</v>
      </c>
      <c r="F412" s="11">
        <f t="shared" si="32"/>
        <v>26.355583537609593</v>
      </c>
      <c r="G412" s="11">
        <f t="shared" si="33"/>
        <v>26.405561547219715</v>
      </c>
    </row>
    <row r="413" spans="5:7" x14ac:dyDescent="0.25">
      <c r="E413" s="11">
        <f t="shared" si="31"/>
        <v>71</v>
      </c>
      <c r="F413" s="11">
        <f t="shared" si="32"/>
        <v>26.758757972604119</v>
      </c>
      <c r="G413" s="11">
        <f t="shared" si="33"/>
        <v>26.81118032087949</v>
      </c>
    </row>
    <row r="414" spans="5:7" x14ac:dyDescent="0.25">
      <c r="E414" s="11">
        <f t="shared" si="31"/>
        <v>72</v>
      </c>
      <c r="F414" s="11">
        <f t="shared" si="32"/>
        <v>27.16425812521943</v>
      </c>
      <c r="G414" s="11">
        <f t="shared" si="33"/>
        <v>27.216832537993486</v>
      </c>
    </row>
    <row r="415" spans="5:7" x14ac:dyDescent="0.25">
      <c r="E415" s="11">
        <f t="shared" ref="E415:E422" si="34">E208</f>
        <v>73</v>
      </c>
      <c r="F415" s="11">
        <f t="shared" ref="F415:F422" si="35">$H$217*0+E415*$I$217+E415^2*$J$217+E415^3*$K$217+E415^4*$L$217+E415^5*$M$217+E415^6*$N$217+E415^7*$O$217+E415^8*$P$217</f>
        <v>27.572565850912724</v>
      </c>
      <c r="G415" s="11">
        <f t="shared" ref="G415:G422" si="36">F208</f>
        <v>27.622514482622343</v>
      </c>
    </row>
    <row r="416" spans="5:7" x14ac:dyDescent="0.25">
      <c r="E416" s="11">
        <f t="shared" si="34"/>
        <v>74</v>
      </c>
      <c r="F416" s="11">
        <f t="shared" si="35"/>
        <v>27.98420670806312</v>
      </c>
      <c r="G416" s="11">
        <f t="shared" si="36"/>
        <v>28.02822243882671</v>
      </c>
    </row>
    <row r="417" spans="5:7" x14ac:dyDescent="0.25">
      <c r="E417" s="11">
        <f t="shared" si="34"/>
        <v>75</v>
      </c>
      <c r="F417" s="11">
        <f t="shared" si="35"/>
        <v>28.399751859394687</v>
      </c>
      <c r="G417" s="11">
        <f t="shared" si="36"/>
        <v>28.433952690667226</v>
      </c>
    </row>
    <row r="418" spans="5:7" x14ac:dyDescent="0.25">
      <c r="E418" s="11">
        <f t="shared" si="34"/>
        <v>76</v>
      </c>
      <c r="F418" s="11">
        <f t="shared" si="35"/>
        <v>28.81982001806449</v>
      </c>
      <c r="G418" s="11">
        <f t="shared" si="36"/>
        <v>28.839701522204528</v>
      </c>
    </row>
    <row r="419" spans="5:7" x14ac:dyDescent="0.25">
      <c r="E419" s="11">
        <f t="shared" si="34"/>
        <v>77</v>
      </c>
      <c r="F419" s="11">
        <f t="shared" si="35"/>
        <v>29.245079438943854</v>
      </c>
      <c r="G419" s="11">
        <f t="shared" si="36"/>
        <v>29.245465217499266</v>
      </c>
    </row>
    <row r="420" spans="5:7" x14ac:dyDescent="0.25">
      <c r="E420" s="11">
        <f t="shared" si="34"/>
        <v>78</v>
      </c>
      <c r="F420" s="11">
        <f t="shared" si="35"/>
        <v>29.676249955623394</v>
      </c>
      <c r="G420" s="11">
        <f t="shared" si="36"/>
        <v>29.651240060612075</v>
      </c>
    </row>
    <row r="421" spans="5:7" x14ac:dyDescent="0.25">
      <c r="E421" s="11">
        <f t="shared" si="34"/>
        <v>79</v>
      </c>
      <c r="F421" s="11">
        <f t="shared" si="35"/>
        <v>30.114105063674756</v>
      </c>
      <c r="G421" s="11">
        <f t="shared" si="36"/>
        <v>30.057022335603602</v>
      </c>
    </row>
    <row r="422" spans="5:7" x14ac:dyDescent="0.25">
      <c r="E422" s="11">
        <f t="shared" si="34"/>
        <v>80</v>
      </c>
      <c r="F422" s="11">
        <f t="shared" si="35"/>
        <v>30.559474050703869</v>
      </c>
      <c r="G422" s="11">
        <f t="shared" si="36"/>
        <v>30.462808326534489</v>
      </c>
    </row>
  </sheetData>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15</vt:i4>
      </vt:variant>
      <vt:variant>
        <vt:lpstr>Benannte Bereiche</vt:lpstr>
      </vt:variant>
      <vt:variant>
        <vt:i4>9</vt:i4>
      </vt:variant>
    </vt:vector>
  </HeadingPairs>
  <TitlesOfParts>
    <vt:vector size="24" baseType="lpstr">
      <vt:lpstr>Modell einstellen</vt:lpstr>
      <vt:lpstr>Output</vt:lpstr>
      <vt:lpstr>CTE</vt:lpstr>
      <vt:lpstr>STUTT</vt:lpstr>
      <vt:lpstr>Comparison</vt:lpstr>
      <vt:lpstr>Mastercurve bestimmen</vt:lpstr>
      <vt:lpstr>Universal Mastercurve</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2022-01-22T08:18:08Z</dcterms:modified>
</cp:coreProperties>
</file>