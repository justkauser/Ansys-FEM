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O33" i="11"/>
  <c r="N33" i="11"/>
  <c r="P33" i="11" s="1"/>
  <c r="O32" i="11"/>
  <c r="N32" i="11"/>
  <c r="P32" i="11" s="1"/>
  <c r="O31" i="11"/>
  <c r="N31" i="11"/>
  <c r="P31" i="11" s="1"/>
  <c r="O30" i="11"/>
  <c r="N30" i="11"/>
  <c r="P29" i="11"/>
  <c r="O29" i="11"/>
  <c r="N29" i="11"/>
  <c r="O28" i="11"/>
  <c r="N28" i="11"/>
  <c r="P28" i="11" s="1"/>
  <c r="O27" i="11"/>
  <c r="N27" i="11"/>
  <c r="P27" i="11" s="1"/>
  <c r="O26" i="11"/>
  <c r="N26" i="11"/>
  <c r="P26" i="11" s="1"/>
  <c r="P25" i="11"/>
  <c r="O25" i="11"/>
  <c r="N25" i="11"/>
  <c r="O24" i="11"/>
  <c r="N24" i="11"/>
  <c r="O23" i="11"/>
  <c r="P23" i="11" s="1"/>
  <c r="N23" i="11"/>
  <c r="O22" i="11"/>
  <c r="N22" i="11"/>
  <c r="O21" i="11"/>
  <c r="N21" i="11"/>
  <c r="P21" i="11" s="1"/>
  <c r="O20" i="11"/>
  <c r="N20" i="11"/>
  <c r="P20" i="11" s="1"/>
  <c r="O19" i="11"/>
  <c r="N19" i="11"/>
  <c r="P19" i="11" s="1"/>
  <c r="O18" i="11"/>
  <c r="N18" i="11"/>
  <c r="P17" i="11"/>
  <c r="O17" i="11"/>
  <c r="N17" i="11"/>
  <c r="O16" i="11"/>
  <c r="N16" i="11"/>
  <c r="P16" i="11" s="1"/>
  <c r="O15" i="11"/>
  <c r="N15" i="11"/>
  <c r="P15" i="11" s="1"/>
  <c r="O14" i="11"/>
  <c r="N14" i="11"/>
  <c r="P14" i="11" s="1"/>
  <c r="P13" i="11"/>
  <c r="O13" i="11"/>
  <c r="N13" i="11"/>
  <c r="O12" i="11"/>
  <c r="N12" i="11"/>
  <c r="O11" i="11"/>
  <c r="P11" i="11" s="1"/>
  <c r="N11" i="11"/>
  <c r="O10" i="11"/>
  <c r="N10" i="11"/>
  <c r="O9" i="11"/>
  <c r="N9" i="11"/>
  <c r="P9" i="11" s="1"/>
  <c r="O8" i="11"/>
  <c r="N8" i="11"/>
  <c r="P8" i="11" s="1"/>
  <c r="O7" i="11"/>
  <c r="N7" i="11"/>
  <c r="P7" i="11" s="1"/>
  <c r="O6" i="11"/>
  <c r="N6" i="11"/>
  <c r="P5" i="11"/>
  <c r="O5" i="11"/>
  <c r="N5" i="11"/>
  <c r="O4" i="11"/>
  <c r="N4" i="11"/>
  <c r="P4" i="11" s="1"/>
  <c r="O3" i="11"/>
  <c r="N3" i="11"/>
  <c r="P3" i="11" s="1"/>
  <c r="P6" i="11" l="1"/>
  <c r="P18" i="11"/>
  <c r="P30" i="11"/>
  <c r="P12" i="11"/>
  <c r="P24"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R14" i="37"/>
  <c r="R3" i="37"/>
  <c r="L4" i="37"/>
  <c r="L5" i="37"/>
  <c r="L6" i="37"/>
  <c r="L7" i="37"/>
  <c r="L8" i="37"/>
  <c r="L9" i="37"/>
  <c r="L10" i="37"/>
  <c r="L11" i="37"/>
  <c r="L12" i="37"/>
  <c r="L13" i="37"/>
  <c r="L14" i="37"/>
  <c r="L3" i="37"/>
  <c r="P6" i="37" l="1"/>
  <c r="B31" i="39" s="1"/>
  <c r="P9" i="37"/>
  <c r="B33"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<sst xmlns="http://schemas.openxmlformats.org/spreadsheetml/2006/main" count="309" uniqueCount="163">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</sst>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80487192"/>
        <c:axId val="6804879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0487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7976"/>
        <c:crossesAt val="-8.0000000000000019E-3"/>
        <c:crossBetween val="midCat"/>
      </c:valAx>
      <c:valAx>
        <c:axId val="680487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7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80488368"/>
        <c:axId val="6804852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04883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5232"/>
        <c:crosses val="autoZero"/>
        <c:crossBetween val="midCat"/>
      </c:valAx>
      <c:valAx>
        <c:axId val="68048523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83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124051080"/>
        <c:axId val="1240514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1240510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51472"/>
        <c:crosses val="autoZero"/>
        <c:crossBetween val="midCat"/>
        <c:majorUnit val="10000"/>
      </c:valAx>
      <c:valAx>
        <c:axId val="12405147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51080"/>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124050296"/>
        <c:axId val="1240483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0502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4048336"/>
        <c:crosses val="autoZero"/>
        <c:crossBetween val="midCat"/>
        <c:majorUnit val="10000"/>
      </c:valAx>
      <c:valAx>
        <c:axId val="12404833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405029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124049120"/>
        <c:axId val="6759712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0491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1208"/>
        <c:crosses val="autoZero"/>
        <c:crossBetween val="midCat"/>
        <c:majorUnit val="10000"/>
      </c:valAx>
      <c:valAx>
        <c:axId val="675971208"/>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491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3.113532382323774E-4</c:v>
                </c:pt>
                <c:pt idx="1">
                  <c:v>2.0173275090235271E-4</c:v>
                </c:pt>
                <c:pt idx="2">
                  <c:v>6.6233437839462617E-4</c:v>
                </c:pt>
                <c:pt idx="3">
                  <c:v>1.7294793784405359E-4</c:v>
                </c:pt>
                <c:pt idx="4">
                  <c:v>2.6154111522193953E-5</c:v>
                </c:pt>
                <c:pt idx="5">
                  <c:v>3.6408551476884144E-6</c:v>
                </c:pt>
                <c:pt idx="6">
                  <c:v>1.2398382941000996E-6</c:v>
                </c:pt>
                <c:pt idx="7">
                  <c:v>1.5348566708916503E-6</c:v>
                </c:pt>
                <c:pt idx="8">
                  <c:v>2.393692012790634E-6</c:v>
                </c:pt>
                <c:pt idx="9">
                  <c:v>5.4937652890644859E-6</c:v>
                </c:pt>
                <c:pt idx="10">
                  <c:v>1.2648846154626409E-5</c:v>
                </c:pt>
                <c:pt idx="11">
                  <c:v>2.1885638441359141E-5</c:v>
                </c:pt>
                <c:pt idx="12">
                  <c:v>2.853168000293632E-5</c:v>
                </c:pt>
                <c:pt idx="13">
                  <c:v>3.0671815278313133E-5</c:v>
                </c:pt>
                <c:pt idx="14">
                  <c:v>2.911894346843639E-5</c:v>
                </c:pt>
                <c:pt idx="15">
                  <c:v>2.4536631552415498E-5</c:v>
                </c:pt>
                <c:pt idx="16">
                  <c:v>1.7343645548531382E-5</c:v>
                </c:pt>
                <c:pt idx="17">
                  <c:v>9.9121137046566463E-6</c:v>
                </c:pt>
                <c:pt idx="18">
                  <c:v>4.4875199398450647E-6</c:v>
                </c:pt>
                <c:pt idx="19">
                  <c:v>1.4769763665244856E-6</c:v>
                </c:pt>
                <c:pt idx="20">
                  <c:v>5.7433660892225082E-7</c:v>
                </c:pt>
                <c:pt idx="21">
                  <c:v>2.4286069931391313E-6</c:v>
                </c:pt>
                <c:pt idx="22">
                  <c:v>4.6638408886609189E-6</c:v>
                </c:pt>
                <c:pt idx="23">
                  <c:v>6.6169881764410592E-6</c:v>
                </c:pt>
                <c:pt idx="24">
                  <c:v>6.856166516580053E-6</c:v>
                </c:pt>
                <c:pt idx="25">
                  <c:v>6.4272347845834753E-6</c:v>
                </c:pt>
                <c:pt idx="26">
                  <c:v>5.2636563204782374E-6</c:v>
                </c:pt>
                <c:pt idx="27">
                  <c:v>5.3555020664500941E-6</c:v>
                </c:pt>
                <c:pt idx="28">
                  <c:v>7.4806067252121908E-6</c:v>
                </c:pt>
                <c:pt idx="29">
                  <c:v>1.0608938750539172E-5</c:v>
                </c:pt>
                <c:pt idx="30">
                  <c:v>6.951735399878834E-6</c:v>
                </c:pt>
              </c:numCache>
            </c:numRef>
          </c:yVal>
          <c:smooth val="1"/>
        </c:ser>
        <c:dLbls>
          <c:showLegendKey val="0"/>
          <c:showVal val="0"/>
          <c:showCatName val="0"/>
          <c:showSerName val="0"/>
          <c:showPercent val="0"/>
          <c:showBubbleSize val="0"/>
        </c:dLbls>
        <c:axId val="675971992"/>
        <c:axId val="675969248"/>
      </c:scatterChart>
      <c:valAx>
        <c:axId val="6759719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69248"/>
        <c:crossesAt val="-1.5000000000000005E-3"/>
        <c:crossBetween val="midCat"/>
      </c:valAx>
      <c:valAx>
        <c:axId val="67596924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199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5610.3057844571304</c:v>
                </c:pt>
                <c:pt idx="1">
                  <c:v>5608.6890316646131</c:v>
                </c:pt>
                <c:pt idx="2">
                  <c:v>5593.8576262640818</c:v>
                </c:pt>
                <c:pt idx="3">
                  <c:v>5516.8298795163337</c:v>
                </c:pt>
                <c:pt idx="4">
                  <c:v>5354.2897053831693</c:v>
                </c:pt>
                <c:pt idx="5">
                  <c:v>5243.0212592578155</c:v>
                </c:pt>
                <c:pt idx="6">
                  <c:v>5133.7112853018562</c:v>
                </c:pt>
                <c:pt idx="7">
                  <c:v>5011.8835902043566</c:v>
                </c:pt>
                <c:pt idx="8">
                  <c:v>4882.7113456293828</c:v>
                </c:pt>
                <c:pt idx="9">
                  <c:v>4737.7085337364169</c:v>
                </c:pt>
                <c:pt idx="10">
                  <c:v>4581.6463223791579</c:v>
                </c:pt>
                <c:pt idx="11">
                  <c:v>4422.9528737792252</c:v>
                </c:pt>
                <c:pt idx="12">
                  <c:v>4270.3099100151576</c:v>
                </c:pt>
                <c:pt idx="13">
                  <c:v>4105.0469363162001</c:v>
                </c:pt>
                <c:pt idx="14">
                  <c:v>3904.0733696447942</c:v>
                </c:pt>
                <c:pt idx="15">
                  <c:v>3689.4335867656569</c:v>
                </c:pt>
                <c:pt idx="16">
                  <c:v>3495.8005490545438</c:v>
                </c:pt>
                <c:pt idx="17">
                  <c:v>3307.9270912101065</c:v>
                </c:pt>
                <c:pt idx="18">
                  <c:v>3103.7761558653597</c:v>
                </c:pt>
                <c:pt idx="19">
                  <c:v>2911.615827115364</c:v>
                </c:pt>
                <c:pt idx="20">
                  <c:v>2729.2211569743017</c:v>
                </c:pt>
                <c:pt idx="21">
                  <c:v>2550.7200247367418</c:v>
                </c:pt>
                <c:pt idx="22">
                  <c:v>2358.1548024946833</c:v>
                </c:pt>
                <c:pt idx="23">
                  <c:v>2158.225171749848</c:v>
                </c:pt>
                <c:pt idx="24">
                  <c:v>1939.4462252838016</c:v>
                </c:pt>
                <c:pt idx="25">
                  <c:v>1697.1837482527762</c:v>
                </c:pt>
                <c:pt idx="26">
                  <c:v>1417.4431215051291</c:v>
                </c:pt>
                <c:pt idx="27">
                  <c:v>1107.948246682379</c:v>
                </c:pt>
                <c:pt idx="28">
                  <c:v>805.95934735621302</c:v>
                </c:pt>
                <c:pt idx="29">
                  <c:v>565.78960943749235</c:v>
                </c:pt>
                <c:pt idx="30">
                  <c:v>408.65677682193092</c:v>
                </c:pt>
              </c:numCache>
            </c:numRef>
          </c:yVal>
          <c:smooth val="1"/>
        </c:ser>
        <c:dLbls>
          <c:showLegendKey val="0"/>
          <c:showVal val="0"/>
          <c:showCatName val="0"/>
          <c:showSerName val="0"/>
          <c:showPercent val="0"/>
          <c:showBubbleSize val="0"/>
        </c:dLbls>
        <c:axId val="671922496"/>
        <c:axId val="671923672"/>
      </c:scatterChart>
      <c:valAx>
        <c:axId val="6719224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3672"/>
        <c:crosses val="autoZero"/>
        <c:crossBetween val="midCat"/>
      </c:valAx>
      <c:valAx>
        <c:axId val="671923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24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3.0783735112172922E-3</c:v>
                </c:pt>
                <c:pt idx="11">
                  <c:v>3.084038590588849E-3</c:v>
                </c:pt>
                <c:pt idx="12">
                  <c:v>3.1399563887228475E-3</c:v>
                </c:pt>
                <c:pt idx="13">
                  <c:v>3.5663257893411055E-3</c:v>
                </c:pt>
                <c:pt idx="14">
                  <c:v>1.3784627055244165E-4</c:v>
                </c:pt>
                <c:pt idx="15">
                  <c:v>1.2821370192947689E-3</c:v>
                </c:pt>
                <c:pt idx="16">
                  <c:v>1.409062859776196E-3</c:v>
                </c:pt>
                <c:pt idx="17">
                  <c:v>1.0226937154329931E-3</c:v>
                </c:pt>
                <c:pt idx="18">
                  <c:v>8.1218255042490959E-4</c:v>
                </c:pt>
                <c:pt idx="19">
                  <c:v>2.2798937529557332E-4</c:v>
                </c:pt>
                <c:pt idx="20">
                  <c:v>4.7289612966128162E-3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3.1135753389103528E-4</c:v>
                </c:pt>
                <c:pt idx="1">
                  <c:v>2.0177502861605195E-4</c:v>
                </c:pt>
                <c:pt idx="2">
                  <c:v>6.6197248178588087E-4</c:v>
                </c:pt>
                <c:pt idx="3">
                  <c:v>1.7415317192277701E-4</c:v>
                </c:pt>
                <c:pt idx="4">
                  <c:v>2.4405245672926248E-5</c:v>
                </c:pt>
                <c:pt idx="5">
                  <c:v>4.845539872161925E-6</c:v>
                </c:pt>
                <c:pt idx="6">
                  <c:v>1.7835635470874849E-7</c:v>
                </c:pt>
                <c:pt idx="7">
                  <c:v>3.1625166436469872E-6</c:v>
                </c:pt>
                <c:pt idx="8">
                  <c:v>6.0388589110545625E-7</c:v>
                </c:pt>
                <c:pt idx="9">
                  <c:v>7.6049427901332597E-6</c:v>
                </c:pt>
                <c:pt idx="10">
                  <c:v>1.0389257876621609E-5</c:v>
                </c:pt>
                <c:pt idx="11">
                  <c:v>2.4181973011341056E-5</c:v>
                </c:pt>
                <c:pt idx="12">
                  <c:v>2.6327244844184814E-5</c:v>
                </c:pt>
                <c:pt idx="13">
                  <c:v>3.3409692738141303E-5</c:v>
                </c:pt>
                <c:pt idx="14">
                  <c:v>2.5764218224551557E-5</c:v>
                </c:pt>
                <c:pt idx="15">
                  <c:v>2.7682187314937551E-5</c:v>
                </c:pt>
                <c:pt idx="16">
                  <c:v>1.4543135192161851E-5</c:v>
                </c:pt>
                <c:pt idx="17">
                  <c:v>1.3213139210395856E-5</c:v>
                </c:pt>
                <c:pt idx="18">
                  <c:v>1.2301282851042637E-6</c:v>
                </c:pt>
                <c:pt idx="19">
                  <c:v>4.6305234230475227E-6</c:v>
                </c:pt>
                <c:pt idx="20">
                  <c:v>3.92632272942777E-6</c:v>
                </c:pt>
                <c:pt idx="21">
                  <c:v>7.6781479629091937E-7</c:v>
                </c:pt>
                <c:pt idx="22">
                  <c:v>1.0037465406981826E-5</c:v>
                </c:pt>
                <c:pt idx="23">
                  <c:v>4.395844892081421E-7</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9.5745430472982066E-3</c:v>
                </c:pt>
                <c:pt idx="11">
                  <c:v>1.1346087061262188E-2</c:v>
                </c:pt>
                <c:pt idx="12">
                  <c:v>1.0624935386849998E-2</c:v>
                </c:pt>
                <c:pt idx="13">
                  <c:v>7.2580736227692427E-3</c:v>
                </c:pt>
                <c:pt idx="14">
                  <c:v>4.7849749412076707E-4</c:v>
                </c:pt>
                <c:pt idx="15">
                  <c:v>1.1932357258728534E-2</c:v>
                </c:pt>
                <c:pt idx="16">
                  <c:v>1.9372556538210742E-2</c:v>
                </c:pt>
                <c:pt idx="17">
                  <c:v>1.7628798011549773E-2</c:v>
                </c:pt>
                <c:pt idx="18">
                  <c:v>1.1831794094092485E-2</c:v>
                </c:pt>
                <c:pt idx="19">
                  <c:v>1.903992332433941E-3</c:v>
                </c:pt>
                <c:pt idx="20">
                  <c:v>4.7211714225591879E-3</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6.8956757611001729E-3</c:v>
                </c:pt>
                <c:pt idx="11">
                  <c:v>1.3139670323239176E-2</c:v>
                </c:pt>
                <c:pt idx="12">
                  <c:v>2.1552122577340359E-2</c:v>
                </c:pt>
                <c:pt idx="13">
                  <c:v>2.6973968050291574E-2</c:v>
                </c:pt>
                <c:pt idx="14">
                  <c:v>9.858367625194037E-3</c:v>
                </c:pt>
                <c:pt idx="15">
                  <c:v>0.23818922223622419</c:v>
                </c:pt>
                <c:pt idx="16">
                  <c:v>0.23417834457722653</c:v>
                </c:pt>
                <c:pt idx="17">
                  <c:v>0.1832641772435295</c:v>
                </c:pt>
                <c:pt idx="18">
                  <c:v>0.1497139127765196</c:v>
                </c:pt>
                <c:pt idx="19">
                  <c:v>0.13168968614481266</c:v>
                </c:pt>
                <c:pt idx="20">
                  <c:v>8.0015212294283891E-2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671734560"/>
        <c:axId val="671734952"/>
      </c:scatterChart>
      <c:valAx>
        <c:axId val="6717345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734952"/>
        <c:crossesAt val="1.0000000000000005E-9"/>
        <c:crossBetween val="midCat"/>
      </c:valAx>
      <c:valAx>
        <c:axId val="671734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73456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-25.324970495913302</c:v>
                </c:pt>
                <c:pt idx="1">
                  <c:v>-11.433389395276924</c:v>
                </c:pt>
                <c:pt idx="2">
                  <c:v>-4.9812338750496075</c:v>
                </c:pt>
                <c:pt idx="3">
                  <c:v>0</c:v>
                </c:pt>
                <c:pt idx="4">
                  <c:v>6.6241379047169344</c:v>
                </c:pt>
                <c:pt idx="5">
                  <c:v>22.969990140232735</c:v>
                </c:pt>
                <c:pt idx="6">
                  <c:v>37.589552112143352</c:v>
                </c:pt>
              </c:numCache>
            </c:numRef>
          </c:yVal>
          <c:smooth val="0"/>
        </c:ser>
        <c:dLbls>
          <c:showLegendKey val="0"/>
          <c:showVal val="0"/>
          <c:showCatName val="0"/>
          <c:showSerName val="0"/>
          <c:showPercent val="0"/>
          <c:showBubbleSize val="0"/>
        </c:dLbls>
        <c:axId val="675974920"/>
        <c:axId val="675973744"/>
      </c:scatterChart>
      <c:valAx>
        <c:axId val="675974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3744"/>
        <c:crossesAt val="-100"/>
        <c:crossBetween val="midCat"/>
      </c:valAx>
      <c:valAx>
        <c:axId val="67597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492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675975704"/>
        <c:axId val="675973352"/>
      </c:scatterChart>
      <c:valAx>
        <c:axId val="67597570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3352"/>
        <c:crosses val="autoZero"/>
        <c:crossBetween val="midCat"/>
      </c:valAx>
      <c:valAx>
        <c:axId val="67597335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570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-25.324970495913306</c:v>
                </c:pt>
                <c:pt idx="1">
                  <c:v>-25.048961849800175</c:v>
                </c:pt>
                <c:pt idx="2">
                  <c:v>-24.772685733212739</c:v>
                </c:pt>
                <c:pt idx="3">
                  <c:v>-24.495874675676696</c:v>
                </c:pt>
                <c:pt idx="4">
                  <c:v>-24.218261206717724</c:v>
                </c:pt>
                <c:pt idx="5">
                  <c:v>-23.939577855861529</c:v>
                </c:pt>
                <c:pt idx="6">
                  <c:v>-23.659557152633795</c:v>
                </c:pt>
                <c:pt idx="7">
                  <c:v>-23.377931626560223</c:v>
                </c:pt>
                <c:pt idx="8">
                  <c:v>-23.094433807166507</c:v>
                </c:pt>
                <c:pt idx="9">
                  <c:v>-22.80879622397833</c:v>
                </c:pt>
                <c:pt idx="10">
                  <c:v>-22.520751406521395</c:v>
                </c:pt>
                <c:pt idx="11">
                  <c:v>-22.230031884321384</c:v>
                </c:pt>
                <c:pt idx="12">
                  <c:v>-21.936370186904004</c:v>
                </c:pt>
                <c:pt idx="13">
                  <c:v>-21.639498843794939</c:v>
                </c:pt>
                <c:pt idx="14">
                  <c:v>-21.339150384519886</c:v>
                </c:pt>
                <c:pt idx="15">
                  <c:v>-21.035057338604538</c:v>
                </c:pt>
                <c:pt idx="16">
                  <c:v>-20.726952235574586</c:v>
                </c:pt>
                <c:pt idx="17">
                  <c:v>-20.414567604955725</c:v>
                </c:pt>
                <c:pt idx="18">
                  <c:v>-20.097635976273644</c:v>
                </c:pt>
                <c:pt idx="19">
                  <c:v>-19.775889879054041</c:v>
                </c:pt>
                <c:pt idx="20">
                  <c:v>-19.449061842822609</c:v>
                </c:pt>
                <c:pt idx="21">
                  <c:v>-19.116884397105036</c:v>
                </c:pt>
                <c:pt idx="22">
                  <c:v>-18.779090071427021</c:v>
                </c:pt>
                <c:pt idx="23">
                  <c:v>-18.435411395314254</c:v>
                </c:pt>
                <c:pt idx="24">
                  <c:v>-18.085580898292427</c:v>
                </c:pt>
                <c:pt idx="25">
                  <c:v>-17.729331109887241</c:v>
                </c:pt>
                <c:pt idx="26">
                  <c:v>-17.366394559624375</c:v>
                </c:pt>
                <c:pt idx="27">
                  <c:v>-16.996503777029538</c:v>
                </c:pt>
                <c:pt idx="28">
                  <c:v>-16.619391291628411</c:v>
                </c:pt>
                <c:pt idx="29">
                  <c:v>-16.234789632946693</c:v>
                </c:pt>
                <c:pt idx="30">
                  <c:v>-15.842431330510077</c:v>
                </c:pt>
                <c:pt idx="31">
                  <c:v>-15.442048913844253</c:v>
                </c:pt>
                <c:pt idx="32">
                  <c:v>-15.033374912474915</c:v>
                </c:pt>
                <c:pt idx="33">
                  <c:v>-14.616141855927758</c:v>
                </c:pt>
                <c:pt idx="34">
                  <c:v>-14.190082273728475</c:v>
                </c:pt>
                <c:pt idx="35">
                  <c:v>-13.754928695402757</c:v>
                </c:pt>
                <c:pt idx="36">
                  <c:v>-13.310413650476299</c:v>
                </c:pt>
                <c:pt idx="37">
                  <c:v>-12.856269668474795</c:v>
                </c:pt>
                <c:pt idx="38">
                  <c:v>-12.392229278923935</c:v>
                </c:pt>
                <c:pt idx="39">
                  <c:v>-11.918025011349414</c:v>
                </c:pt>
                <c:pt idx="40">
                  <c:v>-11.433389395276924</c:v>
                </c:pt>
                <c:pt idx="41">
                  <c:v>-11.232108434355322</c:v>
                </c:pt>
                <c:pt idx="42">
                  <c:v>-11.020816929151636</c:v>
                </c:pt>
                <c:pt idx="43">
                  <c:v>-10.800203154356055</c:v>
                </c:pt>
                <c:pt idx="44">
                  <c:v>-10.570955384658772</c:v>
                </c:pt>
                <c:pt idx="45">
                  <c:v>-10.333761894749971</c:v>
                </c:pt>
                <c:pt idx="46">
                  <c:v>-10.089310959319853</c:v>
                </c:pt>
                <c:pt idx="47">
                  <c:v>-9.8382908530586004</c:v>
                </c:pt>
                <c:pt idx="48">
                  <c:v>-9.5813898506564072</c:v>
                </c:pt>
                <c:pt idx="49">
                  <c:v>-9.3192962268034627</c:v>
                </c:pt>
                <c:pt idx="50">
                  <c:v>-9.0526982561899558</c:v>
                </c:pt>
                <c:pt idx="51">
                  <c:v>-8.782284213506081</c:v>
                </c:pt>
                <c:pt idx="52">
                  <c:v>-8.5087423734420238</c:v>
                </c:pt>
                <c:pt idx="53">
                  <c:v>-8.2327610106879803</c:v>
                </c:pt>
                <c:pt idx="54">
                  <c:v>-7.955028399934136</c:v>
                </c:pt>
                <c:pt idx="55">
                  <c:v>-7.6762328158706836</c:v>
                </c:pt>
                <c:pt idx="56">
                  <c:v>-7.3970625331878139</c:v>
                </c:pt>
                <c:pt idx="57">
                  <c:v>-7.118205826575716</c:v>
                </c:pt>
                <c:pt idx="58">
                  <c:v>-6.8403509707245824</c:v>
                </c:pt>
                <c:pt idx="59">
                  <c:v>-6.5641862403246014</c:v>
                </c:pt>
                <c:pt idx="60">
                  <c:v>-6.2903999100659647</c:v>
                </c:pt>
                <c:pt idx="61">
                  <c:v>-6.0196802546388621</c:v>
                </c:pt>
                <c:pt idx="62">
                  <c:v>-5.7527155487334856</c:v>
                </c:pt>
                <c:pt idx="63">
                  <c:v>-5.4901940670400231</c:v>
                </c:pt>
                <c:pt idx="64">
                  <c:v>-5.2328040842486665</c:v>
                </c:pt>
                <c:pt idx="65">
                  <c:v>-4.9812338750496066</c:v>
                </c:pt>
                <c:pt idx="66">
                  <c:v>-4.7360055311870255</c:v>
                </c:pt>
                <c:pt idx="67">
                  <c:v>-4.4969764126210743</c:v>
                </c:pt>
                <c:pt idx="68">
                  <c:v>-4.2638376963658917</c:v>
                </c:pt>
                <c:pt idx="69">
                  <c:v>-4.0362805594356237</c:v>
                </c:pt>
                <c:pt idx="70">
                  <c:v>-3.8139961788444086</c:v>
                </c:pt>
                <c:pt idx="71">
                  <c:v>-3.59667573160639</c:v>
                </c:pt>
                <c:pt idx="72">
                  <c:v>-3.384010394735709</c:v>
                </c:pt>
                <c:pt idx="73">
                  <c:v>-3.1756913452465083</c:v>
                </c:pt>
                <c:pt idx="74">
                  <c:v>-2.9714097601529295</c:v>
                </c:pt>
                <c:pt idx="75">
                  <c:v>-2.7708568164691143</c:v>
                </c:pt>
                <c:pt idx="76">
                  <c:v>-2.5737236912092043</c:v>
                </c:pt>
                <c:pt idx="77">
                  <c:v>-2.3797015613873422</c:v>
                </c:pt>
                <c:pt idx="78">
                  <c:v>-2.1884816040176691</c:v>
                </c:pt>
                <c:pt idx="79">
                  <c:v>-1.9997549961143275</c:v>
                </c:pt>
                <c:pt idx="80">
                  <c:v>-1.8132129146914586</c:v>
                </c:pt>
                <c:pt idx="81">
                  <c:v>-1.6285465367632048</c:v>
                </c:pt>
                <c:pt idx="82">
                  <c:v>-1.4454470393437076</c:v>
                </c:pt>
                <c:pt idx="83">
                  <c:v>-1.2636055994471094</c:v>
                </c:pt>
                <c:pt idx="84">
                  <c:v>-1.0827133940875513</c:v>
                </c:pt>
                <c:pt idx="85">
                  <c:v>-0.90246160027917599</c:v>
                </c:pt>
                <c:pt idx="86">
                  <c:v>-0.72254139503612469</c:v>
                </c:pt>
                <c:pt idx="87">
                  <c:v>-0.54264395537253962</c:v>
                </c:pt>
                <c:pt idx="88">
                  <c:v>-0.36246045830256257</c:v>
                </c:pt>
                <c:pt idx="89">
                  <c:v>-0.18168208084033541</c:v>
                </c:pt>
                <c:pt idx="90">
                  <c:v>2.7755575615628914E-17</c:v>
                </c:pt>
                <c:pt idx="91">
                  <c:v>0.18286578095981401</c:v>
                </c:pt>
                <c:pt idx="92">
                  <c:v>0.36707995380252589</c:v>
                </c:pt>
                <c:pt idx="93">
                  <c:v>0.55277838404706714</c:v>
                </c:pt>
                <c:pt idx="94">
                  <c:v>0.74009693721236935</c:v>
                </c:pt>
                <c:pt idx="95">
                  <c:v>0.92917147881736395</c:v>
                </c:pt>
                <c:pt idx="96">
                  <c:v>1.1201378743809824</c:v>
                </c:pt>
                <c:pt idx="97">
                  <c:v>1.3131319894221565</c:v>
                </c:pt>
                <c:pt idx="98">
                  <c:v>1.5082896894598172</c:v>
                </c:pt>
                <c:pt idx="99">
                  <c:v>1.7057468400128966</c:v>
                </c:pt>
                <c:pt idx="100">
                  <c:v>1.9056393066003259</c:v>
                </c:pt>
                <c:pt idx="101">
                  <c:v>2.108102954741037</c:v>
                </c:pt>
                <c:pt idx="102">
                  <c:v>2.3132736499539606</c:v>
                </c:pt>
                <c:pt idx="103">
                  <c:v>2.5212872577580288</c:v>
                </c:pt>
                <c:pt idx="104">
                  <c:v>2.7322796436721735</c:v>
                </c:pt>
                <c:pt idx="105">
                  <c:v>2.9463866732153248</c:v>
                </c:pt>
                <c:pt idx="106">
                  <c:v>3.1637442119064159</c:v>
                </c:pt>
                <c:pt idx="107">
                  <c:v>3.3844881252643773</c:v>
                </c:pt>
                <c:pt idx="108">
                  <c:v>3.6087542788081408</c:v>
                </c:pt>
                <c:pt idx="109">
                  <c:v>3.8366785380566379</c:v>
                </c:pt>
                <c:pt idx="110">
                  <c:v>4.0683967685288005</c:v>
                </c:pt>
                <c:pt idx="111">
                  <c:v>4.304044835743559</c:v>
                </c:pt>
                <c:pt idx="112">
                  <c:v>4.5437586052198462</c:v>
                </c:pt>
                <c:pt idx="113">
                  <c:v>4.7876739424765917</c:v>
                </c:pt>
                <c:pt idx="114">
                  <c:v>5.0359267130327297</c:v>
                </c:pt>
                <c:pt idx="115">
                  <c:v>5.2886527824071905</c:v>
                </c:pt>
                <c:pt idx="116">
                  <c:v>5.5459880161189048</c:v>
                </c:pt>
                <c:pt idx="117">
                  <c:v>5.8080682796868048</c:v>
                </c:pt>
                <c:pt idx="118">
                  <c:v>6.075029438629822</c:v>
                </c:pt>
                <c:pt idx="119">
                  <c:v>6.3470073584668878</c:v>
                </c:pt>
                <c:pt idx="120">
                  <c:v>6.6241379047169335</c:v>
                </c:pt>
                <c:pt idx="121">
                  <c:v>6.9065167667664076</c:v>
                </c:pt>
                <c:pt idx="122">
                  <c:v>7.1940789294718179</c:v>
                </c:pt>
                <c:pt idx="123">
                  <c:v>7.4867192015571895</c:v>
                </c:pt>
                <c:pt idx="124">
                  <c:v>7.7843323917465472</c:v>
                </c:pt>
                <c:pt idx="125">
                  <c:v>8.0868133087639151</c:v>
                </c:pt>
                <c:pt idx="126">
                  <c:v>8.3940567613333208</c:v>
                </c:pt>
                <c:pt idx="127">
                  <c:v>8.7059575581787847</c:v>
                </c:pt>
                <c:pt idx="128">
                  <c:v>9.0224105080243362</c:v>
                </c:pt>
                <c:pt idx="129">
                  <c:v>9.3433104195939976</c:v>
                </c:pt>
                <c:pt idx="130">
                  <c:v>9.6685521016117928</c:v>
                </c:pt>
                <c:pt idx="131">
                  <c:v>9.9980303628017495</c:v>
                </c:pt>
                <c:pt idx="132">
                  <c:v>10.331640011887892</c:v>
                </c:pt>
                <c:pt idx="133">
                  <c:v>10.66927585759424</c:v>
                </c:pt>
                <c:pt idx="134">
                  <c:v>11.010832708644827</c:v>
                </c:pt>
                <c:pt idx="135">
                  <c:v>11.356205373763672</c:v>
                </c:pt>
                <c:pt idx="136">
                  <c:v>11.7052886616748</c:v>
                </c:pt>
                <c:pt idx="137">
                  <c:v>12.057977381102237</c:v>
                </c:pt>
                <c:pt idx="138">
                  <c:v>12.414166340770009</c:v>
                </c:pt>
                <c:pt idx="139">
                  <c:v>12.773750349402139</c:v>
                </c:pt>
                <c:pt idx="140">
                  <c:v>13.136624215722652</c:v>
                </c:pt>
                <c:pt idx="141">
                  <c:v>13.502682748455575</c:v>
                </c:pt>
                <c:pt idx="142">
                  <c:v>13.871820756324929</c:v>
                </c:pt>
                <c:pt idx="143">
                  <c:v>14.243933048054743</c:v>
                </c:pt>
                <c:pt idx="144">
                  <c:v>14.618914432369039</c:v>
                </c:pt>
                <c:pt idx="145">
                  <c:v>14.996659717991841</c:v>
                </c:pt>
                <c:pt idx="146">
                  <c:v>15.377063713647175</c:v>
                </c:pt>
                <c:pt idx="147">
                  <c:v>15.760021228059069</c:v>
                </c:pt>
                <c:pt idx="148">
                  <c:v>16.145427069951545</c:v>
                </c:pt>
                <c:pt idx="149">
                  <c:v>16.533176048048627</c:v>
                </c:pt>
                <c:pt idx="150">
                  <c:v>16.923162971074341</c:v>
                </c:pt>
                <c:pt idx="151">
                  <c:v>17.31528264775271</c:v>
                </c:pt>
                <c:pt idx="152">
                  <c:v>17.709429886807762</c:v>
                </c:pt>
                <c:pt idx="153">
                  <c:v>18.105499496963517</c:v>
                </c:pt>
                <c:pt idx="154">
                  <c:v>18.503386286944007</c:v>
                </c:pt>
                <c:pt idx="155">
                  <c:v>18.902985065473253</c:v>
                </c:pt>
                <c:pt idx="156">
                  <c:v>19.304190641275277</c:v>
                </c:pt>
                <c:pt idx="157">
                  <c:v>19.706897823074108</c:v>
                </c:pt>
                <c:pt idx="158">
                  <c:v>20.111001419593769</c:v>
                </c:pt>
                <c:pt idx="159">
                  <c:v>20.516396239558286</c:v>
                </c:pt>
                <c:pt idx="160">
                  <c:v>20.922977091691681</c:v>
                </c:pt>
                <c:pt idx="161">
                  <c:v>21.330638784717987</c:v>
                </c:pt>
                <c:pt idx="162">
                  <c:v>21.739276127361219</c:v>
                </c:pt>
                <c:pt idx="163">
                  <c:v>22.148783928345402</c:v>
                </c:pt>
                <c:pt idx="164">
                  <c:v>22.559056996394567</c:v>
                </c:pt>
                <c:pt idx="165">
                  <c:v>22.969990140232735</c:v>
                </c:pt>
                <c:pt idx="166">
                  <c:v>23.381493058156057</c:v>
                </c:pt>
                <c:pt idx="167">
                  <c:v>23.793535006749181</c:v>
                </c:pt>
                <c:pt idx="168">
                  <c:v>24.206100132168871</c:v>
                </c:pt>
                <c:pt idx="169">
                  <c:v>24.619172580571906</c:v>
                </c:pt>
                <c:pt idx="170">
                  <c:v>25.03273649811505</c:v>
                </c:pt>
                <c:pt idx="171">
                  <c:v>25.446776030955078</c:v>
                </c:pt>
                <c:pt idx="172">
                  <c:v>25.861275325248751</c:v>
                </c:pt>
                <c:pt idx="173">
                  <c:v>26.276218527152857</c:v>
                </c:pt>
                <c:pt idx="174">
                  <c:v>26.691589782824153</c:v>
                </c:pt>
                <c:pt idx="175">
                  <c:v>27.107373238419413</c:v>
                </c:pt>
                <c:pt idx="176">
                  <c:v>27.523553040095408</c:v>
                </c:pt>
                <c:pt idx="177">
                  <c:v>27.940113334008906</c:v>
                </c:pt>
                <c:pt idx="178">
                  <c:v>28.357038266316685</c:v>
                </c:pt>
                <c:pt idx="179">
                  <c:v>28.774311983175508</c:v>
                </c:pt>
                <c:pt idx="180">
                  <c:v>29.191918630742151</c:v>
                </c:pt>
                <c:pt idx="181">
                  <c:v>29.609842355173377</c:v>
                </c:pt>
                <c:pt idx="182">
                  <c:v>30.028067302625967</c:v>
                </c:pt>
                <c:pt idx="183">
                  <c:v>30.446577619256686</c:v>
                </c:pt>
                <c:pt idx="184">
                  <c:v>30.865357451222302</c:v>
                </c:pt>
                <c:pt idx="185">
                  <c:v>31.28439094467959</c:v>
                </c:pt>
                <c:pt idx="186">
                  <c:v>31.703662245785317</c:v>
                </c:pt>
                <c:pt idx="187">
                  <c:v>32.123155500696257</c:v>
                </c:pt>
                <c:pt idx="188">
                  <c:v>32.542854855569182</c:v>
                </c:pt>
                <c:pt idx="189">
                  <c:v>32.962744456560856</c:v>
                </c:pt>
                <c:pt idx="190">
                  <c:v>33.382808449828055</c:v>
                </c:pt>
                <c:pt idx="191">
                  <c:v>33.803030981527542</c:v>
                </c:pt>
                <c:pt idx="192">
                  <c:v>34.223396197816101</c:v>
                </c:pt>
                <c:pt idx="193">
                  <c:v>34.643888244850494</c:v>
                </c:pt>
                <c:pt idx="194">
                  <c:v>35.064491268787492</c:v>
                </c:pt>
                <c:pt idx="195">
                  <c:v>35.485189415783871</c:v>
                </c:pt>
                <c:pt idx="196">
                  <c:v>35.905966831996381</c:v>
                </c:pt>
                <c:pt idx="197">
                  <c:v>36.326807663581825</c:v>
                </c:pt>
                <c:pt idx="198">
                  <c:v>36.747696056696952</c:v>
                </c:pt>
                <c:pt idx="199">
                  <c:v>37.168616157498533</c:v>
                </c:pt>
                <c:pt idx="200">
                  <c:v>37.589552112143352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-25.324970495913302</c:v>
                </c:pt>
                <c:pt idx="1">
                  <c:v>-11.433389395276924</c:v>
                </c:pt>
                <c:pt idx="2">
                  <c:v>-4.9812338750496075</c:v>
                </c:pt>
                <c:pt idx="3">
                  <c:v>0</c:v>
                </c:pt>
                <c:pt idx="4">
                  <c:v>6.6241379047169344</c:v>
                </c:pt>
                <c:pt idx="5">
                  <c:v>22.969990140232735</c:v>
                </c:pt>
                <c:pt idx="6">
                  <c:v>37.589552112143352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-25.137158081310165</c:v>
                </c:pt>
                <c:pt idx="1">
                  <c:v>-24.938914490302157</c:v>
                </c:pt>
                <c:pt idx="2">
                  <c:v>-24.728038178210216</c:v>
                </c:pt>
                <c:pt idx="3">
                  <c:v>-24.504973441818407</c:v>
                </c:pt>
                <c:pt idx="4">
                  <c:v>-24.270179650216804</c:v>
                </c:pt>
                <c:pt idx="5">
                  <c:v>-24.024129277624748</c:v>
                </c:pt>
                <c:pt idx="6">
                  <c:v>-23.767306017235768</c:v>
                </c:pt>
                <c:pt idx="7">
                  <c:v>-23.500202974404917</c:v>
                </c:pt>
                <c:pt idx="8">
                  <c:v>-23.223320937513741</c:v>
                </c:pt>
                <c:pt idx="9">
                  <c:v>-22.937166724862951</c:v>
                </c:pt>
                <c:pt idx="10">
                  <c:v>-22.642251605957835</c:v>
                </c:pt>
                <c:pt idx="11">
                  <c:v>-22.33908979556616</c:v>
                </c:pt>
                <c:pt idx="12">
                  <c:v>-22.028197018943242</c:v>
                </c:pt>
                <c:pt idx="13">
                  <c:v>-21.710089146633528</c:v>
                </c:pt>
                <c:pt idx="14">
                  <c:v>-21.38528089727296</c:v>
                </c:pt>
                <c:pt idx="15">
                  <c:v>-21.054284606831278</c:v>
                </c:pt>
                <c:pt idx="16">
                  <c:v>-20.717609062748085</c:v>
                </c:pt>
                <c:pt idx="17">
                  <c:v>-20.375758401431423</c:v>
                </c:pt>
                <c:pt idx="18">
                  <c:v>-20.029231067602449</c:v>
                </c:pt>
                <c:pt idx="19">
                  <c:v>-19.678518833984551</c:v>
                </c:pt>
                <c:pt idx="20">
                  <c:v>-19.324105879850109</c:v>
                </c:pt>
                <c:pt idx="21">
                  <c:v>-18.966467926952927</c:v>
                </c:pt>
                <c:pt idx="22">
                  <c:v>-18.606071431389214</c:v>
                </c:pt>
                <c:pt idx="23">
                  <c:v>-18.243372829944736</c:v>
                </c:pt>
                <c:pt idx="24">
                  <c:v>-17.87881783950068</c:v>
                </c:pt>
                <c:pt idx="25">
                  <c:v>-17.512840808085532</c:v>
                </c:pt>
                <c:pt idx="26">
                  <c:v>-17.145864116175073</c:v>
                </c:pt>
                <c:pt idx="27">
                  <c:v>-16.778297626857587</c:v>
                </c:pt>
                <c:pt idx="28">
                  <c:v>-16.410538183495891</c:v>
                </c:pt>
                <c:pt idx="29">
                  <c:v>-16.042969153532994</c:v>
                </c:pt>
                <c:pt idx="30">
                  <c:v>-15.675960017102652</c:v>
                </c:pt>
                <c:pt idx="31">
                  <c:v>-15.309865999121202</c:v>
                </c:pt>
                <c:pt idx="32">
                  <c:v>-14.945027743551755</c:v>
                </c:pt>
                <c:pt idx="33">
                  <c:v>-14.581771028546548</c:v>
                </c:pt>
                <c:pt idx="34">
                  <c:v>-14.220406521188362</c:v>
                </c:pt>
                <c:pt idx="35">
                  <c:v>-13.861229570566429</c:v>
                </c:pt>
                <c:pt idx="36">
                  <c:v>-13.504520037937258</c:v>
                </c:pt>
                <c:pt idx="37">
                  <c:v>-13.15054216273559</c:v>
                </c:pt>
                <c:pt idx="38">
                  <c:v>-12.799544463215568</c:v>
                </c:pt>
                <c:pt idx="39">
                  <c:v>-12.451759670516852</c:v>
                </c:pt>
                <c:pt idx="40">
                  <c:v>-12.107404694965448</c:v>
                </c:pt>
                <c:pt idx="41">
                  <c:v>-11.766680623433786</c:v>
                </c:pt>
                <c:pt idx="42">
                  <c:v>-11.429772746599255</c:v>
                </c:pt>
                <c:pt idx="43">
                  <c:v>-11.096850614955496</c:v>
                </c:pt>
                <c:pt idx="44">
                  <c:v>-10.768068122445255</c:v>
                </c:pt>
                <c:pt idx="45">
                  <c:v>-10.443563616598791</c:v>
                </c:pt>
                <c:pt idx="46">
                  <c:v>-10.123460034076288</c:v>
                </c:pt>
                <c:pt idx="47">
                  <c:v>-9.8078650605278419</c:v>
                </c:pt>
                <c:pt idx="48">
                  <c:v>-9.4968713136992111</c:v>
                </c:pt>
                <c:pt idx="49">
                  <c:v>-9.1905565487264802</c:v>
                </c:pt>
                <c:pt idx="50">
                  <c:v>-8.8889838845775238</c:v>
                </c:pt>
                <c:pt idx="51">
                  <c:v>-8.5922020506130483</c:v>
                </c:pt>
                <c:pt idx="52">
                  <c:v>-8.300245652254727</c:v>
                </c:pt>
                <c:pt idx="53">
                  <c:v>-8.0131354547628568</c:v>
                </c:pt>
                <c:pt idx="54">
                  <c:v>-7.7308786841407713</c:v>
                </c:pt>
                <c:pt idx="55">
                  <c:v>-7.4534693441979858</c:v>
                </c:pt>
                <c:pt idx="56">
                  <c:v>-7.180888548818996</c:v>
                </c:pt>
                <c:pt idx="57">
                  <c:v>-6.913104868499385</c:v>
                </c:pt>
                <c:pt idx="58">
                  <c:v>-6.6500746902257681</c:v>
                </c:pt>
                <c:pt idx="59">
                  <c:v>-6.3917425897908906</c:v>
                </c:pt>
                <c:pt idx="60">
                  <c:v>-6.1380417156500613</c:v>
                </c:pt>
                <c:pt idx="61">
                  <c:v>-5.8888941834398816</c:v>
                </c:pt>
                <c:pt idx="62">
                  <c:v>-5.6442114802950929</c:v>
                </c:pt>
                <c:pt idx="63">
                  <c:v>-5.4038948781141674</c:v>
                </c:pt>
                <c:pt idx="64">
                  <c:v>-5.1678358549390921</c:v>
                </c:pt>
                <c:pt idx="65">
                  <c:v>-4.9359165236296363</c:v>
                </c:pt>
                <c:pt idx="66">
                  <c:v>-4.7080100670271898</c:v>
                </c:pt>
                <c:pt idx="67">
                  <c:v>-4.483981178818115</c:v>
                </c:pt>
                <c:pt idx="68">
                  <c:v>-4.263686509321353</c:v>
                </c:pt>
                <c:pt idx="69">
                  <c:v>-4.0469751154398512</c:v>
                </c:pt>
                <c:pt idx="70">
                  <c:v>-3.8336889140302435</c:v>
                </c:pt>
                <c:pt idx="71">
                  <c:v>-3.6236631379599431</c:v>
                </c:pt>
                <c:pt idx="72">
                  <c:v>-3.4167267941357733</c:v>
                </c:pt>
                <c:pt idx="73">
                  <c:v>-3.2127031228029423</c:v>
                </c:pt>
                <c:pt idx="74">
                  <c:v>-3.0114100574280829</c:v>
                </c:pt>
                <c:pt idx="75">
                  <c:v>-2.8126606844948752</c:v>
                </c:pt>
                <c:pt idx="76">
                  <c:v>-2.6162637025555955</c:v>
                </c:pt>
                <c:pt idx="77">
                  <c:v>-2.4220238798967419</c:v>
                </c:pt>
                <c:pt idx="78">
                  <c:v>-2.2297425101917496</c:v>
                </c:pt>
                <c:pt idx="79">
                  <c:v>-2.0392178655285895</c:v>
                </c:pt>
                <c:pt idx="80">
                  <c:v>-1.8502456462148988</c:v>
                </c:pt>
                <c:pt idx="81">
                  <c:v>-1.6626194267781094</c:v>
                </c:pt>
                <c:pt idx="82">
                  <c:v>-1.4761310975928452</c:v>
                </c:pt>
                <c:pt idx="83">
                  <c:v>-1.2905713015827094</c:v>
                </c:pt>
                <c:pt idx="84">
                  <c:v>-1.1057298654583938</c:v>
                </c:pt>
                <c:pt idx="85">
                  <c:v>-0.92139622496886475</c:v>
                </c:pt>
                <c:pt idx="86">
                  <c:v>-0.73735984365721197</c:v>
                </c:pt>
                <c:pt idx="87">
                  <c:v>-0.55341062462755786</c:v>
                </c:pt>
                <c:pt idx="88">
                  <c:v>-0.36933931484426746</c:v>
                </c:pt>
                <c:pt idx="89">
                  <c:v>-0.18493790149950173</c:v>
                </c:pt>
                <c:pt idx="90">
                  <c:v>0</c:v>
                </c:pt>
                <c:pt idx="91">
                  <c:v>0.18567876686121193</c:v>
                </c:pt>
                <c:pt idx="92">
                  <c:v>0.37230039896766104</c:v>
                </c:pt>
                <c:pt idx="93">
                  <c:v>0.56006415858146474</c:v>
                </c:pt>
                <c:pt idx="94">
                  <c:v>0.74916622007439426</c:v>
                </c:pt>
                <c:pt idx="95">
                  <c:v>0.93979933006296412</c:v>
                </c:pt>
                <c:pt idx="96">
                  <c:v>1.1321524783077324</c:v>
                </c:pt>
                <c:pt idx="97">
                  <c:v>1.3264105797221579</c:v>
                </c:pt>
                <c:pt idx="98">
                  <c:v>1.5227541678215559</c:v>
                </c:pt>
                <c:pt idx="99">
                  <c:v>1.7213590999278481</c:v>
                </c:pt>
                <c:pt idx="100">
                  <c:v>1.9223962744310008</c:v>
                </c:pt>
                <c:pt idx="101">
                  <c:v>2.1260313603932031</c:v>
                </c:pt>
                <c:pt idx="102">
                  <c:v>2.3324245397670187</c:v>
                </c:pt>
                <c:pt idx="103">
                  <c:v>2.5417302624839375</c:v>
                </c:pt>
                <c:pt idx="104">
                  <c:v>2.7540970146548918</c:v>
                </c:pt>
                <c:pt idx="105">
                  <c:v>2.9696671001095147</c:v>
                </c:pt>
                <c:pt idx="106">
                  <c:v>3.1885764354860808</c:v>
                </c:pt>
                <c:pt idx="107">
                  <c:v>3.410954359069243</c:v>
                </c:pt>
                <c:pt idx="108">
                  <c:v>3.6369234535578419</c:v>
                </c:pt>
                <c:pt idx="109">
                  <c:v>3.8665993829302878</c:v>
                </c:pt>
                <c:pt idx="110">
                  <c:v>4.1000907435601235</c:v>
                </c:pt>
                <c:pt idx="111">
                  <c:v>4.3374989297196134</c:v>
                </c:pt>
                <c:pt idx="112">
                  <c:v>4.5789180135943326</c:v>
                </c:pt>
                <c:pt idx="113">
                  <c:v>4.8244346399169649</c:v>
                </c:pt>
                <c:pt idx="114">
                  <c:v>5.0741279353136024</c:v>
                </c:pt>
                <c:pt idx="115">
                  <c:v>5.3280694324411151</c:v>
                </c:pt>
                <c:pt idx="116">
                  <c:v>5.586323008979285</c:v>
                </c:pt>
                <c:pt idx="117">
                  <c:v>5.8489448415265528</c:v>
                </c:pt>
                <c:pt idx="118">
                  <c:v>6.1159833744334566</c:v>
                </c:pt>
                <c:pt idx="119">
                  <c:v>6.3874793035929942</c:v>
                </c:pt>
                <c:pt idx="120">
                  <c:v>6.6634655751922782</c:v>
                </c:pt>
                <c:pt idx="121">
                  <c:v>6.9439673994151008</c:v>
                </c:pt>
                <c:pt idx="122">
                  <c:v>7.2290022790701514</c:v>
                </c:pt>
                <c:pt idx="123">
                  <c:v>7.5185800531048095</c:v>
                </c:pt>
                <c:pt idx="124">
                  <c:v>7.8127029549496347</c:v>
                </c:pt>
                <c:pt idx="125">
                  <c:v>8.1113656856238414</c:v>
                </c:pt>
                <c:pt idx="126">
                  <c:v>8.4145555015171993</c:v>
                </c:pt>
                <c:pt idx="127">
                  <c:v>8.7222523167489978</c:v>
                </c:pt>
                <c:pt idx="128">
                  <c:v>9.0344288199899374</c:v>
                </c:pt>
                <c:pt idx="129">
                  <c:v>9.3510506056178375</c:v>
                </c:pt>
                <c:pt idx="130">
                  <c:v>9.6720763190634322</c:v>
                </c:pt>
                <c:pt idx="131">
                  <c:v>9.9974578161875272</c:v>
                </c:pt>
                <c:pt idx="132">
                  <c:v>10.327140336516043</c:v>
                </c:pt>
                <c:pt idx="133">
                  <c:v>10.661062690144663</c:v>
                </c:pt>
                <c:pt idx="134">
                  <c:v>10.999157458109934</c:v>
                </c:pt>
                <c:pt idx="135">
                  <c:v>11.34135120600887</c:v>
                </c:pt>
                <c:pt idx="136">
                  <c:v>11.687564710634268</c:v>
                </c:pt>
                <c:pt idx="137">
                  <c:v>12.037713199378171</c:v>
                </c:pt>
                <c:pt idx="138">
                  <c:v>12.391706602141006</c:v>
                </c:pt>
                <c:pt idx="139">
                  <c:v>12.749449815469145</c:v>
                </c:pt>
                <c:pt idx="140">
                  <c:v>13.110842978628883</c:v>
                </c:pt>
                <c:pt idx="141">
                  <c:v>13.475781761309834</c:v>
                </c:pt>
                <c:pt idx="142">
                  <c:v>13.844157662636121</c:v>
                </c:pt>
                <c:pt idx="143">
                  <c:v>14.215858321148708</c:v>
                </c:pt>
                <c:pt idx="144">
                  <c:v>14.590767835407622</c:v>
                </c:pt>
                <c:pt idx="145">
                  <c:v>14.968767094847754</c:v>
                </c:pt>
                <c:pt idx="146">
                  <c:v>15.349734120507311</c:v>
                </c:pt>
                <c:pt idx="147">
                  <c:v>15.733544415233027</c:v>
                </c:pt>
                <c:pt idx="148">
                  <c:v>16.120071322951482</c:v>
                </c:pt>
                <c:pt idx="149">
                  <c:v>16.509186396581036</c:v>
                </c:pt>
                <c:pt idx="150">
                  <c:v>16.900759774144046</c:v>
                </c:pt>
                <c:pt idx="151">
                  <c:v>17.294660562624287</c:v>
                </c:pt>
                <c:pt idx="152">
                  <c:v>17.69075722909955</c:v>
                </c:pt>
                <c:pt idx="153">
                  <c:v>18.088917998664609</c:v>
                </c:pt>
                <c:pt idx="154">
                  <c:v>18.489011258645096</c:v>
                </c:pt>
                <c:pt idx="155">
                  <c:v>18.890905968587628</c:v>
                </c:pt>
                <c:pt idx="156">
                  <c:v>19.294472075497158</c:v>
                </c:pt>
                <c:pt idx="157">
                  <c:v>19.699580933777238</c:v>
                </c:pt>
                <c:pt idx="158">
                  <c:v>20.106105729314482</c:v>
                </c:pt>
                <c:pt idx="159">
                  <c:v>20.513921907133472</c:v>
                </c:pt>
                <c:pt idx="160">
                  <c:v>20.92290760203332</c:v>
                </c:pt>
                <c:pt idx="161">
                  <c:v>21.332944071602892</c:v>
                </c:pt>
                <c:pt idx="162">
                  <c:v>21.74391613099618</c:v>
                </c:pt>
                <c:pt idx="163">
                  <c:v>22.155712588834927</c:v>
                </c:pt>
                <c:pt idx="164">
                  <c:v>22.568226683590648</c:v>
                </c:pt>
                <c:pt idx="165">
                  <c:v>22.981356519783379</c:v>
                </c:pt>
                <c:pt idx="166">
                  <c:v>23.39500550331956</c:v>
                </c:pt>
                <c:pt idx="167">
                  <c:v>23.809082775276895</c:v>
                </c:pt>
                <c:pt idx="168">
                  <c:v>24.223503643428931</c:v>
                </c:pt>
                <c:pt idx="169">
                  <c:v>24.638190010787405</c:v>
                </c:pt>
                <c:pt idx="170">
                  <c:v>25.053070800425562</c:v>
                </c:pt>
                <c:pt idx="171">
                  <c:v>25.468082375830829</c:v>
                </c:pt>
                <c:pt idx="172">
                  <c:v>25.883168956020498</c:v>
                </c:pt>
                <c:pt idx="173">
                  <c:v>26.298283024638931</c:v>
                </c:pt>
                <c:pt idx="174">
                  <c:v>26.713385732240461</c:v>
                </c:pt>
                <c:pt idx="175">
                  <c:v>27.128447290946855</c:v>
                </c:pt>
                <c:pt idx="176">
                  <c:v>27.543447360653715</c:v>
                </c:pt>
                <c:pt idx="177">
                  <c:v>27.958375425945327</c:v>
                </c:pt>
                <c:pt idx="178">
                  <c:v>28.373231162862343</c:v>
                </c:pt>
                <c:pt idx="179">
                  <c:v>28.788024794652305</c:v>
                </c:pt>
                <c:pt idx="180">
                  <c:v>29.202777435617893</c:v>
                </c:pt>
                <c:pt idx="181">
                  <c:v>29.617521422163048</c:v>
                </c:pt>
                <c:pt idx="182">
                  <c:v>30.03230063012224</c:v>
                </c:pt>
                <c:pt idx="183">
                  <c:v>30.447170777443503</c:v>
                </c:pt>
                <c:pt idx="184">
                  <c:v>30.86219971128078</c:v>
                </c:pt>
                <c:pt idx="185">
                  <c:v>31.277467678536425</c:v>
                </c:pt>
                <c:pt idx="186">
                  <c:v>31.693067578880083</c:v>
                </c:pt>
                <c:pt idx="187">
                  <c:v>32.109105199254813</c:v>
                </c:pt>
                <c:pt idx="188">
                  <c:v>32.525699428867178</c:v>
                </c:pt>
                <c:pt idx="189">
                  <c:v>32.942982453642557</c:v>
                </c:pt>
                <c:pt idx="190">
                  <c:v>33.361099929112648</c:v>
                </c:pt>
                <c:pt idx="191">
                  <c:v>33.780211130686872</c:v>
                </c:pt>
                <c:pt idx="192">
                  <c:v>34.200489080244964</c:v>
                </c:pt>
                <c:pt idx="193">
                  <c:v>34.622120647972643</c:v>
                </c:pt>
                <c:pt idx="194">
                  <c:v>35.045306628348392</c:v>
                </c:pt>
                <c:pt idx="195">
                  <c:v>35.470261789173229</c:v>
                </c:pt>
                <c:pt idx="196">
                  <c:v>35.897214892521937</c:v>
                </c:pt>
                <c:pt idx="197">
                  <c:v>36.326408686478153</c:v>
                </c:pt>
                <c:pt idx="198">
                  <c:v>36.758099866501809</c:v>
                </c:pt>
                <c:pt idx="199">
                  <c:v>37.192559005262254</c:v>
                </c:pt>
                <c:pt idx="200">
                  <c:v>37.630070449755067</c:v>
                </c:pt>
              </c:numCache>
            </c:numRef>
          </c:yVal>
          <c:smooth val="1"/>
        </c:ser>
        <c:dLbls>
          <c:showLegendKey val="0"/>
          <c:showVal val="0"/>
          <c:showCatName val="0"/>
          <c:showSerName val="0"/>
          <c:showPercent val="0"/>
          <c:showBubbleSize val="0"/>
        </c:dLbls>
        <c:axId val="675974136"/>
        <c:axId val="675975312"/>
      </c:scatterChart>
      <c:valAx>
        <c:axId val="67597413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5312"/>
        <c:crossesAt val="-1000"/>
        <c:crossBetween val="midCat"/>
      </c:valAx>
      <c:valAx>
        <c:axId val="675975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413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130</v>
      </c>
    </row>
    <row r="22" spans="1:2" s="11" customFormat="1" x14ac:dyDescent="0.25">
      <c r="A22" s="61" t="s">
        <v>157</v>
      </c>
      <c r="B22" s="100">
        <f>CTE!N8-0.5</f>
        <v>140</v>
      </c>
    </row>
    <row r="23" spans="1:2" s="11" customFormat="1" x14ac:dyDescent="0.25">
      <c r="A23" s="61" t="s">
        <v>158</v>
      </c>
      <c r="B23" s="100">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0.18527445724939223</v>
      </c>
      <c r="D59" s="55">
        <v>1</v>
      </c>
    </row>
    <row r="60" spans="1:4" s="11" customFormat="1" x14ac:dyDescent="0.25">
      <c r="A60" s="54">
        <v>2</v>
      </c>
      <c r="B60" s="56">
        <f>'Shiftfunktion bestimmen'!N2</f>
        <v>3.7053178956305806E-4</v>
      </c>
      <c r="D60" s="55">
        <v>2</v>
      </c>
    </row>
    <row r="61" spans="1:4" s="11" customFormat="1" x14ac:dyDescent="0.25">
      <c r="A61" s="54">
        <v>3</v>
      </c>
      <c r="B61" s="56">
        <f>'Shiftfunktion bestimmen'!N3</f>
        <v>3.3879974635543962E-5</v>
      </c>
      <c r="D61" s="55">
        <v>3</v>
      </c>
    </row>
    <row r="62" spans="1:4" s="11" customFormat="1" x14ac:dyDescent="0.25">
      <c r="A62" s="54">
        <v>4</v>
      </c>
      <c r="B62" s="56">
        <f>'Shiftfunktion bestimmen'!N4</f>
        <v>-9.9122100525773756E-8</v>
      </c>
      <c r="D62" s="55">
        <v>4</v>
      </c>
    </row>
    <row r="63" spans="1:4" s="11" customFormat="1" x14ac:dyDescent="0.25">
      <c r="A63" s="54">
        <v>5</v>
      </c>
      <c r="B63" s="56">
        <f>'Shiftfunktion bestimmen'!N5</f>
        <v>-3.0437497871993927E-9</v>
      </c>
      <c r="D63" s="55">
        <v>5</v>
      </c>
    </row>
    <row r="64" spans="1:4" s="11" customFormat="1" x14ac:dyDescent="0.25">
      <c r="A64" s="54">
        <v>6</v>
      </c>
      <c r="B64" s="56">
        <f>'Shiftfunktion bestimmen'!N6</f>
        <v>1.3392922755143096E-11</v>
      </c>
      <c r="D64" s="55">
        <v>6</v>
      </c>
    </row>
    <row r="65" spans="1:5" s="11" customFormat="1" x14ac:dyDescent="0.25">
      <c r="A65" s="54">
        <v>7</v>
      </c>
      <c r="B65" s="56">
        <f>'Shiftfunktion bestimmen'!N7</f>
        <v>7.8817220331992018E-14</v>
      </c>
      <c r="D65" s="55">
        <v>7</v>
      </c>
    </row>
    <row r="66" spans="1:5" x14ac:dyDescent="0.25">
      <c r="A66" s="54">
        <v>8</v>
      </c>
      <c r="B66" s="56">
        <f>'Shiftfunktion bestimmen'!N8</f>
        <v>-3.6765751907721196E-16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6.543563958335178E-4</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1.0565237894984057E-2</v>
      </c>
      <c r="D76" s="51">
        <v>3</v>
      </c>
      <c r="E76" s="56">
        <f>'Mastercurve bestimmen'!A20</f>
        <v>4.3276437088188502E-13</v>
      </c>
    </row>
    <row r="77" spans="1:5" x14ac:dyDescent="0.25">
      <c r="A77" s="50">
        <f t="shared" si="0"/>
        <v>4</v>
      </c>
      <c r="B77" s="56">
        <f>'Mastercurve bestimmen'!C21</f>
        <v>3.6097677890575289E-2</v>
      </c>
      <c r="D77" s="51">
        <v>4</v>
      </c>
      <c r="E77" s="56">
        <f>'Mastercurve bestimmen'!A21</f>
        <v>4.7973886968128502E-12</v>
      </c>
    </row>
    <row r="78" spans="1:5" x14ac:dyDescent="0.25">
      <c r="A78" s="50">
        <f t="shared" si="0"/>
        <v>5</v>
      </c>
      <c r="B78" s="56">
        <f>'Mastercurve bestimmen'!C22</f>
        <v>1.796140860863173E-2</v>
      </c>
      <c r="D78" s="51">
        <v>5</v>
      </c>
      <c r="E78" s="56">
        <f>'Mastercurve bestimmen'!A22</f>
        <v>5.31812225239524E-11</v>
      </c>
    </row>
    <row r="79" spans="1:5" x14ac:dyDescent="0.25">
      <c r="A79" s="50">
        <f t="shared" si="0"/>
        <v>6</v>
      </c>
      <c r="B79" s="56">
        <f>'Mastercurve bestimmen'!C23</f>
        <v>2.0382209262680424E-2</v>
      </c>
      <c r="D79" s="51">
        <v>6</v>
      </c>
      <c r="E79" s="56">
        <f>'Mastercurve bestimmen'!A23</f>
        <v>5.8953789402578301E-10</v>
      </c>
    </row>
    <row r="80" spans="1:5" x14ac:dyDescent="0.25">
      <c r="A80" s="50">
        <f t="shared" si="0"/>
        <v>7</v>
      </c>
      <c r="B80" s="56">
        <f>'Mastercurve bestimmen'!C24</f>
        <v>2.3191773100904155E-2</v>
      </c>
      <c r="D80" s="51">
        <v>7</v>
      </c>
      <c r="E80" s="56">
        <f>'Mastercurve bestimmen'!A24</f>
        <v>6.5352940755699598E-9</v>
      </c>
    </row>
    <row r="81" spans="1:5" x14ac:dyDescent="0.25">
      <c r="A81" s="50">
        <f t="shared" si="0"/>
        <v>8</v>
      </c>
      <c r="B81" s="56">
        <f>'Mastercurve bestimmen'!C25</f>
        <v>2.374870276432043E-2</v>
      </c>
      <c r="D81" s="51">
        <v>8</v>
      </c>
      <c r="E81" s="56">
        <f>'Mastercurve bestimmen'!A25</f>
        <v>7.2446689325643296E-8</v>
      </c>
    </row>
    <row r="82" spans="1:5" x14ac:dyDescent="0.25">
      <c r="A82" s="50">
        <f t="shared" si="0"/>
        <v>9</v>
      </c>
      <c r="B82" s="56">
        <f>'Mastercurve bestimmen'!C26</f>
        <v>2.8130744653850213E-2</v>
      </c>
      <c r="D82" s="51">
        <f>A82</f>
        <v>9</v>
      </c>
      <c r="E82" s="56">
        <f>'Mastercurve bestimmen'!A26</f>
        <v>8.03104303120212E-7</v>
      </c>
    </row>
    <row r="83" spans="1:5" x14ac:dyDescent="0.25">
      <c r="A83" s="50">
        <f t="shared" si="0"/>
        <v>10</v>
      </c>
      <c r="B83" s="56">
        <f>'Mastercurve bestimmen'!C27</f>
        <v>2.9651765361493738E-2</v>
      </c>
      <c r="C83" s="11"/>
      <c r="D83" s="51">
        <f t="shared" ref="D83:D104" si="1">A83</f>
        <v>10</v>
      </c>
      <c r="E83" s="56">
        <f>'Mastercurve bestimmen'!A27</f>
        <v>8.9027742702096099E-6</v>
      </c>
    </row>
    <row r="84" spans="1:5" x14ac:dyDescent="0.25">
      <c r="A84" s="50">
        <f t="shared" si="0"/>
        <v>11</v>
      </c>
      <c r="B84" s="56">
        <f>'Mastercurve bestimmen'!C28</f>
        <v>3.0087522375858353E-2</v>
      </c>
      <c r="C84" s="11"/>
      <c r="D84" s="51">
        <f t="shared" si="1"/>
        <v>11</v>
      </c>
      <c r="E84" s="56">
        <f>'Mastercurve bestimmen'!A28</f>
        <v>9.86912775817142E-5</v>
      </c>
    </row>
    <row r="85" spans="1:5" x14ac:dyDescent="0.25">
      <c r="A85" s="50">
        <f t="shared" si="0"/>
        <v>12</v>
      </c>
      <c r="B85" s="56">
        <f>'Mastercurve bestimmen'!C29</f>
        <v>2.6649166629010242E-2</v>
      </c>
      <c r="C85" s="11"/>
      <c r="D85" s="51">
        <f t="shared" si="1"/>
        <v>12</v>
      </c>
      <c r="E85" s="56">
        <f>'Mastercurve bestimmen'!A29</f>
        <v>1.0940374286813801E-3</v>
      </c>
    </row>
    <row r="86" spans="1:5" x14ac:dyDescent="0.25">
      <c r="A86" s="50">
        <f t="shared" si="0"/>
        <v>13</v>
      </c>
      <c r="B86" s="56">
        <f>'Mastercurve bestimmen'!C30</f>
        <v>3.2769511002714927E-2</v>
      </c>
      <c r="C86" s="11"/>
      <c r="D86" s="51">
        <f t="shared" si="1"/>
        <v>13</v>
      </c>
      <c r="E86" s="56">
        <f>'Mastercurve bestimmen'!A30</f>
        <v>1.2127899493091E-2</v>
      </c>
    </row>
    <row r="87" spans="1:5" x14ac:dyDescent="0.25">
      <c r="A87" s="50">
        <f t="shared" si="0"/>
        <v>14</v>
      </c>
      <c r="B87" s="56">
        <f>'Mastercurve bestimmen'!C31</f>
        <v>4.1907199465091145E-2</v>
      </c>
      <c r="C87" s="11"/>
      <c r="D87" s="51">
        <f t="shared" si="1"/>
        <v>14</v>
      </c>
      <c r="E87" s="56">
        <f>'Mastercurve bestimmen'!A31</f>
        <v>0.13444324870292301</v>
      </c>
    </row>
    <row r="88" spans="1:5" x14ac:dyDescent="0.25">
      <c r="A88" s="50">
        <f t="shared" si="0"/>
        <v>15</v>
      </c>
      <c r="B88" s="56">
        <f>'Mastercurve bestimmen'!C32</f>
        <v>3.8766931941006839E-2</v>
      </c>
      <c r="C88" s="11"/>
      <c r="D88" s="51">
        <f t="shared" si="1"/>
        <v>15</v>
      </c>
      <c r="E88" s="56">
        <f>'Mastercurve bestimmen'!A32</f>
        <v>1.49036419143257</v>
      </c>
    </row>
    <row r="89" spans="1:5" x14ac:dyDescent="0.25">
      <c r="A89" s="50">
        <f t="shared" si="0"/>
        <v>16</v>
      </c>
      <c r="B89" s="56">
        <f>'Mastercurve bestimmen'!C33</f>
        <v>3.2038673628359195E-2</v>
      </c>
      <c r="C89" s="11"/>
      <c r="D89" s="51">
        <f t="shared" si="1"/>
        <v>16</v>
      </c>
      <c r="E89" s="56">
        <f>'Mastercurve bestimmen'!A33</f>
        <v>16.521360830937301</v>
      </c>
    </row>
    <row r="90" spans="1:5" x14ac:dyDescent="0.25">
      <c r="A90" s="50">
        <f t="shared" si="0"/>
        <v>17</v>
      </c>
      <c r="B90" s="56">
        <f>'Mastercurve bestimmen'!C34</f>
        <v>3.8815204020590376E-2</v>
      </c>
      <c r="C90" s="11"/>
      <c r="D90" s="51">
        <f t="shared" si="1"/>
        <v>17</v>
      </c>
      <c r="E90" s="56">
        <f>'Mastercurve bestimmen'!A34</f>
        <v>183.146753843879</v>
      </c>
    </row>
    <row r="91" spans="1:5" x14ac:dyDescent="0.25">
      <c r="A91" s="50">
        <f t="shared" si="0"/>
        <v>18</v>
      </c>
      <c r="B91" s="56">
        <f>'Mastercurve bestimmen'!C35</f>
        <v>3.675792152056976E-2</v>
      </c>
      <c r="C91" s="11"/>
      <c r="D91" s="51">
        <f t="shared" si="1"/>
        <v>18</v>
      </c>
      <c r="E91" s="56">
        <f>'Mastercurve bestimmen'!A35</f>
        <v>2030.26456396616</v>
      </c>
    </row>
    <row r="92" spans="1:5" x14ac:dyDescent="0.25">
      <c r="A92" s="50">
        <f t="shared" si="0"/>
        <v>19</v>
      </c>
      <c r="B92" s="56">
        <f>'Mastercurve bestimmen'!C36</f>
        <v>3.3395319995761917E-2</v>
      </c>
      <c r="C92" s="11"/>
      <c r="D92" s="51">
        <f t="shared" si="1"/>
        <v>19</v>
      </c>
      <c r="E92" s="56">
        <f>'Mastercurve bestimmen'!A36</f>
        <v>22506.400540467101</v>
      </c>
    </row>
    <row r="93" spans="1:5" x14ac:dyDescent="0.25">
      <c r="A93" s="50">
        <f t="shared" si="0"/>
        <v>20</v>
      </c>
      <c r="B93" s="56">
        <f>'Mastercurve bestimmen'!C37</f>
        <v>3.5168182509434494E-2</v>
      </c>
      <c r="C93" s="11"/>
      <c r="D93" s="51">
        <f t="shared" si="1"/>
        <v>20</v>
      </c>
      <c r="E93" s="56">
        <f>'Mastercurve bestimmen'!A37</f>
        <v>249493.62476110301</v>
      </c>
    </row>
    <row r="94" spans="1:5" x14ac:dyDescent="0.25">
      <c r="A94" s="50">
        <f t="shared" si="0"/>
        <v>21</v>
      </c>
      <c r="B94" s="56">
        <f>'Mastercurve bestimmen'!C38</f>
        <v>2.0659155414283158E-2</v>
      </c>
      <c r="C94" s="11"/>
      <c r="D94" s="51">
        <f t="shared" si="1"/>
        <v>21</v>
      </c>
      <c r="E94" s="56">
        <f>'Mastercurve bestimmen'!A38</f>
        <v>2765749.6224023802</v>
      </c>
    </row>
    <row r="95" spans="1:5" x14ac:dyDescent="0.25">
      <c r="A95" s="50">
        <f t="shared" si="0"/>
        <v>22</v>
      </c>
      <c r="B95" s="56">
        <f>'Mastercurve bestimmen'!C39</f>
        <v>3.0227206274926977E-2</v>
      </c>
      <c r="C95" s="11"/>
      <c r="D95" s="51">
        <f t="shared" si="1"/>
        <v>22</v>
      </c>
      <c r="E95" s="56">
        <f>'Mastercurve bestimmen'!A39</f>
        <v>10000000</v>
      </c>
    </row>
    <row r="96" spans="1:5" x14ac:dyDescent="0.25">
      <c r="A96" s="50">
        <f t="shared" si="0"/>
        <v>23</v>
      </c>
      <c r="B96" s="56">
        <f>'Mastercurve bestimmen'!C40</f>
        <v>3.7583954306508939E-2</v>
      </c>
      <c r="C96" s="11"/>
      <c r="D96" s="51">
        <f t="shared" si="1"/>
        <v>23</v>
      </c>
      <c r="E96" s="56">
        <f>'Mastercurve bestimmen'!A40</f>
        <v>100000000</v>
      </c>
    </row>
    <row r="97" spans="1:5" x14ac:dyDescent="0.25">
      <c r="A97" s="50">
        <f t="shared" si="0"/>
        <v>24</v>
      </c>
      <c r="B97" s="56">
        <f>'Mastercurve bestimmen'!C41</f>
        <v>3.8796261080834012E-2</v>
      </c>
      <c r="C97" s="11"/>
      <c r="D97" s="51">
        <f t="shared" si="1"/>
        <v>24</v>
      </c>
      <c r="E97" s="56">
        <f>'Mastercurve bestimmen'!A41</f>
        <v>1000000000</v>
      </c>
    </row>
    <row r="98" spans="1:5" x14ac:dyDescent="0.25">
      <c r="A98" s="50">
        <f t="shared" si="0"/>
        <v>25</v>
      </c>
      <c r="B98" s="56">
        <f>'Mastercurve bestimmen'!C42</f>
        <v>4.443590866461708E-2</v>
      </c>
      <c r="C98" s="11"/>
      <c r="D98" s="51">
        <f t="shared" si="1"/>
        <v>25</v>
      </c>
      <c r="E98" s="56">
        <f>'Mastercurve bestimmen'!A42</f>
        <v>10000000000</v>
      </c>
    </row>
    <row r="99" spans="1:5" x14ac:dyDescent="0.25">
      <c r="A99" s="50">
        <f t="shared" si="0"/>
        <v>26</v>
      </c>
      <c r="B99" s="56">
        <f>'Mastercurve bestimmen'!C43</f>
        <v>5.224128023540766E-2</v>
      </c>
      <c r="C99" s="11"/>
      <c r="D99" s="51">
        <f t="shared" si="1"/>
        <v>26</v>
      </c>
      <c r="E99" s="56">
        <f>'Mastercurve bestimmen'!A43</f>
        <v>100000000000</v>
      </c>
    </row>
    <row r="100" spans="1:5" x14ac:dyDescent="0.25">
      <c r="A100" s="50">
        <f t="shared" si="0"/>
        <v>27</v>
      </c>
      <c r="B100" s="56">
        <f>'Mastercurve bestimmen'!C44</f>
        <v>5.759294658465644E-2</v>
      </c>
      <c r="C100" s="11"/>
      <c r="D100" s="51">
        <f t="shared" si="1"/>
        <v>27</v>
      </c>
      <c r="E100" s="56">
        <f>'Mastercurve bestimmen'!A44</f>
        <v>1000000000000</v>
      </c>
    </row>
    <row r="101" spans="1:5" x14ac:dyDescent="0.25">
      <c r="A101" s="50">
        <f t="shared" si="0"/>
        <v>28</v>
      </c>
      <c r="B101" s="56">
        <f>'Mastercurve bestimmen'!C45</f>
        <v>5.4172080221644638E-2</v>
      </c>
      <c r="C101" s="11"/>
      <c r="D101" s="51">
        <f t="shared" si="1"/>
        <v>28</v>
      </c>
      <c r="E101" s="56">
        <f>'Mastercurve bestimmen'!A45</f>
        <v>10000000000000</v>
      </c>
    </row>
    <row r="102" spans="1:5" x14ac:dyDescent="0.25">
      <c r="A102" s="50">
        <f t="shared" si="0"/>
        <v>29</v>
      </c>
      <c r="B102" s="56">
        <f>'Mastercurve bestimmen'!C46</f>
        <v>3.8751330064371987E-2</v>
      </c>
      <c r="C102" s="11"/>
      <c r="D102" s="51">
        <f t="shared" si="1"/>
        <v>29</v>
      </c>
      <c r="E102" s="56">
        <f>'Mastercurve bestimmen'!A46</f>
        <v>100000000000000</v>
      </c>
    </row>
    <row r="103" spans="1:5" x14ac:dyDescent="0.25">
      <c r="A103" s="50">
        <f t="shared" si="0"/>
        <v>30</v>
      </c>
      <c r="B103" s="56">
        <f>'Mastercurve bestimmen'!C47</f>
        <v>2.0828240532986285E-2</v>
      </c>
      <c r="C103" s="11"/>
      <c r="D103" s="51">
        <f t="shared" si="1"/>
        <v>30</v>
      </c>
      <c r="E103" s="56">
        <f>'Mastercurve bestimmen'!A47</f>
        <v>1000000000000000</v>
      </c>
    </row>
    <row r="104" spans="1:5" x14ac:dyDescent="0.25">
      <c r="A104" s="50">
        <f t="shared" si="0"/>
        <v>31</v>
      </c>
      <c r="B104" s="56">
        <f>'Mastercurve bestimmen'!C48</f>
        <v>2.990470230026878E-2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03">
        <f>STUTT!D8</f>
        <v>5614.1607000000004</v>
      </c>
      <c r="D113" s="103"/>
    </row>
    <row r="114" spans="1:4" s="11" customFormat="1" x14ac:dyDescent="0.25">
      <c r="A114" s="61" t="str">
        <f>STUTT!B9</f>
        <v>MP,GXY,</v>
      </c>
      <c r="B114" s="52" t="str">
        <f>STUTT!C9</f>
        <v>MatID,</v>
      </c>
      <c r="C114" s="103">
        <f>STUTT!D9</f>
        <v>6353.6364000000003</v>
      </c>
      <c r="D114" s="103"/>
    </row>
    <row r="115" spans="1:4" x14ac:dyDescent="0.25">
      <c r="A115" s="61" t="str">
        <f>STUTT!B10</f>
        <v>MP,GYZ,</v>
      </c>
      <c r="B115" s="52" t="str">
        <f>STUTT!C10</f>
        <v>MatID,</v>
      </c>
      <c r="C115" s="103">
        <f>STUTT!D10</f>
        <v>6353.6364000000003</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6"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90">
        <f>(INDEX(L:L,ROW(L2)*2+1)+INDEX(L:L,ROW(L2)*2+2))/2</f>
        <v>2.4226182285714289E-5</v>
      </c>
      <c r="P5" s="90">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90">
        <f t="shared" ref="O6:O7" si="2">(INDEX(L:L,ROW(L3)*2+1)+INDEX(L:L,ROW(L3)*2+2))/2</f>
        <v>2.6648912571428573E-5</v>
      </c>
      <c r="P6" s="90">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90">
        <f t="shared" si="2"/>
        <v>5.1568891714285722E-5</v>
      </c>
      <c r="P7" s="90">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90">
        <f t="shared" ref="O8:O9" si="4">(INDEX(L:L,ROW(L5)*2+1)+INDEX(L:L,ROW(L5)*2+2))/2</f>
        <v>7.4083502857142863E-5</v>
      </c>
      <c r="P8" s="90">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90">
        <f t="shared" si="4"/>
        <v>7.3900625714285717E-5</v>
      </c>
      <c r="P9" s="90">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N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9" zoomScale="120" zoomScaleNormal="120" zoomScaleSheetLayoutView="110" workbookViewId="0">
      <selection activeCell="D67" sqref="D6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7" t="s">
        <v>26</v>
      </c>
      <c r="B15" s="107"/>
      <c r="C15" s="107"/>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5608.5595412821331</v>
      </c>
      <c r="G16" s="26">
        <f>INDEX(Comparison!$AM$3:$AS$33,G14,$B$3)</f>
        <v>5607.5578036030483</v>
      </c>
      <c r="H16" s="26">
        <f>INDEX(Comparison!$AM$3:$AS$33,H14,$B$3)</f>
        <v>5597.5650860558781</v>
      </c>
      <c r="I16" s="26">
        <f>INDEX(Comparison!$AM$3:$AS$33,I14,$B$3)</f>
        <v>5515.87592015054</v>
      </c>
      <c r="J16" s="26">
        <f>INDEX(Comparison!$AM$3:$AS$33,J14,$B$3)</f>
        <v>5354.4297457358771</v>
      </c>
      <c r="K16" s="26">
        <f>INDEX(Comparison!$AM$3:$AS$33,K14,$B$3)</f>
        <v>5243.0021702463746</v>
      </c>
      <c r="L16" s="26">
        <f>INDEX(Comparison!$AM$3:$AS$33,L14,$B$3)</f>
        <v>5133.7176502815901</v>
      </c>
      <c r="M16" s="26">
        <f>INDEX(Comparison!$AM$3:$AS$33,M14,$B$3)</f>
        <v>5011.8758976932013</v>
      </c>
      <c r="N16" s="26">
        <f>INDEX(Comparison!$AM$3:$AS$33,N14,$B$3)</f>
        <v>4882.7230333645084</v>
      </c>
      <c r="O16" s="26">
        <f>INDEX(Comparison!$AM$3:$AS$33,O14,$B$3)</f>
        <v>4737.6825060207148</v>
      </c>
      <c r="P16" s="26">
        <f>INDEX(Comparison!$AM$3:$AS$33,P14,$B$3)</f>
        <v>4581.7042756516666</v>
      </c>
      <c r="Q16" s="26">
        <f>INDEX(Comparison!$AM$3:$AS$33,Q14,$B$3)</f>
        <v>4422.8560767502513</v>
      </c>
      <c r="R16" s="26">
        <f>INDEX(Comparison!$AM$3:$AS$33,R14,$B$3)</f>
        <v>4270.4317526073974</v>
      </c>
      <c r="S16" s="26">
        <f>INDEX(Comparison!$AM$3:$AS$33,S14,$B$3)</f>
        <v>4104.9210309366072</v>
      </c>
      <c r="T16" s="26">
        <f>INDEX(Comparison!$AM$3:$AS$33,T14,$B$3)</f>
        <v>3904.1870554469519</v>
      </c>
      <c r="U16" s="26">
        <f>INDEX(Comparison!$AM$3:$AS$33,U14,$B$3)</f>
        <v>3689.3430627142566</v>
      </c>
      <c r="V16" s="26">
        <f>INDEX(Comparison!$AM$3:$AS$33,V14,$B$3)</f>
        <v>3495.8611800317371</v>
      </c>
      <c r="W16" s="26">
        <f>INDEX(Comparison!$AM$3:$AS$33,W14,$B$3)</f>
        <v>3307.8943029856523</v>
      </c>
      <c r="X16" s="26">
        <f>INDEX(Comparison!$AM$3:$AS$33,X14,$B$3)</f>
        <v>3103.7900841852515</v>
      </c>
      <c r="Y16" s="26">
        <f>INDEX(Comparison!$AM$3:$AS$33,Y14,$B$3)</f>
        <v>2911.6115267339505</v>
      </c>
      <c r="Z16" s="26">
        <f>INDEX(Comparison!$AM$3:$AS$33,Z14,$B$3)</f>
        <v>2729.2195894835777</v>
      </c>
      <c r="AA16" s="26">
        <f>INDEX(Comparison!$AM$3:$AS$33,AA14,$B$3)</f>
        <v>2550.726219448276</v>
      </c>
      <c r="AB16" s="26">
        <f>INDEX(Comparison!$AM$3:$AS$33,AB14,$B$3)</f>
        <v>2358.1438044871866</v>
      </c>
      <c r="AC16" s="26">
        <f>INDEX(Comparison!$AM$3:$AS$33,AC14,$B$3)</f>
        <v>2158.239452794789</v>
      </c>
      <c r="AD16" s="26">
        <f>INDEX(Comparison!$AM$3:$AS$33,AD14,$B$3)</f>
        <v>1939.4329282086981</v>
      </c>
      <c r="AE16" s="26">
        <f>INDEX(Comparison!$AM$3:$AS$33,AE14,$B$3)</f>
        <v>1697.1946565213088</v>
      </c>
      <c r="AF16" s="26">
        <f>INDEX(Comparison!$AM$3:$AS$33,AF14,$B$3)</f>
        <v>1417.4356606109552</v>
      </c>
      <c r="AG16" s="26">
        <f>INDEX(Comparison!$AM$3:$AS$33,AG14,$B$3)</f>
        <v>1107.9541803332813</v>
      </c>
      <c r="AH16" s="26">
        <f>INDEX(Comparison!$AM$3:$AS$33,AH14,$B$3)</f>
        <v>805.95331833639966</v>
      </c>
      <c r="AI16" s="26">
        <f>INDEX(Comparison!$AM$3:$AS$33,AI14,$B$3)</f>
        <v>565.79561192848462</v>
      </c>
      <c r="AJ16" s="26">
        <f>INDEX(Comparison!$AM$3:$AS$33,AJ14,$B$3)</f>
        <v>408.65393596789795</v>
      </c>
    </row>
    <row r="17" spans="1:36" x14ac:dyDescent="0.25">
      <c r="A17" s="14" t="s">
        <v>20</v>
      </c>
      <c r="B17" s="14">
        <v>6.4061013604562664E-2</v>
      </c>
      <c r="C17" s="18">
        <f t="shared" ref="C17:C48" si="3">ABS(B17/$B$49)</f>
        <v>3.8067425297823199E-2</v>
      </c>
      <c r="D17" s="67"/>
      <c r="E17" s="66" t="s">
        <v>22</v>
      </c>
      <c r="F17" s="27">
        <f>($C$17+SUM(F18:F48))*$B$51</f>
        <v>5610.3057844571304</v>
      </c>
      <c r="G17" s="27">
        <f t="shared" ref="G17:M17" si="4">($C$17+SUM(G18:G48))*$B$51</f>
        <v>5608.6890316646131</v>
      </c>
      <c r="H17" s="27">
        <f t="shared" si="4"/>
        <v>5593.8576262640818</v>
      </c>
      <c r="I17" s="27">
        <f t="shared" si="4"/>
        <v>5516.8298795163337</v>
      </c>
      <c r="J17" s="27">
        <f t="shared" si="4"/>
        <v>5354.2897053831693</v>
      </c>
      <c r="K17" s="27">
        <f t="shared" si="4"/>
        <v>5243.0212592578155</v>
      </c>
      <c r="L17" s="27">
        <f t="shared" si="4"/>
        <v>5133.7112853018562</v>
      </c>
      <c r="M17" s="27">
        <f t="shared" si="4"/>
        <v>5011.8835902043566</v>
      </c>
      <c r="N17" s="27">
        <f t="shared" ref="N17" si="5">($C$17+SUM(N18:N48))*$B$51</f>
        <v>4882.7113456293828</v>
      </c>
      <c r="O17" s="27">
        <f t="shared" ref="O17" si="6">($C$17+SUM(O18:O48))*$B$51</f>
        <v>4737.7085337364169</v>
      </c>
      <c r="P17" s="27">
        <f t="shared" ref="P17" si="7">($C$17+SUM(P18:P48))*$B$51</f>
        <v>4581.6463223791579</v>
      </c>
      <c r="Q17" s="27">
        <f t="shared" ref="Q17" si="8">($C$17+SUM(Q18:Q48))*$B$51</f>
        <v>4422.9528737792252</v>
      </c>
      <c r="R17" s="27">
        <f t="shared" ref="R17" si="9">($C$17+SUM(R18:R48))*$B$51</f>
        <v>4270.3099100151576</v>
      </c>
      <c r="S17" s="27">
        <f t="shared" ref="S17:T17" si="10">($C$17+SUM(S18:S48))*$B$51</f>
        <v>4105.0469363162001</v>
      </c>
      <c r="T17" s="27">
        <f t="shared" si="10"/>
        <v>3904.0733696447942</v>
      </c>
      <c r="U17" s="27">
        <f t="shared" ref="U17" si="11">($C$17+SUM(U18:U48))*$B$51</f>
        <v>3689.4335867656569</v>
      </c>
      <c r="V17" s="27">
        <f t="shared" ref="V17" si="12">($C$17+SUM(V18:V48))*$B$51</f>
        <v>3495.8005490545438</v>
      </c>
      <c r="W17" s="27">
        <f t="shared" ref="W17" si="13">($C$17+SUM(W18:W48))*$B$51</f>
        <v>3307.9270912101065</v>
      </c>
      <c r="X17" s="27">
        <f t="shared" ref="X17" si="14">($C$17+SUM(X18:X48))*$B$51</f>
        <v>3103.7761558653597</v>
      </c>
      <c r="Y17" s="27">
        <f t="shared" ref="Y17" si="15">($C$17+SUM(Y18:Y48))*$B$51</f>
        <v>2911.615827115364</v>
      </c>
      <c r="Z17" s="27">
        <f t="shared" ref="Z17:AA17" si="16">($C$17+SUM(Z18:Z48))*$B$51</f>
        <v>2729.2211569743017</v>
      </c>
      <c r="AA17" s="27">
        <f t="shared" si="16"/>
        <v>2550.7200247367418</v>
      </c>
      <c r="AB17" s="27">
        <f t="shared" ref="AB17" si="17">($C$17+SUM(AB18:AB48))*$B$51</f>
        <v>2358.1548024946833</v>
      </c>
      <c r="AC17" s="27">
        <f t="shared" ref="AC17" si="18">($C$17+SUM(AC18:AC48))*$B$51</f>
        <v>2158.225171749848</v>
      </c>
      <c r="AD17" s="27">
        <f t="shared" ref="AD17" si="19">($C$17+SUM(AD18:AD48))*$B$51</f>
        <v>1939.4462252838016</v>
      </c>
      <c r="AE17" s="27">
        <f t="shared" ref="AE17" si="20">($C$17+SUM(AE18:AE48))*$B$51</f>
        <v>1697.1837482527762</v>
      </c>
      <c r="AF17" s="27">
        <f t="shared" ref="AF17" si="21">($C$17+SUM(AF18:AF48))*$B$51</f>
        <v>1417.4431215051291</v>
      </c>
      <c r="AG17" s="27">
        <f t="shared" ref="AG17:AH17" si="22">($C$17+SUM(AG18:AG48))*$B$51</f>
        <v>1107.948246682379</v>
      </c>
      <c r="AH17" s="27">
        <f t="shared" si="22"/>
        <v>805.95934735621302</v>
      </c>
      <c r="AI17" s="27">
        <f t="shared" ref="AI17" si="23">($C$17+SUM(AI18:AI48))*$B$51</f>
        <v>565.78960943749235</v>
      </c>
      <c r="AJ17" s="27">
        <f t="shared" ref="AJ17" si="24">($C$17+SUM(AJ18:AJ48))*$B$51</f>
        <v>408.65677682193092</v>
      </c>
    </row>
    <row r="18" spans="1:36" x14ac:dyDescent="0.25">
      <c r="A18" s="3">
        <f>0.000000000000001/10^5</f>
        <v>1.0000000000000001E-20</v>
      </c>
      <c r="B18" s="17">
        <v>1.1011707161114625E-3</v>
      </c>
      <c r="C18" s="18">
        <f t="shared" si="3"/>
        <v>6.543563958335178E-4</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1.7779501587797616E-2</v>
      </c>
      <c r="C20" s="18">
        <f t="shared" si="3"/>
        <v>1.0565237894984057E-2</v>
      </c>
      <c r="D20" s="17"/>
      <c r="F20" s="3">
        <f t="shared" si="25"/>
        <v>1.0540852706841642E-2</v>
      </c>
      <c r="G20" s="3">
        <f t="shared" si="25"/>
        <v>1.0323903197907564E-2</v>
      </c>
      <c r="H20" s="3">
        <f t="shared" si="25"/>
        <v>8.3854372550340849E-3</v>
      </c>
      <c r="I20" s="3">
        <f t="shared" si="25"/>
        <v>1.0479573612921108E-3</v>
      </c>
      <c r="J20" s="3">
        <f t="shared" si="25"/>
        <v>9.7391847212686658E-13</v>
      </c>
      <c r="K20" s="3">
        <f t="shared" si="25"/>
        <v>4.6807183273844092E-103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6.07462631462364E-2</v>
      </c>
      <c r="C21" s="18">
        <f t="shared" si="3"/>
        <v>3.6097677890575289E-2</v>
      </c>
      <c r="D21" s="17"/>
      <c r="F21" s="3">
        <f t="shared" si="25"/>
        <v>3.6090154231724292E-2</v>
      </c>
      <c r="G21" s="3">
        <f t="shared" si="25"/>
        <v>3.6022511828199363E-2</v>
      </c>
      <c r="H21" s="3">
        <f t="shared" si="25"/>
        <v>3.5353021609680478E-2</v>
      </c>
      <c r="I21" s="3">
        <f t="shared" si="25"/>
        <v>2.9305693251491027E-2</v>
      </c>
      <c r="J21" s="3">
        <f t="shared" si="25"/>
        <v>4.4895892232341156E-3</v>
      </c>
      <c r="K21" s="3">
        <f t="shared" si="25"/>
        <v>3.1970739445221597E-11</v>
      </c>
      <c r="L21" s="3">
        <f t="shared" si="25"/>
        <v>1.0720460066038545E-92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3.0226001160642252E-2</v>
      </c>
      <c r="C22" s="18">
        <f t="shared" si="3"/>
        <v>1.796140860863173E-2</v>
      </c>
      <c r="D22" s="17"/>
      <c r="F22" s="3">
        <f t="shared" si="25"/>
        <v>1.7961070872135887E-2</v>
      </c>
      <c r="G22" s="3">
        <f t="shared" si="25"/>
        <v>1.7958031529436525E-2</v>
      </c>
      <c r="H22" s="3">
        <f t="shared" si="25"/>
        <v>1.7927666375277523E-2</v>
      </c>
      <c r="I22" s="3">
        <f t="shared" si="25"/>
        <v>1.762682449366058E-2</v>
      </c>
      <c r="J22" s="3">
        <f t="shared" si="25"/>
        <v>1.4882547177021546E-2</v>
      </c>
      <c r="K22" s="3">
        <f t="shared" si="25"/>
        <v>2.7397386947047337E-3</v>
      </c>
      <c r="L22" s="3">
        <f t="shared" si="25"/>
        <v>1.2246948726396994E-10</v>
      </c>
      <c r="M22" s="3">
        <f t="shared" si="25"/>
        <v>3.9013549112128302E-84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3.4299797652516249E-2</v>
      </c>
      <c r="C23" s="18">
        <f t="shared" si="3"/>
        <v>2.0382209262680424E-2</v>
      </c>
      <c r="D23" s="17"/>
      <c r="F23" s="3">
        <f t="shared" si="25"/>
        <v>2.0382174689513571E-2</v>
      </c>
      <c r="G23" s="3">
        <f t="shared" si="25"/>
        <v>2.0381863533650887E-2</v>
      </c>
      <c r="H23" s="3">
        <f t="shared" si="25"/>
        <v>2.0378752236269209E-2</v>
      </c>
      <c r="I23" s="3">
        <f t="shared" si="25"/>
        <v>2.0347665372218222E-2</v>
      </c>
      <c r="J23" s="3">
        <f t="shared" si="25"/>
        <v>2.0039393020241759E-2</v>
      </c>
      <c r="K23" s="3">
        <f t="shared" si="25"/>
        <v>1.7202213114354891E-2</v>
      </c>
      <c r="L23" s="3">
        <f t="shared" si="25"/>
        <v>3.7375062887614963E-3</v>
      </c>
      <c r="M23" s="3">
        <f t="shared" si="25"/>
        <v>8.7610874532504319E-10</v>
      </c>
      <c r="N23" s="3">
        <f t="shared" si="25"/>
        <v>4.3885277567861508E-76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3.9027816578283463E-2</v>
      </c>
      <c r="C24" s="18">
        <f t="shared" si="3"/>
        <v>2.3191773100904155E-2</v>
      </c>
      <c r="D24" s="17"/>
      <c r="F24" s="3">
        <f t="shared" si="25"/>
        <v>2.3191769552208252E-2</v>
      </c>
      <c r="G24" s="3">
        <f t="shared" si="25"/>
        <v>2.3191737613969539E-2</v>
      </c>
      <c r="H24" s="3">
        <f t="shared" si="25"/>
        <v>2.3191418234001476E-2</v>
      </c>
      <c r="I24" s="3">
        <f t="shared" si="25"/>
        <v>2.3188224676215816E-2</v>
      </c>
      <c r="J24" s="3">
        <f t="shared" si="25"/>
        <v>2.3156313275533379E-2</v>
      </c>
      <c r="K24" s="3">
        <f t="shared" si="25"/>
        <v>2.2839604712113642E-2</v>
      </c>
      <c r="L24" s="3">
        <f t="shared" si="25"/>
        <v>1.9901245257951027E-2</v>
      </c>
      <c r="M24" s="3">
        <f t="shared" si="25"/>
        <v>5.0210776546761949E-3</v>
      </c>
      <c r="N24" s="3">
        <f t="shared" si="25"/>
        <v>5.2476371807981496E-9</v>
      </c>
      <c r="O24" s="3">
        <f t="shared" si="25"/>
        <v>8.1589152928200117E-69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3.9965034645062847E-2</v>
      </c>
      <c r="C25" s="18">
        <f t="shared" si="3"/>
        <v>2.374870276432043E-2</v>
      </c>
      <c r="D25" s="17"/>
      <c r="F25" s="3">
        <f t="shared" si="25"/>
        <v>2.3748702436511074E-2</v>
      </c>
      <c r="G25" s="3">
        <f t="shared" si="25"/>
        <v>2.3748699486227071E-2</v>
      </c>
      <c r="H25" s="3">
        <f t="shared" si="25"/>
        <v>2.3748669983407189E-2</v>
      </c>
      <c r="I25" s="3">
        <f t="shared" si="25"/>
        <v>2.3748374957224185E-2</v>
      </c>
      <c r="J25" s="3">
        <f t="shared" si="25"/>
        <v>2.3745424896965277E-2</v>
      </c>
      <c r="K25" s="3">
        <f t="shared" si="25"/>
        <v>2.3715944442227195E-2</v>
      </c>
      <c r="L25" s="3">
        <f t="shared" si="25"/>
        <v>2.342314544971329E-2</v>
      </c>
      <c r="M25" s="3">
        <f t="shared" si="25"/>
        <v>2.0686790904361322E-2</v>
      </c>
      <c r="N25" s="3">
        <f t="shared" si="25"/>
        <v>5.9727208860311781E-3</v>
      </c>
      <c r="O25" s="3">
        <f t="shared" si="25"/>
        <v>2.4041589223023738E-8</v>
      </c>
      <c r="P25" s="3">
        <f t="shared" si="25"/>
        <v>2.6845574182074658E-62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4.7339267152376213E-2</v>
      </c>
      <c r="C26" s="18">
        <f t="shared" si="3"/>
        <v>2.8130744653850213E-2</v>
      </c>
      <c r="D26" s="17"/>
      <c r="F26" s="3">
        <f t="shared" si="25"/>
        <v>2.8130744618822701E-2</v>
      </c>
      <c r="G26" s="3">
        <f t="shared" si="25"/>
        <v>2.8130744303575105E-2</v>
      </c>
      <c r="H26" s="3">
        <f t="shared" si="25"/>
        <v>2.8130741151099353E-2</v>
      </c>
      <c r="I26" s="3">
        <f t="shared" si="25"/>
        <v>2.8130709626361217E-2</v>
      </c>
      <c r="J26" s="3">
        <f t="shared" si="25"/>
        <v>2.8130394380922925E-2</v>
      </c>
      <c r="K26" s="3">
        <f t="shared" si="25"/>
        <v>2.8127242120836542E-2</v>
      </c>
      <c r="L26" s="3">
        <f t="shared" si="25"/>
        <v>2.8095738941570809E-2</v>
      </c>
      <c r="M26" s="3">
        <f t="shared" si="25"/>
        <v>2.7782641279816649E-2</v>
      </c>
      <c r="N26" s="3">
        <f t="shared" si="25"/>
        <v>2.4837292821812507E-2</v>
      </c>
      <c r="O26" s="3">
        <f t="shared" si="25"/>
        <v>8.0986292481111839E-3</v>
      </c>
      <c r="P26" s="3">
        <f t="shared" si="25"/>
        <v>1.1002316109285392E-7</v>
      </c>
      <c r="Q26" s="3">
        <f t="shared" si="25"/>
        <v>2.3561890228560274E-56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4.9898886761079959E-2</v>
      </c>
      <c r="C27" s="18">
        <f t="shared" si="3"/>
        <v>2.9651765361493738E-2</v>
      </c>
      <c r="D27" s="17"/>
      <c r="F27" s="3">
        <f t="shared" si="25"/>
        <v>2.9651765358163117E-2</v>
      </c>
      <c r="G27" s="3">
        <f t="shared" si="25"/>
        <v>2.9651765328187529E-2</v>
      </c>
      <c r="H27" s="3">
        <f t="shared" si="25"/>
        <v>2.965176502843166E-2</v>
      </c>
      <c r="I27" s="3">
        <f t="shared" si="25"/>
        <v>2.9651762030873104E-2</v>
      </c>
      <c r="J27" s="3">
        <f t="shared" si="25"/>
        <v>2.9651732055304216E-2</v>
      </c>
      <c r="K27" s="3">
        <f t="shared" si="25"/>
        <v>2.9651432301282043E-2</v>
      </c>
      <c r="L27" s="3">
        <f t="shared" si="25"/>
        <v>2.9648434927719555E-2</v>
      </c>
      <c r="M27" s="3">
        <f t="shared" si="25"/>
        <v>2.9618477851790195E-2</v>
      </c>
      <c r="N27" s="3">
        <f t="shared" si="25"/>
        <v>2.9320566847459054E-2</v>
      </c>
      <c r="O27" s="3">
        <f t="shared" si="25"/>
        <v>2.6501388463110048E-2</v>
      </c>
      <c r="P27" s="3">
        <f t="shared" si="25"/>
        <v>9.643424569612374E-3</v>
      </c>
      <c r="Q27" s="3">
        <f t="shared" si="25"/>
        <v>3.9251647004997757E-7</v>
      </c>
      <c r="R27" s="3">
        <f t="shared" si="25"/>
        <v>4.8991851403925825E-51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5.0632191832465798E-2</v>
      </c>
      <c r="C28" s="18">
        <f t="shared" si="3"/>
        <v>3.0087522375858353E-2</v>
      </c>
      <c r="D28" s="17"/>
      <c r="F28" s="3">
        <f t="shared" si="25"/>
        <v>3.008752237555349E-2</v>
      </c>
      <c r="G28" s="3">
        <f t="shared" si="25"/>
        <v>3.0087522372809702E-2</v>
      </c>
      <c r="H28" s="3">
        <f t="shared" si="25"/>
        <v>3.0087522345371848E-2</v>
      </c>
      <c r="I28" s="3">
        <f t="shared" si="25"/>
        <v>3.0087522070993293E-2</v>
      </c>
      <c r="J28" s="3">
        <f t="shared" si="25"/>
        <v>3.0087519327207896E-2</v>
      </c>
      <c r="K28" s="3">
        <f t="shared" si="25"/>
        <v>3.0087491889367685E-2</v>
      </c>
      <c r="L28" s="3">
        <f t="shared" si="25"/>
        <v>3.0087217512341728E-2</v>
      </c>
      <c r="M28" s="3">
        <f t="shared" si="25"/>
        <v>3.0084473879695445E-2</v>
      </c>
      <c r="N28" s="3">
        <f t="shared" si="25"/>
        <v>3.0057051309917333E-2</v>
      </c>
      <c r="O28" s="3">
        <f t="shared" si="25"/>
        <v>2.9784196650185262E-2</v>
      </c>
      <c r="P28" s="3">
        <f t="shared" si="25"/>
        <v>2.7188238446085054E-2</v>
      </c>
      <c r="Q28" s="3">
        <f t="shared" si="25"/>
        <v>1.0922771909129532E-2</v>
      </c>
      <c r="R28" s="3">
        <f t="shared" si="25"/>
        <v>1.1963294974720388E-6</v>
      </c>
      <c r="S28" s="3">
        <f t="shared" si="25"/>
        <v>2.9718731942739488E-46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4.484602288216491E-2</v>
      </c>
      <c r="C29" s="18">
        <f t="shared" si="3"/>
        <v>2.6649166629010242E-2</v>
      </c>
      <c r="D29" s="17"/>
      <c r="F29" s="3">
        <f t="shared" si="25"/>
        <v>2.6649166628985883E-2</v>
      </c>
      <c r="G29" s="3">
        <f t="shared" si="25"/>
        <v>2.6649166628766655E-2</v>
      </c>
      <c r="H29" s="3">
        <f t="shared" si="25"/>
        <v>2.6649166626574388E-2</v>
      </c>
      <c r="I29" s="3">
        <f t="shared" si="25"/>
        <v>2.6649166604651692E-2</v>
      </c>
      <c r="J29" s="3">
        <f t="shared" si="25"/>
        <v>2.6649166385424732E-2</v>
      </c>
      <c r="K29" s="3">
        <f t="shared" si="25"/>
        <v>2.6649164193155241E-2</v>
      </c>
      <c r="L29" s="3">
        <f t="shared" si="25"/>
        <v>2.6649142270470258E-2</v>
      </c>
      <c r="M29" s="3">
        <f t="shared" si="25"/>
        <v>2.6648923044612322E-2</v>
      </c>
      <c r="N29" s="3">
        <f t="shared" si="25"/>
        <v>2.6646730885219402E-2</v>
      </c>
      <c r="O29" s="3">
        <f t="shared" si="25"/>
        <v>2.6624819206915631E-2</v>
      </c>
      <c r="P29" s="3">
        <f t="shared" si="25"/>
        <v>2.6406690974960664E-2</v>
      </c>
      <c r="Q29" s="3">
        <f t="shared" si="25"/>
        <v>2.4321319906996899E-2</v>
      </c>
      <c r="R29" s="3">
        <f t="shared" si="25"/>
        <v>1.0683626850972726E-2</v>
      </c>
      <c r="S29" s="3">
        <f t="shared" si="25"/>
        <v>2.8578170186588829E-6</v>
      </c>
      <c r="T29" s="3">
        <f t="shared" si="25"/>
        <v>5.360329550032084E-42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5.5145523337503673E-2</v>
      </c>
      <c r="C30" s="18">
        <f t="shared" si="3"/>
        <v>3.2769511002714927E-2</v>
      </c>
      <c r="D30" s="17"/>
      <c r="F30" s="3">
        <f t="shared" si="25"/>
        <v>3.2769511002712221E-2</v>
      </c>
      <c r="G30" s="3">
        <f t="shared" si="25"/>
        <v>3.2769511002687907E-2</v>
      </c>
      <c r="H30" s="3">
        <f t="shared" si="25"/>
        <v>3.2769511002444726E-2</v>
      </c>
      <c r="I30" s="3">
        <f t="shared" si="25"/>
        <v>3.2769511000012935E-2</v>
      </c>
      <c r="J30" s="3">
        <f t="shared" si="25"/>
        <v>3.2769510975694985E-2</v>
      </c>
      <c r="K30" s="3">
        <f t="shared" si="25"/>
        <v>3.2769510732515536E-2</v>
      </c>
      <c r="L30" s="3">
        <f t="shared" si="25"/>
        <v>3.276950830072109E-2</v>
      </c>
      <c r="M30" s="3">
        <f t="shared" si="25"/>
        <v>3.2769483982786611E-2</v>
      </c>
      <c r="N30" s="3">
        <f t="shared" si="25"/>
        <v>3.2769240804434323E-2</v>
      </c>
      <c r="O30" s="3">
        <f t="shared" si="25"/>
        <v>3.2766809120162096E-2</v>
      </c>
      <c r="P30" s="3">
        <f t="shared" si="25"/>
        <v>3.2742502199777472E-2</v>
      </c>
      <c r="Q30" s="3">
        <f t="shared" si="25"/>
        <v>3.2500422510687327E-2</v>
      </c>
      <c r="R30" s="3">
        <f t="shared" si="25"/>
        <v>3.0175913240306024E-2</v>
      </c>
      <c r="S30" s="3">
        <f t="shared" si="25"/>
        <v>1.4367280715828891E-2</v>
      </c>
      <c r="T30" s="3">
        <f t="shared" si="25"/>
        <v>8.6003500179971595E-6</v>
      </c>
      <c r="U30" s="3">
        <f t="shared" si="25"/>
        <v>5.0807943754123155E-38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7.0522701602722768E-2</v>
      </c>
      <c r="C31" s="18">
        <f t="shared" si="3"/>
        <v>4.1907199465091145E-2</v>
      </c>
      <c r="D31" s="17"/>
      <c r="F31" s="3">
        <f t="shared" si="25"/>
        <v>4.1907199465090833E-2</v>
      </c>
      <c r="G31" s="3">
        <f t="shared" si="25"/>
        <v>4.190719946508803E-2</v>
      </c>
      <c r="H31" s="3">
        <f t="shared" si="25"/>
        <v>4.1907199465059976E-2</v>
      </c>
      <c r="I31" s="3">
        <f t="shared" si="25"/>
        <v>4.1907199464779436E-2</v>
      </c>
      <c r="J31" s="3">
        <f t="shared" si="25"/>
        <v>4.1907199461974055E-2</v>
      </c>
      <c r="K31" s="3">
        <f t="shared" si="25"/>
        <v>4.1907199433920225E-2</v>
      </c>
      <c r="L31" s="3">
        <f t="shared" si="25"/>
        <v>4.1907199153381931E-2</v>
      </c>
      <c r="M31" s="3">
        <f t="shared" si="25"/>
        <v>4.1907196347999116E-2</v>
      </c>
      <c r="N31" s="3">
        <f t="shared" si="25"/>
        <v>4.1907168294181278E-2</v>
      </c>
      <c r="O31" s="3">
        <f t="shared" si="25"/>
        <v>4.1906887757035778E-2</v>
      </c>
      <c r="P31" s="3">
        <f t="shared" si="25"/>
        <v>4.1904082488867948E-2</v>
      </c>
      <c r="Q31" s="3">
        <f t="shared" si="25"/>
        <v>4.1876040133349314E-2</v>
      </c>
      <c r="R31" s="3">
        <f t="shared" si="25"/>
        <v>4.1596646641034012E-2</v>
      </c>
      <c r="S31" s="3">
        <f t="shared" si="25"/>
        <v>3.8903211703262518E-2</v>
      </c>
      <c r="T31" s="3">
        <f t="shared" si="25"/>
        <v>1.9918508379943616E-2</v>
      </c>
      <c r="U31" s="3">
        <f t="shared" si="25"/>
        <v>2.4658711191872371E-5</v>
      </c>
      <c r="V31" s="3">
        <f t="shared" si="26"/>
        <v>2.0849996589379197E-34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6.5238164521255512E-2</v>
      </c>
      <c r="C32" s="18">
        <f t="shared" si="3"/>
        <v>3.8766931941006839E-2</v>
      </c>
      <c r="D32" s="17"/>
      <c r="F32" s="3">
        <f t="shared" si="25"/>
        <v>3.8766931941006812E-2</v>
      </c>
      <c r="G32" s="3">
        <f t="shared" si="25"/>
        <v>3.8766931941006583E-2</v>
      </c>
      <c r="H32" s="3">
        <f t="shared" si="25"/>
        <v>3.8766931941004237E-2</v>
      </c>
      <c r="I32" s="3">
        <f t="shared" si="25"/>
        <v>3.8766931940980826E-2</v>
      </c>
      <c r="J32" s="3">
        <f t="shared" si="25"/>
        <v>3.8766931940746721E-2</v>
      </c>
      <c r="K32" s="3">
        <f t="shared" si="25"/>
        <v>3.876693193840567E-2</v>
      </c>
      <c r="L32" s="3">
        <f t="shared" si="25"/>
        <v>3.8766931914995119E-2</v>
      </c>
      <c r="M32" s="3">
        <f t="shared" si="25"/>
        <v>3.8766931680889669E-2</v>
      </c>
      <c r="N32" s="3">
        <f t="shared" si="25"/>
        <v>3.87669293398352E-2</v>
      </c>
      <c r="O32" s="3">
        <f t="shared" si="25"/>
        <v>3.8766905929298323E-2</v>
      </c>
      <c r="P32" s="3">
        <f t="shared" si="25"/>
        <v>3.8766671824707041E-2</v>
      </c>
      <c r="Q32" s="3">
        <f t="shared" si="25"/>
        <v>3.8764330856546604E-2</v>
      </c>
      <c r="R32" s="3">
        <f t="shared" si="25"/>
        <v>3.8740928948440626E-2</v>
      </c>
      <c r="S32" s="3">
        <f t="shared" si="25"/>
        <v>3.8507685483145752E-2</v>
      </c>
      <c r="T32" s="3">
        <f t="shared" si="25"/>
        <v>3.6251107044448255E-2</v>
      </c>
      <c r="U32" s="3">
        <f t="shared" si="25"/>
        <v>1.9818001212162244E-2</v>
      </c>
      <c r="V32" s="3">
        <f t="shared" si="26"/>
        <v>4.7254766345160262E-5</v>
      </c>
      <c r="W32" s="3">
        <f t="shared" si="26"/>
        <v>2.8073936597753337E-31</v>
      </c>
      <c r="X32" s="3">
        <f t="shared" si="26"/>
        <v>1.5377306166327592E-293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5.3915648119649037E-2</v>
      </c>
      <c r="C33" s="18">
        <f t="shared" si="3"/>
        <v>3.2038673628359195E-2</v>
      </c>
      <c r="D33" s="17"/>
      <c r="F33" s="3">
        <f t="shared" si="25"/>
        <v>3.2038673628359188E-2</v>
      </c>
      <c r="G33" s="3">
        <f t="shared" si="25"/>
        <v>3.2038673628359174E-2</v>
      </c>
      <c r="H33" s="3">
        <f t="shared" si="25"/>
        <v>3.2038673628359E-2</v>
      </c>
      <c r="I33" s="3">
        <f t="shared" si="25"/>
        <v>3.2038673628357259E-2</v>
      </c>
      <c r="J33" s="3">
        <f t="shared" si="25"/>
        <v>3.20386736283398E-2</v>
      </c>
      <c r="K33" s="3">
        <f t="shared" si="25"/>
        <v>3.2038673628165273E-2</v>
      </c>
      <c r="L33" s="3">
        <f t="shared" si="25"/>
        <v>3.2038673626419968E-2</v>
      </c>
      <c r="M33" s="3">
        <f t="shared" si="25"/>
        <v>3.2038673608966922E-2</v>
      </c>
      <c r="N33" s="3">
        <f t="shared" si="25"/>
        <v>3.203867343443647E-2</v>
      </c>
      <c r="O33" s="3">
        <f t="shared" si="25"/>
        <v>3.2038671689131971E-2</v>
      </c>
      <c r="P33" s="3">
        <f t="shared" si="25"/>
        <v>3.2038654236092264E-2</v>
      </c>
      <c r="Q33" s="3">
        <f t="shared" si="25"/>
        <v>3.2038479706218065E-2</v>
      </c>
      <c r="R33" s="3">
        <f t="shared" si="25"/>
        <v>3.2036734459766354E-2</v>
      </c>
      <c r="S33" s="3">
        <f t="shared" si="25"/>
        <v>3.2019287223222413E-2</v>
      </c>
      <c r="T33" s="3">
        <f t="shared" si="25"/>
        <v>3.1845336602893605E-2</v>
      </c>
      <c r="U33" s="3">
        <f t="shared" ref="P33:AE48" si="27">$C33*EXP(-U$15/$A33)</f>
        <v>3.0156968443221816E-2</v>
      </c>
      <c r="V33" s="3">
        <f t="shared" si="27"/>
        <v>1.74906544526756E-2</v>
      </c>
      <c r="W33" s="3">
        <f t="shared" si="27"/>
        <v>7.5333794576275536E-5</v>
      </c>
      <c r="X33" s="3">
        <f t="shared" si="27"/>
        <v>1.6551131118752751E-28</v>
      </c>
      <c r="Y33" s="3">
        <f t="shared" si="27"/>
        <v>4.337165917992867E-265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6.5319398235454157E-2</v>
      </c>
      <c r="C34" s="18">
        <f t="shared" si="3"/>
        <v>3.8815204020590376E-2</v>
      </c>
      <c r="D34" s="17"/>
      <c r="F34" s="3">
        <f t="shared" ref="F34:O48" si="28">$C34*EXP(-F$15/$A34)</f>
        <v>3.8815204020590376E-2</v>
      </c>
      <c r="G34" s="3">
        <f t="shared" si="28"/>
        <v>3.8815204020590376E-2</v>
      </c>
      <c r="H34" s="3">
        <f t="shared" si="28"/>
        <v>3.8815204020590355E-2</v>
      </c>
      <c r="I34" s="3">
        <f t="shared" si="28"/>
        <v>3.8815204020590167E-2</v>
      </c>
      <c r="J34" s="3">
        <f t="shared" si="28"/>
        <v>3.8815204020588252E-2</v>
      </c>
      <c r="K34" s="3">
        <f t="shared" si="28"/>
        <v>3.8815204020569184E-2</v>
      </c>
      <c r="L34" s="3">
        <f t="shared" si="28"/>
        <v>3.8815204020378441E-2</v>
      </c>
      <c r="M34" s="3">
        <f t="shared" si="28"/>
        <v>3.8815204018471029E-2</v>
      </c>
      <c r="N34" s="3">
        <f t="shared" si="28"/>
        <v>3.8815203999396877E-2</v>
      </c>
      <c r="O34" s="3">
        <f t="shared" si="28"/>
        <v>3.8815203808655392E-2</v>
      </c>
      <c r="P34" s="3">
        <f t="shared" si="27"/>
        <v>3.881520190124061E-2</v>
      </c>
      <c r="Q34" s="3">
        <f t="shared" si="27"/>
        <v>3.8815182827097935E-2</v>
      </c>
      <c r="R34" s="3">
        <f t="shared" si="27"/>
        <v>3.8814992086186745E-2</v>
      </c>
      <c r="S34" s="3">
        <f t="shared" si="27"/>
        <v>3.88130847286264E-2</v>
      </c>
      <c r="T34" s="3">
        <f t="shared" si="27"/>
        <v>3.8794016307248248E-2</v>
      </c>
      <c r="U34" s="3">
        <f t="shared" si="27"/>
        <v>3.8603846580076075E-2</v>
      </c>
      <c r="V34" s="3">
        <f t="shared" si="27"/>
        <v>3.6752674691230003E-2</v>
      </c>
      <c r="W34" s="3">
        <f t="shared" si="27"/>
        <v>2.248395182656136E-2</v>
      </c>
      <c r="X34" s="3">
        <f t="shared" si="27"/>
        <v>1.6508575563931513E-4</v>
      </c>
      <c r="Y34" s="3">
        <f t="shared" si="27"/>
        <v>7.5175990725543915E-26</v>
      </c>
      <c r="Z34" s="3">
        <f t="shared" si="27"/>
        <v>2.8825360236964168E-239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6.1857341077893112E-2</v>
      </c>
      <c r="C35" s="18">
        <f t="shared" si="3"/>
        <v>3.675792152056976E-2</v>
      </c>
      <c r="D35" s="17"/>
      <c r="F35" s="3">
        <f t="shared" si="28"/>
        <v>3.675792152056976E-2</v>
      </c>
      <c r="G35" s="3">
        <f t="shared" si="28"/>
        <v>3.675792152056976E-2</v>
      </c>
      <c r="H35" s="3">
        <f t="shared" si="28"/>
        <v>3.675792152056976E-2</v>
      </c>
      <c r="I35" s="3">
        <f t="shared" si="28"/>
        <v>3.6757921520569746E-2</v>
      </c>
      <c r="J35" s="3">
        <f t="shared" si="28"/>
        <v>3.6757921520569579E-2</v>
      </c>
      <c r="K35" s="3">
        <f t="shared" si="28"/>
        <v>3.6757921520567949E-2</v>
      </c>
      <c r="L35" s="3">
        <f t="shared" si="28"/>
        <v>3.6757921520551656E-2</v>
      </c>
      <c r="M35" s="3">
        <f t="shared" si="28"/>
        <v>3.675792152038871E-2</v>
      </c>
      <c r="N35" s="3">
        <f t="shared" si="28"/>
        <v>3.6757921518759257E-2</v>
      </c>
      <c r="O35" s="3">
        <f t="shared" si="28"/>
        <v>3.675792150246477E-2</v>
      </c>
      <c r="P35" s="3">
        <f t="shared" si="27"/>
        <v>3.6757921339519849E-2</v>
      </c>
      <c r="Q35" s="3">
        <f t="shared" si="27"/>
        <v>3.6757919710070711E-2</v>
      </c>
      <c r="R35" s="3">
        <f t="shared" si="27"/>
        <v>3.6757903415583285E-2</v>
      </c>
      <c r="S35" s="3">
        <f t="shared" si="27"/>
        <v>3.6757740471106318E-2</v>
      </c>
      <c r="T35" s="3">
        <f t="shared" si="27"/>
        <v>3.6756111066063572E-2</v>
      </c>
      <c r="U35" s="3">
        <f t="shared" si="27"/>
        <v>3.6739820987681873E-2</v>
      </c>
      <c r="V35" s="3">
        <f t="shared" si="27"/>
        <v>3.6577316757723875E-2</v>
      </c>
      <c r="W35" s="3">
        <f t="shared" si="27"/>
        <v>3.4991287064482901E-2</v>
      </c>
      <c r="X35" s="3">
        <f t="shared" si="27"/>
        <v>2.2461598297593994E-2</v>
      </c>
      <c r="Y35" s="3">
        <f t="shared" si="27"/>
        <v>2.6683822616376489E-4</v>
      </c>
      <c r="Z35" s="3">
        <f t="shared" si="27"/>
        <v>1.4939013989428748E-23</v>
      </c>
      <c r="AA35" s="3">
        <f t="shared" si="27"/>
        <v>4.519192321065844E-216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5.6198653621566598E-2</v>
      </c>
      <c r="C36" s="18">
        <f t="shared" si="3"/>
        <v>3.3395319995761917E-2</v>
      </c>
      <c r="D36" s="17"/>
      <c r="F36" s="3">
        <f t="shared" si="28"/>
        <v>3.3395319995761917E-2</v>
      </c>
      <c r="G36" s="3">
        <f t="shared" si="28"/>
        <v>3.3395319995761917E-2</v>
      </c>
      <c r="H36" s="3">
        <f t="shared" si="28"/>
        <v>3.3395319995761917E-2</v>
      </c>
      <c r="I36" s="3">
        <f t="shared" si="28"/>
        <v>3.3395319995761917E-2</v>
      </c>
      <c r="J36" s="3">
        <f t="shared" si="28"/>
        <v>3.3395319995761903E-2</v>
      </c>
      <c r="K36" s="3">
        <f t="shared" si="28"/>
        <v>3.3395319995761771E-2</v>
      </c>
      <c r="L36" s="3">
        <f t="shared" si="28"/>
        <v>3.3395319995760432E-2</v>
      </c>
      <c r="M36" s="3">
        <f t="shared" si="28"/>
        <v>3.3395319995747082E-2</v>
      </c>
      <c r="N36" s="3">
        <f t="shared" si="28"/>
        <v>3.3395319995613536E-2</v>
      </c>
      <c r="O36" s="3">
        <f t="shared" si="28"/>
        <v>3.3395319994278104E-2</v>
      </c>
      <c r="P36" s="3">
        <f t="shared" si="27"/>
        <v>3.3395319980923772E-2</v>
      </c>
      <c r="Q36" s="3">
        <f t="shared" si="27"/>
        <v>3.3395319847380485E-2</v>
      </c>
      <c r="R36" s="3">
        <f t="shared" si="27"/>
        <v>3.3395318511947603E-2</v>
      </c>
      <c r="S36" s="3">
        <f t="shared" si="27"/>
        <v>3.3395305157621756E-2</v>
      </c>
      <c r="T36" s="3">
        <f t="shared" si="27"/>
        <v>3.3395171614656972E-2</v>
      </c>
      <c r="U36" s="3">
        <f t="shared" si="27"/>
        <v>3.3393836214379836E-2</v>
      </c>
      <c r="V36" s="3">
        <f t="shared" si="27"/>
        <v>3.3380485148242565E-2</v>
      </c>
      <c r="W36" s="3">
        <f t="shared" si="27"/>
        <v>3.3247267716244693E-2</v>
      </c>
      <c r="X36" s="3">
        <f t="shared" si="27"/>
        <v>3.1943987079280318E-2</v>
      </c>
      <c r="Y36" s="3">
        <f t="shared" si="27"/>
        <v>2.1415130829764331E-2</v>
      </c>
      <c r="Z36" s="3">
        <f t="shared" si="27"/>
        <v>3.9267824029818276E-4</v>
      </c>
      <c r="AA36" s="3">
        <f t="shared" si="27"/>
        <v>1.6873216463039928E-21</v>
      </c>
      <c r="AB36" s="3">
        <f t="shared" si="27"/>
        <v>3.6208313509432843E-195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5.9182080231558333E-2</v>
      </c>
      <c r="C37" s="18">
        <f t="shared" si="3"/>
        <v>3.5168182509434494E-2</v>
      </c>
      <c r="D37" s="17"/>
      <c r="F37" s="3">
        <f t="shared" si="28"/>
        <v>3.5168182509434494E-2</v>
      </c>
      <c r="G37" s="3">
        <f t="shared" si="28"/>
        <v>3.5168182509434494E-2</v>
      </c>
      <c r="H37" s="3">
        <f t="shared" si="28"/>
        <v>3.5168182509434494E-2</v>
      </c>
      <c r="I37" s="3">
        <f t="shared" si="28"/>
        <v>3.5168182509434494E-2</v>
      </c>
      <c r="J37" s="3">
        <f t="shared" si="28"/>
        <v>3.5168182509434494E-2</v>
      </c>
      <c r="K37" s="3">
        <f t="shared" si="28"/>
        <v>3.516818250943448E-2</v>
      </c>
      <c r="L37" s="3">
        <f t="shared" si="28"/>
        <v>3.5168182509434355E-2</v>
      </c>
      <c r="M37" s="3">
        <f t="shared" si="28"/>
        <v>3.5168182509433085E-2</v>
      </c>
      <c r="N37" s="3">
        <f t="shared" si="28"/>
        <v>3.5168182509420401E-2</v>
      </c>
      <c r="O37" s="3">
        <f t="shared" si="28"/>
        <v>3.5168182509293537E-2</v>
      </c>
      <c r="P37" s="3">
        <f t="shared" si="27"/>
        <v>3.5168182508024913E-2</v>
      </c>
      <c r="Q37" s="3">
        <f t="shared" si="27"/>
        <v>3.5168182495338672E-2</v>
      </c>
      <c r="R37" s="3">
        <f t="shared" si="27"/>
        <v>3.5168182368476256E-2</v>
      </c>
      <c r="S37" s="3">
        <f t="shared" si="27"/>
        <v>3.5168181099852112E-2</v>
      </c>
      <c r="T37" s="3">
        <f t="shared" si="27"/>
        <v>3.5168168413613213E-2</v>
      </c>
      <c r="U37" s="3">
        <f t="shared" si="27"/>
        <v>3.516804155147589E-2</v>
      </c>
      <c r="V37" s="3">
        <f t="shared" si="27"/>
        <v>3.516677295527209E-2</v>
      </c>
      <c r="W37" s="3">
        <f t="shared" si="27"/>
        <v>3.5154089509834771E-2</v>
      </c>
      <c r="X37" s="3">
        <f t="shared" si="27"/>
        <v>3.502750637996984E-2</v>
      </c>
      <c r="Y37" s="3">
        <f t="shared" si="27"/>
        <v>3.378647530055863E-2</v>
      </c>
      <c r="Z37" s="3">
        <f t="shared" si="27"/>
        <v>2.3554807107154418E-2</v>
      </c>
      <c r="AA37" s="3">
        <f t="shared" si="27"/>
        <v>6.3891958353104765E-4</v>
      </c>
      <c r="AB37" s="3">
        <f t="shared" si="27"/>
        <v>1.3775668327588056E-19</v>
      </c>
      <c r="AC37" s="3">
        <f t="shared" si="27"/>
        <v>2.9907317240366583E-176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3.4765851005133415E-2</v>
      </c>
      <c r="C38" s="18">
        <f t="shared" si="3"/>
        <v>2.0659155414283158E-2</v>
      </c>
      <c r="D38" s="17"/>
      <c r="F38" s="3">
        <f t="shared" si="28"/>
        <v>2.0659155414283158E-2</v>
      </c>
      <c r="G38" s="3">
        <f t="shared" si="28"/>
        <v>2.0659155414283158E-2</v>
      </c>
      <c r="H38" s="3">
        <f t="shared" si="28"/>
        <v>2.0659155414283158E-2</v>
      </c>
      <c r="I38" s="3">
        <f t="shared" si="28"/>
        <v>2.0659155414283158E-2</v>
      </c>
      <c r="J38" s="3">
        <f t="shared" si="28"/>
        <v>2.0659155414283158E-2</v>
      </c>
      <c r="K38" s="3">
        <f t="shared" si="28"/>
        <v>2.0659155414283158E-2</v>
      </c>
      <c r="L38" s="3">
        <f t="shared" si="28"/>
        <v>2.0659155414283151E-2</v>
      </c>
      <c r="M38" s="3">
        <f t="shared" si="28"/>
        <v>2.0659155414283082E-2</v>
      </c>
      <c r="N38" s="3">
        <f t="shared" si="28"/>
        <v>2.0659155414282409E-2</v>
      </c>
      <c r="O38" s="3">
        <f t="shared" si="28"/>
        <v>2.0659155414275689E-2</v>
      </c>
      <c r="P38" s="3">
        <f t="shared" si="27"/>
        <v>2.0659155414208461E-2</v>
      </c>
      <c r="Q38" s="3">
        <f t="shared" si="27"/>
        <v>2.0659155413536197E-2</v>
      </c>
      <c r="R38" s="3">
        <f t="shared" si="27"/>
        <v>2.0659155406813515E-2</v>
      </c>
      <c r="S38" s="3">
        <f t="shared" si="27"/>
        <v>2.0659155339586753E-2</v>
      </c>
      <c r="T38" s="3">
        <f t="shared" si="27"/>
        <v>2.0659154667319119E-2</v>
      </c>
      <c r="U38" s="3">
        <f t="shared" si="27"/>
        <v>2.0659147944644001E-2</v>
      </c>
      <c r="V38" s="3">
        <f t="shared" si="27"/>
        <v>2.0659080718013118E-2</v>
      </c>
      <c r="W38" s="3">
        <f t="shared" si="27"/>
        <v>2.0658408463736028E-2</v>
      </c>
      <c r="X38" s="3">
        <f t="shared" si="27"/>
        <v>2.0651687123995125E-2</v>
      </c>
      <c r="Y38" s="3">
        <f t="shared" si="27"/>
        <v>2.0584593884863417E-2</v>
      </c>
      <c r="Z38" s="3">
        <f t="shared" si="27"/>
        <v>1.9925533899711606E-2</v>
      </c>
      <c r="AA38" s="3">
        <f t="shared" si="27"/>
        <v>1.4390855272020118E-2</v>
      </c>
      <c r="AB38" s="3">
        <f t="shared" si="27"/>
        <v>5.5571611448511067E-4</v>
      </c>
      <c r="AC38" s="3">
        <f t="shared" si="27"/>
        <v>4.0974799791827701E-18</v>
      </c>
      <c r="AD38" s="3">
        <f t="shared" si="27"/>
        <v>1.9460560180191825E-159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5.0867256118756921E-2</v>
      </c>
      <c r="C39" s="18">
        <f t="shared" si="3"/>
        <v>3.0227206274926977E-2</v>
      </c>
      <c r="D39" s="17"/>
      <c r="F39" s="3">
        <f t="shared" si="28"/>
        <v>3.0227206274926977E-2</v>
      </c>
      <c r="G39" s="3">
        <f t="shared" si="28"/>
        <v>3.0227206274926977E-2</v>
      </c>
      <c r="H39" s="3">
        <f t="shared" si="28"/>
        <v>3.0227206274926977E-2</v>
      </c>
      <c r="I39" s="3">
        <f t="shared" si="28"/>
        <v>3.0227206274926977E-2</v>
      </c>
      <c r="J39" s="3">
        <f t="shared" si="28"/>
        <v>3.0227206274926977E-2</v>
      </c>
      <c r="K39" s="3">
        <f t="shared" si="28"/>
        <v>3.0227206274926977E-2</v>
      </c>
      <c r="L39" s="3">
        <f t="shared" si="28"/>
        <v>3.0227206274926973E-2</v>
      </c>
      <c r="M39" s="3">
        <f t="shared" si="28"/>
        <v>3.0227206274926945E-2</v>
      </c>
      <c r="N39" s="3">
        <f t="shared" si="28"/>
        <v>3.0227206274926675E-2</v>
      </c>
      <c r="O39" s="3">
        <f t="shared" si="28"/>
        <v>3.0227206274923951E-2</v>
      </c>
      <c r="P39" s="3">
        <f t="shared" si="27"/>
        <v>3.0227206274896751E-2</v>
      </c>
      <c r="Q39" s="3">
        <f t="shared" si="27"/>
        <v>3.0227206274624704E-2</v>
      </c>
      <c r="R39" s="3">
        <f t="shared" si="27"/>
        <v>3.0227206271904256E-2</v>
      </c>
      <c r="S39" s="3">
        <f t="shared" si="27"/>
        <v>3.022720624469977E-2</v>
      </c>
      <c r="T39" s="3">
        <f t="shared" si="27"/>
        <v>3.0227205972654915E-2</v>
      </c>
      <c r="U39" s="3">
        <f t="shared" si="27"/>
        <v>3.0227203252206503E-2</v>
      </c>
      <c r="V39" s="3">
        <f t="shared" si="27"/>
        <v>3.0227176047735817E-2</v>
      </c>
      <c r="W39" s="3">
        <f t="shared" si="27"/>
        <v>3.0226904004375582E-2</v>
      </c>
      <c r="X39" s="3">
        <f t="shared" si="27"/>
        <v>3.0224183705430476E-2</v>
      </c>
      <c r="Y39" s="3">
        <f t="shared" si="27"/>
        <v>3.0196994177218578E-2</v>
      </c>
      <c r="Z39" s="3">
        <f t="shared" si="27"/>
        <v>2.9926440547193265E-2</v>
      </c>
      <c r="AA39" s="3">
        <f t="shared" si="27"/>
        <v>2.735070728024528E-2</v>
      </c>
      <c r="AB39" s="3">
        <f t="shared" si="27"/>
        <v>1.1119967752594051E-2</v>
      </c>
      <c r="AC39" s="3">
        <f t="shared" si="27"/>
        <v>1.3723130417978262E-6</v>
      </c>
      <c r="AD39" s="3">
        <f t="shared" si="27"/>
        <v>1.1244750388558211E-45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6.3247414010955127E-2</v>
      </c>
      <c r="C40" s="18">
        <f t="shared" si="3"/>
        <v>3.7583954306508939E-2</v>
      </c>
      <c r="D40" s="17"/>
      <c r="F40" s="3">
        <f t="shared" si="28"/>
        <v>3.7583954306508939E-2</v>
      </c>
      <c r="G40" s="3">
        <f t="shared" si="28"/>
        <v>3.7583954306508939E-2</v>
      </c>
      <c r="H40" s="3">
        <f t="shared" si="28"/>
        <v>3.7583954306508939E-2</v>
      </c>
      <c r="I40" s="3">
        <f t="shared" si="28"/>
        <v>3.7583954306508939E-2</v>
      </c>
      <c r="J40" s="3">
        <f t="shared" si="28"/>
        <v>3.7583954306508939E-2</v>
      </c>
      <c r="K40" s="3">
        <f t="shared" si="28"/>
        <v>3.7583954306508939E-2</v>
      </c>
      <c r="L40" s="3">
        <f t="shared" si="28"/>
        <v>3.7583954306508939E-2</v>
      </c>
      <c r="M40" s="3">
        <f t="shared" si="28"/>
        <v>3.7583954306508932E-2</v>
      </c>
      <c r="N40" s="3">
        <f t="shared" si="28"/>
        <v>3.7583954306508904E-2</v>
      </c>
      <c r="O40" s="3">
        <f t="shared" si="28"/>
        <v>3.7583954306508564E-2</v>
      </c>
      <c r="P40" s="3">
        <f t="shared" si="27"/>
        <v>3.7583954306505178E-2</v>
      </c>
      <c r="Q40" s="3">
        <f t="shared" si="27"/>
        <v>3.7583954306471358E-2</v>
      </c>
      <c r="R40" s="3">
        <f t="shared" si="27"/>
        <v>3.7583954306133101E-2</v>
      </c>
      <c r="S40" s="3">
        <f t="shared" si="27"/>
        <v>3.7583954302750543E-2</v>
      </c>
      <c r="T40" s="3">
        <f t="shared" si="27"/>
        <v>3.7583954268924989E-2</v>
      </c>
      <c r="U40" s="3">
        <f t="shared" si="27"/>
        <v>3.7583953930669399E-2</v>
      </c>
      <c r="V40" s="3">
        <f t="shared" si="27"/>
        <v>3.7583950548113698E-2</v>
      </c>
      <c r="W40" s="3">
        <f t="shared" si="27"/>
        <v>3.7583916722573427E-2</v>
      </c>
      <c r="X40" s="3">
        <f t="shared" si="27"/>
        <v>3.7583578468845066E-2</v>
      </c>
      <c r="Y40" s="3">
        <f t="shared" si="27"/>
        <v>3.7580196098991797E-2</v>
      </c>
      <c r="Z40" s="3">
        <f t="shared" si="27"/>
        <v>3.7546389137917156E-2</v>
      </c>
      <c r="AA40" s="3">
        <f t="shared" si="27"/>
        <v>3.7209987712795503E-2</v>
      </c>
      <c r="AB40" s="3">
        <f t="shared" si="27"/>
        <v>3.4007368174283029E-2</v>
      </c>
      <c r="AC40" s="3">
        <f t="shared" si="27"/>
        <v>1.3826364107291532E-2</v>
      </c>
      <c r="AD40" s="3">
        <f t="shared" si="27"/>
        <v>1.706308885711946E-6</v>
      </c>
      <c r="AE40" s="3">
        <f t="shared" si="27"/>
        <v>1.3981516549950876E-45</v>
      </c>
      <c r="AF40" s="3">
        <f t="shared" si="29"/>
        <v>0</v>
      </c>
      <c r="AG40" s="3">
        <f t="shared" si="29"/>
        <v>0</v>
      </c>
      <c r="AH40" s="3">
        <f t="shared" si="29"/>
        <v>0</v>
      </c>
      <c r="AI40" s="3">
        <f t="shared" si="29"/>
        <v>0</v>
      </c>
      <c r="AJ40" s="3">
        <f t="shared" si="29"/>
        <v>0</v>
      </c>
    </row>
    <row r="41" spans="1:36" x14ac:dyDescent="0.25">
      <c r="A41" s="3">
        <f t="shared" si="30"/>
        <v>1000000000</v>
      </c>
      <c r="B41" s="17">
        <v>6.528752048401841E-2</v>
      </c>
      <c r="C41" s="18">
        <f t="shared" si="3"/>
        <v>3.8796261080834012E-2</v>
      </c>
      <c r="D41" s="17"/>
      <c r="F41" s="3">
        <f t="shared" si="28"/>
        <v>3.8796261080834012E-2</v>
      </c>
      <c r="G41" s="3">
        <f t="shared" si="28"/>
        <v>3.8796261080834012E-2</v>
      </c>
      <c r="H41" s="3">
        <f t="shared" si="28"/>
        <v>3.8796261080834012E-2</v>
      </c>
      <c r="I41" s="3">
        <f t="shared" si="28"/>
        <v>3.8796261080834012E-2</v>
      </c>
      <c r="J41" s="3">
        <f t="shared" si="28"/>
        <v>3.8796261080834012E-2</v>
      </c>
      <c r="K41" s="3">
        <f t="shared" si="28"/>
        <v>3.8796261080834012E-2</v>
      </c>
      <c r="L41" s="3">
        <f t="shared" si="28"/>
        <v>3.8796261080834012E-2</v>
      </c>
      <c r="M41" s="3">
        <f t="shared" si="28"/>
        <v>3.8796261080834012E-2</v>
      </c>
      <c r="N41" s="3">
        <f t="shared" si="28"/>
        <v>3.8796261080834005E-2</v>
      </c>
      <c r="O41" s="3">
        <f t="shared" si="28"/>
        <v>3.879626108083397E-2</v>
      </c>
      <c r="P41" s="3">
        <f t="shared" si="27"/>
        <v>3.8796261080833623E-2</v>
      </c>
      <c r="Q41" s="3">
        <f t="shared" si="27"/>
        <v>3.8796261080830133E-2</v>
      </c>
      <c r="R41" s="3">
        <f t="shared" si="27"/>
        <v>3.8796261080795216E-2</v>
      </c>
      <c r="S41" s="3">
        <f t="shared" si="27"/>
        <v>3.8796261080446051E-2</v>
      </c>
      <c r="T41" s="3">
        <f t="shared" si="27"/>
        <v>3.8796261076954386E-2</v>
      </c>
      <c r="U41" s="3">
        <f t="shared" si="27"/>
        <v>3.8796261042037754E-2</v>
      </c>
      <c r="V41" s="3">
        <f t="shared" si="27"/>
        <v>3.8796260692871405E-2</v>
      </c>
      <c r="W41" s="3">
        <f t="shared" si="27"/>
        <v>3.8796257201208099E-2</v>
      </c>
      <c r="X41" s="3">
        <f t="shared" si="27"/>
        <v>3.8796222284592327E-2</v>
      </c>
      <c r="Y41" s="3">
        <f t="shared" si="27"/>
        <v>3.8795873120163013E-2</v>
      </c>
      <c r="Z41" s="3">
        <f t="shared" si="27"/>
        <v>3.8792381648700767E-2</v>
      </c>
      <c r="AA41" s="3">
        <f t="shared" si="27"/>
        <v>3.8757484211419294E-2</v>
      </c>
      <c r="AB41" s="3">
        <f t="shared" si="27"/>
        <v>3.8410231833169037E-2</v>
      </c>
      <c r="AC41" s="3">
        <f t="shared" si="27"/>
        <v>3.5104308705830832E-2</v>
      </c>
      <c r="AD41" s="3">
        <f t="shared" si="27"/>
        <v>1.4272346845958593E-2</v>
      </c>
      <c r="AE41" s="3">
        <f t="shared" si="27"/>
        <v>1.7613475281168889E-6</v>
      </c>
      <c r="AF41" s="3">
        <f t="shared" si="29"/>
        <v>1.4432503880624275E-45</v>
      </c>
      <c r="AG41" s="3">
        <f t="shared" si="29"/>
        <v>0</v>
      </c>
      <c r="AH41" s="3">
        <f t="shared" si="29"/>
        <v>0</v>
      </c>
      <c r="AI41" s="3">
        <f t="shared" si="29"/>
        <v>0</v>
      </c>
      <c r="AJ41" s="3">
        <f t="shared" si="29"/>
        <v>0</v>
      </c>
    </row>
    <row r="42" spans="1:36" x14ac:dyDescent="0.25">
      <c r="A42" s="3">
        <f t="shared" si="30"/>
        <v>10000000000</v>
      </c>
      <c r="B42" s="17">
        <v>7.4778089855683405E-2</v>
      </c>
      <c r="C42" s="18">
        <f t="shared" si="3"/>
        <v>4.443590866461708E-2</v>
      </c>
      <c r="D42" s="17"/>
      <c r="F42" s="3">
        <f t="shared" si="28"/>
        <v>4.443590866461708E-2</v>
      </c>
      <c r="G42" s="3">
        <f t="shared" si="28"/>
        <v>4.443590866461708E-2</v>
      </c>
      <c r="H42" s="3">
        <f t="shared" si="28"/>
        <v>4.443590866461708E-2</v>
      </c>
      <c r="I42" s="3">
        <f t="shared" si="28"/>
        <v>4.443590866461708E-2</v>
      </c>
      <c r="J42" s="3">
        <f t="shared" si="28"/>
        <v>4.443590866461708E-2</v>
      </c>
      <c r="K42" s="3">
        <f t="shared" si="28"/>
        <v>4.443590866461708E-2</v>
      </c>
      <c r="L42" s="3">
        <f t="shared" si="28"/>
        <v>4.443590866461708E-2</v>
      </c>
      <c r="M42" s="3">
        <f t="shared" si="28"/>
        <v>4.443590866461708E-2</v>
      </c>
      <c r="N42" s="3">
        <f t="shared" si="28"/>
        <v>4.443590866461708E-2</v>
      </c>
      <c r="O42" s="3">
        <f t="shared" si="28"/>
        <v>4.4435908664617073E-2</v>
      </c>
      <c r="P42" s="3">
        <f t="shared" si="27"/>
        <v>4.4435908664617038E-2</v>
      </c>
      <c r="Q42" s="3">
        <f t="shared" si="27"/>
        <v>4.4435908664616636E-2</v>
      </c>
      <c r="R42" s="3">
        <f t="shared" si="27"/>
        <v>4.4435908664612632E-2</v>
      </c>
      <c r="S42" s="3">
        <f t="shared" si="27"/>
        <v>4.4435908664572643E-2</v>
      </c>
      <c r="T42" s="3">
        <f t="shared" si="27"/>
        <v>4.443590866417272E-2</v>
      </c>
      <c r="U42" s="3">
        <f t="shared" si="27"/>
        <v>4.4435908660173488E-2</v>
      </c>
      <c r="V42" s="3">
        <f t="shared" si="27"/>
        <v>4.4435908620181173E-2</v>
      </c>
      <c r="W42" s="3">
        <f t="shared" si="27"/>
        <v>4.4435908220257996E-2</v>
      </c>
      <c r="X42" s="3">
        <f t="shared" si="27"/>
        <v>4.4435904221026438E-2</v>
      </c>
      <c r="Y42" s="3">
        <f t="shared" si="27"/>
        <v>4.4435864228730637E-2</v>
      </c>
      <c r="Z42" s="3">
        <f t="shared" si="27"/>
        <v>4.443546430775222E-2</v>
      </c>
      <c r="AA42" s="3">
        <f t="shared" si="27"/>
        <v>4.4431465295922755E-2</v>
      </c>
      <c r="AB42" s="3">
        <f t="shared" si="27"/>
        <v>4.4391494966502659E-2</v>
      </c>
      <c r="AC42" s="3">
        <f t="shared" si="27"/>
        <v>4.3993763985897355E-2</v>
      </c>
      <c r="AD42" s="3">
        <f t="shared" si="27"/>
        <v>4.0207272864173839E-2</v>
      </c>
      <c r="AE42" s="3">
        <f t="shared" si="27"/>
        <v>1.6347057247484583E-2</v>
      </c>
      <c r="AF42" s="3">
        <f t="shared" si="29"/>
        <v>2.0173871323058075E-6</v>
      </c>
      <c r="AG42" s="3">
        <f t="shared" si="29"/>
        <v>1.653049562958981E-45</v>
      </c>
      <c r="AH42" s="3">
        <f t="shared" si="29"/>
        <v>0</v>
      </c>
      <c r="AI42" s="3">
        <f t="shared" si="29"/>
        <v>0</v>
      </c>
      <c r="AJ42" s="3">
        <f t="shared" si="29"/>
        <v>0</v>
      </c>
    </row>
    <row r="43" spans="1:36" x14ac:dyDescent="0.25">
      <c r="A43" s="3">
        <f t="shared" si="30"/>
        <v>100000000000</v>
      </c>
      <c r="B43" s="17">
        <v>8.7913204996072858E-2</v>
      </c>
      <c r="C43" s="18">
        <f t="shared" si="3"/>
        <v>5.224128023540766E-2</v>
      </c>
      <c r="D43" s="17"/>
      <c r="F43" s="3">
        <f t="shared" si="28"/>
        <v>5.224128023540766E-2</v>
      </c>
      <c r="G43" s="3">
        <f t="shared" si="28"/>
        <v>5.224128023540766E-2</v>
      </c>
      <c r="H43" s="3">
        <f t="shared" si="28"/>
        <v>5.224128023540766E-2</v>
      </c>
      <c r="I43" s="3">
        <f t="shared" si="28"/>
        <v>5.224128023540766E-2</v>
      </c>
      <c r="J43" s="3">
        <f t="shared" si="28"/>
        <v>5.224128023540766E-2</v>
      </c>
      <c r="K43" s="3">
        <f t="shared" si="28"/>
        <v>5.224128023540766E-2</v>
      </c>
      <c r="L43" s="3">
        <f t="shared" si="28"/>
        <v>5.224128023540766E-2</v>
      </c>
      <c r="M43" s="3">
        <f t="shared" si="28"/>
        <v>5.224128023540766E-2</v>
      </c>
      <c r="N43" s="3">
        <f t="shared" si="28"/>
        <v>5.224128023540766E-2</v>
      </c>
      <c r="O43" s="3">
        <f t="shared" si="28"/>
        <v>5.224128023540766E-2</v>
      </c>
      <c r="P43" s="3">
        <f t="shared" si="27"/>
        <v>5.2241280235407653E-2</v>
      </c>
      <c r="Q43" s="3">
        <f t="shared" si="27"/>
        <v>5.2241280235407604E-2</v>
      </c>
      <c r="R43" s="3">
        <f t="shared" si="27"/>
        <v>5.2241280235407139E-2</v>
      </c>
      <c r="S43" s="3">
        <f t="shared" si="27"/>
        <v>5.2241280235402435E-2</v>
      </c>
      <c r="T43" s="3">
        <f t="shared" si="27"/>
        <v>5.2241280235355417E-2</v>
      </c>
      <c r="U43" s="3">
        <f t="shared" si="27"/>
        <v>5.2241280234885244E-2</v>
      </c>
      <c r="V43" s="3">
        <f t="shared" si="27"/>
        <v>5.2241280230183533E-2</v>
      </c>
      <c r="W43" s="3">
        <f t="shared" si="27"/>
        <v>5.2241280183166379E-2</v>
      </c>
      <c r="X43" s="3">
        <f t="shared" si="27"/>
        <v>5.2241279712994859E-2</v>
      </c>
      <c r="Y43" s="3">
        <f t="shared" si="27"/>
        <v>5.2241275011279897E-2</v>
      </c>
      <c r="Z43" s="3">
        <f t="shared" si="27"/>
        <v>5.2241227994153545E-2</v>
      </c>
      <c r="AA43" s="3">
        <f t="shared" si="27"/>
        <v>5.2240757825217359E-2</v>
      </c>
      <c r="AB43" s="3">
        <f t="shared" si="27"/>
        <v>5.2236056368581814E-2</v>
      </c>
      <c r="AC43" s="3">
        <f t="shared" si="27"/>
        <v>5.2189065067107666E-2</v>
      </c>
      <c r="AD43" s="3">
        <f t="shared" si="27"/>
        <v>5.1721470811909052E-2</v>
      </c>
      <c r="AE43" s="3">
        <f t="shared" si="27"/>
        <v>4.7269865123099268E-2</v>
      </c>
      <c r="AF43" s="3">
        <f t="shared" si="29"/>
        <v>1.9218492979082485E-2</v>
      </c>
      <c r="AG43" s="3">
        <f t="shared" si="29"/>
        <v>2.3717504533897961E-6</v>
      </c>
      <c r="AH43" s="3">
        <f t="shared" si="29"/>
        <v>1.9434153156031216E-45</v>
      </c>
      <c r="AI43" s="3">
        <f t="shared" si="29"/>
        <v>0</v>
      </c>
      <c r="AJ43" s="3">
        <f t="shared" si="29"/>
        <v>0</v>
      </c>
    </row>
    <row r="44" spans="1:36" x14ac:dyDescent="0.25">
      <c r="A44" s="3">
        <f t="shared" si="30"/>
        <v>1000000000000</v>
      </c>
      <c r="B44" s="17">
        <v>9.6919150844107682E-2</v>
      </c>
      <c r="C44" s="18">
        <f t="shared" si="3"/>
        <v>5.759294658465644E-2</v>
      </c>
      <c r="D44" s="17"/>
      <c r="F44" s="3">
        <f t="shared" si="28"/>
        <v>5.759294658465644E-2</v>
      </c>
      <c r="G44" s="3">
        <f t="shared" si="28"/>
        <v>5.759294658465644E-2</v>
      </c>
      <c r="H44" s="3">
        <f t="shared" si="28"/>
        <v>5.759294658465644E-2</v>
      </c>
      <c r="I44" s="3">
        <f t="shared" si="28"/>
        <v>5.759294658465644E-2</v>
      </c>
      <c r="J44" s="3">
        <f t="shared" si="28"/>
        <v>5.759294658465644E-2</v>
      </c>
      <c r="K44" s="3">
        <f t="shared" si="28"/>
        <v>5.759294658465644E-2</v>
      </c>
      <c r="L44" s="3">
        <f t="shared" si="28"/>
        <v>5.759294658465644E-2</v>
      </c>
      <c r="M44" s="3">
        <f t="shared" si="28"/>
        <v>5.759294658465644E-2</v>
      </c>
      <c r="N44" s="3">
        <f t="shared" si="28"/>
        <v>5.759294658465644E-2</v>
      </c>
      <c r="O44" s="3">
        <f t="shared" si="28"/>
        <v>5.759294658465644E-2</v>
      </c>
      <c r="P44" s="3">
        <f t="shared" si="27"/>
        <v>5.759294658465644E-2</v>
      </c>
      <c r="Q44" s="3">
        <f t="shared" si="27"/>
        <v>5.7592946584656433E-2</v>
      </c>
      <c r="R44" s="3">
        <f t="shared" si="27"/>
        <v>5.7592946584656385E-2</v>
      </c>
      <c r="S44" s="3">
        <f t="shared" si="27"/>
        <v>5.7592946584655864E-2</v>
      </c>
      <c r="T44" s="3">
        <f t="shared" si="27"/>
        <v>5.7592946584650681E-2</v>
      </c>
      <c r="U44" s="3">
        <f t="shared" si="27"/>
        <v>5.7592946584598848E-2</v>
      </c>
      <c r="V44" s="3">
        <f t="shared" si="27"/>
        <v>5.7592946584080512E-2</v>
      </c>
      <c r="W44" s="3">
        <f t="shared" si="27"/>
        <v>5.7592946578897145E-2</v>
      </c>
      <c r="X44" s="3">
        <f t="shared" si="27"/>
        <v>5.7592946527063496E-2</v>
      </c>
      <c r="Y44" s="3">
        <f t="shared" si="27"/>
        <v>5.7592946008726977E-2</v>
      </c>
      <c r="Z44" s="3">
        <f t="shared" si="27"/>
        <v>5.7592940825362073E-2</v>
      </c>
      <c r="AA44" s="3">
        <f t="shared" si="27"/>
        <v>5.7592888991738651E-2</v>
      </c>
      <c r="AB44" s="3">
        <f t="shared" si="27"/>
        <v>5.7592370658070234E-2</v>
      </c>
      <c r="AC44" s="3">
        <f t="shared" si="27"/>
        <v>5.7587187577953107E-2</v>
      </c>
      <c r="AD44" s="3">
        <f t="shared" si="27"/>
        <v>5.7535382424948656E-2</v>
      </c>
      <c r="AE44" s="3">
        <f t="shared" si="27"/>
        <v>5.7019887191263829E-2</v>
      </c>
      <c r="AF44" s="3">
        <f t="shared" si="29"/>
        <v>5.2112253084743466E-2</v>
      </c>
      <c r="AG44" s="3">
        <f t="shared" si="29"/>
        <v>2.118726100498014E-2</v>
      </c>
      <c r="AH44" s="3">
        <f t="shared" si="29"/>
        <v>2.6147157297579445E-6</v>
      </c>
      <c r="AI44" s="3">
        <f t="shared" si="29"/>
        <v>2.142501369778317E-45</v>
      </c>
      <c r="AJ44" s="3">
        <f t="shared" si="29"/>
        <v>0</v>
      </c>
    </row>
    <row r="45" spans="1:36" x14ac:dyDescent="0.25">
      <c r="A45" s="3">
        <f t="shared" si="30"/>
        <v>10000000000000</v>
      </c>
      <c r="B45" s="17">
        <v>9.1162413557417027E-2</v>
      </c>
      <c r="C45" s="18">
        <f t="shared" si="3"/>
        <v>5.4172080221644638E-2</v>
      </c>
      <c r="D45" s="17"/>
      <c r="F45" s="3">
        <f t="shared" si="28"/>
        <v>5.4172080221644638E-2</v>
      </c>
      <c r="G45" s="3">
        <f t="shared" si="28"/>
        <v>5.4172080221644638E-2</v>
      </c>
      <c r="H45" s="3">
        <f t="shared" si="28"/>
        <v>5.4172080221644638E-2</v>
      </c>
      <c r="I45" s="3">
        <f t="shared" si="28"/>
        <v>5.4172080221644638E-2</v>
      </c>
      <c r="J45" s="3">
        <f t="shared" si="28"/>
        <v>5.4172080221644638E-2</v>
      </c>
      <c r="K45" s="3">
        <f t="shared" si="28"/>
        <v>5.4172080221644638E-2</v>
      </c>
      <c r="L45" s="3">
        <f t="shared" si="28"/>
        <v>5.4172080221644638E-2</v>
      </c>
      <c r="M45" s="3">
        <f t="shared" si="28"/>
        <v>5.4172080221644638E-2</v>
      </c>
      <c r="N45" s="3">
        <f t="shared" si="28"/>
        <v>5.4172080221644638E-2</v>
      </c>
      <c r="O45" s="3">
        <f t="shared" si="28"/>
        <v>5.4172080221644638E-2</v>
      </c>
      <c r="P45" s="3">
        <f t="shared" si="27"/>
        <v>5.4172080221644638E-2</v>
      </c>
      <c r="Q45" s="3">
        <f t="shared" si="27"/>
        <v>5.4172080221644638E-2</v>
      </c>
      <c r="R45" s="3">
        <f t="shared" si="27"/>
        <v>5.4172080221644631E-2</v>
      </c>
      <c r="S45" s="3">
        <f t="shared" si="27"/>
        <v>5.4172080221644582E-2</v>
      </c>
      <c r="T45" s="3">
        <f t="shared" si="27"/>
        <v>5.4172080221644096E-2</v>
      </c>
      <c r="U45" s="3">
        <f t="shared" si="27"/>
        <v>5.4172080221639218E-2</v>
      </c>
      <c r="V45" s="3">
        <f t="shared" si="27"/>
        <v>5.4172080221590466E-2</v>
      </c>
      <c r="W45" s="3">
        <f t="shared" si="27"/>
        <v>5.4172080221102918E-2</v>
      </c>
      <c r="X45" s="3">
        <f t="shared" si="27"/>
        <v>5.4172080216227429E-2</v>
      </c>
      <c r="Y45" s="3">
        <f t="shared" si="27"/>
        <v>5.4172080167472561E-2</v>
      </c>
      <c r="Z45" s="3">
        <f t="shared" si="27"/>
        <v>5.4172079679923837E-2</v>
      </c>
      <c r="AA45" s="3">
        <f t="shared" si="27"/>
        <v>5.4172074804436886E-2</v>
      </c>
      <c r="AB45" s="3">
        <f t="shared" si="27"/>
        <v>5.4172026049591503E-2</v>
      </c>
      <c r="AC45" s="3">
        <f t="shared" si="27"/>
        <v>5.4171538503551019E-2</v>
      </c>
      <c r="AD45" s="3">
        <f t="shared" si="27"/>
        <v>5.4166663284473844E-2</v>
      </c>
      <c r="AE45" s="3">
        <f t="shared" si="27"/>
        <v>5.4117935218436684E-2</v>
      </c>
      <c r="AF45" s="3">
        <f t="shared" si="29"/>
        <v>5.3633059017285871E-2</v>
      </c>
      <c r="AG45" s="3">
        <f t="shared" si="29"/>
        <v>4.9016925197389802E-2</v>
      </c>
      <c r="AH45" s="3">
        <f t="shared" si="29"/>
        <v>1.9928794599033173E-2</v>
      </c>
      <c r="AI45" s="3">
        <f t="shared" si="29"/>
        <v>2.4594086371503615E-6</v>
      </c>
      <c r="AJ45" s="3">
        <f t="shared" si="29"/>
        <v>2.015242542036137E-45</v>
      </c>
    </row>
    <row r="46" spans="1:36" x14ac:dyDescent="0.25">
      <c r="A46" s="3">
        <f t="shared" si="30"/>
        <v>100000000000000</v>
      </c>
      <c r="B46" s="17">
        <v>6.5211909211800187E-2</v>
      </c>
      <c r="C46" s="18">
        <f t="shared" si="3"/>
        <v>3.8751330064371987E-2</v>
      </c>
      <c r="D46" s="17"/>
      <c r="F46" s="3">
        <f t="shared" si="28"/>
        <v>3.8751330064371987E-2</v>
      </c>
      <c r="G46" s="3">
        <f t="shared" si="28"/>
        <v>3.8751330064371987E-2</v>
      </c>
      <c r="H46" s="3">
        <f t="shared" si="28"/>
        <v>3.8751330064371987E-2</v>
      </c>
      <c r="I46" s="3">
        <f t="shared" si="28"/>
        <v>3.8751330064371987E-2</v>
      </c>
      <c r="J46" s="3">
        <f t="shared" si="28"/>
        <v>3.8751330064371987E-2</v>
      </c>
      <c r="K46" s="3">
        <f t="shared" si="28"/>
        <v>3.8751330064371987E-2</v>
      </c>
      <c r="L46" s="3">
        <f t="shared" si="28"/>
        <v>3.8751330064371987E-2</v>
      </c>
      <c r="M46" s="3">
        <f t="shared" si="28"/>
        <v>3.8751330064371987E-2</v>
      </c>
      <c r="N46" s="3">
        <f t="shared" si="28"/>
        <v>3.8751330064371987E-2</v>
      </c>
      <c r="O46" s="3">
        <f t="shared" si="28"/>
        <v>3.8751330064371987E-2</v>
      </c>
      <c r="P46" s="3">
        <f t="shared" si="27"/>
        <v>3.8751330064371987E-2</v>
      </c>
      <c r="Q46" s="3">
        <f t="shared" si="27"/>
        <v>3.8751330064371987E-2</v>
      </c>
      <c r="R46" s="3">
        <f t="shared" si="27"/>
        <v>3.8751330064371987E-2</v>
      </c>
      <c r="S46" s="3">
        <f t="shared" si="27"/>
        <v>3.875133006437198E-2</v>
      </c>
      <c r="T46" s="3">
        <f t="shared" si="27"/>
        <v>3.8751330064371946E-2</v>
      </c>
      <c r="U46" s="3">
        <f t="shared" si="27"/>
        <v>3.8751330064371599E-2</v>
      </c>
      <c r="V46" s="3">
        <f t="shared" si="27"/>
        <v>3.8751330064368109E-2</v>
      </c>
      <c r="W46" s="3">
        <f t="shared" si="27"/>
        <v>3.8751330064333234E-2</v>
      </c>
      <c r="X46" s="3">
        <f t="shared" si="27"/>
        <v>3.8751330063984471E-2</v>
      </c>
      <c r="Y46" s="3">
        <f t="shared" si="27"/>
        <v>3.8751330060496851E-2</v>
      </c>
      <c r="Z46" s="3">
        <f t="shared" si="27"/>
        <v>3.8751330025620659E-2</v>
      </c>
      <c r="AA46" s="3">
        <f t="shared" si="27"/>
        <v>3.8751329676858688E-2</v>
      </c>
      <c r="AB46" s="3">
        <f t="shared" si="27"/>
        <v>3.8751326189239176E-2</v>
      </c>
      <c r="AC46" s="3">
        <f t="shared" si="27"/>
        <v>3.8751291313061299E-2</v>
      </c>
      <c r="AD46" s="3">
        <f t="shared" si="27"/>
        <v>3.8750942553008906E-2</v>
      </c>
      <c r="AE46" s="3">
        <f t="shared" si="27"/>
        <v>3.8747455125115744E-2</v>
      </c>
      <c r="AF46" s="3">
        <f t="shared" si="29"/>
        <v>3.8712598103515711E-2</v>
      </c>
      <c r="AG46" s="3">
        <f t="shared" si="29"/>
        <v>3.8365747887790624E-2</v>
      </c>
      <c r="AH46" s="3">
        <f t="shared" si="29"/>
        <v>3.5063653440905604E-2</v>
      </c>
      <c r="AI46" s="3">
        <f t="shared" si="29"/>
        <v>1.4255817648731279E-2</v>
      </c>
      <c r="AJ46" s="3">
        <f t="shared" si="29"/>
        <v>1.759307663125356E-6</v>
      </c>
    </row>
    <row r="47" spans="1:36" x14ac:dyDescent="0.25">
      <c r="A47" s="3">
        <f t="shared" si="30"/>
        <v>1000000000000000</v>
      </c>
      <c r="B47" s="17">
        <v>3.5050392552265303E-2</v>
      </c>
      <c r="C47" s="18">
        <f t="shared" si="3"/>
        <v>2.0828240532986285E-2</v>
      </c>
      <c r="D47" s="17"/>
      <c r="F47" s="3">
        <f t="shared" si="28"/>
        <v>2.0828240532986285E-2</v>
      </c>
      <c r="G47" s="3">
        <f t="shared" si="28"/>
        <v>2.0828240532986285E-2</v>
      </c>
      <c r="H47" s="3">
        <f t="shared" si="28"/>
        <v>2.0828240532986285E-2</v>
      </c>
      <c r="I47" s="3">
        <f t="shared" si="28"/>
        <v>2.0828240532986285E-2</v>
      </c>
      <c r="J47" s="3">
        <f t="shared" si="28"/>
        <v>2.0828240532986285E-2</v>
      </c>
      <c r="K47" s="3">
        <f t="shared" si="28"/>
        <v>2.0828240532986285E-2</v>
      </c>
      <c r="L47" s="3">
        <f t="shared" si="28"/>
        <v>2.0828240532986285E-2</v>
      </c>
      <c r="M47" s="3">
        <f t="shared" si="28"/>
        <v>2.0828240532986285E-2</v>
      </c>
      <c r="N47" s="3">
        <f t="shared" si="28"/>
        <v>2.0828240532986285E-2</v>
      </c>
      <c r="O47" s="3">
        <f t="shared" si="28"/>
        <v>2.0828240532986285E-2</v>
      </c>
      <c r="P47" s="3">
        <f t="shared" si="27"/>
        <v>2.0828240532986285E-2</v>
      </c>
      <c r="Q47" s="3">
        <f t="shared" si="27"/>
        <v>2.0828240532986285E-2</v>
      </c>
      <c r="R47" s="3">
        <f t="shared" si="27"/>
        <v>2.0828240532986285E-2</v>
      </c>
      <c r="S47" s="3">
        <f t="shared" si="27"/>
        <v>2.0828240532986285E-2</v>
      </c>
      <c r="T47" s="3">
        <f t="shared" si="27"/>
        <v>2.0828240532986281E-2</v>
      </c>
      <c r="U47" s="3">
        <f t="shared" si="27"/>
        <v>2.0828240532986264E-2</v>
      </c>
      <c r="V47" s="3">
        <f t="shared" si="27"/>
        <v>2.0828240532986077E-2</v>
      </c>
      <c r="W47" s="3">
        <f t="shared" si="27"/>
        <v>2.08282405329842E-2</v>
      </c>
      <c r="X47" s="3">
        <f t="shared" si="27"/>
        <v>2.0828240532965458E-2</v>
      </c>
      <c r="Y47" s="3">
        <f t="shared" si="27"/>
        <v>2.0828240532778004E-2</v>
      </c>
      <c r="Z47" s="3">
        <f t="shared" si="27"/>
        <v>2.0828240530903461E-2</v>
      </c>
      <c r="AA47" s="3">
        <f t="shared" si="27"/>
        <v>2.0828240512158046E-2</v>
      </c>
      <c r="AB47" s="3">
        <f t="shared" si="27"/>
        <v>2.082824032470388E-2</v>
      </c>
      <c r="AC47" s="3">
        <f t="shared" si="27"/>
        <v>2.0828238450162337E-2</v>
      </c>
      <c r="AD47" s="3">
        <f t="shared" si="27"/>
        <v>2.0828219704756165E-2</v>
      </c>
      <c r="AE47" s="3">
        <f t="shared" si="27"/>
        <v>2.0828032251622365E-2</v>
      </c>
      <c r="AF47" s="3">
        <f t="shared" si="29"/>
        <v>2.0826157813070716E-2</v>
      </c>
      <c r="AG47" s="3">
        <f t="shared" si="29"/>
        <v>2.0807422703103061E-2</v>
      </c>
      <c r="AH47" s="3">
        <f t="shared" si="29"/>
        <v>2.0620996076970755E-2</v>
      </c>
      <c r="AI47" s="3">
        <f t="shared" si="29"/>
        <v>1.8846171386099227E-2</v>
      </c>
      <c r="AJ47" s="3">
        <f t="shared" si="29"/>
        <v>7.6622814878593787E-3</v>
      </c>
    </row>
    <row r="48" spans="1:36" x14ac:dyDescent="0.25">
      <c r="A48" s="3">
        <f t="shared" si="30"/>
        <v>1E+16</v>
      </c>
      <c r="B48" s="17">
        <v>5.0324536684845385E-2</v>
      </c>
      <c r="C48" s="18">
        <f t="shared" si="3"/>
        <v>2.990470230026878E-2</v>
      </c>
      <c r="D48" s="17"/>
      <c r="F48" s="3">
        <f t="shared" si="28"/>
        <v>2.990470230026878E-2</v>
      </c>
      <c r="G48" s="3">
        <f t="shared" si="28"/>
        <v>2.990470230026878E-2</v>
      </c>
      <c r="H48" s="3">
        <f t="shared" si="28"/>
        <v>2.990470230026878E-2</v>
      </c>
      <c r="I48" s="3">
        <f t="shared" si="28"/>
        <v>2.990470230026878E-2</v>
      </c>
      <c r="J48" s="3">
        <f t="shared" si="28"/>
        <v>2.990470230026878E-2</v>
      </c>
      <c r="K48" s="3">
        <f t="shared" si="28"/>
        <v>2.990470230026878E-2</v>
      </c>
      <c r="L48" s="3">
        <f t="shared" si="28"/>
        <v>2.990470230026878E-2</v>
      </c>
      <c r="M48" s="3">
        <f t="shared" si="28"/>
        <v>2.990470230026878E-2</v>
      </c>
      <c r="N48" s="3">
        <f t="shared" si="28"/>
        <v>2.990470230026878E-2</v>
      </c>
      <c r="O48" s="3">
        <f t="shared" si="28"/>
        <v>2.990470230026878E-2</v>
      </c>
      <c r="P48" s="3">
        <f t="shared" si="27"/>
        <v>2.990470230026878E-2</v>
      </c>
      <c r="Q48" s="3">
        <f t="shared" si="27"/>
        <v>2.990470230026878E-2</v>
      </c>
      <c r="R48" s="3">
        <f t="shared" si="27"/>
        <v>2.990470230026878E-2</v>
      </c>
      <c r="S48" s="3">
        <f t="shared" si="27"/>
        <v>2.990470230026878E-2</v>
      </c>
      <c r="T48" s="3">
        <f t="shared" si="27"/>
        <v>2.990470230026878E-2</v>
      </c>
      <c r="U48" s="3">
        <f t="shared" si="27"/>
        <v>2.9904702300268777E-2</v>
      </c>
      <c r="V48" s="3">
        <f t="shared" si="27"/>
        <v>2.9904702300268749E-2</v>
      </c>
      <c r="W48" s="3">
        <f t="shared" si="27"/>
        <v>2.9904702300268482E-2</v>
      </c>
      <c r="X48" s="3">
        <f t="shared" si="27"/>
        <v>2.990470230026579E-2</v>
      </c>
      <c r="Y48" s="3">
        <f t="shared" si="27"/>
        <v>2.9904702300238877E-2</v>
      </c>
      <c r="Z48" s="3">
        <f t="shared" si="27"/>
        <v>2.9904702299969735E-2</v>
      </c>
      <c r="AA48" s="3">
        <f t="shared" si="27"/>
        <v>2.9904702297278311E-2</v>
      </c>
      <c r="AB48" s="3">
        <f t="shared" si="27"/>
        <v>2.990470227036408E-2</v>
      </c>
      <c r="AC48" s="3">
        <f t="shared" si="27"/>
        <v>2.9904702001221761E-2</v>
      </c>
      <c r="AD48" s="3">
        <f t="shared" si="27"/>
        <v>2.99046993097987E-2</v>
      </c>
      <c r="AE48" s="3">
        <f t="shared" si="27"/>
        <v>2.9904672395581432E-2</v>
      </c>
      <c r="AF48" s="3">
        <f t="shared" si="29"/>
        <v>2.9904403254741009E-2</v>
      </c>
      <c r="AG48" s="3">
        <f t="shared" si="29"/>
        <v>2.990171197955728E-2</v>
      </c>
      <c r="AH48" s="3">
        <f t="shared" si="29"/>
        <v>2.987481254533679E-2</v>
      </c>
      <c r="AI48" s="3">
        <f t="shared" si="29"/>
        <v>2.9607145540699473E-2</v>
      </c>
      <c r="AJ48" s="3">
        <f t="shared" si="29"/>
        <v>2.7058893616509223E-2</v>
      </c>
    </row>
    <row r="49" spans="1:36" x14ac:dyDescent="0.25">
      <c r="B49" s="16">
        <f>SUM(B17:B48)</f>
        <v>1.6828302177879588</v>
      </c>
      <c r="C49" s="18">
        <f>SUM(C17:C48)</f>
        <v>1.0000000000000002</v>
      </c>
      <c r="F49" s="3">
        <f t="shared" ref="F49:AJ49" si="31">F16-F17</f>
        <v>-1.7462431749972893</v>
      </c>
      <c r="G49" s="3">
        <f t="shared" si="31"/>
        <v>-1.1312280615647978</v>
      </c>
      <c r="H49" s="3">
        <f t="shared" si="31"/>
        <v>3.7074597917962819</v>
      </c>
      <c r="I49" s="3">
        <f t="shared" si="31"/>
        <v>-0.95395936579370755</v>
      </c>
      <c r="J49" s="3">
        <f t="shared" si="31"/>
        <v>0.14004035270772874</v>
      </c>
      <c r="K49" s="3">
        <f t="shared" si="31"/>
        <v>-1.9089011440883041E-2</v>
      </c>
      <c r="L49" s="3">
        <f t="shared" si="31"/>
        <v>6.364979733916698E-3</v>
      </c>
      <c r="M49" s="3">
        <f t="shared" si="31"/>
        <v>-7.6925111552554881E-3</v>
      </c>
      <c r="N49" s="3">
        <f t="shared" si="31"/>
        <v>1.168773512563348E-2</v>
      </c>
      <c r="O49" s="3">
        <f t="shared" si="31"/>
        <v>-2.6027715702184651E-2</v>
      </c>
      <c r="P49" s="3">
        <f t="shared" si="31"/>
        <v>5.7953272508711962E-2</v>
      </c>
      <c r="Q49" s="3">
        <f t="shared" si="31"/>
        <v>-9.6797028973924171E-2</v>
      </c>
      <c r="R49" s="3">
        <f t="shared" si="31"/>
        <v>0.12184259223977278</v>
      </c>
      <c r="S49" s="3">
        <f t="shared" si="31"/>
        <v>-0.12590537959295034</v>
      </c>
      <c r="T49" s="3">
        <f t="shared" si="31"/>
        <v>0.11368580215776092</v>
      </c>
      <c r="U49" s="3">
        <f t="shared" si="31"/>
        <v>-9.0524051400279859E-2</v>
      </c>
      <c r="V49" s="3">
        <f t="shared" si="31"/>
        <v>6.0630977193341096E-2</v>
      </c>
      <c r="W49" s="3">
        <f t="shared" si="31"/>
        <v>-3.2788224454179726E-2</v>
      </c>
      <c r="X49" s="3">
        <f t="shared" si="31"/>
        <v>1.3928319891874708E-2</v>
      </c>
      <c r="Y49" s="3">
        <f t="shared" si="31"/>
        <v>-4.3003814134863205E-3</v>
      </c>
      <c r="Z49" s="3">
        <f t="shared" si="31"/>
        <v>-1.5674907240281755E-3</v>
      </c>
      <c r="AA49" s="3">
        <f t="shared" si="31"/>
        <v>6.194711534135422E-3</v>
      </c>
      <c r="AB49" s="3">
        <f t="shared" si="31"/>
        <v>-1.0998007496709761E-2</v>
      </c>
      <c r="AC49" s="3">
        <f t="shared" si="31"/>
        <v>1.4281044941071741E-2</v>
      </c>
      <c r="AD49" s="3">
        <f t="shared" si="31"/>
        <v>-1.3297075103537281E-2</v>
      </c>
      <c r="AE49" s="3">
        <f t="shared" si="31"/>
        <v>1.090826853260296E-2</v>
      </c>
      <c r="AF49" s="3">
        <f t="shared" si="31"/>
        <v>-7.4608941738460999E-3</v>
      </c>
      <c r="AG49" s="3">
        <f t="shared" si="31"/>
        <v>5.9336509023069084E-3</v>
      </c>
      <c r="AH49" s="3">
        <f t="shared" si="31"/>
        <v>-6.0290198133543527E-3</v>
      </c>
      <c r="AI49" s="3">
        <f t="shared" si="31"/>
        <v>6.002490992273124E-3</v>
      </c>
      <c r="AJ49" s="3">
        <f t="shared" si="31"/>
        <v>-2.8408540329678544E-3</v>
      </c>
    </row>
    <row r="50" spans="1:36" x14ac:dyDescent="0.25">
      <c r="F50" s="57">
        <f t="shared" ref="F50:AJ50" si="32">F49/F17</f>
        <v>-3.1125632756686913E-4</v>
      </c>
      <c r="G50" s="57">
        <f t="shared" si="32"/>
        <v>-2.0169206300764701E-4</v>
      </c>
      <c r="H50" s="57">
        <f t="shared" si="32"/>
        <v>6.627733559733713E-4</v>
      </c>
      <c r="I50" s="57">
        <f t="shared" si="32"/>
        <v>-1.7291803202699847E-4</v>
      </c>
      <c r="J50" s="57">
        <f t="shared" si="32"/>
        <v>2.6154795577634331E-5</v>
      </c>
      <c r="K50" s="57">
        <f t="shared" si="32"/>
        <v>-3.6408418919104702E-6</v>
      </c>
      <c r="L50" s="57">
        <f t="shared" si="32"/>
        <v>1.2398398313010009E-6</v>
      </c>
      <c r="M50" s="57">
        <f t="shared" si="32"/>
        <v>-1.5348543151102658E-6</v>
      </c>
      <c r="N50" s="57">
        <f t="shared" si="32"/>
        <v>2.3936977425658016E-6</v>
      </c>
      <c r="O50" s="57">
        <f t="shared" si="32"/>
        <v>-5.4937351077732437E-6</v>
      </c>
      <c r="P50" s="57">
        <f t="shared" si="32"/>
        <v>1.2649006149959209E-5</v>
      </c>
      <c r="Q50" s="57">
        <f t="shared" si="32"/>
        <v>-2.1885159470671733E-5</v>
      </c>
      <c r="R50" s="57">
        <f t="shared" si="32"/>
        <v>2.853249408292718E-5</v>
      </c>
      <c r="S50" s="57">
        <f t="shared" si="32"/>
        <v>-3.0670874546914612E-5</v>
      </c>
      <c r="T50" s="57">
        <f t="shared" si="32"/>
        <v>2.9119791405996153E-5</v>
      </c>
      <c r="U50" s="57">
        <f t="shared" si="32"/>
        <v>-2.4536029520899384E-5</v>
      </c>
      <c r="V50" s="57">
        <f t="shared" si="32"/>
        <v>1.7343946355789387E-5</v>
      </c>
      <c r="W50" s="57">
        <f t="shared" si="32"/>
        <v>-9.9120154556324075E-6</v>
      </c>
      <c r="X50" s="57">
        <f t="shared" si="32"/>
        <v>4.4875400777706444E-6</v>
      </c>
      <c r="Y50" s="57">
        <f t="shared" si="32"/>
        <v>-1.4769741850685204E-6</v>
      </c>
      <c r="Z50" s="57">
        <f t="shared" si="32"/>
        <v>-5.7433627905989989E-7</v>
      </c>
      <c r="AA50" s="57">
        <f t="shared" si="32"/>
        <v>2.428612891285383E-6</v>
      </c>
      <c r="AB50" s="57">
        <f t="shared" si="32"/>
        <v>-4.6638191373505289E-6</v>
      </c>
      <c r="AC50" s="57">
        <f t="shared" si="32"/>
        <v>6.6170319612633101E-6</v>
      </c>
      <c r="AD50" s="57">
        <f t="shared" si="32"/>
        <v>-6.8561195098830359E-6</v>
      </c>
      <c r="AE50" s="57">
        <f t="shared" si="32"/>
        <v>6.4272760941959587E-6</v>
      </c>
      <c r="AF50" s="57">
        <f t="shared" si="32"/>
        <v>-5.2636286145462114E-6</v>
      </c>
      <c r="AG50" s="57">
        <f t="shared" si="32"/>
        <v>5.3555307480060817E-6</v>
      </c>
      <c r="AH50" s="57">
        <f t="shared" si="32"/>
        <v>-7.4805507661538207E-6</v>
      </c>
      <c r="AI50" s="57">
        <f t="shared" si="32"/>
        <v>1.060905130131463E-5</v>
      </c>
      <c r="AJ50" s="57">
        <f t="shared" si="32"/>
        <v>-6.9516870735897152E-6</v>
      </c>
    </row>
    <row r="51" spans="1:36" x14ac:dyDescent="0.25">
      <c r="A51" s="13" t="s">
        <v>21</v>
      </c>
      <c r="B51" s="3">
        <f>STUTT!D8</f>
        <v>5614.1607000000004</v>
      </c>
      <c r="E51" s="11" t="s">
        <v>24</v>
      </c>
      <c r="F51" s="20">
        <f t="shared" ref="F51:AJ51" si="33">(F16-F17)^2</f>
        <v>3.0493652262246136</v>
      </c>
      <c r="G51" s="20">
        <f t="shared" si="33"/>
        <v>1.2796769272716499</v>
      </c>
      <c r="H51" s="20">
        <f t="shared" si="33"/>
        <v>13.74525810778613</v>
      </c>
      <c r="I51" s="20">
        <f t="shared" si="33"/>
        <v>0.91003847158553275</v>
      </c>
      <c r="J51" s="20">
        <f t="shared" si="33"/>
        <v>1.9611300386505069E-2</v>
      </c>
      <c r="K51" s="20">
        <f t="shared" si="33"/>
        <v>3.6439035779016363E-4</v>
      </c>
      <c r="L51" s="20">
        <f t="shared" si="33"/>
        <v>4.0512967013170278E-5</v>
      </c>
      <c r="M51" s="20">
        <f t="shared" si="33"/>
        <v>5.9174727873730126E-5</v>
      </c>
      <c r="N51" s="20">
        <f t="shared" si="33"/>
        <v>1.3660315236696668E-4</v>
      </c>
      <c r="O51" s="20">
        <f t="shared" si="33"/>
        <v>6.7744198467374942E-4</v>
      </c>
      <c r="P51" s="20">
        <f t="shared" si="33"/>
        <v>3.3585817944690294E-3</v>
      </c>
      <c r="Q51" s="20">
        <f t="shared" si="33"/>
        <v>9.3696648181787155E-3</v>
      </c>
      <c r="R51" s="20">
        <f t="shared" si="33"/>
        <v>1.4845617283707539E-2</v>
      </c>
      <c r="S51" s="20">
        <f t="shared" si="33"/>
        <v>1.5852164610444915E-2</v>
      </c>
      <c r="T51" s="20">
        <f t="shared" si="33"/>
        <v>1.2924461612253557E-2</v>
      </c>
      <c r="U51" s="20">
        <f t="shared" si="33"/>
        <v>8.1946038819205105E-3</v>
      </c>
      <c r="V51" s="20">
        <f t="shared" si="33"/>
        <v>3.6761153954194483E-3</v>
      </c>
      <c r="W51" s="20">
        <f t="shared" si="33"/>
        <v>1.0750676628576694E-3</v>
      </c>
      <c r="X51" s="20">
        <f t="shared" si="33"/>
        <v>1.9399809501039267E-4</v>
      </c>
      <c r="Y51" s="20">
        <f t="shared" si="33"/>
        <v>1.8493280301458606E-5</v>
      </c>
      <c r="Z51" s="20">
        <f t="shared" si="33"/>
        <v>2.4570271699143739E-6</v>
      </c>
      <c r="AA51" s="20">
        <f t="shared" si="33"/>
        <v>3.8374450991150433E-5</v>
      </c>
      <c r="AB51" s="20">
        <f t="shared" si="33"/>
        <v>1.209561688976841E-4</v>
      </c>
      <c r="AC51" s="20">
        <f t="shared" si="33"/>
        <v>2.0394824460891076E-4</v>
      </c>
      <c r="AD51" s="20">
        <f t="shared" si="33"/>
        <v>1.76812206309111E-4</v>
      </c>
      <c r="AE51" s="20">
        <f t="shared" si="33"/>
        <v>1.1899032237937595E-4</v>
      </c>
      <c r="AF51" s="20">
        <f t="shared" si="33"/>
        <v>5.5664941873330679E-5</v>
      </c>
      <c r="AG51" s="20">
        <f t="shared" si="33"/>
        <v>3.520821303044759E-5</v>
      </c>
      <c r="AH51" s="20">
        <f t="shared" si="33"/>
        <v>3.6349079909819356E-5</v>
      </c>
      <c r="AI51" s="20">
        <f t="shared" si="33"/>
        <v>3.6029898112319991E-5</v>
      </c>
      <c r="AJ51" s="20">
        <f t="shared" si="33"/>
        <v>8.0704516366297236E-6</v>
      </c>
    </row>
    <row r="52" spans="1:36" x14ac:dyDescent="0.25">
      <c r="A52" s="13"/>
    </row>
    <row r="53" spans="1:36" x14ac:dyDescent="0.25">
      <c r="E53" s="108" t="s">
        <v>25</v>
      </c>
      <c r="F53" s="108"/>
      <c r="G53" s="21">
        <f>SUM(F51:AJ51)</f>
        <v>19.07556978588363</v>
      </c>
      <c r="I53" s="3">
        <f>G53+C123</f>
        <v>19.07556978588363</v>
      </c>
      <c r="K53" s="3">
        <f>SUM(Z51:AJ51)</f>
        <v>8.3286100491869399E-4</v>
      </c>
    </row>
    <row r="55" spans="1:36" x14ac:dyDescent="0.25">
      <c r="E55" s="30" t="s">
        <v>30</v>
      </c>
      <c r="F55" s="31">
        <f t="shared" ref="F55:AJ55" si="34">ABS(F17-F16)/F16</f>
        <v>3.113532382323774E-4</v>
      </c>
      <c r="G55" s="31">
        <f t="shared" si="34"/>
        <v>2.0173275090235271E-4</v>
      </c>
      <c r="H55" s="31">
        <f t="shared" si="34"/>
        <v>6.6233437839462617E-4</v>
      </c>
      <c r="I55" s="31">
        <f t="shared" si="34"/>
        <v>1.7294793784405359E-4</v>
      </c>
      <c r="J55" s="31">
        <f t="shared" si="34"/>
        <v>2.6154111522193953E-5</v>
      </c>
      <c r="K55" s="31">
        <f t="shared" si="34"/>
        <v>3.6408551476884144E-6</v>
      </c>
      <c r="L55" s="31">
        <f t="shared" si="34"/>
        <v>1.2398382941000996E-6</v>
      </c>
      <c r="M55" s="31">
        <f t="shared" si="34"/>
        <v>1.5348566708916503E-6</v>
      </c>
      <c r="N55" s="31">
        <f t="shared" si="34"/>
        <v>2.393692012790634E-6</v>
      </c>
      <c r="O55" s="31">
        <f t="shared" si="34"/>
        <v>5.4937652890644859E-6</v>
      </c>
      <c r="P55" s="31">
        <f t="shared" si="34"/>
        <v>1.2648846154626409E-5</v>
      </c>
      <c r="Q55" s="31">
        <f t="shared" si="34"/>
        <v>2.1885638441359141E-5</v>
      </c>
      <c r="R55" s="31">
        <f t="shared" si="34"/>
        <v>2.853168000293632E-5</v>
      </c>
      <c r="S55" s="31">
        <f t="shared" si="34"/>
        <v>3.0671815278313133E-5</v>
      </c>
      <c r="T55" s="31">
        <f t="shared" si="34"/>
        <v>2.911894346843639E-5</v>
      </c>
      <c r="U55" s="31">
        <f t="shared" si="34"/>
        <v>2.4536631552415498E-5</v>
      </c>
      <c r="V55" s="31">
        <f t="shared" si="34"/>
        <v>1.7343645548531382E-5</v>
      </c>
      <c r="W55" s="31">
        <f t="shared" si="34"/>
        <v>9.9121137046566463E-6</v>
      </c>
      <c r="X55" s="31">
        <f t="shared" si="34"/>
        <v>4.4875199398450647E-6</v>
      </c>
      <c r="Y55" s="31">
        <f t="shared" si="34"/>
        <v>1.4769763665244856E-6</v>
      </c>
      <c r="Z55" s="31">
        <f t="shared" si="34"/>
        <v>5.7433660892225082E-7</v>
      </c>
      <c r="AA55" s="31">
        <f t="shared" si="34"/>
        <v>2.4286069931391313E-6</v>
      </c>
      <c r="AB55" s="31">
        <f t="shared" si="34"/>
        <v>4.6638408886609189E-6</v>
      </c>
      <c r="AC55" s="31">
        <f t="shared" si="34"/>
        <v>6.6169881764410592E-6</v>
      </c>
      <c r="AD55" s="31">
        <f t="shared" si="34"/>
        <v>6.856166516580053E-6</v>
      </c>
      <c r="AE55" s="31">
        <f t="shared" si="34"/>
        <v>6.4272347845834753E-6</v>
      </c>
      <c r="AF55" s="31">
        <f t="shared" si="34"/>
        <v>5.2636563204782374E-6</v>
      </c>
      <c r="AG55" s="31">
        <f t="shared" si="34"/>
        <v>5.3555020664500941E-6</v>
      </c>
      <c r="AH55" s="31">
        <f t="shared" si="34"/>
        <v>7.4806067252121908E-6</v>
      </c>
      <c r="AI55" s="31">
        <f t="shared" si="34"/>
        <v>1.0608938750539172E-5</v>
      </c>
      <c r="AJ55" s="31">
        <f t="shared" si="34"/>
        <v>6.951735399878834E-6</v>
      </c>
    </row>
    <row r="56" spans="1:36" x14ac:dyDescent="0.25">
      <c r="E56" s="13" t="s">
        <v>31</v>
      </c>
      <c r="F56" s="32">
        <f>AVERAGE(F55:AJ55)</f>
        <v>5.2666672516086121E-5</v>
      </c>
    </row>
    <row r="57" spans="1:36" x14ac:dyDescent="0.25">
      <c r="A57" s="42"/>
      <c r="B57" s="15"/>
      <c r="C57" s="15"/>
      <c r="D57" s="15"/>
      <c r="F57" s="60">
        <f>AVERAGE(S55:X55)</f>
        <v>1.9345111582033017E-5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09"/>
      <c r="D63" s="109"/>
      <c r="E63" s="109"/>
      <c r="F63" s="109"/>
      <c r="G63" s="109"/>
      <c r="H63" s="109"/>
      <c r="I63" s="109"/>
    </row>
    <row r="64" spans="1:36" x14ac:dyDescent="0.25">
      <c r="A64" s="42">
        <f>10^A65</f>
        <v>1.0000000000000001E-5</v>
      </c>
      <c r="B64" s="42">
        <f>10^B65</f>
        <v>100000</v>
      </c>
      <c r="C64" s="15"/>
      <c r="D64" s="15"/>
      <c r="E64" s="15"/>
      <c r="F64" s="15"/>
      <c r="G64" s="15"/>
      <c r="H64" s="15"/>
      <c r="I64" s="15"/>
    </row>
    <row r="65" spans="1:13" x14ac:dyDescent="0.25">
      <c r="A65" s="15">
        <v>-5</v>
      </c>
      <c r="B65" s="43">
        <v>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0"/>
    </row>
    <row r="101" spans="1:9" x14ac:dyDescent="0.25">
      <c r="A101" s="11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-25.324970495913302</v>
      </c>
    </row>
    <row r="119" spans="1:14" x14ac:dyDescent="0.25">
      <c r="L119" s="11">
        <f>L118+1</f>
        <v>2</v>
      </c>
      <c r="M119" s="11">
        <f t="shared" ref="M119:M124" si="35">INDEX($B$125:$K$126,1,L119)</f>
        <v>0</v>
      </c>
      <c r="N119" s="11">
        <f t="shared" ref="N119:N124" si="36">IF(L119=$B$3,0,INDEX($B$125:$K$126,2,L119))</f>
        <v>-11.433389395276924</v>
      </c>
    </row>
    <row r="120" spans="1:14" x14ac:dyDescent="0.25">
      <c r="L120" s="11">
        <f t="shared" ref="L120:L124" si="37">L119+1</f>
        <v>3</v>
      </c>
      <c r="M120" s="11">
        <f t="shared" si="35"/>
        <v>25</v>
      </c>
      <c r="N120" s="11">
        <f t="shared" si="36"/>
        <v>-4.9812338750496075</v>
      </c>
    </row>
    <row r="121" spans="1:14" x14ac:dyDescent="0.25">
      <c r="A121" s="3">
        <f>(A165+A204+A243+A282+A321+A360+A399)*10^9</f>
        <v>94711210896821.172</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6.6241379047169344</v>
      </c>
    </row>
    <row r="123" spans="1:14" x14ac:dyDescent="0.25">
      <c r="A123" s="108"/>
      <c r="B123" s="108"/>
      <c r="C123" s="3"/>
      <c r="D123" s="3"/>
      <c r="E123" s="3"/>
      <c r="F123" s="3"/>
      <c r="G123" s="3"/>
      <c r="H123" s="3"/>
      <c r="I123" s="3"/>
      <c r="J123" s="3"/>
      <c r="K123" s="3"/>
      <c r="L123" s="11">
        <f t="shared" si="37"/>
        <v>6</v>
      </c>
      <c r="M123" s="11">
        <f t="shared" si="35"/>
        <v>125</v>
      </c>
      <c r="N123" s="11">
        <f t="shared" si="36"/>
        <v>22.969990140232735</v>
      </c>
    </row>
    <row r="124" spans="1:14" x14ac:dyDescent="0.25">
      <c r="B124" s="3"/>
      <c r="C124" s="3"/>
      <c r="D124" s="3"/>
      <c r="E124" s="3"/>
      <c r="F124" s="3"/>
      <c r="G124" s="3"/>
      <c r="H124" s="3"/>
      <c r="I124" s="3"/>
      <c r="J124" s="3"/>
      <c r="K124" s="3"/>
      <c r="L124" s="11">
        <f t="shared" si="37"/>
        <v>7</v>
      </c>
      <c r="M124" s="11">
        <f t="shared" si="35"/>
        <v>160</v>
      </c>
      <c r="N124" s="11">
        <f t="shared" si="36"/>
        <v>37.589552112143352</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-25.324970495913302</v>
      </c>
      <c r="C126" s="3">
        <v>-11.433389395276924</v>
      </c>
      <c r="D126" s="3">
        <v>-4.9812338750496075</v>
      </c>
      <c r="E126" s="3">
        <v>-1.3304940193994567E-4</v>
      </c>
      <c r="F126" s="3">
        <v>6.6241379047169344</v>
      </c>
      <c r="G126" s="3">
        <v>22.969990140232735</v>
      </c>
      <c r="H126" s="3">
        <v>37.589552112143352</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9" t="s">
        <v>22</v>
      </c>
      <c r="B131" s="27">
        <f>($C$17+SUM(B132:B162))*$B$51</f>
        <v>5614.1606963135846</v>
      </c>
      <c r="C131" s="27">
        <f t="shared" ref="C131:AF131" si="40">($C$17+SUM(C132:C162))*$B$51</f>
        <v>5614.1606631360155</v>
      </c>
      <c r="D131" s="27">
        <f t="shared" si="40"/>
        <v>5614.160331376791</v>
      </c>
      <c r="E131" s="27">
        <f t="shared" si="40"/>
        <v>5614.1570154319461</v>
      </c>
      <c r="F131" s="27">
        <f t="shared" si="40"/>
        <v>5614.1240201730898</v>
      </c>
      <c r="G131" s="27">
        <f t="shared" si="40"/>
        <v>5613.8099508980113</v>
      </c>
      <c r="H131" s="27">
        <f t="shared" si="40"/>
        <v>5611.8338173995426</v>
      </c>
      <c r="I131" s="27">
        <f t="shared" si="40"/>
        <v>5610.4871809274882</v>
      </c>
      <c r="J131" s="27">
        <f t="shared" si="40"/>
        <v>5610.4868559928536</v>
      </c>
      <c r="K131" s="27">
        <f t="shared" si="40"/>
        <v>5610.4852175948245</v>
      </c>
      <c r="L131" s="27">
        <f t="shared" si="40"/>
        <v>5610.4688350748311</v>
      </c>
      <c r="M131" s="27">
        <f t="shared" si="40"/>
        <v>5610.3051557944618</v>
      </c>
      <c r="N131" s="27">
        <f t="shared" si="40"/>
        <v>5608.6828456737958</v>
      </c>
      <c r="O131" s="27">
        <f t="shared" si="40"/>
        <v>5593.8047831976446</v>
      </c>
      <c r="P131" s="27">
        <f t="shared" si="40"/>
        <v>5516.6566506938589</v>
      </c>
      <c r="Q131" s="27">
        <f t="shared" si="40"/>
        <v>5354.0460602980475</v>
      </c>
      <c r="R131" s="27">
        <f t="shared" si="40"/>
        <v>5242.8568033982756</v>
      </c>
      <c r="S131" s="27">
        <f t="shared" si="40"/>
        <v>5133.5216997533362</v>
      </c>
      <c r="T131" s="27">
        <f t="shared" si="40"/>
        <v>5011.6711525675983</v>
      </c>
      <c r="U131" s="27">
        <f t="shared" si="40"/>
        <v>4882.4837210446731</v>
      </c>
      <c r="V131" s="27">
        <f t="shared" si="40"/>
        <v>4737.4479932915328</v>
      </c>
      <c r="W131" s="27">
        <f t="shared" si="40"/>
        <v>4581.3766162925776</v>
      </c>
      <c r="X131" s="27">
        <f t="shared" si="40"/>
        <v>4422.6882578217146</v>
      </c>
      <c r="Y131" s="27">
        <f t="shared" si="40"/>
        <v>4270.0645902448705</v>
      </c>
      <c r="Z131" s="27">
        <f t="shared" si="40"/>
        <v>4104.7540323461162</v>
      </c>
      <c r="AA131" s="27">
        <f t="shared" si="40"/>
        <v>3903.7320191205731</v>
      </c>
      <c r="AB131" s="27">
        <f t="shared" si="40"/>
        <v>3689.1311314723162</v>
      </c>
      <c r="AC131" s="27">
        <f t="shared" si="40"/>
        <v>3495.54538824575</v>
      </c>
      <c r="AD131" s="27">
        <f t="shared" si="40"/>
        <v>3307.6424956079213</v>
      </c>
      <c r="AE131" s="27">
        <f t="shared" si="40"/>
        <v>3103.5127057320601</v>
      </c>
      <c r="AF131" s="27">
        <f t="shared" si="40"/>
        <v>2911.3766124782064</v>
      </c>
    </row>
    <row r="132" spans="1:33" x14ac:dyDescent="0.25">
      <c r="B132" s="3">
        <f t="shared" ref="B132:Z133" si="41">$C18*EXP(-B$129/$A18/EXP(-$B$126))</f>
        <v>6.5435573920582775E-4</v>
      </c>
      <c r="C132" s="3">
        <f t="shared" ref="C132:AF132" si="42">$C18*EXP(-C$129/$A18/EXP(-$B$126))</f>
        <v>6.5434982958626788E-4</v>
      </c>
      <c r="D132" s="3">
        <f t="shared" si="42"/>
        <v>6.5429073632599353E-4</v>
      </c>
      <c r="E132" s="3">
        <f t="shared" si="42"/>
        <v>6.5370009715759296E-4</v>
      </c>
      <c r="F132" s="3">
        <f t="shared" si="42"/>
        <v>6.4782295109154194E-4</v>
      </c>
      <c r="G132" s="3">
        <f t="shared" si="42"/>
        <v>5.9188064234412985E-4</v>
      </c>
      <c r="H132" s="3">
        <f t="shared" si="42"/>
        <v>2.3989003045168459E-4</v>
      </c>
      <c r="I132" s="3">
        <f t="shared" si="42"/>
        <v>2.8694114749351575E-8</v>
      </c>
      <c r="J132" s="3">
        <f t="shared" si="42"/>
        <v>1.7202800085884678E-47</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1.0565237894983813E-2</v>
      </c>
      <c r="C134" s="3">
        <f t="shared" si="44"/>
        <v>1.0565237894981606E-2</v>
      </c>
      <c r="D134" s="3">
        <f t="shared" si="44"/>
        <v>1.0565237894959559E-2</v>
      </c>
      <c r="E134" s="3">
        <f t="shared" si="44"/>
        <v>1.0565237894739076E-2</v>
      </c>
      <c r="F134" s="3">
        <f t="shared" si="44"/>
        <v>1.0565237892534244E-2</v>
      </c>
      <c r="G134" s="3">
        <f t="shared" si="44"/>
        <v>1.0565237870485931E-2</v>
      </c>
      <c r="H134" s="3">
        <f t="shared" si="44"/>
        <v>1.0565237650002814E-2</v>
      </c>
      <c r="I134" s="3">
        <f t="shared" si="44"/>
        <v>1.0565235445171871E-2</v>
      </c>
      <c r="J134" s="3">
        <f t="shared" si="44"/>
        <v>1.0565213396887747E-2</v>
      </c>
      <c r="K134" s="3">
        <f t="shared" si="44"/>
        <v>1.0564992916577151E-2</v>
      </c>
      <c r="L134" s="3">
        <f t="shared" si="44"/>
        <v>1.0562788366515665E-2</v>
      </c>
      <c r="M134" s="3">
        <f t="shared" si="44"/>
        <v>1.0540768150820093E-2</v>
      </c>
      <c r="N134" s="3">
        <f t="shared" si="44"/>
        <v>1.0323075070720255E-2</v>
      </c>
      <c r="O134" s="3">
        <f t="shared" si="44"/>
        <v>8.3787133422347868E-3</v>
      </c>
      <c r="P134" s="3">
        <f t="shared" si="44"/>
        <v>1.039584509410323E-3</v>
      </c>
      <c r="Q134" s="3">
        <f t="shared" si="44"/>
        <v>8.9884430679867086E-13</v>
      </c>
      <c r="R134" s="3">
        <f t="shared" si="44"/>
        <v>2.0986073820327178E-103</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3.6097677890575212E-2</v>
      </c>
      <c r="C135" s="3">
        <f t="shared" si="47"/>
        <v>3.6097677890574532E-2</v>
      </c>
      <c r="D135" s="3">
        <f t="shared" si="47"/>
        <v>3.6097677890567739E-2</v>
      </c>
      <c r="E135" s="3">
        <f t="shared" si="47"/>
        <v>3.6097677890499787E-2</v>
      </c>
      <c r="F135" s="3">
        <f t="shared" si="47"/>
        <v>3.6097677889820233E-2</v>
      </c>
      <c r="G135" s="3">
        <f t="shared" si="47"/>
        <v>3.6097677883024724E-2</v>
      </c>
      <c r="H135" s="3">
        <f t="shared" si="47"/>
        <v>3.6097677815069645E-2</v>
      </c>
      <c r="I135" s="3">
        <f t="shared" si="47"/>
        <v>3.6097677135518855E-2</v>
      </c>
      <c r="J135" s="3">
        <f t="shared" si="47"/>
        <v>3.6097670340011663E-2</v>
      </c>
      <c r="K135" s="3">
        <f t="shared" si="47"/>
        <v>3.60976023850101E-2</v>
      </c>
      <c r="L135" s="3">
        <f t="shared" si="47"/>
        <v>3.6096922842030407E-2</v>
      </c>
      <c r="M135" s="3">
        <f t="shared" si="47"/>
        <v>3.6090128115781432E-2</v>
      </c>
      <c r="N135" s="3">
        <f t="shared" si="47"/>
        <v>3.6022251159100759E-2</v>
      </c>
      <c r="O135" s="3">
        <f t="shared" si="47"/>
        <v>3.5350463448206151E-2</v>
      </c>
      <c r="P135" s="3">
        <f t="shared" si="47"/>
        <v>2.9284494416063508E-2</v>
      </c>
      <c r="Q135" s="3">
        <f t="shared" si="47"/>
        <v>4.4572184302303294E-3</v>
      </c>
      <c r="R135" s="3">
        <f t="shared" si="47"/>
        <v>2.9738960810359209E-11</v>
      </c>
      <c r="S135" s="3">
        <f t="shared" si="47"/>
        <v>5.1992954661888095E-93</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1.7961408608631727E-2</v>
      </c>
      <c r="C136" s="3">
        <f t="shared" si="49"/>
        <v>1.7961408608631695E-2</v>
      </c>
      <c r="D136" s="3">
        <f t="shared" si="49"/>
        <v>1.796140860863139E-2</v>
      </c>
      <c r="E136" s="3">
        <f t="shared" si="49"/>
        <v>1.796140860862834E-2</v>
      </c>
      <c r="F136" s="3">
        <f t="shared" si="49"/>
        <v>1.7961408608597837E-2</v>
      </c>
      <c r="G136" s="3">
        <f t="shared" si="49"/>
        <v>1.7961408608292817E-2</v>
      </c>
      <c r="H136" s="3">
        <f t="shared" si="49"/>
        <v>1.7961408605242608E-2</v>
      </c>
      <c r="I136" s="3">
        <f t="shared" si="49"/>
        <v>1.7961408574740517E-2</v>
      </c>
      <c r="J136" s="3">
        <f t="shared" si="49"/>
        <v>1.7961408269719585E-2</v>
      </c>
      <c r="K136" s="3">
        <f t="shared" si="49"/>
        <v>1.7961405219510573E-2</v>
      </c>
      <c r="L136" s="3">
        <f t="shared" si="49"/>
        <v>1.7961374717448946E-2</v>
      </c>
      <c r="M136" s="3">
        <f t="shared" si="49"/>
        <v>1.7961069699681566E-2</v>
      </c>
      <c r="N136" s="3">
        <f t="shared" si="49"/>
        <v>1.7958019806880752E-2</v>
      </c>
      <c r="O136" s="3">
        <f t="shared" si="49"/>
        <v>1.7927549348279701E-2</v>
      </c>
      <c r="P136" s="3">
        <f t="shared" si="49"/>
        <v>1.7625673895632504E-2</v>
      </c>
      <c r="Q136" s="3">
        <f t="shared" si="49"/>
        <v>1.4872835387825158E-2</v>
      </c>
      <c r="R136" s="3">
        <f t="shared" si="49"/>
        <v>2.7219126024073796E-3</v>
      </c>
      <c r="S136" s="3">
        <f t="shared" si="49"/>
        <v>1.147303261288063E-10</v>
      </c>
      <c r="T136" s="3">
        <f t="shared" si="49"/>
        <v>2.0310412564906057E-84</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2.0382209262680424E-2</v>
      </c>
      <c r="C137" s="3">
        <f t="shared" si="51"/>
        <v>2.0382209262680421E-2</v>
      </c>
      <c r="D137" s="3">
        <f t="shared" si="51"/>
        <v>2.038220926268039E-2</v>
      </c>
      <c r="E137" s="3">
        <f t="shared" si="51"/>
        <v>2.0382209262680077E-2</v>
      </c>
      <c r="F137" s="3">
        <f t="shared" si="51"/>
        <v>2.0382209262676955E-2</v>
      </c>
      <c r="G137" s="3">
        <f t="shared" si="51"/>
        <v>2.0382209262645733E-2</v>
      </c>
      <c r="H137" s="3">
        <f t="shared" si="51"/>
        <v>2.0382209262333494E-2</v>
      </c>
      <c r="I137" s="3">
        <f t="shared" si="51"/>
        <v>2.0382209259211102E-2</v>
      </c>
      <c r="J137" s="3">
        <f t="shared" si="51"/>
        <v>2.0382209227987207E-2</v>
      </c>
      <c r="K137" s="3">
        <f t="shared" si="51"/>
        <v>2.0382208915748243E-2</v>
      </c>
      <c r="L137" s="3">
        <f t="shared" si="51"/>
        <v>2.0382205793358883E-2</v>
      </c>
      <c r="M137" s="3">
        <f t="shared" si="51"/>
        <v>2.0382174569491582E-2</v>
      </c>
      <c r="N137" s="3">
        <f t="shared" si="51"/>
        <v>2.0381862333449328E-2</v>
      </c>
      <c r="O137" s="3">
        <f t="shared" si="51"/>
        <v>2.0378740236088884E-2</v>
      </c>
      <c r="P137" s="3">
        <f t="shared" si="51"/>
        <v>2.0347545553789825E-2</v>
      </c>
      <c r="Q137" s="3">
        <f t="shared" si="51"/>
        <v>2.0038213020025768E-2</v>
      </c>
      <c r="R137" s="3">
        <f t="shared" si="51"/>
        <v>1.7192086441693039E-2</v>
      </c>
      <c r="S137" s="3">
        <f t="shared" si="51"/>
        <v>3.7155623702345712E-3</v>
      </c>
      <c r="T137" s="3">
        <f t="shared" si="51"/>
        <v>8.2600799957325246E-10</v>
      </c>
      <c r="U137" s="3">
        <f t="shared" si="51"/>
        <v>2.4354612715327856E-76</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2.3191773100904155E-2</v>
      </c>
      <c r="C138" s="3">
        <f t="shared" si="53"/>
        <v>2.3191773100904155E-2</v>
      </c>
      <c r="D138" s="3">
        <f t="shared" si="53"/>
        <v>2.3191773100904152E-2</v>
      </c>
      <c r="E138" s="3">
        <f t="shared" si="53"/>
        <v>2.3191773100904121E-2</v>
      </c>
      <c r="F138" s="3">
        <f t="shared" si="53"/>
        <v>2.3191773100903802E-2</v>
      </c>
      <c r="G138" s="3">
        <f t="shared" si="53"/>
        <v>2.3191773100900596E-2</v>
      </c>
      <c r="H138" s="3">
        <f t="shared" si="53"/>
        <v>2.3191773100868545E-2</v>
      </c>
      <c r="I138" s="3">
        <f t="shared" si="53"/>
        <v>2.3191773100548055E-2</v>
      </c>
      <c r="J138" s="3">
        <f t="shared" si="53"/>
        <v>2.3191773097343139E-2</v>
      </c>
      <c r="K138" s="3">
        <f t="shared" si="53"/>
        <v>2.3191773065294002E-2</v>
      </c>
      <c r="L138" s="3">
        <f t="shared" si="53"/>
        <v>2.3191772744802597E-2</v>
      </c>
      <c r="M138" s="3">
        <f t="shared" si="53"/>
        <v>2.3191769539888815E-2</v>
      </c>
      <c r="N138" s="3">
        <f t="shared" si="53"/>
        <v>2.3191737490775358E-2</v>
      </c>
      <c r="O138" s="3">
        <f t="shared" si="53"/>
        <v>2.3191417002076675E-2</v>
      </c>
      <c r="P138" s="3">
        <f t="shared" si="53"/>
        <v>2.3188212358667172E-2</v>
      </c>
      <c r="Q138" s="3">
        <f t="shared" si="53"/>
        <v>2.3156190269853848E-2</v>
      </c>
      <c r="R138" s="3">
        <f t="shared" si="53"/>
        <v>2.2838391507787978E-2</v>
      </c>
      <c r="S138" s="3">
        <f t="shared" si="53"/>
        <v>1.9890676552110641E-2</v>
      </c>
      <c r="T138" s="3">
        <f t="shared" si="53"/>
        <v>4.9944764767948175E-3</v>
      </c>
      <c r="U138" s="3">
        <f t="shared" si="53"/>
        <v>4.9761577492583482E-9</v>
      </c>
      <c r="V138" s="3">
        <f t="shared" si="53"/>
        <v>4.7966255244457161E-69</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2.374870276432043E-2</v>
      </c>
      <c r="C139" s="3">
        <f t="shared" si="55"/>
        <v>2.374870276432043E-2</v>
      </c>
      <c r="D139" s="3">
        <f t="shared" si="55"/>
        <v>2.374870276432043E-2</v>
      </c>
      <c r="E139" s="3">
        <f t="shared" si="55"/>
        <v>2.3748702764320426E-2</v>
      </c>
      <c r="F139" s="3">
        <f t="shared" si="55"/>
        <v>2.3748702764320399E-2</v>
      </c>
      <c r="G139" s="3">
        <f t="shared" si="55"/>
        <v>2.37487027643201E-2</v>
      </c>
      <c r="H139" s="3">
        <f t="shared" si="55"/>
        <v>2.3748702764317141E-2</v>
      </c>
      <c r="I139" s="3">
        <f t="shared" si="55"/>
        <v>2.3748702764287536E-2</v>
      </c>
      <c r="J139" s="3">
        <f t="shared" si="55"/>
        <v>2.3748702763991485E-2</v>
      </c>
      <c r="K139" s="3">
        <f t="shared" si="55"/>
        <v>2.3748702761030957E-2</v>
      </c>
      <c r="L139" s="3">
        <f t="shared" si="55"/>
        <v>2.3748702731425694E-2</v>
      </c>
      <c r="M139" s="3">
        <f t="shared" si="55"/>
        <v>2.3748702435373071E-2</v>
      </c>
      <c r="N139" s="3">
        <f t="shared" si="55"/>
        <v>2.3748699474847042E-2</v>
      </c>
      <c r="O139" s="3">
        <f t="shared" si="55"/>
        <v>2.3748669869607053E-2</v>
      </c>
      <c r="P139" s="3">
        <f t="shared" si="55"/>
        <v>2.374837381923698E-2</v>
      </c>
      <c r="Q139" s="3">
        <f t="shared" si="55"/>
        <v>2.3745413518509298E-2</v>
      </c>
      <c r="R139" s="3">
        <f t="shared" si="55"/>
        <v>2.3715830799178418E-2</v>
      </c>
      <c r="S139" s="3">
        <f t="shared" si="55"/>
        <v>2.3422023073891716E-2</v>
      </c>
      <c r="T139" s="3">
        <f t="shared" si="55"/>
        <v>2.067688047277812E-2</v>
      </c>
      <c r="U139" s="3">
        <f t="shared" si="55"/>
        <v>5.9441689481280558E-3</v>
      </c>
      <c r="V139" s="3">
        <f t="shared" si="55"/>
        <v>2.2916717917628751E-8</v>
      </c>
      <c r="W139" s="3">
        <f t="shared" si="55"/>
        <v>1.6625134320931419E-62</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2.8130744653850213E-2</v>
      </c>
      <c r="C140" s="3">
        <f t="shared" si="57"/>
        <v>2.8130744653850213E-2</v>
      </c>
      <c r="D140" s="3">
        <f t="shared" si="57"/>
        <v>2.8130744653850213E-2</v>
      </c>
      <c r="E140" s="3">
        <f t="shared" si="57"/>
        <v>2.8130744653850213E-2</v>
      </c>
      <c r="F140" s="3">
        <f t="shared" si="57"/>
        <v>2.8130744653850209E-2</v>
      </c>
      <c r="G140" s="3">
        <f t="shared" si="57"/>
        <v>2.8130744653850178E-2</v>
      </c>
      <c r="H140" s="3">
        <f t="shared" si="57"/>
        <v>2.8130744653849859E-2</v>
      </c>
      <c r="I140" s="3">
        <f t="shared" si="57"/>
        <v>2.8130744653846698E-2</v>
      </c>
      <c r="J140" s="3">
        <f t="shared" si="57"/>
        <v>2.8130744653815064E-2</v>
      </c>
      <c r="K140" s="3">
        <f t="shared" si="57"/>
        <v>2.8130744653498723E-2</v>
      </c>
      <c r="L140" s="3">
        <f t="shared" si="57"/>
        <v>2.8130744650335302E-2</v>
      </c>
      <c r="M140" s="3">
        <f t="shared" si="57"/>
        <v>2.8130744618701103E-2</v>
      </c>
      <c r="N140" s="3">
        <f t="shared" si="57"/>
        <v>2.8130744302359113E-2</v>
      </c>
      <c r="O140" s="3">
        <f t="shared" si="57"/>
        <v>2.8130741138939416E-2</v>
      </c>
      <c r="P140" s="3">
        <f t="shared" si="57"/>
        <v>2.8130709504762003E-2</v>
      </c>
      <c r="Q140" s="3">
        <f t="shared" si="57"/>
        <v>2.813039316494443E-2</v>
      </c>
      <c r="R140" s="3">
        <f t="shared" si="57"/>
        <v>2.8127229962416549E-2</v>
      </c>
      <c r="S140" s="3">
        <f t="shared" si="57"/>
        <v>2.8095617493784326E-2</v>
      </c>
      <c r="T140" s="3">
        <f t="shared" si="57"/>
        <v>2.7781440359399303E-2</v>
      </c>
      <c r="U140" s="3">
        <f t="shared" si="57"/>
        <v>2.4826558849289772E-2</v>
      </c>
      <c r="V140" s="3">
        <f t="shared" si="57"/>
        <v>8.0636972612871359E-3</v>
      </c>
      <c r="W140" s="3">
        <f t="shared" si="57"/>
        <v>1.0536857038382081E-7</v>
      </c>
      <c r="X140" s="3">
        <f t="shared" si="57"/>
        <v>1.5292546841449325E-56</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2.9651765361493738E-2</v>
      </c>
      <c r="C141" s="3">
        <f t="shared" si="59"/>
        <v>2.9651765361493738E-2</v>
      </c>
      <c r="D141" s="3">
        <f t="shared" si="59"/>
        <v>2.9651765361493738E-2</v>
      </c>
      <c r="E141" s="3">
        <f t="shared" si="59"/>
        <v>2.9651765361493738E-2</v>
      </c>
      <c r="F141" s="3">
        <f t="shared" si="59"/>
        <v>2.9651765361493738E-2</v>
      </c>
      <c r="G141" s="3">
        <f t="shared" si="59"/>
        <v>2.9651765361493734E-2</v>
      </c>
      <c r="H141" s="3">
        <f t="shared" si="59"/>
        <v>2.9651765361493707E-2</v>
      </c>
      <c r="I141" s="3">
        <f t="shared" si="59"/>
        <v>2.9651765361493401E-2</v>
      </c>
      <c r="J141" s="3">
        <f t="shared" si="59"/>
        <v>2.9651765361490397E-2</v>
      </c>
      <c r="K141" s="3">
        <f t="shared" si="59"/>
        <v>2.9651765361460317E-2</v>
      </c>
      <c r="L141" s="3">
        <f t="shared" si="59"/>
        <v>2.9651765361159519E-2</v>
      </c>
      <c r="M141" s="3">
        <f t="shared" si="59"/>
        <v>2.9651765358151554E-2</v>
      </c>
      <c r="N141" s="3">
        <f t="shared" si="59"/>
        <v>2.9651765328071907E-2</v>
      </c>
      <c r="O141" s="3">
        <f t="shared" si="59"/>
        <v>2.9651765027275418E-2</v>
      </c>
      <c r="P141" s="3">
        <f t="shared" si="59"/>
        <v>2.9651762019310725E-2</v>
      </c>
      <c r="Q141" s="3">
        <f t="shared" si="59"/>
        <v>2.9651731939680553E-2</v>
      </c>
      <c r="R141" s="3">
        <f t="shared" si="59"/>
        <v>2.9651431145057076E-2</v>
      </c>
      <c r="S141" s="3">
        <f t="shared" si="59"/>
        <v>2.9648423366640718E-2</v>
      </c>
      <c r="T141" s="3">
        <f t="shared" si="59"/>
        <v>2.9618362358018801E-2</v>
      </c>
      <c r="U141" s="3">
        <f t="shared" si="59"/>
        <v>2.9319423546496314E-2</v>
      </c>
      <c r="V141" s="3">
        <f t="shared" si="59"/>
        <v>2.649105655271284E-2</v>
      </c>
      <c r="W141" s="3">
        <f t="shared" si="59"/>
        <v>9.6058943163105492E-3</v>
      </c>
      <c r="X141" s="3">
        <f t="shared" si="59"/>
        <v>3.7750529616953548E-7</v>
      </c>
      <c r="Y141" s="3">
        <f t="shared" si="59"/>
        <v>3.3172293211038022E-51</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3.0087522375858353E-2</v>
      </c>
      <c r="C142" s="3">
        <f t="shared" si="61"/>
        <v>3.0087522375858353E-2</v>
      </c>
      <c r="D142" s="3">
        <f t="shared" si="61"/>
        <v>3.0087522375858353E-2</v>
      </c>
      <c r="E142" s="3">
        <f t="shared" si="61"/>
        <v>3.0087522375858353E-2</v>
      </c>
      <c r="F142" s="3">
        <f t="shared" si="61"/>
        <v>3.0087522375858353E-2</v>
      </c>
      <c r="G142" s="3">
        <f t="shared" si="61"/>
        <v>3.0087522375858353E-2</v>
      </c>
      <c r="H142" s="3">
        <f t="shared" si="61"/>
        <v>3.008752237585835E-2</v>
      </c>
      <c r="I142" s="3">
        <f t="shared" si="61"/>
        <v>3.0087522375858322E-2</v>
      </c>
      <c r="J142" s="3">
        <f t="shared" si="61"/>
        <v>3.0087522375858045E-2</v>
      </c>
      <c r="K142" s="3">
        <f t="shared" si="61"/>
        <v>3.0087522375855293E-2</v>
      </c>
      <c r="L142" s="3">
        <f t="shared" si="61"/>
        <v>3.0087522375827763E-2</v>
      </c>
      <c r="M142" s="3">
        <f t="shared" si="61"/>
        <v>3.0087522375552431E-2</v>
      </c>
      <c r="N142" s="3">
        <f t="shared" si="61"/>
        <v>3.0087522372799116E-2</v>
      </c>
      <c r="O142" s="3">
        <f t="shared" si="61"/>
        <v>3.0087522345266012E-2</v>
      </c>
      <c r="P142" s="3">
        <f t="shared" si="61"/>
        <v>3.0087522069934942E-2</v>
      </c>
      <c r="Q142" s="3">
        <f t="shared" si="61"/>
        <v>3.0087519316624387E-2</v>
      </c>
      <c r="R142" s="3">
        <f t="shared" si="61"/>
        <v>3.0087491783532698E-2</v>
      </c>
      <c r="S142" s="3">
        <f t="shared" si="61"/>
        <v>3.0087216454001548E-2</v>
      </c>
      <c r="T142" s="3">
        <f t="shared" si="61"/>
        <v>3.0084463297260441E-2</v>
      </c>
      <c r="U142" s="3">
        <f t="shared" si="61"/>
        <v>3.0056945582195529E-2</v>
      </c>
      <c r="V142" s="3">
        <f t="shared" si="61"/>
        <v>2.978314898739905E-2</v>
      </c>
      <c r="W142" s="3">
        <f t="shared" si="61"/>
        <v>2.7178676463364353E-2</v>
      </c>
      <c r="X142" s="3">
        <f t="shared" si="61"/>
        <v>1.0884417744993078E-2</v>
      </c>
      <c r="Y142" s="3">
        <f t="shared" si="61"/>
        <v>1.1549792463650458E-6</v>
      </c>
      <c r="Z142" s="3">
        <f t="shared" si="61"/>
        <v>2.0905664138659679E-46</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2.6649166629010242E-2</v>
      </c>
      <c r="C143" s="3">
        <f t="shared" si="63"/>
        <v>2.6649166629010242E-2</v>
      </c>
      <c r="D143" s="3">
        <f t="shared" si="63"/>
        <v>2.6649166629010242E-2</v>
      </c>
      <c r="E143" s="3">
        <f t="shared" si="63"/>
        <v>2.6649166629010242E-2</v>
      </c>
      <c r="F143" s="3">
        <f t="shared" si="63"/>
        <v>2.6649166629010242E-2</v>
      </c>
      <c r="G143" s="3">
        <f t="shared" si="63"/>
        <v>2.6649166629010242E-2</v>
      </c>
      <c r="H143" s="3">
        <f t="shared" si="63"/>
        <v>2.6649166629010242E-2</v>
      </c>
      <c r="I143" s="3">
        <f t="shared" si="63"/>
        <v>2.6649166629010238E-2</v>
      </c>
      <c r="J143" s="3">
        <f t="shared" si="63"/>
        <v>2.6649166629010217E-2</v>
      </c>
      <c r="K143" s="3">
        <f t="shared" si="63"/>
        <v>2.6649166629009995E-2</v>
      </c>
      <c r="L143" s="3">
        <f t="shared" si="63"/>
        <v>2.6649166629007799E-2</v>
      </c>
      <c r="M143" s="3">
        <f t="shared" si="63"/>
        <v>2.6649166628985796E-2</v>
      </c>
      <c r="N143" s="3">
        <f t="shared" si="63"/>
        <v>2.6649166628765809E-2</v>
      </c>
      <c r="O143" s="3">
        <f t="shared" si="63"/>
        <v>2.664916662656593E-2</v>
      </c>
      <c r="P143" s="3">
        <f t="shared" si="63"/>
        <v>2.6649166604567131E-2</v>
      </c>
      <c r="Q143" s="3">
        <f t="shared" si="63"/>
        <v>2.6649166384579117E-2</v>
      </c>
      <c r="R143" s="3">
        <f t="shared" si="63"/>
        <v>2.6649164184699075E-2</v>
      </c>
      <c r="S143" s="3">
        <f t="shared" si="63"/>
        <v>2.6649142185908678E-2</v>
      </c>
      <c r="T143" s="3">
        <f t="shared" si="63"/>
        <v>2.6648922199003489E-2</v>
      </c>
      <c r="U143" s="3">
        <f t="shared" si="63"/>
        <v>2.6646722429827858E-2</v>
      </c>
      <c r="V143" s="3">
        <f t="shared" si="63"/>
        <v>2.662473472264975E-2</v>
      </c>
      <c r="W143" s="3">
        <f t="shared" si="63"/>
        <v>2.6405853065779642E-2</v>
      </c>
      <c r="X143" s="3">
        <f t="shared" si="63"/>
        <v>2.4313603624937893E-2</v>
      </c>
      <c r="Y143" s="3">
        <f t="shared" si="63"/>
        <v>1.0649779887725152E-2</v>
      </c>
      <c r="Z143" s="3">
        <f t="shared" si="63"/>
        <v>2.7685580018714763E-6</v>
      </c>
      <c r="AA143" s="3">
        <f t="shared" ref="AA143" si="64">$C29*EXP(-AA$129/$A29/EXP(-$B$126))</f>
        <v>3.9028654009383133E-42</v>
      </c>
      <c r="AB143" s="3">
        <f t="shared" si="46"/>
        <v>0</v>
      </c>
      <c r="AC143" s="3">
        <f t="shared" si="46"/>
        <v>0</v>
      </c>
      <c r="AD143" s="3">
        <f t="shared" si="46"/>
        <v>0</v>
      </c>
      <c r="AE143" s="3">
        <f t="shared" si="46"/>
        <v>0</v>
      </c>
      <c r="AF143" s="3">
        <f t="shared" si="46"/>
        <v>0</v>
      </c>
    </row>
    <row r="144" spans="1:33" x14ac:dyDescent="0.25">
      <c r="B144" s="3">
        <f t="shared" ref="B144:Z144" si="65">$C30*EXP(-B$129/$A30/EXP(-$B$126))</f>
        <v>3.2769511002714927E-2</v>
      </c>
      <c r="C144" s="3">
        <f t="shared" si="65"/>
        <v>3.2769511002714927E-2</v>
      </c>
      <c r="D144" s="3">
        <f t="shared" si="65"/>
        <v>3.2769511002714927E-2</v>
      </c>
      <c r="E144" s="3">
        <f t="shared" si="65"/>
        <v>3.2769511002714927E-2</v>
      </c>
      <c r="F144" s="3">
        <f t="shared" si="65"/>
        <v>3.2769511002714927E-2</v>
      </c>
      <c r="G144" s="3">
        <f t="shared" si="65"/>
        <v>3.2769511002714927E-2</v>
      </c>
      <c r="H144" s="3">
        <f t="shared" si="65"/>
        <v>3.2769511002714927E-2</v>
      </c>
      <c r="I144" s="3">
        <f t="shared" si="65"/>
        <v>3.2769511002714927E-2</v>
      </c>
      <c r="J144" s="3">
        <f t="shared" si="65"/>
        <v>3.276951100271492E-2</v>
      </c>
      <c r="K144" s="3">
        <f t="shared" si="65"/>
        <v>3.2769511002714899E-2</v>
      </c>
      <c r="L144" s="3">
        <f t="shared" si="65"/>
        <v>3.2769511002714656E-2</v>
      </c>
      <c r="M144" s="3">
        <f t="shared" si="65"/>
        <v>3.2769511002712214E-2</v>
      </c>
      <c r="N144" s="3">
        <f t="shared" si="65"/>
        <v>3.2769511002687809E-2</v>
      </c>
      <c r="O144" s="3">
        <f t="shared" si="65"/>
        <v>3.2769511002443789E-2</v>
      </c>
      <c r="P144" s="3">
        <f t="shared" si="65"/>
        <v>3.2769511000003554E-2</v>
      </c>
      <c r="Q144" s="3">
        <f t="shared" si="65"/>
        <v>3.2769510975601185E-2</v>
      </c>
      <c r="R144" s="3">
        <f t="shared" si="65"/>
        <v>3.2769510731577522E-2</v>
      </c>
      <c r="S144" s="3">
        <f t="shared" si="65"/>
        <v>3.2769508291341017E-2</v>
      </c>
      <c r="T144" s="3">
        <f t="shared" si="65"/>
        <v>3.2769483888985915E-2</v>
      </c>
      <c r="U144" s="3">
        <f t="shared" si="65"/>
        <v>3.2769239866434367E-2</v>
      </c>
      <c r="V144" s="3">
        <f t="shared" si="65"/>
        <v>3.2766799740859741E-2</v>
      </c>
      <c r="W144" s="3">
        <f t="shared" si="65"/>
        <v>3.2742408476451733E-2</v>
      </c>
      <c r="X144" s="3">
        <f t="shared" si="65"/>
        <v>3.2499492218789824E-2</v>
      </c>
      <c r="Y144" s="3">
        <f t="shared" si="65"/>
        <v>3.0167276801224645E-2</v>
      </c>
      <c r="Z144" s="3">
        <f t="shared" si="65"/>
        <v>1.4326214035103821E-2</v>
      </c>
      <c r="AA144" s="3">
        <f t="shared" ref="AA144" si="66">$C30*EXP(-AA$129/$A30/EXP(-$B$126))</f>
        <v>8.3576601250181313E-6</v>
      </c>
      <c r="AB144" s="3">
        <f t="shared" ref="AB144:AF153" si="67">$C30*EXP(-AB$129/$A30/EXP(-$B$126))</f>
        <v>3.816079497999816E-38</v>
      </c>
      <c r="AC144" s="3">
        <f t="shared" si="67"/>
        <v>0</v>
      </c>
      <c r="AD144" s="3">
        <f t="shared" si="67"/>
        <v>0</v>
      </c>
      <c r="AE144" s="3">
        <f t="shared" si="67"/>
        <v>0</v>
      </c>
      <c r="AF144" s="3">
        <f t="shared" si="67"/>
        <v>0</v>
      </c>
    </row>
    <row r="145" spans="1:32" x14ac:dyDescent="0.25">
      <c r="B145" s="3">
        <f t="shared" ref="B145:Z145" si="68">$C31*EXP(-B$129/$A31/EXP(-$B$126))</f>
        <v>4.1907199465091145E-2</v>
      </c>
      <c r="C145" s="3">
        <f t="shared" si="68"/>
        <v>4.1907199465091145E-2</v>
      </c>
      <c r="D145" s="3">
        <f t="shared" si="68"/>
        <v>4.1907199465091145E-2</v>
      </c>
      <c r="E145" s="3">
        <f t="shared" si="68"/>
        <v>4.1907199465091145E-2</v>
      </c>
      <c r="F145" s="3">
        <f t="shared" si="68"/>
        <v>4.1907199465091145E-2</v>
      </c>
      <c r="G145" s="3">
        <f t="shared" si="68"/>
        <v>4.1907199465091145E-2</v>
      </c>
      <c r="H145" s="3">
        <f t="shared" si="68"/>
        <v>4.1907199465091145E-2</v>
      </c>
      <c r="I145" s="3">
        <f t="shared" si="68"/>
        <v>4.1907199465091145E-2</v>
      </c>
      <c r="J145" s="3">
        <f t="shared" si="68"/>
        <v>4.1907199465091145E-2</v>
      </c>
      <c r="K145" s="3">
        <f t="shared" si="68"/>
        <v>4.1907199465091138E-2</v>
      </c>
      <c r="L145" s="3">
        <f t="shared" si="68"/>
        <v>4.1907199465091111E-2</v>
      </c>
      <c r="M145" s="3">
        <f t="shared" si="68"/>
        <v>4.1907199465090833E-2</v>
      </c>
      <c r="N145" s="3">
        <f t="shared" si="68"/>
        <v>4.1907199465088016E-2</v>
      </c>
      <c r="O145" s="3">
        <f t="shared" si="68"/>
        <v>4.1907199465059865E-2</v>
      </c>
      <c r="P145" s="3">
        <f t="shared" si="68"/>
        <v>4.1907199464778354E-2</v>
      </c>
      <c r="Q145" s="3">
        <f t="shared" si="68"/>
        <v>4.1907199461963231E-2</v>
      </c>
      <c r="R145" s="3">
        <f t="shared" si="68"/>
        <v>4.1907199433812013E-2</v>
      </c>
      <c r="S145" s="3">
        <f t="shared" si="68"/>
        <v>4.1907199152299818E-2</v>
      </c>
      <c r="T145" s="3">
        <f t="shared" si="68"/>
        <v>4.1907196337178008E-2</v>
      </c>
      <c r="U145" s="3">
        <f t="shared" si="68"/>
        <v>4.1907168185970289E-2</v>
      </c>
      <c r="V145" s="3">
        <f t="shared" si="68"/>
        <v>4.1906886674933169E-2</v>
      </c>
      <c r="W145" s="3">
        <f t="shared" si="68"/>
        <v>4.190407166856755E-2</v>
      </c>
      <c r="X145" s="3">
        <f t="shared" si="68"/>
        <v>4.1875932002880784E-2</v>
      </c>
      <c r="Y145" s="3">
        <f t="shared" si="68"/>
        <v>4.1595572563205105E-2</v>
      </c>
      <c r="Z145" s="3">
        <f t="shared" si="68"/>
        <v>3.8893167570952125E-2</v>
      </c>
      <c r="AA145" s="3">
        <f t="shared" ref="AA145" si="69">$C31*EXP(-AA$129/$A31/EXP(-$B$126))</f>
        <v>1.986714196417674E-2</v>
      </c>
      <c r="AB145" s="3">
        <f t="shared" si="67"/>
        <v>2.40301343310435E-5</v>
      </c>
      <c r="AC145" s="3">
        <f t="shared" si="67"/>
        <v>1.6105129934542544E-34</v>
      </c>
      <c r="AD145" s="3">
        <f t="shared" si="67"/>
        <v>0</v>
      </c>
      <c r="AE145" s="3">
        <f t="shared" si="67"/>
        <v>0</v>
      </c>
      <c r="AF145" s="3">
        <f t="shared" si="67"/>
        <v>0</v>
      </c>
    </row>
    <row r="146" spans="1:32" x14ac:dyDescent="0.25">
      <c r="B146" s="3">
        <f t="shared" ref="B146:Z146" si="70">$C32*EXP(-B$129/$A32/EXP(-$B$126))</f>
        <v>3.8766931941006839E-2</v>
      </c>
      <c r="C146" s="3">
        <f t="shared" si="70"/>
        <v>3.8766931941006839E-2</v>
      </c>
      <c r="D146" s="3">
        <f t="shared" si="70"/>
        <v>3.8766931941006839E-2</v>
      </c>
      <c r="E146" s="3">
        <f t="shared" si="70"/>
        <v>3.8766931941006839E-2</v>
      </c>
      <c r="F146" s="3">
        <f t="shared" si="70"/>
        <v>3.8766931941006839E-2</v>
      </c>
      <c r="G146" s="3">
        <f t="shared" si="70"/>
        <v>3.8766931941006839E-2</v>
      </c>
      <c r="H146" s="3">
        <f t="shared" si="70"/>
        <v>3.8766931941006839E-2</v>
      </c>
      <c r="I146" s="3">
        <f t="shared" si="70"/>
        <v>3.8766931941006839E-2</v>
      </c>
      <c r="J146" s="3">
        <f t="shared" si="70"/>
        <v>3.8766931941006839E-2</v>
      </c>
      <c r="K146" s="3">
        <f t="shared" si="70"/>
        <v>3.8766931941006839E-2</v>
      </c>
      <c r="L146" s="3">
        <f t="shared" si="70"/>
        <v>3.8766931941006832E-2</v>
      </c>
      <c r="M146" s="3">
        <f t="shared" si="70"/>
        <v>3.8766931941006812E-2</v>
      </c>
      <c r="N146" s="3">
        <f t="shared" si="70"/>
        <v>3.8766931941006576E-2</v>
      </c>
      <c r="O146" s="3">
        <f t="shared" si="70"/>
        <v>3.876693194100423E-2</v>
      </c>
      <c r="P146" s="3">
        <f t="shared" si="70"/>
        <v>3.8766931940980735E-2</v>
      </c>
      <c r="Q146" s="3">
        <f t="shared" si="70"/>
        <v>3.8766931940745819E-2</v>
      </c>
      <c r="R146" s="3">
        <f t="shared" si="70"/>
        <v>3.8766931938396643E-2</v>
      </c>
      <c r="S146" s="3">
        <f t="shared" si="70"/>
        <v>3.8766931914904823E-2</v>
      </c>
      <c r="T146" s="3">
        <f t="shared" si="70"/>
        <v>3.8766931679986662E-2</v>
      </c>
      <c r="U146" s="3">
        <f t="shared" si="70"/>
        <v>3.8766929330805139E-2</v>
      </c>
      <c r="V146" s="3">
        <f t="shared" si="70"/>
        <v>3.8766905838997695E-2</v>
      </c>
      <c r="W146" s="3">
        <f t="shared" si="70"/>
        <v>3.8766670921706228E-2</v>
      </c>
      <c r="X146" s="3">
        <f t="shared" si="70"/>
        <v>3.8764321827084697E-2</v>
      </c>
      <c r="Y146" s="3">
        <f t="shared" si="70"/>
        <v>3.8740838708426734E-2</v>
      </c>
      <c r="Z146" s="3">
        <f t="shared" si="70"/>
        <v>3.8506788525395019E-2</v>
      </c>
      <c r="AA146" s="3">
        <f t="shared" ref="AA146" si="71">$C32*EXP(-AA$129/$A32/EXP(-$B$126))</f>
        <v>3.6242663975746936E-2</v>
      </c>
      <c r="AB146" s="3">
        <f t="shared" si="67"/>
        <v>1.9771892417232102E-2</v>
      </c>
      <c r="AC146" s="3">
        <f t="shared" si="67"/>
        <v>4.6166771074115654E-5</v>
      </c>
      <c r="AD146" s="3">
        <f t="shared" si="67"/>
        <v>2.2240375846020714E-31</v>
      </c>
      <c r="AE146" s="3">
        <f t="shared" si="67"/>
        <v>1.4971604156638216E-294</v>
      </c>
      <c r="AF146" s="3">
        <f t="shared" si="67"/>
        <v>0</v>
      </c>
    </row>
    <row r="147" spans="1:32" x14ac:dyDescent="0.25">
      <c r="B147" s="3">
        <f t="shared" ref="B147:Z147" si="72">$C33*EXP(-B$129/$A33/EXP(-$B$126))</f>
        <v>3.2038673628359195E-2</v>
      </c>
      <c r="C147" s="3">
        <f t="shared" si="72"/>
        <v>3.2038673628359195E-2</v>
      </c>
      <c r="D147" s="3">
        <f t="shared" si="72"/>
        <v>3.2038673628359195E-2</v>
      </c>
      <c r="E147" s="3">
        <f t="shared" si="72"/>
        <v>3.2038673628359195E-2</v>
      </c>
      <c r="F147" s="3">
        <f t="shared" si="72"/>
        <v>3.2038673628359195E-2</v>
      </c>
      <c r="G147" s="3">
        <f t="shared" si="72"/>
        <v>3.2038673628359195E-2</v>
      </c>
      <c r="H147" s="3">
        <f t="shared" si="72"/>
        <v>3.2038673628359195E-2</v>
      </c>
      <c r="I147" s="3">
        <f t="shared" si="72"/>
        <v>3.2038673628359195E-2</v>
      </c>
      <c r="J147" s="3">
        <f t="shared" si="72"/>
        <v>3.2038673628359195E-2</v>
      </c>
      <c r="K147" s="3">
        <f t="shared" si="72"/>
        <v>3.2038673628359195E-2</v>
      </c>
      <c r="L147" s="3">
        <f t="shared" si="72"/>
        <v>3.2038673628359195E-2</v>
      </c>
      <c r="M147" s="3">
        <f t="shared" si="72"/>
        <v>3.2038673628359188E-2</v>
      </c>
      <c r="N147" s="3">
        <f t="shared" si="72"/>
        <v>3.2038673628359174E-2</v>
      </c>
      <c r="O147" s="3">
        <f t="shared" si="72"/>
        <v>3.2038673628359E-2</v>
      </c>
      <c r="P147" s="3">
        <f t="shared" si="72"/>
        <v>3.2038673628357252E-2</v>
      </c>
      <c r="Q147" s="3">
        <f t="shared" si="72"/>
        <v>3.2038673628339731E-2</v>
      </c>
      <c r="R147" s="3">
        <f t="shared" si="72"/>
        <v>3.20386736281646E-2</v>
      </c>
      <c r="S147" s="3">
        <f t="shared" si="72"/>
        <v>3.2038673626413237E-2</v>
      </c>
      <c r="T147" s="3">
        <f t="shared" si="72"/>
        <v>3.2038673608899601E-2</v>
      </c>
      <c r="U147" s="3">
        <f t="shared" si="72"/>
        <v>3.2038673433763258E-2</v>
      </c>
      <c r="V147" s="3">
        <f t="shared" si="72"/>
        <v>3.203867168239987E-2</v>
      </c>
      <c r="W147" s="3">
        <f t="shared" si="72"/>
        <v>3.2038654168771274E-2</v>
      </c>
      <c r="X147" s="3">
        <f t="shared" si="72"/>
        <v>3.2038479033011852E-2</v>
      </c>
      <c r="Y147" s="3">
        <f t="shared" si="72"/>
        <v>3.203672772807159E-2</v>
      </c>
      <c r="Z147" s="3">
        <f t="shared" si="72"/>
        <v>3.2019219942999201E-2</v>
      </c>
      <c r="AA147" s="3">
        <f t="shared" ref="AA147" si="73">$C33*EXP(-AA$129/$A33/EXP(-$B$126))</f>
        <v>3.1844667462109497E-2</v>
      </c>
      <c r="AB147" s="3">
        <f t="shared" si="67"/>
        <v>3.0150632397909841E-2</v>
      </c>
      <c r="AC147" s="3">
        <f t="shared" si="67"/>
        <v>1.745394092801161E-2</v>
      </c>
      <c r="AD147" s="3">
        <f t="shared" si="67"/>
        <v>7.3767363600980799E-5</v>
      </c>
      <c r="AE147" s="3">
        <f t="shared" si="67"/>
        <v>1.3414419009201084E-28</v>
      </c>
      <c r="AF147" s="3">
        <f t="shared" si="67"/>
        <v>5.3045423579598225E-266</v>
      </c>
    </row>
    <row r="148" spans="1:32" x14ac:dyDescent="0.25">
      <c r="B148" s="3">
        <f t="shared" ref="B148:Z148" si="74">$C34*EXP(-B$129/$A34/EXP(-$B$126))</f>
        <v>3.8815204020590376E-2</v>
      </c>
      <c r="C148" s="3">
        <f t="shared" si="74"/>
        <v>3.8815204020590376E-2</v>
      </c>
      <c r="D148" s="3">
        <f t="shared" si="74"/>
        <v>3.8815204020590376E-2</v>
      </c>
      <c r="E148" s="3">
        <f t="shared" si="74"/>
        <v>3.8815204020590376E-2</v>
      </c>
      <c r="F148" s="3">
        <f t="shared" si="74"/>
        <v>3.8815204020590376E-2</v>
      </c>
      <c r="G148" s="3">
        <f t="shared" si="74"/>
        <v>3.8815204020590376E-2</v>
      </c>
      <c r="H148" s="3">
        <f t="shared" si="74"/>
        <v>3.8815204020590376E-2</v>
      </c>
      <c r="I148" s="3">
        <f t="shared" si="74"/>
        <v>3.8815204020590376E-2</v>
      </c>
      <c r="J148" s="3">
        <f t="shared" si="74"/>
        <v>3.8815204020590376E-2</v>
      </c>
      <c r="K148" s="3">
        <f t="shared" si="74"/>
        <v>3.8815204020590376E-2</v>
      </c>
      <c r="L148" s="3">
        <f t="shared" si="74"/>
        <v>3.8815204020590376E-2</v>
      </c>
      <c r="M148" s="3">
        <f t="shared" si="74"/>
        <v>3.8815204020590376E-2</v>
      </c>
      <c r="N148" s="3">
        <f t="shared" si="74"/>
        <v>3.8815204020590376E-2</v>
      </c>
      <c r="O148" s="3">
        <f t="shared" si="74"/>
        <v>3.8815204020590355E-2</v>
      </c>
      <c r="P148" s="3">
        <f t="shared" si="74"/>
        <v>3.8815204020590167E-2</v>
      </c>
      <c r="Q148" s="3">
        <f t="shared" si="74"/>
        <v>3.8815204020588245E-2</v>
      </c>
      <c r="R148" s="3">
        <f t="shared" si="74"/>
        <v>3.8815204020569108E-2</v>
      </c>
      <c r="S148" s="3">
        <f t="shared" si="74"/>
        <v>3.8815204020377705E-2</v>
      </c>
      <c r="T148" s="3">
        <f t="shared" si="74"/>
        <v>3.8815204018463667E-2</v>
      </c>
      <c r="U148" s="3">
        <f t="shared" si="74"/>
        <v>3.8815203999323304E-2</v>
      </c>
      <c r="V148" s="3">
        <f t="shared" si="74"/>
        <v>3.8815203807919654E-2</v>
      </c>
      <c r="W148" s="3">
        <f t="shared" si="74"/>
        <v>3.8815201893883204E-2</v>
      </c>
      <c r="X148" s="3">
        <f t="shared" si="74"/>
        <v>3.8815182753523927E-2</v>
      </c>
      <c r="Y148" s="3">
        <f t="shared" si="74"/>
        <v>3.8814991350450231E-2</v>
      </c>
      <c r="Z148" s="3">
        <f t="shared" si="74"/>
        <v>3.8813077371623449E-2</v>
      </c>
      <c r="AA148" s="3">
        <f>$C34*EXP(-AA$129/$A34/EXP(-$B$126))</f>
        <v>3.8793942773425592E-2</v>
      </c>
      <c r="AB148" s="3">
        <f t="shared" si="67"/>
        <v>3.8603114852746645E-2</v>
      </c>
      <c r="AC148" s="3">
        <f t="shared" si="67"/>
        <v>3.6745708897630118E-2</v>
      </c>
      <c r="AD148" s="3">
        <f t="shared" si="67"/>
        <v>2.2441373957664087E-2</v>
      </c>
      <c r="AE148" s="3">
        <f t="shared" si="67"/>
        <v>1.6198603255396888E-4</v>
      </c>
      <c r="AF148" s="3">
        <f t="shared" si="67"/>
        <v>6.2195480385505533E-26</v>
      </c>
    </row>
    <row r="149" spans="1:32" x14ac:dyDescent="0.25">
      <c r="B149" s="3">
        <f t="shared" ref="B149:Z149" si="75">$C35*EXP(-B$129/$A35/EXP(-$B$126))</f>
        <v>3.675792152056976E-2</v>
      </c>
      <c r="C149" s="3">
        <f t="shared" si="75"/>
        <v>3.675792152056976E-2</v>
      </c>
      <c r="D149" s="3">
        <f t="shared" si="75"/>
        <v>3.675792152056976E-2</v>
      </c>
      <c r="E149" s="3">
        <f t="shared" si="75"/>
        <v>3.675792152056976E-2</v>
      </c>
      <c r="F149" s="3">
        <f t="shared" si="75"/>
        <v>3.675792152056976E-2</v>
      </c>
      <c r="G149" s="3">
        <f t="shared" si="75"/>
        <v>3.675792152056976E-2</v>
      </c>
      <c r="H149" s="3">
        <f t="shared" si="75"/>
        <v>3.675792152056976E-2</v>
      </c>
      <c r="I149" s="3">
        <f t="shared" si="75"/>
        <v>3.675792152056976E-2</v>
      </c>
      <c r="J149" s="3">
        <f t="shared" si="75"/>
        <v>3.675792152056976E-2</v>
      </c>
      <c r="K149" s="3">
        <f t="shared" si="75"/>
        <v>3.675792152056976E-2</v>
      </c>
      <c r="L149" s="3">
        <f t="shared" si="75"/>
        <v>3.675792152056976E-2</v>
      </c>
      <c r="M149" s="3">
        <f t="shared" si="75"/>
        <v>3.675792152056976E-2</v>
      </c>
      <c r="N149" s="3">
        <f t="shared" si="75"/>
        <v>3.675792152056976E-2</v>
      </c>
      <c r="O149" s="3">
        <f t="shared" si="75"/>
        <v>3.675792152056976E-2</v>
      </c>
      <c r="P149" s="3">
        <f t="shared" si="75"/>
        <v>3.6757921520569746E-2</v>
      </c>
      <c r="Q149" s="3">
        <f t="shared" si="75"/>
        <v>3.6757921520569579E-2</v>
      </c>
      <c r="R149" s="3">
        <f t="shared" si="75"/>
        <v>3.6757921520567942E-2</v>
      </c>
      <c r="S149" s="3">
        <f t="shared" si="75"/>
        <v>3.6757921520551594E-2</v>
      </c>
      <c r="T149" s="3">
        <f t="shared" si="75"/>
        <v>3.6757921520388079E-2</v>
      </c>
      <c r="U149" s="3">
        <f t="shared" si="75"/>
        <v>3.6757921518752977E-2</v>
      </c>
      <c r="V149" s="3">
        <f t="shared" si="75"/>
        <v>3.6757921502401918E-2</v>
      </c>
      <c r="W149" s="3">
        <f t="shared" si="75"/>
        <v>3.6757921338891331E-2</v>
      </c>
      <c r="X149" s="3">
        <f t="shared" si="75"/>
        <v>3.6757919703785495E-2</v>
      </c>
      <c r="Y149" s="3">
        <f t="shared" si="75"/>
        <v>3.6757903352731137E-2</v>
      </c>
      <c r="Z149" s="3">
        <f t="shared" si="75"/>
        <v>3.6757739842587608E-2</v>
      </c>
      <c r="AA149" s="3">
        <f t="shared" ref="AA149" si="76">$C35*EXP(-AA$129/$A35/EXP(-$B$126))</f>
        <v>3.6756104781155638E-2</v>
      </c>
      <c r="AB149" s="3">
        <f t="shared" si="67"/>
        <v>3.6739758166505238E-2</v>
      </c>
      <c r="AC149" s="3">
        <f t="shared" si="67"/>
        <v>3.6576691329418945E-2</v>
      </c>
      <c r="AD149" s="3">
        <f t="shared" si="67"/>
        <v>3.4985304433859596E-2</v>
      </c>
      <c r="AE149" s="3">
        <f t="shared" si="67"/>
        <v>2.2423224143789406E-2</v>
      </c>
      <c r="AF149" s="3">
        <f t="shared" si="67"/>
        <v>2.6231436000042702E-4</v>
      </c>
    </row>
    <row r="150" spans="1:32" x14ac:dyDescent="0.25">
      <c r="B150" s="3">
        <f t="shared" ref="B150:Z150" si="77">$C36*EXP(-B$129/$A36/EXP(-$B$126))</f>
        <v>3.3395319995761917E-2</v>
      </c>
      <c r="C150" s="3">
        <f t="shared" si="77"/>
        <v>3.3395319995761917E-2</v>
      </c>
      <c r="D150" s="3">
        <f t="shared" si="77"/>
        <v>3.3395319995761917E-2</v>
      </c>
      <c r="E150" s="3">
        <f t="shared" si="77"/>
        <v>3.3395319995761917E-2</v>
      </c>
      <c r="F150" s="3">
        <f t="shared" si="77"/>
        <v>3.3395319995761917E-2</v>
      </c>
      <c r="G150" s="3">
        <f t="shared" si="77"/>
        <v>3.3395319995761917E-2</v>
      </c>
      <c r="H150" s="3">
        <f t="shared" si="77"/>
        <v>3.3395319995761917E-2</v>
      </c>
      <c r="I150" s="3">
        <f t="shared" si="77"/>
        <v>3.3395319995761917E-2</v>
      </c>
      <c r="J150" s="3">
        <f t="shared" si="77"/>
        <v>3.3395319995761917E-2</v>
      </c>
      <c r="K150" s="3">
        <f t="shared" si="77"/>
        <v>3.3395319995761917E-2</v>
      </c>
      <c r="L150" s="3">
        <f t="shared" si="77"/>
        <v>3.3395319995761917E-2</v>
      </c>
      <c r="M150" s="3">
        <f t="shared" si="77"/>
        <v>3.3395319995761917E-2</v>
      </c>
      <c r="N150" s="3">
        <f t="shared" si="77"/>
        <v>3.3395319995761917E-2</v>
      </c>
      <c r="O150" s="3">
        <f t="shared" si="77"/>
        <v>3.3395319995761917E-2</v>
      </c>
      <c r="P150" s="3">
        <f t="shared" si="77"/>
        <v>3.3395319995761917E-2</v>
      </c>
      <c r="Q150" s="3">
        <f t="shared" si="77"/>
        <v>3.3395319995761903E-2</v>
      </c>
      <c r="R150" s="3">
        <f t="shared" si="77"/>
        <v>3.3395319995761771E-2</v>
      </c>
      <c r="S150" s="3">
        <f t="shared" si="77"/>
        <v>3.3395319995760425E-2</v>
      </c>
      <c r="T150" s="3">
        <f t="shared" si="77"/>
        <v>3.3395319995747026E-2</v>
      </c>
      <c r="U150" s="3">
        <f t="shared" si="77"/>
        <v>3.3395319995613022E-2</v>
      </c>
      <c r="V150" s="3">
        <f t="shared" si="77"/>
        <v>3.3395319994272955E-2</v>
      </c>
      <c r="W150" s="3">
        <f t="shared" si="77"/>
        <v>3.3395319980872258E-2</v>
      </c>
      <c r="X150" s="3">
        <f t="shared" si="77"/>
        <v>3.3395319846865369E-2</v>
      </c>
      <c r="Y150" s="3">
        <f t="shared" si="77"/>
        <v>3.3395318506796487E-2</v>
      </c>
      <c r="Z150" s="3">
        <f t="shared" si="77"/>
        <v>3.3395305106110586E-2</v>
      </c>
      <c r="AA150" s="3">
        <f t="shared" ref="AA150" si="78">$C36*EXP(-AA$129/$A36/EXP(-$B$126))</f>
        <v>3.3395171099547344E-2</v>
      </c>
      <c r="AB150" s="3">
        <f t="shared" si="67"/>
        <v>3.3393831063489879E-2</v>
      </c>
      <c r="AC150" s="3">
        <f t="shared" si="67"/>
        <v>3.3380433659972286E-2</v>
      </c>
      <c r="AD150" s="3">
        <f t="shared" si="67"/>
        <v>3.3246754891935307E-2</v>
      </c>
      <c r="AE150" s="3">
        <f t="shared" si="67"/>
        <v>3.1939060203411626E-2</v>
      </c>
      <c r="AF150" s="3">
        <f t="shared" si="67"/>
        <v>2.1382124151092537E-2</v>
      </c>
    </row>
    <row r="151" spans="1:32" x14ac:dyDescent="0.25">
      <c r="B151" s="3">
        <f t="shared" ref="B151:Z151" si="79">$C37*EXP(-B$129/$A37/EXP(-$B$126))</f>
        <v>3.5168182509434494E-2</v>
      </c>
      <c r="C151" s="3">
        <f t="shared" si="79"/>
        <v>3.5168182509434494E-2</v>
      </c>
      <c r="D151" s="3">
        <f t="shared" si="79"/>
        <v>3.5168182509434494E-2</v>
      </c>
      <c r="E151" s="3">
        <f t="shared" si="79"/>
        <v>3.5168182509434494E-2</v>
      </c>
      <c r="F151" s="3">
        <f t="shared" si="79"/>
        <v>3.5168182509434494E-2</v>
      </c>
      <c r="G151" s="3">
        <f t="shared" si="79"/>
        <v>3.5168182509434494E-2</v>
      </c>
      <c r="H151" s="3">
        <f t="shared" si="79"/>
        <v>3.5168182509434494E-2</v>
      </c>
      <c r="I151" s="3">
        <f t="shared" si="79"/>
        <v>3.5168182509434494E-2</v>
      </c>
      <c r="J151" s="3">
        <f t="shared" si="79"/>
        <v>3.5168182509434494E-2</v>
      </c>
      <c r="K151" s="3">
        <f t="shared" si="79"/>
        <v>3.5168182509434494E-2</v>
      </c>
      <c r="L151" s="3">
        <f t="shared" si="79"/>
        <v>3.5168182509434494E-2</v>
      </c>
      <c r="M151" s="3">
        <f t="shared" si="79"/>
        <v>3.5168182509434494E-2</v>
      </c>
      <c r="N151" s="3">
        <f t="shared" si="79"/>
        <v>3.5168182509434494E-2</v>
      </c>
      <c r="O151" s="3">
        <f t="shared" si="79"/>
        <v>3.5168182509434494E-2</v>
      </c>
      <c r="P151" s="3">
        <f t="shared" si="79"/>
        <v>3.5168182509434494E-2</v>
      </c>
      <c r="Q151" s="3">
        <f t="shared" si="79"/>
        <v>3.5168182509434494E-2</v>
      </c>
      <c r="R151" s="3">
        <f t="shared" si="79"/>
        <v>3.516818250943448E-2</v>
      </c>
      <c r="S151" s="3">
        <f t="shared" si="79"/>
        <v>3.5168182509434355E-2</v>
      </c>
      <c r="T151" s="3">
        <f t="shared" si="79"/>
        <v>3.5168182509433078E-2</v>
      </c>
      <c r="U151" s="3">
        <f t="shared" si="79"/>
        <v>3.5168182509420345E-2</v>
      </c>
      <c r="V151" s="3">
        <f t="shared" si="79"/>
        <v>3.5168182509293044E-2</v>
      </c>
      <c r="W151" s="3">
        <f t="shared" si="79"/>
        <v>3.5168182508020014E-2</v>
      </c>
      <c r="X151" s="3">
        <f t="shared" si="79"/>
        <v>3.5168182495289739E-2</v>
      </c>
      <c r="Y151" s="3">
        <f t="shared" si="79"/>
        <v>3.5168182367986911E-2</v>
      </c>
      <c r="Z151" s="3">
        <f t="shared" si="79"/>
        <v>3.5168181094958693E-2</v>
      </c>
      <c r="AA151" s="3">
        <f t="shared" ref="AA151" si="80">$C37*EXP(-AA$129/$A37/EXP(-$B$126))</f>
        <v>3.5168168364679023E-2</v>
      </c>
      <c r="AB151" s="3">
        <f t="shared" si="67"/>
        <v>3.5168041062135842E-2</v>
      </c>
      <c r="AC151" s="3">
        <f t="shared" si="67"/>
        <v>3.5166768062048381E-2</v>
      </c>
      <c r="AD151" s="3">
        <f t="shared" si="67"/>
        <v>3.515404059527652E-2</v>
      </c>
      <c r="AE151" s="3">
        <f t="shared" si="67"/>
        <v>3.5027018998758402E-2</v>
      </c>
      <c r="AF151" s="3">
        <f t="shared" si="67"/>
        <v>3.3781774462862076E-2</v>
      </c>
    </row>
    <row r="152" spans="1:32" x14ac:dyDescent="0.25">
      <c r="B152" s="3">
        <f t="shared" ref="B152:Z152" si="81">$C38*EXP(-B$129/$A38/EXP(-$B$126))</f>
        <v>2.0659155414283158E-2</v>
      </c>
      <c r="C152" s="3">
        <f t="shared" si="81"/>
        <v>2.0659155414283158E-2</v>
      </c>
      <c r="D152" s="3">
        <f t="shared" si="81"/>
        <v>2.0659155414283158E-2</v>
      </c>
      <c r="E152" s="3">
        <f t="shared" si="81"/>
        <v>2.0659155414283158E-2</v>
      </c>
      <c r="F152" s="3">
        <f t="shared" si="81"/>
        <v>2.0659155414283158E-2</v>
      </c>
      <c r="G152" s="3">
        <f t="shared" si="81"/>
        <v>2.0659155414283158E-2</v>
      </c>
      <c r="H152" s="3">
        <f t="shared" si="81"/>
        <v>2.0659155414283158E-2</v>
      </c>
      <c r="I152" s="3">
        <f t="shared" si="81"/>
        <v>2.0659155414283158E-2</v>
      </c>
      <c r="J152" s="3">
        <f t="shared" si="81"/>
        <v>2.0659155414283158E-2</v>
      </c>
      <c r="K152" s="3">
        <f t="shared" si="81"/>
        <v>2.0659155414283158E-2</v>
      </c>
      <c r="L152" s="3">
        <f t="shared" si="81"/>
        <v>2.0659155414283158E-2</v>
      </c>
      <c r="M152" s="3">
        <f t="shared" si="81"/>
        <v>2.0659155414283158E-2</v>
      </c>
      <c r="N152" s="3">
        <f t="shared" si="81"/>
        <v>2.0659155414283158E-2</v>
      </c>
      <c r="O152" s="3">
        <f t="shared" si="81"/>
        <v>2.0659155414283158E-2</v>
      </c>
      <c r="P152" s="3">
        <f t="shared" si="81"/>
        <v>2.0659155414283158E-2</v>
      </c>
      <c r="Q152" s="3">
        <f t="shared" si="81"/>
        <v>2.0659155414283158E-2</v>
      </c>
      <c r="R152" s="3">
        <f t="shared" si="81"/>
        <v>2.0659155414283158E-2</v>
      </c>
      <c r="S152" s="3">
        <f t="shared" si="81"/>
        <v>2.0659155414283151E-2</v>
      </c>
      <c r="T152" s="3">
        <f t="shared" si="81"/>
        <v>2.0659155414283082E-2</v>
      </c>
      <c r="U152" s="3">
        <f t="shared" si="81"/>
        <v>2.0659155414282409E-2</v>
      </c>
      <c r="V152" s="3">
        <f t="shared" si="81"/>
        <v>2.0659155414275664E-2</v>
      </c>
      <c r="W152" s="3">
        <f t="shared" si="81"/>
        <v>2.0659155414208201E-2</v>
      </c>
      <c r="X152" s="3">
        <f t="shared" si="81"/>
        <v>2.0659155413533602E-2</v>
      </c>
      <c r="Y152" s="3">
        <f t="shared" si="81"/>
        <v>2.0659155406787588E-2</v>
      </c>
      <c r="Z152" s="3">
        <f t="shared" si="81"/>
        <v>2.0659155339327443E-2</v>
      </c>
      <c r="AA152" s="3">
        <f t="shared" ref="AA152" si="82">$C38*EXP(-AA$129/$A38/EXP(-$B$126))</f>
        <v>2.0659154664726006E-2</v>
      </c>
      <c r="AB152" s="3">
        <f t="shared" si="67"/>
        <v>2.0659147918712862E-2</v>
      </c>
      <c r="AC152" s="3">
        <f t="shared" si="67"/>
        <v>2.0659080458702579E-2</v>
      </c>
      <c r="AD152" s="3">
        <f t="shared" si="67"/>
        <v>2.0658405870715185E-2</v>
      </c>
      <c r="AE152" s="3">
        <f t="shared" si="67"/>
        <v>2.0651661202237898E-2</v>
      </c>
      <c r="AF152" s="3">
        <f t="shared" si="67"/>
        <v>2.0584335510897056E-2</v>
      </c>
    </row>
    <row r="153" spans="1:32" x14ac:dyDescent="0.25">
      <c r="B153" s="3">
        <f t="shared" ref="B153:Z153" si="83">$C39*EXP(-B$129/$A39/EXP(-$B$126))</f>
        <v>3.0227206274926977E-2</v>
      </c>
      <c r="C153" s="3">
        <f t="shared" si="83"/>
        <v>3.0227206274926977E-2</v>
      </c>
      <c r="D153" s="3">
        <f t="shared" si="83"/>
        <v>3.0227206274926977E-2</v>
      </c>
      <c r="E153" s="3">
        <f t="shared" si="83"/>
        <v>3.0227206274926977E-2</v>
      </c>
      <c r="F153" s="3">
        <f t="shared" si="83"/>
        <v>3.0227206274926977E-2</v>
      </c>
      <c r="G153" s="3">
        <f t="shared" si="83"/>
        <v>3.0227206274926977E-2</v>
      </c>
      <c r="H153" s="3">
        <f t="shared" si="83"/>
        <v>3.0227206274926977E-2</v>
      </c>
      <c r="I153" s="3">
        <f t="shared" si="83"/>
        <v>3.0227206274926977E-2</v>
      </c>
      <c r="J153" s="3">
        <f t="shared" si="83"/>
        <v>3.0227206274926977E-2</v>
      </c>
      <c r="K153" s="3">
        <f t="shared" si="83"/>
        <v>3.0227206274926977E-2</v>
      </c>
      <c r="L153" s="3">
        <f t="shared" si="83"/>
        <v>3.0227206274926977E-2</v>
      </c>
      <c r="M153" s="3">
        <f t="shared" si="83"/>
        <v>3.0227206274926977E-2</v>
      </c>
      <c r="N153" s="3">
        <f t="shared" si="83"/>
        <v>3.0227206274926977E-2</v>
      </c>
      <c r="O153" s="3">
        <f t="shared" si="83"/>
        <v>3.0227206274926977E-2</v>
      </c>
      <c r="P153" s="3">
        <f t="shared" si="83"/>
        <v>3.0227206274926977E-2</v>
      </c>
      <c r="Q153" s="3">
        <f t="shared" si="83"/>
        <v>3.0227206274926977E-2</v>
      </c>
      <c r="R153" s="3">
        <f t="shared" si="83"/>
        <v>3.0227206274926977E-2</v>
      </c>
      <c r="S153" s="3">
        <f t="shared" si="83"/>
        <v>3.0227206274926973E-2</v>
      </c>
      <c r="T153" s="3">
        <f t="shared" si="83"/>
        <v>3.0227206274926945E-2</v>
      </c>
      <c r="U153" s="3">
        <f t="shared" si="83"/>
        <v>3.0227206274926675E-2</v>
      </c>
      <c r="V153" s="3">
        <f t="shared" si="83"/>
        <v>3.0227206274923944E-2</v>
      </c>
      <c r="W153" s="3">
        <f t="shared" si="83"/>
        <v>3.0227206274896647E-2</v>
      </c>
      <c r="X153" s="3">
        <f t="shared" si="83"/>
        <v>3.0227206274623653E-2</v>
      </c>
      <c r="Y153" s="3">
        <f t="shared" si="83"/>
        <v>3.022720627189376E-2</v>
      </c>
      <c r="Z153" s="3">
        <f t="shared" si="83"/>
        <v>3.0227206244594837E-2</v>
      </c>
      <c r="AA153" s="3">
        <f t="shared" ref="AA153" si="84">$C39*EXP(-AA$129/$A39/EXP(-$B$126))</f>
        <v>3.0227205971605563E-2</v>
      </c>
      <c r="AB153" s="3">
        <f t="shared" si="67"/>
        <v>3.0227203241713012E-2</v>
      </c>
      <c r="AC153" s="3">
        <f t="shared" si="67"/>
        <v>3.0227175942800999E-2</v>
      </c>
      <c r="AD153" s="3">
        <f t="shared" si="67"/>
        <v>3.0226902955036869E-2</v>
      </c>
      <c r="AE153" s="3">
        <f t="shared" si="67"/>
        <v>3.0224173212989345E-2</v>
      </c>
      <c r="AF153" s="3">
        <f t="shared" si="67"/>
        <v>3.0196889347360509E-2</v>
      </c>
    </row>
    <row r="154" spans="1:32" x14ac:dyDescent="0.25">
      <c r="B154" s="3">
        <f t="shared" ref="B154:Z154" si="85">$C40*EXP(-B$129/$A40/EXP(-$B$126))</f>
        <v>3.7583954306508939E-2</v>
      </c>
      <c r="C154" s="3">
        <f t="shared" si="85"/>
        <v>3.7583954306508939E-2</v>
      </c>
      <c r="D154" s="3">
        <f t="shared" si="85"/>
        <v>3.7583954306508939E-2</v>
      </c>
      <c r="E154" s="3">
        <f t="shared" si="85"/>
        <v>3.7583954306508939E-2</v>
      </c>
      <c r="F154" s="3">
        <f t="shared" si="85"/>
        <v>3.7583954306508939E-2</v>
      </c>
      <c r="G154" s="3">
        <f t="shared" si="85"/>
        <v>3.7583954306508939E-2</v>
      </c>
      <c r="H154" s="3">
        <f t="shared" si="85"/>
        <v>3.7583954306508939E-2</v>
      </c>
      <c r="I154" s="3">
        <f t="shared" si="85"/>
        <v>3.7583954306508939E-2</v>
      </c>
      <c r="J154" s="3">
        <f t="shared" si="85"/>
        <v>3.7583954306508939E-2</v>
      </c>
      <c r="K154" s="3">
        <f t="shared" si="85"/>
        <v>3.7583954306508939E-2</v>
      </c>
      <c r="L154" s="3">
        <f t="shared" si="85"/>
        <v>3.7583954306508939E-2</v>
      </c>
      <c r="M154" s="3">
        <f t="shared" si="85"/>
        <v>3.7583954306508939E-2</v>
      </c>
      <c r="N154" s="3">
        <f t="shared" si="85"/>
        <v>3.7583954306508939E-2</v>
      </c>
      <c r="O154" s="3">
        <f t="shared" si="85"/>
        <v>3.7583954306508939E-2</v>
      </c>
      <c r="P154" s="3">
        <f t="shared" si="85"/>
        <v>3.7583954306508939E-2</v>
      </c>
      <c r="Q154" s="3">
        <f t="shared" si="85"/>
        <v>3.7583954306508939E-2</v>
      </c>
      <c r="R154" s="3">
        <f t="shared" si="85"/>
        <v>3.7583954306508939E-2</v>
      </c>
      <c r="S154" s="3">
        <f t="shared" si="85"/>
        <v>3.7583954306508939E-2</v>
      </c>
      <c r="T154" s="3">
        <f t="shared" si="85"/>
        <v>3.7583954306508932E-2</v>
      </c>
      <c r="U154" s="3">
        <f t="shared" si="85"/>
        <v>3.7583954306508904E-2</v>
      </c>
      <c r="V154" s="3">
        <f t="shared" si="85"/>
        <v>3.7583954306508564E-2</v>
      </c>
      <c r="W154" s="3">
        <f t="shared" si="85"/>
        <v>3.7583954306505164E-2</v>
      </c>
      <c r="X154" s="3">
        <f t="shared" si="85"/>
        <v>3.7583954306471226E-2</v>
      </c>
      <c r="Y154" s="3">
        <f t="shared" si="85"/>
        <v>3.7583954306131796E-2</v>
      </c>
      <c r="Z154" s="3">
        <f t="shared" si="85"/>
        <v>3.7583954302737498E-2</v>
      </c>
      <c r="AA154" s="3">
        <f t="shared" ref="AA154:AF154" si="86">$C40*EXP(-AA$129/$A40/EXP(-$B$126))</f>
        <v>3.758395426879451E-2</v>
      </c>
      <c r="AB154" s="3">
        <f t="shared" si="86"/>
        <v>3.7583953929364651E-2</v>
      </c>
      <c r="AC154" s="3">
        <f t="shared" si="86"/>
        <v>3.7583950535066281E-2</v>
      </c>
      <c r="AD154" s="3">
        <f t="shared" si="86"/>
        <v>3.7583916592099399E-2</v>
      </c>
      <c r="AE154" s="3">
        <f t="shared" si="86"/>
        <v>3.758357716411654E-2</v>
      </c>
      <c r="AF154" s="3">
        <f t="shared" si="86"/>
        <v>3.7580183052882792E-2</v>
      </c>
    </row>
    <row r="155" spans="1:32" x14ac:dyDescent="0.25">
      <c r="B155" s="3">
        <f t="shared" ref="B155:Z155" si="87">$C41*EXP(-B$129/$A41/EXP(-$B$126))</f>
        <v>3.8796261080834012E-2</v>
      </c>
      <c r="C155" s="3">
        <f t="shared" si="87"/>
        <v>3.8796261080834012E-2</v>
      </c>
      <c r="D155" s="3">
        <f t="shared" si="87"/>
        <v>3.8796261080834012E-2</v>
      </c>
      <c r="E155" s="3">
        <f t="shared" si="87"/>
        <v>3.8796261080834012E-2</v>
      </c>
      <c r="F155" s="3">
        <f t="shared" si="87"/>
        <v>3.8796261080834012E-2</v>
      </c>
      <c r="G155" s="3">
        <f t="shared" si="87"/>
        <v>3.8796261080834012E-2</v>
      </c>
      <c r="H155" s="3">
        <f t="shared" si="87"/>
        <v>3.8796261080834012E-2</v>
      </c>
      <c r="I155" s="3">
        <f t="shared" si="87"/>
        <v>3.8796261080834012E-2</v>
      </c>
      <c r="J155" s="3">
        <f t="shared" si="87"/>
        <v>3.8796261080834012E-2</v>
      </c>
      <c r="K155" s="3">
        <f t="shared" si="87"/>
        <v>3.8796261080834012E-2</v>
      </c>
      <c r="L155" s="3">
        <f t="shared" si="87"/>
        <v>3.8796261080834012E-2</v>
      </c>
      <c r="M155" s="3">
        <f t="shared" si="87"/>
        <v>3.8796261080834012E-2</v>
      </c>
      <c r="N155" s="3">
        <f t="shared" si="87"/>
        <v>3.8796261080834012E-2</v>
      </c>
      <c r="O155" s="3">
        <f t="shared" si="87"/>
        <v>3.8796261080834012E-2</v>
      </c>
      <c r="P155" s="3">
        <f t="shared" si="87"/>
        <v>3.8796261080834012E-2</v>
      </c>
      <c r="Q155" s="3">
        <f t="shared" si="87"/>
        <v>3.8796261080834012E-2</v>
      </c>
      <c r="R155" s="3">
        <f t="shared" si="87"/>
        <v>3.8796261080834012E-2</v>
      </c>
      <c r="S155" s="3">
        <f t="shared" si="87"/>
        <v>3.8796261080834012E-2</v>
      </c>
      <c r="T155" s="3">
        <f t="shared" si="87"/>
        <v>3.8796261080834012E-2</v>
      </c>
      <c r="U155" s="3">
        <f t="shared" si="87"/>
        <v>3.8796261080834005E-2</v>
      </c>
      <c r="V155" s="3">
        <f t="shared" si="87"/>
        <v>3.879626108083397E-2</v>
      </c>
      <c r="W155" s="3">
        <f t="shared" si="87"/>
        <v>3.8796261080833623E-2</v>
      </c>
      <c r="X155" s="3">
        <f t="shared" si="87"/>
        <v>3.8796261080830119E-2</v>
      </c>
      <c r="Y155" s="3">
        <f t="shared" si="87"/>
        <v>3.8796261080795084E-2</v>
      </c>
      <c r="Z155" s="3">
        <f t="shared" si="87"/>
        <v>3.8796261080444698E-2</v>
      </c>
      <c r="AA155" s="3">
        <f t="shared" ref="AA155:AF155" si="88">$C41*EXP(-AA$129/$A41/EXP(-$B$126))</f>
        <v>3.8796261076940917E-2</v>
      </c>
      <c r="AB155" s="3">
        <f t="shared" si="88"/>
        <v>3.879626104190307E-2</v>
      </c>
      <c r="AC155" s="3">
        <f t="shared" si="88"/>
        <v>3.8796260691524573E-2</v>
      </c>
      <c r="AD155" s="3">
        <f t="shared" si="88"/>
        <v>3.8796257187739824E-2</v>
      </c>
      <c r="AE155" s="3">
        <f t="shared" si="88"/>
        <v>3.8796222149909736E-2</v>
      </c>
      <c r="AF155" s="3">
        <f t="shared" si="88"/>
        <v>3.8795871773349207E-2</v>
      </c>
    </row>
    <row r="156" spans="1:32" x14ac:dyDescent="0.25">
      <c r="B156" s="3">
        <f t="shared" ref="B156:Z156" si="89">$C42*EXP(-B$129/$A42/EXP(-$B$126))</f>
        <v>4.443590866461708E-2</v>
      </c>
      <c r="C156" s="3">
        <f t="shared" si="89"/>
        <v>4.443590866461708E-2</v>
      </c>
      <c r="D156" s="3">
        <f t="shared" si="89"/>
        <v>4.443590866461708E-2</v>
      </c>
      <c r="E156" s="3">
        <f t="shared" si="89"/>
        <v>4.443590866461708E-2</v>
      </c>
      <c r="F156" s="3">
        <f t="shared" si="89"/>
        <v>4.443590866461708E-2</v>
      </c>
      <c r="G156" s="3">
        <f t="shared" si="89"/>
        <v>4.443590866461708E-2</v>
      </c>
      <c r="H156" s="3">
        <f t="shared" si="89"/>
        <v>4.443590866461708E-2</v>
      </c>
      <c r="I156" s="3">
        <f t="shared" si="89"/>
        <v>4.443590866461708E-2</v>
      </c>
      <c r="J156" s="3">
        <f t="shared" si="89"/>
        <v>4.443590866461708E-2</v>
      </c>
      <c r="K156" s="3">
        <f t="shared" si="89"/>
        <v>4.443590866461708E-2</v>
      </c>
      <c r="L156" s="3">
        <f t="shared" si="89"/>
        <v>4.443590866461708E-2</v>
      </c>
      <c r="M156" s="3">
        <f t="shared" si="89"/>
        <v>4.443590866461708E-2</v>
      </c>
      <c r="N156" s="3">
        <f t="shared" si="89"/>
        <v>4.443590866461708E-2</v>
      </c>
      <c r="O156" s="3">
        <f t="shared" si="89"/>
        <v>4.443590866461708E-2</v>
      </c>
      <c r="P156" s="3">
        <f t="shared" si="89"/>
        <v>4.443590866461708E-2</v>
      </c>
      <c r="Q156" s="3">
        <f t="shared" si="89"/>
        <v>4.443590866461708E-2</v>
      </c>
      <c r="R156" s="3">
        <f t="shared" si="89"/>
        <v>4.443590866461708E-2</v>
      </c>
      <c r="S156" s="3">
        <f t="shared" si="89"/>
        <v>4.443590866461708E-2</v>
      </c>
      <c r="T156" s="3">
        <f t="shared" si="89"/>
        <v>4.443590866461708E-2</v>
      </c>
      <c r="U156" s="3">
        <f t="shared" si="89"/>
        <v>4.443590866461708E-2</v>
      </c>
      <c r="V156" s="3">
        <f t="shared" si="89"/>
        <v>4.4435908664617073E-2</v>
      </c>
      <c r="W156" s="3">
        <f t="shared" si="89"/>
        <v>4.4435908664617038E-2</v>
      </c>
      <c r="X156" s="3">
        <f t="shared" si="89"/>
        <v>4.4435908664616636E-2</v>
      </c>
      <c r="Y156" s="3">
        <f t="shared" si="89"/>
        <v>4.4435908664612618E-2</v>
      </c>
      <c r="Z156" s="3">
        <f t="shared" si="89"/>
        <v>4.443590866457249E-2</v>
      </c>
      <c r="AA156" s="3">
        <f t="shared" ref="AA156:AF156" si="90">$C42*EXP(-AA$129/$A42/EXP(-$B$126))</f>
        <v>4.443590866417118E-2</v>
      </c>
      <c r="AB156" s="3">
        <f t="shared" si="90"/>
        <v>4.4435908660158063E-2</v>
      </c>
      <c r="AC156" s="3">
        <f t="shared" si="90"/>
        <v>4.4435908620026908E-2</v>
      </c>
      <c r="AD156" s="3">
        <f t="shared" si="90"/>
        <v>4.4435908218715382E-2</v>
      </c>
      <c r="AE156" s="3">
        <f t="shared" si="90"/>
        <v>4.4435904205600341E-2</v>
      </c>
      <c r="AF156" s="3">
        <f t="shared" si="90"/>
        <v>4.4435864074469804E-2</v>
      </c>
    </row>
    <row r="157" spans="1:32" x14ac:dyDescent="0.25">
      <c r="B157" s="3">
        <f t="shared" ref="B157:Z157" si="91">$C43*EXP(-B$129/$A43/EXP(-$B$126))</f>
        <v>5.224128023540766E-2</v>
      </c>
      <c r="C157" s="3">
        <f t="shared" si="91"/>
        <v>5.224128023540766E-2</v>
      </c>
      <c r="D157" s="3">
        <f t="shared" si="91"/>
        <v>5.224128023540766E-2</v>
      </c>
      <c r="E157" s="3">
        <f t="shared" si="91"/>
        <v>5.224128023540766E-2</v>
      </c>
      <c r="F157" s="3">
        <f t="shared" si="91"/>
        <v>5.224128023540766E-2</v>
      </c>
      <c r="G157" s="3">
        <f t="shared" si="91"/>
        <v>5.224128023540766E-2</v>
      </c>
      <c r="H157" s="3">
        <f t="shared" si="91"/>
        <v>5.224128023540766E-2</v>
      </c>
      <c r="I157" s="3">
        <f t="shared" si="91"/>
        <v>5.224128023540766E-2</v>
      </c>
      <c r="J157" s="3">
        <f t="shared" si="91"/>
        <v>5.224128023540766E-2</v>
      </c>
      <c r="K157" s="3">
        <f t="shared" si="91"/>
        <v>5.224128023540766E-2</v>
      </c>
      <c r="L157" s="3">
        <f t="shared" si="91"/>
        <v>5.224128023540766E-2</v>
      </c>
      <c r="M157" s="3">
        <f t="shared" si="91"/>
        <v>5.224128023540766E-2</v>
      </c>
      <c r="N157" s="3">
        <f t="shared" si="91"/>
        <v>5.224128023540766E-2</v>
      </c>
      <c r="O157" s="3">
        <f t="shared" si="91"/>
        <v>5.224128023540766E-2</v>
      </c>
      <c r="P157" s="3">
        <f t="shared" si="91"/>
        <v>5.224128023540766E-2</v>
      </c>
      <c r="Q157" s="3">
        <f t="shared" si="91"/>
        <v>5.224128023540766E-2</v>
      </c>
      <c r="R157" s="3">
        <f t="shared" si="91"/>
        <v>5.224128023540766E-2</v>
      </c>
      <c r="S157" s="3">
        <f t="shared" si="91"/>
        <v>5.224128023540766E-2</v>
      </c>
      <c r="T157" s="3">
        <f t="shared" si="91"/>
        <v>5.224128023540766E-2</v>
      </c>
      <c r="U157" s="3">
        <f t="shared" si="91"/>
        <v>5.224128023540766E-2</v>
      </c>
      <c r="V157" s="3">
        <f t="shared" si="91"/>
        <v>5.224128023540766E-2</v>
      </c>
      <c r="W157" s="3">
        <f t="shared" si="91"/>
        <v>5.2241280235407653E-2</v>
      </c>
      <c r="X157" s="3">
        <f t="shared" si="91"/>
        <v>5.2241280235407604E-2</v>
      </c>
      <c r="Y157" s="3">
        <f t="shared" si="91"/>
        <v>5.2241280235407139E-2</v>
      </c>
      <c r="Z157" s="3">
        <f t="shared" si="91"/>
        <v>5.2241280235402414E-2</v>
      </c>
      <c r="AA157" s="3">
        <f t="shared" ref="AA157:AF157" si="92">$C43*EXP(-AA$129/$A43/EXP(-$B$126))</f>
        <v>5.2241280235355236E-2</v>
      </c>
      <c r="AB157" s="3">
        <f t="shared" si="92"/>
        <v>5.2241280234883433E-2</v>
      </c>
      <c r="AC157" s="3">
        <f t="shared" si="92"/>
        <v>5.2241280230165395E-2</v>
      </c>
      <c r="AD157" s="3">
        <f t="shared" si="92"/>
        <v>5.2241280182985024E-2</v>
      </c>
      <c r="AE157" s="3">
        <f t="shared" si="92"/>
        <v>5.2241279711181282E-2</v>
      </c>
      <c r="AF157" s="3">
        <f t="shared" si="92"/>
        <v>5.2241274993144141E-2</v>
      </c>
    </row>
    <row r="158" spans="1:32" x14ac:dyDescent="0.25">
      <c r="B158" s="3">
        <f t="shared" ref="B158:Z158" si="93">$C44*EXP(-B$129/$A44/EXP(-$B$126))</f>
        <v>5.759294658465644E-2</v>
      </c>
      <c r="C158" s="3">
        <f t="shared" si="93"/>
        <v>5.759294658465644E-2</v>
      </c>
      <c r="D158" s="3">
        <f t="shared" si="93"/>
        <v>5.759294658465644E-2</v>
      </c>
      <c r="E158" s="3">
        <f t="shared" si="93"/>
        <v>5.759294658465644E-2</v>
      </c>
      <c r="F158" s="3">
        <f t="shared" si="93"/>
        <v>5.759294658465644E-2</v>
      </c>
      <c r="G158" s="3">
        <f t="shared" si="93"/>
        <v>5.759294658465644E-2</v>
      </c>
      <c r="H158" s="3">
        <f t="shared" si="93"/>
        <v>5.759294658465644E-2</v>
      </c>
      <c r="I158" s="3">
        <f t="shared" si="93"/>
        <v>5.759294658465644E-2</v>
      </c>
      <c r="J158" s="3">
        <f t="shared" si="93"/>
        <v>5.759294658465644E-2</v>
      </c>
      <c r="K158" s="3">
        <f t="shared" si="93"/>
        <v>5.759294658465644E-2</v>
      </c>
      <c r="L158" s="3">
        <f t="shared" si="93"/>
        <v>5.759294658465644E-2</v>
      </c>
      <c r="M158" s="3">
        <f t="shared" si="93"/>
        <v>5.759294658465644E-2</v>
      </c>
      <c r="N158" s="3">
        <f t="shared" si="93"/>
        <v>5.759294658465644E-2</v>
      </c>
      <c r="O158" s="3">
        <f t="shared" si="93"/>
        <v>5.759294658465644E-2</v>
      </c>
      <c r="P158" s="3">
        <f t="shared" si="93"/>
        <v>5.759294658465644E-2</v>
      </c>
      <c r="Q158" s="3">
        <f t="shared" si="93"/>
        <v>5.759294658465644E-2</v>
      </c>
      <c r="R158" s="3">
        <f t="shared" si="93"/>
        <v>5.759294658465644E-2</v>
      </c>
      <c r="S158" s="3">
        <f t="shared" si="93"/>
        <v>5.759294658465644E-2</v>
      </c>
      <c r="T158" s="3">
        <f t="shared" si="93"/>
        <v>5.759294658465644E-2</v>
      </c>
      <c r="U158" s="3">
        <f t="shared" si="93"/>
        <v>5.759294658465644E-2</v>
      </c>
      <c r="V158" s="3">
        <f t="shared" si="93"/>
        <v>5.759294658465644E-2</v>
      </c>
      <c r="W158" s="3">
        <f t="shared" si="93"/>
        <v>5.759294658465644E-2</v>
      </c>
      <c r="X158" s="3">
        <f t="shared" si="93"/>
        <v>5.7592946584656433E-2</v>
      </c>
      <c r="Y158" s="3">
        <f t="shared" si="93"/>
        <v>5.7592946584656385E-2</v>
      </c>
      <c r="Z158" s="3">
        <f t="shared" si="93"/>
        <v>5.7592946584655864E-2</v>
      </c>
      <c r="AA158" s="3">
        <f t="shared" ref="AA158:AF158" si="94">$C44*EXP(-AA$129/$A44/EXP(-$B$126))</f>
        <v>5.759294658465066E-2</v>
      </c>
      <c r="AB158" s="3">
        <f t="shared" si="94"/>
        <v>5.7592946584598653E-2</v>
      </c>
      <c r="AC158" s="3">
        <f t="shared" si="94"/>
        <v>5.7592946584078507E-2</v>
      </c>
      <c r="AD158" s="3">
        <f t="shared" si="94"/>
        <v>5.7592946578877154E-2</v>
      </c>
      <c r="AE158" s="3">
        <f t="shared" si="94"/>
        <v>5.7592946526863559E-2</v>
      </c>
      <c r="AF158" s="3">
        <f t="shared" si="94"/>
        <v>5.7592946006727611E-2</v>
      </c>
    </row>
    <row r="159" spans="1:32" x14ac:dyDescent="0.25">
      <c r="A159" s="11" t="s">
        <v>75</v>
      </c>
      <c r="B159" s="3">
        <f t="shared" ref="B159:Z159" si="95">$C45*EXP(-B$129/$A45/EXP(-$B$126))</f>
        <v>5.4172080221644638E-2</v>
      </c>
      <c r="C159" s="3">
        <f t="shared" si="95"/>
        <v>5.4172080221644638E-2</v>
      </c>
      <c r="D159" s="3">
        <f t="shared" si="95"/>
        <v>5.4172080221644638E-2</v>
      </c>
      <c r="E159" s="3">
        <f t="shared" si="95"/>
        <v>5.4172080221644638E-2</v>
      </c>
      <c r="F159" s="3">
        <f t="shared" si="95"/>
        <v>5.4172080221644638E-2</v>
      </c>
      <c r="G159" s="3">
        <f t="shared" si="95"/>
        <v>5.4172080221644638E-2</v>
      </c>
      <c r="H159" s="3">
        <f t="shared" si="95"/>
        <v>5.4172080221644638E-2</v>
      </c>
      <c r="I159" s="3">
        <f t="shared" si="95"/>
        <v>5.4172080221644638E-2</v>
      </c>
      <c r="J159" s="3">
        <f t="shared" si="95"/>
        <v>5.4172080221644638E-2</v>
      </c>
      <c r="K159" s="3">
        <f t="shared" si="95"/>
        <v>5.4172080221644638E-2</v>
      </c>
      <c r="L159" s="3">
        <f t="shared" si="95"/>
        <v>5.4172080221644638E-2</v>
      </c>
      <c r="M159" s="3">
        <f t="shared" si="95"/>
        <v>5.4172080221644638E-2</v>
      </c>
      <c r="N159" s="3">
        <f t="shared" si="95"/>
        <v>5.4172080221644638E-2</v>
      </c>
      <c r="O159" s="3">
        <f t="shared" si="95"/>
        <v>5.4172080221644638E-2</v>
      </c>
      <c r="P159" s="3">
        <f t="shared" si="95"/>
        <v>5.4172080221644638E-2</v>
      </c>
      <c r="Q159" s="3">
        <f t="shared" si="95"/>
        <v>5.4172080221644638E-2</v>
      </c>
      <c r="R159" s="3">
        <f t="shared" si="95"/>
        <v>5.4172080221644638E-2</v>
      </c>
      <c r="S159" s="3">
        <f t="shared" si="95"/>
        <v>5.4172080221644638E-2</v>
      </c>
      <c r="T159" s="3">
        <f t="shared" si="95"/>
        <v>5.4172080221644638E-2</v>
      </c>
      <c r="U159" s="3">
        <f t="shared" si="95"/>
        <v>5.4172080221644638E-2</v>
      </c>
      <c r="V159" s="3">
        <f t="shared" si="95"/>
        <v>5.4172080221644638E-2</v>
      </c>
      <c r="W159" s="3">
        <f t="shared" si="95"/>
        <v>5.4172080221644638E-2</v>
      </c>
      <c r="X159" s="3">
        <f t="shared" si="95"/>
        <v>5.4172080221644638E-2</v>
      </c>
      <c r="Y159" s="3">
        <f t="shared" si="95"/>
        <v>5.4172080221644631E-2</v>
      </c>
      <c r="Z159" s="3">
        <f t="shared" si="95"/>
        <v>5.4172080221644582E-2</v>
      </c>
      <c r="AA159" s="3">
        <f t="shared" ref="AA159:AF159" si="96">$C45*EXP(-AA$129/$A45/EXP(-$B$126))</f>
        <v>5.4172080221644096E-2</v>
      </c>
      <c r="AB159" s="3">
        <f t="shared" si="96"/>
        <v>5.4172080221639198E-2</v>
      </c>
      <c r="AC159" s="3">
        <f t="shared" si="96"/>
        <v>5.4172080221590278E-2</v>
      </c>
      <c r="AD159" s="3">
        <f t="shared" si="96"/>
        <v>5.4172080221101038E-2</v>
      </c>
      <c r="AE159" s="3">
        <f t="shared" si="96"/>
        <v>5.4172080216208625E-2</v>
      </c>
      <c r="AF159" s="3">
        <f t="shared" si="96"/>
        <v>5.4172080167284496E-2</v>
      </c>
    </row>
    <row r="160" spans="1:32" x14ac:dyDescent="0.25">
      <c r="B160" s="3">
        <f t="shared" ref="B160:Z160" si="97">$C46*EXP(-B$129/$A46/EXP(-$B$126))</f>
        <v>3.8751330064371987E-2</v>
      </c>
      <c r="C160" s="3">
        <f t="shared" si="97"/>
        <v>3.8751330064371987E-2</v>
      </c>
      <c r="D160" s="3">
        <f t="shared" si="97"/>
        <v>3.8751330064371987E-2</v>
      </c>
      <c r="E160" s="3">
        <f t="shared" si="97"/>
        <v>3.8751330064371987E-2</v>
      </c>
      <c r="F160" s="3">
        <f t="shared" si="97"/>
        <v>3.8751330064371987E-2</v>
      </c>
      <c r="G160" s="3">
        <f t="shared" si="97"/>
        <v>3.8751330064371987E-2</v>
      </c>
      <c r="H160" s="3">
        <f t="shared" si="97"/>
        <v>3.8751330064371987E-2</v>
      </c>
      <c r="I160" s="3">
        <f t="shared" si="97"/>
        <v>3.8751330064371987E-2</v>
      </c>
      <c r="J160" s="3">
        <f t="shared" si="97"/>
        <v>3.8751330064371987E-2</v>
      </c>
      <c r="K160" s="3">
        <f t="shared" si="97"/>
        <v>3.8751330064371987E-2</v>
      </c>
      <c r="L160" s="3">
        <f t="shared" si="97"/>
        <v>3.8751330064371987E-2</v>
      </c>
      <c r="M160" s="3">
        <f t="shared" si="97"/>
        <v>3.8751330064371987E-2</v>
      </c>
      <c r="N160" s="3">
        <f t="shared" si="97"/>
        <v>3.8751330064371987E-2</v>
      </c>
      <c r="O160" s="3">
        <f t="shared" si="97"/>
        <v>3.8751330064371987E-2</v>
      </c>
      <c r="P160" s="3">
        <f t="shared" si="97"/>
        <v>3.8751330064371987E-2</v>
      </c>
      <c r="Q160" s="3">
        <f t="shared" si="97"/>
        <v>3.8751330064371987E-2</v>
      </c>
      <c r="R160" s="3">
        <f t="shared" si="97"/>
        <v>3.8751330064371987E-2</v>
      </c>
      <c r="S160" s="3">
        <f t="shared" si="97"/>
        <v>3.8751330064371987E-2</v>
      </c>
      <c r="T160" s="3">
        <f t="shared" si="97"/>
        <v>3.8751330064371987E-2</v>
      </c>
      <c r="U160" s="3">
        <f t="shared" si="97"/>
        <v>3.8751330064371987E-2</v>
      </c>
      <c r="V160" s="3">
        <f t="shared" si="97"/>
        <v>3.8751330064371987E-2</v>
      </c>
      <c r="W160" s="3">
        <f t="shared" si="97"/>
        <v>3.8751330064371987E-2</v>
      </c>
      <c r="X160" s="3">
        <f t="shared" si="97"/>
        <v>3.8751330064371987E-2</v>
      </c>
      <c r="Y160" s="3">
        <f t="shared" si="97"/>
        <v>3.8751330064371987E-2</v>
      </c>
      <c r="Z160" s="3">
        <f t="shared" si="97"/>
        <v>3.875133006437198E-2</v>
      </c>
      <c r="AA160" s="3">
        <f t="shared" ref="AA160:AF160" si="98">$C46*EXP(-AA$129/$A46/EXP(-$B$126))</f>
        <v>3.8751330064371946E-2</v>
      </c>
      <c r="AB160" s="3">
        <f t="shared" si="98"/>
        <v>3.8751330064371599E-2</v>
      </c>
      <c r="AC160" s="3">
        <f t="shared" si="98"/>
        <v>3.8751330064368102E-2</v>
      </c>
      <c r="AD160" s="3">
        <f t="shared" si="98"/>
        <v>3.8751330064333102E-2</v>
      </c>
      <c r="AE160" s="3">
        <f t="shared" si="98"/>
        <v>3.8751330063983125E-2</v>
      </c>
      <c r="AF160" s="3">
        <f t="shared" si="98"/>
        <v>3.8751330060483404E-2</v>
      </c>
    </row>
    <row r="161" spans="1:34" x14ac:dyDescent="0.25">
      <c r="A161" s="11" t="s">
        <v>75</v>
      </c>
      <c r="B161" s="3">
        <f t="shared" ref="B161:Z161" si="99">$C47*EXP(-B$129/$A47/EXP(-$B$126))</f>
        <v>2.0828240532986285E-2</v>
      </c>
      <c r="C161" s="3">
        <f t="shared" si="99"/>
        <v>2.0828240532986285E-2</v>
      </c>
      <c r="D161" s="3">
        <f t="shared" si="99"/>
        <v>2.0828240532986285E-2</v>
      </c>
      <c r="E161" s="3">
        <f t="shared" si="99"/>
        <v>2.0828240532986285E-2</v>
      </c>
      <c r="F161" s="3">
        <f t="shared" si="99"/>
        <v>2.0828240532986285E-2</v>
      </c>
      <c r="G161" s="3">
        <f t="shared" si="99"/>
        <v>2.0828240532986285E-2</v>
      </c>
      <c r="H161" s="3">
        <f t="shared" si="99"/>
        <v>2.0828240532986285E-2</v>
      </c>
      <c r="I161" s="3">
        <f t="shared" si="99"/>
        <v>2.0828240532986285E-2</v>
      </c>
      <c r="J161" s="3">
        <f t="shared" si="99"/>
        <v>2.0828240532986285E-2</v>
      </c>
      <c r="K161" s="3">
        <f t="shared" si="99"/>
        <v>2.0828240532986285E-2</v>
      </c>
      <c r="L161" s="3">
        <f t="shared" si="99"/>
        <v>2.0828240532986285E-2</v>
      </c>
      <c r="M161" s="3">
        <f t="shared" si="99"/>
        <v>2.0828240532986285E-2</v>
      </c>
      <c r="N161" s="3">
        <f t="shared" si="99"/>
        <v>2.0828240532986285E-2</v>
      </c>
      <c r="O161" s="3">
        <f t="shared" si="99"/>
        <v>2.0828240532986285E-2</v>
      </c>
      <c r="P161" s="3">
        <f t="shared" si="99"/>
        <v>2.0828240532986285E-2</v>
      </c>
      <c r="Q161" s="3">
        <f t="shared" si="99"/>
        <v>2.0828240532986285E-2</v>
      </c>
      <c r="R161" s="3">
        <f t="shared" si="99"/>
        <v>2.0828240532986285E-2</v>
      </c>
      <c r="S161" s="3">
        <f t="shared" si="99"/>
        <v>2.0828240532986285E-2</v>
      </c>
      <c r="T161" s="3">
        <f t="shared" si="99"/>
        <v>2.0828240532986285E-2</v>
      </c>
      <c r="U161" s="3">
        <f t="shared" si="99"/>
        <v>2.0828240532986285E-2</v>
      </c>
      <c r="V161" s="3">
        <f t="shared" si="99"/>
        <v>2.0828240532986285E-2</v>
      </c>
      <c r="W161" s="3">
        <f t="shared" si="99"/>
        <v>2.0828240532986285E-2</v>
      </c>
      <c r="X161" s="3">
        <f t="shared" si="99"/>
        <v>2.0828240532986285E-2</v>
      </c>
      <c r="Y161" s="3">
        <f t="shared" si="99"/>
        <v>2.0828240532986285E-2</v>
      </c>
      <c r="Z161" s="3">
        <f t="shared" si="99"/>
        <v>2.0828240532986285E-2</v>
      </c>
      <c r="AA161" s="3">
        <f t="shared" ref="AA161:AF161" si="100">$C47*EXP(-AA$129/$A47/EXP(-$B$126))</f>
        <v>2.0828240532986281E-2</v>
      </c>
      <c r="AB161" s="3">
        <f t="shared" si="100"/>
        <v>2.0828240532986264E-2</v>
      </c>
      <c r="AC161" s="3">
        <f t="shared" si="100"/>
        <v>2.0828240532986077E-2</v>
      </c>
      <c r="AD161" s="3">
        <f t="shared" si="100"/>
        <v>2.0828240532984193E-2</v>
      </c>
      <c r="AE161" s="3">
        <f t="shared" si="100"/>
        <v>2.0828240532965385E-2</v>
      </c>
      <c r="AF161" s="3">
        <f t="shared" si="100"/>
        <v>2.0828240532777278E-2</v>
      </c>
    </row>
    <row r="162" spans="1:34" x14ac:dyDescent="0.25">
      <c r="B162" s="3">
        <f t="shared" ref="B162:Z162" si="101">$C48*EXP(-B$129/$A48/EXP(-$B$126))</f>
        <v>2.990470230026878E-2</v>
      </c>
      <c r="C162" s="3">
        <f t="shared" si="101"/>
        <v>2.990470230026878E-2</v>
      </c>
      <c r="D162" s="3">
        <f t="shared" si="101"/>
        <v>2.990470230026878E-2</v>
      </c>
      <c r="E162" s="3">
        <f t="shared" si="101"/>
        <v>2.990470230026878E-2</v>
      </c>
      <c r="F162" s="3">
        <f t="shared" si="101"/>
        <v>2.990470230026878E-2</v>
      </c>
      <c r="G162" s="3">
        <f t="shared" si="101"/>
        <v>2.990470230026878E-2</v>
      </c>
      <c r="H162" s="3">
        <f t="shared" si="101"/>
        <v>2.990470230026878E-2</v>
      </c>
      <c r="I162" s="3">
        <f t="shared" si="101"/>
        <v>2.990470230026878E-2</v>
      </c>
      <c r="J162" s="3">
        <f t="shared" si="101"/>
        <v>2.990470230026878E-2</v>
      </c>
      <c r="K162" s="3">
        <f t="shared" si="101"/>
        <v>2.990470230026878E-2</v>
      </c>
      <c r="L162" s="3">
        <f t="shared" si="101"/>
        <v>2.990470230026878E-2</v>
      </c>
      <c r="M162" s="3">
        <f t="shared" si="101"/>
        <v>2.990470230026878E-2</v>
      </c>
      <c r="N162" s="3">
        <f t="shared" si="101"/>
        <v>2.990470230026878E-2</v>
      </c>
      <c r="O162" s="3">
        <f t="shared" si="101"/>
        <v>2.990470230026878E-2</v>
      </c>
      <c r="P162" s="3">
        <f t="shared" si="101"/>
        <v>2.990470230026878E-2</v>
      </c>
      <c r="Q162" s="3">
        <f t="shared" si="101"/>
        <v>2.990470230026878E-2</v>
      </c>
      <c r="R162" s="3">
        <f t="shared" si="101"/>
        <v>2.990470230026878E-2</v>
      </c>
      <c r="S162" s="3">
        <f t="shared" si="101"/>
        <v>2.990470230026878E-2</v>
      </c>
      <c r="T162" s="3">
        <f t="shared" si="101"/>
        <v>2.990470230026878E-2</v>
      </c>
      <c r="U162" s="3">
        <f t="shared" si="101"/>
        <v>2.990470230026878E-2</v>
      </c>
      <c r="V162" s="3">
        <f t="shared" si="101"/>
        <v>2.990470230026878E-2</v>
      </c>
      <c r="W162" s="3">
        <f t="shared" si="101"/>
        <v>2.990470230026878E-2</v>
      </c>
      <c r="X162" s="3">
        <f t="shared" si="101"/>
        <v>2.990470230026878E-2</v>
      </c>
      <c r="Y162" s="3">
        <f t="shared" si="101"/>
        <v>2.990470230026878E-2</v>
      </c>
      <c r="Z162" s="3">
        <f t="shared" si="101"/>
        <v>2.990470230026878E-2</v>
      </c>
      <c r="AA162" s="3">
        <f t="shared" ref="AA162:AF162" si="102">$C48*EXP(-AA$129/$A48/EXP(-$B$126))</f>
        <v>2.990470230026878E-2</v>
      </c>
      <c r="AB162" s="3">
        <f t="shared" si="102"/>
        <v>2.9904702300268777E-2</v>
      </c>
      <c r="AC162" s="3">
        <f t="shared" si="102"/>
        <v>2.9904702300268749E-2</v>
      </c>
      <c r="AD162" s="3">
        <f t="shared" si="102"/>
        <v>2.9904702300268482E-2</v>
      </c>
      <c r="AE162" s="3">
        <f t="shared" si="102"/>
        <v>2.9904702300265779E-2</v>
      </c>
      <c r="AF162" s="3">
        <f t="shared" si="102"/>
        <v>2.9904702300238773E-2</v>
      </c>
    </row>
    <row r="163" spans="1:34" x14ac:dyDescent="0.25">
      <c r="A163" s="80">
        <f>AVERAGE(B163:AF163)</f>
        <v>7.2546991507289654E-4</v>
      </c>
      <c r="B163" s="81">
        <f>IF($A$64&lt;=B129,IF($B$64&gt;=B129,ABS((B131-B130)/B130),0),0)</f>
        <v>0</v>
      </c>
      <c r="C163" s="81">
        <f t="shared" ref="C163:AF163" si="103">IF($A$64&lt;=C129,IF($B$64&gt;=C129,ABS((C131-C130)/C130),0),0)</f>
        <v>0</v>
      </c>
      <c r="D163" s="81">
        <f t="shared" si="103"/>
        <v>0</v>
      </c>
      <c r="E163" s="81">
        <f t="shared" si="103"/>
        <v>0</v>
      </c>
      <c r="F163" s="81">
        <f t="shared" si="103"/>
        <v>0</v>
      </c>
      <c r="G163" s="81">
        <f t="shared" si="103"/>
        <v>0</v>
      </c>
      <c r="H163" s="81">
        <f t="shared" si="103"/>
        <v>0</v>
      </c>
      <c r="I163" s="81">
        <f t="shared" si="103"/>
        <v>0</v>
      </c>
      <c r="J163" s="81">
        <f t="shared" si="103"/>
        <v>0</v>
      </c>
      <c r="K163" s="81">
        <f t="shared" si="103"/>
        <v>0</v>
      </c>
      <c r="L163" s="81">
        <f t="shared" si="103"/>
        <v>3.0783735112172922E-3</v>
      </c>
      <c r="M163" s="81">
        <f t="shared" si="103"/>
        <v>3.084038590588849E-3</v>
      </c>
      <c r="N163" s="81">
        <f t="shared" si="103"/>
        <v>3.1399563887228475E-3</v>
      </c>
      <c r="O163" s="81">
        <f t="shared" si="103"/>
        <v>3.5663257893411055E-3</v>
      </c>
      <c r="P163" s="81">
        <f t="shared" si="103"/>
        <v>1.3784627055244165E-4</v>
      </c>
      <c r="Q163" s="81">
        <f t="shared" si="103"/>
        <v>1.2821370192947689E-3</v>
      </c>
      <c r="R163" s="81">
        <f t="shared" si="103"/>
        <v>1.409062859776196E-3</v>
      </c>
      <c r="S163" s="81">
        <f t="shared" si="103"/>
        <v>1.0226937154329931E-3</v>
      </c>
      <c r="T163" s="81">
        <f t="shared" si="103"/>
        <v>8.1218255042490959E-4</v>
      </c>
      <c r="U163" s="81">
        <f t="shared" si="103"/>
        <v>2.2798937529557332E-4</v>
      </c>
      <c r="V163" s="81">
        <f t="shared" si="103"/>
        <v>4.7289612966128162E-3</v>
      </c>
      <c r="W163" s="81">
        <f t="shared" si="103"/>
        <v>0</v>
      </c>
      <c r="X163" s="81">
        <f t="shared" si="103"/>
        <v>0</v>
      </c>
      <c r="Y163" s="81">
        <f t="shared" si="103"/>
        <v>0</v>
      </c>
      <c r="Z163" s="81">
        <f t="shared" si="103"/>
        <v>0</v>
      </c>
      <c r="AA163" s="81">
        <f t="shared" si="103"/>
        <v>0</v>
      </c>
      <c r="AB163" s="81">
        <f t="shared" si="103"/>
        <v>0</v>
      </c>
      <c r="AC163" s="81">
        <f t="shared" si="103"/>
        <v>0</v>
      </c>
      <c r="AD163" s="81">
        <f t="shared" si="103"/>
        <v>0</v>
      </c>
      <c r="AE163" s="81">
        <f t="shared" si="103"/>
        <v>0</v>
      </c>
      <c r="AF163" s="81">
        <f t="shared" si="103"/>
        <v>0</v>
      </c>
    </row>
    <row r="164" spans="1:34" x14ac:dyDescent="0.25">
      <c r="B164" s="21">
        <f>(B131-B130)^2</f>
        <v>186.15847675447861</v>
      </c>
      <c r="C164" s="21">
        <f t="shared" ref="C164:AF164" si="104">(C131-C130)^2</f>
        <v>187.05783014418944</v>
      </c>
      <c r="D164" s="21">
        <f t="shared" si="104"/>
        <v>186.51134775777871</v>
      </c>
      <c r="E164" s="21">
        <f t="shared" si="104"/>
        <v>186.42940393092744</v>
      </c>
      <c r="F164" s="21">
        <f t="shared" si="104"/>
        <v>187.28049645792797</v>
      </c>
      <c r="G164" s="21">
        <f t="shared" si="104"/>
        <v>195.95446608571501</v>
      </c>
      <c r="H164" s="21">
        <f t="shared" si="104"/>
        <v>255.18256715151006</v>
      </c>
      <c r="I164" s="21">
        <f t="shared" si="104"/>
        <v>300.01261337471067</v>
      </c>
      <c r="J164" s="21">
        <f t="shared" si="104"/>
        <v>300.0213618986246</v>
      </c>
      <c r="K164" s="21">
        <f t="shared" si="104"/>
        <v>300.03047007268549</v>
      </c>
      <c r="L164" s="21">
        <f t="shared" si="104"/>
        <v>300.13655999566316</v>
      </c>
      <c r="M164" s="21">
        <f t="shared" si="104"/>
        <v>301.22809597318314</v>
      </c>
      <c r="N164" s="21">
        <f t="shared" si="104"/>
        <v>312.10492356579653</v>
      </c>
      <c r="O164" s="21">
        <f t="shared" si="104"/>
        <v>400.82965804619982</v>
      </c>
      <c r="P164" s="21">
        <f t="shared" si="104"/>
        <v>0.57844449356098027</v>
      </c>
      <c r="Q164" s="21">
        <f t="shared" si="104"/>
        <v>47.244085882896449</v>
      </c>
      <c r="R164" s="21">
        <f t="shared" si="104"/>
        <v>54.729500882865516</v>
      </c>
      <c r="S164" s="21">
        <f t="shared" si="104"/>
        <v>27.619177024943173</v>
      </c>
      <c r="T164" s="21">
        <f t="shared" si="104"/>
        <v>16.595035331904384</v>
      </c>
      <c r="U164" s="21">
        <f t="shared" si="104"/>
        <v>1.2385479322698003</v>
      </c>
      <c r="V164" s="21">
        <f t="shared" si="104"/>
        <v>497.19023244124094</v>
      </c>
      <c r="W164" s="21">
        <f t="shared" si="104"/>
        <v>6196.4002528464271</v>
      </c>
      <c r="X164" s="21">
        <f t="shared" si="104"/>
        <v>22282.272981918595</v>
      </c>
      <c r="Y164" s="21">
        <f t="shared" si="104"/>
        <v>44781.997140297426</v>
      </c>
      <c r="Z164" s="21">
        <f t="shared" si="104"/>
        <v>65618.860510609549</v>
      </c>
      <c r="AA164" s="21">
        <f t="shared" si="104"/>
        <v>78274.4309617908</v>
      </c>
      <c r="AB164" s="21">
        <f t="shared" si="104"/>
        <v>80989.190014683743</v>
      </c>
      <c r="AC164" s="21">
        <f t="shared" si="104"/>
        <v>73265.476310829908</v>
      </c>
      <c r="AD164" s="21">
        <f t="shared" si="104"/>
        <v>57342.084906360367</v>
      </c>
      <c r="AE164" s="21">
        <f t="shared" si="104"/>
        <v>35191.297895277108</v>
      </c>
      <c r="AF164" s="21">
        <f t="shared" si="104"/>
        <v>19702.292153583818</v>
      </c>
    </row>
    <row r="165" spans="1:34" x14ac:dyDescent="0.25">
      <c r="A165" s="72">
        <f>SUM(B165:AF165)</f>
        <v>1959.4942615705236</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300.13655999566316</v>
      </c>
      <c r="M165" s="60">
        <f t="shared" si="105"/>
        <v>301.22809597318314</v>
      </c>
      <c r="N165" s="60">
        <f t="shared" si="105"/>
        <v>312.10492356579653</v>
      </c>
      <c r="O165" s="60">
        <f t="shared" si="105"/>
        <v>400.82965804619982</v>
      </c>
      <c r="P165" s="60">
        <f t="shared" si="105"/>
        <v>0.57844449356098027</v>
      </c>
      <c r="Q165" s="60">
        <f t="shared" si="105"/>
        <v>47.244085882896449</v>
      </c>
      <c r="R165" s="60">
        <f t="shared" si="105"/>
        <v>54.729500882865516</v>
      </c>
      <c r="S165" s="60">
        <f t="shared" si="105"/>
        <v>27.619177024943173</v>
      </c>
      <c r="T165" s="60">
        <f t="shared" si="105"/>
        <v>16.595035331904384</v>
      </c>
      <c r="U165" s="60">
        <f t="shared" si="105"/>
        <v>1.2385479322698003</v>
      </c>
      <c r="V165" s="60">
        <f t="shared" si="105"/>
        <v>497.19023244124094</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1" t="s">
        <v>22</v>
      </c>
      <c r="B170" s="27">
        <f>($C$17+SUM(B171:B201))*$B$51</f>
        <v>5611.7311261001214</v>
      </c>
      <c r="C170" s="27">
        <f t="shared" ref="C170:AF170" si="106">($C$17+SUM(C171:C201))*$B$51</f>
        <v>5610.4870912781025</v>
      </c>
      <c r="D170" s="27">
        <f t="shared" si="106"/>
        <v>5610.4868416042009</v>
      </c>
      <c r="E170" s="27">
        <f t="shared" si="106"/>
        <v>5610.4850737107226</v>
      </c>
      <c r="F170" s="27">
        <f t="shared" si="106"/>
        <v>5610.4673964761841</v>
      </c>
      <c r="G170" s="27">
        <f t="shared" si="106"/>
        <v>5610.2907940172936</v>
      </c>
      <c r="H170" s="27">
        <f t="shared" si="106"/>
        <v>5608.5416208611341</v>
      </c>
      <c r="I170" s="27">
        <f t="shared" si="106"/>
        <v>5592.6059773286624</v>
      </c>
      <c r="J170" s="27">
        <f t="shared" si="106"/>
        <v>5512.8189904073115</v>
      </c>
      <c r="K170" s="27">
        <f t="shared" si="106"/>
        <v>5348.8282278528013</v>
      </c>
      <c r="L170" s="27">
        <f t="shared" si="106"/>
        <v>5239.2779682294304</v>
      </c>
      <c r="M170" s="27">
        <f t="shared" si="106"/>
        <v>5129.3878028843528</v>
      </c>
      <c r="N170" s="27">
        <f t="shared" si="106"/>
        <v>5007.0324211717416</v>
      </c>
      <c r="O170" s="27">
        <f t="shared" si="106"/>
        <v>4877.4920655767246</v>
      </c>
      <c r="P170" s="27">
        <f t="shared" si="106"/>
        <v>4731.7251247106524</v>
      </c>
      <c r="Q170" s="27">
        <f t="shared" si="106"/>
        <v>4575.4373012368824</v>
      </c>
      <c r="R170" s="27">
        <f t="shared" si="106"/>
        <v>4416.8479137961922</v>
      </c>
      <c r="S170" s="27">
        <f t="shared" si="106"/>
        <v>4264.6256613824798</v>
      </c>
      <c r="T170" s="27">
        <f t="shared" si="106"/>
        <v>4098.2454160015714</v>
      </c>
      <c r="U170" s="27">
        <f t="shared" si="106"/>
        <v>3896.1437593147703</v>
      </c>
      <c r="V170" s="27">
        <f t="shared" si="106"/>
        <v>3682.4049130417652</v>
      </c>
      <c r="W170" s="27">
        <f t="shared" si="106"/>
        <v>3489.8665141780789</v>
      </c>
      <c r="X170" s="27">
        <f t="shared" si="106"/>
        <v>3301.3066613532792</v>
      </c>
      <c r="Y170" s="27">
        <f t="shared" si="106"/>
        <v>3097.6718948113403</v>
      </c>
      <c r="Z170" s="27">
        <f t="shared" si="106"/>
        <v>2906.0933074655313</v>
      </c>
      <c r="AA170" s="27">
        <f t="shared" si="106"/>
        <v>2723.7339440524952</v>
      </c>
      <c r="AB170" s="27">
        <f t="shared" si="106"/>
        <v>2545.8655462674524</v>
      </c>
      <c r="AC170" s="27">
        <f t="shared" si="106"/>
        <v>2350.6118925627538</v>
      </c>
      <c r="AD170" s="27">
        <f t="shared" si="106"/>
        <v>2150.1972256887962</v>
      </c>
      <c r="AE170" s="27">
        <f t="shared" si="106"/>
        <v>1930.9439572183223</v>
      </c>
      <c r="AF170" s="27">
        <f t="shared" si="106"/>
        <v>1687.4067647447803</v>
      </c>
      <c r="AG170" s="27"/>
      <c r="AH170" s="27"/>
    </row>
    <row r="171" spans="1:34" x14ac:dyDescent="0.25">
      <c r="B171" s="3">
        <f t="shared" ref="B171:AF171" si="107">$C18*EXP(-B$168/$A18/EXP(-$C$126))</f>
        <v>2.2159857763783889E-4</v>
      </c>
      <c r="C171" s="3">
        <f t="shared" si="107"/>
        <v>1.2981967568605193E-8</v>
      </c>
      <c r="D171" s="3">
        <f t="shared" si="107"/>
        <v>6.1812460793795535E-51</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1.0565237630639816E-2</v>
      </c>
      <c r="C173" s="3">
        <f t="shared" si="109"/>
        <v>1.056523525154195E-2</v>
      </c>
      <c r="D173" s="3">
        <f t="shared" si="109"/>
        <v>1.0565211460592736E-2</v>
      </c>
      <c r="E173" s="3">
        <f t="shared" si="109"/>
        <v>1.0564973554047083E-2</v>
      </c>
      <c r="F173" s="3">
        <f t="shared" si="109"/>
        <v>1.0562594783214431E-2</v>
      </c>
      <c r="G173" s="3">
        <f t="shared" si="109"/>
        <v>1.0538836512743149E-2</v>
      </c>
      <c r="H173" s="3">
        <f t="shared" si="109"/>
        <v>1.0304173213781355E-2</v>
      </c>
      <c r="I173" s="3">
        <f t="shared" si="109"/>
        <v>8.2265545584621052E-3</v>
      </c>
      <c r="J173" s="3">
        <f t="shared" si="109"/>
        <v>8.6549845957606007E-4</v>
      </c>
      <c r="K173" s="3">
        <f t="shared" si="109"/>
        <v>1.4379688188934954E-13</v>
      </c>
      <c r="L173" s="3">
        <f t="shared" si="109"/>
        <v>2.304523625865477E-111</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3.609767780910178E-2</v>
      </c>
      <c r="C174" s="3">
        <f t="shared" si="110"/>
        <v>3.6097677075840183E-2</v>
      </c>
      <c r="D174" s="3">
        <f t="shared" si="110"/>
        <v>3.6097669743225071E-2</v>
      </c>
      <c r="E174" s="3">
        <f t="shared" si="110"/>
        <v>3.6097596417155889E-2</v>
      </c>
      <c r="F174" s="3">
        <f t="shared" si="110"/>
        <v>3.6096863164656198E-2</v>
      </c>
      <c r="G174" s="3">
        <f t="shared" si="110"/>
        <v>3.6089531458812343E-2</v>
      </c>
      <c r="H174" s="3">
        <f t="shared" si="110"/>
        <v>3.6016296254143675E-2</v>
      </c>
      <c r="I174" s="3">
        <f t="shared" si="110"/>
        <v>3.5292068396763313E-2</v>
      </c>
      <c r="J174" s="3">
        <f t="shared" si="110"/>
        <v>2.8804327136279097E-2</v>
      </c>
      <c r="K174" s="3">
        <f t="shared" si="110"/>
        <v>3.7780174437139404E-3</v>
      </c>
      <c r="L174" s="3">
        <f t="shared" si="110"/>
        <v>5.6928035909184428E-12</v>
      </c>
      <c r="M174" s="3">
        <f t="shared" si="110"/>
        <v>3.4351730178130074E-100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1.7961408604974739E-2</v>
      </c>
      <c r="C175" s="3">
        <f t="shared" si="111"/>
        <v>1.7961408572061799E-2</v>
      </c>
      <c r="D175" s="3">
        <f t="shared" si="111"/>
        <v>1.7961408242932412E-2</v>
      </c>
      <c r="E175" s="3">
        <f t="shared" si="111"/>
        <v>1.7961404951638907E-2</v>
      </c>
      <c r="F175" s="3">
        <f t="shared" si="111"/>
        <v>1.7961372038736993E-2</v>
      </c>
      <c r="G175" s="3">
        <f t="shared" si="111"/>
        <v>1.7961042913034894E-2</v>
      </c>
      <c r="H175" s="3">
        <f t="shared" si="111"/>
        <v>1.79577519876967E-2</v>
      </c>
      <c r="I175" s="3">
        <f t="shared" si="111"/>
        <v>1.7924875880114172E-2</v>
      </c>
      <c r="J175" s="3">
        <f t="shared" si="111"/>
        <v>1.7599407021194016E-2</v>
      </c>
      <c r="K175" s="3">
        <f t="shared" si="111"/>
        <v>1.4652671647881416E-2</v>
      </c>
      <c r="L175" s="3">
        <f t="shared" si="111"/>
        <v>2.3447937095502159E-3</v>
      </c>
      <c r="M175" s="3">
        <f t="shared" si="111"/>
        <v>2.5821583261076658E-11</v>
      </c>
      <c r="N175" s="3">
        <f t="shared" si="111"/>
        <v>6.7727515018126713E-91</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2.0382209262306071E-2</v>
      </c>
      <c r="C176" s="3">
        <f t="shared" si="112"/>
        <v>2.0382209258936891E-2</v>
      </c>
      <c r="D176" s="3">
        <f t="shared" si="112"/>
        <v>2.0382209225245099E-2</v>
      </c>
      <c r="E176" s="3">
        <f t="shared" si="112"/>
        <v>2.0382208888327178E-2</v>
      </c>
      <c r="F176" s="3">
        <f t="shared" si="112"/>
        <v>2.038220551914828E-2</v>
      </c>
      <c r="G176" s="3">
        <f t="shared" si="112"/>
        <v>2.0382171827389908E-2</v>
      </c>
      <c r="H176" s="3">
        <f t="shared" si="112"/>
        <v>2.0381834912869282E-2</v>
      </c>
      <c r="I176" s="3">
        <f t="shared" si="112"/>
        <v>2.0378466073951107E-2</v>
      </c>
      <c r="J176" s="3">
        <f t="shared" si="112"/>
        <v>2.0344808294856808E-2</v>
      </c>
      <c r="K176" s="3">
        <f t="shared" si="112"/>
        <v>2.0011272873711395E-2</v>
      </c>
      <c r="L176" s="3">
        <f t="shared" si="112"/>
        <v>1.6962342773161363E-2</v>
      </c>
      <c r="M176" s="3">
        <f t="shared" si="112"/>
        <v>3.2478580965275448E-3</v>
      </c>
      <c r="N176" s="3">
        <f t="shared" si="112"/>
        <v>2.1513405102622726E-10</v>
      </c>
      <c r="O176" s="3">
        <f t="shared" si="112"/>
        <v>3.4980840992271889E-82</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2.3191773100865731E-2</v>
      </c>
      <c r="C177" s="3">
        <f t="shared" si="113"/>
        <v>2.3191773100519907E-2</v>
      </c>
      <c r="D177" s="3">
        <f t="shared" si="113"/>
        <v>2.3191773097061684E-2</v>
      </c>
      <c r="E177" s="3">
        <f t="shared" si="113"/>
        <v>2.319177306247942E-2</v>
      </c>
      <c r="F177" s="3">
        <f t="shared" si="113"/>
        <v>2.3191772716656796E-2</v>
      </c>
      <c r="G177" s="3">
        <f t="shared" si="113"/>
        <v>2.3191769258430851E-2</v>
      </c>
      <c r="H177" s="3">
        <f t="shared" si="113"/>
        <v>2.3191734676199765E-2</v>
      </c>
      <c r="I177" s="3">
        <f t="shared" si="113"/>
        <v>2.3191388856725094E-2</v>
      </c>
      <c r="J177" s="3">
        <f t="shared" si="113"/>
        <v>2.3187930945580113E-2</v>
      </c>
      <c r="K177" s="3">
        <f t="shared" si="113"/>
        <v>2.3153380178665556E-2</v>
      </c>
      <c r="L177" s="3">
        <f t="shared" si="113"/>
        <v>2.2810691386891509E-2</v>
      </c>
      <c r="M177" s="3">
        <f t="shared" si="113"/>
        <v>1.9650739922837251E-2</v>
      </c>
      <c r="N177" s="3">
        <f t="shared" si="113"/>
        <v>4.4236779017267462E-3</v>
      </c>
      <c r="O177" s="3">
        <f t="shared" si="113"/>
        <v>1.4785274567847621E-9</v>
      </c>
      <c r="P177" s="3">
        <f t="shared" si="113"/>
        <v>2.5721030168137398E-74</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2.3748702764316881E-2</v>
      </c>
      <c r="C178" s="3">
        <f t="shared" si="114"/>
        <v>2.3748702764284934E-2</v>
      </c>
      <c r="D178" s="3">
        <f t="shared" si="114"/>
        <v>2.3748702763965485E-2</v>
      </c>
      <c r="E178" s="3">
        <f t="shared" si="114"/>
        <v>2.374870276077096E-2</v>
      </c>
      <c r="F178" s="3">
        <f t="shared" si="114"/>
        <v>2.3748702728825736E-2</v>
      </c>
      <c r="G178" s="3">
        <f t="shared" si="114"/>
        <v>2.3748702409373504E-2</v>
      </c>
      <c r="H178" s="3">
        <f t="shared" si="114"/>
        <v>2.3748699214851395E-2</v>
      </c>
      <c r="I178" s="3">
        <f t="shared" si="114"/>
        <v>2.374866726965395E-2</v>
      </c>
      <c r="J178" s="3">
        <f t="shared" si="114"/>
        <v>2.3748347820042877E-2</v>
      </c>
      <c r="K178" s="3">
        <f t="shared" si="114"/>
        <v>2.3745153560257682E-2</v>
      </c>
      <c r="L178" s="3">
        <f t="shared" si="114"/>
        <v>2.3713234583201504E-2</v>
      </c>
      <c r="M178" s="3">
        <f t="shared" si="114"/>
        <v>2.3396395178321462E-2</v>
      </c>
      <c r="N178" s="3">
        <f t="shared" si="114"/>
        <v>2.0451749031126384E-2</v>
      </c>
      <c r="O178" s="3">
        <f t="shared" si="114"/>
        <v>5.3277706354372331E-3</v>
      </c>
      <c r="P178" s="3">
        <f t="shared" si="114"/>
        <v>7.6682483705279247E-9</v>
      </c>
      <c r="Q178" s="3">
        <f t="shared" si="114"/>
        <v>2.9255173795464044E-67</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2.8130744653849835E-2</v>
      </c>
      <c r="C179" s="3">
        <f t="shared" si="115"/>
        <v>2.8130744653846421E-2</v>
      </c>
      <c r="D179" s="3">
        <f t="shared" si="115"/>
        <v>2.8130744653812285E-2</v>
      </c>
      <c r="E179" s="3">
        <f t="shared" si="115"/>
        <v>2.8130744653470943E-2</v>
      </c>
      <c r="F179" s="3">
        <f t="shared" si="115"/>
        <v>2.8130744650057486E-2</v>
      </c>
      <c r="G179" s="3">
        <f t="shared" si="115"/>
        <v>2.8130744615922961E-2</v>
      </c>
      <c r="H179" s="3">
        <f t="shared" si="115"/>
        <v>2.8130744274577717E-2</v>
      </c>
      <c r="I179" s="3">
        <f t="shared" si="115"/>
        <v>2.8130740861125488E-2</v>
      </c>
      <c r="J179" s="3">
        <f t="shared" si="115"/>
        <v>2.8130706726625997E-2</v>
      </c>
      <c r="K179" s="3">
        <f t="shared" si="115"/>
        <v>2.8130365383909135E-2</v>
      </c>
      <c r="L179" s="3">
        <f t="shared" si="115"/>
        <v>2.8126952184537275E-2</v>
      </c>
      <c r="M179" s="3">
        <f t="shared" si="115"/>
        <v>2.8092842960269399E-2</v>
      </c>
      <c r="N179" s="3">
        <f t="shared" si="115"/>
        <v>2.7754017473030915E-2</v>
      </c>
      <c r="O179" s="3">
        <f t="shared" si="115"/>
        <v>2.4582583119833475E-2</v>
      </c>
      <c r="P179" s="3">
        <f t="shared" si="115"/>
        <v>7.3054017701685101E-3</v>
      </c>
      <c r="Q179" s="3">
        <f t="shared" si="115"/>
        <v>3.9247319229608225E-8</v>
      </c>
      <c r="R179" s="3">
        <f t="shared" si="115"/>
        <v>7.8608393471196782E-61</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2.9651765361493703E-2</v>
      </c>
      <c r="C180" s="3">
        <f t="shared" si="116"/>
        <v>2.9651765361493377E-2</v>
      </c>
      <c r="D180" s="3">
        <f t="shared" si="116"/>
        <v>2.9651765361490133E-2</v>
      </c>
      <c r="E180" s="3">
        <f t="shared" si="116"/>
        <v>2.9651765361457673E-2</v>
      </c>
      <c r="F180" s="3">
        <f t="shared" si="116"/>
        <v>2.9651765361133103E-2</v>
      </c>
      <c r="G180" s="3">
        <f t="shared" si="116"/>
        <v>2.9651765357887393E-2</v>
      </c>
      <c r="H180" s="3">
        <f t="shared" si="116"/>
        <v>2.965176532543029E-2</v>
      </c>
      <c r="I180" s="3">
        <f t="shared" si="116"/>
        <v>2.965176500085924E-2</v>
      </c>
      <c r="J180" s="3">
        <f t="shared" si="116"/>
        <v>2.9651761755148973E-2</v>
      </c>
      <c r="K180" s="3">
        <f t="shared" si="116"/>
        <v>2.9651729298065834E-2</v>
      </c>
      <c r="L180" s="3">
        <f t="shared" si="116"/>
        <v>2.9651404729188473E-2</v>
      </c>
      <c r="M180" s="3">
        <f t="shared" si="116"/>
        <v>2.9648159235809258E-2</v>
      </c>
      <c r="N180" s="3">
        <f t="shared" si="116"/>
        <v>2.9615723833547464E-2</v>
      </c>
      <c r="O180" s="3">
        <f t="shared" si="116"/>
        <v>2.9293315076693423E-2</v>
      </c>
      <c r="P180" s="3">
        <f t="shared" si="116"/>
        <v>2.6256101048736477E-2</v>
      </c>
      <c r="Q180" s="3">
        <f t="shared" si="116"/>
        <v>8.7871361965503134E-3</v>
      </c>
      <c r="R180" s="3">
        <f t="shared" si="116"/>
        <v>1.5488828985812171E-7</v>
      </c>
      <c r="S180" s="3">
        <f t="shared" si="116"/>
        <v>4.4846737381766572E-55</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3.008752237585835E-2</v>
      </c>
      <c r="C181" s="3">
        <f t="shared" si="117"/>
        <v>3.0087522375858319E-2</v>
      </c>
      <c r="D181" s="3">
        <f t="shared" si="117"/>
        <v>3.0087522375858024E-2</v>
      </c>
      <c r="E181" s="3">
        <f t="shared" si="117"/>
        <v>3.0087522375855054E-2</v>
      </c>
      <c r="F181" s="3">
        <f t="shared" si="117"/>
        <v>3.0087522375825345E-2</v>
      </c>
      <c r="G181" s="3">
        <f t="shared" si="117"/>
        <v>3.0087522375528249E-2</v>
      </c>
      <c r="H181" s="3">
        <f t="shared" si="117"/>
        <v>3.008752237255732E-2</v>
      </c>
      <c r="I181" s="3">
        <f t="shared" si="117"/>
        <v>3.0087522342848033E-2</v>
      </c>
      <c r="J181" s="3">
        <f t="shared" si="117"/>
        <v>3.0087522045755159E-2</v>
      </c>
      <c r="K181" s="3">
        <f t="shared" si="117"/>
        <v>3.0087519074826558E-2</v>
      </c>
      <c r="L181" s="3">
        <f t="shared" si="117"/>
        <v>3.0087489365556688E-2</v>
      </c>
      <c r="M181" s="3">
        <f t="shared" si="117"/>
        <v>3.0087192274471469E-2</v>
      </c>
      <c r="N181" s="3">
        <f t="shared" si="117"/>
        <v>3.008422152495964E-2</v>
      </c>
      <c r="O181" s="3">
        <f t="shared" si="117"/>
        <v>3.0054530157987865E-2</v>
      </c>
      <c r="P181" s="3">
        <f t="shared" si="117"/>
        <v>2.9759223426052368E-2</v>
      </c>
      <c r="Q181" s="3">
        <f t="shared" si="117"/>
        <v>2.6961130818787482E-2</v>
      </c>
      <c r="R181" s="3">
        <f t="shared" si="117"/>
        <v>1.0043918968388039E-2</v>
      </c>
      <c r="S181" s="3">
        <f t="shared" si="117"/>
        <v>5.1707574513470904E-7</v>
      </c>
      <c r="T181" s="3">
        <f t="shared" si="117"/>
        <v>6.7618234667198601E-50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2.6649166629010242E-2</v>
      </c>
      <c r="C182" s="3">
        <f t="shared" si="118"/>
        <v>2.6649166629010238E-2</v>
      </c>
      <c r="D182" s="3">
        <f t="shared" si="118"/>
        <v>2.6649166629010214E-2</v>
      </c>
      <c r="E182" s="3">
        <f t="shared" si="118"/>
        <v>2.6649166629009978E-2</v>
      </c>
      <c r="F182" s="3">
        <f t="shared" si="118"/>
        <v>2.6649166629007605E-2</v>
      </c>
      <c r="G182" s="3">
        <f t="shared" si="118"/>
        <v>2.6649166628983867E-2</v>
      </c>
      <c r="H182" s="3">
        <f t="shared" si="118"/>
        <v>2.6649166628746491E-2</v>
      </c>
      <c r="I182" s="3">
        <f t="shared" si="118"/>
        <v>2.6649166626372737E-2</v>
      </c>
      <c r="J182" s="3">
        <f t="shared" si="118"/>
        <v>2.6649166602635176E-2</v>
      </c>
      <c r="K182" s="3">
        <f t="shared" si="118"/>
        <v>2.6649166365259599E-2</v>
      </c>
      <c r="L182" s="3">
        <f t="shared" si="118"/>
        <v>2.6649163991503935E-2</v>
      </c>
      <c r="M182" s="3">
        <f t="shared" si="118"/>
        <v>2.6649140253958911E-2</v>
      </c>
      <c r="N182" s="3">
        <f t="shared" si="118"/>
        <v>2.6648902879671622E-2</v>
      </c>
      <c r="O182" s="3">
        <f t="shared" si="118"/>
        <v>2.6646529253086804E-2</v>
      </c>
      <c r="P182" s="3">
        <f t="shared" si="118"/>
        <v>2.6622804612215736E-2</v>
      </c>
      <c r="Q182" s="3">
        <f t="shared" si="118"/>
        <v>2.6386716879029312E-2</v>
      </c>
      <c r="R182" s="3">
        <f t="shared" si="118"/>
        <v>2.413797768191699E-2</v>
      </c>
      <c r="S182" s="3">
        <f t="shared" si="118"/>
        <v>9.9050374733378379E-3</v>
      </c>
      <c r="T182" s="3">
        <f t="shared" si="118"/>
        <v>1.3409375059845658E-6</v>
      </c>
      <c r="U182" s="3">
        <f t="shared" si="118"/>
        <v>2.7728903118942848E-45</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3.2769511002714927E-2</v>
      </c>
      <c r="C183" s="3">
        <f t="shared" si="119"/>
        <v>3.2769511002714927E-2</v>
      </c>
      <c r="D183" s="3">
        <f t="shared" si="119"/>
        <v>3.276951100271492E-2</v>
      </c>
      <c r="E183" s="3">
        <f t="shared" si="119"/>
        <v>3.2769511002714899E-2</v>
      </c>
      <c r="F183" s="3">
        <f t="shared" si="119"/>
        <v>3.2769511002714635E-2</v>
      </c>
      <c r="G183" s="3">
        <f t="shared" si="119"/>
        <v>3.2769511002711998E-2</v>
      </c>
      <c r="H183" s="3">
        <f t="shared" si="119"/>
        <v>3.2769511002685665E-2</v>
      </c>
      <c r="I183" s="3">
        <f t="shared" si="119"/>
        <v>3.2769511002422355E-2</v>
      </c>
      <c r="J183" s="3">
        <f t="shared" si="119"/>
        <v>3.2769510999789246E-2</v>
      </c>
      <c r="K183" s="3">
        <f t="shared" si="119"/>
        <v>3.2769510973458156E-2</v>
      </c>
      <c r="L183" s="3">
        <f t="shared" si="119"/>
        <v>3.2769510710147186E-2</v>
      </c>
      <c r="M183" s="3">
        <f t="shared" si="119"/>
        <v>3.2769508077037587E-2</v>
      </c>
      <c r="N183" s="3">
        <f t="shared" si="119"/>
        <v>3.2769481745953261E-2</v>
      </c>
      <c r="O183" s="3">
        <f t="shared" si="119"/>
        <v>3.2769218436273666E-2</v>
      </c>
      <c r="P183" s="3">
        <f t="shared" si="119"/>
        <v>3.2766585455841157E-2</v>
      </c>
      <c r="Q183" s="3">
        <f t="shared" si="119"/>
        <v>3.2740267284394414E-2</v>
      </c>
      <c r="R183" s="3">
        <f t="shared" si="119"/>
        <v>3.2478245406685625E-2</v>
      </c>
      <c r="S183" s="3">
        <f t="shared" si="119"/>
        <v>2.9970634928292279E-2</v>
      </c>
      <c r="T183" s="3">
        <f t="shared" si="119"/>
        <v>1.3419297744957228E-2</v>
      </c>
      <c r="U183" s="3">
        <f t="shared" si="119"/>
        <v>4.3457850717883367E-6</v>
      </c>
      <c r="V183" s="3">
        <f t="shared" si="119"/>
        <v>5.5138226196434835E-41</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4.1907199465091145E-2</v>
      </c>
      <c r="C184" s="3">
        <f t="shared" si="120"/>
        <v>4.1907199465091145E-2</v>
      </c>
      <c r="D184" s="3">
        <f t="shared" si="120"/>
        <v>4.1907199465091145E-2</v>
      </c>
      <c r="E184" s="3">
        <f t="shared" si="120"/>
        <v>4.1907199465091138E-2</v>
      </c>
      <c r="F184" s="3">
        <f t="shared" si="120"/>
        <v>4.1907199465091111E-2</v>
      </c>
      <c r="G184" s="3">
        <f t="shared" si="120"/>
        <v>4.1907199465090805E-2</v>
      </c>
      <c r="H184" s="3">
        <f t="shared" si="120"/>
        <v>4.1907199465087773E-2</v>
      </c>
      <c r="I184" s="3">
        <f t="shared" si="120"/>
        <v>4.1907199465057395E-2</v>
      </c>
      <c r="J184" s="3">
        <f t="shared" si="120"/>
        <v>4.1907199464753631E-2</v>
      </c>
      <c r="K184" s="3">
        <f t="shared" si="120"/>
        <v>4.1907199461716005E-2</v>
      </c>
      <c r="L184" s="3">
        <f t="shared" si="120"/>
        <v>4.1907199431339748E-2</v>
      </c>
      <c r="M184" s="3">
        <f t="shared" si="120"/>
        <v>4.1907199127577205E-2</v>
      </c>
      <c r="N184" s="3">
        <f t="shared" si="120"/>
        <v>4.1907196089951859E-2</v>
      </c>
      <c r="O184" s="3">
        <f t="shared" si="120"/>
        <v>4.1907165713710559E-2</v>
      </c>
      <c r="P184" s="3">
        <f t="shared" si="120"/>
        <v>4.1906861952508472E-2</v>
      </c>
      <c r="Q184" s="3">
        <f t="shared" si="120"/>
        <v>4.1903824461583618E-2</v>
      </c>
      <c r="R184" s="3">
        <f t="shared" si="120"/>
        <v>4.1873461658681388E-2</v>
      </c>
      <c r="S184" s="3">
        <f t="shared" si="120"/>
        <v>4.1571041023742338E-2</v>
      </c>
      <c r="T184" s="3">
        <f t="shared" si="120"/>
        <v>3.8664397764196036E-2</v>
      </c>
      <c r="U184" s="3">
        <f t="shared" si="120"/>
        <v>1.8729006804305462E-2</v>
      </c>
      <c r="V184" s="3">
        <f t="shared" si="120"/>
        <v>1.3321395481420246E-5</v>
      </c>
      <c r="W184" s="3">
        <f t="shared" si="120"/>
        <v>4.4146823914571794E-37</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3.8766931941006839E-2</v>
      </c>
      <c r="C185" s="3">
        <f t="shared" si="121"/>
        <v>3.8766931941006839E-2</v>
      </c>
      <c r="D185" s="3">
        <f t="shared" si="121"/>
        <v>3.8766931941006839E-2</v>
      </c>
      <c r="E185" s="3">
        <f t="shared" si="121"/>
        <v>3.8766931941006839E-2</v>
      </c>
      <c r="F185" s="3">
        <f t="shared" si="121"/>
        <v>3.8766931941006832E-2</v>
      </c>
      <c r="G185" s="3">
        <f t="shared" si="121"/>
        <v>3.8766931941006812E-2</v>
      </c>
      <c r="H185" s="3">
        <f t="shared" si="121"/>
        <v>3.8766931941006562E-2</v>
      </c>
      <c r="I185" s="3">
        <f t="shared" si="121"/>
        <v>3.8766931941004022E-2</v>
      </c>
      <c r="J185" s="3">
        <f t="shared" si="121"/>
        <v>3.8766931940978674E-2</v>
      </c>
      <c r="K185" s="3">
        <f t="shared" si="121"/>
        <v>3.876693194072519E-2</v>
      </c>
      <c r="L185" s="3">
        <f t="shared" si="121"/>
        <v>3.8766931938190329E-2</v>
      </c>
      <c r="M185" s="3">
        <f t="shared" si="121"/>
        <v>3.8766931912841751E-2</v>
      </c>
      <c r="N185" s="3">
        <f t="shared" si="121"/>
        <v>3.876693165935597E-2</v>
      </c>
      <c r="O185" s="3">
        <f t="shared" si="121"/>
        <v>3.8766929124498216E-2</v>
      </c>
      <c r="P185" s="3">
        <f t="shared" si="121"/>
        <v>3.876690377592984E-2</v>
      </c>
      <c r="Q185" s="3">
        <f t="shared" si="121"/>
        <v>3.8766650291157653E-2</v>
      </c>
      <c r="R185" s="3">
        <f t="shared" si="121"/>
        <v>3.8764115534594204E-2</v>
      </c>
      <c r="S185" s="3">
        <f t="shared" si="121"/>
        <v>3.8738777082596959E-2</v>
      </c>
      <c r="T185" s="3">
        <f t="shared" si="121"/>
        <v>3.8486301725319146E-2</v>
      </c>
      <c r="U185" s="3">
        <f t="shared" si="121"/>
        <v>3.6050302805140821E-2</v>
      </c>
      <c r="V185" s="3">
        <f t="shared" si="121"/>
        <v>1.8747194409379352E-2</v>
      </c>
      <c r="W185" s="3">
        <f t="shared" si="121"/>
        <v>2.7115020953999803E-5</v>
      </c>
      <c r="X185" s="3">
        <f t="shared" si="121"/>
        <v>1.0862919409671298E-33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3.2038673628359195E-2</v>
      </c>
      <c r="C186" s="3">
        <f t="shared" si="122"/>
        <v>3.2038673628359195E-2</v>
      </c>
      <c r="D186" s="3">
        <f t="shared" si="122"/>
        <v>3.2038673628359195E-2</v>
      </c>
      <c r="E186" s="3">
        <f t="shared" si="122"/>
        <v>3.2038673628359195E-2</v>
      </c>
      <c r="F186" s="3">
        <f t="shared" si="122"/>
        <v>3.2038673628359195E-2</v>
      </c>
      <c r="G186" s="3">
        <f t="shared" si="122"/>
        <v>3.2038673628359188E-2</v>
      </c>
      <c r="H186" s="3">
        <f t="shared" si="122"/>
        <v>3.2038673628359174E-2</v>
      </c>
      <c r="I186" s="3">
        <f t="shared" si="122"/>
        <v>3.2038673628358987E-2</v>
      </c>
      <c r="J186" s="3">
        <f t="shared" si="122"/>
        <v>3.2038673628357099E-2</v>
      </c>
      <c r="K186" s="3">
        <f t="shared" si="122"/>
        <v>3.2038673628338198E-2</v>
      </c>
      <c r="L186" s="3">
        <f t="shared" si="122"/>
        <v>3.2038673628149217E-2</v>
      </c>
      <c r="M186" s="3">
        <f t="shared" si="122"/>
        <v>3.203867362625943E-2</v>
      </c>
      <c r="N186" s="3">
        <f t="shared" si="122"/>
        <v>3.203867360736154E-2</v>
      </c>
      <c r="O186" s="3">
        <f t="shared" si="122"/>
        <v>3.2038673418382652E-2</v>
      </c>
      <c r="P186" s="3">
        <f t="shared" si="122"/>
        <v>3.2038671528593798E-2</v>
      </c>
      <c r="Q186" s="3">
        <f t="shared" si="122"/>
        <v>3.2038652630711442E-2</v>
      </c>
      <c r="R186" s="3">
        <f t="shared" si="122"/>
        <v>3.2038463652500966E-2</v>
      </c>
      <c r="S186" s="3">
        <f t="shared" si="122"/>
        <v>3.2036573931702374E-2</v>
      </c>
      <c r="T186" s="3">
        <f t="shared" si="122"/>
        <v>3.2017682852996249E-2</v>
      </c>
      <c r="U186" s="3">
        <f t="shared" si="122"/>
        <v>3.1829383658350967E-2</v>
      </c>
      <c r="V186" s="3">
        <f t="shared" si="122"/>
        <v>3.0006236993154443E-2</v>
      </c>
      <c r="W186" s="3">
        <f t="shared" si="122"/>
        <v>1.6635834648824115E-2</v>
      </c>
      <c r="X186" s="3">
        <f t="shared" si="122"/>
        <v>4.5643106497634723E-5</v>
      </c>
      <c r="Y186" s="3">
        <f t="shared" si="122"/>
        <v>1.1032684412622448E-30</v>
      </c>
      <c r="Z186" s="3">
        <f t="shared" si="122"/>
        <v>7.5117512703621253E-287</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3.8815204020590376E-2</v>
      </c>
      <c r="C187" s="3">
        <f t="shared" si="123"/>
        <v>3.8815204020590376E-2</v>
      </c>
      <c r="D187" s="3">
        <f t="shared" si="123"/>
        <v>3.8815204020590376E-2</v>
      </c>
      <c r="E187" s="3">
        <f t="shared" si="123"/>
        <v>3.8815204020590376E-2</v>
      </c>
      <c r="F187" s="3">
        <f t="shared" si="123"/>
        <v>3.8815204020590376E-2</v>
      </c>
      <c r="G187" s="3">
        <f t="shared" si="123"/>
        <v>3.8815204020590376E-2</v>
      </c>
      <c r="H187" s="3">
        <f t="shared" si="123"/>
        <v>3.8815204020590369E-2</v>
      </c>
      <c r="I187" s="3">
        <f t="shared" si="123"/>
        <v>3.8815204020590355E-2</v>
      </c>
      <c r="J187" s="3">
        <f t="shared" si="123"/>
        <v>3.8815204020590147E-2</v>
      </c>
      <c r="K187" s="3">
        <f t="shared" si="123"/>
        <v>3.8815204020588079E-2</v>
      </c>
      <c r="L187" s="3">
        <f t="shared" si="123"/>
        <v>3.8815204020567429E-2</v>
      </c>
      <c r="M187" s="3">
        <f t="shared" si="123"/>
        <v>3.8815204020360893E-2</v>
      </c>
      <c r="N187" s="3">
        <f t="shared" si="123"/>
        <v>3.8815204018295579E-2</v>
      </c>
      <c r="O187" s="3">
        <f t="shared" si="123"/>
        <v>3.8815203997642378E-2</v>
      </c>
      <c r="P187" s="3">
        <f t="shared" si="123"/>
        <v>3.8815203791110441E-2</v>
      </c>
      <c r="Q187" s="3">
        <f t="shared" si="123"/>
        <v>3.881520172579106E-2</v>
      </c>
      <c r="R187" s="3">
        <f t="shared" si="123"/>
        <v>3.8815181072603358E-2</v>
      </c>
      <c r="S187" s="3">
        <f t="shared" si="123"/>
        <v>3.8814974541330698E-2</v>
      </c>
      <c r="T187" s="3">
        <f t="shared" si="123"/>
        <v>3.8812909289044267E-2</v>
      </c>
      <c r="U187" s="3">
        <f t="shared" si="123"/>
        <v>3.8792262809008757E-2</v>
      </c>
      <c r="V187" s="3">
        <f t="shared" si="123"/>
        <v>3.8586401103546025E-2</v>
      </c>
      <c r="W187" s="3">
        <f t="shared" si="123"/>
        <v>3.658692291422249E-2</v>
      </c>
      <c r="X187" s="3">
        <f t="shared" si="123"/>
        <v>2.1490276063033435E-2</v>
      </c>
      <c r="Y187" s="3">
        <f t="shared" si="123"/>
        <v>1.0505170013252653E-4</v>
      </c>
      <c r="Z187" s="3">
        <f t="shared" si="123"/>
        <v>8.1849116143784935E-28</v>
      </c>
      <c r="AA187" s="3">
        <f t="shared" si="123"/>
        <v>6.7471921871225751E-259</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3.675792152056976E-2</v>
      </c>
      <c r="C188" s="3">
        <f t="shared" si="124"/>
        <v>3.675792152056976E-2</v>
      </c>
      <c r="D188" s="3">
        <f t="shared" si="124"/>
        <v>3.675792152056976E-2</v>
      </c>
      <c r="E188" s="3">
        <f t="shared" si="124"/>
        <v>3.675792152056976E-2</v>
      </c>
      <c r="F188" s="3">
        <f t="shared" si="124"/>
        <v>3.675792152056976E-2</v>
      </c>
      <c r="G188" s="3">
        <f t="shared" si="124"/>
        <v>3.675792152056976E-2</v>
      </c>
      <c r="H188" s="3">
        <f t="shared" si="124"/>
        <v>3.675792152056976E-2</v>
      </c>
      <c r="I188" s="3">
        <f t="shared" si="124"/>
        <v>3.675792152056976E-2</v>
      </c>
      <c r="J188" s="3">
        <f t="shared" si="124"/>
        <v>3.6757921520569739E-2</v>
      </c>
      <c r="K188" s="3">
        <f t="shared" si="124"/>
        <v>3.6757921520569566E-2</v>
      </c>
      <c r="L188" s="3">
        <f t="shared" si="124"/>
        <v>3.6757921520567803E-2</v>
      </c>
      <c r="M188" s="3">
        <f t="shared" si="124"/>
        <v>3.6757921520550157E-2</v>
      </c>
      <c r="N188" s="3">
        <f t="shared" si="124"/>
        <v>3.6757921520373722E-2</v>
      </c>
      <c r="O188" s="3">
        <f t="shared" si="124"/>
        <v>3.6757921518609377E-2</v>
      </c>
      <c r="P188" s="3">
        <f t="shared" si="124"/>
        <v>3.6757921500965955E-2</v>
      </c>
      <c r="Q188" s="3">
        <f t="shared" si="124"/>
        <v>3.6757921324531706E-2</v>
      </c>
      <c r="R188" s="3">
        <f t="shared" si="124"/>
        <v>3.6757919560189249E-2</v>
      </c>
      <c r="S188" s="3">
        <f t="shared" si="124"/>
        <v>3.6757901916769364E-2</v>
      </c>
      <c r="T188" s="3">
        <f t="shared" si="124"/>
        <v>3.6757725483036241E-2</v>
      </c>
      <c r="U188" s="3">
        <f t="shared" si="124"/>
        <v>3.6755961192281764E-2</v>
      </c>
      <c r="V188" s="3">
        <f t="shared" si="124"/>
        <v>3.6738322941582614E-2</v>
      </c>
      <c r="W188" s="3">
        <f t="shared" si="124"/>
        <v>3.6562405293177128E-2</v>
      </c>
      <c r="X188" s="3">
        <f t="shared" si="124"/>
        <v>3.4848899588903005E-2</v>
      </c>
      <c r="Y188" s="3">
        <f t="shared" si="124"/>
        <v>2.1564141610794039E-2</v>
      </c>
      <c r="Z188" s="3">
        <f t="shared" si="124"/>
        <v>1.7748564609300555E-4</v>
      </c>
      <c r="AA188" s="3">
        <f t="shared" si="124"/>
        <v>2.5320591261946092E-25</v>
      </c>
      <c r="AB188" s="3">
        <f t="shared" si="124"/>
        <v>8.842598599788885E-234</v>
      </c>
      <c r="AC188" s="3">
        <f t="shared" si="124"/>
        <v>0</v>
      </c>
      <c r="AD188" s="3">
        <f t="shared" si="124"/>
        <v>0</v>
      </c>
      <c r="AE188" s="3">
        <f t="shared" si="124"/>
        <v>0</v>
      </c>
      <c r="AF188" s="3">
        <f t="shared" si="124"/>
        <v>0</v>
      </c>
      <c r="AG188" s="3"/>
      <c r="AH188" s="3"/>
    </row>
    <row r="189" spans="2:34" x14ac:dyDescent="0.25">
      <c r="B189" s="3">
        <f t="shared" ref="B189:AF189" si="125">$C36*EXP(-B$168/$A36/EXP(-$C$126))</f>
        <v>3.3395319995761917E-2</v>
      </c>
      <c r="C189" s="3">
        <f t="shared" si="125"/>
        <v>3.3395319995761917E-2</v>
      </c>
      <c r="D189" s="3">
        <f t="shared" si="125"/>
        <v>3.3395319995761917E-2</v>
      </c>
      <c r="E189" s="3">
        <f t="shared" si="125"/>
        <v>3.3395319995761917E-2</v>
      </c>
      <c r="F189" s="3">
        <f t="shared" si="125"/>
        <v>3.3395319995761917E-2</v>
      </c>
      <c r="G189" s="3">
        <f t="shared" si="125"/>
        <v>3.3395319995761917E-2</v>
      </c>
      <c r="H189" s="3">
        <f t="shared" si="125"/>
        <v>3.3395319995761917E-2</v>
      </c>
      <c r="I189" s="3">
        <f t="shared" si="125"/>
        <v>3.3395319995761917E-2</v>
      </c>
      <c r="J189" s="3">
        <f t="shared" si="125"/>
        <v>3.3395319995761917E-2</v>
      </c>
      <c r="K189" s="3">
        <f t="shared" si="125"/>
        <v>3.3395319995761903E-2</v>
      </c>
      <c r="L189" s="3">
        <f t="shared" si="125"/>
        <v>3.3395319995761757E-2</v>
      </c>
      <c r="M189" s="3">
        <f t="shared" si="125"/>
        <v>3.3395319995760314E-2</v>
      </c>
      <c r="N189" s="3">
        <f t="shared" si="125"/>
        <v>3.3395319995745854E-2</v>
      </c>
      <c r="O189" s="3">
        <f t="shared" si="125"/>
        <v>3.3395319995601254E-2</v>
      </c>
      <c r="P189" s="3">
        <f t="shared" si="125"/>
        <v>3.3395319994155265E-2</v>
      </c>
      <c r="Q189" s="3">
        <f t="shared" si="125"/>
        <v>3.3395319979695408E-2</v>
      </c>
      <c r="R189" s="3">
        <f t="shared" si="125"/>
        <v>3.3395319835096783E-2</v>
      </c>
      <c r="S189" s="3">
        <f t="shared" si="125"/>
        <v>3.3395318389110612E-2</v>
      </c>
      <c r="T189" s="3">
        <f t="shared" si="125"/>
        <v>3.3395303929252336E-2</v>
      </c>
      <c r="U189" s="3">
        <f t="shared" si="125"/>
        <v>3.3395159331013946E-2</v>
      </c>
      <c r="V189" s="3">
        <f t="shared" si="125"/>
        <v>3.3393713383064828E-2</v>
      </c>
      <c r="W189" s="3">
        <f t="shared" si="125"/>
        <v>3.3379257346502739E-2</v>
      </c>
      <c r="X189" s="3">
        <f t="shared" si="125"/>
        <v>3.3235040722848934E-2</v>
      </c>
      <c r="Y189" s="3">
        <f t="shared" si="125"/>
        <v>3.1826704305804143E-2</v>
      </c>
      <c r="Z189" s="3">
        <f t="shared" si="125"/>
        <v>2.0641735508849686E-2</v>
      </c>
      <c r="AA189" s="3">
        <f t="shared" si="125"/>
        <v>2.7182638296632122E-4</v>
      </c>
      <c r="AB189" s="3">
        <f t="shared" si="125"/>
        <v>4.2632969094058241E-23</v>
      </c>
      <c r="AC189" s="3">
        <f t="shared" si="125"/>
        <v>3.8395940504752122E-211</v>
      </c>
      <c r="AD189" s="3">
        <f t="shared" si="125"/>
        <v>0</v>
      </c>
      <c r="AE189" s="3">
        <f t="shared" si="125"/>
        <v>0</v>
      </c>
      <c r="AF189" s="3">
        <f t="shared" si="125"/>
        <v>0</v>
      </c>
      <c r="AG189" s="3"/>
      <c r="AH189" s="3"/>
    </row>
    <row r="190" spans="2:34" x14ac:dyDescent="0.25">
      <c r="B190" s="3">
        <f t="shared" ref="B190:AF190" si="126">$C37*EXP(-B$168/$A37/EXP(-$C$126))</f>
        <v>3.5168182509434494E-2</v>
      </c>
      <c r="C190" s="3">
        <f t="shared" si="126"/>
        <v>3.5168182509434494E-2</v>
      </c>
      <c r="D190" s="3">
        <f t="shared" si="126"/>
        <v>3.5168182509434494E-2</v>
      </c>
      <c r="E190" s="3">
        <f t="shared" si="126"/>
        <v>3.5168182509434494E-2</v>
      </c>
      <c r="F190" s="3">
        <f t="shared" si="126"/>
        <v>3.5168182509434494E-2</v>
      </c>
      <c r="G190" s="3">
        <f t="shared" si="126"/>
        <v>3.5168182509434494E-2</v>
      </c>
      <c r="H190" s="3">
        <f t="shared" si="126"/>
        <v>3.5168182509434494E-2</v>
      </c>
      <c r="I190" s="3">
        <f t="shared" si="126"/>
        <v>3.5168182509434494E-2</v>
      </c>
      <c r="J190" s="3">
        <f t="shared" si="126"/>
        <v>3.5168182509434494E-2</v>
      </c>
      <c r="K190" s="3">
        <f t="shared" si="126"/>
        <v>3.5168182509434494E-2</v>
      </c>
      <c r="L190" s="3">
        <f t="shared" si="126"/>
        <v>3.516818250943448E-2</v>
      </c>
      <c r="M190" s="3">
        <f t="shared" si="126"/>
        <v>3.5168182509434341E-2</v>
      </c>
      <c r="N190" s="3">
        <f t="shared" si="126"/>
        <v>3.5168182509432967E-2</v>
      </c>
      <c r="O190" s="3">
        <f t="shared" si="126"/>
        <v>3.5168182509419228E-2</v>
      </c>
      <c r="P190" s="3">
        <f t="shared" si="126"/>
        <v>3.5168182509281866E-2</v>
      </c>
      <c r="Q190" s="3">
        <f t="shared" si="126"/>
        <v>3.5168182507908222E-2</v>
      </c>
      <c r="R190" s="3">
        <f t="shared" si="126"/>
        <v>3.5168182494171751E-2</v>
      </c>
      <c r="S190" s="3">
        <f t="shared" si="126"/>
        <v>3.5168182356807083E-2</v>
      </c>
      <c r="T190" s="3">
        <f t="shared" si="126"/>
        <v>3.516818098316038E-2</v>
      </c>
      <c r="U190" s="3">
        <f t="shared" si="126"/>
        <v>3.516816724669633E-2</v>
      </c>
      <c r="V190" s="3">
        <f t="shared" si="126"/>
        <v>3.5168029882350946E-2</v>
      </c>
      <c r="W190" s="3">
        <f t="shared" si="126"/>
        <v>3.5166656268406184E-2</v>
      </c>
      <c r="X190" s="3">
        <f t="shared" si="126"/>
        <v>3.5152923079441754E-2</v>
      </c>
      <c r="Y190" s="3">
        <f t="shared" si="126"/>
        <v>3.5015885812158469E-2</v>
      </c>
      <c r="Z190" s="3">
        <f t="shared" si="126"/>
        <v>3.3674554000201279E-2</v>
      </c>
      <c r="AA190" s="3">
        <f t="shared" si="126"/>
        <v>2.2786058257766396E-2</v>
      </c>
      <c r="AB190" s="3">
        <f t="shared" si="126"/>
        <v>4.585035610406764E-4</v>
      </c>
      <c r="AC190" s="3">
        <f t="shared" si="126"/>
        <v>4.9897387678005584E-21</v>
      </c>
      <c r="AD190" s="3">
        <f t="shared" si="126"/>
        <v>1.1625958570910817E-190</v>
      </c>
      <c r="AE190" s="3">
        <f t="shared" si="126"/>
        <v>0</v>
      </c>
      <c r="AF190" s="3">
        <f t="shared" si="126"/>
        <v>0</v>
      </c>
      <c r="AG190" s="3"/>
      <c r="AH190" s="3"/>
    </row>
    <row r="191" spans="2:34" x14ac:dyDescent="0.25">
      <c r="B191" s="3">
        <f t="shared" ref="B191:AF191" si="127">$C38*EXP(-B$168/$A38/EXP(-$C$126))</f>
        <v>2.0659155414283158E-2</v>
      </c>
      <c r="C191" s="3">
        <f t="shared" si="127"/>
        <v>2.0659155414283158E-2</v>
      </c>
      <c r="D191" s="3">
        <f t="shared" si="127"/>
        <v>2.0659155414283158E-2</v>
      </c>
      <c r="E191" s="3">
        <f t="shared" si="127"/>
        <v>2.0659155414283158E-2</v>
      </c>
      <c r="F191" s="3">
        <f t="shared" si="127"/>
        <v>2.0659155414283158E-2</v>
      </c>
      <c r="G191" s="3">
        <f t="shared" si="127"/>
        <v>2.0659155414283158E-2</v>
      </c>
      <c r="H191" s="3">
        <f t="shared" si="127"/>
        <v>2.0659155414283158E-2</v>
      </c>
      <c r="I191" s="3">
        <f t="shared" si="127"/>
        <v>2.0659155414283158E-2</v>
      </c>
      <c r="J191" s="3">
        <f t="shared" si="127"/>
        <v>2.0659155414283158E-2</v>
      </c>
      <c r="K191" s="3">
        <f t="shared" si="127"/>
        <v>2.0659155414283158E-2</v>
      </c>
      <c r="L191" s="3">
        <f t="shared" si="127"/>
        <v>2.0659155414283158E-2</v>
      </c>
      <c r="M191" s="3">
        <f t="shared" si="127"/>
        <v>2.0659155414283148E-2</v>
      </c>
      <c r="N191" s="3">
        <f t="shared" si="127"/>
        <v>2.0659155414283079E-2</v>
      </c>
      <c r="O191" s="3">
        <f t="shared" si="127"/>
        <v>2.065915541428235E-2</v>
      </c>
      <c r="P191" s="3">
        <f t="shared" si="127"/>
        <v>2.0659155414275071E-2</v>
      </c>
      <c r="Q191" s="3">
        <f t="shared" si="127"/>
        <v>2.0659155414202279E-2</v>
      </c>
      <c r="R191" s="3">
        <f t="shared" si="127"/>
        <v>2.0659155413474357E-2</v>
      </c>
      <c r="S191" s="3">
        <f t="shared" si="127"/>
        <v>2.0659155406195145E-2</v>
      </c>
      <c r="T191" s="3">
        <f t="shared" si="127"/>
        <v>2.065915533340304E-2</v>
      </c>
      <c r="U191" s="3">
        <f t="shared" si="127"/>
        <v>2.0659154605481993E-2</v>
      </c>
      <c r="V191" s="3">
        <f t="shared" si="127"/>
        <v>2.0659147326272925E-2</v>
      </c>
      <c r="W191" s="3">
        <f t="shared" si="127"/>
        <v>2.06590745343233E-2</v>
      </c>
      <c r="X191" s="3">
        <f t="shared" si="127"/>
        <v>2.0658346628933334E-2</v>
      </c>
      <c r="Y191" s="3">
        <f t="shared" si="127"/>
        <v>2.0651068985477496E-2</v>
      </c>
      <c r="Z191" s="3">
        <f t="shared" si="127"/>
        <v>2.0578433411596517E-2</v>
      </c>
      <c r="AA191" s="3">
        <f t="shared" si="127"/>
        <v>1.9865981820150685E-2</v>
      </c>
      <c r="AB191" s="3">
        <f t="shared" si="127"/>
        <v>1.3966489917782631E-2</v>
      </c>
      <c r="AC191" s="3">
        <f t="shared" si="127"/>
        <v>4.11964370691801E-4</v>
      </c>
      <c r="AD191" s="3">
        <f t="shared" si="127"/>
        <v>2.0539199162700453E-19</v>
      </c>
      <c r="AE191" s="3">
        <f t="shared" si="127"/>
        <v>1.949045585198079E-172</v>
      </c>
      <c r="AF191" s="3">
        <f t="shared" si="127"/>
        <v>0</v>
      </c>
      <c r="AG191" s="3"/>
      <c r="AH191" s="3"/>
    </row>
    <row r="192" spans="2:34" x14ac:dyDescent="0.25">
      <c r="B192" s="3">
        <f t="shared" ref="B192:AF192" si="128">$C39*EXP(-B$168/$A39/EXP(-$C$126))</f>
        <v>3.0227206274926977E-2</v>
      </c>
      <c r="C192" s="3">
        <f t="shared" si="128"/>
        <v>3.0227206274926977E-2</v>
      </c>
      <c r="D192" s="3">
        <f t="shared" si="128"/>
        <v>3.0227206274926977E-2</v>
      </c>
      <c r="E192" s="3">
        <f t="shared" si="128"/>
        <v>3.0227206274926977E-2</v>
      </c>
      <c r="F192" s="3">
        <f t="shared" si="128"/>
        <v>3.0227206274926977E-2</v>
      </c>
      <c r="G192" s="3">
        <f t="shared" si="128"/>
        <v>3.0227206274926977E-2</v>
      </c>
      <c r="H192" s="3">
        <f t="shared" si="128"/>
        <v>3.0227206274926977E-2</v>
      </c>
      <c r="I192" s="3">
        <f t="shared" si="128"/>
        <v>3.0227206274926977E-2</v>
      </c>
      <c r="J192" s="3">
        <f t="shared" si="128"/>
        <v>3.0227206274926977E-2</v>
      </c>
      <c r="K192" s="3">
        <f t="shared" si="128"/>
        <v>3.0227206274926977E-2</v>
      </c>
      <c r="L192" s="3">
        <f t="shared" si="128"/>
        <v>3.0227206274926977E-2</v>
      </c>
      <c r="M192" s="3">
        <f t="shared" si="128"/>
        <v>3.0227206274926973E-2</v>
      </c>
      <c r="N192" s="3">
        <f t="shared" si="128"/>
        <v>3.0227206274926942E-2</v>
      </c>
      <c r="O192" s="3">
        <f t="shared" si="128"/>
        <v>3.0227206274926647E-2</v>
      </c>
      <c r="P192" s="3">
        <f t="shared" si="128"/>
        <v>3.0227206274923705E-2</v>
      </c>
      <c r="Q192" s="3">
        <f t="shared" si="128"/>
        <v>3.0227206274894246E-2</v>
      </c>
      <c r="R192" s="3">
        <f t="shared" si="128"/>
        <v>3.0227206274599679E-2</v>
      </c>
      <c r="S192" s="3">
        <f t="shared" si="128"/>
        <v>3.0227206271654022E-2</v>
      </c>
      <c r="T192" s="3">
        <f t="shared" si="128"/>
        <v>3.0227206242197421E-2</v>
      </c>
      <c r="U192" s="3">
        <f t="shared" si="128"/>
        <v>3.0227205947631439E-2</v>
      </c>
      <c r="V192" s="3">
        <f t="shared" si="128"/>
        <v>3.0227203001971764E-2</v>
      </c>
      <c r="W192" s="3">
        <f t="shared" si="128"/>
        <v>3.0227173545390802E-2</v>
      </c>
      <c r="X192" s="3">
        <f t="shared" si="128"/>
        <v>3.0226878981159971E-2</v>
      </c>
      <c r="Y192" s="3">
        <f t="shared" si="128"/>
        <v>3.0223933496726384E-2</v>
      </c>
      <c r="Z192" s="3">
        <f t="shared" si="128"/>
        <v>3.0194494434167093E-2</v>
      </c>
      <c r="AA192" s="3">
        <f t="shared" si="128"/>
        <v>2.9901676310645695E-2</v>
      </c>
      <c r="AB192" s="3">
        <f t="shared" si="128"/>
        <v>2.7125220135393844E-2</v>
      </c>
      <c r="AC192" s="3">
        <f t="shared" si="128"/>
        <v>1.0236479629662806E-2</v>
      </c>
      <c r="AD192" s="3">
        <f t="shared" si="128"/>
        <v>5.9968636976611404E-7</v>
      </c>
      <c r="AE192" s="3">
        <f t="shared" si="128"/>
        <v>2.855352243321328E-49</v>
      </c>
      <c r="AF192" s="3">
        <f t="shared" si="128"/>
        <v>0</v>
      </c>
      <c r="AG192" s="3"/>
      <c r="AH192" s="3"/>
    </row>
    <row r="193" spans="1:34" x14ac:dyDescent="0.25">
      <c r="B193" s="3">
        <f t="shared" ref="B193:AF193" si="129">$C40*EXP(-B$168/$A40/EXP(-$C$126))</f>
        <v>3.7583954306508939E-2</v>
      </c>
      <c r="C193" s="3">
        <f t="shared" si="129"/>
        <v>3.7583954306508939E-2</v>
      </c>
      <c r="D193" s="3">
        <f t="shared" si="129"/>
        <v>3.7583954306508939E-2</v>
      </c>
      <c r="E193" s="3">
        <f t="shared" si="129"/>
        <v>3.7583954306508939E-2</v>
      </c>
      <c r="F193" s="3">
        <f t="shared" si="129"/>
        <v>3.7583954306508939E-2</v>
      </c>
      <c r="G193" s="3">
        <f t="shared" si="129"/>
        <v>3.7583954306508939E-2</v>
      </c>
      <c r="H193" s="3">
        <f t="shared" si="129"/>
        <v>3.7583954306508939E-2</v>
      </c>
      <c r="I193" s="3">
        <f t="shared" si="129"/>
        <v>3.7583954306508939E-2</v>
      </c>
      <c r="J193" s="3">
        <f t="shared" si="129"/>
        <v>3.7583954306508939E-2</v>
      </c>
      <c r="K193" s="3">
        <f t="shared" si="129"/>
        <v>3.7583954306508939E-2</v>
      </c>
      <c r="L193" s="3">
        <f t="shared" si="129"/>
        <v>3.7583954306508939E-2</v>
      </c>
      <c r="M193" s="3">
        <f t="shared" si="129"/>
        <v>3.7583954306508939E-2</v>
      </c>
      <c r="N193" s="3">
        <f t="shared" si="129"/>
        <v>3.7583954306508932E-2</v>
      </c>
      <c r="O193" s="3">
        <f t="shared" si="129"/>
        <v>3.7583954306508897E-2</v>
      </c>
      <c r="P193" s="3">
        <f t="shared" si="129"/>
        <v>3.758395430650853E-2</v>
      </c>
      <c r="Q193" s="3">
        <f t="shared" si="129"/>
        <v>3.7583954306504873E-2</v>
      </c>
      <c r="R193" s="3">
        <f t="shared" si="129"/>
        <v>3.7583954306468242E-2</v>
      </c>
      <c r="S193" s="3">
        <f t="shared" si="129"/>
        <v>3.7583954306101987E-2</v>
      </c>
      <c r="T193" s="3">
        <f t="shared" si="129"/>
        <v>3.7583954302439403E-2</v>
      </c>
      <c r="U193" s="3">
        <f t="shared" si="129"/>
        <v>3.758395426581361E-2</v>
      </c>
      <c r="V193" s="3">
        <f t="shared" si="129"/>
        <v>3.7583953899555669E-2</v>
      </c>
      <c r="W193" s="3">
        <f t="shared" si="129"/>
        <v>3.7583950236976409E-2</v>
      </c>
      <c r="X193" s="3">
        <f t="shared" si="129"/>
        <v>3.7583913611203494E-2</v>
      </c>
      <c r="Y193" s="3">
        <f t="shared" si="129"/>
        <v>3.7583547355437376E-2</v>
      </c>
      <c r="Z193" s="3">
        <f t="shared" si="129"/>
        <v>3.7579884994074712E-2</v>
      </c>
      <c r="AA193" s="3">
        <f t="shared" si="129"/>
        <v>3.7543281003219874E-2</v>
      </c>
      <c r="AB193" s="3">
        <f t="shared" si="129"/>
        <v>3.7179196314927838E-2</v>
      </c>
      <c r="AC193" s="3">
        <f t="shared" si="129"/>
        <v>3.3727001590890537E-2</v>
      </c>
      <c r="AD193" s="3">
        <f t="shared" si="129"/>
        <v>1.2727851166976095E-2</v>
      </c>
      <c r="AE193" s="3">
        <f t="shared" si="129"/>
        <v>7.4563904168084769E-7</v>
      </c>
      <c r="AF193" s="3">
        <f t="shared" si="129"/>
        <v>3.5502926491421459E-49</v>
      </c>
      <c r="AG193" s="3"/>
      <c r="AH193" s="3"/>
    </row>
    <row r="194" spans="1:34" x14ac:dyDescent="0.25">
      <c r="B194" s="3">
        <f t="shared" ref="B194:AF194" si="130">$C41*EXP(-B$168/$A41/EXP(-$C$126))</f>
        <v>3.8796261080834012E-2</v>
      </c>
      <c r="C194" s="3">
        <f t="shared" si="130"/>
        <v>3.8796261080834012E-2</v>
      </c>
      <c r="D194" s="3">
        <f t="shared" si="130"/>
        <v>3.8796261080834012E-2</v>
      </c>
      <c r="E194" s="3">
        <f t="shared" si="130"/>
        <v>3.8796261080834012E-2</v>
      </c>
      <c r="F194" s="3">
        <f t="shared" si="130"/>
        <v>3.8796261080834012E-2</v>
      </c>
      <c r="G194" s="3">
        <f t="shared" si="130"/>
        <v>3.8796261080834012E-2</v>
      </c>
      <c r="H194" s="3">
        <f t="shared" si="130"/>
        <v>3.8796261080834012E-2</v>
      </c>
      <c r="I194" s="3">
        <f t="shared" si="130"/>
        <v>3.8796261080834012E-2</v>
      </c>
      <c r="J194" s="3">
        <f t="shared" si="130"/>
        <v>3.8796261080834012E-2</v>
      </c>
      <c r="K194" s="3">
        <f t="shared" si="130"/>
        <v>3.8796261080834012E-2</v>
      </c>
      <c r="L194" s="3">
        <f t="shared" si="130"/>
        <v>3.8796261080834012E-2</v>
      </c>
      <c r="M194" s="3">
        <f t="shared" si="130"/>
        <v>3.8796261080834012E-2</v>
      </c>
      <c r="N194" s="3">
        <f t="shared" si="130"/>
        <v>3.8796261080834012E-2</v>
      </c>
      <c r="O194" s="3">
        <f t="shared" si="130"/>
        <v>3.8796261080834005E-2</v>
      </c>
      <c r="P194" s="3">
        <f t="shared" si="130"/>
        <v>3.879626108083397E-2</v>
      </c>
      <c r="Q194" s="3">
        <f t="shared" si="130"/>
        <v>3.8796261080833588E-2</v>
      </c>
      <c r="R194" s="3">
        <f t="shared" si="130"/>
        <v>3.8796261080829814E-2</v>
      </c>
      <c r="S194" s="3">
        <f t="shared" si="130"/>
        <v>3.8796261080792004E-2</v>
      </c>
      <c r="T194" s="3">
        <f t="shared" si="130"/>
        <v>3.8796261080413931E-2</v>
      </c>
      <c r="U194" s="3">
        <f t="shared" si="130"/>
        <v>3.8796261076633212E-2</v>
      </c>
      <c r="V194" s="3">
        <f t="shared" si="130"/>
        <v>3.8796261038826017E-2</v>
      </c>
      <c r="W194" s="3">
        <f t="shared" si="130"/>
        <v>3.8796260660754069E-2</v>
      </c>
      <c r="X194" s="3">
        <f t="shared" si="130"/>
        <v>3.8796256880034775E-2</v>
      </c>
      <c r="Y194" s="3">
        <f t="shared" si="130"/>
        <v>3.8796219072862154E-2</v>
      </c>
      <c r="Z194" s="3">
        <f t="shared" si="130"/>
        <v>3.8795841003162287E-2</v>
      </c>
      <c r="AA194" s="3">
        <f t="shared" si="130"/>
        <v>3.8792060508793878E-2</v>
      </c>
      <c r="AB194" s="3">
        <f t="shared" si="130"/>
        <v>3.8754275820833059E-2</v>
      </c>
      <c r="AC194" s="3">
        <f t="shared" si="130"/>
        <v>3.8378447229000572E-2</v>
      </c>
      <c r="AD194" s="3">
        <f t="shared" si="130"/>
        <v>3.4814898627292264E-2</v>
      </c>
      <c r="AE194" s="3">
        <f t="shared" si="130"/>
        <v>1.313840030894475E-2</v>
      </c>
      <c r="AF194" s="3">
        <f t="shared" si="130"/>
        <v>7.6969034969540637E-7</v>
      </c>
      <c r="AG194" s="3"/>
      <c r="AH194" s="3"/>
    </row>
    <row r="195" spans="1:34" x14ac:dyDescent="0.25">
      <c r="B195" s="3">
        <f t="shared" ref="B195:AF195" si="131">$C42*EXP(-B$168/$A42/EXP(-$C$126))</f>
        <v>4.443590866461708E-2</v>
      </c>
      <c r="C195" s="3">
        <f t="shared" si="131"/>
        <v>4.443590866461708E-2</v>
      </c>
      <c r="D195" s="3">
        <f t="shared" si="131"/>
        <v>4.443590866461708E-2</v>
      </c>
      <c r="E195" s="3">
        <f t="shared" si="131"/>
        <v>4.443590866461708E-2</v>
      </c>
      <c r="F195" s="3">
        <f t="shared" si="131"/>
        <v>4.443590866461708E-2</v>
      </c>
      <c r="G195" s="3">
        <f t="shared" si="131"/>
        <v>4.443590866461708E-2</v>
      </c>
      <c r="H195" s="3">
        <f t="shared" si="131"/>
        <v>4.443590866461708E-2</v>
      </c>
      <c r="I195" s="3">
        <f t="shared" si="131"/>
        <v>4.443590866461708E-2</v>
      </c>
      <c r="J195" s="3">
        <f t="shared" si="131"/>
        <v>4.443590866461708E-2</v>
      </c>
      <c r="K195" s="3">
        <f t="shared" si="131"/>
        <v>4.443590866461708E-2</v>
      </c>
      <c r="L195" s="3">
        <f t="shared" si="131"/>
        <v>4.443590866461708E-2</v>
      </c>
      <c r="M195" s="3">
        <f t="shared" si="131"/>
        <v>4.443590866461708E-2</v>
      </c>
      <c r="N195" s="3">
        <f t="shared" si="131"/>
        <v>4.443590866461708E-2</v>
      </c>
      <c r="O195" s="3">
        <f t="shared" si="131"/>
        <v>4.443590866461708E-2</v>
      </c>
      <c r="P195" s="3">
        <f t="shared" si="131"/>
        <v>4.4435908664617073E-2</v>
      </c>
      <c r="Q195" s="3">
        <f t="shared" si="131"/>
        <v>4.4435908664617031E-2</v>
      </c>
      <c r="R195" s="3">
        <f t="shared" si="131"/>
        <v>4.4435908664616594E-2</v>
      </c>
      <c r="S195" s="3">
        <f t="shared" si="131"/>
        <v>4.4435908664612271E-2</v>
      </c>
      <c r="T195" s="3">
        <f t="shared" si="131"/>
        <v>4.4435908664568965E-2</v>
      </c>
      <c r="U195" s="3">
        <f t="shared" si="131"/>
        <v>4.443590866413593E-2</v>
      </c>
      <c r="V195" s="3">
        <f t="shared" si="131"/>
        <v>4.4435908659805623E-2</v>
      </c>
      <c r="W195" s="3">
        <f t="shared" si="131"/>
        <v>4.443590861650256E-2</v>
      </c>
      <c r="X195" s="3">
        <f t="shared" si="131"/>
        <v>4.4435908183471901E-2</v>
      </c>
      <c r="Y195" s="3">
        <f t="shared" si="131"/>
        <v>4.4435903853165516E-2</v>
      </c>
      <c r="Z195" s="3">
        <f t="shared" si="131"/>
        <v>4.4435860550124891E-2</v>
      </c>
      <c r="AA195" s="3">
        <f t="shared" si="131"/>
        <v>4.4435427522039599E-2</v>
      </c>
      <c r="AB195" s="3">
        <f t="shared" si="131"/>
        <v>4.4431097473272486E-2</v>
      </c>
      <c r="AC195" s="3">
        <f t="shared" si="131"/>
        <v>4.4387820185813019E-2</v>
      </c>
      <c r="AD195" s="3">
        <f t="shared" si="131"/>
        <v>4.3957358988909942E-2</v>
      </c>
      <c r="AE195" s="3">
        <f t="shared" si="131"/>
        <v>3.987579247255145E-2</v>
      </c>
      <c r="AF195" s="3">
        <f t="shared" si="131"/>
        <v>1.5048273721816476E-2</v>
      </c>
      <c r="AG195" s="3"/>
      <c r="AH195" s="3"/>
    </row>
    <row r="196" spans="1:34" x14ac:dyDescent="0.25">
      <c r="B196" s="3">
        <f t="shared" ref="B196:AF196" si="132">$C43*EXP(-B$168/$A43/EXP(-$C$126))</f>
        <v>5.224128023540766E-2</v>
      </c>
      <c r="C196" s="3">
        <f t="shared" si="132"/>
        <v>5.224128023540766E-2</v>
      </c>
      <c r="D196" s="3">
        <f t="shared" si="132"/>
        <v>5.224128023540766E-2</v>
      </c>
      <c r="E196" s="3">
        <f t="shared" si="132"/>
        <v>5.224128023540766E-2</v>
      </c>
      <c r="F196" s="3">
        <f t="shared" si="132"/>
        <v>5.224128023540766E-2</v>
      </c>
      <c r="G196" s="3">
        <f t="shared" si="132"/>
        <v>5.224128023540766E-2</v>
      </c>
      <c r="H196" s="3">
        <f t="shared" si="132"/>
        <v>5.224128023540766E-2</v>
      </c>
      <c r="I196" s="3">
        <f t="shared" si="132"/>
        <v>5.224128023540766E-2</v>
      </c>
      <c r="J196" s="3">
        <f t="shared" si="132"/>
        <v>5.224128023540766E-2</v>
      </c>
      <c r="K196" s="3">
        <f t="shared" si="132"/>
        <v>5.224128023540766E-2</v>
      </c>
      <c r="L196" s="3">
        <f t="shared" si="132"/>
        <v>5.224128023540766E-2</v>
      </c>
      <c r="M196" s="3">
        <f t="shared" si="132"/>
        <v>5.224128023540766E-2</v>
      </c>
      <c r="N196" s="3">
        <f t="shared" si="132"/>
        <v>5.224128023540766E-2</v>
      </c>
      <c r="O196" s="3">
        <f t="shared" si="132"/>
        <v>5.224128023540766E-2</v>
      </c>
      <c r="P196" s="3">
        <f t="shared" si="132"/>
        <v>5.224128023540766E-2</v>
      </c>
      <c r="Q196" s="3">
        <f t="shared" si="132"/>
        <v>5.2241280235407653E-2</v>
      </c>
      <c r="R196" s="3">
        <f t="shared" si="132"/>
        <v>5.2241280235407604E-2</v>
      </c>
      <c r="S196" s="3">
        <f t="shared" si="132"/>
        <v>5.2241280235407091E-2</v>
      </c>
      <c r="T196" s="3">
        <f t="shared" si="132"/>
        <v>5.2241280235402004E-2</v>
      </c>
      <c r="U196" s="3">
        <f t="shared" si="132"/>
        <v>5.2241280235351094E-2</v>
      </c>
      <c r="V196" s="3">
        <f t="shared" si="132"/>
        <v>5.2241280234841994E-2</v>
      </c>
      <c r="W196" s="3">
        <f t="shared" si="132"/>
        <v>5.2241280229751053E-2</v>
      </c>
      <c r="X196" s="3">
        <f t="shared" si="132"/>
        <v>5.2241280178841602E-2</v>
      </c>
      <c r="Y196" s="3">
        <f t="shared" si="132"/>
        <v>5.224127966974712E-2</v>
      </c>
      <c r="Z196" s="3">
        <f t="shared" si="132"/>
        <v>5.2241274578802517E-2</v>
      </c>
      <c r="AA196" s="3">
        <f t="shared" si="132"/>
        <v>5.2241223669383802E-2</v>
      </c>
      <c r="AB196" s="3">
        <f t="shared" si="132"/>
        <v>5.2240714577925264E-2</v>
      </c>
      <c r="AC196" s="3">
        <f t="shared" si="132"/>
        <v>5.2235623936192625E-2</v>
      </c>
      <c r="AD196" s="3">
        <f t="shared" si="132"/>
        <v>5.218474479430172E-2</v>
      </c>
      <c r="AE196" s="3">
        <f t="shared" si="132"/>
        <v>5.1678671109894568E-2</v>
      </c>
      <c r="AF196" s="3">
        <f t="shared" si="132"/>
        <v>4.6880158677305869E-2</v>
      </c>
      <c r="AG196" s="3"/>
      <c r="AH196" s="3"/>
    </row>
    <row r="197" spans="1:34" x14ac:dyDescent="0.25">
      <c r="B197" s="3">
        <f t="shared" ref="B197:AF197" si="133">$C44*EXP(-B$168/$A44/EXP(-$C$126))</f>
        <v>5.759294658465644E-2</v>
      </c>
      <c r="C197" s="3">
        <f t="shared" si="133"/>
        <v>5.759294658465644E-2</v>
      </c>
      <c r="D197" s="3">
        <f t="shared" si="133"/>
        <v>5.759294658465644E-2</v>
      </c>
      <c r="E197" s="3">
        <f t="shared" si="133"/>
        <v>5.759294658465644E-2</v>
      </c>
      <c r="F197" s="3">
        <f t="shared" si="133"/>
        <v>5.759294658465644E-2</v>
      </c>
      <c r="G197" s="3">
        <f t="shared" si="133"/>
        <v>5.759294658465644E-2</v>
      </c>
      <c r="H197" s="3">
        <f t="shared" si="133"/>
        <v>5.759294658465644E-2</v>
      </c>
      <c r="I197" s="3">
        <f t="shared" si="133"/>
        <v>5.759294658465644E-2</v>
      </c>
      <c r="J197" s="3">
        <f t="shared" si="133"/>
        <v>5.759294658465644E-2</v>
      </c>
      <c r="K197" s="3">
        <f t="shared" si="133"/>
        <v>5.759294658465644E-2</v>
      </c>
      <c r="L197" s="3">
        <f t="shared" si="133"/>
        <v>5.759294658465644E-2</v>
      </c>
      <c r="M197" s="3">
        <f t="shared" si="133"/>
        <v>5.759294658465644E-2</v>
      </c>
      <c r="N197" s="3">
        <f t="shared" si="133"/>
        <v>5.759294658465644E-2</v>
      </c>
      <c r="O197" s="3">
        <f t="shared" si="133"/>
        <v>5.759294658465644E-2</v>
      </c>
      <c r="P197" s="3">
        <f t="shared" si="133"/>
        <v>5.759294658465644E-2</v>
      </c>
      <c r="Q197" s="3">
        <f t="shared" si="133"/>
        <v>5.759294658465644E-2</v>
      </c>
      <c r="R197" s="3">
        <f t="shared" si="133"/>
        <v>5.7592946584656433E-2</v>
      </c>
      <c r="S197" s="3">
        <f t="shared" si="133"/>
        <v>5.7592946584656378E-2</v>
      </c>
      <c r="T197" s="3">
        <f t="shared" si="133"/>
        <v>5.7592946584655816E-2</v>
      </c>
      <c r="U197" s="3">
        <f t="shared" si="133"/>
        <v>5.7592946584650209E-2</v>
      </c>
      <c r="V197" s="3">
        <f t="shared" si="133"/>
        <v>5.7592946584594081E-2</v>
      </c>
      <c r="W197" s="3">
        <f t="shared" si="133"/>
        <v>5.7592946584032828E-2</v>
      </c>
      <c r="X197" s="3">
        <f t="shared" si="133"/>
        <v>5.7592946578420359E-2</v>
      </c>
      <c r="Y197" s="3">
        <f t="shared" si="133"/>
        <v>5.7592946522295685E-2</v>
      </c>
      <c r="Z197" s="3">
        <f t="shared" si="133"/>
        <v>5.7592945961048879E-2</v>
      </c>
      <c r="AA197" s="3">
        <f t="shared" si="133"/>
        <v>5.7592940348581131E-2</v>
      </c>
      <c r="AB197" s="3">
        <f t="shared" si="133"/>
        <v>5.7592884223933737E-2</v>
      </c>
      <c r="AC197" s="3">
        <f t="shared" si="133"/>
        <v>5.759232298046791E-2</v>
      </c>
      <c r="AD197" s="3">
        <f t="shared" si="133"/>
        <v>5.7586710846613841E-2</v>
      </c>
      <c r="AE197" s="3">
        <f t="shared" si="133"/>
        <v>5.7530619577640496E-2</v>
      </c>
      <c r="AF197" s="3">
        <f t="shared" si="133"/>
        <v>5.6972703030752213E-2</v>
      </c>
      <c r="AG197" s="3"/>
      <c r="AH197" s="3"/>
    </row>
    <row r="198" spans="1:34" x14ac:dyDescent="0.25">
      <c r="B198" s="3">
        <f t="shared" ref="B198:AF198" si="134">$C45*EXP(-B$168/$A45/EXP(-$C$126))</f>
        <v>5.4172080221644638E-2</v>
      </c>
      <c r="C198" s="3">
        <f t="shared" si="134"/>
        <v>5.4172080221644638E-2</v>
      </c>
      <c r="D198" s="3">
        <f t="shared" si="134"/>
        <v>5.4172080221644638E-2</v>
      </c>
      <c r="E198" s="3">
        <f t="shared" si="134"/>
        <v>5.4172080221644638E-2</v>
      </c>
      <c r="F198" s="3">
        <f t="shared" si="134"/>
        <v>5.4172080221644638E-2</v>
      </c>
      <c r="G198" s="3">
        <f t="shared" si="134"/>
        <v>5.4172080221644638E-2</v>
      </c>
      <c r="H198" s="3">
        <f t="shared" si="134"/>
        <v>5.4172080221644638E-2</v>
      </c>
      <c r="I198" s="3">
        <f t="shared" si="134"/>
        <v>5.4172080221644638E-2</v>
      </c>
      <c r="J198" s="3">
        <f t="shared" si="134"/>
        <v>5.4172080221644638E-2</v>
      </c>
      <c r="K198" s="3">
        <f t="shared" si="134"/>
        <v>5.4172080221644638E-2</v>
      </c>
      <c r="L198" s="3">
        <f t="shared" si="134"/>
        <v>5.4172080221644638E-2</v>
      </c>
      <c r="M198" s="3">
        <f t="shared" si="134"/>
        <v>5.4172080221644638E-2</v>
      </c>
      <c r="N198" s="3">
        <f t="shared" si="134"/>
        <v>5.4172080221644638E-2</v>
      </c>
      <c r="O198" s="3">
        <f t="shared" si="134"/>
        <v>5.4172080221644638E-2</v>
      </c>
      <c r="P198" s="3">
        <f t="shared" si="134"/>
        <v>5.4172080221644638E-2</v>
      </c>
      <c r="Q198" s="3">
        <f t="shared" si="134"/>
        <v>5.4172080221644638E-2</v>
      </c>
      <c r="R198" s="3">
        <f t="shared" si="134"/>
        <v>5.4172080221644638E-2</v>
      </c>
      <c r="S198" s="3">
        <f t="shared" si="134"/>
        <v>5.4172080221644631E-2</v>
      </c>
      <c r="T198" s="3">
        <f t="shared" si="134"/>
        <v>5.4172080221644575E-2</v>
      </c>
      <c r="U198" s="3">
        <f t="shared" si="134"/>
        <v>5.4172080221644048E-2</v>
      </c>
      <c r="V198" s="3">
        <f t="shared" si="134"/>
        <v>5.4172080221638774E-2</v>
      </c>
      <c r="W198" s="3">
        <f t="shared" si="134"/>
        <v>5.4172080221585983E-2</v>
      </c>
      <c r="X198" s="3">
        <f t="shared" si="134"/>
        <v>5.4172080221058065E-2</v>
      </c>
      <c r="Y198" s="3">
        <f t="shared" si="134"/>
        <v>5.4172080215778969E-2</v>
      </c>
      <c r="Z198" s="3">
        <f t="shared" si="134"/>
        <v>5.417208016298794E-2</v>
      </c>
      <c r="AA198" s="3">
        <f t="shared" si="134"/>
        <v>5.417207963507769E-2</v>
      </c>
      <c r="AB198" s="3">
        <f t="shared" si="134"/>
        <v>5.4172074355975451E-2</v>
      </c>
      <c r="AC198" s="3">
        <f t="shared" si="134"/>
        <v>5.4172021564981396E-2</v>
      </c>
      <c r="AD198" s="3">
        <f t="shared" si="134"/>
        <v>5.4171493657870239E-2</v>
      </c>
      <c r="AE198" s="3">
        <f t="shared" si="134"/>
        <v>5.4166214869695882E-2</v>
      </c>
      <c r="AF198" s="3">
        <f t="shared" si="134"/>
        <v>5.4113455271468144E-2</v>
      </c>
      <c r="AG198" s="3"/>
      <c r="AH198" s="3"/>
    </row>
    <row r="199" spans="1:34" x14ac:dyDescent="0.25">
      <c r="B199" s="3">
        <f t="shared" ref="B199:AF199" si="135">$C46*EXP(-B$168/$A46/EXP(-$C$126))</f>
        <v>3.8751330064371987E-2</v>
      </c>
      <c r="C199" s="3">
        <f t="shared" si="135"/>
        <v>3.8751330064371987E-2</v>
      </c>
      <c r="D199" s="3">
        <f t="shared" si="135"/>
        <v>3.8751330064371987E-2</v>
      </c>
      <c r="E199" s="3">
        <f t="shared" si="135"/>
        <v>3.8751330064371987E-2</v>
      </c>
      <c r="F199" s="3">
        <f t="shared" si="135"/>
        <v>3.8751330064371987E-2</v>
      </c>
      <c r="G199" s="3">
        <f t="shared" si="135"/>
        <v>3.8751330064371987E-2</v>
      </c>
      <c r="H199" s="3">
        <f t="shared" si="135"/>
        <v>3.8751330064371987E-2</v>
      </c>
      <c r="I199" s="3">
        <f t="shared" si="135"/>
        <v>3.8751330064371987E-2</v>
      </c>
      <c r="J199" s="3">
        <f t="shared" si="135"/>
        <v>3.8751330064371987E-2</v>
      </c>
      <c r="K199" s="3">
        <f t="shared" si="135"/>
        <v>3.8751330064371987E-2</v>
      </c>
      <c r="L199" s="3">
        <f t="shared" si="135"/>
        <v>3.8751330064371987E-2</v>
      </c>
      <c r="M199" s="3">
        <f t="shared" si="135"/>
        <v>3.8751330064371987E-2</v>
      </c>
      <c r="N199" s="3">
        <f t="shared" si="135"/>
        <v>3.8751330064371987E-2</v>
      </c>
      <c r="O199" s="3">
        <f t="shared" si="135"/>
        <v>3.8751330064371987E-2</v>
      </c>
      <c r="P199" s="3">
        <f t="shared" si="135"/>
        <v>3.8751330064371987E-2</v>
      </c>
      <c r="Q199" s="3">
        <f t="shared" si="135"/>
        <v>3.8751330064371987E-2</v>
      </c>
      <c r="R199" s="3">
        <f t="shared" si="135"/>
        <v>3.8751330064371987E-2</v>
      </c>
      <c r="S199" s="3">
        <f t="shared" si="135"/>
        <v>3.8751330064371987E-2</v>
      </c>
      <c r="T199" s="3">
        <f t="shared" si="135"/>
        <v>3.875133006437198E-2</v>
      </c>
      <c r="U199" s="3">
        <f t="shared" si="135"/>
        <v>3.8751330064371946E-2</v>
      </c>
      <c r="V199" s="3">
        <f t="shared" si="135"/>
        <v>3.8751330064371564E-2</v>
      </c>
      <c r="W199" s="3">
        <f t="shared" si="135"/>
        <v>3.8751330064367789E-2</v>
      </c>
      <c r="X199" s="3">
        <f t="shared" si="135"/>
        <v>3.8751330064330028E-2</v>
      </c>
      <c r="Y199" s="3">
        <f t="shared" si="135"/>
        <v>3.8751330063952392E-2</v>
      </c>
      <c r="Z199" s="3">
        <f t="shared" si="135"/>
        <v>3.8751330060176052E-2</v>
      </c>
      <c r="AA199" s="3">
        <f t="shared" si="135"/>
        <v>3.8751330022412642E-2</v>
      </c>
      <c r="AB199" s="3">
        <f t="shared" si="135"/>
        <v>3.8751329644778551E-2</v>
      </c>
      <c r="AC199" s="3">
        <f t="shared" si="135"/>
        <v>3.8751325868437811E-2</v>
      </c>
      <c r="AD199" s="3">
        <f t="shared" si="135"/>
        <v>3.875128810505072E-2</v>
      </c>
      <c r="AE199" s="3">
        <f t="shared" si="135"/>
        <v>3.875091047320376E-2</v>
      </c>
      <c r="AF199" s="3">
        <f t="shared" si="135"/>
        <v>3.8747134357129807E-2</v>
      </c>
      <c r="AG199" s="3"/>
      <c r="AH199" s="3"/>
    </row>
    <row r="200" spans="1:34" x14ac:dyDescent="0.25">
      <c r="B200" s="3">
        <f t="shared" ref="B200:AF200" si="136">$C47*EXP(-B$168/$A47/EXP(-$C$126))</f>
        <v>2.0828240532986285E-2</v>
      </c>
      <c r="C200" s="3">
        <f t="shared" si="136"/>
        <v>2.0828240532986285E-2</v>
      </c>
      <c r="D200" s="3">
        <f t="shared" si="136"/>
        <v>2.0828240532986285E-2</v>
      </c>
      <c r="E200" s="3">
        <f t="shared" si="136"/>
        <v>2.0828240532986285E-2</v>
      </c>
      <c r="F200" s="3">
        <f t="shared" si="136"/>
        <v>2.0828240532986285E-2</v>
      </c>
      <c r="G200" s="3">
        <f t="shared" si="136"/>
        <v>2.0828240532986285E-2</v>
      </c>
      <c r="H200" s="3">
        <f t="shared" si="136"/>
        <v>2.0828240532986285E-2</v>
      </c>
      <c r="I200" s="3">
        <f t="shared" si="136"/>
        <v>2.0828240532986285E-2</v>
      </c>
      <c r="J200" s="3">
        <f t="shared" si="136"/>
        <v>2.0828240532986285E-2</v>
      </c>
      <c r="K200" s="3">
        <f t="shared" si="136"/>
        <v>2.0828240532986285E-2</v>
      </c>
      <c r="L200" s="3">
        <f t="shared" si="136"/>
        <v>2.0828240532986285E-2</v>
      </c>
      <c r="M200" s="3">
        <f t="shared" si="136"/>
        <v>2.0828240532986285E-2</v>
      </c>
      <c r="N200" s="3">
        <f t="shared" si="136"/>
        <v>2.0828240532986285E-2</v>
      </c>
      <c r="O200" s="3">
        <f t="shared" si="136"/>
        <v>2.0828240532986285E-2</v>
      </c>
      <c r="P200" s="3">
        <f t="shared" si="136"/>
        <v>2.0828240532986285E-2</v>
      </c>
      <c r="Q200" s="3">
        <f t="shared" si="136"/>
        <v>2.0828240532986285E-2</v>
      </c>
      <c r="R200" s="3">
        <f t="shared" si="136"/>
        <v>2.0828240532986285E-2</v>
      </c>
      <c r="S200" s="3">
        <f t="shared" si="136"/>
        <v>2.0828240532986285E-2</v>
      </c>
      <c r="T200" s="3">
        <f t="shared" si="136"/>
        <v>2.0828240532986285E-2</v>
      </c>
      <c r="U200" s="3">
        <f t="shared" si="136"/>
        <v>2.0828240532986281E-2</v>
      </c>
      <c r="V200" s="3">
        <f t="shared" si="136"/>
        <v>2.0828240532986261E-2</v>
      </c>
      <c r="W200" s="3">
        <f t="shared" si="136"/>
        <v>2.0828240532986059E-2</v>
      </c>
      <c r="X200" s="3">
        <f t="shared" si="136"/>
        <v>2.082824053298403E-2</v>
      </c>
      <c r="Y200" s="3">
        <f t="shared" si="136"/>
        <v>2.0828240532963734E-2</v>
      </c>
      <c r="Z200" s="3">
        <f t="shared" si="136"/>
        <v>2.082824053276076E-2</v>
      </c>
      <c r="AA200" s="3">
        <f t="shared" si="136"/>
        <v>2.0828240530731033E-2</v>
      </c>
      <c r="AB200" s="3">
        <f t="shared" si="136"/>
        <v>2.0828240510433787E-2</v>
      </c>
      <c r="AC200" s="3">
        <f t="shared" si="136"/>
        <v>2.0828240307461304E-2</v>
      </c>
      <c r="AD200" s="3">
        <f t="shared" si="136"/>
        <v>2.0828238277736565E-2</v>
      </c>
      <c r="AE200" s="3">
        <f t="shared" si="136"/>
        <v>2.0828217980500097E-2</v>
      </c>
      <c r="AF200" s="3">
        <f t="shared" si="136"/>
        <v>2.0828015009223284E-2</v>
      </c>
      <c r="AG200" s="3"/>
      <c r="AH200" s="3"/>
    </row>
    <row r="201" spans="1:34" x14ac:dyDescent="0.25">
      <c r="B201" s="3">
        <f t="shared" ref="B201:AF201" si="137">$C48*EXP(-B$168/$A48/EXP(-$C$126))</f>
        <v>2.990470230026878E-2</v>
      </c>
      <c r="C201" s="3">
        <f t="shared" si="137"/>
        <v>2.990470230026878E-2</v>
      </c>
      <c r="D201" s="3">
        <f t="shared" si="137"/>
        <v>2.990470230026878E-2</v>
      </c>
      <c r="E201" s="3">
        <f t="shared" si="137"/>
        <v>2.990470230026878E-2</v>
      </c>
      <c r="F201" s="3">
        <f t="shared" si="137"/>
        <v>2.990470230026878E-2</v>
      </c>
      <c r="G201" s="3">
        <f t="shared" si="137"/>
        <v>2.990470230026878E-2</v>
      </c>
      <c r="H201" s="3">
        <f t="shared" si="137"/>
        <v>2.990470230026878E-2</v>
      </c>
      <c r="I201" s="3">
        <f t="shared" si="137"/>
        <v>2.990470230026878E-2</v>
      </c>
      <c r="J201" s="3">
        <f t="shared" si="137"/>
        <v>2.990470230026878E-2</v>
      </c>
      <c r="K201" s="3">
        <f t="shared" si="137"/>
        <v>2.990470230026878E-2</v>
      </c>
      <c r="L201" s="3">
        <f t="shared" si="137"/>
        <v>2.990470230026878E-2</v>
      </c>
      <c r="M201" s="3">
        <f t="shared" si="137"/>
        <v>2.990470230026878E-2</v>
      </c>
      <c r="N201" s="3">
        <f t="shared" si="137"/>
        <v>2.990470230026878E-2</v>
      </c>
      <c r="O201" s="3">
        <f t="shared" si="137"/>
        <v>2.990470230026878E-2</v>
      </c>
      <c r="P201" s="3">
        <f t="shared" si="137"/>
        <v>2.990470230026878E-2</v>
      </c>
      <c r="Q201" s="3">
        <f t="shared" si="137"/>
        <v>2.990470230026878E-2</v>
      </c>
      <c r="R201" s="3">
        <f t="shared" si="137"/>
        <v>2.990470230026878E-2</v>
      </c>
      <c r="S201" s="3">
        <f t="shared" si="137"/>
        <v>2.990470230026878E-2</v>
      </c>
      <c r="T201" s="3">
        <f t="shared" si="137"/>
        <v>2.990470230026878E-2</v>
      </c>
      <c r="U201" s="3">
        <f t="shared" si="137"/>
        <v>2.990470230026878E-2</v>
      </c>
      <c r="V201" s="3">
        <f t="shared" si="137"/>
        <v>2.9904702300268777E-2</v>
      </c>
      <c r="W201" s="3">
        <f t="shared" si="137"/>
        <v>2.9904702300268746E-2</v>
      </c>
      <c r="X201" s="3">
        <f t="shared" si="137"/>
        <v>2.9904702300268454E-2</v>
      </c>
      <c r="Y201" s="3">
        <f t="shared" si="137"/>
        <v>2.9904702300265543E-2</v>
      </c>
      <c r="Z201" s="3">
        <f t="shared" si="137"/>
        <v>2.99047023002364E-2</v>
      </c>
      <c r="AA201" s="3">
        <f t="shared" si="137"/>
        <v>2.9904702299944977E-2</v>
      </c>
      <c r="AB201" s="3">
        <f t="shared" si="137"/>
        <v>2.9904702297030746E-2</v>
      </c>
      <c r="AC201" s="3">
        <f t="shared" si="137"/>
        <v>2.9904702267888428E-2</v>
      </c>
      <c r="AD201" s="3">
        <f t="shared" si="137"/>
        <v>2.9904701976465269E-2</v>
      </c>
      <c r="AE201" s="3">
        <f t="shared" si="137"/>
        <v>2.9904699062233798E-2</v>
      </c>
      <c r="AF201" s="3">
        <f t="shared" si="137"/>
        <v>2.9904669919934759E-2</v>
      </c>
      <c r="AG201" s="3"/>
      <c r="AH201" s="3"/>
    </row>
    <row r="202" spans="1:34" x14ac:dyDescent="0.25">
      <c r="A202" s="80">
        <f>AVERAGE(B202:AF202)</f>
        <v>2.2101391183551589E-3</v>
      </c>
      <c r="B202" s="81">
        <f>IF($A$64&lt;=B168,IF($B$64&gt;=B168,ABS((B170-B169)/B169),0),0)</f>
        <v>0</v>
      </c>
      <c r="C202" s="81">
        <f t="shared" ref="C202:AF202" si="138">IF($A$64&lt;=C168,IF($B$64&gt;=C168,ABS((C170-C169)/C169),0),0)</f>
        <v>0</v>
      </c>
      <c r="D202" s="81">
        <f t="shared" si="138"/>
        <v>0</v>
      </c>
      <c r="E202" s="81">
        <f t="shared" si="138"/>
        <v>0</v>
      </c>
      <c r="F202" s="81">
        <f t="shared" si="138"/>
        <v>0</v>
      </c>
      <c r="G202" s="81">
        <f t="shared" si="138"/>
        <v>0</v>
      </c>
      <c r="H202" s="81">
        <f t="shared" si="138"/>
        <v>0</v>
      </c>
      <c r="I202" s="81">
        <f t="shared" si="138"/>
        <v>0</v>
      </c>
      <c r="J202" s="81">
        <f t="shared" si="138"/>
        <v>0</v>
      </c>
      <c r="K202" s="81">
        <f t="shared" si="138"/>
        <v>0</v>
      </c>
      <c r="L202" s="81">
        <f t="shared" si="138"/>
        <v>3.5257239644661416E-3</v>
      </c>
      <c r="M202" s="81">
        <f t="shared" si="138"/>
        <v>3.7997436097894294E-3</v>
      </c>
      <c r="N202" s="81">
        <f t="shared" si="138"/>
        <v>3.9564194397063981E-3</v>
      </c>
      <c r="O202" s="81">
        <f t="shared" si="138"/>
        <v>4.2261338690231503E-3</v>
      </c>
      <c r="P202" s="81">
        <f t="shared" si="138"/>
        <v>4.5445622190732216E-3</v>
      </c>
      <c r="Q202" s="81">
        <f t="shared" si="138"/>
        <v>4.7640816397370089E-3</v>
      </c>
      <c r="R202" s="81">
        <f t="shared" si="138"/>
        <v>4.6496430170606846E-3</v>
      </c>
      <c r="S202" s="81">
        <f t="shared" si="138"/>
        <v>4.2197776294358299E-3</v>
      </c>
      <c r="T202" s="81">
        <f t="shared" si="138"/>
        <v>1.5654054789765108E-3</v>
      </c>
      <c r="U202" s="81">
        <f t="shared" si="138"/>
        <v>8.4166032811386904E-3</v>
      </c>
      <c r="V202" s="81">
        <f t="shared" si="138"/>
        <v>2.4846218520602856E-2</v>
      </c>
      <c r="W202" s="81">
        <f t="shared" si="138"/>
        <v>0</v>
      </c>
      <c r="X202" s="81">
        <f t="shared" si="138"/>
        <v>0</v>
      </c>
      <c r="Y202" s="81">
        <f t="shared" si="138"/>
        <v>0</v>
      </c>
      <c r="Z202" s="81">
        <f t="shared" si="138"/>
        <v>0</v>
      </c>
      <c r="AA202" s="81">
        <f t="shared" si="138"/>
        <v>0</v>
      </c>
      <c r="AB202" s="81">
        <f t="shared" si="138"/>
        <v>0</v>
      </c>
      <c r="AC202" s="81">
        <f t="shared" si="138"/>
        <v>0</v>
      </c>
      <c r="AD202" s="81">
        <f t="shared" si="138"/>
        <v>0</v>
      </c>
      <c r="AE202" s="81">
        <f t="shared" si="138"/>
        <v>0</v>
      </c>
      <c r="AF202" s="81">
        <f t="shared" si="138"/>
        <v>0</v>
      </c>
    </row>
    <row r="203" spans="1:34" x14ac:dyDescent="0.25">
      <c r="B203" s="21">
        <f>(B170-B169)^2</f>
        <v>60.869129840284174</v>
      </c>
      <c r="C203" s="21">
        <f t="shared" ref="C203:AF203" si="139">(C170-C169)^2</f>
        <v>82.424255293460718</v>
      </c>
      <c r="D203" s="21">
        <f t="shared" si="139"/>
        <v>82.056977073229078</v>
      </c>
      <c r="E203" s="21">
        <f t="shared" si="139"/>
        <v>81.95891825761214</v>
      </c>
      <c r="F203" s="21">
        <f t="shared" si="139"/>
        <v>82.076782191217688</v>
      </c>
      <c r="G203" s="21">
        <f t="shared" si="139"/>
        <v>83.587964748148693</v>
      </c>
      <c r="H203" s="21">
        <f t="shared" si="139"/>
        <v>99.360968671399391</v>
      </c>
      <c r="I203" s="21">
        <f t="shared" si="139"/>
        <v>288.95909744847506</v>
      </c>
      <c r="J203" s="21">
        <f t="shared" si="139"/>
        <v>477.99438724438949</v>
      </c>
      <c r="K203" s="21">
        <f t="shared" si="139"/>
        <v>465.31654997450545</v>
      </c>
      <c r="L203" s="21">
        <f t="shared" si="139"/>
        <v>343.64285000751528</v>
      </c>
      <c r="M203" s="21">
        <f t="shared" si="139"/>
        <v>382.77746134225629</v>
      </c>
      <c r="N203" s="21">
        <f t="shared" si="139"/>
        <v>395.5567314397311</v>
      </c>
      <c r="O203" s="21">
        <f t="shared" si="139"/>
        <v>428.50727011108893</v>
      </c>
      <c r="P203" s="21">
        <f t="shared" si="139"/>
        <v>466.63732736303712</v>
      </c>
      <c r="Q203" s="21">
        <f t="shared" si="139"/>
        <v>479.70199466841171</v>
      </c>
      <c r="R203" s="21">
        <f t="shared" si="139"/>
        <v>425.70834035375941</v>
      </c>
      <c r="S203" s="21">
        <f t="shared" si="139"/>
        <v>326.59833771148215</v>
      </c>
      <c r="T203" s="21">
        <f t="shared" si="139"/>
        <v>41.286719993777254</v>
      </c>
      <c r="U203" s="21">
        <f t="shared" si="139"/>
        <v>1057.4593584060403</v>
      </c>
      <c r="V203" s="21">
        <f t="shared" si="139"/>
        <v>7970.1460110128819</v>
      </c>
      <c r="W203" s="21">
        <f t="shared" si="139"/>
        <v>16743.927385903717</v>
      </c>
      <c r="X203" s="21">
        <f t="shared" si="139"/>
        <v>17441.439739515143</v>
      </c>
      <c r="Y203" s="21">
        <f t="shared" si="139"/>
        <v>11846.697106414866</v>
      </c>
      <c r="Z203" s="21">
        <f t="shared" si="139"/>
        <v>6183.0860877157284</v>
      </c>
      <c r="AA203" s="21">
        <f t="shared" si="139"/>
        <v>2869.0207162101447</v>
      </c>
      <c r="AB203" s="21">
        <f t="shared" si="139"/>
        <v>918.34964699144211</v>
      </c>
      <c r="AC203" s="21">
        <f t="shared" si="139"/>
        <v>193.26858064534667</v>
      </c>
      <c r="AD203" s="21">
        <f t="shared" si="139"/>
        <v>2.9375124558194854E-2</v>
      </c>
      <c r="AE203" s="21">
        <f t="shared" si="139"/>
        <v>91.649529062966863</v>
      </c>
      <c r="AF203" s="21">
        <f t="shared" si="139"/>
        <v>249.50948884721188</v>
      </c>
      <c r="AG203" s="3"/>
      <c r="AH203" s="3"/>
    </row>
    <row r="204" spans="1:34" x14ac:dyDescent="0.25">
      <c r="A204" s="72">
        <f>SUM(B204:AF204)</f>
        <v>12318.022402409981</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343.64285000751528</v>
      </c>
      <c r="M204" s="60">
        <f t="shared" ref="M204" si="150">IF($A$64&lt;=M168,IF($B$64&gt;=M168,ABS(M203),0),0)</f>
        <v>382.77746134225629</v>
      </c>
      <c r="N204" s="60">
        <f t="shared" ref="N204" si="151">IF($A$64&lt;=N168,IF($B$64&gt;=N168,ABS(N203),0),0)</f>
        <v>395.5567314397311</v>
      </c>
      <c r="O204" s="60">
        <f t="shared" ref="O204" si="152">IF($A$64&lt;=O168,IF($B$64&gt;=O168,ABS(O203),0),0)</f>
        <v>428.50727011108893</v>
      </c>
      <c r="P204" s="60">
        <f t="shared" ref="P204" si="153">IF($A$64&lt;=P168,IF($B$64&gt;=P168,ABS(P203),0),0)</f>
        <v>466.63732736303712</v>
      </c>
      <c r="Q204" s="60">
        <f t="shared" ref="Q204" si="154">IF($A$64&lt;=Q168,IF($B$64&gt;=Q168,ABS(Q203),0),0)</f>
        <v>479.70199466841171</v>
      </c>
      <c r="R204" s="60">
        <f t="shared" ref="R204" si="155">IF($A$64&lt;=R168,IF($B$64&gt;=R168,ABS(R203),0),0)</f>
        <v>425.70834035375941</v>
      </c>
      <c r="S204" s="60">
        <f t="shared" ref="S204" si="156">IF($A$64&lt;=S168,IF($B$64&gt;=S168,ABS(S203),0),0)</f>
        <v>326.59833771148215</v>
      </c>
      <c r="T204" s="60">
        <f t="shared" ref="T204" si="157">IF($A$64&lt;=T168,IF($B$64&gt;=T168,ABS(T203),0),0)</f>
        <v>41.286719993777254</v>
      </c>
      <c r="U204" s="60">
        <f t="shared" ref="U204" si="158">IF($A$64&lt;=U168,IF($B$64&gt;=U168,ABS(U203),0),0)</f>
        <v>1057.4593584060403</v>
      </c>
      <c r="V204" s="60">
        <f t="shared" ref="V204" si="159">IF($A$64&lt;=V168,IF($B$64&gt;=V168,ABS(V203),0),0)</f>
        <v>7970.1460110128819</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1" t="s">
        <v>22</v>
      </c>
      <c r="B209" s="27">
        <f>($C$17+SUM(B210:B240))*$B$51</f>
        <v>5610.4857925176184</v>
      </c>
      <c r="C209" s="27">
        <f t="shared" ref="C209:AF209" si="170">($C$17+SUM(C210:C240))*$B$51</f>
        <v>5610.4745835182202</v>
      </c>
      <c r="D209" s="27">
        <f t="shared" si="170"/>
        <v>5610.362561848252</v>
      </c>
      <c r="E209" s="27">
        <f t="shared" si="170"/>
        <v>5609.2491424820009</v>
      </c>
      <c r="F209" s="27">
        <f t="shared" si="170"/>
        <v>5598.7609596312886</v>
      </c>
      <c r="G209" s="27">
        <f t="shared" si="170"/>
        <v>5534.8463976831426</v>
      </c>
      <c r="H209" s="27">
        <f t="shared" si="170"/>
        <v>5383.2696455345931</v>
      </c>
      <c r="I209" s="27">
        <f t="shared" si="170"/>
        <v>5261.3252203517586</v>
      </c>
      <c r="J209" s="27">
        <f t="shared" si="170"/>
        <v>5154.5643321528632</v>
      </c>
      <c r="K209" s="27">
        <f t="shared" si="170"/>
        <v>5035.0429733065757</v>
      </c>
      <c r="L209" s="27">
        <f t="shared" si="170"/>
        <v>4907.0557135906438</v>
      </c>
      <c r="M209" s="27">
        <f t="shared" si="170"/>
        <v>4765.3364224648376</v>
      </c>
      <c r="N209" s="27">
        <f t="shared" si="170"/>
        <v>4609.9282695376914</v>
      </c>
      <c r="O209" s="27">
        <f t="shared" si="170"/>
        <v>4450.4493710167762</v>
      </c>
      <c r="P209" s="27">
        <f t="shared" si="170"/>
        <v>4295.3928815035579</v>
      </c>
      <c r="Q209" s="27">
        <f t="shared" si="170"/>
        <v>4134.7456645949042</v>
      </c>
      <c r="R209" s="27">
        <f t="shared" si="170"/>
        <v>3938.7317939011327</v>
      </c>
      <c r="S209" s="27">
        <f t="shared" si="170"/>
        <v>3720.4108609816476</v>
      </c>
      <c r="T209" s="27">
        <f t="shared" si="170"/>
        <v>3522.1301410130204</v>
      </c>
      <c r="U209" s="27">
        <f t="shared" si="170"/>
        <v>3337.2288861900211</v>
      </c>
      <c r="V209" s="27">
        <f t="shared" si="170"/>
        <v>3131.8140332370704</v>
      </c>
      <c r="W209" s="27">
        <f t="shared" si="170"/>
        <v>2937.6880554189001</v>
      </c>
      <c r="X209" s="27">
        <f t="shared" si="170"/>
        <v>2755.4697080157748</v>
      </c>
      <c r="Y209" s="27">
        <f t="shared" si="170"/>
        <v>2575.0493585748013</v>
      </c>
      <c r="Z209" s="27">
        <f t="shared" si="170"/>
        <v>2394.5511775447435</v>
      </c>
      <c r="AA209" s="27">
        <f t="shared" si="170"/>
        <v>2194.1231855393248</v>
      </c>
      <c r="AB209" s="27">
        <f t="shared" si="170"/>
        <v>1977.3640633201144</v>
      </c>
      <c r="AC209" s="27">
        <f t="shared" si="170"/>
        <v>1740.7430551124003</v>
      </c>
      <c r="AD209" s="27">
        <f t="shared" si="170"/>
        <v>1467.7442178399178</v>
      </c>
      <c r="AE209" s="27">
        <f t="shared" si="170"/>
        <v>1161.5091046562584</v>
      </c>
      <c r="AF209" s="27">
        <f t="shared" si="170"/>
        <v>854.15298250574472</v>
      </c>
      <c r="AG209" s="27"/>
      <c r="AH209" s="27"/>
    </row>
    <row r="210" spans="1:34" x14ac:dyDescent="0.25">
      <c r="B210" s="3">
        <f t="shared" ref="B210:AF210" si="171">$C18*EXP(-B$207/$A18/EXP(-$D$126))</f>
        <v>4.4381352542614293E-302</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1.056507028420218E-2</v>
      </c>
      <c r="C212" s="3">
        <f t="shared" si="173"/>
        <v>1.0563561906816961E-2</v>
      </c>
      <c r="D212" s="3">
        <f t="shared" si="173"/>
        <v>1.0548489972218387E-2</v>
      </c>
      <c r="E212" s="3">
        <f t="shared" si="173"/>
        <v>1.0398948320880943E-2</v>
      </c>
      <c r="F212" s="3">
        <f t="shared" si="173"/>
        <v>9.0153102203212911E-3</v>
      </c>
      <c r="G212" s="3">
        <f t="shared" si="173"/>
        <v>2.1621869007664133E-3</v>
      </c>
      <c r="H212" s="3">
        <f t="shared" si="173"/>
        <v>1.3615036048974874E-9</v>
      </c>
      <c r="I212" s="3">
        <f t="shared" si="173"/>
        <v>1.3343643549488197E-71</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3.6097626230901195E-2</v>
      </c>
      <c r="C213" s="3">
        <f t="shared" si="174"/>
        <v>3.609716129716125E-2</v>
      </c>
      <c r="D213" s="3">
        <f t="shared" si="174"/>
        <v>3.6092512289105476E-2</v>
      </c>
      <c r="E213" s="3">
        <f t="shared" si="174"/>
        <v>3.6046055127230414E-2</v>
      </c>
      <c r="F213" s="3">
        <f t="shared" si="174"/>
        <v>3.5584759742944228E-2</v>
      </c>
      <c r="G213" s="3">
        <f t="shared" si="174"/>
        <v>3.128433962025514E-2</v>
      </c>
      <c r="H213" s="3">
        <f t="shared" si="174"/>
        <v>8.6289217652148701E-3</v>
      </c>
      <c r="I213" s="3">
        <f t="shared" si="174"/>
        <v>2.1991351835377884E-8</v>
      </c>
      <c r="J213" s="3">
        <f t="shared" si="174"/>
        <v>2.5421775569552856E-64</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1.7961406289851101E-2</v>
      </c>
      <c r="C214" s="3">
        <f t="shared" si="175"/>
        <v>1.7961385420838933E-2</v>
      </c>
      <c r="D214" s="3">
        <f t="shared" si="175"/>
        <v>1.7961176732050839E-2</v>
      </c>
      <c r="E214" s="3">
        <f t="shared" si="175"/>
        <v>1.7959089977523882E-2</v>
      </c>
      <c r="F214" s="3">
        <f t="shared" si="175"/>
        <v>1.7938235761920357E-2</v>
      </c>
      <c r="G214" s="3">
        <f t="shared" si="175"/>
        <v>1.7731020859886888E-2</v>
      </c>
      <c r="H214" s="3">
        <f t="shared" si="175"/>
        <v>1.578606445418182E-2</v>
      </c>
      <c r="I214" s="3">
        <f t="shared" si="175"/>
        <v>4.9394111892374767E-3</v>
      </c>
      <c r="J214" s="3">
        <f t="shared" si="175"/>
        <v>4.4431223896524372E-8</v>
      </c>
      <c r="K214" s="3">
        <f t="shared" si="175"/>
        <v>1.5410588665709451E-58</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2.0382209025315172E-2</v>
      </c>
      <c r="C215" s="3">
        <f t="shared" si="176"/>
        <v>2.0382206889028028E-2</v>
      </c>
      <c r="D215" s="3">
        <f t="shared" si="176"/>
        <v>2.0382185526168897E-2</v>
      </c>
      <c r="E215" s="3">
        <f t="shared" si="176"/>
        <v>2.0381971898809071E-2</v>
      </c>
      <c r="F215" s="3">
        <f t="shared" si="176"/>
        <v>2.0379835748354457E-2</v>
      </c>
      <c r="G215" s="3">
        <f t="shared" si="176"/>
        <v>2.0358486553399328E-2</v>
      </c>
      <c r="H215" s="3">
        <f t="shared" si="176"/>
        <v>2.0146220802619897E-2</v>
      </c>
      <c r="I215" s="3">
        <f t="shared" si="176"/>
        <v>1.8141558341021952E-2</v>
      </c>
      <c r="J215" s="3">
        <f t="shared" si="176"/>
        <v>6.3604023942907375E-3</v>
      </c>
      <c r="K215" s="3">
        <f t="shared" si="176"/>
        <v>1.7847797038773874E-7</v>
      </c>
      <c r="L215" s="3">
        <f t="shared" si="176"/>
        <v>5.4023769122471967E-53</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2.3191773076540276E-2</v>
      </c>
      <c r="C216" s="3">
        <f t="shared" si="177"/>
        <v>2.3191772857265366E-2</v>
      </c>
      <c r="D216" s="3">
        <f t="shared" si="177"/>
        <v>2.3191770664516383E-2</v>
      </c>
      <c r="E216" s="3">
        <f t="shared" si="177"/>
        <v>2.3191748737037974E-2</v>
      </c>
      <c r="F216" s="3">
        <f t="shared" si="177"/>
        <v>2.31915294633941E-2</v>
      </c>
      <c r="G216" s="3">
        <f t="shared" si="177"/>
        <v>2.3189336840977671E-2</v>
      </c>
      <c r="H216" s="3">
        <f t="shared" si="177"/>
        <v>2.3167422015054062E-2</v>
      </c>
      <c r="I216" s="3">
        <f t="shared" si="177"/>
        <v>2.294940960250972E-2</v>
      </c>
      <c r="J216" s="3">
        <f t="shared" si="177"/>
        <v>2.0878995118928628E-2</v>
      </c>
      <c r="K216" s="3">
        <f t="shared" si="177"/>
        <v>8.1112978090583585E-3</v>
      </c>
      <c r="L216" s="3">
        <f t="shared" si="177"/>
        <v>6.3518157087664144E-7</v>
      </c>
      <c r="M216" s="3">
        <f t="shared" si="177"/>
        <v>5.5077384628402491E-48</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2.3748702762069827E-2</v>
      </c>
      <c r="C217" s="3">
        <f t="shared" si="178"/>
        <v>2.3748702741814395E-2</v>
      </c>
      <c r="D217" s="3">
        <f t="shared" si="178"/>
        <v>2.3748702539260095E-2</v>
      </c>
      <c r="E217" s="3">
        <f t="shared" si="178"/>
        <v>2.3748700513717174E-2</v>
      </c>
      <c r="F217" s="3">
        <f t="shared" si="178"/>
        <v>2.3748680258297485E-2</v>
      </c>
      <c r="G217" s="3">
        <f t="shared" si="178"/>
        <v>2.374847770505074E-2</v>
      </c>
      <c r="H217" s="3">
        <f t="shared" si="178"/>
        <v>2.3746452267597945E-2</v>
      </c>
      <c r="I217" s="3">
        <f t="shared" si="178"/>
        <v>2.3726207391535969E-2</v>
      </c>
      <c r="J217" s="3">
        <f t="shared" si="178"/>
        <v>2.3524705486857315E-2</v>
      </c>
      <c r="K217" s="3">
        <f t="shared" si="178"/>
        <v>2.1601450938625564E-2</v>
      </c>
      <c r="L217" s="3">
        <f t="shared" si="178"/>
        <v>9.2059837324426005E-3</v>
      </c>
      <c r="M217" s="3">
        <f t="shared" si="178"/>
        <v>1.8194620590726816E-6</v>
      </c>
      <c r="N217" s="3">
        <f t="shared" si="178"/>
        <v>1.6545161468638861E-43</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2.8130744653609728E-2</v>
      </c>
      <c r="C218" s="3">
        <f t="shared" si="179"/>
        <v>2.8130744651445369E-2</v>
      </c>
      <c r="D218" s="3">
        <f t="shared" si="179"/>
        <v>2.8130744629801776E-2</v>
      </c>
      <c r="E218" s="3">
        <f t="shared" si="179"/>
        <v>2.8130744413365823E-2</v>
      </c>
      <c r="F218" s="3">
        <f t="shared" si="179"/>
        <v>2.813074224900642E-2</v>
      </c>
      <c r="G218" s="3">
        <f t="shared" si="179"/>
        <v>2.8130720605421523E-2</v>
      </c>
      <c r="H218" s="3">
        <f t="shared" si="179"/>
        <v>2.8130504170488468E-2</v>
      </c>
      <c r="I218" s="3">
        <f t="shared" si="179"/>
        <v>2.8128339912743345E-2</v>
      </c>
      <c r="J218" s="3">
        <f t="shared" si="179"/>
        <v>2.8106706491231325E-2</v>
      </c>
      <c r="K218" s="3">
        <f t="shared" si="179"/>
        <v>2.7891285268914379E-2</v>
      </c>
      <c r="L218" s="3">
        <f t="shared" si="179"/>
        <v>2.5825825885502644E-2</v>
      </c>
      <c r="M218" s="3">
        <f t="shared" si="179"/>
        <v>1.1964956664272823E-2</v>
      </c>
      <c r="N218" s="3">
        <f t="shared" si="179"/>
        <v>5.4510509641130541E-6</v>
      </c>
      <c r="O218" s="3">
        <f t="shared" si="179"/>
        <v>2.0997682617404809E-39</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2.9651765361470871E-2</v>
      </c>
      <c r="C219" s="3">
        <f t="shared" si="180"/>
        <v>2.965176536126507E-2</v>
      </c>
      <c r="D219" s="3">
        <f t="shared" si="180"/>
        <v>2.965176535920707E-2</v>
      </c>
      <c r="E219" s="3">
        <f t="shared" si="180"/>
        <v>2.9651765338627074E-2</v>
      </c>
      <c r="F219" s="3">
        <f t="shared" si="180"/>
        <v>2.96517651328271E-2</v>
      </c>
      <c r="G219" s="3">
        <f t="shared" si="180"/>
        <v>2.9651763074827437E-2</v>
      </c>
      <c r="H219" s="3">
        <f t="shared" si="180"/>
        <v>2.9651742494838686E-2</v>
      </c>
      <c r="I219" s="3">
        <f t="shared" si="180"/>
        <v>2.9651536695736756E-2</v>
      </c>
      <c r="J219" s="3">
        <f t="shared" si="180"/>
        <v>2.9649478783275465E-2</v>
      </c>
      <c r="K219" s="3">
        <f t="shared" si="180"/>
        <v>2.9628907512444781E-2</v>
      </c>
      <c r="L219" s="3">
        <f t="shared" si="180"/>
        <v>2.9423978169244715E-2</v>
      </c>
      <c r="M219" s="3">
        <f t="shared" si="180"/>
        <v>2.7451046361773E-2</v>
      </c>
      <c r="N219" s="3">
        <f t="shared" si="180"/>
        <v>1.3713049357849668E-2</v>
      </c>
      <c r="O219" s="3">
        <f t="shared" si="180"/>
        <v>1.3270442310165497E-5</v>
      </c>
      <c r="P219" s="3">
        <f t="shared" si="180"/>
        <v>9.5587034889096424E-36</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3.0087522375856258E-2</v>
      </c>
      <c r="C220" s="3">
        <f t="shared" si="181"/>
        <v>3.0087522375837422E-2</v>
      </c>
      <c r="D220" s="3">
        <f t="shared" si="181"/>
        <v>3.0087522375649045E-2</v>
      </c>
      <c r="E220" s="3">
        <f t="shared" si="181"/>
        <v>3.0087522373765278E-2</v>
      </c>
      <c r="F220" s="3">
        <f t="shared" si="181"/>
        <v>3.0087522354927582E-2</v>
      </c>
      <c r="G220" s="3">
        <f t="shared" si="181"/>
        <v>3.0087522166550626E-2</v>
      </c>
      <c r="H220" s="3">
        <f t="shared" si="181"/>
        <v>3.0087520282781114E-2</v>
      </c>
      <c r="I220" s="3">
        <f t="shared" si="181"/>
        <v>3.0087501445092514E-2</v>
      </c>
      <c r="J220" s="3">
        <f t="shared" si="181"/>
        <v>3.0087313068855173E-2</v>
      </c>
      <c r="K220" s="3">
        <f t="shared" si="181"/>
        <v>3.00854293713483E-2</v>
      </c>
      <c r="L220" s="3">
        <f t="shared" si="181"/>
        <v>3.0066598881429828E-2</v>
      </c>
      <c r="M220" s="3">
        <f t="shared" si="181"/>
        <v>2.9878940997460558E-2</v>
      </c>
      <c r="N220" s="3">
        <f t="shared" si="181"/>
        <v>2.8065589602304979E-2</v>
      </c>
      <c r="O220" s="3">
        <f t="shared" si="181"/>
        <v>1.5005962844455305E-2</v>
      </c>
      <c r="P220" s="3">
        <f t="shared" si="181"/>
        <v>2.8652388516875026E-5</v>
      </c>
      <c r="Q220" s="3">
        <f t="shared" si="181"/>
        <v>1.8455698118302632E-32</v>
      </c>
      <c r="R220" s="3">
        <f t="shared" si="181"/>
        <v>2.2689605311657582E-304</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2.6649166629010072E-2</v>
      </c>
      <c r="C221" s="3">
        <f t="shared" si="182"/>
        <v>2.6649166629008569E-2</v>
      </c>
      <c r="D221" s="3">
        <f t="shared" si="182"/>
        <v>2.6649166628993519E-2</v>
      </c>
      <c r="E221" s="3">
        <f t="shared" si="182"/>
        <v>2.6649166628843007E-2</v>
      </c>
      <c r="F221" s="3">
        <f t="shared" si="182"/>
        <v>2.6649166627337885E-2</v>
      </c>
      <c r="G221" s="3">
        <f t="shared" si="182"/>
        <v>2.6649166612286668E-2</v>
      </c>
      <c r="H221" s="3">
        <f t="shared" si="182"/>
        <v>2.6649166461774513E-2</v>
      </c>
      <c r="I221" s="3">
        <f t="shared" si="182"/>
        <v>2.6649164956653006E-2</v>
      </c>
      <c r="J221" s="3">
        <f t="shared" si="182"/>
        <v>2.6649149905442607E-2</v>
      </c>
      <c r="K221" s="3">
        <f t="shared" si="182"/>
        <v>2.664899939380615E-2</v>
      </c>
      <c r="L221" s="3">
        <f t="shared" si="182"/>
        <v>2.6647494324194887E-2</v>
      </c>
      <c r="M221" s="3">
        <f t="shared" si="182"/>
        <v>2.6632448302433824E-2</v>
      </c>
      <c r="N221" s="3">
        <f t="shared" si="182"/>
        <v>2.6482454544643552E-2</v>
      </c>
      <c r="O221" s="3">
        <f t="shared" si="182"/>
        <v>2.5028202726036539E-2</v>
      </c>
      <c r="P221" s="3">
        <f t="shared" si="182"/>
        <v>1.4228003046839504E-2</v>
      </c>
      <c r="Q221" s="3">
        <f t="shared" si="182"/>
        <v>5.0151832232482535E-5</v>
      </c>
      <c r="R221" s="3">
        <f t="shared" si="182"/>
        <v>1.4849620307014298E-29</v>
      </c>
      <c r="S221" s="3">
        <f t="shared" si="182"/>
        <v>7.6913185918242232E-275</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3.2769511002714906E-2</v>
      </c>
      <c r="C222" s="3">
        <f t="shared" si="183"/>
        <v>3.2769511002714739E-2</v>
      </c>
      <c r="D222" s="3">
        <f t="shared" si="183"/>
        <v>3.2769511002713074E-2</v>
      </c>
      <c r="E222" s="3">
        <f t="shared" si="183"/>
        <v>3.2769511002696379E-2</v>
      </c>
      <c r="F222" s="3">
        <f t="shared" si="183"/>
        <v>3.2769511002529415E-2</v>
      </c>
      <c r="G222" s="3">
        <f t="shared" si="183"/>
        <v>3.2769511000859848E-2</v>
      </c>
      <c r="H222" s="3">
        <f t="shared" si="183"/>
        <v>3.2769510984164155E-2</v>
      </c>
      <c r="I222" s="3">
        <f t="shared" si="183"/>
        <v>3.2769510817207206E-2</v>
      </c>
      <c r="J222" s="3">
        <f t="shared" si="183"/>
        <v>3.2769509147637786E-2</v>
      </c>
      <c r="K222" s="3">
        <f t="shared" si="183"/>
        <v>3.2769492451948226E-2</v>
      </c>
      <c r="L222" s="3">
        <f t="shared" si="183"/>
        <v>3.2769325495520502E-2</v>
      </c>
      <c r="M222" s="3">
        <f t="shared" si="183"/>
        <v>3.2767655978026757E-2</v>
      </c>
      <c r="N222" s="3">
        <f t="shared" si="183"/>
        <v>3.2750965480556588E-2</v>
      </c>
      <c r="O222" s="3">
        <f t="shared" si="183"/>
        <v>3.2584527372030388E-2</v>
      </c>
      <c r="P222" s="3">
        <f t="shared" si="183"/>
        <v>3.0965964676421764E-2</v>
      </c>
      <c r="Q222" s="3">
        <f t="shared" si="183"/>
        <v>1.8604435355223631E-2</v>
      </c>
      <c r="R222" s="3">
        <f t="shared" si="183"/>
        <v>1.1400799038217379E-4</v>
      </c>
      <c r="S222" s="3">
        <f t="shared" si="183"/>
        <v>8.5137963497119954E-27</v>
      </c>
      <c r="T222" s="3">
        <f t="shared" si="183"/>
        <v>4.5920111037888639E-248</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4.1907199465091145E-2</v>
      </c>
      <c r="C223" s="3">
        <f t="shared" si="184"/>
        <v>4.1907199465091124E-2</v>
      </c>
      <c r="D223" s="3">
        <f t="shared" si="184"/>
        <v>4.190719946509093E-2</v>
      </c>
      <c r="E223" s="3">
        <f t="shared" si="184"/>
        <v>4.1907199465089008E-2</v>
      </c>
      <c r="F223" s="3">
        <f t="shared" si="184"/>
        <v>4.1907199465069746E-2</v>
      </c>
      <c r="G223" s="3">
        <f t="shared" si="184"/>
        <v>4.1907199464877136E-2</v>
      </c>
      <c r="H223" s="3">
        <f t="shared" si="184"/>
        <v>4.1907199462951079E-2</v>
      </c>
      <c r="I223" s="3">
        <f t="shared" si="184"/>
        <v>4.1907199443690479E-2</v>
      </c>
      <c r="J223" s="3">
        <f t="shared" si="184"/>
        <v>4.1907199251084506E-2</v>
      </c>
      <c r="K223" s="3">
        <f t="shared" si="184"/>
        <v>4.1907197325024764E-2</v>
      </c>
      <c r="L223" s="3">
        <f t="shared" si="184"/>
        <v>4.1907178064432241E-2</v>
      </c>
      <c r="M223" s="3">
        <f t="shared" si="184"/>
        <v>4.1906985458993899E-2</v>
      </c>
      <c r="N223" s="3">
        <f t="shared" si="184"/>
        <v>4.190505945329661E-2</v>
      </c>
      <c r="O223" s="3">
        <f t="shared" si="184"/>
        <v>4.1885804264110267E-2</v>
      </c>
      <c r="P223" s="3">
        <f t="shared" si="184"/>
        <v>4.1693738324138169E-2</v>
      </c>
      <c r="Q223" s="3">
        <f t="shared" si="184"/>
        <v>3.9820857801340918E-2</v>
      </c>
      <c r="R223" s="3">
        <f t="shared" si="184"/>
        <v>2.5148284155142982E-2</v>
      </c>
      <c r="S223" s="3">
        <f t="shared" si="184"/>
        <v>2.5379662128866161E-4</v>
      </c>
      <c r="T223" s="3">
        <f t="shared" si="184"/>
        <v>2.7813818040301716E-24</v>
      </c>
      <c r="U223" s="3">
        <f t="shared" si="184"/>
        <v>6.9503766278592313E-224</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3.8766931941006839E-2</v>
      </c>
      <c r="C224" s="3">
        <f t="shared" si="185"/>
        <v>3.8766931941006839E-2</v>
      </c>
      <c r="D224" s="3">
        <f t="shared" si="185"/>
        <v>3.8766931941006826E-2</v>
      </c>
      <c r="E224" s="3">
        <f t="shared" si="185"/>
        <v>3.8766931941006666E-2</v>
      </c>
      <c r="F224" s="3">
        <f t="shared" si="185"/>
        <v>3.8766931941005056E-2</v>
      </c>
      <c r="G224" s="3">
        <f t="shared" si="185"/>
        <v>3.8766931940988979E-2</v>
      </c>
      <c r="H224" s="3">
        <f t="shared" si="185"/>
        <v>3.8766931940828253E-2</v>
      </c>
      <c r="I224" s="3">
        <f t="shared" si="185"/>
        <v>3.8766931939220983E-2</v>
      </c>
      <c r="J224" s="3">
        <f t="shared" si="185"/>
        <v>3.8766931923148271E-2</v>
      </c>
      <c r="K224" s="3">
        <f t="shared" si="185"/>
        <v>3.8766931762421158E-2</v>
      </c>
      <c r="L224" s="3">
        <f t="shared" si="185"/>
        <v>3.8766930155150051E-2</v>
      </c>
      <c r="M224" s="3">
        <f t="shared" si="185"/>
        <v>3.8766914082442636E-2</v>
      </c>
      <c r="N224" s="3">
        <f t="shared" si="185"/>
        <v>3.8766753355735026E-2</v>
      </c>
      <c r="O224" s="3">
        <f t="shared" si="185"/>
        <v>3.8765146125308715E-2</v>
      </c>
      <c r="P224" s="3">
        <f t="shared" si="185"/>
        <v>3.8749077485468061E-2</v>
      </c>
      <c r="Q224" s="3">
        <f t="shared" si="185"/>
        <v>3.8588756967800737E-2</v>
      </c>
      <c r="R224" s="3">
        <f t="shared" si="185"/>
        <v>3.7021584768744523E-2</v>
      </c>
      <c r="S224" s="3">
        <f t="shared" si="185"/>
        <v>2.4456661276388555E-2</v>
      </c>
      <c r="T224" s="3">
        <f t="shared" si="185"/>
        <v>3.8709610380012374E-4</v>
      </c>
      <c r="U224" s="3">
        <f t="shared" si="185"/>
        <v>3.8197515387433263E-22</v>
      </c>
      <c r="V224" s="3">
        <f t="shared" si="185"/>
        <v>3.3434763756275665E-202</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3.2038673628359195E-2</v>
      </c>
      <c r="C225" s="3">
        <f t="shared" si="186"/>
        <v>3.2038673628359195E-2</v>
      </c>
      <c r="D225" s="3">
        <f t="shared" si="186"/>
        <v>3.2038673628359195E-2</v>
      </c>
      <c r="E225" s="3">
        <f t="shared" si="186"/>
        <v>3.2038673628359181E-2</v>
      </c>
      <c r="F225" s="3">
        <f t="shared" si="186"/>
        <v>3.2038673628359063E-2</v>
      </c>
      <c r="G225" s="3">
        <f t="shared" si="186"/>
        <v>3.2038673628357862E-2</v>
      </c>
      <c r="H225" s="3">
        <f t="shared" si="186"/>
        <v>3.2038673628345879E-2</v>
      </c>
      <c r="I225" s="3">
        <f t="shared" si="186"/>
        <v>3.2038673628226058E-2</v>
      </c>
      <c r="J225" s="3">
        <f t="shared" si="186"/>
        <v>3.2038673627027801E-2</v>
      </c>
      <c r="K225" s="3">
        <f t="shared" si="186"/>
        <v>3.2038673615045261E-2</v>
      </c>
      <c r="L225" s="3">
        <f t="shared" si="186"/>
        <v>3.2038673495219876E-2</v>
      </c>
      <c r="M225" s="3">
        <f t="shared" si="186"/>
        <v>3.2038672296966046E-2</v>
      </c>
      <c r="N225" s="3">
        <f t="shared" si="186"/>
        <v>3.2038660314430194E-2</v>
      </c>
      <c r="O225" s="3">
        <f t="shared" si="186"/>
        <v>3.2038540489318132E-2</v>
      </c>
      <c r="P225" s="3">
        <f t="shared" si="186"/>
        <v>3.2037342262845415E-2</v>
      </c>
      <c r="Q225" s="3">
        <f t="shared" si="186"/>
        <v>3.2025362462562837E-2</v>
      </c>
      <c r="R225" s="3">
        <f t="shared" si="186"/>
        <v>3.19058105635062E-2</v>
      </c>
      <c r="S225" s="3">
        <f t="shared" si="186"/>
        <v>3.0734564769468356E-2</v>
      </c>
      <c r="T225" s="3">
        <f t="shared" si="186"/>
        <v>2.1144621685835811E-2</v>
      </c>
      <c r="U225" s="3">
        <f t="shared" si="186"/>
        <v>5.0225982054181539E-4</v>
      </c>
      <c r="V225" s="3">
        <f t="shared" si="186"/>
        <v>2.8721929764259006E-20</v>
      </c>
      <c r="W225" s="3">
        <f t="shared" si="186"/>
        <v>1.0741511630869923E-182</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3.8815204020590376E-2</v>
      </c>
      <c r="C226" s="3">
        <f t="shared" si="187"/>
        <v>3.8815204020590376E-2</v>
      </c>
      <c r="D226" s="3">
        <f t="shared" si="187"/>
        <v>3.8815204020590376E-2</v>
      </c>
      <c r="E226" s="3">
        <f t="shared" si="187"/>
        <v>3.8815204020590376E-2</v>
      </c>
      <c r="F226" s="3">
        <f t="shared" si="187"/>
        <v>3.8815204020590362E-2</v>
      </c>
      <c r="G226" s="3">
        <f t="shared" si="187"/>
        <v>3.881520402059023E-2</v>
      </c>
      <c r="H226" s="3">
        <f t="shared" si="187"/>
        <v>3.8815204020588918E-2</v>
      </c>
      <c r="I226" s="3">
        <f t="shared" si="187"/>
        <v>3.8815204020575825E-2</v>
      </c>
      <c r="J226" s="3">
        <f t="shared" si="187"/>
        <v>3.8815204020444867E-2</v>
      </c>
      <c r="K226" s="3">
        <f t="shared" si="187"/>
        <v>3.8815204019135317E-2</v>
      </c>
      <c r="L226" s="3">
        <f t="shared" si="187"/>
        <v>3.88152040060398E-2</v>
      </c>
      <c r="M226" s="3">
        <f t="shared" si="187"/>
        <v>3.8815203875084588E-2</v>
      </c>
      <c r="N226" s="3">
        <f t="shared" si="187"/>
        <v>3.8815202565532544E-2</v>
      </c>
      <c r="O226" s="3">
        <f t="shared" si="187"/>
        <v>3.881518947001452E-2</v>
      </c>
      <c r="P226" s="3">
        <f t="shared" si="187"/>
        <v>3.8815058515077272E-2</v>
      </c>
      <c r="Q226" s="3">
        <f t="shared" si="187"/>
        <v>3.881374899000449E-2</v>
      </c>
      <c r="R226" s="3">
        <f t="shared" si="187"/>
        <v>3.8800656168940156E-2</v>
      </c>
      <c r="S226" s="3">
        <f t="shared" si="187"/>
        <v>3.8669970621620364E-2</v>
      </c>
      <c r="T226" s="3">
        <f t="shared" si="187"/>
        <v>3.738708127585854E-2</v>
      </c>
      <c r="U226" s="3">
        <f t="shared" si="187"/>
        <v>2.6680794741215229E-2</v>
      </c>
      <c r="V226" s="3">
        <f t="shared" si="187"/>
        <v>9.1405169539356297E-4</v>
      </c>
      <c r="W226" s="3">
        <f t="shared" si="187"/>
        <v>2.0355919560366903E-18</v>
      </c>
      <c r="X226" s="3">
        <f t="shared" si="187"/>
        <v>6.1078786641089411E-165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3.675792152056976E-2</v>
      </c>
      <c r="C227" s="3">
        <f t="shared" si="188"/>
        <v>3.675792152056976E-2</v>
      </c>
      <c r="D227" s="3">
        <f t="shared" si="188"/>
        <v>3.675792152056976E-2</v>
      </c>
      <c r="E227" s="3">
        <f t="shared" si="188"/>
        <v>3.675792152056976E-2</v>
      </c>
      <c r="F227" s="3">
        <f t="shared" si="188"/>
        <v>3.675792152056976E-2</v>
      </c>
      <c r="G227" s="3">
        <f t="shared" si="188"/>
        <v>3.6757921520569746E-2</v>
      </c>
      <c r="H227" s="3">
        <f t="shared" si="188"/>
        <v>3.6757921520569635E-2</v>
      </c>
      <c r="I227" s="3">
        <f t="shared" si="188"/>
        <v>3.6757921520568518E-2</v>
      </c>
      <c r="J227" s="3">
        <f t="shared" si="188"/>
        <v>3.6757921520557332E-2</v>
      </c>
      <c r="K227" s="3">
        <f t="shared" si="188"/>
        <v>3.6757921520445457E-2</v>
      </c>
      <c r="L227" s="3">
        <f t="shared" si="188"/>
        <v>3.6757921519326747E-2</v>
      </c>
      <c r="M227" s="3">
        <f t="shared" si="188"/>
        <v>3.675792150813962E-2</v>
      </c>
      <c r="N227" s="3">
        <f t="shared" si="188"/>
        <v>3.6757921396268385E-2</v>
      </c>
      <c r="O227" s="3">
        <f t="shared" si="188"/>
        <v>3.6757920277556047E-2</v>
      </c>
      <c r="P227" s="3">
        <f t="shared" si="188"/>
        <v>3.675790909043454E-2</v>
      </c>
      <c r="Q227" s="3">
        <f t="shared" si="188"/>
        <v>3.6757797219406682E-2</v>
      </c>
      <c r="R227" s="3">
        <f t="shared" si="188"/>
        <v>3.6756678527854053E-2</v>
      </c>
      <c r="S227" s="3">
        <f t="shared" si="188"/>
        <v>3.6745493484709013E-2</v>
      </c>
      <c r="T227" s="3">
        <f t="shared" si="188"/>
        <v>3.6633830080707613E-2</v>
      </c>
      <c r="U227" s="3">
        <f t="shared" si="188"/>
        <v>3.5535689881267638E-2</v>
      </c>
      <c r="V227" s="3">
        <f t="shared" si="188"/>
        <v>2.6211326228456948E-2</v>
      </c>
      <c r="W227" s="3">
        <f t="shared" si="188"/>
        <v>1.2494861357456592E-3</v>
      </c>
      <c r="X227" s="3">
        <f t="shared" si="188"/>
        <v>7.5710462634246209E-17</v>
      </c>
      <c r="Y227" s="3">
        <f t="shared" si="188"/>
        <v>5.0512688491495551E-149</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3.3395319995761917E-2</v>
      </c>
      <c r="C228" s="3">
        <f t="shared" si="189"/>
        <v>3.3395319995761917E-2</v>
      </c>
      <c r="D228" s="3">
        <f t="shared" si="189"/>
        <v>3.3395319995761917E-2</v>
      </c>
      <c r="E228" s="3">
        <f t="shared" si="189"/>
        <v>3.3395319995761917E-2</v>
      </c>
      <c r="F228" s="3">
        <f t="shared" si="189"/>
        <v>3.3395319995761917E-2</v>
      </c>
      <c r="G228" s="3">
        <f t="shared" si="189"/>
        <v>3.3395319995761917E-2</v>
      </c>
      <c r="H228" s="3">
        <f t="shared" si="189"/>
        <v>3.3395319995761903E-2</v>
      </c>
      <c r="I228" s="3">
        <f t="shared" si="189"/>
        <v>3.339531999576182E-2</v>
      </c>
      <c r="J228" s="3">
        <f t="shared" si="189"/>
        <v>3.3395319995760897E-2</v>
      </c>
      <c r="K228" s="3">
        <f t="shared" si="189"/>
        <v>3.3395319995751731E-2</v>
      </c>
      <c r="L228" s="3">
        <f t="shared" si="189"/>
        <v>3.3395319995660047E-2</v>
      </c>
      <c r="M228" s="3">
        <f t="shared" si="189"/>
        <v>3.339531999474319E-2</v>
      </c>
      <c r="N228" s="3">
        <f t="shared" si="189"/>
        <v>3.3395319985574663E-2</v>
      </c>
      <c r="O228" s="3">
        <f t="shared" si="189"/>
        <v>3.3395319893889365E-2</v>
      </c>
      <c r="P228" s="3">
        <f t="shared" si="189"/>
        <v>3.3395318977036424E-2</v>
      </c>
      <c r="Q228" s="3">
        <f t="shared" si="189"/>
        <v>3.339530980850839E-2</v>
      </c>
      <c r="R228" s="3">
        <f t="shared" si="189"/>
        <v>3.3395218123366509E-2</v>
      </c>
      <c r="S228" s="3">
        <f t="shared" si="189"/>
        <v>3.3394301285791954E-2</v>
      </c>
      <c r="T228" s="3">
        <f t="shared" si="189"/>
        <v>3.3385134294337593E-2</v>
      </c>
      <c r="U228" s="3">
        <f t="shared" si="189"/>
        <v>3.32936026683937E-2</v>
      </c>
      <c r="V228" s="3">
        <f t="shared" si="189"/>
        <v>3.2391975818557156E-2</v>
      </c>
      <c r="W228" s="3">
        <f t="shared" si="189"/>
        <v>2.4615230799589861E-2</v>
      </c>
      <c r="X228" s="3">
        <f t="shared" si="189"/>
        <v>1.5807698306421613E-3</v>
      </c>
      <c r="Y228" s="3">
        <f t="shared" si="189"/>
        <v>1.8858880293199868E-15</v>
      </c>
      <c r="Z228" s="3">
        <f t="shared" si="189"/>
        <v>1.101510281128298E-134</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3.5168182509434494E-2</v>
      </c>
      <c r="C229" s="3">
        <f t="shared" si="190"/>
        <v>3.5168182509434494E-2</v>
      </c>
      <c r="D229" s="3">
        <f t="shared" si="190"/>
        <v>3.5168182509434494E-2</v>
      </c>
      <c r="E229" s="3">
        <f t="shared" si="190"/>
        <v>3.5168182509434494E-2</v>
      </c>
      <c r="F229" s="3">
        <f t="shared" si="190"/>
        <v>3.5168182509434494E-2</v>
      </c>
      <c r="G229" s="3">
        <f t="shared" si="190"/>
        <v>3.5168182509434494E-2</v>
      </c>
      <c r="H229" s="3">
        <f t="shared" si="190"/>
        <v>3.5168182509434494E-2</v>
      </c>
      <c r="I229" s="3">
        <f t="shared" si="190"/>
        <v>3.5168182509434487E-2</v>
      </c>
      <c r="J229" s="3">
        <f t="shared" si="190"/>
        <v>3.5168182509434397E-2</v>
      </c>
      <c r="K229" s="3">
        <f t="shared" si="190"/>
        <v>3.5168182509433522E-2</v>
      </c>
      <c r="L229" s="3">
        <f t="shared" si="190"/>
        <v>3.5168182509424814E-2</v>
      </c>
      <c r="M229" s="3">
        <f t="shared" si="190"/>
        <v>3.5168182509337717E-2</v>
      </c>
      <c r="N229" s="3">
        <f t="shared" si="190"/>
        <v>3.5168182508466733E-2</v>
      </c>
      <c r="O229" s="3">
        <f t="shared" si="190"/>
        <v>3.5168182499756888E-2</v>
      </c>
      <c r="P229" s="3">
        <f t="shared" si="190"/>
        <v>3.51681824126584E-2</v>
      </c>
      <c r="Q229" s="3">
        <f t="shared" si="190"/>
        <v>3.5168181541673574E-2</v>
      </c>
      <c r="R229" s="3">
        <f t="shared" si="190"/>
        <v>3.5168172831826487E-2</v>
      </c>
      <c r="S229" s="3">
        <f t="shared" si="190"/>
        <v>3.5168085733474228E-2</v>
      </c>
      <c r="T229" s="3">
        <f t="shared" si="190"/>
        <v>3.5167214761815647E-2</v>
      </c>
      <c r="U229" s="3">
        <f t="shared" si="190"/>
        <v>3.5158506231516715E-2</v>
      </c>
      <c r="V229" s="3">
        <f t="shared" si="190"/>
        <v>3.5071539448585168E-2</v>
      </c>
      <c r="W229" s="3">
        <f t="shared" si="190"/>
        <v>3.4213615734662715E-2</v>
      </c>
      <c r="X229" s="3">
        <f t="shared" si="190"/>
        <v>2.6707941260899367E-2</v>
      </c>
      <c r="Y229" s="3">
        <f t="shared" si="190"/>
        <v>2.2441650938398155E-3</v>
      </c>
      <c r="Z229" s="3">
        <f t="shared" si="190"/>
        <v>3.9373018304116033E-14</v>
      </c>
      <c r="AA229" s="3">
        <f t="shared" si="190"/>
        <v>1.0880222235547596E-121</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2.0659155414283158E-2</v>
      </c>
      <c r="C230" s="3">
        <f t="shared" si="191"/>
        <v>2.0659155414283158E-2</v>
      </c>
      <c r="D230" s="3">
        <f t="shared" si="191"/>
        <v>2.0659155414283158E-2</v>
      </c>
      <c r="E230" s="3">
        <f t="shared" si="191"/>
        <v>2.0659155414283158E-2</v>
      </c>
      <c r="F230" s="3">
        <f t="shared" si="191"/>
        <v>2.0659155414283158E-2</v>
      </c>
      <c r="G230" s="3">
        <f t="shared" si="191"/>
        <v>2.0659155414283158E-2</v>
      </c>
      <c r="H230" s="3">
        <f t="shared" si="191"/>
        <v>2.0659155414283158E-2</v>
      </c>
      <c r="I230" s="3">
        <f t="shared" si="191"/>
        <v>2.0659155414283158E-2</v>
      </c>
      <c r="J230" s="3">
        <f t="shared" si="191"/>
        <v>2.0659155414283155E-2</v>
      </c>
      <c r="K230" s="3">
        <f t="shared" si="191"/>
        <v>2.0659155414283106E-2</v>
      </c>
      <c r="L230" s="3">
        <f t="shared" si="191"/>
        <v>2.0659155414282645E-2</v>
      </c>
      <c r="M230" s="3">
        <f t="shared" si="191"/>
        <v>2.0659155414278031E-2</v>
      </c>
      <c r="N230" s="3">
        <f t="shared" si="191"/>
        <v>2.0659155414231876E-2</v>
      </c>
      <c r="O230" s="3">
        <f t="shared" si="191"/>
        <v>2.0659155413770326E-2</v>
      </c>
      <c r="P230" s="3">
        <f t="shared" si="191"/>
        <v>2.0659155409154813E-2</v>
      </c>
      <c r="Q230" s="3">
        <f t="shared" si="191"/>
        <v>2.0659155362999698E-2</v>
      </c>
      <c r="R230" s="3">
        <f t="shared" si="191"/>
        <v>2.0659154901448568E-2</v>
      </c>
      <c r="S230" s="3">
        <f t="shared" si="191"/>
        <v>2.0659150285937827E-2</v>
      </c>
      <c r="T230" s="3">
        <f t="shared" si="191"/>
        <v>2.0659104130887111E-2</v>
      </c>
      <c r="U230" s="3">
        <f t="shared" si="191"/>
        <v>2.0658642586051327E-2</v>
      </c>
      <c r="V230" s="3">
        <f t="shared" si="191"/>
        <v>2.0654027704780732E-2</v>
      </c>
      <c r="W230" s="3">
        <f t="shared" si="191"/>
        <v>2.0607935553951743E-2</v>
      </c>
      <c r="X230" s="3">
        <f t="shared" si="191"/>
        <v>2.0152633673771621E-2</v>
      </c>
      <c r="Y230" s="3">
        <f t="shared" si="191"/>
        <v>1.6117773208183455E-2</v>
      </c>
      <c r="Z230" s="3">
        <f t="shared" si="191"/>
        <v>1.7259862863650236E-3</v>
      </c>
      <c r="AA230" s="3">
        <f t="shared" si="191"/>
        <v>3.4226330735707572E-13</v>
      </c>
      <c r="AB230" s="3">
        <f t="shared" si="191"/>
        <v>3.2180320284501679E-110</v>
      </c>
      <c r="AC230" s="3">
        <f t="shared" si="191"/>
        <v>0</v>
      </c>
      <c r="AD230" s="3">
        <f t="shared" si="191"/>
        <v>0</v>
      </c>
      <c r="AE230" s="3">
        <f t="shared" si="191"/>
        <v>0</v>
      </c>
      <c r="AF230" s="3">
        <f t="shared" si="191"/>
        <v>0</v>
      </c>
      <c r="AG230" s="3"/>
      <c r="AH230" s="3"/>
    </row>
    <row r="231" spans="2:34" x14ac:dyDescent="0.25">
      <c r="B231" s="3">
        <f t="shared" ref="B231:AF231" si="192">$C39*EXP(-B$207/$A39/EXP(-$D$126))</f>
        <v>3.0227206274926977E-2</v>
      </c>
      <c r="C231" s="3">
        <f t="shared" si="192"/>
        <v>3.0227206274926977E-2</v>
      </c>
      <c r="D231" s="3">
        <f t="shared" si="192"/>
        <v>3.0227206274926977E-2</v>
      </c>
      <c r="E231" s="3">
        <f t="shared" si="192"/>
        <v>3.0227206274926977E-2</v>
      </c>
      <c r="F231" s="3">
        <f t="shared" si="192"/>
        <v>3.0227206274926977E-2</v>
      </c>
      <c r="G231" s="3">
        <f t="shared" si="192"/>
        <v>3.0227206274926977E-2</v>
      </c>
      <c r="H231" s="3">
        <f t="shared" si="192"/>
        <v>3.0227206274926977E-2</v>
      </c>
      <c r="I231" s="3">
        <f t="shared" si="192"/>
        <v>3.0227206274926977E-2</v>
      </c>
      <c r="J231" s="3">
        <f t="shared" si="192"/>
        <v>3.0227206274926973E-2</v>
      </c>
      <c r="K231" s="3">
        <f t="shared" si="192"/>
        <v>3.0227206274926956E-2</v>
      </c>
      <c r="L231" s="3">
        <f t="shared" si="192"/>
        <v>3.0227206274926768E-2</v>
      </c>
      <c r="M231" s="3">
        <f t="shared" si="192"/>
        <v>3.0227206274924902E-2</v>
      </c>
      <c r="N231" s="3">
        <f t="shared" si="192"/>
        <v>3.0227206274906222E-2</v>
      </c>
      <c r="O231" s="3">
        <f t="shared" si="192"/>
        <v>3.0227206274719448E-2</v>
      </c>
      <c r="P231" s="3">
        <f t="shared" si="192"/>
        <v>3.0227206272851703E-2</v>
      </c>
      <c r="Q231" s="3">
        <f t="shared" si="192"/>
        <v>3.022720625417423E-2</v>
      </c>
      <c r="R231" s="3">
        <f t="shared" si="192"/>
        <v>3.0227206067399492E-2</v>
      </c>
      <c r="S231" s="3">
        <f t="shared" si="192"/>
        <v>3.0227204199652188E-2</v>
      </c>
      <c r="T231" s="3">
        <f t="shared" si="192"/>
        <v>3.0227185522185517E-2</v>
      </c>
      <c r="U231" s="3">
        <f t="shared" si="192"/>
        <v>3.022699874815353E-2</v>
      </c>
      <c r="V231" s="3">
        <f t="shared" si="192"/>
        <v>3.0225131071306782E-2</v>
      </c>
      <c r="W231" s="3">
        <f t="shared" si="192"/>
        <v>3.020646064870143E-2</v>
      </c>
      <c r="X231" s="3">
        <f t="shared" si="192"/>
        <v>3.0020389560436983E-2</v>
      </c>
      <c r="Y231" s="3">
        <f t="shared" si="192"/>
        <v>2.8221568565072744E-2</v>
      </c>
      <c r="Z231" s="3">
        <f t="shared" si="192"/>
        <v>1.5213509005283378E-2</v>
      </c>
      <c r="AA231" s="3">
        <f t="shared" si="192"/>
        <v>3.1529121603180036E-5</v>
      </c>
      <c r="AB231" s="3">
        <f t="shared" si="192"/>
        <v>4.6082563255056756E-32</v>
      </c>
      <c r="AC231" s="3">
        <f t="shared" si="192"/>
        <v>2.0501431736707125E-300</v>
      </c>
      <c r="AD231" s="3">
        <f t="shared" si="192"/>
        <v>0</v>
      </c>
      <c r="AE231" s="3">
        <f t="shared" si="192"/>
        <v>0</v>
      </c>
      <c r="AF231" s="3">
        <f t="shared" si="192"/>
        <v>0</v>
      </c>
      <c r="AG231" s="3"/>
      <c r="AH231" s="3"/>
    </row>
    <row r="232" spans="2:34" x14ac:dyDescent="0.25">
      <c r="B232" s="3">
        <f t="shared" ref="B232:AF232" si="193">$C40*EXP(-B$207/$A40/EXP(-$D$126))</f>
        <v>3.7583954306508939E-2</v>
      </c>
      <c r="C232" s="3">
        <f t="shared" si="193"/>
        <v>3.7583954306508939E-2</v>
      </c>
      <c r="D232" s="3">
        <f t="shared" si="193"/>
        <v>3.7583954306508939E-2</v>
      </c>
      <c r="E232" s="3">
        <f t="shared" si="193"/>
        <v>3.7583954306508939E-2</v>
      </c>
      <c r="F232" s="3">
        <f t="shared" si="193"/>
        <v>3.7583954306508939E-2</v>
      </c>
      <c r="G232" s="3">
        <f t="shared" si="193"/>
        <v>3.7583954306508939E-2</v>
      </c>
      <c r="H232" s="3">
        <f t="shared" si="193"/>
        <v>3.7583954306508939E-2</v>
      </c>
      <c r="I232" s="3">
        <f t="shared" si="193"/>
        <v>3.7583954306508939E-2</v>
      </c>
      <c r="J232" s="3">
        <f t="shared" si="193"/>
        <v>3.7583954306508939E-2</v>
      </c>
      <c r="K232" s="3">
        <f t="shared" si="193"/>
        <v>3.7583954306508932E-2</v>
      </c>
      <c r="L232" s="3">
        <f t="shared" si="193"/>
        <v>3.7583954306508911E-2</v>
      </c>
      <c r="M232" s="3">
        <f t="shared" si="193"/>
        <v>3.7583954306508682E-2</v>
      </c>
      <c r="N232" s="3">
        <f t="shared" si="193"/>
        <v>3.7583954306506358E-2</v>
      </c>
      <c r="O232" s="3">
        <f t="shared" si="193"/>
        <v>3.7583954306483133E-2</v>
      </c>
      <c r="P232" s="3">
        <f t="shared" si="193"/>
        <v>3.7583954306250902E-2</v>
      </c>
      <c r="Q232" s="3">
        <f t="shared" si="193"/>
        <v>3.7583954303928579E-2</v>
      </c>
      <c r="R232" s="3">
        <f t="shared" si="193"/>
        <v>3.7583954280705351E-2</v>
      </c>
      <c r="S232" s="3">
        <f t="shared" si="193"/>
        <v>3.7583954048473069E-2</v>
      </c>
      <c r="T232" s="3">
        <f t="shared" si="193"/>
        <v>3.7583951726150304E-2</v>
      </c>
      <c r="U232" s="3">
        <f t="shared" si="193"/>
        <v>3.758392850293054E-2</v>
      </c>
      <c r="V232" s="3">
        <f t="shared" si="193"/>
        <v>3.7583696271522193E-2</v>
      </c>
      <c r="W232" s="3">
        <f t="shared" si="193"/>
        <v>3.7581374036359964E-2</v>
      </c>
      <c r="X232" s="3">
        <f t="shared" si="193"/>
        <v>3.755815957506637E-2</v>
      </c>
      <c r="Y232" s="3">
        <f t="shared" si="193"/>
        <v>3.7326802194053814E-2</v>
      </c>
      <c r="Z232" s="3">
        <f t="shared" si="193"/>
        <v>3.5090181135513009E-2</v>
      </c>
      <c r="AA232" s="3">
        <f t="shared" si="193"/>
        <v>1.8916198278321177E-2</v>
      </c>
      <c r="AB232" s="3">
        <f t="shared" si="193"/>
        <v>3.9202731965382235E-5</v>
      </c>
      <c r="AC232" s="3">
        <f t="shared" si="193"/>
        <v>5.7298214593569645E-32</v>
      </c>
      <c r="AD232" s="3">
        <f t="shared" si="193"/>
        <v>2.5491104490511644E-300</v>
      </c>
      <c r="AE232" s="3">
        <f t="shared" si="193"/>
        <v>0</v>
      </c>
      <c r="AF232" s="3">
        <f t="shared" si="193"/>
        <v>0</v>
      </c>
      <c r="AG232" s="3"/>
      <c r="AH232" s="3"/>
    </row>
    <row r="233" spans="2:34" x14ac:dyDescent="0.25">
      <c r="B233" s="3">
        <f t="shared" ref="B233:AF233" si="194">$C41*EXP(-B$207/$A41/EXP(-$D$126))</f>
        <v>3.8796261080834012E-2</v>
      </c>
      <c r="C233" s="3">
        <f t="shared" si="194"/>
        <v>3.8796261080834012E-2</v>
      </c>
      <c r="D233" s="3">
        <f t="shared" si="194"/>
        <v>3.8796261080834012E-2</v>
      </c>
      <c r="E233" s="3">
        <f t="shared" si="194"/>
        <v>3.8796261080834012E-2</v>
      </c>
      <c r="F233" s="3">
        <f t="shared" si="194"/>
        <v>3.8796261080834012E-2</v>
      </c>
      <c r="G233" s="3">
        <f t="shared" si="194"/>
        <v>3.8796261080834012E-2</v>
      </c>
      <c r="H233" s="3">
        <f t="shared" si="194"/>
        <v>3.8796261080834012E-2</v>
      </c>
      <c r="I233" s="3">
        <f t="shared" si="194"/>
        <v>3.8796261080834012E-2</v>
      </c>
      <c r="J233" s="3">
        <f t="shared" si="194"/>
        <v>3.8796261080834012E-2</v>
      </c>
      <c r="K233" s="3">
        <f t="shared" si="194"/>
        <v>3.8796261080834012E-2</v>
      </c>
      <c r="L233" s="3">
        <f t="shared" si="194"/>
        <v>3.8796261080834005E-2</v>
      </c>
      <c r="M233" s="3">
        <f t="shared" si="194"/>
        <v>3.8796261080833984E-2</v>
      </c>
      <c r="N233" s="3">
        <f t="shared" si="194"/>
        <v>3.8796261080833748E-2</v>
      </c>
      <c r="O233" s="3">
        <f t="shared" si="194"/>
        <v>3.8796261080831347E-2</v>
      </c>
      <c r="P233" s="3">
        <f t="shared" si="194"/>
        <v>3.8796261080807373E-2</v>
      </c>
      <c r="Q233" s="3">
        <f t="shared" si="194"/>
        <v>3.8796261080567648E-2</v>
      </c>
      <c r="R233" s="3">
        <f t="shared" si="194"/>
        <v>3.879626107817042E-2</v>
      </c>
      <c r="S233" s="3">
        <f t="shared" si="194"/>
        <v>3.8796261054198103E-2</v>
      </c>
      <c r="T233" s="3">
        <f t="shared" si="194"/>
        <v>3.8796260814474945E-2</v>
      </c>
      <c r="U233" s="3">
        <f t="shared" si="194"/>
        <v>3.8796258417243414E-2</v>
      </c>
      <c r="V233" s="3">
        <f t="shared" si="194"/>
        <v>3.8796234444936253E-2</v>
      </c>
      <c r="W233" s="3">
        <f t="shared" si="194"/>
        <v>3.8795994722679354E-2</v>
      </c>
      <c r="X233" s="3">
        <f t="shared" si="194"/>
        <v>3.8793597581577327E-2</v>
      </c>
      <c r="Y233" s="3">
        <f t="shared" si="194"/>
        <v>3.8769634315395908E-2</v>
      </c>
      <c r="Z233" s="3">
        <f t="shared" si="194"/>
        <v>3.8530814278431712E-2</v>
      </c>
      <c r="AA233" s="3">
        <f t="shared" si="194"/>
        <v>3.6222048845758421E-2</v>
      </c>
      <c r="AB233" s="3">
        <f t="shared" si="194"/>
        <v>1.9526358537943288E-2</v>
      </c>
      <c r="AC233" s="3">
        <f t="shared" si="194"/>
        <v>4.0467253977784012E-5</v>
      </c>
      <c r="AD233" s="3">
        <f t="shared" si="194"/>
        <v>5.9146423889005237E-32</v>
      </c>
      <c r="AE233" s="3">
        <f t="shared" si="194"/>
        <v>2.631334470522805E-300</v>
      </c>
      <c r="AF233" s="3">
        <f t="shared" si="194"/>
        <v>0</v>
      </c>
      <c r="AG233" s="3"/>
      <c r="AH233" s="3"/>
    </row>
    <row r="234" spans="2:34" x14ac:dyDescent="0.25">
      <c r="B234" s="3">
        <f t="shared" ref="B234:AF234" si="195">$C42*EXP(-B$207/$A42/EXP(-$D$126))</f>
        <v>4.443590866461708E-2</v>
      </c>
      <c r="C234" s="3">
        <f t="shared" si="195"/>
        <v>4.443590866461708E-2</v>
      </c>
      <c r="D234" s="3">
        <f t="shared" si="195"/>
        <v>4.443590866461708E-2</v>
      </c>
      <c r="E234" s="3">
        <f t="shared" si="195"/>
        <v>4.443590866461708E-2</v>
      </c>
      <c r="F234" s="3">
        <f t="shared" si="195"/>
        <v>4.443590866461708E-2</v>
      </c>
      <c r="G234" s="3">
        <f t="shared" si="195"/>
        <v>4.443590866461708E-2</v>
      </c>
      <c r="H234" s="3">
        <f t="shared" si="195"/>
        <v>4.443590866461708E-2</v>
      </c>
      <c r="I234" s="3">
        <f t="shared" si="195"/>
        <v>4.443590866461708E-2</v>
      </c>
      <c r="J234" s="3">
        <f t="shared" si="195"/>
        <v>4.443590866461708E-2</v>
      </c>
      <c r="K234" s="3">
        <f t="shared" si="195"/>
        <v>4.443590866461708E-2</v>
      </c>
      <c r="L234" s="3">
        <f t="shared" si="195"/>
        <v>4.443590866461708E-2</v>
      </c>
      <c r="M234" s="3">
        <f t="shared" si="195"/>
        <v>4.4435908664617073E-2</v>
      </c>
      <c r="N234" s="3">
        <f t="shared" si="195"/>
        <v>4.4435908664617052E-2</v>
      </c>
      <c r="O234" s="3">
        <f t="shared" si="195"/>
        <v>4.4435908664616774E-2</v>
      </c>
      <c r="P234" s="3">
        <f t="shared" si="195"/>
        <v>4.4435908664614034E-2</v>
      </c>
      <c r="Q234" s="3">
        <f t="shared" si="195"/>
        <v>4.4435908664586569E-2</v>
      </c>
      <c r="R234" s="3">
        <f t="shared" si="195"/>
        <v>4.4435908664311997E-2</v>
      </c>
      <c r="S234" s="3">
        <f t="shared" si="195"/>
        <v>4.4435908661566291E-2</v>
      </c>
      <c r="T234" s="3">
        <f t="shared" si="195"/>
        <v>4.4435908634109227E-2</v>
      </c>
      <c r="U234" s="3">
        <f t="shared" si="195"/>
        <v>4.4435908359538527E-2</v>
      </c>
      <c r="V234" s="3">
        <f t="shared" si="195"/>
        <v>4.4435905613831636E-2</v>
      </c>
      <c r="W234" s="3">
        <f t="shared" si="195"/>
        <v>4.4435878156772073E-2</v>
      </c>
      <c r="X234" s="3">
        <f t="shared" si="195"/>
        <v>4.4435603587109539E-2</v>
      </c>
      <c r="Y234" s="3">
        <f t="shared" si="195"/>
        <v>4.4432857983793692E-2</v>
      </c>
      <c r="Z234" s="3">
        <f t="shared" si="195"/>
        <v>4.4405411279454715E-2</v>
      </c>
      <c r="AA234" s="3">
        <f t="shared" si="195"/>
        <v>4.4131874988735609E-2</v>
      </c>
      <c r="AB234" s="3">
        <f t="shared" si="195"/>
        <v>4.148749413769072E-2</v>
      </c>
      <c r="AC234" s="3">
        <f t="shared" si="195"/>
        <v>2.2364822288848285E-2</v>
      </c>
      <c r="AD234" s="3">
        <f t="shared" si="195"/>
        <v>4.6349806697043088E-5</v>
      </c>
      <c r="AE234" s="3">
        <f t="shared" si="195"/>
        <v>6.774428814917293E-32</v>
      </c>
      <c r="AF234" s="3">
        <f t="shared" si="195"/>
        <v>3.0138403789630422E-300</v>
      </c>
      <c r="AG234" s="3"/>
      <c r="AH234" s="3"/>
    </row>
    <row r="235" spans="2:34" x14ac:dyDescent="0.25">
      <c r="B235" s="3">
        <f t="shared" ref="B235:AF235" si="196">$C43*EXP(-B$207/$A43/EXP(-$D$126))</f>
        <v>5.224128023540766E-2</v>
      </c>
      <c r="C235" s="3">
        <f t="shared" si="196"/>
        <v>5.224128023540766E-2</v>
      </c>
      <c r="D235" s="3">
        <f t="shared" si="196"/>
        <v>5.224128023540766E-2</v>
      </c>
      <c r="E235" s="3">
        <f t="shared" si="196"/>
        <v>5.224128023540766E-2</v>
      </c>
      <c r="F235" s="3">
        <f t="shared" si="196"/>
        <v>5.224128023540766E-2</v>
      </c>
      <c r="G235" s="3">
        <f t="shared" si="196"/>
        <v>5.224128023540766E-2</v>
      </c>
      <c r="H235" s="3">
        <f t="shared" si="196"/>
        <v>5.224128023540766E-2</v>
      </c>
      <c r="I235" s="3">
        <f t="shared" si="196"/>
        <v>5.224128023540766E-2</v>
      </c>
      <c r="J235" s="3">
        <f t="shared" si="196"/>
        <v>5.224128023540766E-2</v>
      </c>
      <c r="K235" s="3">
        <f t="shared" si="196"/>
        <v>5.224128023540766E-2</v>
      </c>
      <c r="L235" s="3">
        <f t="shared" si="196"/>
        <v>5.224128023540766E-2</v>
      </c>
      <c r="M235" s="3">
        <f t="shared" si="196"/>
        <v>5.224128023540766E-2</v>
      </c>
      <c r="N235" s="3">
        <f t="shared" si="196"/>
        <v>5.2241280235407653E-2</v>
      </c>
      <c r="O235" s="3">
        <f t="shared" si="196"/>
        <v>5.2241280235407625E-2</v>
      </c>
      <c r="P235" s="3">
        <f t="shared" si="196"/>
        <v>5.2241280235407299E-2</v>
      </c>
      <c r="Q235" s="3">
        <f t="shared" si="196"/>
        <v>5.2241280235404072E-2</v>
      </c>
      <c r="R235" s="3">
        <f t="shared" si="196"/>
        <v>5.2241280235371793E-2</v>
      </c>
      <c r="S235" s="3">
        <f t="shared" si="196"/>
        <v>5.2241280235048988E-2</v>
      </c>
      <c r="T235" s="3">
        <f t="shared" si="196"/>
        <v>5.2241280231820987E-2</v>
      </c>
      <c r="U235" s="3">
        <f t="shared" si="196"/>
        <v>5.2241280199540961E-2</v>
      </c>
      <c r="V235" s="3">
        <f t="shared" si="196"/>
        <v>5.2241279876740661E-2</v>
      </c>
      <c r="W235" s="3">
        <f t="shared" si="196"/>
        <v>5.2241276648737733E-2</v>
      </c>
      <c r="X235" s="3">
        <f t="shared" si="196"/>
        <v>5.2241244368719471E-2</v>
      </c>
      <c r="Y235" s="3">
        <f t="shared" si="196"/>
        <v>5.2240921569633871E-2</v>
      </c>
      <c r="Z235" s="3">
        <f t="shared" si="196"/>
        <v>5.2237693688477645E-2</v>
      </c>
      <c r="AA235" s="3">
        <f t="shared" si="196"/>
        <v>5.2205425844384867E-2</v>
      </c>
      <c r="AB235" s="3">
        <f t="shared" si="196"/>
        <v>5.1883841647111781E-2</v>
      </c>
      <c r="AC235" s="3">
        <f t="shared" si="196"/>
        <v>4.8774963146814954E-2</v>
      </c>
      <c r="AD235" s="3">
        <f t="shared" si="196"/>
        <v>2.629330610577001E-2</v>
      </c>
      <c r="AE235" s="3">
        <f t="shared" si="196"/>
        <v>5.4491363252919508E-5</v>
      </c>
      <c r="AF235" s="3">
        <f t="shared" si="196"/>
        <v>7.964388369461165E-32</v>
      </c>
      <c r="AG235" s="3"/>
      <c r="AH235" s="3"/>
    </row>
    <row r="236" spans="2:34" x14ac:dyDescent="0.25">
      <c r="B236" s="3">
        <f t="shared" ref="B236:AF236" si="197">$C44*EXP(-B$207/$A44/EXP(-$D$126))</f>
        <v>5.759294658465644E-2</v>
      </c>
      <c r="C236" s="3">
        <f t="shared" si="197"/>
        <v>5.759294658465644E-2</v>
      </c>
      <c r="D236" s="3">
        <f t="shared" si="197"/>
        <v>5.759294658465644E-2</v>
      </c>
      <c r="E236" s="3">
        <f t="shared" si="197"/>
        <v>5.759294658465644E-2</v>
      </c>
      <c r="F236" s="3">
        <f t="shared" si="197"/>
        <v>5.759294658465644E-2</v>
      </c>
      <c r="G236" s="3">
        <f t="shared" si="197"/>
        <v>5.759294658465644E-2</v>
      </c>
      <c r="H236" s="3">
        <f t="shared" si="197"/>
        <v>5.759294658465644E-2</v>
      </c>
      <c r="I236" s="3">
        <f t="shared" si="197"/>
        <v>5.759294658465644E-2</v>
      </c>
      <c r="J236" s="3">
        <f t="shared" si="197"/>
        <v>5.759294658465644E-2</v>
      </c>
      <c r="K236" s="3">
        <f t="shared" si="197"/>
        <v>5.759294658465644E-2</v>
      </c>
      <c r="L236" s="3">
        <f t="shared" si="197"/>
        <v>5.759294658465644E-2</v>
      </c>
      <c r="M236" s="3">
        <f t="shared" si="197"/>
        <v>5.759294658465644E-2</v>
      </c>
      <c r="N236" s="3">
        <f t="shared" si="197"/>
        <v>5.759294658465644E-2</v>
      </c>
      <c r="O236" s="3">
        <f t="shared" si="197"/>
        <v>5.7592946584656433E-2</v>
      </c>
      <c r="P236" s="3">
        <f t="shared" si="197"/>
        <v>5.7592946584656399E-2</v>
      </c>
      <c r="Q236" s="3">
        <f t="shared" si="197"/>
        <v>5.7592946584656045E-2</v>
      </c>
      <c r="R236" s="3">
        <f t="shared" si="197"/>
        <v>5.7592946584652492E-2</v>
      </c>
      <c r="S236" s="3">
        <f t="shared" si="197"/>
        <v>5.7592946584616903E-2</v>
      </c>
      <c r="T236" s="3">
        <f t="shared" si="197"/>
        <v>5.7592946584261027E-2</v>
      </c>
      <c r="U236" s="3">
        <f t="shared" si="197"/>
        <v>5.7592946580702346E-2</v>
      </c>
      <c r="V236" s="3">
        <f t="shared" si="197"/>
        <v>5.7592946545115507E-2</v>
      </c>
      <c r="W236" s="3">
        <f t="shared" si="197"/>
        <v>5.759294618924711E-2</v>
      </c>
      <c r="X236" s="3">
        <f t="shared" si="197"/>
        <v>5.7592942630563262E-2</v>
      </c>
      <c r="Y236" s="3">
        <f t="shared" si="197"/>
        <v>5.7592907043736929E-2</v>
      </c>
      <c r="Z236" s="3">
        <f t="shared" si="197"/>
        <v>5.7592551176682931E-2</v>
      </c>
      <c r="AA236" s="3">
        <f t="shared" si="197"/>
        <v>5.7588992627080504E-2</v>
      </c>
      <c r="AB236" s="3">
        <f t="shared" si="197"/>
        <v>5.7553419222047868E-2</v>
      </c>
      <c r="AC236" s="3">
        <f t="shared" si="197"/>
        <v>5.7198891511154114E-2</v>
      </c>
      <c r="AD236" s="3">
        <f t="shared" si="197"/>
        <v>5.3771535355275915E-2</v>
      </c>
      <c r="AE236" s="3">
        <f t="shared" si="197"/>
        <v>2.898682741425769E-2</v>
      </c>
      <c r="AF236" s="3">
        <f t="shared" si="197"/>
        <v>6.0073531104305539E-5</v>
      </c>
      <c r="AG236" s="3"/>
      <c r="AH236" s="3"/>
    </row>
    <row r="237" spans="2:34" x14ac:dyDescent="0.25">
      <c r="B237" s="3">
        <f t="shared" ref="B237:AF237" si="198">$C45*EXP(-B$207/$A45/EXP(-$D$126))</f>
        <v>5.4172080221644638E-2</v>
      </c>
      <c r="C237" s="3">
        <f t="shared" si="198"/>
        <v>5.4172080221644638E-2</v>
      </c>
      <c r="D237" s="3">
        <f t="shared" si="198"/>
        <v>5.4172080221644638E-2</v>
      </c>
      <c r="E237" s="3">
        <f t="shared" si="198"/>
        <v>5.4172080221644638E-2</v>
      </c>
      <c r="F237" s="3">
        <f t="shared" si="198"/>
        <v>5.4172080221644638E-2</v>
      </c>
      <c r="G237" s="3">
        <f t="shared" si="198"/>
        <v>5.4172080221644638E-2</v>
      </c>
      <c r="H237" s="3">
        <f t="shared" si="198"/>
        <v>5.4172080221644638E-2</v>
      </c>
      <c r="I237" s="3">
        <f t="shared" si="198"/>
        <v>5.4172080221644638E-2</v>
      </c>
      <c r="J237" s="3">
        <f t="shared" si="198"/>
        <v>5.4172080221644638E-2</v>
      </c>
      <c r="K237" s="3">
        <f t="shared" si="198"/>
        <v>5.4172080221644638E-2</v>
      </c>
      <c r="L237" s="3">
        <f t="shared" si="198"/>
        <v>5.4172080221644638E-2</v>
      </c>
      <c r="M237" s="3">
        <f t="shared" si="198"/>
        <v>5.4172080221644638E-2</v>
      </c>
      <c r="N237" s="3">
        <f t="shared" si="198"/>
        <v>5.4172080221644638E-2</v>
      </c>
      <c r="O237" s="3">
        <f t="shared" si="198"/>
        <v>5.4172080221644638E-2</v>
      </c>
      <c r="P237" s="3">
        <f t="shared" si="198"/>
        <v>5.4172080221644631E-2</v>
      </c>
      <c r="Q237" s="3">
        <f t="shared" si="198"/>
        <v>5.4172080221644603E-2</v>
      </c>
      <c r="R237" s="3">
        <f t="shared" si="198"/>
        <v>5.4172080221644263E-2</v>
      </c>
      <c r="S237" s="3">
        <f t="shared" si="198"/>
        <v>5.4172080221640918E-2</v>
      </c>
      <c r="T237" s="3">
        <f t="shared" si="198"/>
        <v>5.4172080221607445E-2</v>
      </c>
      <c r="U237" s="3">
        <f t="shared" si="198"/>
        <v>5.4172080221272713E-2</v>
      </c>
      <c r="V237" s="3">
        <f t="shared" si="198"/>
        <v>5.4172080217925404E-2</v>
      </c>
      <c r="W237" s="3">
        <f t="shared" si="198"/>
        <v>5.4172080184452333E-2</v>
      </c>
      <c r="X237" s="3">
        <f t="shared" si="198"/>
        <v>5.4172079849721562E-2</v>
      </c>
      <c r="Y237" s="3">
        <f t="shared" si="198"/>
        <v>5.4172076502413978E-2</v>
      </c>
      <c r="Z237" s="3">
        <f t="shared" si="198"/>
        <v>5.4172043029349554E-2</v>
      </c>
      <c r="AA237" s="3">
        <f t="shared" si="198"/>
        <v>5.4171708299842899E-2</v>
      </c>
      <c r="AB237" s="3">
        <f t="shared" si="198"/>
        <v>5.4168361118530475E-2</v>
      </c>
      <c r="AC237" s="3">
        <f t="shared" si="198"/>
        <v>5.4134900678225475E-2</v>
      </c>
      <c r="AD237" s="3">
        <f t="shared" si="198"/>
        <v>5.3801430961285361E-2</v>
      </c>
      <c r="AE237" s="3">
        <f t="shared" si="198"/>
        <v>5.0577650557004993E-2</v>
      </c>
      <c r="AF237" s="3">
        <f t="shared" si="198"/>
        <v>2.7265087709099418E-2</v>
      </c>
      <c r="AG237" s="3"/>
      <c r="AH237" s="3"/>
    </row>
    <row r="238" spans="2:34" x14ac:dyDescent="0.25">
      <c r="B238" s="3">
        <f t="shared" ref="B238:AF238" si="199">$C46*EXP(-B$207/$A46/EXP(-$D$126))</f>
        <v>3.8751330064371987E-2</v>
      </c>
      <c r="C238" s="3">
        <f t="shared" si="199"/>
        <v>3.8751330064371987E-2</v>
      </c>
      <c r="D238" s="3">
        <f t="shared" si="199"/>
        <v>3.8751330064371987E-2</v>
      </c>
      <c r="E238" s="3">
        <f t="shared" si="199"/>
        <v>3.8751330064371987E-2</v>
      </c>
      <c r="F238" s="3">
        <f t="shared" si="199"/>
        <v>3.8751330064371987E-2</v>
      </c>
      <c r="G238" s="3">
        <f t="shared" si="199"/>
        <v>3.8751330064371987E-2</v>
      </c>
      <c r="H238" s="3">
        <f t="shared" si="199"/>
        <v>3.8751330064371987E-2</v>
      </c>
      <c r="I238" s="3">
        <f t="shared" si="199"/>
        <v>3.8751330064371987E-2</v>
      </c>
      <c r="J238" s="3">
        <f t="shared" si="199"/>
        <v>3.8751330064371987E-2</v>
      </c>
      <c r="K238" s="3">
        <f t="shared" si="199"/>
        <v>3.8751330064371987E-2</v>
      </c>
      <c r="L238" s="3">
        <f t="shared" si="199"/>
        <v>3.8751330064371987E-2</v>
      </c>
      <c r="M238" s="3">
        <f t="shared" si="199"/>
        <v>3.8751330064371987E-2</v>
      </c>
      <c r="N238" s="3">
        <f t="shared" si="199"/>
        <v>3.8751330064371987E-2</v>
      </c>
      <c r="O238" s="3">
        <f t="shared" si="199"/>
        <v>3.8751330064371987E-2</v>
      </c>
      <c r="P238" s="3">
        <f t="shared" si="199"/>
        <v>3.8751330064371987E-2</v>
      </c>
      <c r="Q238" s="3">
        <f t="shared" si="199"/>
        <v>3.875133006437198E-2</v>
      </c>
      <c r="R238" s="3">
        <f t="shared" si="199"/>
        <v>3.875133006437196E-2</v>
      </c>
      <c r="S238" s="3">
        <f t="shared" si="199"/>
        <v>3.8751330064371724E-2</v>
      </c>
      <c r="T238" s="3">
        <f t="shared" si="199"/>
        <v>3.875133006436933E-2</v>
      </c>
      <c r="U238" s="3">
        <f t="shared" si="199"/>
        <v>3.8751330064345384E-2</v>
      </c>
      <c r="V238" s="3">
        <f t="shared" si="199"/>
        <v>3.8751330064105936E-2</v>
      </c>
      <c r="W238" s="3">
        <f t="shared" si="199"/>
        <v>3.8751330061711484E-2</v>
      </c>
      <c r="X238" s="3">
        <f t="shared" si="199"/>
        <v>3.8751330037766929E-2</v>
      </c>
      <c r="Y238" s="3">
        <f t="shared" si="199"/>
        <v>3.8751329798321396E-2</v>
      </c>
      <c r="Z238" s="3">
        <f t="shared" si="199"/>
        <v>3.8751327403866165E-2</v>
      </c>
      <c r="AA238" s="3">
        <f t="shared" si="199"/>
        <v>3.8751303459321991E-2</v>
      </c>
      <c r="AB238" s="3">
        <f t="shared" si="199"/>
        <v>3.8751064014694026E-2</v>
      </c>
      <c r="AC238" s="3">
        <f t="shared" si="199"/>
        <v>3.8748669649787008E-2</v>
      </c>
      <c r="AD238" s="3">
        <f t="shared" si="199"/>
        <v>3.8724734136122901E-2</v>
      </c>
      <c r="AE238" s="3">
        <f t="shared" si="199"/>
        <v>3.8486190683208646E-2</v>
      </c>
      <c r="AF238" s="3">
        <f t="shared" si="199"/>
        <v>3.6180099095250606E-2</v>
      </c>
      <c r="AG238" s="3"/>
      <c r="AH238" s="3"/>
    </row>
    <row r="239" spans="2:34" x14ac:dyDescent="0.25">
      <c r="B239" s="3">
        <f t="shared" ref="B239:AF239" si="200">$C47*EXP(-B$207/$A47/EXP(-$D$126))</f>
        <v>2.0828240532986285E-2</v>
      </c>
      <c r="C239" s="3">
        <f t="shared" si="200"/>
        <v>2.0828240532986285E-2</v>
      </c>
      <c r="D239" s="3">
        <f t="shared" si="200"/>
        <v>2.0828240532986285E-2</v>
      </c>
      <c r="E239" s="3">
        <f t="shared" si="200"/>
        <v>2.0828240532986285E-2</v>
      </c>
      <c r="F239" s="3">
        <f t="shared" si="200"/>
        <v>2.0828240532986285E-2</v>
      </c>
      <c r="G239" s="3">
        <f t="shared" si="200"/>
        <v>2.0828240532986285E-2</v>
      </c>
      <c r="H239" s="3">
        <f t="shared" si="200"/>
        <v>2.0828240532986285E-2</v>
      </c>
      <c r="I239" s="3">
        <f t="shared" si="200"/>
        <v>2.0828240532986285E-2</v>
      </c>
      <c r="J239" s="3">
        <f t="shared" si="200"/>
        <v>2.0828240532986285E-2</v>
      </c>
      <c r="K239" s="3">
        <f t="shared" si="200"/>
        <v>2.0828240532986285E-2</v>
      </c>
      <c r="L239" s="3">
        <f t="shared" si="200"/>
        <v>2.0828240532986285E-2</v>
      </c>
      <c r="M239" s="3">
        <f t="shared" si="200"/>
        <v>2.0828240532986285E-2</v>
      </c>
      <c r="N239" s="3">
        <f t="shared" si="200"/>
        <v>2.0828240532986285E-2</v>
      </c>
      <c r="O239" s="3">
        <f t="shared" si="200"/>
        <v>2.0828240532986285E-2</v>
      </c>
      <c r="P239" s="3">
        <f t="shared" si="200"/>
        <v>2.0828240532986285E-2</v>
      </c>
      <c r="Q239" s="3">
        <f t="shared" si="200"/>
        <v>2.0828240532986285E-2</v>
      </c>
      <c r="R239" s="3">
        <f t="shared" si="200"/>
        <v>2.0828240532986281E-2</v>
      </c>
      <c r="S239" s="3">
        <f t="shared" si="200"/>
        <v>2.0828240532986271E-2</v>
      </c>
      <c r="T239" s="3">
        <f t="shared" si="200"/>
        <v>2.0828240532986143E-2</v>
      </c>
      <c r="U239" s="3">
        <f t="shared" si="200"/>
        <v>2.0828240532984856E-2</v>
      </c>
      <c r="V239" s="3">
        <f t="shared" si="200"/>
        <v>2.0828240532971984E-2</v>
      </c>
      <c r="W239" s="3">
        <f t="shared" si="200"/>
        <v>2.0828240532843285E-2</v>
      </c>
      <c r="X239" s="3">
        <f t="shared" si="200"/>
        <v>2.0828240531556304E-2</v>
      </c>
      <c r="Y239" s="3">
        <f t="shared" si="200"/>
        <v>2.0828240518686477E-2</v>
      </c>
      <c r="Z239" s="3">
        <f t="shared" si="200"/>
        <v>2.082824038998821E-2</v>
      </c>
      <c r="AA239" s="3">
        <f t="shared" si="200"/>
        <v>2.0828239103005557E-2</v>
      </c>
      <c r="AB239" s="3">
        <f t="shared" si="200"/>
        <v>2.0828226233183422E-2</v>
      </c>
      <c r="AC239" s="3">
        <f t="shared" si="200"/>
        <v>2.082809753539944E-2</v>
      </c>
      <c r="AD239" s="3">
        <f t="shared" si="200"/>
        <v>2.0826810601296163E-2</v>
      </c>
      <c r="AE239" s="3">
        <f t="shared" si="200"/>
        <v>2.0813945632918343E-2</v>
      </c>
      <c r="AF239" s="3">
        <f t="shared" si="200"/>
        <v>2.0685732216588794E-2</v>
      </c>
      <c r="AG239" s="3"/>
      <c r="AH239" s="3"/>
    </row>
    <row r="240" spans="2:34" x14ac:dyDescent="0.25">
      <c r="B240" s="3">
        <f t="shared" ref="B240:AF240" si="201">$C48*EXP(-B$207/$A48/EXP(-$D$126))</f>
        <v>2.990470230026878E-2</v>
      </c>
      <c r="C240" s="3">
        <f t="shared" si="201"/>
        <v>2.990470230026878E-2</v>
      </c>
      <c r="D240" s="3">
        <f t="shared" si="201"/>
        <v>2.990470230026878E-2</v>
      </c>
      <c r="E240" s="3">
        <f t="shared" si="201"/>
        <v>2.990470230026878E-2</v>
      </c>
      <c r="F240" s="3">
        <f t="shared" si="201"/>
        <v>2.990470230026878E-2</v>
      </c>
      <c r="G240" s="3">
        <f t="shared" si="201"/>
        <v>2.990470230026878E-2</v>
      </c>
      <c r="H240" s="3">
        <f t="shared" si="201"/>
        <v>2.990470230026878E-2</v>
      </c>
      <c r="I240" s="3">
        <f t="shared" si="201"/>
        <v>2.990470230026878E-2</v>
      </c>
      <c r="J240" s="3">
        <f t="shared" si="201"/>
        <v>2.990470230026878E-2</v>
      </c>
      <c r="K240" s="3">
        <f t="shared" si="201"/>
        <v>2.990470230026878E-2</v>
      </c>
      <c r="L240" s="3">
        <f t="shared" si="201"/>
        <v>2.990470230026878E-2</v>
      </c>
      <c r="M240" s="3">
        <f t="shared" si="201"/>
        <v>2.990470230026878E-2</v>
      </c>
      <c r="N240" s="3">
        <f t="shared" si="201"/>
        <v>2.990470230026878E-2</v>
      </c>
      <c r="O240" s="3">
        <f t="shared" si="201"/>
        <v>2.990470230026878E-2</v>
      </c>
      <c r="P240" s="3">
        <f t="shared" si="201"/>
        <v>2.990470230026878E-2</v>
      </c>
      <c r="Q240" s="3">
        <f t="shared" si="201"/>
        <v>2.990470230026878E-2</v>
      </c>
      <c r="R240" s="3">
        <f t="shared" si="201"/>
        <v>2.990470230026878E-2</v>
      </c>
      <c r="S240" s="3">
        <f t="shared" si="201"/>
        <v>2.9904702300268777E-2</v>
      </c>
      <c r="T240" s="3">
        <f t="shared" si="201"/>
        <v>2.990470230026876E-2</v>
      </c>
      <c r="U240" s="3">
        <f t="shared" si="201"/>
        <v>2.9904702300268576E-2</v>
      </c>
      <c r="V240" s="3">
        <f t="shared" si="201"/>
        <v>2.990470230026673E-2</v>
      </c>
      <c r="W240" s="3">
        <f t="shared" si="201"/>
        <v>2.9904702300248248E-2</v>
      </c>
      <c r="X240" s="3">
        <f t="shared" si="201"/>
        <v>2.9904702300063465E-2</v>
      </c>
      <c r="Y240" s="3">
        <f t="shared" si="201"/>
        <v>2.9904702298215648E-2</v>
      </c>
      <c r="Z240" s="3">
        <f t="shared" si="201"/>
        <v>2.990470227973745E-2</v>
      </c>
      <c r="AA240" s="3">
        <f t="shared" si="201"/>
        <v>2.9904702094955476E-2</v>
      </c>
      <c r="AB240" s="3">
        <f t="shared" si="201"/>
        <v>2.990470024713578E-2</v>
      </c>
      <c r="AC240" s="3">
        <f t="shared" si="201"/>
        <v>2.9904681768945122E-2</v>
      </c>
      <c r="AD240" s="3">
        <f t="shared" si="201"/>
        <v>2.9904496987666524E-2</v>
      </c>
      <c r="AE240" s="3">
        <f t="shared" si="201"/>
        <v>2.9902649237676427E-2</v>
      </c>
      <c r="AF240" s="3">
        <f t="shared" si="201"/>
        <v>2.9884178015931521E-2</v>
      </c>
      <c r="AG240" s="3"/>
      <c r="AH240" s="3"/>
    </row>
    <row r="241" spans="1:34" x14ac:dyDescent="0.25">
      <c r="A241" s="80">
        <f>AVERAGE(B241:AF241)</f>
        <v>2.0468737434776391E-3</v>
      </c>
      <c r="B241" s="81">
        <f>IF($A$64&lt;=B207,IF($B$64&gt;=B207,ABS((B209-B208)/B208),0),0)</f>
        <v>0</v>
      </c>
      <c r="C241" s="81">
        <f t="shared" ref="C241:AF241" si="202">IF($A$64&lt;=C207,IF($B$64&gt;=C207,ABS((C209-C208)/C208),0),0)</f>
        <v>0</v>
      </c>
      <c r="D241" s="81">
        <f t="shared" si="202"/>
        <v>0</v>
      </c>
      <c r="E241" s="81">
        <f t="shared" si="202"/>
        <v>0</v>
      </c>
      <c r="F241" s="81">
        <f t="shared" si="202"/>
        <v>0</v>
      </c>
      <c r="G241" s="81">
        <f t="shared" si="202"/>
        <v>0</v>
      </c>
      <c r="H241" s="81">
        <f t="shared" si="202"/>
        <v>0</v>
      </c>
      <c r="I241" s="81">
        <f t="shared" si="202"/>
        <v>0</v>
      </c>
      <c r="J241" s="81">
        <f t="shared" si="202"/>
        <v>0</v>
      </c>
      <c r="K241" s="81">
        <f t="shared" si="202"/>
        <v>0</v>
      </c>
      <c r="L241" s="81">
        <f t="shared" si="202"/>
        <v>2.7620800162541821E-3</v>
      </c>
      <c r="M241" s="81">
        <f t="shared" si="202"/>
        <v>2.7800491098080543E-3</v>
      </c>
      <c r="N241" s="81">
        <f t="shared" si="202"/>
        <v>3.2216054100138954E-3</v>
      </c>
      <c r="O241" s="81">
        <f t="shared" si="202"/>
        <v>3.1344867267033331E-3</v>
      </c>
      <c r="P241" s="81">
        <f t="shared" si="202"/>
        <v>3.7051226447593504E-3</v>
      </c>
      <c r="Q241" s="81">
        <f t="shared" si="202"/>
        <v>4.3209220680090659E-3</v>
      </c>
      <c r="R241" s="81">
        <f t="shared" si="202"/>
        <v>4.8590208937056584E-3</v>
      </c>
      <c r="S241" s="81">
        <f t="shared" si="202"/>
        <v>2.7285193616315164E-3</v>
      </c>
      <c r="T241" s="81">
        <f t="shared" si="202"/>
        <v>6.3026904685111592E-3</v>
      </c>
      <c r="U241" s="81">
        <f t="shared" si="202"/>
        <v>1.455051508340352E-2</v>
      </c>
      <c r="V241" s="81">
        <f t="shared" si="202"/>
        <v>1.5088074265007077E-2</v>
      </c>
      <c r="W241" s="81">
        <f t="shared" si="202"/>
        <v>0</v>
      </c>
      <c r="X241" s="81">
        <f t="shared" si="202"/>
        <v>0</v>
      </c>
      <c r="Y241" s="81">
        <f t="shared" si="202"/>
        <v>0</v>
      </c>
      <c r="Z241" s="81">
        <f t="shared" si="202"/>
        <v>0</v>
      </c>
      <c r="AA241" s="81">
        <f t="shared" si="202"/>
        <v>0</v>
      </c>
      <c r="AB241" s="81">
        <f t="shared" si="202"/>
        <v>0</v>
      </c>
      <c r="AC241" s="81">
        <f t="shared" si="202"/>
        <v>0</v>
      </c>
      <c r="AD241" s="81">
        <f t="shared" si="202"/>
        <v>0</v>
      </c>
      <c r="AE241" s="81">
        <f t="shared" si="202"/>
        <v>0</v>
      </c>
      <c r="AF241" s="81">
        <f t="shared" si="202"/>
        <v>0</v>
      </c>
    </row>
    <row r="242" spans="1:34" x14ac:dyDescent="0.25">
      <c r="B242" s="21">
        <f>(B209-B208)^2</f>
        <v>13.497340624046386</v>
      </c>
      <c r="C242" s="21">
        <f t="shared" ref="C242:AF242" si="203">(C209-C208)^2</f>
        <v>13.781142001302388</v>
      </c>
      <c r="D242" s="21">
        <f t="shared" si="203"/>
        <v>14.044043020931275</v>
      </c>
      <c r="E242" s="21">
        <f t="shared" si="203"/>
        <v>18.446417183433958</v>
      </c>
      <c r="F242" s="21">
        <f t="shared" si="203"/>
        <v>86.984508923796724</v>
      </c>
      <c r="G242" s="21">
        <f t="shared" si="203"/>
        <v>687.24738029960133</v>
      </c>
      <c r="H242" s="21">
        <f t="shared" si="203"/>
        <v>71.090687258840759</v>
      </c>
      <c r="I242" s="21">
        <f t="shared" si="203"/>
        <v>155.13819880065424</v>
      </c>
      <c r="J242" s="21">
        <f t="shared" si="203"/>
        <v>158.14898931881729</v>
      </c>
      <c r="K242" s="21">
        <f t="shared" si="203"/>
        <v>130.43764375306591</v>
      </c>
      <c r="L242" s="21">
        <f t="shared" si="203"/>
        <v>184.72127641577887</v>
      </c>
      <c r="M242" s="21">
        <f t="shared" si="203"/>
        <v>176.48595568475687</v>
      </c>
      <c r="N242" s="21">
        <f t="shared" si="203"/>
        <v>221.99121874126868</v>
      </c>
      <c r="O242" s="21">
        <f t="shared" si="203"/>
        <v>195.82469387292207</v>
      </c>
      <c r="P242" s="21">
        <f t="shared" si="203"/>
        <v>255.17326357961562</v>
      </c>
      <c r="Q242" s="21">
        <f t="shared" si="203"/>
        <v>321.96725505956601</v>
      </c>
      <c r="R242" s="21">
        <f t="shared" si="203"/>
        <v>369.86320572255534</v>
      </c>
      <c r="S242" s="21">
        <f t="shared" si="203"/>
        <v>103.61176880380482</v>
      </c>
      <c r="T242" s="21">
        <f t="shared" si="203"/>
        <v>486.63740564979781</v>
      </c>
      <c r="U242" s="21">
        <f t="shared" si="203"/>
        <v>2290.7693921340851</v>
      </c>
      <c r="V242" s="21">
        <f t="shared" si="203"/>
        <v>2166.9660469963487</v>
      </c>
      <c r="W242" s="21">
        <f t="shared" si="203"/>
        <v>1044.2193181132973</v>
      </c>
      <c r="X242" s="21">
        <f t="shared" si="203"/>
        <v>508.21518863127238</v>
      </c>
      <c r="Y242" s="21">
        <f t="shared" si="203"/>
        <v>47.037444244845332</v>
      </c>
      <c r="Z242" s="21">
        <f t="shared" si="203"/>
        <v>71.213142398637572</v>
      </c>
      <c r="AA242" s="21">
        <f t="shared" si="203"/>
        <v>6.9951863941327552</v>
      </c>
      <c r="AB242" s="21">
        <f t="shared" si="203"/>
        <v>100.81286784458429</v>
      </c>
      <c r="AC242" s="21">
        <f t="shared" si="203"/>
        <v>246.18839334509627</v>
      </c>
      <c r="AD242" s="21">
        <f t="shared" si="203"/>
        <v>428.59932416429348</v>
      </c>
      <c r="AE242" s="21">
        <f t="shared" si="203"/>
        <v>583.9693958241362</v>
      </c>
      <c r="AF242" s="21">
        <f t="shared" si="203"/>
        <v>543.34785117428294</v>
      </c>
      <c r="AG242" s="3"/>
      <c r="AH242" s="3"/>
    </row>
    <row r="243" spans="1:34" x14ac:dyDescent="0.25">
      <c r="A243" s="72">
        <f>SUM(B243:AF243)</f>
        <v>6774.0114826605004</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184.72127641577887</v>
      </c>
      <c r="M243" s="60">
        <f t="shared" ref="M243" si="214">IF($A$64&lt;=M207,IF($B$64&gt;=M207,ABS(M242),0),0)</f>
        <v>176.48595568475687</v>
      </c>
      <c r="N243" s="60">
        <f t="shared" ref="N243" si="215">IF($A$64&lt;=N207,IF($B$64&gt;=N207,ABS(N242),0),0)</f>
        <v>221.99121874126868</v>
      </c>
      <c r="O243" s="60">
        <f t="shared" ref="O243" si="216">IF($A$64&lt;=O207,IF($B$64&gt;=O207,ABS(O242),0),0)</f>
        <v>195.82469387292207</v>
      </c>
      <c r="P243" s="60">
        <f t="shared" ref="P243" si="217">IF($A$64&lt;=P207,IF($B$64&gt;=P207,ABS(P242),0),0)</f>
        <v>255.17326357961562</v>
      </c>
      <c r="Q243" s="60">
        <f t="shared" ref="Q243" si="218">IF($A$64&lt;=Q207,IF($B$64&gt;=Q207,ABS(Q242),0),0)</f>
        <v>321.96725505956601</v>
      </c>
      <c r="R243" s="60">
        <f t="shared" ref="R243" si="219">IF($A$64&lt;=R207,IF($B$64&gt;=R207,ABS(R242),0),0)</f>
        <v>369.86320572255534</v>
      </c>
      <c r="S243" s="60">
        <f t="shared" ref="S243" si="220">IF($A$64&lt;=S207,IF($B$64&gt;=S207,ABS(S242),0),0)</f>
        <v>103.61176880380482</v>
      </c>
      <c r="T243" s="60">
        <f t="shared" ref="T243" si="221">IF($A$64&lt;=T207,IF($B$64&gt;=T207,ABS(T242),0),0)</f>
        <v>486.63740564979781</v>
      </c>
      <c r="U243" s="60">
        <f t="shared" ref="U243" si="222">IF($A$64&lt;=U207,IF($B$64&gt;=U207,ABS(U242),0),0)</f>
        <v>2290.7693921340851</v>
      </c>
      <c r="V243" s="60">
        <f t="shared" ref="V243" si="223">IF($A$64&lt;=V207,IF($B$64&gt;=V207,ABS(V242),0),0)</f>
        <v>2166.9660469963487</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1" t="s">
        <v>22</v>
      </c>
      <c r="B248" s="27">
        <f>($C$17+SUM(B249:B279))*$B$51</f>
        <v>5610.3058085495877</v>
      </c>
      <c r="C248" s="27">
        <f t="shared" ref="C248:AF248" si="234">($C$17+SUM(C249:C279))*$B$51</f>
        <v>5608.6892687393365</v>
      </c>
      <c r="D248" s="27">
        <f t="shared" si="234"/>
        <v>5593.8596520039036</v>
      </c>
      <c r="E248" s="27">
        <f t="shared" si="234"/>
        <v>5516.8365274379667</v>
      </c>
      <c r="F248" s="27">
        <f t="shared" si="234"/>
        <v>5354.299069562494</v>
      </c>
      <c r="G248" s="27">
        <f t="shared" si="234"/>
        <v>5243.0275754224403</v>
      </c>
      <c r="H248" s="27">
        <f t="shared" si="234"/>
        <v>5133.7185659127563</v>
      </c>
      <c r="I248" s="27">
        <f t="shared" si="234"/>
        <v>5011.8917478341436</v>
      </c>
      <c r="J248" s="27">
        <f t="shared" si="234"/>
        <v>4882.7200847569584</v>
      </c>
      <c r="K248" s="27">
        <f t="shared" si="234"/>
        <v>4737.7185358251309</v>
      </c>
      <c r="L248" s="27">
        <f t="shared" si="234"/>
        <v>4581.6566751444325</v>
      </c>
      <c r="M248" s="27">
        <f t="shared" si="234"/>
        <v>4422.9630301365323</v>
      </c>
      <c r="N248" s="27">
        <f t="shared" si="234"/>
        <v>4270.3193239050561</v>
      </c>
      <c r="O248" s="27">
        <f t="shared" si="234"/>
        <v>4105.0581750869651</v>
      </c>
      <c r="P248" s="27">
        <f t="shared" si="234"/>
        <v>3904.0864671196659</v>
      </c>
      <c r="Q248" s="27">
        <f t="shared" si="234"/>
        <v>3689.4451917999877</v>
      </c>
      <c r="R248" s="27">
        <f t="shared" si="234"/>
        <v>3495.8103392499829</v>
      </c>
      <c r="S248" s="27">
        <f t="shared" si="234"/>
        <v>3307.9380106535709</v>
      </c>
      <c r="T248" s="27">
        <f t="shared" si="234"/>
        <v>3103.786266125278</v>
      </c>
      <c r="U248" s="27">
        <f t="shared" si="234"/>
        <v>2911.6250090193239</v>
      </c>
      <c r="V248" s="27">
        <f t="shared" si="234"/>
        <v>2729.2303052804855</v>
      </c>
      <c r="W248" s="27">
        <f t="shared" si="234"/>
        <v>2550.7281779336085</v>
      </c>
      <c r="X248" s="27">
        <f t="shared" si="234"/>
        <v>2358.1674742740488</v>
      </c>
      <c r="Y248" s="27">
        <f t="shared" si="234"/>
        <v>2158.2385040662016</v>
      </c>
      <c r="Z248" s="27">
        <f t="shared" si="234"/>
        <v>1939.4603357053786</v>
      </c>
      <c r="AA248" s="27">
        <f t="shared" si="234"/>
        <v>1697.1999720701665</v>
      </c>
      <c r="AB248" s="27">
        <f t="shared" si="234"/>
        <v>1417.4618156754591</v>
      </c>
      <c r="AC248" s="27">
        <f t="shared" si="234"/>
        <v>1107.9680559462629</v>
      </c>
      <c r="AD248" s="27">
        <f t="shared" si="234"/>
        <v>805.97704822041271</v>
      </c>
      <c r="AE248" s="27">
        <f t="shared" si="234"/>
        <v>565.80190514502999</v>
      </c>
      <c r="AF248" s="27">
        <f t="shared" si="234"/>
        <v>408.66453446651246</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1.0540855947314206E-2</v>
      </c>
      <c r="C251" s="3">
        <f t="shared" si="237"/>
        <v>1.0323934935730182E-2</v>
      </c>
      <c r="D251" s="3">
        <f t="shared" si="237"/>
        <v>8.385695044357367E-3</v>
      </c>
      <c r="E251" s="3">
        <f t="shared" si="237"/>
        <v>1.0482795741798123E-3</v>
      </c>
      <c r="F251" s="3">
        <f t="shared" si="237"/>
        <v>9.7691710201952126E-13</v>
      </c>
      <c r="G251" s="3">
        <f t="shared" si="237"/>
        <v>4.8268477582988523E-103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3.6090155232571704E-2</v>
      </c>
      <c r="C252" s="3">
        <f t="shared" si="238"/>
        <v>3.6022521817916264E-2</v>
      </c>
      <c r="D252" s="3">
        <f t="shared" si="238"/>
        <v>3.5353119650350151E-2</v>
      </c>
      <c r="E252" s="3">
        <f t="shared" si="238"/>
        <v>2.9306505964384083E-2</v>
      </c>
      <c r="F252" s="3">
        <f t="shared" si="238"/>
        <v>4.4908344428556037E-3</v>
      </c>
      <c r="G252" s="3">
        <f t="shared" si="238"/>
        <v>3.2059523328869466E-11</v>
      </c>
      <c r="H252" s="3">
        <f t="shared" si="238"/>
        <v>1.1021919144160838E-92</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1.7961070917068115E-2</v>
      </c>
      <c r="C253" s="3">
        <f t="shared" si="239"/>
        <v>1.795803197868277E-2</v>
      </c>
      <c r="D253" s="3">
        <f t="shared" si="239"/>
        <v>1.7927670860144181E-2</v>
      </c>
      <c r="E253" s="3">
        <f t="shared" si="239"/>
        <v>1.7626868589777023E-2</v>
      </c>
      <c r="F253" s="3">
        <f t="shared" si="239"/>
        <v>1.4882919490208963E-2</v>
      </c>
      <c r="G253" s="3">
        <f t="shared" si="239"/>
        <v>2.7404241658631288E-3</v>
      </c>
      <c r="H253" s="3">
        <f t="shared" si="239"/>
        <v>1.2277624601250054E-10</v>
      </c>
      <c r="I253" s="3">
        <f t="shared" si="239"/>
        <v>4.0001839923898227E-84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2.03821746941132E-2</v>
      </c>
      <c r="C254" s="3">
        <f t="shared" si="240"/>
        <v>2.038186357964648E-2</v>
      </c>
      <c r="D254" s="3">
        <f t="shared" si="240"/>
        <v>2.0378752696154905E-2</v>
      </c>
      <c r="E254" s="3">
        <f t="shared" si="240"/>
        <v>2.0347669964060323E-2</v>
      </c>
      <c r="F254" s="3">
        <f t="shared" si="240"/>
        <v>2.0039438243032857E-2</v>
      </c>
      <c r="G254" s="3">
        <f t="shared" si="240"/>
        <v>1.7202601319720866E-2</v>
      </c>
      <c r="H254" s="3">
        <f t="shared" si="240"/>
        <v>3.7383498240322996E-3</v>
      </c>
      <c r="I254" s="3">
        <f t="shared" si="240"/>
        <v>8.780880855567925E-10</v>
      </c>
      <c r="J254" s="3">
        <f t="shared" si="240"/>
        <v>4.4886892336881289E-76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2.3191769552680371E-2</v>
      </c>
      <c r="C255" s="3">
        <f t="shared" si="241"/>
        <v>2.3191737618690735E-2</v>
      </c>
      <c r="D255" s="3">
        <f t="shared" si="241"/>
        <v>2.3191418281212801E-2</v>
      </c>
      <c r="E255" s="3">
        <f t="shared" si="241"/>
        <v>2.3188225148264081E-2</v>
      </c>
      <c r="F255" s="3">
        <f t="shared" si="241"/>
        <v>2.3156317989520173E-2</v>
      </c>
      <c r="G255" s="3">
        <f t="shared" si="241"/>
        <v>2.2839651207292883E-2</v>
      </c>
      <c r="H255" s="3">
        <f t="shared" si="241"/>
        <v>1.9901650396504718E-2</v>
      </c>
      <c r="I255" s="3">
        <f t="shared" si="241"/>
        <v>5.0220999115629999E-3</v>
      </c>
      <c r="J255" s="3">
        <f t="shared" si="241"/>
        <v>5.2583308027928457E-9</v>
      </c>
      <c r="K255" s="3">
        <f t="shared" si="241"/>
        <v>8.326710419312159E-69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2.3748702436554685E-2</v>
      </c>
      <c r="C256" s="3">
        <f t="shared" si="242"/>
        <v>2.3748699486663187E-2</v>
      </c>
      <c r="D256" s="3">
        <f t="shared" si="242"/>
        <v>2.3748669987768378E-2</v>
      </c>
      <c r="E256" s="3">
        <f t="shared" si="242"/>
        <v>2.3748375000835521E-2</v>
      </c>
      <c r="F256" s="3">
        <f t="shared" si="242"/>
        <v>2.3745425333024466E-2</v>
      </c>
      <c r="G256" s="3">
        <f t="shared" si="242"/>
        <v>2.3715948797405659E-2</v>
      </c>
      <c r="H256" s="3">
        <f t="shared" si="242"/>
        <v>2.3423188463839582E-2</v>
      </c>
      <c r="I256" s="3">
        <f t="shared" si="242"/>
        <v>2.0687170798509961E-2</v>
      </c>
      <c r="J256" s="3">
        <f t="shared" si="242"/>
        <v>5.9738178126847383E-3</v>
      </c>
      <c r="K256" s="3">
        <f t="shared" si="242"/>
        <v>2.4085779578278542E-8</v>
      </c>
      <c r="L256" s="3">
        <f t="shared" si="242"/>
        <v>2.7343118724755765E-62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2.813074461882736E-2</v>
      </c>
      <c r="C257" s="3">
        <f t="shared" si="243"/>
        <v>2.8130744303621707E-2</v>
      </c>
      <c r="D257" s="3">
        <f t="shared" si="243"/>
        <v>2.8130741151565358E-2</v>
      </c>
      <c r="E257" s="3">
        <f t="shared" si="243"/>
        <v>2.8130709631021291E-2</v>
      </c>
      <c r="F257" s="3">
        <f t="shared" si="243"/>
        <v>2.8130394427523138E-2</v>
      </c>
      <c r="G257" s="3">
        <f t="shared" si="243"/>
        <v>2.8127242586786456E-2</v>
      </c>
      <c r="H257" s="3">
        <f t="shared" si="243"/>
        <v>2.8095743595851569E-2</v>
      </c>
      <c r="I257" s="3">
        <f t="shared" si="243"/>
        <v>2.7782687303987589E-2</v>
      </c>
      <c r="J257" s="3">
        <f t="shared" si="243"/>
        <v>2.4837704274532395E-2</v>
      </c>
      <c r="K257" s="3">
        <f t="shared" si="243"/>
        <v>8.0999709609423601E-3</v>
      </c>
      <c r="L257" s="3">
        <f t="shared" si="243"/>
        <v>1.1020557417125974E-7</v>
      </c>
      <c r="M257" s="3">
        <f t="shared" si="243"/>
        <v>2.3955462408309343E-56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2.9651765358163561E-2</v>
      </c>
      <c r="C258" s="3">
        <f t="shared" si="244"/>
        <v>2.965176532819196E-2</v>
      </c>
      <c r="D258" s="3">
        <f t="shared" si="244"/>
        <v>2.9651765028475968E-2</v>
      </c>
      <c r="E258" s="3">
        <f t="shared" si="244"/>
        <v>2.9651762031316212E-2</v>
      </c>
      <c r="F258" s="3">
        <f t="shared" si="244"/>
        <v>2.965173205973529E-2</v>
      </c>
      <c r="G258" s="3">
        <f t="shared" si="244"/>
        <v>2.9651432345592307E-2</v>
      </c>
      <c r="H258" s="3">
        <f t="shared" si="244"/>
        <v>2.9648435370777416E-2</v>
      </c>
      <c r="I258" s="3">
        <f t="shared" si="244"/>
        <v>2.9618482277892436E-2</v>
      </c>
      <c r="J258" s="3">
        <f t="shared" si="244"/>
        <v>2.9320610663321086E-2</v>
      </c>
      <c r="K258" s="3">
        <f t="shared" si="244"/>
        <v>2.6501784495354314E-2</v>
      </c>
      <c r="L258" s="3">
        <f t="shared" si="244"/>
        <v>9.6448657635010079E-3</v>
      </c>
      <c r="M258" s="3">
        <f t="shared" si="244"/>
        <v>3.9310347409966142E-7</v>
      </c>
      <c r="N258" s="3">
        <f t="shared" si="244"/>
        <v>4.9729469484662949E-51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3.0087522375553531E-2</v>
      </c>
      <c r="C259" s="3">
        <f t="shared" si="245"/>
        <v>3.0087522372810108E-2</v>
      </c>
      <c r="D259" s="3">
        <f t="shared" si="245"/>
        <v>3.0087522345375903E-2</v>
      </c>
      <c r="E259" s="3">
        <f t="shared" si="245"/>
        <v>3.0087522071033854E-2</v>
      </c>
      <c r="F259" s="3">
        <f t="shared" si="245"/>
        <v>3.0087519327613492E-2</v>
      </c>
      <c r="G259" s="3">
        <f t="shared" si="245"/>
        <v>3.0087491893423621E-2</v>
      </c>
      <c r="H259" s="3">
        <f t="shared" si="245"/>
        <v>3.0087217552900732E-2</v>
      </c>
      <c r="I259" s="3">
        <f t="shared" si="245"/>
        <v>3.0084474285248512E-2</v>
      </c>
      <c r="J259" s="3">
        <f t="shared" si="245"/>
        <v>3.0057055361751541E-2</v>
      </c>
      <c r="K259" s="3">
        <f t="shared" si="245"/>
        <v>2.9784236800730571E-2</v>
      </c>
      <c r="L259" s="3">
        <f t="shared" si="245"/>
        <v>2.7188604958982628E-2</v>
      </c>
      <c r="M259" s="3">
        <f t="shared" si="245"/>
        <v>1.0924244450151731E-2</v>
      </c>
      <c r="N259" s="3">
        <f t="shared" si="245"/>
        <v>1.1979432942109306E-6</v>
      </c>
      <c r="O259" s="3">
        <f t="shared" si="245"/>
        <v>3.0122067096935908E-46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2.6649166628985886E-2</v>
      </c>
      <c r="C260" s="3">
        <f t="shared" si="246"/>
        <v>2.664916662876669E-2</v>
      </c>
      <c r="D260" s="3">
        <f t="shared" si="246"/>
        <v>2.6649166626574711E-2</v>
      </c>
      <c r="E260" s="3">
        <f t="shared" si="246"/>
        <v>2.6649166604654929E-2</v>
      </c>
      <c r="F260" s="3">
        <f t="shared" si="246"/>
        <v>2.6649166385457137E-2</v>
      </c>
      <c r="G260" s="3">
        <f t="shared" si="246"/>
        <v>2.6649164193479308E-2</v>
      </c>
      <c r="H260" s="3">
        <f t="shared" si="246"/>
        <v>2.664914227371093E-2</v>
      </c>
      <c r="I260" s="3">
        <f t="shared" si="246"/>
        <v>2.6648923077018778E-2</v>
      </c>
      <c r="J260" s="3">
        <f t="shared" si="246"/>
        <v>2.6646731209257292E-2</v>
      </c>
      <c r="K260" s="3">
        <f t="shared" si="246"/>
        <v>2.6624822444630127E-2</v>
      </c>
      <c r="L260" s="3">
        <f t="shared" si="246"/>
        <v>2.6406723086868065E-2</v>
      </c>
      <c r="M260" s="3">
        <f t="shared" si="246"/>
        <v>2.4321615668494365E-2</v>
      </c>
      <c r="N260" s="3">
        <f t="shared" si="246"/>
        <v>1.0684926113679848E-2</v>
      </c>
      <c r="O260" s="3">
        <f t="shared" si="246"/>
        <v>2.8612943843324227E-6</v>
      </c>
      <c r="P260" s="3">
        <f t="shared" si="246"/>
        <v>5.4259118500843084E-42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3.2769511002712221E-2</v>
      </c>
      <c r="C261" s="3">
        <f t="shared" si="247"/>
        <v>3.2769511002687907E-2</v>
      </c>
      <c r="D261" s="3">
        <f t="shared" si="247"/>
        <v>3.2769511002444761E-2</v>
      </c>
      <c r="E261" s="3">
        <f t="shared" si="247"/>
        <v>3.2769511000013296E-2</v>
      </c>
      <c r="F261" s="3">
        <f t="shared" si="247"/>
        <v>3.2769510975698579E-2</v>
      </c>
      <c r="G261" s="3">
        <f t="shared" si="247"/>
        <v>3.276951073255148E-2</v>
      </c>
      <c r="H261" s="3">
        <f t="shared" si="247"/>
        <v>3.2769508301080566E-2</v>
      </c>
      <c r="I261" s="3">
        <f t="shared" si="247"/>
        <v>3.2769483986381354E-2</v>
      </c>
      <c r="J261" s="3">
        <f t="shared" si="247"/>
        <v>3.2769240840381506E-2</v>
      </c>
      <c r="K261" s="3">
        <f t="shared" si="247"/>
        <v>3.2766809479607223E-2</v>
      </c>
      <c r="L261" s="3">
        <f t="shared" si="247"/>
        <v>3.2742505791562501E-2</v>
      </c>
      <c r="M261" s="3">
        <f t="shared" si="247"/>
        <v>3.250045816299877E-2</v>
      </c>
      <c r="N261" s="3">
        <f t="shared" si="247"/>
        <v>3.0176244265654181E-2</v>
      </c>
      <c r="O261" s="3">
        <f t="shared" si="247"/>
        <v>1.4368856863282526E-2</v>
      </c>
      <c r="P261" s="3">
        <f t="shared" si="247"/>
        <v>8.609789600811398E-6</v>
      </c>
      <c r="Q261" s="3">
        <f t="shared" si="247"/>
        <v>5.136836462854795E-38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4.1907199465090833E-2</v>
      </c>
      <c r="C262" s="3">
        <f t="shared" si="248"/>
        <v>4.190719946508803E-2</v>
      </c>
      <c r="D262" s="3">
        <f t="shared" si="248"/>
        <v>4.1907199465059976E-2</v>
      </c>
      <c r="E262" s="3">
        <f t="shared" si="248"/>
        <v>4.1907199464779478E-2</v>
      </c>
      <c r="F262" s="3">
        <f t="shared" si="248"/>
        <v>4.1907199461974465E-2</v>
      </c>
      <c r="G262" s="3">
        <f t="shared" si="248"/>
        <v>4.1907199433924368E-2</v>
      </c>
      <c r="H262" s="3">
        <f t="shared" si="248"/>
        <v>4.1907199153423405E-2</v>
      </c>
      <c r="I262" s="3">
        <f t="shared" si="248"/>
        <v>4.1907196348413812E-2</v>
      </c>
      <c r="J262" s="3">
        <f t="shared" si="248"/>
        <v>4.1907168298328273E-2</v>
      </c>
      <c r="K262" s="3">
        <f t="shared" si="248"/>
        <v>4.1906887798505432E-2</v>
      </c>
      <c r="L262" s="3">
        <f t="shared" si="248"/>
        <v>4.1904082903536762E-2</v>
      </c>
      <c r="M262" s="3">
        <f t="shared" si="248"/>
        <v>4.1876044277262665E-2</v>
      </c>
      <c r="N262" s="3">
        <f t="shared" si="248"/>
        <v>4.1596687803707413E-2</v>
      </c>
      <c r="O262" s="3">
        <f t="shared" si="248"/>
        <v>3.8903596678364606E-2</v>
      </c>
      <c r="P262" s="3">
        <f t="shared" si="248"/>
        <v>1.9920479546574232E-2</v>
      </c>
      <c r="Q262" s="3">
        <f t="shared" si="248"/>
        <v>2.4683124706778586E-5</v>
      </c>
      <c r="R262" s="3">
        <f t="shared" si="248"/>
        <v>2.1057345431419888E-34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3.8766931941006812E-2</v>
      </c>
      <c r="C263" s="3">
        <f t="shared" si="249"/>
        <v>3.8766931941006583E-2</v>
      </c>
      <c r="D263" s="3">
        <f t="shared" si="249"/>
        <v>3.8766931941004237E-2</v>
      </c>
      <c r="E263" s="3">
        <f t="shared" si="249"/>
        <v>3.8766931940980832E-2</v>
      </c>
      <c r="F263" s="3">
        <f t="shared" si="249"/>
        <v>3.8766931940746756E-2</v>
      </c>
      <c r="G263" s="3">
        <f t="shared" si="249"/>
        <v>3.876693193840601E-2</v>
      </c>
      <c r="H263" s="3">
        <f t="shared" si="249"/>
        <v>3.8766931914998581E-2</v>
      </c>
      <c r="I263" s="3">
        <f t="shared" si="249"/>
        <v>3.8766931680924273E-2</v>
      </c>
      <c r="J263" s="3">
        <f t="shared" si="249"/>
        <v>3.8766929340181264E-2</v>
      </c>
      <c r="K263" s="3">
        <f t="shared" si="249"/>
        <v>3.876690593275893E-2</v>
      </c>
      <c r="L263" s="3">
        <f t="shared" si="249"/>
        <v>3.8766671859312943E-2</v>
      </c>
      <c r="M263" s="3">
        <f t="shared" si="249"/>
        <v>3.8764331202584712E-2</v>
      </c>
      <c r="N263" s="3">
        <f t="shared" si="249"/>
        <v>3.8740932406732771E-2</v>
      </c>
      <c r="O263" s="3">
        <f t="shared" si="249"/>
        <v>3.8507719857871207E-2</v>
      </c>
      <c r="P263" s="3">
        <f t="shared" si="249"/>
        <v>3.6251430649163065E-2</v>
      </c>
      <c r="Q263" s="3">
        <f t="shared" si="249"/>
        <v>1.9819770387445434E-2</v>
      </c>
      <c r="R263" s="3">
        <f t="shared" si="249"/>
        <v>4.7296968157703539E-5</v>
      </c>
      <c r="S263" s="3">
        <f t="shared" si="249"/>
        <v>2.8325666493809316E-31</v>
      </c>
      <c r="T263" s="3">
        <f t="shared" si="249"/>
        <v>1.6813126801957844E-293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3.2038673628359188E-2</v>
      </c>
      <c r="C264" s="3">
        <f t="shared" si="250"/>
        <v>3.2038673628359174E-2</v>
      </c>
      <c r="D264" s="3">
        <f t="shared" si="250"/>
        <v>3.2038673628359E-2</v>
      </c>
      <c r="E264" s="3">
        <f t="shared" si="250"/>
        <v>3.2038673628357259E-2</v>
      </c>
      <c r="F264" s="3">
        <f t="shared" si="250"/>
        <v>3.2038673628339807E-2</v>
      </c>
      <c r="G264" s="3">
        <f t="shared" si="250"/>
        <v>3.2038673628165301E-2</v>
      </c>
      <c r="H264" s="3">
        <f t="shared" si="250"/>
        <v>3.2038673626420225E-2</v>
      </c>
      <c r="I264" s="3">
        <f t="shared" si="250"/>
        <v>3.2038673608969503E-2</v>
      </c>
      <c r="J264" s="3">
        <f t="shared" si="250"/>
        <v>3.2038673434462268E-2</v>
      </c>
      <c r="K264" s="3">
        <f t="shared" si="250"/>
        <v>3.2038671689389973E-2</v>
      </c>
      <c r="L264" s="3">
        <f t="shared" si="250"/>
        <v>3.2038654238672221E-2</v>
      </c>
      <c r="M264" s="3">
        <f t="shared" si="250"/>
        <v>3.2038479732017497E-2</v>
      </c>
      <c r="N264" s="3">
        <f t="shared" si="250"/>
        <v>3.2036734717746609E-2</v>
      </c>
      <c r="O264" s="3">
        <f t="shared" si="250"/>
        <v>3.2019289801620068E-2</v>
      </c>
      <c r="P264" s="3">
        <f t="shared" si="250"/>
        <v>3.1845362246803247E-2</v>
      </c>
      <c r="Q264" s="3">
        <f t="shared" si="250"/>
        <v>3.0157211287373767E-2</v>
      </c>
      <c r="R264" s="3">
        <f t="shared" si="250"/>
        <v>1.7492062968613067E-2</v>
      </c>
      <c r="S264" s="3">
        <f t="shared" si="250"/>
        <v>7.5394482591647298E-5</v>
      </c>
      <c r="T264" s="3">
        <f t="shared" si="250"/>
        <v>1.6684949471698882E-28</v>
      </c>
      <c r="U264" s="3">
        <f t="shared" si="250"/>
        <v>4.7008695795177702E-265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3.8815204020590376E-2</v>
      </c>
      <c r="C265" s="3">
        <f t="shared" si="251"/>
        <v>3.8815204020590376E-2</v>
      </c>
      <c r="D265" s="3">
        <f t="shared" si="251"/>
        <v>3.8815204020590355E-2</v>
      </c>
      <c r="E265" s="3">
        <f t="shared" si="251"/>
        <v>3.8815204020590167E-2</v>
      </c>
      <c r="F265" s="3">
        <f t="shared" si="251"/>
        <v>3.8815204020588252E-2</v>
      </c>
      <c r="G265" s="3">
        <f t="shared" si="251"/>
        <v>3.8815204020569184E-2</v>
      </c>
      <c r="H265" s="3">
        <f t="shared" si="251"/>
        <v>3.8815204020378469E-2</v>
      </c>
      <c r="I265" s="3">
        <f t="shared" si="251"/>
        <v>3.8815204018471307E-2</v>
      </c>
      <c r="J265" s="3">
        <f t="shared" si="251"/>
        <v>3.8815203999399694E-2</v>
      </c>
      <c r="K265" s="3">
        <f t="shared" si="251"/>
        <v>3.8815203808683592E-2</v>
      </c>
      <c r="L265" s="3">
        <f t="shared" si="251"/>
        <v>3.8815201901522572E-2</v>
      </c>
      <c r="M265" s="3">
        <f t="shared" si="251"/>
        <v>3.8815182829917534E-2</v>
      </c>
      <c r="N265" s="3">
        <f t="shared" si="251"/>
        <v>3.8814992114382531E-2</v>
      </c>
      <c r="O265" s="3">
        <f t="shared" si="251"/>
        <v>3.8813085010570472E-2</v>
      </c>
      <c r="P265" s="3">
        <f t="shared" si="251"/>
        <v>3.8794019125303926E-2</v>
      </c>
      <c r="Q265" s="3">
        <f t="shared" si="251"/>
        <v>3.8603874622499909E-2</v>
      </c>
      <c r="R265" s="3">
        <f t="shared" si="251"/>
        <v>3.6752941669145694E-2</v>
      </c>
      <c r="S265" s="3">
        <f t="shared" si="251"/>
        <v>2.2485585153896301E-2</v>
      </c>
      <c r="T265" s="3">
        <f t="shared" si="251"/>
        <v>1.6520571997703394E-4</v>
      </c>
      <c r="U265" s="3">
        <f t="shared" si="251"/>
        <v>7.5724068657169665E-26</v>
      </c>
      <c r="V265" s="3">
        <f t="shared" si="251"/>
        <v>3.0997205789043539E-239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3.675792152056976E-2</v>
      </c>
      <c r="C266" s="3">
        <f t="shared" si="252"/>
        <v>3.675792152056976E-2</v>
      </c>
      <c r="D266" s="3">
        <f t="shared" si="252"/>
        <v>3.675792152056976E-2</v>
      </c>
      <c r="E266" s="3">
        <f t="shared" si="252"/>
        <v>3.6757921520569746E-2</v>
      </c>
      <c r="F266" s="3">
        <f t="shared" si="252"/>
        <v>3.6757921520569579E-2</v>
      </c>
      <c r="G266" s="3">
        <f t="shared" si="252"/>
        <v>3.6757921520567949E-2</v>
      </c>
      <c r="H266" s="3">
        <f t="shared" si="252"/>
        <v>3.6757921520551656E-2</v>
      </c>
      <c r="I266" s="3">
        <f t="shared" si="252"/>
        <v>3.6757921520388731E-2</v>
      </c>
      <c r="J266" s="3">
        <f t="shared" si="252"/>
        <v>3.67579215187595E-2</v>
      </c>
      <c r="K266" s="3">
        <f t="shared" si="252"/>
        <v>3.6757921502467178E-2</v>
      </c>
      <c r="L266" s="3">
        <f t="shared" si="252"/>
        <v>3.6757921339543941E-2</v>
      </c>
      <c r="M266" s="3">
        <f t="shared" si="252"/>
        <v>3.675791971031158E-2</v>
      </c>
      <c r="N266" s="3">
        <f t="shared" si="252"/>
        <v>3.6757903417991983E-2</v>
      </c>
      <c r="O266" s="3">
        <f t="shared" si="252"/>
        <v>3.6757740495193175E-2</v>
      </c>
      <c r="P266" s="3">
        <f t="shared" si="252"/>
        <v>3.6756111306921503E-2</v>
      </c>
      <c r="Q266" s="3">
        <f t="shared" si="252"/>
        <v>3.673982339519382E-2</v>
      </c>
      <c r="R266" s="3">
        <f t="shared" si="252"/>
        <v>3.6577340726363552E-2</v>
      </c>
      <c r="S266" s="3">
        <f t="shared" si="252"/>
        <v>3.4991516358509688E-2</v>
      </c>
      <c r="T266" s="3">
        <f t="shared" si="252"/>
        <v>2.2463070224644621E-2</v>
      </c>
      <c r="U266" s="3">
        <f t="shared" si="252"/>
        <v>2.6701313902644148E-4</v>
      </c>
      <c r="V266" s="3">
        <f t="shared" si="252"/>
        <v>1.5037228814916103E-23</v>
      </c>
      <c r="W266" s="3">
        <f t="shared" si="252"/>
        <v>4.8252471923627316E-216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3.3395319995761917E-2</v>
      </c>
      <c r="C267" s="3">
        <f t="shared" si="253"/>
        <v>3.3395319995761917E-2</v>
      </c>
      <c r="D267" s="3">
        <f t="shared" si="253"/>
        <v>3.3395319995761917E-2</v>
      </c>
      <c r="E267" s="3">
        <f t="shared" si="253"/>
        <v>3.3395319995761917E-2</v>
      </c>
      <c r="F267" s="3">
        <f t="shared" si="253"/>
        <v>3.3395319995761903E-2</v>
      </c>
      <c r="G267" s="3">
        <f t="shared" si="253"/>
        <v>3.3395319995761771E-2</v>
      </c>
      <c r="H267" s="3">
        <f t="shared" si="253"/>
        <v>3.3395319995760432E-2</v>
      </c>
      <c r="I267" s="3">
        <f t="shared" si="253"/>
        <v>3.3395319995747082E-2</v>
      </c>
      <c r="J267" s="3">
        <f t="shared" si="253"/>
        <v>3.3395319995613557E-2</v>
      </c>
      <c r="K267" s="3">
        <f t="shared" si="253"/>
        <v>3.3395319994278298E-2</v>
      </c>
      <c r="L267" s="3">
        <f t="shared" si="253"/>
        <v>3.339531998092575E-2</v>
      </c>
      <c r="M267" s="3">
        <f t="shared" si="253"/>
        <v>3.3395319847400219E-2</v>
      </c>
      <c r="N267" s="3">
        <f t="shared" si="253"/>
        <v>3.3395318512145014E-2</v>
      </c>
      <c r="O267" s="3">
        <f t="shared" si="253"/>
        <v>3.339530515959583E-2</v>
      </c>
      <c r="P267" s="3">
        <f t="shared" si="253"/>
        <v>3.3395171634397633E-2</v>
      </c>
      <c r="Q267" s="3">
        <f t="shared" si="253"/>
        <v>3.3393836411778545E-2</v>
      </c>
      <c r="R267" s="3">
        <f t="shared" si="253"/>
        <v>3.338048712144049E-2</v>
      </c>
      <c r="S267" s="3">
        <f t="shared" si="253"/>
        <v>3.3247287369481224E-2</v>
      </c>
      <c r="T267" s="3">
        <f t="shared" si="253"/>
        <v>3.1944175908151635E-2</v>
      </c>
      <c r="U267" s="3">
        <f t="shared" si="253"/>
        <v>2.1416396765210267E-2</v>
      </c>
      <c r="V267" s="3">
        <f t="shared" si="253"/>
        <v>3.9291043012913034E-4</v>
      </c>
      <c r="W267" s="3">
        <f t="shared" si="253"/>
        <v>1.6973253336555629E-21</v>
      </c>
      <c r="X267" s="3">
        <f t="shared" si="253"/>
        <v>3.8413196742555496E-195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3.5168182509434494E-2</v>
      </c>
      <c r="C268" s="3">
        <f t="shared" si="254"/>
        <v>3.5168182509434494E-2</v>
      </c>
      <c r="D268" s="3">
        <f t="shared" si="254"/>
        <v>3.5168182509434494E-2</v>
      </c>
      <c r="E268" s="3">
        <f t="shared" si="254"/>
        <v>3.5168182509434494E-2</v>
      </c>
      <c r="F268" s="3">
        <f t="shared" si="254"/>
        <v>3.5168182509434494E-2</v>
      </c>
      <c r="G268" s="3">
        <f t="shared" si="254"/>
        <v>3.516818250943448E-2</v>
      </c>
      <c r="H268" s="3">
        <f t="shared" si="254"/>
        <v>3.5168182509434355E-2</v>
      </c>
      <c r="I268" s="3">
        <f t="shared" si="254"/>
        <v>3.5168182509433085E-2</v>
      </c>
      <c r="J268" s="3">
        <f t="shared" si="254"/>
        <v>3.5168182509420401E-2</v>
      </c>
      <c r="K268" s="3">
        <f t="shared" si="254"/>
        <v>3.5168182509293558E-2</v>
      </c>
      <c r="L268" s="3">
        <f t="shared" si="254"/>
        <v>3.51681825080251E-2</v>
      </c>
      <c r="M268" s="3">
        <f t="shared" si="254"/>
        <v>3.5168182495340546E-2</v>
      </c>
      <c r="N268" s="3">
        <f t="shared" si="254"/>
        <v>3.5168182368495005E-2</v>
      </c>
      <c r="O268" s="3">
        <f t="shared" si="254"/>
        <v>3.5168181100039643E-2</v>
      </c>
      <c r="P268" s="3">
        <f t="shared" si="254"/>
        <v>3.5168168415488525E-2</v>
      </c>
      <c r="Q268" s="3">
        <f t="shared" si="254"/>
        <v>3.5168041570228979E-2</v>
      </c>
      <c r="R268" s="3">
        <f t="shared" si="254"/>
        <v>3.516677314279619E-2</v>
      </c>
      <c r="S268" s="3">
        <f t="shared" si="254"/>
        <v>3.5154091384399531E-2</v>
      </c>
      <c r="T268" s="3">
        <f t="shared" si="254"/>
        <v>3.5027525058122455E-2</v>
      </c>
      <c r="U268" s="3">
        <f t="shared" si="254"/>
        <v>3.3786655464812847E-2</v>
      </c>
      <c r="V268" s="3">
        <f t="shared" si="254"/>
        <v>2.3556063182566811E-2</v>
      </c>
      <c r="W268" s="3">
        <f t="shared" si="254"/>
        <v>6.392603733251837E-4</v>
      </c>
      <c r="X268" s="3">
        <f t="shared" si="254"/>
        <v>1.3849322218858906E-19</v>
      </c>
      <c r="Y268" s="3">
        <f t="shared" si="254"/>
        <v>3.1545388169060085E-176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2.0659155414283158E-2</v>
      </c>
      <c r="C269" s="3">
        <f t="shared" si="255"/>
        <v>2.0659155414283158E-2</v>
      </c>
      <c r="D269" s="3">
        <f t="shared" si="255"/>
        <v>2.0659155414283158E-2</v>
      </c>
      <c r="E269" s="3">
        <f t="shared" si="255"/>
        <v>2.0659155414283158E-2</v>
      </c>
      <c r="F269" s="3">
        <f t="shared" si="255"/>
        <v>2.0659155414283158E-2</v>
      </c>
      <c r="G269" s="3">
        <f t="shared" si="255"/>
        <v>2.0659155414283158E-2</v>
      </c>
      <c r="H269" s="3">
        <f t="shared" si="255"/>
        <v>2.0659155414283151E-2</v>
      </c>
      <c r="I269" s="3">
        <f t="shared" si="255"/>
        <v>2.0659155414283082E-2</v>
      </c>
      <c r="J269" s="3">
        <f t="shared" si="255"/>
        <v>2.0659155414282409E-2</v>
      </c>
      <c r="K269" s="3">
        <f t="shared" si="255"/>
        <v>2.0659155414275689E-2</v>
      </c>
      <c r="L269" s="3">
        <f t="shared" si="255"/>
        <v>2.0659155414208472E-2</v>
      </c>
      <c r="M269" s="3">
        <f t="shared" si="255"/>
        <v>2.0659155413536294E-2</v>
      </c>
      <c r="N269" s="3">
        <f t="shared" si="255"/>
        <v>2.0659155406814511E-2</v>
      </c>
      <c r="O269" s="3">
        <f t="shared" si="255"/>
        <v>2.065915533959669E-2</v>
      </c>
      <c r="P269" s="3">
        <f t="shared" si="255"/>
        <v>2.0659154667418498E-2</v>
      </c>
      <c r="Q269" s="3">
        <f t="shared" si="255"/>
        <v>2.0659147945637765E-2</v>
      </c>
      <c r="R269" s="3">
        <f t="shared" si="255"/>
        <v>2.0659080727950731E-2</v>
      </c>
      <c r="S269" s="3">
        <f t="shared" si="255"/>
        <v>2.0658408563108948E-2</v>
      </c>
      <c r="T269" s="3">
        <f t="shared" si="255"/>
        <v>2.0651688117400993E-2</v>
      </c>
      <c r="U269" s="3">
        <f t="shared" si="255"/>
        <v>2.0584603786650457E-2</v>
      </c>
      <c r="V269" s="3">
        <f t="shared" si="255"/>
        <v>1.9925629747519685E-2</v>
      </c>
      <c r="W269" s="3">
        <f t="shared" si="255"/>
        <v>1.4391547530405275E-2</v>
      </c>
      <c r="X269" s="3">
        <f t="shared" si="255"/>
        <v>5.5598349430275543E-4</v>
      </c>
      <c r="Y269" s="3">
        <f t="shared" si="255"/>
        <v>4.117237523916051E-18</v>
      </c>
      <c r="Z269" s="3">
        <f t="shared" si="255"/>
        <v>2.0419549546991578E-159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3.0227206274926977E-2</v>
      </c>
      <c r="C270" s="3">
        <f t="shared" si="256"/>
        <v>3.0227206274926977E-2</v>
      </c>
      <c r="D270" s="3">
        <f t="shared" si="256"/>
        <v>3.0227206274926977E-2</v>
      </c>
      <c r="E270" s="3">
        <f t="shared" si="256"/>
        <v>3.0227206274926977E-2</v>
      </c>
      <c r="F270" s="3">
        <f t="shared" si="256"/>
        <v>3.0227206274926977E-2</v>
      </c>
      <c r="G270" s="3">
        <f t="shared" si="256"/>
        <v>3.0227206274926977E-2</v>
      </c>
      <c r="H270" s="3">
        <f t="shared" si="256"/>
        <v>3.0227206274926973E-2</v>
      </c>
      <c r="I270" s="3">
        <f t="shared" si="256"/>
        <v>3.0227206274926945E-2</v>
      </c>
      <c r="J270" s="3">
        <f t="shared" si="256"/>
        <v>3.0227206274926675E-2</v>
      </c>
      <c r="K270" s="3">
        <f t="shared" si="256"/>
        <v>3.0227206274923951E-2</v>
      </c>
      <c r="L270" s="3">
        <f t="shared" si="256"/>
        <v>3.0227206274896754E-2</v>
      </c>
      <c r="M270" s="3">
        <f t="shared" si="256"/>
        <v>3.0227206274624746E-2</v>
      </c>
      <c r="N270" s="3">
        <f t="shared" si="256"/>
        <v>3.0227206271904658E-2</v>
      </c>
      <c r="O270" s="3">
        <f t="shared" si="256"/>
        <v>3.0227206244703791E-2</v>
      </c>
      <c r="P270" s="3">
        <f t="shared" si="256"/>
        <v>3.0227205972695129E-2</v>
      </c>
      <c r="Q270" s="3">
        <f t="shared" si="256"/>
        <v>3.0227203252608643E-2</v>
      </c>
      <c r="R270" s="3">
        <f t="shared" si="256"/>
        <v>3.0227176051757253E-2</v>
      </c>
      <c r="S270" s="3">
        <f t="shared" si="256"/>
        <v>3.0226904044589623E-2</v>
      </c>
      <c r="T270" s="3">
        <f t="shared" si="256"/>
        <v>3.0224184107534687E-2</v>
      </c>
      <c r="U270" s="3">
        <f t="shared" si="256"/>
        <v>3.0196998194643599E-2</v>
      </c>
      <c r="V270" s="3">
        <f t="shared" si="256"/>
        <v>2.9926480361521225E-2</v>
      </c>
      <c r="W270" s="3">
        <f t="shared" si="256"/>
        <v>2.7351071157983194E-2</v>
      </c>
      <c r="X270" s="3">
        <f t="shared" si="256"/>
        <v>1.1121447257648761E-2</v>
      </c>
      <c r="Y270" s="3">
        <f t="shared" si="256"/>
        <v>1.3741399896549386E-6</v>
      </c>
      <c r="Z270" s="3">
        <f t="shared" si="256"/>
        <v>1.1395350743999936E-45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3.7583954306508939E-2</v>
      </c>
      <c r="C271" s="3">
        <f t="shared" si="257"/>
        <v>3.7583954306508939E-2</v>
      </c>
      <c r="D271" s="3">
        <f t="shared" si="257"/>
        <v>3.7583954306508939E-2</v>
      </c>
      <c r="E271" s="3">
        <f t="shared" si="257"/>
        <v>3.7583954306508939E-2</v>
      </c>
      <c r="F271" s="3">
        <f t="shared" si="257"/>
        <v>3.7583954306508939E-2</v>
      </c>
      <c r="G271" s="3">
        <f t="shared" si="257"/>
        <v>3.7583954306508939E-2</v>
      </c>
      <c r="H271" s="3">
        <f t="shared" si="257"/>
        <v>3.7583954306508939E-2</v>
      </c>
      <c r="I271" s="3">
        <f t="shared" si="257"/>
        <v>3.7583954306508932E-2</v>
      </c>
      <c r="J271" s="3">
        <f t="shared" si="257"/>
        <v>3.7583954306508904E-2</v>
      </c>
      <c r="K271" s="3">
        <f t="shared" si="257"/>
        <v>3.7583954306508564E-2</v>
      </c>
      <c r="L271" s="3">
        <f t="shared" si="257"/>
        <v>3.7583954306505178E-2</v>
      </c>
      <c r="M271" s="3">
        <f t="shared" si="257"/>
        <v>3.7583954306471358E-2</v>
      </c>
      <c r="N271" s="3">
        <f t="shared" si="257"/>
        <v>3.7583954306133149E-2</v>
      </c>
      <c r="O271" s="3">
        <f t="shared" si="257"/>
        <v>3.7583954302751042E-2</v>
      </c>
      <c r="P271" s="3">
        <f t="shared" si="257"/>
        <v>3.7583954268929985E-2</v>
      </c>
      <c r="Q271" s="3">
        <f t="shared" si="257"/>
        <v>3.7583953930719401E-2</v>
      </c>
      <c r="R271" s="3">
        <f t="shared" si="257"/>
        <v>3.7583950548613715E-2</v>
      </c>
      <c r="S271" s="3">
        <f t="shared" si="257"/>
        <v>3.7583916727573607E-2</v>
      </c>
      <c r="T271" s="3">
        <f t="shared" si="257"/>
        <v>3.7583578518846465E-2</v>
      </c>
      <c r="U271" s="3">
        <f t="shared" si="257"/>
        <v>3.7580196598960801E-2</v>
      </c>
      <c r="V271" s="3">
        <f t="shared" si="257"/>
        <v>3.7546394133109798E-2</v>
      </c>
      <c r="W271" s="3">
        <f t="shared" si="257"/>
        <v>3.721003721720121E-2</v>
      </c>
      <c r="X271" s="3">
        <f t="shared" si="257"/>
        <v>3.4007820613193546E-2</v>
      </c>
      <c r="Y271" s="3">
        <f t="shared" si="257"/>
        <v>1.3828203696761585E-2</v>
      </c>
      <c r="Z271" s="3">
        <f t="shared" si="257"/>
        <v>1.7085804791949019E-6</v>
      </c>
      <c r="AA271" s="3">
        <f t="shared" si="257"/>
        <v>1.4168770271845802E-45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3.8796261080834012E-2</v>
      </c>
      <c r="C272" s="3">
        <f t="shared" si="258"/>
        <v>3.8796261080834012E-2</v>
      </c>
      <c r="D272" s="3">
        <f t="shared" si="258"/>
        <v>3.8796261080834012E-2</v>
      </c>
      <c r="E272" s="3">
        <f t="shared" si="258"/>
        <v>3.8796261080834012E-2</v>
      </c>
      <c r="F272" s="3">
        <f t="shared" si="258"/>
        <v>3.8796261080834012E-2</v>
      </c>
      <c r="G272" s="3">
        <f t="shared" si="258"/>
        <v>3.8796261080834012E-2</v>
      </c>
      <c r="H272" s="3">
        <f t="shared" si="258"/>
        <v>3.8796261080834012E-2</v>
      </c>
      <c r="I272" s="3">
        <f t="shared" si="258"/>
        <v>3.8796261080834012E-2</v>
      </c>
      <c r="J272" s="3">
        <f t="shared" si="258"/>
        <v>3.8796261080834005E-2</v>
      </c>
      <c r="K272" s="3">
        <f t="shared" si="258"/>
        <v>3.879626108083397E-2</v>
      </c>
      <c r="L272" s="3">
        <f t="shared" si="258"/>
        <v>3.8796261080833623E-2</v>
      </c>
      <c r="M272" s="3">
        <f t="shared" si="258"/>
        <v>3.8796261080830133E-2</v>
      </c>
      <c r="N272" s="3">
        <f t="shared" si="258"/>
        <v>3.8796261080795223E-2</v>
      </c>
      <c r="O272" s="3">
        <f t="shared" si="258"/>
        <v>3.87962610804461E-2</v>
      </c>
      <c r="P272" s="3">
        <f t="shared" si="258"/>
        <v>3.8796261076954899E-2</v>
      </c>
      <c r="Q272" s="3">
        <f t="shared" si="258"/>
        <v>3.8796261042042909E-2</v>
      </c>
      <c r="R272" s="3">
        <f t="shared" si="258"/>
        <v>3.8796260692923017E-2</v>
      </c>
      <c r="S272" s="3">
        <f t="shared" si="258"/>
        <v>3.8796257201724249E-2</v>
      </c>
      <c r="T272" s="3">
        <f t="shared" si="258"/>
        <v>3.8796222289753796E-2</v>
      </c>
      <c r="U272" s="3">
        <f t="shared" si="258"/>
        <v>3.8795873171777254E-2</v>
      </c>
      <c r="V272" s="3">
        <f t="shared" si="258"/>
        <v>3.879238216479676E-2</v>
      </c>
      <c r="W272" s="3">
        <f t="shared" si="258"/>
        <v>3.8757489367736701E-2</v>
      </c>
      <c r="X272" s="3">
        <f t="shared" si="258"/>
        <v>3.8410282934387197E-2</v>
      </c>
      <c r="Y272" s="3">
        <f t="shared" si="258"/>
        <v>3.5104775738595724E-2</v>
      </c>
      <c r="Z272" s="3">
        <f t="shared" si="258"/>
        <v>1.4274245773165125E-2</v>
      </c>
      <c r="AA272" s="3">
        <f t="shared" si="258"/>
        <v>1.7636923940433307E-6</v>
      </c>
      <c r="AB272" s="3">
        <f t="shared" si="258"/>
        <v>1.4625797652315972E-45</v>
      </c>
      <c r="AC272" s="3">
        <f t="shared" si="258"/>
        <v>0</v>
      </c>
      <c r="AD272" s="3">
        <f t="shared" si="258"/>
        <v>0</v>
      </c>
      <c r="AE272" s="3">
        <f t="shared" si="258"/>
        <v>0</v>
      </c>
      <c r="AF272" s="3">
        <f t="shared" si="258"/>
        <v>0</v>
      </c>
      <c r="AG272" s="3"/>
      <c r="AH272" s="3"/>
    </row>
    <row r="273" spans="1:34" x14ac:dyDescent="0.25">
      <c r="B273" s="3">
        <f t="shared" ref="B273:AF273" si="259">$C42*EXP(-B$246/$A42/EXP(-$E$126))</f>
        <v>4.443590866461708E-2</v>
      </c>
      <c r="C273" s="3">
        <f t="shared" si="259"/>
        <v>4.443590866461708E-2</v>
      </c>
      <c r="D273" s="3">
        <f t="shared" si="259"/>
        <v>4.443590866461708E-2</v>
      </c>
      <c r="E273" s="3">
        <f t="shared" si="259"/>
        <v>4.443590866461708E-2</v>
      </c>
      <c r="F273" s="3">
        <f t="shared" si="259"/>
        <v>4.443590866461708E-2</v>
      </c>
      <c r="G273" s="3">
        <f t="shared" si="259"/>
        <v>4.443590866461708E-2</v>
      </c>
      <c r="H273" s="3">
        <f t="shared" si="259"/>
        <v>4.443590866461708E-2</v>
      </c>
      <c r="I273" s="3">
        <f t="shared" si="259"/>
        <v>4.443590866461708E-2</v>
      </c>
      <c r="J273" s="3">
        <f t="shared" si="259"/>
        <v>4.443590866461708E-2</v>
      </c>
      <c r="K273" s="3">
        <f t="shared" si="259"/>
        <v>4.4435908664617073E-2</v>
      </c>
      <c r="L273" s="3">
        <f t="shared" si="259"/>
        <v>4.4435908664617038E-2</v>
      </c>
      <c r="M273" s="3">
        <f t="shared" si="259"/>
        <v>4.4435908664616636E-2</v>
      </c>
      <c r="N273" s="3">
        <f t="shared" si="259"/>
        <v>4.4435908664612632E-2</v>
      </c>
      <c r="O273" s="3">
        <f t="shared" si="259"/>
        <v>4.443590866457265E-2</v>
      </c>
      <c r="P273" s="3">
        <f t="shared" si="259"/>
        <v>4.4435908664172782E-2</v>
      </c>
      <c r="Q273" s="3">
        <f t="shared" si="259"/>
        <v>4.4435908660174078E-2</v>
      </c>
      <c r="R273" s="3">
        <f t="shared" si="259"/>
        <v>4.4435908620187085E-2</v>
      </c>
      <c r="S273" s="3">
        <f t="shared" si="259"/>
        <v>4.4435908220317115E-2</v>
      </c>
      <c r="T273" s="3">
        <f t="shared" si="259"/>
        <v>4.4435904221617611E-2</v>
      </c>
      <c r="U273" s="3">
        <f t="shared" si="259"/>
        <v>4.4435864234642401E-2</v>
      </c>
      <c r="V273" s="3">
        <f t="shared" si="259"/>
        <v>4.4435464366869411E-2</v>
      </c>
      <c r="W273" s="3">
        <f t="shared" si="259"/>
        <v>4.4431465887041423E-2</v>
      </c>
      <c r="X273" s="3">
        <f t="shared" si="259"/>
        <v>4.4391500872372015E-2</v>
      </c>
      <c r="Y273" s="3">
        <f t="shared" si="259"/>
        <v>4.3993822515482416E-2</v>
      </c>
      <c r="Z273" s="3">
        <f t="shared" si="259"/>
        <v>4.0207807787506815E-2</v>
      </c>
      <c r="AA273" s="3">
        <f t="shared" si="259"/>
        <v>1.6349232213668425E-2</v>
      </c>
      <c r="AB273" s="3">
        <f t="shared" si="259"/>
        <v>2.0200728614259679E-6</v>
      </c>
      <c r="AC273" s="3">
        <f t="shared" si="259"/>
        <v>1.6751887695346756E-45</v>
      </c>
      <c r="AD273" s="3">
        <f t="shared" si="259"/>
        <v>0</v>
      </c>
      <c r="AE273" s="3">
        <f t="shared" si="259"/>
        <v>0</v>
      </c>
      <c r="AF273" s="3">
        <f t="shared" si="259"/>
        <v>0</v>
      </c>
      <c r="AG273" s="3"/>
      <c r="AH273" s="3"/>
    </row>
    <row r="274" spans="1:34" x14ac:dyDescent="0.25">
      <c r="B274" s="3">
        <f t="shared" ref="B274:AF274" si="260">$C43*EXP(-B$246/$A43/EXP(-$E$126))</f>
        <v>5.224128023540766E-2</v>
      </c>
      <c r="C274" s="3">
        <f t="shared" si="260"/>
        <v>5.224128023540766E-2</v>
      </c>
      <c r="D274" s="3">
        <f t="shared" si="260"/>
        <v>5.224128023540766E-2</v>
      </c>
      <c r="E274" s="3">
        <f t="shared" si="260"/>
        <v>5.224128023540766E-2</v>
      </c>
      <c r="F274" s="3">
        <f t="shared" si="260"/>
        <v>5.224128023540766E-2</v>
      </c>
      <c r="G274" s="3">
        <f t="shared" si="260"/>
        <v>5.224128023540766E-2</v>
      </c>
      <c r="H274" s="3">
        <f t="shared" si="260"/>
        <v>5.224128023540766E-2</v>
      </c>
      <c r="I274" s="3">
        <f t="shared" si="260"/>
        <v>5.224128023540766E-2</v>
      </c>
      <c r="J274" s="3">
        <f t="shared" si="260"/>
        <v>5.224128023540766E-2</v>
      </c>
      <c r="K274" s="3">
        <f t="shared" si="260"/>
        <v>5.224128023540766E-2</v>
      </c>
      <c r="L274" s="3">
        <f t="shared" si="260"/>
        <v>5.2241280235407653E-2</v>
      </c>
      <c r="M274" s="3">
        <f t="shared" si="260"/>
        <v>5.2241280235407604E-2</v>
      </c>
      <c r="N274" s="3">
        <f t="shared" si="260"/>
        <v>5.2241280235407139E-2</v>
      </c>
      <c r="O274" s="3">
        <f t="shared" si="260"/>
        <v>5.2241280235402435E-2</v>
      </c>
      <c r="P274" s="3">
        <f t="shared" si="260"/>
        <v>5.2241280235355424E-2</v>
      </c>
      <c r="Q274" s="3">
        <f t="shared" si="260"/>
        <v>5.2241280234885314E-2</v>
      </c>
      <c r="R274" s="3">
        <f t="shared" si="260"/>
        <v>5.2241280230184227E-2</v>
      </c>
      <c r="S274" s="3">
        <f t="shared" si="260"/>
        <v>5.2241280183173332E-2</v>
      </c>
      <c r="T274" s="3">
        <f t="shared" si="260"/>
        <v>5.2241279713064359E-2</v>
      </c>
      <c r="U274" s="3">
        <f t="shared" si="260"/>
        <v>5.2241275011974918E-2</v>
      </c>
      <c r="V274" s="3">
        <f t="shared" si="260"/>
        <v>5.2241228001103743E-2</v>
      </c>
      <c r="W274" s="3">
        <f t="shared" si="260"/>
        <v>5.2240757894718756E-2</v>
      </c>
      <c r="X274" s="3">
        <f t="shared" si="260"/>
        <v>5.2236057063533195E-2</v>
      </c>
      <c r="Y274" s="3">
        <f t="shared" si="260"/>
        <v>5.2189072010370118E-2</v>
      </c>
      <c r="Z274" s="3">
        <f t="shared" si="260"/>
        <v>5.1721539622484713E-2</v>
      </c>
      <c r="AA274" s="3">
        <f t="shared" si="260"/>
        <v>4.7270494008174027E-2</v>
      </c>
      <c r="AB274" s="3">
        <f t="shared" si="260"/>
        <v>1.9221049988071996E-2</v>
      </c>
      <c r="AC274" s="3">
        <f t="shared" si="260"/>
        <v>2.3749079431727024E-6</v>
      </c>
      <c r="AD274" s="3">
        <f t="shared" si="260"/>
        <v>1.9694433755588615E-45</v>
      </c>
      <c r="AE274" s="3">
        <f t="shared" si="260"/>
        <v>0</v>
      </c>
      <c r="AF274" s="3">
        <f t="shared" si="260"/>
        <v>0</v>
      </c>
      <c r="AG274" s="3"/>
      <c r="AH274" s="3"/>
    </row>
    <row r="275" spans="1:34" x14ac:dyDescent="0.25">
      <c r="B275" s="3">
        <f t="shared" ref="B275:AF275" si="261">$C44*EXP(-B$246/$A44/EXP(-$E$126))</f>
        <v>5.759294658465644E-2</v>
      </c>
      <c r="C275" s="3">
        <f t="shared" si="261"/>
        <v>5.759294658465644E-2</v>
      </c>
      <c r="D275" s="3">
        <f t="shared" si="261"/>
        <v>5.759294658465644E-2</v>
      </c>
      <c r="E275" s="3">
        <f t="shared" si="261"/>
        <v>5.759294658465644E-2</v>
      </c>
      <c r="F275" s="3">
        <f t="shared" si="261"/>
        <v>5.759294658465644E-2</v>
      </c>
      <c r="G275" s="3">
        <f t="shared" si="261"/>
        <v>5.759294658465644E-2</v>
      </c>
      <c r="H275" s="3">
        <f t="shared" si="261"/>
        <v>5.759294658465644E-2</v>
      </c>
      <c r="I275" s="3">
        <f t="shared" si="261"/>
        <v>5.759294658465644E-2</v>
      </c>
      <c r="J275" s="3">
        <f t="shared" si="261"/>
        <v>5.759294658465644E-2</v>
      </c>
      <c r="K275" s="3">
        <f t="shared" si="261"/>
        <v>5.759294658465644E-2</v>
      </c>
      <c r="L275" s="3">
        <f t="shared" si="261"/>
        <v>5.759294658465644E-2</v>
      </c>
      <c r="M275" s="3">
        <f t="shared" si="261"/>
        <v>5.7592946584656433E-2</v>
      </c>
      <c r="N275" s="3">
        <f t="shared" si="261"/>
        <v>5.7592946584656385E-2</v>
      </c>
      <c r="O275" s="3">
        <f t="shared" si="261"/>
        <v>5.7592946584655864E-2</v>
      </c>
      <c r="P275" s="3">
        <f t="shared" si="261"/>
        <v>5.7592946584650681E-2</v>
      </c>
      <c r="Q275" s="3">
        <f t="shared" si="261"/>
        <v>5.7592946584598854E-2</v>
      </c>
      <c r="R275" s="3">
        <f t="shared" si="261"/>
        <v>5.7592946584080588E-2</v>
      </c>
      <c r="S275" s="3">
        <f t="shared" si="261"/>
        <v>5.7592946578897915E-2</v>
      </c>
      <c r="T275" s="3">
        <f t="shared" si="261"/>
        <v>5.7592946527071157E-2</v>
      </c>
      <c r="U275" s="3">
        <f t="shared" si="261"/>
        <v>5.7592946008803596E-2</v>
      </c>
      <c r="V275" s="3">
        <f t="shared" si="261"/>
        <v>5.7592940826128293E-2</v>
      </c>
      <c r="W275" s="3">
        <f t="shared" si="261"/>
        <v>5.7592888999400842E-2</v>
      </c>
      <c r="X275" s="3">
        <f t="shared" si="261"/>
        <v>5.7592370734691443E-2</v>
      </c>
      <c r="Y275" s="3">
        <f t="shared" si="261"/>
        <v>5.7587188344096235E-2</v>
      </c>
      <c r="Z275" s="3">
        <f t="shared" si="261"/>
        <v>5.7535390079488158E-2</v>
      </c>
      <c r="AA275" s="3">
        <f t="shared" si="261"/>
        <v>5.7019963050886538E-2</v>
      </c>
      <c r="AB275" s="3">
        <f t="shared" si="261"/>
        <v>5.2112946393643153E-2</v>
      </c>
      <c r="AC275" s="3">
        <f t="shared" si="261"/>
        <v>2.1190079957377282E-2</v>
      </c>
      <c r="AD275" s="3">
        <f t="shared" si="261"/>
        <v>2.6181966770009884E-6</v>
      </c>
      <c r="AE275" s="3">
        <f t="shared" si="261"/>
        <v>2.1711957788735434E-45</v>
      </c>
      <c r="AF275" s="3">
        <f t="shared" si="261"/>
        <v>0</v>
      </c>
      <c r="AG275" s="3"/>
      <c r="AH275" s="3"/>
    </row>
    <row r="276" spans="1:34" x14ac:dyDescent="0.25">
      <c r="B276" s="3">
        <f t="shared" ref="B276:AF276" si="262">$C45*EXP(-B$246/$A45/EXP(-$E$126))</f>
        <v>5.4172080221644638E-2</v>
      </c>
      <c r="C276" s="3">
        <f t="shared" si="262"/>
        <v>5.4172080221644638E-2</v>
      </c>
      <c r="D276" s="3">
        <f t="shared" si="262"/>
        <v>5.4172080221644638E-2</v>
      </c>
      <c r="E276" s="3">
        <f t="shared" si="262"/>
        <v>5.4172080221644638E-2</v>
      </c>
      <c r="F276" s="3">
        <f t="shared" si="262"/>
        <v>5.4172080221644638E-2</v>
      </c>
      <c r="G276" s="3">
        <f t="shared" si="262"/>
        <v>5.4172080221644638E-2</v>
      </c>
      <c r="H276" s="3">
        <f t="shared" si="262"/>
        <v>5.4172080221644638E-2</v>
      </c>
      <c r="I276" s="3">
        <f t="shared" si="262"/>
        <v>5.4172080221644638E-2</v>
      </c>
      <c r="J276" s="3">
        <f t="shared" si="262"/>
        <v>5.4172080221644638E-2</v>
      </c>
      <c r="K276" s="3">
        <f t="shared" si="262"/>
        <v>5.4172080221644638E-2</v>
      </c>
      <c r="L276" s="3">
        <f t="shared" si="262"/>
        <v>5.4172080221644638E-2</v>
      </c>
      <c r="M276" s="3">
        <f t="shared" si="262"/>
        <v>5.4172080221644638E-2</v>
      </c>
      <c r="N276" s="3">
        <f t="shared" si="262"/>
        <v>5.4172080221644631E-2</v>
      </c>
      <c r="O276" s="3">
        <f t="shared" si="262"/>
        <v>5.4172080221644582E-2</v>
      </c>
      <c r="P276" s="3">
        <f t="shared" si="262"/>
        <v>5.4172080221644096E-2</v>
      </c>
      <c r="Q276" s="3">
        <f t="shared" si="262"/>
        <v>5.4172080221639218E-2</v>
      </c>
      <c r="R276" s="3">
        <f t="shared" si="262"/>
        <v>5.4172080221590473E-2</v>
      </c>
      <c r="S276" s="3">
        <f t="shared" si="262"/>
        <v>5.4172080221102988E-2</v>
      </c>
      <c r="T276" s="3">
        <f t="shared" si="262"/>
        <v>5.4172080216228151E-2</v>
      </c>
      <c r="U276" s="3">
        <f t="shared" si="262"/>
        <v>5.4172080167479764E-2</v>
      </c>
      <c r="V276" s="3">
        <f t="shared" si="262"/>
        <v>5.4172079679995905E-2</v>
      </c>
      <c r="W276" s="3">
        <f t="shared" si="262"/>
        <v>5.4172074805157594E-2</v>
      </c>
      <c r="X276" s="3">
        <f t="shared" si="262"/>
        <v>5.4172026056798578E-2</v>
      </c>
      <c r="Y276" s="3">
        <f t="shared" si="262"/>
        <v>5.4171538575621132E-2</v>
      </c>
      <c r="Z276" s="3">
        <f t="shared" si="262"/>
        <v>5.4166664005110124E-2</v>
      </c>
      <c r="AA276" s="3">
        <f t="shared" si="262"/>
        <v>5.4117942418317098E-2</v>
      </c>
      <c r="AB276" s="3">
        <f t="shared" si="262"/>
        <v>5.3633130371050705E-2</v>
      </c>
      <c r="AC276" s="3">
        <f t="shared" si="262"/>
        <v>4.9017577325602711E-2</v>
      </c>
      <c r="AD276" s="3">
        <f t="shared" si="262"/>
        <v>1.9931446113228137E-2</v>
      </c>
      <c r="AE276" s="3">
        <f t="shared" si="262"/>
        <v>2.4626828254751474E-6</v>
      </c>
      <c r="AF276" s="3">
        <f t="shared" si="262"/>
        <v>2.0422325802890753E-45</v>
      </c>
      <c r="AG276" s="3"/>
      <c r="AH276" s="3"/>
    </row>
    <row r="277" spans="1:34" x14ac:dyDescent="0.25">
      <c r="B277" s="3">
        <f t="shared" ref="B277:AF277" si="263">$C46*EXP(-B$246/$A46/EXP(-$E$126))</f>
        <v>3.8751330064371987E-2</v>
      </c>
      <c r="C277" s="3">
        <f t="shared" si="263"/>
        <v>3.8751330064371987E-2</v>
      </c>
      <c r="D277" s="3">
        <f t="shared" si="263"/>
        <v>3.8751330064371987E-2</v>
      </c>
      <c r="E277" s="3">
        <f t="shared" si="263"/>
        <v>3.8751330064371987E-2</v>
      </c>
      <c r="F277" s="3">
        <f t="shared" si="263"/>
        <v>3.8751330064371987E-2</v>
      </c>
      <c r="G277" s="3">
        <f t="shared" si="263"/>
        <v>3.8751330064371987E-2</v>
      </c>
      <c r="H277" s="3">
        <f t="shared" si="263"/>
        <v>3.8751330064371987E-2</v>
      </c>
      <c r="I277" s="3">
        <f t="shared" si="263"/>
        <v>3.8751330064371987E-2</v>
      </c>
      <c r="J277" s="3">
        <f t="shared" si="263"/>
        <v>3.8751330064371987E-2</v>
      </c>
      <c r="K277" s="3">
        <f t="shared" si="263"/>
        <v>3.8751330064371987E-2</v>
      </c>
      <c r="L277" s="3">
        <f t="shared" si="263"/>
        <v>3.8751330064371987E-2</v>
      </c>
      <c r="M277" s="3">
        <f t="shared" si="263"/>
        <v>3.8751330064371987E-2</v>
      </c>
      <c r="N277" s="3">
        <f t="shared" si="263"/>
        <v>3.8751330064371987E-2</v>
      </c>
      <c r="O277" s="3">
        <f t="shared" si="263"/>
        <v>3.875133006437198E-2</v>
      </c>
      <c r="P277" s="3">
        <f t="shared" si="263"/>
        <v>3.8751330064371946E-2</v>
      </c>
      <c r="Q277" s="3">
        <f t="shared" si="263"/>
        <v>3.8751330064371599E-2</v>
      </c>
      <c r="R277" s="3">
        <f t="shared" si="263"/>
        <v>3.8751330064368109E-2</v>
      </c>
      <c r="S277" s="3">
        <f t="shared" si="263"/>
        <v>3.8751330064333241E-2</v>
      </c>
      <c r="T277" s="3">
        <f t="shared" si="263"/>
        <v>3.8751330063984527E-2</v>
      </c>
      <c r="U277" s="3">
        <f t="shared" si="263"/>
        <v>3.8751330060497371E-2</v>
      </c>
      <c r="V277" s="3">
        <f t="shared" si="263"/>
        <v>3.8751330025625814E-2</v>
      </c>
      <c r="W277" s="3">
        <f t="shared" si="263"/>
        <v>3.8751329676910244E-2</v>
      </c>
      <c r="X277" s="3">
        <f t="shared" si="263"/>
        <v>3.8751326189754728E-2</v>
      </c>
      <c r="Y277" s="3">
        <f t="shared" si="263"/>
        <v>3.8751291318216793E-2</v>
      </c>
      <c r="Z277" s="3">
        <f t="shared" si="263"/>
        <v>3.8750942604563375E-2</v>
      </c>
      <c r="AA277" s="3">
        <f t="shared" si="263"/>
        <v>3.8747455640614027E-2</v>
      </c>
      <c r="AB277" s="3">
        <f t="shared" si="263"/>
        <v>3.8712603253861444E-2</v>
      </c>
      <c r="AC277" s="3">
        <f t="shared" si="263"/>
        <v>3.8365798929827062E-2</v>
      </c>
      <c r="AD277" s="3">
        <f t="shared" si="263"/>
        <v>3.5064119932787012E-2</v>
      </c>
      <c r="AE277" s="3">
        <f t="shared" si="263"/>
        <v>1.4257714376738012E-2</v>
      </c>
      <c r="AF277" s="3">
        <f t="shared" si="263"/>
        <v>1.7616498133981082E-6</v>
      </c>
      <c r="AG277" s="3"/>
      <c r="AH277" s="3"/>
    </row>
    <row r="278" spans="1:34" x14ac:dyDescent="0.25">
      <c r="B278" s="3">
        <f t="shared" ref="B278:AF278" si="264">$C47*EXP(-B$246/$A47/EXP(-$E$126))</f>
        <v>2.0828240532986285E-2</v>
      </c>
      <c r="C278" s="3">
        <f t="shared" si="264"/>
        <v>2.0828240532986285E-2</v>
      </c>
      <c r="D278" s="3">
        <f t="shared" si="264"/>
        <v>2.0828240532986285E-2</v>
      </c>
      <c r="E278" s="3">
        <f t="shared" si="264"/>
        <v>2.0828240532986285E-2</v>
      </c>
      <c r="F278" s="3">
        <f t="shared" si="264"/>
        <v>2.0828240532986285E-2</v>
      </c>
      <c r="G278" s="3">
        <f t="shared" si="264"/>
        <v>2.0828240532986285E-2</v>
      </c>
      <c r="H278" s="3">
        <f t="shared" si="264"/>
        <v>2.0828240532986285E-2</v>
      </c>
      <c r="I278" s="3">
        <f t="shared" si="264"/>
        <v>2.0828240532986285E-2</v>
      </c>
      <c r="J278" s="3">
        <f t="shared" si="264"/>
        <v>2.0828240532986285E-2</v>
      </c>
      <c r="K278" s="3">
        <f t="shared" si="264"/>
        <v>2.0828240532986285E-2</v>
      </c>
      <c r="L278" s="3">
        <f t="shared" si="264"/>
        <v>2.0828240532986285E-2</v>
      </c>
      <c r="M278" s="3">
        <f t="shared" si="264"/>
        <v>2.0828240532986285E-2</v>
      </c>
      <c r="N278" s="3">
        <f t="shared" si="264"/>
        <v>2.0828240532986285E-2</v>
      </c>
      <c r="O278" s="3">
        <f t="shared" si="264"/>
        <v>2.0828240532986285E-2</v>
      </c>
      <c r="P278" s="3">
        <f t="shared" si="264"/>
        <v>2.0828240532986281E-2</v>
      </c>
      <c r="Q278" s="3">
        <f t="shared" si="264"/>
        <v>2.0828240532986264E-2</v>
      </c>
      <c r="R278" s="3">
        <f t="shared" si="264"/>
        <v>2.0828240532986077E-2</v>
      </c>
      <c r="S278" s="3">
        <f t="shared" si="264"/>
        <v>2.08282405329842E-2</v>
      </c>
      <c r="T278" s="3">
        <f t="shared" si="264"/>
        <v>2.0828240532965458E-2</v>
      </c>
      <c r="U278" s="3">
        <f t="shared" si="264"/>
        <v>2.0828240532778031E-2</v>
      </c>
      <c r="V278" s="3">
        <f t="shared" si="264"/>
        <v>2.0828240530903739E-2</v>
      </c>
      <c r="W278" s="3">
        <f t="shared" si="264"/>
        <v>2.0828240512160815E-2</v>
      </c>
      <c r="X278" s="3">
        <f t="shared" si="264"/>
        <v>2.082824032473159E-2</v>
      </c>
      <c r="Y278" s="3">
        <f t="shared" si="264"/>
        <v>2.0828238450439435E-2</v>
      </c>
      <c r="Z278" s="3">
        <f t="shared" si="264"/>
        <v>2.0828219707527164E-2</v>
      </c>
      <c r="AA278" s="3">
        <f t="shared" si="264"/>
        <v>2.0828032279332092E-2</v>
      </c>
      <c r="AB278" s="3">
        <f t="shared" si="264"/>
        <v>2.0826158090143071E-2</v>
      </c>
      <c r="AC278" s="3">
        <f t="shared" si="264"/>
        <v>2.080742547133423E-2</v>
      </c>
      <c r="AD278" s="3">
        <f t="shared" si="264"/>
        <v>2.0621023511275861E-2</v>
      </c>
      <c r="AE278" s="3">
        <f t="shared" si="264"/>
        <v>1.8846422118270138E-2</v>
      </c>
      <c r="AF278" s="3">
        <f t="shared" si="264"/>
        <v>7.6633009498258261E-3</v>
      </c>
      <c r="AG278" s="3"/>
      <c r="AH278" s="3"/>
    </row>
    <row r="279" spans="1:34" x14ac:dyDescent="0.25">
      <c r="B279" s="3">
        <f t="shared" ref="B279:AF279" si="265">$C48*EXP(-B$246/$A48/EXP(-$E$126))</f>
        <v>2.990470230026878E-2</v>
      </c>
      <c r="C279" s="3">
        <f t="shared" si="265"/>
        <v>2.990470230026878E-2</v>
      </c>
      <c r="D279" s="3">
        <f t="shared" si="265"/>
        <v>2.990470230026878E-2</v>
      </c>
      <c r="E279" s="3">
        <f t="shared" si="265"/>
        <v>2.990470230026878E-2</v>
      </c>
      <c r="F279" s="3">
        <f t="shared" si="265"/>
        <v>2.990470230026878E-2</v>
      </c>
      <c r="G279" s="3">
        <f t="shared" si="265"/>
        <v>2.990470230026878E-2</v>
      </c>
      <c r="H279" s="3">
        <f t="shared" si="265"/>
        <v>2.990470230026878E-2</v>
      </c>
      <c r="I279" s="3">
        <f t="shared" si="265"/>
        <v>2.990470230026878E-2</v>
      </c>
      <c r="J279" s="3">
        <f t="shared" si="265"/>
        <v>2.990470230026878E-2</v>
      </c>
      <c r="K279" s="3">
        <f t="shared" si="265"/>
        <v>2.990470230026878E-2</v>
      </c>
      <c r="L279" s="3">
        <f t="shared" si="265"/>
        <v>2.990470230026878E-2</v>
      </c>
      <c r="M279" s="3">
        <f t="shared" si="265"/>
        <v>2.990470230026878E-2</v>
      </c>
      <c r="N279" s="3">
        <f t="shared" si="265"/>
        <v>2.990470230026878E-2</v>
      </c>
      <c r="O279" s="3">
        <f t="shared" si="265"/>
        <v>2.990470230026878E-2</v>
      </c>
      <c r="P279" s="3">
        <f t="shared" si="265"/>
        <v>2.990470230026878E-2</v>
      </c>
      <c r="Q279" s="3">
        <f t="shared" si="265"/>
        <v>2.9904702300268777E-2</v>
      </c>
      <c r="R279" s="3">
        <f t="shared" si="265"/>
        <v>2.9904702300268749E-2</v>
      </c>
      <c r="S279" s="3">
        <f t="shared" si="265"/>
        <v>2.9904702300268482E-2</v>
      </c>
      <c r="T279" s="3">
        <f t="shared" si="265"/>
        <v>2.990470230026579E-2</v>
      </c>
      <c r="U279" s="3">
        <f t="shared" si="265"/>
        <v>2.9904702300238881E-2</v>
      </c>
      <c r="V279" s="3">
        <f t="shared" si="265"/>
        <v>2.9904702299969773E-2</v>
      </c>
      <c r="W279" s="3">
        <f t="shared" si="265"/>
        <v>2.9904702297278707E-2</v>
      </c>
      <c r="X279" s="3">
        <f t="shared" si="265"/>
        <v>2.9904702270368056E-2</v>
      </c>
      <c r="Y279" s="3">
        <f t="shared" si="265"/>
        <v>2.9904702001261545E-2</v>
      </c>
      <c r="Z279" s="3">
        <f t="shared" si="265"/>
        <v>2.9904699310196556E-2</v>
      </c>
      <c r="AA279" s="3">
        <f t="shared" si="265"/>
        <v>2.9904672399559965E-2</v>
      </c>
      <c r="AB279" s="3">
        <f t="shared" si="265"/>
        <v>2.990440329452599E-2</v>
      </c>
      <c r="AC279" s="3">
        <f t="shared" si="265"/>
        <v>2.9901712377371308E-2</v>
      </c>
      <c r="AD279" s="3">
        <f t="shared" si="265"/>
        <v>2.9874816519898584E-2</v>
      </c>
      <c r="AE279" s="3">
        <f t="shared" si="265"/>
        <v>2.9607184930235311E-2</v>
      </c>
      <c r="AF279" s="3">
        <f t="shared" si="265"/>
        <v>2.7059253611916242E-2</v>
      </c>
      <c r="AG279" s="3"/>
      <c r="AH279" s="3"/>
    </row>
    <row r="280" spans="1:34" x14ac:dyDescent="0.25">
      <c r="A280" s="80">
        <f>AVERAGE(B280:AF280)</f>
        <v>5.1180690031704005E-5</v>
      </c>
      <c r="B280" s="81">
        <f>IF($D$61&lt;=B246,IF($E$61&gt;=B246,ABS((B248-B247)/B247),0),0)</f>
        <v>3.1135753389103528E-4</v>
      </c>
      <c r="C280" s="81">
        <f t="shared" ref="C280:AF280" si="266">IF($D$61&lt;=C246,IF($E$61&gt;=C246,ABS((C248-C247)/C247),0),0)</f>
        <v>2.0177502861605195E-4</v>
      </c>
      <c r="D280" s="81">
        <f t="shared" si="266"/>
        <v>6.6197248178588087E-4</v>
      </c>
      <c r="E280" s="81">
        <f t="shared" si="266"/>
        <v>1.7415317192277701E-4</v>
      </c>
      <c r="F280" s="81">
        <f t="shared" si="266"/>
        <v>2.4405245672926248E-5</v>
      </c>
      <c r="G280" s="81">
        <f t="shared" si="266"/>
        <v>4.845539872161925E-6</v>
      </c>
      <c r="H280" s="81">
        <f t="shared" si="266"/>
        <v>1.7835635470874849E-7</v>
      </c>
      <c r="I280" s="81">
        <f t="shared" si="266"/>
        <v>3.1625166436469872E-6</v>
      </c>
      <c r="J280" s="81">
        <f t="shared" si="266"/>
        <v>6.0388589110545625E-7</v>
      </c>
      <c r="K280" s="81">
        <f t="shared" si="266"/>
        <v>7.6049427901332597E-6</v>
      </c>
      <c r="L280" s="81">
        <f t="shared" si="266"/>
        <v>1.0389257876621609E-5</v>
      </c>
      <c r="M280" s="81">
        <f t="shared" si="266"/>
        <v>2.4181973011341056E-5</v>
      </c>
      <c r="N280" s="81">
        <f t="shared" si="266"/>
        <v>2.6327244844184814E-5</v>
      </c>
      <c r="O280" s="81">
        <f t="shared" si="266"/>
        <v>3.3409692738141303E-5</v>
      </c>
      <c r="P280" s="81">
        <f t="shared" si="266"/>
        <v>2.5764218224551557E-5</v>
      </c>
      <c r="Q280" s="81">
        <f t="shared" si="266"/>
        <v>2.7682187314937551E-5</v>
      </c>
      <c r="R280" s="81">
        <f t="shared" si="266"/>
        <v>1.4543135192161851E-5</v>
      </c>
      <c r="S280" s="81">
        <f t="shared" si="266"/>
        <v>1.3213139210395856E-5</v>
      </c>
      <c r="T280" s="81">
        <f t="shared" si="266"/>
        <v>1.2301282851042637E-6</v>
      </c>
      <c r="U280" s="81">
        <f t="shared" si="266"/>
        <v>4.6305234230475227E-6</v>
      </c>
      <c r="V280" s="81">
        <f t="shared" si="266"/>
        <v>3.92632272942777E-6</v>
      </c>
      <c r="W280" s="81">
        <f t="shared" si="266"/>
        <v>7.6781479629091937E-7</v>
      </c>
      <c r="X280" s="81">
        <f t="shared" si="266"/>
        <v>1.0037465406981826E-5</v>
      </c>
      <c r="Y280" s="81">
        <f t="shared" si="266"/>
        <v>4.395844892081421E-7</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3.049449369383499</v>
      </c>
      <c r="C281" s="21">
        <f t="shared" ref="C281:AF281" si="267">(C248-C247)^2</f>
        <v>1.2802133546356083</v>
      </c>
      <c r="D281" s="21">
        <f t="shared" si="267"/>
        <v>13.730241513531475</v>
      </c>
      <c r="E281" s="21">
        <f t="shared" si="267"/>
        <v>0.92276636065724971</v>
      </c>
      <c r="F281" s="21">
        <f t="shared" si="267"/>
        <v>1.7076262290052133E-2</v>
      </c>
      <c r="G281" s="21">
        <f t="shared" si="267"/>
        <v>6.4542297093228074E-4</v>
      </c>
      <c r="H281" s="21">
        <f t="shared" si="267"/>
        <v>8.383804325317631E-7</v>
      </c>
      <c r="I281" s="21">
        <f t="shared" si="267"/>
        <v>2.5122696789229426E-4</v>
      </c>
      <c r="J281" s="21">
        <f t="shared" si="267"/>
        <v>8.6942864840612629E-6</v>
      </c>
      <c r="K281" s="21">
        <f t="shared" si="267"/>
        <v>1.298146806262614E-3</v>
      </c>
      <c r="L281" s="21">
        <f t="shared" si="267"/>
        <v>2.2658082889497927E-3</v>
      </c>
      <c r="M281" s="21">
        <f t="shared" si="267"/>
        <v>1.1439026836977154E-2</v>
      </c>
      <c r="N281" s="21">
        <f t="shared" si="267"/>
        <v>1.2640213110143289E-2</v>
      </c>
      <c r="O281" s="21">
        <f t="shared" si="267"/>
        <v>1.8808517977397486E-2</v>
      </c>
      <c r="P281" s="21">
        <f t="shared" si="267"/>
        <v>1.0118011586196386E-2</v>
      </c>
      <c r="Q281" s="21">
        <f t="shared" si="267"/>
        <v>1.0430350152274755E-2</v>
      </c>
      <c r="R281" s="21">
        <f t="shared" si="267"/>
        <v>2.5847850893814506E-3</v>
      </c>
      <c r="S281" s="21">
        <f t="shared" si="267"/>
        <v>1.9103602348847829E-3</v>
      </c>
      <c r="T281" s="21">
        <f t="shared" si="267"/>
        <v>1.4577581961872203E-5</v>
      </c>
      <c r="U281" s="21">
        <f t="shared" si="267"/>
        <v>1.8177201888862848E-4</v>
      </c>
      <c r="V281" s="21">
        <f t="shared" si="267"/>
        <v>1.1482830336897814E-4</v>
      </c>
      <c r="W281" s="21">
        <f t="shared" si="267"/>
        <v>3.8356647979293667E-6</v>
      </c>
      <c r="X281" s="21">
        <f t="shared" si="267"/>
        <v>5.6025881010333186E-4</v>
      </c>
      <c r="Y281" s="21">
        <f t="shared" si="267"/>
        <v>9.0008593263663258E-7</v>
      </c>
      <c r="Z281" s="21">
        <f t="shared" si="267"/>
        <v>7.5117087429451646E-4</v>
      </c>
      <c r="AA281" s="21">
        <f t="shared" si="267"/>
        <v>2.8255059658087342E-5</v>
      </c>
      <c r="AB281" s="21">
        <f t="shared" si="267"/>
        <v>6.840873992022484E-4</v>
      </c>
      <c r="AC281" s="21">
        <f t="shared" si="267"/>
        <v>1.9253263561416683E-4</v>
      </c>
      <c r="AD281" s="21">
        <f t="shared" si="267"/>
        <v>5.631073952728369E-4</v>
      </c>
      <c r="AE281" s="21">
        <f t="shared" si="267"/>
        <v>3.9604574486957363E-5</v>
      </c>
      <c r="AF281" s="21">
        <f t="shared" si="267"/>
        <v>1.123281728818365E-4</v>
      </c>
      <c r="AG281" s="3"/>
      <c r="AH281" s="3"/>
    </row>
    <row r="282" spans="1:34" s="3" customFormat="1" x14ac:dyDescent="0.25">
      <c r="A282" s="72">
        <f>SUM(B282:AF282)</f>
        <v>19.073024435651156</v>
      </c>
      <c r="B282" s="21">
        <f>IF($D$61&lt;=B246,IF($E$61&gt;=B246,ABS(B281),0),0)</f>
        <v>3.049449369383499</v>
      </c>
      <c r="C282" s="21">
        <f t="shared" ref="C282:AF282" si="268">IF($D$61&lt;=C246,IF($E$61&gt;=C246,ABS(C281),0),0)</f>
        <v>1.2802133546356083</v>
      </c>
      <c r="D282" s="21">
        <f t="shared" si="268"/>
        <v>13.730241513531475</v>
      </c>
      <c r="E282" s="21">
        <f t="shared" si="268"/>
        <v>0.92276636065724971</v>
      </c>
      <c r="F282" s="21">
        <f t="shared" si="268"/>
        <v>1.7076262290052133E-2</v>
      </c>
      <c r="G282" s="21">
        <f t="shared" si="268"/>
        <v>6.4542297093228074E-4</v>
      </c>
      <c r="H282" s="21">
        <f t="shared" si="268"/>
        <v>8.383804325317631E-7</v>
      </c>
      <c r="I282" s="21">
        <f t="shared" si="268"/>
        <v>2.5122696789229426E-4</v>
      </c>
      <c r="J282" s="21">
        <f t="shared" si="268"/>
        <v>8.6942864840612629E-6</v>
      </c>
      <c r="K282" s="21">
        <f t="shared" si="268"/>
        <v>1.298146806262614E-3</v>
      </c>
      <c r="L282" s="21">
        <f t="shared" si="268"/>
        <v>2.2658082889497927E-3</v>
      </c>
      <c r="M282" s="21">
        <f t="shared" si="268"/>
        <v>1.1439026836977154E-2</v>
      </c>
      <c r="N282" s="21">
        <f t="shared" si="268"/>
        <v>1.2640213110143289E-2</v>
      </c>
      <c r="O282" s="21">
        <f t="shared" si="268"/>
        <v>1.8808517977397486E-2</v>
      </c>
      <c r="P282" s="21">
        <f t="shared" si="268"/>
        <v>1.0118011586196386E-2</v>
      </c>
      <c r="Q282" s="21">
        <f t="shared" si="268"/>
        <v>1.0430350152274755E-2</v>
      </c>
      <c r="R282" s="21">
        <f t="shared" si="268"/>
        <v>2.5847850893814506E-3</v>
      </c>
      <c r="S282" s="21">
        <f t="shared" si="268"/>
        <v>1.9103602348847829E-3</v>
      </c>
      <c r="T282" s="21">
        <f t="shared" si="268"/>
        <v>1.4577581961872203E-5</v>
      </c>
      <c r="U282" s="21">
        <f t="shared" si="268"/>
        <v>1.8177201888862848E-4</v>
      </c>
      <c r="V282" s="21">
        <f t="shared" si="268"/>
        <v>1.1482830336897814E-4</v>
      </c>
      <c r="W282" s="21">
        <f t="shared" si="268"/>
        <v>3.8356647979293667E-6</v>
      </c>
      <c r="X282" s="21">
        <f t="shared" si="268"/>
        <v>5.6025881010333186E-4</v>
      </c>
      <c r="Y282" s="21">
        <f t="shared" si="268"/>
        <v>9.0008593263663258E-7</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1" t="s">
        <v>22</v>
      </c>
      <c r="B287" s="27">
        <f>($C$17+SUM(B288:B318))*$B$51</f>
        <v>5530.5610281447271</v>
      </c>
      <c r="C287" s="27">
        <f t="shared" ref="C287:AF287" si="269">($C$17+SUM(C288:C318))*$B$51</f>
        <v>5375.7560832737508</v>
      </c>
      <c r="D287" s="27">
        <f t="shared" si="269"/>
        <v>5256.7787460495738</v>
      </c>
      <c r="E287" s="27">
        <f t="shared" si="269"/>
        <v>5149.4330884803085</v>
      </c>
      <c r="F287" s="27">
        <f t="shared" si="269"/>
        <v>5029.3854575808946</v>
      </c>
      <c r="G287" s="27">
        <f t="shared" si="269"/>
        <v>4901.1894860886741</v>
      </c>
      <c r="H287" s="27">
        <f t="shared" si="269"/>
        <v>4758.722431523749</v>
      </c>
      <c r="I287" s="27">
        <f t="shared" si="269"/>
        <v>4603.210488511626</v>
      </c>
      <c r="J287" s="27">
        <f t="shared" si="269"/>
        <v>4443.9564562575824</v>
      </c>
      <c r="K287" s="27">
        <f t="shared" si="269"/>
        <v>4289.5267395305555</v>
      </c>
      <c r="L287" s="27">
        <f t="shared" si="269"/>
        <v>4127.837043268878</v>
      </c>
      <c r="M287" s="27">
        <f t="shared" si="269"/>
        <v>3930.6423834365851</v>
      </c>
      <c r="N287" s="27">
        <f t="shared" si="269"/>
        <v>3713.084165287105</v>
      </c>
      <c r="O287" s="27">
        <f t="shared" si="269"/>
        <v>3515.8307755437349</v>
      </c>
      <c r="P287" s="27">
        <f t="shared" si="269"/>
        <v>3330.2403614818313</v>
      </c>
      <c r="Q287" s="27">
        <f t="shared" si="269"/>
        <v>3124.9169799421984</v>
      </c>
      <c r="R287" s="27">
        <f t="shared" si="269"/>
        <v>2931.153671468709</v>
      </c>
      <c r="S287" s="27">
        <f t="shared" si="269"/>
        <v>2748.856567152468</v>
      </c>
      <c r="T287" s="27">
        <f t="shared" si="269"/>
        <v>2568.7462879435361</v>
      </c>
      <c r="U287" s="27">
        <f t="shared" si="269"/>
        <v>2385.5173641901411</v>
      </c>
      <c r="V287" s="27">
        <f t="shared" si="269"/>
        <v>2185.6707796477926</v>
      </c>
      <c r="W287" s="27">
        <f t="shared" si="269"/>
        <v>1968.4437039014063</v>
      </c>
      <c r="X287" s="27">
        <f t="shared" si="269"/>
        <v>1730.5049835658092</v>
      </c>
      <c r="Y287" s="27">
        <f t="shared" si="269"/>
        <v>1455.9043872694419</v>
      </c>
      <c r="Z287" s="27">
        <f t="shared" si="269"/>
        <v>1148.8566852172059</v>
      </c>
      <c r="AA287" s="27">
        <f t="shared" si="269"/>
        <v>842.70706362330998</v>
      </c>
      <c r="AB287" s="27">
        <f t="shared" si="269"/>
        <v>591.41364697516644</v>
      </c>
      <c r="AC287" s="27">
        <f t="shared" si="269"/>
        <v>424.61125865863005</v>
      </c>
      <c r="AD287" s="27">
        <f t="shared" si="269"/>
        <v>292.84301216887343</v>
      </c>
      <c r="AE287" s="27">
        <f t="shared" si="269"/>
        <v>213.80670663493223</v>
      </c>
      <c r="AF287" s="27">
        <f t="shared" si="269"/>
        <v>213.71664305722481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1.8542231604650392E-3</v>
      </c>
      <c r="C290" s="3">
        <f t="shared" si="272"/>
        <v>2.9289131259317028E-10</v>
      </c>
      <c r="D290" s="3">
        <f t="shared" si="272"/>
        <v>2.8323790904327572E-78</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3.0853701941967446E-2</v>
      </c>
      <c r="C291" s="3">
        <f t="shared" si="273"/>
        <v>7.5120662608089538E-3</v>
      </c>
      <c r="D291" s="3">
        <f t="shared" si="273"/>
        <v>5.4989619225352433E-9</v>
      </c>
      <c r="E291" s="3">
        <f t="shared" si="273"/>
        <v>2.4293704056305278E-70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1.7708864405718193E-2</v>
      </c>
      <c r="C292" s="3">
        <f t="shared" si="274"/>
        <v>1.5589909372295265E-2</v>
      </c>
      <c r="D292" s="3">
        <f t="shared" si="274"/>
        <v>4.3588544737953741E-3</v>
      </c>
      <c r="E292" s="3">
        <f t="shared" si="274"/>
        <v>1.2725069467715343E-8</v>
      </c>
      <c r="F292" s="3">
        <f t="shared" si="274"/>
        <v>5.7218712736051486E-64</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2.0356190375187325E-2</v>
      </c>
      <c r="C293" s="3">
        <f t="shared" si="275"/>
        <v>2.0123509958362536E-2</v>
      </c>
      <c r="D293" s="3">
        <f t="shared" si="275"/>
        <v>1.7938082803658231E-2</v>
      </c>
      <c r="E293" s="3">
        <f t="shared" si="275"/>
        <v>5.6819700330051418E-3</v>
      </c>
      <c r="F293" s="3">
        <f t="shared" si="275"/>
        <v>5.7773420873346964E-8</v>
      </c>
      <c r="G293" s="3">
        <f t="shared" si="275"/>
        <v>6.8236938187616864E-58</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2.3189100892431716E-2</v>
      </c>
      <c r="C294" s="3">
        <f t="shared" si="276"/>
        <v>2.3165064867328704E-2</v>
      </c>
      <c r="D294" s="3">
        <f t="shared" si="276"/>
        <v>2.2926070627653311E-2</v>
      </c>
      <c r="E294" s="3">
        <f t="shared" si="276"/>
        <v>2.0667630059932978E-2</v>
      </c>
      <c r="F294" s="3">
        <f t="shared" si="276"/>
        <v>7.3265785863745672E-3</v>
      </c>
      <c r="G294" s="3">
        <f t="shared" si="276"/>
        <v>2.2961832384687407E-7</v>
      </c>
      <c r="H294" s="3">
        <f t="shared" si="276"/>
        <v>2.0992291250945683E-52</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2.3748455907216103E-2</v>
      </c>
      <c r="C295" s="3">
        <f t="shared" si="277"/>
        <v>2.3746234308742561E-2</v>
      </c>
      <c r="D295" s="3">
        <f t="shared" si="277"/>
        <v>2.3724029751121471E-2</v>
      </c>
      <c r="E295" s="3">
        <f t="shared" si="277"/>
        <v>2.3503122940838752E-2</v>
      </c>
      <c r="F295" s="3">
        <f t="shared" si="277"/>
        <v>2.1404086406020335E-2</v>
      </c>
      <c r="G295" s="3">
        <f t="shared" si="277"/>
        <v>8.3986199161547748E-3</v>
      </c>
      <c r="H295" s="3">
        <f t="shared" si="277"/>
        <v>7.2664158296598911E-7</v>
      </c>
      <c r="I295" s="3">
        <f t="shared" si="277"/>
        <v>1.7078253087617771E-47</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2.8130718276229968E-2</v>
      </c>
      <c r="C296" s="3">
        <f t="shared" si="278"/>
        <v>2.8130480878760793E-2</v>
      </c>
      <c r="D296" s="3">
        <f t="shared" si="278"/>
        <v>2.8128107014254184E-2</v>
      </c>
      <c r="E296" s="3">
        <f t="shared" si="278"/>
        <v>2.8104379384262742E-2</v>
      </c>
      <c r="F296" s="3">
        <f t="shared" si="278"/>
        <v>2.7868201160135189E-2</v>
      </c>
      <c r="G296" s="3">
        <f t="shared" si="278"/>
        <v>2.561287381233068E-2</v>
      </c>
      <c r="H296" s="3">
        <f t="shared" si="278"/>
        <v>1.1014176739581038E-2</v>
      </c>
      <c r="I296" s="3">
        <f t="shared" si="278"/>
        <v>2.3817125981668631E-6</v>
      </c>
      <c r="J296" s="3">
        <f t="shared" si="278"/>
        <v>5.324299552053616E-43</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2.9651762853354087E-2</v>
      </c>
      <c r="C297" s="3">
        <f t="shared" si="279"/>
        <v>2.9651740280106781E-2</v>
      </c>
      <c r="D297" s="3">
        <f t="shared" si="279"/>
        <v>2.965151454857886E-2</v>
      </c>
      <c r="E297" s="3">
        <f t="shared" si="279"/>
        <v>2.9649257327811651E-2</v>
      </c>
      <c r="F297" s="3">
        <f t="shared" si="279"/>
        <v>2.9626694568679536E-2</v>
      </c>
      <c r="G297" s="3">
        <f t="shared" si="279"/>
        <v>2.9402009175366468E-2</v>
      </c>
      <c r="H297" s="3">
        <f t="shared" si="279"/>
        <v>2.7246774302611063E-2</v>
      </c>
      <c r="I297" s="3">
        <f t="shared" si="279"/>
        <v>1.2726118108791457E-2</v>
      </c>
      <c r="J297" s="3">
        <f t="shared" si="279"/>
        <v>6.2878837195097295E-6</v>
      </c>
      <c r="K297" s="3">
        <f t="shared" si="279"/>
        <v>5.452429067768114E-39</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3.008752214627828E-2</v>
      </c>
      <c r="C298" s="3">
        <f t="shared" si="280"/>
        <v>3.0087520080057686E-2</v>
      </c>
      <c r="D298" s="3">
        <f t="shared" si="280"/>
        <v>3.0087499417859549E-2</v>
      </c>
      <c r="E298" s="3">
        <f t="shared" si="280"/>
        <v>3.0087292796658626E-2</v>
      </c>
      <c r="F298" s="3">
        <f t="shared" si="280"/>
        <v>3.008522666268942E-2</v>
      </c>
      <c r="G298" s="3">
        <f t="shared" si="280"/>
        <v>3.0064573125017462E-2</v>
      </c>
      <c r="H298" s="3">
        <f t="shared" si="280"/>
        <v>2.9858815971509814E-2</v>
      </c>
      <c r="I298" s="3">
        <f t="shared" si="280"/>
        <v>2.7877125149233968E-2</v>
      </c>
      <c r="J298" s="3">
        <f t="shared" si="280"/>
        <v>1.4028202013413961E-2</v>
      </c>
      <c r="K298" s="3">
        <f t="shared" si="280"/>
        <v>1.4606369296812931E-5</v>
      </c>
      <c r="L298" s="3">
        <f t="shared" si="280"/>
        <v>2.1874842356664987E-35</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2.6649166610666918E-2</v>
      </c>
      <c r="C299" s="3">
        <f t="shared" si="281"/>
        <v>2.6649166445577022E-2</v>
      </c>
      <c r="D299" s="3">
        <f t="shared" si="281"/>
        <v>2.6649164794678097E-2</v>
      </c>
      <c r="E299" s="3">
        <f t="shared" si="281"/>
        <v>2.6649148285694476E-2</v>
      </c>
      <c r="F299" s="3">
        <f t="shared" si="281"/>
        <v>2.6648983196420773E-2</v>
      </c>
      <c r="G299" s="3">
        <f t="shared" si="281"/>
        <v>2.6647332359931972E-2</v>
      </c>
      <c r="H299" s="3">
        <f t="shared" si="281"/>
        <v>2.6630829618579679E-2</v>
      </c>
      <c r="I299" s="3">
        <f t="shared" si="281"/>
        <v>2.6466363271776244E-2</v>
      </c>
      <c r="J299" s="3">
        <f t="shared" si="281"/>
        <v>2.4876541472406685E-2</v>
      </c>
      <c r="K299" s="3">
        <f t="shared" si="281"/>
        <v>1.3388974719358234E-2</v>
      </c>
      <c r="L299" s="3">
        <f t="shared" si="281"/>
        <v>2.7309926057802598E-5</v>
      </c>
      <c r="M299" s="3">
        <f t="shared" si="281"/>
        <v>3.4044938319033953E-32</v>
      </c>
      <c r="N299" s="3">
        <f t="shared" si="281"/>
        <v>3.0858358891070508E-301</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3.2769511000680179E-2</v>
      </c>
      <c r="C300" s="3">
        <f t="shared" si="282"/>
        <v>3.2769510982367432E-2</v>
      </c>
      <c r="D300" s="3">
        <f t="shared" si="282"/>
        <v>3.2769510799239995E-2</v>
      </c>
      <c r="E300" s="3">
        <f t="shared" si="282"/>
        <v>3.2769508967965676E-2</v>
      </c>
      <c r="F300" s="3">
        <f t="shared" si="282"/>
        <v>3.2769490655228092E-2</v>
      </c>
      <c r="G300" s="3">
        <f t="shared" si="282"/>
        <v>3.2769307528415149E-2</v>
      </c>
      <c r="H300" s="3">
        <f t="shared" si="282"/>
        <v>3.2767476316570274E-2</v>
      </c>
      <c r="I300" s="3">
        <f t="shared" si="282"/>
        <v>3.2749169825418048E-2</v>
      </c>
      <c r="J300" s="3">
        <f t="shared" si="282"/>
        <v>3.256666648173185E-2</v>
      </c>
      <c r="K300" s="3">
        <f t="shared" si="282"/>
        <v>3.0796645833634194E-2</v>
      </c>
      <c r="L300" s="3">
        <f t="shared" si="282"/>
        <v>1.7611832212510916E-2</v>
      </c>
      <c r="M300" s="3">
        <f t="shared" si="282"/>
        <v>6.5889429343498774E-5</v>
      </c>
      <c r="N300" s="3">
        <f t="shared" si="282"/>
        <v>3.53938507694179E-29</v>
      </c>
      <c r="O300" s="3">
        <f t="shared" si="282"/>
        <v>7.0802486153624805E-272</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4.1907199464856409E-2</v>
      </c>
      <c r="C301" s="3">
        <f t="shared" si="283"/>
        <v>4.1907199462743801E-2</v>
      </c>
      <c r="D301" s="3">
        <f t="shared" si="283"/>
        <v>4.1907199441617735E-2</v>
      </c>
      <c r="E301" s="3">
        <f t="shared" si="283"/>
        <v>4.1907199230357045E-2</v>
      </c>
      <c r="F301" s="3">
        <f t="shared" si="283"/>
        <v>4.1907197117750233E-2</v>
      </c>
      <c r="G301" s="3">
        <f t="shared" si="283"/>
        <v>4.1907175991687945E-2</v>
      </c>
      <c r="H301" s="3">
        <f t="shared" si="283"/>
        <v>4.19069647316508E-2</v>
      </c>
      <c r="I301" s="3">
        <f t="shared" si="283"/>
        <v>4.1904852189853084E-2</v>
      </c>
      <c r="J301" s="3">
        <f t="shared" si="283"/>
        <v>4.1883732628150344E-2</v>
      </c>
      <c r="K301" s="3">
        <f t="shared" si="283"/>
        <v>4.167312154771826E-2</v>
      </c>
      <c r="L301" s="3">
        <f t="shared" si="283"/>
        <v>3.9624388655124972E-2</v>
      </c>
      <c r="M301" s="3">
        <f t="shared" si="283"/>
        <v>2.3934700367461693E-2</v>
      </c>
      <c r="N301" s="3">
        <f t="shared" si="283"/>
        <v>1.547683660690668E-4</v>
      </c>
      <c r="O301" s="3">
        <f t="shared" si="283"/>
        <v>1.9779906025119062E-26</v>
      </c>
      <c r="P301" s="3">
        <f t="shared" si="283"/>
        <v>2.2995586282900336E-245</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3.8766931940987251E-2</v>
      </c>
      <c r="C302" s="3">
        <f t="shared" si="284"/>
        <v>3.8766931940810954E-2</v>
      </c>
      <c r="D302" s="3">
        <f t="shared" si="284"/>
        <v>3.8766931939048017E-2</v>
      </c>
      <c r="E302" s="3">
        <f t="shared" si="284"/>
        <v>3.8766931921418592E-2</v>
      </c>
      <c r="F302" s="3">
        <f t="shared" si="284"/>
        <v>3.8766931745124376E-2</v>
      </c>
      <c r="G302" s="3">
        <f t="shared" si="284"/>
        <v>3.8766929982182223E-2</v>
      </c>
      <c r="H302" s="3">
        <f t="shared" si="284"/>
        <v>3.8766912352765144E-2</v>
      </c>
      <c r="I302" s="3">
        <f t="shared" si="284"/>
        <v>3.8766736059035245E-2</v>
      </c>
      <c r="J302" s="3">
        <f t="shared" si="284"/>
        <v>3.8764973165829199E-2</v>
      </c>
      <c r="K302" s="3">
        <f t="shared" si="284"/>
        <v>3.8747348642323293E-2</v>
      </c>
      <c r="L302" s="3">
        <f t="shared" si="284"/>
        <v>3.8571543521836296E-2</v>
      </c>
      <c r="M302" s="3">
        <f t="shared" si="284"/>
        <v>3.6856772163251103E-2</v>
      </c>
      <c r="N302" s="3">
        <f t="shared" si="284"/>
        <v>2.3389454518459737E-2</v>
      </c>
      <c r="O302" s="3">
        <f t="shared" si="284"/>
        <v>2.4776961625071659E-4</v>
      </c>
      <c r="P302" s="3">
        <f t="shared" si="284"/>
        <v>4.4088730681874754E-24</v>
      </c>
      <c r="Q302" s="3">
        <f t="shared" si="284"/>
        <v>1.403211289203647E-221</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3.2038673628357731E-2</v>
      </c>
      <c r="C303" s="3">
        <f t="shared" si="285"/>
        <v>3.2038673628344588E-2</v>
      </c>
      <c r="D303" s="3">
        <f t="shared" si="285"/>
        <v>3.2038673628213159E-2</v>
      </c>
      <c r="E303" s="3">
        <f t="shared" si="285"/>
        <v>3.2038673626898849E-2</v>
      </c>
      <c r="F303" s="3">
        <f t="shared" si="285"/>
        <v>3.2038673613755751E-2</v>
      </c>
      <c r="G303" s="3">
        <f t="shared" si="285"/>
        <v>3.2038673482324767E-2</v>
      </c>
      <c r="H303" s="3">
        <f t="shared" si="285"/>
        <v>3.2038672168014953E-2</v>
      </c>
      <c r="I303" s="3">
        <f t="shared" si="285"/>
        <v>3.2038659024919806E-2</v>
      </c>
      <c r="J303" s="3">
        <f t="shared" si="285"/>
        <v>3.2038527594264871E-2</v>
      </c>
      <c r="K303" s="3">
        <f t="shared" si="285"/>
        <v>3.2037213317369015E-2</v>
      </c>
      <c r="L303" s="3">
        <f t="shared" si="285"/>
        <v>3.2024073513313177E-2</v>
      </c>
      <c r="M303" s="3">
        <f t="shared" si="285"/>
        <v>3.1892971513491859E-2</v>
      </c>
      <c r="N303" s="3">
        <f t="shared" si="285"/>
        <v>3.0611111135582472E-2</v>
      </c>
      <c r="O303" s="3">
        <f t="shared" si="285"/>
        <v>2.0310479914390927E-2</v>
      </c>
      <c r="P303" s="3">
        <f t="shared" si="285"/>
        <v>3.3583897732979119E-4</v>
      </c>
      <c r="Q303" s="3">
        <f t="shared" si="285"/>
        <v>5.1314515421352958E-22</v>
      </c>
      <c r="R303" s="3">
        <f t="shared" si="285"/>
        <v>3.5590293158579926E-200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3.8815204020590216E-2</v>
      </c>
      <c r="C304" s="3">
        <f t="shared" si="286"/>
        <v>3.881520402058878E-2</v>
      </c>
      <c r="D304" s="3">
        <f t="shared" si="286"/>
        <v>3.8815204020574416E-2</v>
      </c>
      <c r="E304" s="3">
        <f t="shared" si="286"/>
        <v>3.8815204020430781E-2</v>
      </c>
      <c r="F304" s="3">
        <f t="shared" si="286"/>
        <v>3.8815204018994388E-2</v>
      </c>
      <c r="G304" s="3">
        <f t="shared" si="286"/>
        <v>3.881520400463051E-2</v>
      </c>
      <c r="H304" s="3">
        <f t="shared" si="286"/>
        <v>3.8815203860991736E-2</v>
      </c>
      <c r="I304" s="3">
        <f t="shared" si="286"/>
        <v>3.8815202424604005E-2</v>
      </c>
      <c r="J304" s="3">
        <f t="shared" si="286"/>
        <v>3.8815188060729623E-2</v>
      </c>
      <c r="K304" s="3">
        <f t="shared" si="286"/>
        <v>3.8815044422278157E-2</v>
      </c>
      <c r="L304" s="3">
        <f t="shared" si="286"/>
        <v>3.8813608066998143E-2</v>
      </c>
      <c r="M304" s="3">
        <f t="shared" si="286"/>
        <v>3.879924743726073E-2</v>
      </c>
      <c r="N304" s="3">
        <f t="shared" si="286"/>
        <v>3.865593304632834E-2</v>
      </c>
      <c r="O304" s="3">
        <f t="shared" si="286"/>
        <v>3.7251584024009958E-2</v>
      </c>
      <c r="P304" s="3">
        <f t="shared" si="286"/>
        <v>2.5729455033975123E-2</v>
      </c>
      <c r="Q304" s="3">
        <f t="shared" si="286"/>
        <v>6.3575387739141383E-4</v>
      </c>
      <c r="R304" s="3">
        <f t="shared" si="286"/>
        <v>5.393532704439376E-20</v>
      </c>
      <c r="S304" s="3">
        <f t="shared" si="286"/>
        <v>1.0416367782238317E-180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3.6757921520569746E-2</v>
      </c>
      <c r="C305" s="3">
        <f t="shared" si="287"/>
        <v>3.6757921520569628E-2</v>
      </c>
      <c r="D305" s="3">
        <f t="shared" si="287"/>
        <v>3.67579215205684E-2</v>
      </c>
      <c r="E305" s="3">
        <f t="shared" si="287"/>
        <v>3.6757921520556125E-2</v>
      </c>
      <c r="F305" s="3">
        <f t="shared" si="287"/>
        <v>3.6757921520433418E-2</v>
      </c>
      <c r="G305" s="3">
        <f t="shared" si="287"/>
        <v>3.6757921519206357E-2</v>
      </c>
      <c r="H305" s="3">
        <f t="shared" si="287"/>
        <v>3.6757921506935708E-2</v>
      </c>
      <c r="I305" s="3">
        <f t="shared" si="287"/>
        <v>3.6757921384229272E-2</v>
      </c>
      <c r="J305" s="3">
        <f t="shared" si="287"/>
        <v>3.6757920157164885E-2</v>
      </c>
      <c r="K305" s="3">
        <f t="shared" si="287"/>
        <v>3.6757907886523271E-2</v>
      </c>
      <c r="L305" s="3">
        <f t="shared" si="287"/>
        <v>3.6757785180332445E-2</v>
      </c>
      <c r="M305" s="3">
        <f t="shared" si="287"/>
        <v>3.6756558140953126E-2</v>
      </c>
      <c r="N305" s="3">
        <f t="shared" si="287"/>
        <v>3.674428999977436E-2</v>
      </c>
      <c r="O305" s="3">
        <f t="shared" si="287"/>
        <v>3.6621833571448333E-2</v>
      </c>
      <c r="P305" s="3">
        <f t="shared" si="287"/>
        <v>3.5419492210916316E-2</v>
      </c>
      <c r="Q305" s="3">
        <f t="shared" si="287"/>
        <v>2.5366747788678472E-2</v>
      </c>
      <c r="R305" s="3">
        <f t="shared" si="287"/>
        <v>9.0051176959280365E-4</v>
      </c>
      <c r="S305" s="3">
        <f t="shared" si="287"/>
        <v>2.862433579484365E-18</v>
      </c>
      <c r="T305" s="3">
        <f t="shared" si="287"/>
        <v>3.0143637906915671E-163</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3.3395319995761917E-2</v>
      </c>
      <c r="C306" s="3">
        <f t="shared" si="288"/>
        <v>3.3395319995761903E-2</v>
      </c>
      <c r="D306" s="3">
        <f t="shared" si="288"/>
        <v>3.3395319995761806E-2</v>
      </c>
      <c r="E306" s="3">
        <f t="shared" si="288"/>
        <v>3.33953199957608E-2</v>
      </c>
      <c r="F306" s="3">
        <f t="shared" si="288"/>
        <v>3.3395319995750745E-2</v>
      </c>
      <c r="G306" s="3">
        <f t="shared" si="288"/>
        <v>3.339531999565018E-2</v>
      </c>
      <c r="H306" s="3">
        <f t="shared" si="288"/>
        <v>3.3395319994644526E-2</v>
      </c>
      <c r="I306" s="3">
        <f t="shared" si="288"/>
        <v>3.339531998458798E-2</v>
      </c>
      <c r="J306" s="3">
        <f t="shared" si="288"/>
        <v>3.3395319884022577E-2</v>
      </c>
      <c r="K306" s="3">
        <f t="shared" si="288"/>
        <v>3.3395318878368531E-2</v>
      </c>
      <c r="L306" s="3">
        <f t="shared" si="288"/>
        <v>3.3395308821829707E-2</v>
      </c>
      <c r="M306" s="3">
        <f t="shared" si="288"/>
        <v>3.3395208256608036E-2</v>
      </c>
      <c r="N306" s="3">
        <f t="shared" si="288"/>
        <v>3.3394202621047267E-2</v>
      </c>
      <c r="O306" s="3">
        <f t="shared" si="288"/>
        <v>3.3384147930847242E-2</v>
      </c>
      <c r="P306" s="3">
        <f t="shared" si="288"/>
        <v>3.3283767384196861E-2</v>
      </c>
      <c r="Q306" s="3">
        <f t="shared" si="288"/>
        <v>3.2296413582425021E-2</v>
      </c>
      <c r="R306" s="3">
        <f t="shared" si="288"/>
        <v>2.3898601967466602E-2</v>
      </c>
      <c r="S306" s="3">
        <f t="shared" si="288"/>
        <v>1.1763985426988222E-3</v>
      </c>
      <c r="T306" s="3">
        <f t="shared" si="288"/>
        <v>9.825944236016979E-17</v>
      </c>
      <c r="U306" s="3">
        <f t="shared" si="288"/>
        <v>1.6239493053309679E-147</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3.5168182509434494E-2</v>
      </c>
      <c r="C307" s="3">
        <f t="shared" si="289"/>
        <v>3.5168182509434494E-2</v>
      </c>
      <c r="D307" s="3">
        <f t="shared" si="289"/>
        <v>3.516818250943448E-2</v>
      </c>
      <c r="E307" s="3">
        <f t="shared" si="289"/>
        <v>3.516818250943439E-2</v>
      </c>
      <c r="F307" s="3">
        <f t="shared" si="289"/>
        <v>3.5168182509433432E-2</v>
      </c>
      <c r="G307" s="3">
        <f t="shared" si="289"/>
        <v>3.5168182509423877E-2</v>
      </c>
      <c r="H307" s="3">
        <f t="shared" si="289"/>
        <v>3.5168182509328343E-2</v>
      </c>
      <c r="I307" s="3">
        <f t="shared" si="289"/>
        <v>3.5168182508373003E-2</v>
      </c>
      <c r="J307" s="3">
        <f t="shared" si="289"/>
        <v>3.5168182498819568E-2</v>
      </c>
      <c r="K307" s="3">
        <f t="shared" si="289"/>
        <v>3.5168182403285224E-2</v>
      </c>
      <c r="L307" s="3">
        <f t="shared" si="289"/>
        <v>3.5168181447941808E-2</v>
      </c>
      <c r="M307" s="3">
        <f t="shared" si="289"/>
        <v>3.5168171894509111E-2</v>
      </c>
      <c r="N307" s="3">
        <f t="shared" si="289"/>
        <v>3.5168076360324832E-2</v>
      </c>
      <c r="O307" s="3">
        <f t="shared" si="289"/>
        <v>3.5167121032755405E-2</v>
      </c>
      <c r="P307" s="3">
        <f t="shared" si="289"/>
        <v>3.5157569184256117E-2</v>
      </c>
      <c r="Q307" s="3">
        <f t="shared" si="289"/>
        <v>3.5062193275416258E-2</v>
      </c>
      <c r="R307" s="3">
        <f t="shared" si="289"/>
        <v>3.4122549533678138E-2</v>
      </c>
      <c r="S307" s="3">
        <f t="shared" si="289"/>
        <v>2.6005511939445978E-2</v>
      </c>
      <c r="T307" s="3">
        <f t="shared" si="289"/>
        <v>1.7191143089913452E-3</v>
      </c>
      <c r="U307" s="3">
        <f t="shared" si="289"/>
        <v>2.7396698513284041E-15</v>
      </c>
      <c r="V307" s="3">
        <f t="shared" si="289"/>
        <v>2.8948961219800449E-133</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2.0659155414283158E-2</v>
      </c>
      <c r="C308" s="3">
        <f t="shared" si="290"/>
        <v>2.0659155414283158E-2</v>
      </c>
      <c r="D308" s="3">
        <f t="shared" si="290"/>
        <v>2.0659155414283158E-2</v>
      </c>
      <c r="E308" s="3">
        <f t="shared" si="290"/>
        <v>2.0659155414283155E-2</v>
      </c>
      <c r="F308" s="3">
        <f t="shared" si="290"/>
        <v>2.0659155414283099E-2</v>
      </c>
      <c r="G308" s="3">
        <f t="shared" si="290"/>
        <v>2.0659155414282596E-2</v>
      </c>
      <c r="H308" s="3">
        <f t="shared" si="290"/>
        <v>2.0659155414277534E-2</v>
      </c>
      <c r="I308" s="3">
        <f t="shared" si="290"/>
        <v>2.0659155414226908E-2</v>
      </c>
      <c r="J308" s="3">
        <f t="shared" si="290"/>
        <v>2.0659155413720653E-2</v>
      </c>
      <c r="K308" s="3">
        <f t="shared" si="290"/>
        <v>2.0659155408658109E-2</v>
      </c>
      <c r="L308" s="3">
        <f t="shared" si="290"/>
        <v>2.0659155358032675E-2</v>
      </c>
      <c r="M308" s="3">
        <f t="shared" si="290"/>
        <v>2.0659154851778355E-2</v>
      </c>
      <c r="N308" s="3">
        <f t="shared" si="290"/>
        <v>2.0659149789235824E-2</v>
      </c>
      <c r="O308" s="3">
        <f t="shared" si="290"/>
        <v>2.0659099163878751E-2</v>
      </c>
      <c r="P308" s="3">
        <f t="shared" si="290"/>
        <v>2.0658592917131118E-2</v>
      </c>
      <c r="Q308" s="3">
        <f t="shared" si="290"/>
        <v>2.0653531131905298E-2</v>
      </c>
      <c r="R308" s="3">
        <f t="shared" si="290"/>
        <v>2.0602981442880766E-2</v>
      </c>
      <c r="S308" s="3">
        <f t="shared" si="290"/>
        <v>2.0104239476219411E-2</v>
      </c>
      <c r="T308" s="3">
        <f t="shared" si="290"/>
        <v>1.573487956978447E-2</v>
      </c>
      <c r="U308" s="3">
        <f t="shared" si="290"/>
        <v>1.357129116463763E-3</v>
      </c>
      <c r="V308" s="3">
        <f t="shared" si="290"/>
        <v>3.0917090457872296E-14</v>
      </c>
      <c r="W308" s="3">
        <f t="shared" si="290"/>
        <v>1.1640539302132976E-120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3.0227206274926977E-2</v>
      </c>
      <c r="C309" s="3">
        <f t="shared" si="291"/>
        <v>3.0227206274926977E-2</v>
      </c>
      <c r="D309" s="3">
        <f t="shared" si="291"/>
        <v>3.0227206274926977E-2</v>
      </c>
      <c r="E309" s="3">
        <f t="shared" si="291"/>
        <v>3.0227206274926973E-2</v>
      </c>
      <c r="F309" s="3">
        <f t="shared" si="291"/>
        <v>3.0227206274926952E-2</v>
      </c>
      <c r="G309" s="3">
        <f t="shared" si="291"/>
        <v>3.0227206274926748E-2</v>
      </c>
      <c r="H309" s="3">
        <f t="shared" si="291"/>
        <v>3.0227206274924701E-2</v>
      </c>
      <c r="I309" s="3">
        <f t="shared" si="291"/>
        <v>3.0227206274904213E-2</v>
      </c>
      <c r="J309" s="3">
        <f t="shared" si="291"/>
        <v>3.022720627469935E-2</v>
      </c>
      <c r="K309" s="3">
        <f t="shared" si="291"/>
        <v>3.0227206272650704E-2</v>
      </c>
      <c r="L309" s="3">
        <f t="shared" si="291"/>
        <v>3.0227206252164237E-2</v>
      </c>
      <c r="M309" s="3">
        <f t="shared" si="291"/>
        <v>3.022720604729957E-2</v>
      </c>
      <c r="N309" s="3">
        <f t="shared" si="291"/>
        <v>3.0227203998653002E-2</v>
      </c>
      <c r="O309" s="3">
        <f t="shared" si="291"/>
        <v>3.0227183512194958E-2</v>
      </c>
      <c r="P309" s="3">
        <f t="shared" si="291"/>
        <v>3.0226978648378148E-2</v>
      </c>
      <c r="Q309" s="3">
        <f t="shared" si="291"/>
        <v>3.02249300865737E-2</v>
      </c>
      <c r="R309" s="3">
        <f t="shared" si="291"/>
        <v>3.0204452102979947E-2</v>
      </c>
      <c r="S309" s="3">
        <f t="shared" si="291"/>
        <v>3.000043380110913E-2</v>
      </c>
      <c r="T309" s="3">
        <f t="shared" si="291"/>
        <v>2.803452863819926E-2</v>
      </c>
      <c r="U309" s="3">
        <f t="shared" si="291"/>
        <v>1.423477139391969E-2</v>
      </c>
      <c r="V309" s="3">
        <f t="shared" si="291"/>
        <v>1.6215221352836258E-5</v>
      </c>
      <c r="W309" s="3">
        <f t="shared" si="291"/>
        <v>5.9654983274205929E-35</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3.7583954306508939E-2</v>
      </c>
      <c r="C310" s="3">
        <f t="shared" si="292"/>
        <v>3.7583954306508939E-2</v>
      </c>
      <c r="D310" s="3">
        <f t="shared" si="292"/>
        <v>3.7583954306508939E-2</v>
      </c>
      <c r="E310" s="3">
        <f t="shared" si="292"/>
        <v>3.7583954306508939E-2</v>
      </c>
      <c r="F310" s="3">
        <f t="shared" si="292"/>
        <v>3.7583954306508932E-2</v>
      </c>
      <c r="G310" s="3">
        <f t="shared" si="292"/>
        <v>3.7583954306508911E-2</v>
      </c>
      <c r="H310" s="3">
        <f t="shared" si="292"/>
        <v>3.7583954306508655E-2</v>
      </c>
      <c r="I310" s="3">
        <f t="shared" si="292"/>
        <v>3.7583954306506108E-2</v>
      </c>
      <c r="J310" s="3">
        <f t="shared" si="292"/>
        <v>3.7583954306480635E-2</v>
      </c>
      <c r="K310" s="3">
        <f t="shared" si="292"/>
        <v>3.7583954306225908E-2</v>
      </c>
      <c r="L310" s="3">
        <f t="shared" si="292"/>
        <v>3.7583954303678661E-2</v>
      </c>
      <c r="M310" s="3">
        <f t="shared" si="292"/>
        <v>3.7583954278206162E-2</v>
      </c>
      <c r="N310" s="3">
        <f t="shared" si="292"/>
        <v>3.7583954023481192E-2</v>
      </c>
      <c r="O310" s="3">
        <f t="shared" si="292"/>
        <v>3.7583951476231593E-2</v>
      </c>
      <c r="P310" s="3">
        <f t="shared" si="292"/>
        <v>3.7583926003745119E-2</v>
      </c>
      <c r="Q310" s="3">
        <f t="shared" si="292"/>
        <v>3.7583671279829853E-2</v>
      </c>
      <c r="R310" s="3">
        <f t="shared" si="292"/>
        <v>3.7581124135626309E-2</v>
      </c>
      <c r="S310" s="3">
        <f t="shared" si="292"/>
        <v>3.7555662186127013E-2</v>
      </c>
      <c r="T310" s="3">
        <f t="shared" si="292"/>
        <v>3.7301989568635903E-2</v>
      </c>
      <c r="U310" s="3">
        <f t="shared" si="292"/>
        <v>3.4857619118329942E-2</v>
      </c>
      <c r="V310" s="3">
        <f t="shared" si="292"/>
        <v>1.7699253869731653E-2</v>
      </c>
      <c r="W310" s="3">
        <f t="shared" si="292"/>
        <v>2.0161709052829037E-5</v>
      </c>
      <c r="X310" s="3">
        <f t="shared" si="292"/>
        <v>7.4173912902863108E-35</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3.8796261080834012E-2</v>
      </c>
      <c r="C311" s="3">
        <f t="shared" si="293"/>
        <v>3.8796261080834012E-2</v>
      </c>
      <c r="D311" s="3">
        <f t="shared" si="293"/>
        <v>3.8796261080834012E-2</v>
      </c>
      <c r="E311" s="3">
        <f t="shared" si="293"/>
        <v>3.8796261080834012E-2</v>
      </c>
      <c r="F311" s="3">
        <f t="shared" si="293"/>
        <v>3.8796261080834012E-2</v>
      </c>
      <c r="G311" s="3">
        <f t="shared" si="293"/>
        <v>3.8796261080834005E-2</v>
      </c>
      <c r="H311" s="3">
        <f t="shared" si="293"/>
        <v>3.8796261080833984E-2</v>
      </c>
      <c r="I311" s="3">
        <f t="shared" si="293"/>
        <v>3.879626108083372E-2</v>
      </c>
      <c r="J311" s="3">
        <f t="shared" si="293"/>
        <v>3.879626108083109E-2</v>
      </c>
      <c r="K311" s="3">
        <f t="shared" si="293"/>
        <v>3.8796261080804799E-2</v>
      </c>
      <c r="L311" s="3">
        <f t="shared" si="293"/>
        <v>3.8796261080541856E-2</v>
      </c>
      <c r="M311" s="3">
        <f t="shared" si="293"/>
        <v>3.8796261077912446E-2</v>
      </c>
      <c r="N311" s="3">
        <f t="shared" si="293"/>
        <v>3.8796261051618305E-2</v>
      </c>
      <c r="O311" s="3">
        <f t="shared" si="293"/>
        <v>3.8796260788676935E-2</v>
      </c>
      <c r="P311" s="3">
        <f t="shared" si="293"/>
        <v>3.8796258159263339E-2</v>
      </c>
      <c r="Q311" s="3">
        <f t="shared" si="293"/>
        <v>3.8796231865137192E-2</v>
      </c>
      <c r="R311" s="3">
        <f t="shared" si="293"/>
        <v>3.8795968924855817E-2</v>
      </c>
      <c r="S311" s="3">
        <f t="shared" si="293"/>
        <v>3.8793339620053956E-2</v>
      </c>
      <c r="T311" s="3">
        <f t="shared" si="293"/>
        <v>3.8767056370762366E-2</v>
      </c>
      <c r="U311" s="3">
        <f t="shared" si="293"/>
        <v>3.850520129779738E-2</v>
      </c>
      <c r="V311" s="3">
        <f t="shared" si="293"/>
        <v>3.5981985315919646E-2</v>
      </c>
      <c r="W311" s="3">
        <f t="shared" si="293"/>
        <v>1.8270160411171837E-2</v>
      </c>
      <c r="X311" s="3">
        <f t="shared" si="293"/>
        <v>2.0812044466377652E-5</v>
      </c>
      <c r="Y311" s="3">
        <f t="shared" si="293"/>
        <v>7.6566464159098697E-35</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4.443590866461708E-2</v>
      </c>
      <c r="C312" s="3">
        <f t="shared" si="294"/>
        <v>4.443590866461708E-2</v>
      </c>
      <c r="D312" s="3">
        <f t="shared" si="294"/>
        <v>4.443590866461708E-2</v>
      </c>
      <c r="E312" s="3">
        <f t="shared" si="294"/>
        <v>4.443590866461708E-2</v>
      </c>
      <c r="F312" s="3">
        <f t="shared" si="294"/>
        <v>4.443590866461708E-2</v>
      </c>
      <c r="G312" s="3">
        <f t="shared" si="294"/>
        <v>4.443590866461708E-2</v>
      </c>
      <c r="H312" s="3">
        <f t="shared" si="294"/>
        <v>4.4435908664617073E-2</v>
      </c>
      <c r="I312" s="3">
        <f t="shared" si="294"/>
        <v>4.4435908664617045E-2</v>
      </c>
      <c r="J312" s="3">
        <f t="shared" si="294"/>
        <v>4.4435908664616747E-2</v>
      </c>
      <c r="K312" s="3">
        <f t="shared" si="294"/>
        <v>4.4435908664613735E-2</v>
      </c>
      <c r="L312" s="3">
        <f t="shared" si="294"/>
        <v>4.4435908664583613E-2</v>
      </c>
      <c r="M312" s="3">
        <f t="shared" si="294"/>
        <v>4.4435908664282452E-2</v>
      </c>
      <c r="N312" s="3">
        <f t="shared" si="294"/>
        <v>4.4435908661270812E-2</v>
      </c>
      <c r="O312" s="3">
        <f t="shared" si="294"/>
        <v>4.443590863115441E-2</v>
      </c>
      <c r="P312" s="3">
        <f t="shared" si="294"/>
        <v>4.4435908329990365E-2</v>
      </c>
      <c r="Q312" s="3">
        <f t="shared" si="294"/>
        <v>4.4435905318350094E-2</v>
      </c>
      <c r="R312" s="3">
        <f t="shared" si="294"/>
        <v>4.4435875201958581E-2</v>
      </c>
      <c r="S312" s="3">
        <f t="shared" si="294"/>
        <v>4.4435574039166037E-2</v>
      </c>
      <c r="T312" s="3">
        <f t="shared" si="294"/>
        <v>4.4432562523500044E-2</v>
      </c>
      <c r="U312" s="3">
        <f t="shared" si="294"/>
        <v>4.4402458589966422E-2</v>
      </c>
      <c r="V312" s="3">
        <f t="shared" si="294"/>
        <v>4.4102538757965215E-2</v>
      </c>
      <c r="W312" s="3">
        <f t="shared" si="294"/>
        <v>4.121253359282287E-2</v>
      </c>
      <c r="X312" s="3">
        <f t="shared" si="294"/>
        <v>2.0926015979405872E-2</v>
      </c>
      <c r="Y312" s="3">
        <f t="shared" si="294"/>
        <v>2.3837402916354075E-5</v>
      </c>
      <c r="Z312" s="3">
        <f t="shared" si="294"/>
        <v>8.7696605635721399E-35</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5.224128023540766E-2</v>
      </c>
      <c r="C313" s="3">
        <f t="shared" si="295"/>
        <v>5.224128023540766E-2</v>
      </c>
      <c r="D313" s="3">
        <f t="shared" si="295"/>
        <v>5.224128023540766E-2</v>
      </c>
      <c r="E313" s="3">
        <f t="shared" si="295"/>
        <v>5.224128023540766E-2</v>
      </c>
      <c r="F313" s="3">
        <f t="shared" si="295"/>
        <v>5.224128023540766E-2</v>
      </c>
      <c r="G313" s="3">
        <f t="shared" si="295"/>
        <v>5.224128023540766E-2</v>
      </c>
      <c r="H313" s="3">
        <f t="shared" si="295"/>
        <v>5.224128023540766E-2</v>
      </c>
      <c r="I313" s="3">
        <f t="shared" si="295"/>
        <v>5.2241280235407653E-2</v>
      </c>
      <c r="J313" s="3">
        <f t="shared" si="295"/>
        <v>5.2241280235407618E-2</v>
      </c>
      <c r="K313" s="3">
        <f t="shared" si="295"/>
        <v>5.2241280235407264E-2</v>
      </c>
      <c r="L313" s="3">
        <f t="shared" si="295"/>
        <v>5.2241280235403725E-2</v>
      </c>
      <c r="M313" s="3">
        <f t="shared" si="295"/>
        <v>5.2241280235368316E-2</v>
      </c>
      <c r="N313" s="3">
        <f t="shared" si="295"/>
        <v>5.2241280235014252E-2</v>
      </c>
      <c r="O313" s="3">
        <f t="shared" si="295"/>
        <v>5.2241280231473605E-2</v>
      </c>
      <c r="P313" s="3">
        <f t="shared" si="295"/>
        <v>5.2241280196067115E-2</v>
      </c>
      <c r="Q313" s="3">
        <f t="shared" si="295"/>
        <v>5.2241279842002226E-2</v>
      </c>
      <c r="R313" s="3">
        <f t="shared" si="295"/>
        <v>5.2241276301353501E-2</v>
      </c>
      <c r="S313" s="3">
        <f t="shared" si="295"/>
        <v>5.2241240894879408E-2</v>
      </c>
      <c r="T313" s="3">
        <f t="shared" si="295"/>
        <v>5.2240886831458312E-2</v>
      </c>
      <c r="U313" s="3">
        <f t="shared" si="295"/>
        <v>5.2237346329225574E-2</v>
      </c>
      <c r="V313" s="3">
        <f t="shared" si="295"/>
        <v>5.2201954501418298E-2</v>
      </c>
      <c r="W313" s="3">
        <f t="shared" si="295"/>
        <v>5.1849352372586227E-2</v>
      </c>
      <c r="X313" s="3">
        <f t="shared" si="295"/>
        <v>4.8451704518606468E-2</v>
      </c>
      <c r="Y313" s="3">
        <f t="shared" si="295"/>
        <v>2.4601766855760127E-2</v>
      </c>
      <c r="Z313" s="3">
        <f t="shared" si="295"/>
        <v>2.8024552288027531E-5</v>
      </c>
      <c r="AA313" s="3">
        <f t="shared" si="295"/>
        <v>1.0310091744242341E-34</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5.759294658465644E-2</v>
      </c>
      <c r="C314" s="3">
        <f t="shared" si="296"/>
        <v>5.759294658465644E-2</v>
      </c>
      <c r="D314" s="3">
        <f t="shared" si="296"/>
        <v>5.759294658465644E-2</v>
      </c>
      <c r="E314" s="3">
        <f t="shared" si="296"/>
        <v>5.759294658465644E-2</v>
      </c>
      <c r="F314" s="3">
        <f t="shared" si="296"/>
        <v>5.759294658465644E-2</v>
      </c>
      <c r="G314" s="3">
        <f t="shared" si="296"/>
        <v>5.759294658465644E-2</v>
      </c>
      <c r="H314" s="3">
        <f t="shared" si="296"/>
        <v>5.759294658465644E-2</v>
      </c>
      <c r="I314" s="3">
        <f t="shared" si="296"/>
        <v>5.759294658465644E-2</v>
      </c>
      <c r="J314" s="3">
        <f t="shared" si="296"/>
        <v>5.7592946584656433E-2</v>
      </c>
      <c r="K314" s="3">
        <f t="shared" si="296"/>
        <v>5.7592946584656399E-2</v>
      </c>
      <c r="L314" s="3">
        <f t="shared" si="296"/>
        <v>5.7592946584656003E-2</v>
      </c>
      <c r="M314" s="3">
        <f t="shared" si="296"/>
        <v>5.7592946584652104E-2</v>
      </c>
      <c r="N314" s="3">
        <f t="shared" si="296"/>
        <v>5.7592946584613072E-2</v>
      </c>
      <c r="O314" s="3">
        <f t="shared" si="296"/>
        <v>5.7592946584222732E-2</v>
      </c>
      <c r="P314" s="3">
        <f t="shared" si="296"/>
        <v>5.7592946580319382E-2</v>
      </c>
      <c r="Q314" s="3">
        <f t="shared" si="296"/>
        <v>5.75929465412858E-2</v>
      </c>
      <c r="R314" s="3">
        <f t="shared" si="296"/>
        <v>5.7592946150950029E-2</v>
      </c>
      <c r="S314" s="3">
        <f t="shared" si="296"/>
        <v>5.7592942247592531E-2</v>
      </c>
      <c r="T314" s="3">
        <f t="shared" si="296"/>
        <v>5.7592903214032064E-2</v>
      </c>
      <c r="U314" s="3">
        <f t="shared" si="296"/>
        <v>5.7592512879882381E-2</v>
      </c>
      <c r="V314" s="3">
        <f t="shared" si="296"/>
        <v>5.7588609683883858E-2</v>
      </c>
      <c r="W314" s="3">
        <f t="shared" si="296"/>
        <v>5.7549592270082876E-2</v>
      </c>
      <c r="X314" s="3">
        <f t="shared" si="296"/>
        <v>5.7160869109395517E-2</v>
      </c>
      <c r="Y314" s="3">
        <f t="shared" si="296"/>
        <v>5.3415161682510863E-2</v>
      </c>
      <c r="Z314" s="3">
        <f t="shared" si="296"/>
        <v>2.7122004629810691E-2</v>
      </c>
      <c r="AA314" s="3">
        <f t="shared" si="296"/>
        <v>3.0895424761993992E-5</v>
      </c>
      <c r="AB314" s="3">
        <f t="shared" si="296"/>
        <v>1.1366271278830632E-34</v>
      </c>
      <c r="AC314" s="3">
        <f t="shared" si="296"/>
        <v>0</v>
      </c>
      <c r="AD314" s="3">
        <f t="shared" si="296"/>
        <v>0</v>
      </c>
      <c r="AE314" s="3">
        <f t="shared" si="296"/>
        <v>0</v>
      </c>
      <c r="AF314" s="3">
        <f t="shared" si="296"/>
        <v>0</v>
      </c>
      <c r="AG314" s="3"/>
      <c r="AH314" s="3"/>
    </row>
    <row r="315" spans="1:34" x14ac:dyDescent="0.25">
      <c r="B315" s="3">
        <f t="shared" ref="B315:AF315" si="297">$C45*EXP(-B$285/$A45/EXP(-$F$126))</f>
        <v>5.4172080221644638E-2</v>
      </c>
      <c r="C315" s="3">
        <f t="shared" si="297"/>
        <v>5.4172080221644638E-2</v>
      </c>
      <c r="D315" s="3">
        <f t="shared" si="297"/>
        <v>5.4172080221644638E-2</v>
      </c>
      <c r="E315" s="3">
        <f t="shared" si="297"/>
        <v>5.4172080221644638E-2</v>
      </c>
      <c r="F315" s="3">
        <f t="shared" si="297"/>
        <v>5.4172080221644638E-2</v>
      </c>
      <c r="G315" s="3">
        <f t="shared" si="297"/>
        <v>5.4172080221644638E-2</v>
      </c>
      <c r="H315" s="3">
        <f t="shared" si="297"/>
        <v>5.4172080221644638E-2</v>
      </c>
      <c r="I315" s="3">
        <f t="shared" si="297"/>
        <v>5.4172080221644638E-2</v>
      </c>
      <c r="J315" s="3">
        <f t="shared" si="297"/>
        <v>5.4172080221644638E-2</v>
      </c>
      <c r="K315" s="3">
        <f t="shared" si="297"/>
        <v>5.4172080221644631E-2</v>
      </c>
      <c r="L315" s="3">
        <f t="shared" si="297"/>
        <v>5.4172080221644596E-2</v>
      </c>
      <c r="M315" s="3">
        <f t="shared" si="297"/>
        <v>5.4172080221644228E-2</v>
      </c>
      <c r="N315" s="3">
        <f t="shared" si="297"/>
        <v>5.4172080221640558E-2</v>
      </c>
      <c r="O315" s="3">
        <f t="shared" si="297"/>
        <v>5.4172080221603844E-2</v>
      </c>
      <c r="P315" s="3">
        <f t="shared" si="297"/>
        <v>5.4172080221236693E-2</v>
      </c>
      <c r="Q315" s="3">
        <f t="shared" si="297"/>
        <v>5.4172080217565186E-2</v>
      </c>
      <c r="R315" s="3">
        <f t="shared" si="297"/>
        <v>5.4172080180850096E-2</v>
      </c>
      <c r="S315" s="3">
        <f t="shared" si="297"/>
        <v>5.4172079813699224E-2</v>
      </c>
      <c r="T315" s="3">
        <f t="shared" si="297"/>
        <v>5.4172076142190675E-2</v>
      </c>
      <c r="U315" s="3">
        <f t="shared" si="297"/>
        <v>5.417203942711888E-2</v>
      </c>
      <c r="V315" s="3">
        <f t="shared" si="297"/>
        <v>5.4171672277769457E-2</v>
      </c>
      <c r="W315" s="3">
        <f t="shared" si="297"/>
        <v>5.4168000921131332E-2</v>
      </c>
      <c r="X315" s="3">
        <f t="shared" si="297"/>
        <v>5.4131301036930042E-2</v>
      </c>
      <c r="Y315" s="3">
        <f t="shared" si="297"/>
        <v>5.3765666988083216E-2</v>
      </c>
      <c r="Z315" s="3">
        <f t="shared" si="297"/>
        <v>5.0242444523371461E-2</v>
      </c>
      <c r="AA315" s="3">
        <f t="shared" si="297"/>
        <v>2.5511030390123361E-2</v>
      </c>
      <c r="AB315" s="3">
        <f t="shared" si="297"/>
        <v>2.9060319499860653E-5</v>
      </c>
      <c r="AC315" s="3">
        <f t="shared" si="297"/>
        <v>1.0691145288645965E-34</v>
      </c>
      <c r="AD315" s="3">
        <f t="shared" si="297"/>
        <v>0</v>
      </c>
      <c r="AE315" s="3">
        <f t="shared" si="297"/>
        <v>0</v>
      </c>
      <c r="AF315" s="3">
        <f t="shared" si="297"/>
        <v>0</v>
      </c>
      <c r="AG315" s="3"/>
      <c r="AH315" s="3"/>
    </row>
    <row r="316" spans="1:34" x14ac:dyDescent="0.25">
      <c r="B316" s="3">
        <f t="shared" ref="B316:AF316" si="298">$C46*EXP(-B$285/$A46/EXP(-$F$126))</f>
        <v>3.8751330064371987E-2</v>
      </c>
      <c r="C316" s="3">
        <f t="shared" si="298"/>
        <v>3.8751330064371987E-2</v>
      </c>
      <c r="D316" s="3">
        <f t="shared" si="298"/>
        <v>3.8751330064371987E-2</v>
      </c>
      <c r="E316" s="3">
        <f t="shared" si="298"/>
        <v>3.8751330064371987E-2</v>
      </c>
      <c r="F316" s="3">
        <f t="shared" si="298"/>
        <v>3.8751330064371987E-2</v>
      </c>
      <c r="G316" s="3">
        <f t="shared" si="298"/>
        <v>3.8751330064371987E-2</v>
      </c>
      <c r="H316" s="3">
        <f t="shared" si="298"/>
        <v>3.8751330064371987E-2</v>
      </c>
      <c r="I316" s="3">
        <f t="shared" si="298"/>
        <v>3.8751330064371987E-2</v>
      </c>
      <c r="J316" s="3">
        <f t="shared" si="298"/>
        <v>3.8751330064371987E-2</v>
      </c>
      <c r="K316" s="3">
        <f t="shared" si="298"/>
        <v>3.8751330064371987E-2</v>
      </c>
      <c r="L316" s="3">
        <f t="shared" si="298"/>
        <v>3.875133006437198E-2</v>
      </c>
      <c r="M316" s="3">
        <f t="shared" si="298"/>
        <v>3.875133006437196E-2</v>
      </c>
      <c r="N316" s="3">
        <f t="shared" si="298"/>
        <v>3.8751330064371696E-2</v>
      </c>
      <c r="O316" s="3">
        <f t="shared" si="298"/>
        <v>3.8751330064369073E-2</v>
      </c>
      <c r="P316" s="3">
        <f t="shared" si="298"/>
        <v>3.8751330064342802E-2</v>
      </c>
      <c r="Q316" s="3">
        <f t="shared" si="298"/>
        <v>3.8751330064080172E-2</v>
      </c>
      <c r="R316" s="3">
        <f t="shared" si="298"/>
        <v>3.8751330061453801E-2</v>
      </c>
      <c r="S316" s="3">
        <f t="shared" si="298"/>
        <v>3.8751330035190115E-2</v>
      </c>
      <c r="T316" s="3">
        <f t="shared" si="298"/>
        <v>3.8751329772553265E-2</v>
      </c>
      <c r="U316" s="3">
        <f t="shared" si="298"/>
        <v>3.8751327146184865E-2</v>
      </c>
      <c r="V316" s="3">
        <f t="shared" si="298"/>
        <v>3.8751300882510664E-2</v>
      </c>
      <c r="W316" s="3">
        <f t="shared" si="298"/>
        <v>3.8751038246747666E-2</v>
      </c>
      <c r="X316" s="3">
        <f t="shared" si="298"/>
        <v>3.8748411987015972E-2</v>
      </c>
      <c r="Y316" s="3">
        <f t="shared" si="298"/>
        <v>3.8722159177077907E-2</v>
      </c>
      <c r="Z316" s="3">
        <f t="shared" si="298"/>
        <v>3.8460607365671286E-2</v>
      </c>
      <c r="AA316" s="3">
        <f t="shared" si="298"/>
        <v>3.5940313589585049E-2</v>
      </c>
      <c r="AB316" s="3">
        <f t="shared" si="298"/>
        <v>1.8249001236155259E-2</v>
      </c>
      <c r="AC316" s="3">
        <f t="shared" si="298"/>
        <v>2.0787941465560672E-5</v>
      </c>
      <c r="AD316" s="3">
        <f t="shared" si="298"/>
        <v>7.6477790432153627E-35</v>
      </c>
      <c r="AE316" s="3">
        <f t="shared" si="298"/>
        <v>0</v>
      </c>
      <c r="AF316" s="3">
        <f t="shared" si="298"/>
        <v>0</v>
      </c>
      <c r="AG316" s="3"/>
      <c r="AH316" s="3"/>
    </row>
    <row r="317" spans="1:34" x14ac:dyDescent="0.25">
      <c r="B317" s="3">
        <f t="shared" ref="B317:AF317" si="299">$C47*EXP(-B$285/$A47/EXP(-$F$126))</f>
        <v>2.0828240532986285E-2</v>
      </c>
      <c r="C317" s="3">
        <f t="shared" si="299"/>
        <v>2.0828240532986285E-2</v>
      </c>
      <c r="D317" s="3">
        <f t="shared" si="299"/>
        <v>2.0828240532986285E-2</v>
      </c>
      <c r="E317" s="3">
        <f t="shared" si="299"/>
        <v>2.0828240532986285E-2</v>
      </c>
      <c r="F317" s="3">
        <f t="shared" si="299"/>
        <v>2.0828240532986285E-2</v>
      </c>
      <c r="G317" s="3">
        <f t="shared" si="299"/>
        <v>2.0828240532986285E-2</v>
      </c>
      <c r="H317" s="3">
        <f t="shared" si="299"/>
        <v>2.0828240532986285E-2</v>
      </c>
      <c r="I317" s="3">
        <f t="shared" si="299"/>
        <v>2.0828240532986285E-2</v>
      </c>
      <c r="J317" s="3">
        <f t="shared" si="299"/>
        <v>2.0828240532986285E-2</v>
      </c>
      <c r="K317" s="3">
        <f t="shared" si="299"/>
        <v>2.0828240532986285E-2</v>
      </c>
      <c r="L317" s="3">
        <f t="shared" si="299"/>
        <v>2.0828240532986285E-2</v>
      </c>
      <c r="M317" s="3">
        <f t="shared" si="299"/>
        <v>2.0828240532986281E-2</v>
      </c>
      <c r="N317" s="3">
        <f t="shared" si="299"/>
        <v>2.0828240532986268E-2</v>
      </c>
      <c r="O317" s="3">
        <f t="shared" si="299"/>
        <v>2.0828240532986129E-2</v>
      </c>
      <c r="P317" s="3">
        <f t="shared" si="299"/>
        <v>2.0828240532984717E-2</v>
      </c>
      <c r="Q317" s="3">
        <f t="shared" si="299"/>
        <v>2.08282405329706E-2</v>
      </c>
      <c r="R317" s="3">
        <f t="shared" si="299"/>
        <v>2.0828240532829438E-2</v>
      </c>
      <c r="S317" s="3">
        <f t="shared" si="299"/>
        <v>2.0828240531417807E-2</v>
      </c>
      <c r="T317" s="3">
        <f t="shared" si="299"/>
        <v>2.0828240517301481E-2</v>
      </c>
      <c r="U317" s="3">
        <f t="shared" si="299"/>
        <v>2.0828240376138233E-2</v>
      </c>
      <c r="V317" s="3">
        <f t="shared" si="299"/>
        <v>2.0828238964505842E-2</v>
      </c>
      <c r="W317" s="3">
        <f t="shared" si="299"/>
        <v>2.0828224848187187E-2</v>
      </c>
      <c r="X317" s="3">
        <f t="shared" si="299"/>
        <v>2.0828083685526827E-2</v>
      </c>
      <c r="Y317" s="3">
        <f t="shared" si="299"/>
        <v>2.0826672111542068E-2</v>
      </c>
      <c r="Z317" s="3">
        <f t="shared" si="299"/>
        <v>2.0812561632259204E-2</v>
      </c>
      <c r="AA317" s="3">
        <f t="shared" si="299"/>
        <v>2.0671981579116098E-2</v>
      </c>
      <c r="AB317" s="3">
        <f t="shared" si="299"/>
        <v>1.9317362656490401E-2</v>
      </c>
      <c r="AC317" s="3">
        <f t="shared" si="299"/>
        <v>9.8085559025202374E-3</v>
      </c>
      <c r="AD317" s="3">
        <f t="shared" si="299"/>
        <v>1.1173197005395588E-5</v>
      </c>
      <c r="AE317" s="3">
        <f t="shared" si="299"/>
        <v>4.1105629455973817E-35</v>
      </c>
      <c r="AF317" s="3">
        <f t="shared" si="299"/>
        <v>0</v>
      </c>
      <c r="AG317" s="3"/>
      <c r="AH317" s="3"/>
    </row>
    <row r="318" spans="1:34" x14ac:dyDescent="0.25">
      <c r="B318" s="3">
        <f t="shared" ref="B318:AF318" si="300">$C48*EXP(-B$285/$A48/EXP(-$F$126))</f>
        <v>2.990470230026878E-2</v>
      </c>
      <c r="C318" s="3">
        <f t="shared" si="300"/>
        <v>2.990470230026878E-2</v>
      </c>
      <c r="D318" s="3">
        <f t="shared" si="300"/>
        <v>2.990470230026878E-2</v>
      </c>
      <c r="E318" s="3">
        <f t="shared" si="300"/>
        <v>2.990470230026878E-2</v>
      </c>
      <c r="F318" s="3">
        <f t="shared" si="300"/>
        <v>2.990470230026878E-2</v>
      </c>
      <c r="G318" s="3">
        <f t="shared" si="300"/>
        <v>2.990470230026878E-2</v>
      </c>
      <c r="H318" s="3">
        <f t="shared" si="300"/>
        <v>2.990470230026878E-2</v>
      </c>
      <c r="I318" s="3">
        <f t="shared" si="300"/>
        <v>2.990470230026878E-2</v>
      </c>
      <c r="J318" s="3">
        <f t="shared" si="300"/>
        <v>2.990470230026878E-2</v>
      </c>
      <c r="K318" s="3">
        <f t="shared" si="300"/>
        <v>2.990470230026878E-2</v>
      </c>
      <c r="L318" s="3">
        <f t="shared" si="300"/>
        <v>2.990470230026878E-2</v>
      </c>
      <c r="M318" s="3">
        <f t="shared" si="300"/>
        <v>2.990470230026878E-2</v>
      </c>
      <c r="N318" s="3">
        <f t="shared" si="300"/>
        <v>2.9904702300268777E-2</v>
      </c>
      <c r="O318" s="3">
        <f t="shared" si="300"/>
        <v>2.9904702300268756E-2</v>
      </c>
      <c r="P318" s="3">
        <f t="shared" si="300"/>
        <v>2.9904702300268555E-2</v>
      </c>
      <c r="Q318" s="3">
        <f t="shared" si="300"/>
        <v>2.9904702300266529E-2</v>
      </c>
      <c r="R318" s="3">
        <f t="shared" si="300"/>
        <v>2.990470230024626E-2</v>
      </c>
      <c r="S318" s="3">
        <f t="shared" si="300"/>
        <v>2.9904702300043582E-2</v>
      </c>
      <c r="T318" s="3">
        <f t="shared" si="300"/>
        <v>2.9904702298016794E-2</v>
      </c>
      <c r="U318" s="3">
        <f t="shared" si="300"/>
        <v>2.9904702277748902E-2</v>
      </c>
      <c r="V318" s="3">
        <f t="shared" si="300"/>
        <v>2.9904702075070004E-2</v>
      </c>
      <c r="W318" s="3">
        <f t="shared" si="300"/>
        <v>2.9904700048281118E-2</v>
      </c>
      <c r="X318" s="3">
        <f t="shared" si="300"/>
        <v>2.9904679780399814E-2</v>
      </c>
      <c r="Y318" s="3">
        <f t="shared" si="300"/>
        <v>2.9904477102342234E-2</v>
      </c>
      <c r="Z318" s="3">
        <f t="shared" si="300"/>
        <v>2.9902450397315365E-2</v>
      </c>
      <c r="AA318" s="3">
        <f t="shared" si="300"/>
        <v>2.9882190900042904E-2</v>
      </c>
      <c r="AB318" s="3">
        <f t="shared" si="300"/>
        <v>2.9680349336328366E-2</v>
      </c>
      <c r="AC318" s="3">
        <f t="shared" si="300"/>
        <v>2.7735419060183515E-2</v>
      </c>
      <c r="AD318" s="3">
        <f t="shared" si="300"/>
        <v>1.4082895950614238E-2</v>
      </c>
      <c r="AE318" s="3">
        <f t="shared" si="300"/>
        <v>1.6042215839568234E-5</v>
      </c>
      <c r="AF318" s="3">
        <f t="shared" si="300"/>
        <v>5.9018504697948688E-35</v>
      </c>
      <c r="AG318" s="3"/>
      <c r="AH318" s="3"/>
    </row>
    <row r="319" spans="1:34" x14ac:dyDescent="0.25">
      <c r="A319" s="80">
        <f>AVERAGE(B319:AF319)</f>
        <v>3.4410582667701636E-3</v>
      </c>
      <c r="B319" s="81">
        <f>IF($A$64&lt;=B285,IF($B$64&gt;=B285,ABS((B287-B286)/B286),0),0)</f>
        <v>0</v>
      </c>
      <c r="C319" s="81">
        <f t="shared" ref="C319:AF319" si="301">IF($A$64&lt;=C285,IF($B$64&gt;=C285,ABS((C287-C286)/C286),0),0)</f>
        <v>0</v>
      </c>
      <c r="D319" s="81">
        <f t="shared" si="301"/>
        <v>0</v>
      </c>
      <c r="E319" s="81">
        <f t="shared" si="301"/>
        <v>0</v>
      </c>
      <c r="F319" s="81">
        <f t="shared" si="301"/>
        <v>0</v>
      </c>
      <c r="G319" s="81">
        <f t="shared" si="301"/>
        <v>0</v>
      </c>
      <c r="H319" s="81">
        <f t="shared" si="301"/>
        <v>0</v>
      </c>
      <c r="I319" s="81">
        <f t="shared" si="301"/>
        <v>0</v>
      </c>
      <c r="J319" s="81">
        <f t="shared" si="301"/>
        <v>0</v>
      </c>
      <c r="K319" s="81">
        <f t="shared" si="301"/>
        <v>0</v>
      </c>
      <c r="L319" s="81">
        <f t="shared" si="301"/>
        <v>9.5745430472982066E-3</v>
      </c>
      <c r="M319" s="81">
        <f t="shared" si="301"/>
        <v>1.1346087061262188E-2</v>
      </c>
      <c r="N319" s="81">
        <f t="shared" si="301"/>
        <v>1.0624935386849998E-2</v>
      </c>
      <c r="O319" s="81">
        <f t="shared" si="301"/>
        <v>7.2580736227692427E-3</v>
      </c>
      <c r="P319" s="81">
        <f t="shared" si="301"/>
        <v>4.7849749412076707E-4</v>
      </c>
      <c r="Q319" s="81">
        <f t="shared" si="301"/>
        <v>1.1932357258728534E-2</v>
      </c>
      <c r="R319" s="81">
        <f t="shared" si="301"/>
        <v>1.9372556538210742E-2</v>
      </c>
      <c r="S319" s="81">
        <f t="shared" si="301"/>
        <v>1.7628798011549773E-2</v>
      </c>
      <c r="T319" s="81">
        <f t="shared" si="301"/>
        <v>1.1831794094092485E-2</v>
      </c>
      <c r="U319" s="81">
        <f t="shared" si="301"/>
        <v>1.903992332433941E-3</v>
      </c>
      <c r="V319" s="81">
        <f t="shared" si="301"/>
        <v>4.7211714225591879E-3</v>
      </c>
      <c r="W319" s="81">
        <f t="shared" si="301"/>
        <v>0</v>
      </c>
      <c r="X319" s="81">
        <f t="shared" si="301"/>
        <v>0</v>
      </c>
      <c r="Y319" s="81">
        <f t="shared" si="301"/>
        <v>0</v>
      </c>
      <c r="Z319" s="81">
        <f t="shared" si="301"/>
        <v>0</v>
      </c>
      <c r="AA319" s="81">
        <f t="shared" si="301"/>
        <v>0</v>
      </c>
      <c r="AB319" s="81">
        <f t="shared" si="301"/>
        <v>0</v>
      </c>
      <c r="AC319" s="81">
        <f t="shared" si="301"/>
        <v>0</v>
      </c>
      <c r="AD319" s="81">
        <f t="shared" si="301"/>
        <v>0</v>
      </c>
      <c r="AE319" s="81">
        <f t="shared" si="301"/>
        <v>0</v>
      </c>
      <c r="AF319" s="81">
        <f t="shared" si="301"/>
        <v>0</v>
      </c>
    </row>
    <row r="320" spans="1:34" x14ac:dyDescent="0.25">
      <c r="B320" s="21">
        <f>(B287-B286)^2</f>
        <v>116.0651220597596</v>
      </c>
      <c r="C320" s="21">
        <f t="shared" ref="C320:AF320" si="302">(C287-C286)^2</f>
        <v>1060.4747108217859</v>
      </c>
      <c r="D320" s="21">
        <f t="shared" si="302"/>
        <v>691.3702450708829</v>
      </c>
      <c r="E320" s="21">
        <f t="shared" si="302"/>
        <v>857.8153984681752</v>
      </c>
      <c r="F320" s="21">
        <f t="shared" si="302"/>
        <v>965.6849520908637</v>
      </c>
      <c r="G320" s="21">
        <f t="shared" si="302"/>
        <v>1082.3770938503287</v>
      </c>
      <c r="H320" s="21">
        <f t="shared" si="302"/>
        <v>1294.5649298261799</v>
      </c>
      <c r="I320" s="21">
        <f t="shared" si="302"/>
        <v>1350.2463112206358</v>
      </c>
      <c r="J320" s="21">
        <f t="shared" si="302"/>
        <v>1261.7893630901258</v>
      </c>
      <c r="K320" s="21">
        <f t="shared" si="302"/>
        <v>1110.6585494594462</v>
      </c>
      <c r="L320" s="21">
        <f t="shared" si="302"/>
        <v>1532.5138855965729</v>
      </c>
      <c r="M320" s="21">
        <f t="shared" si="302"/>
        <v>1944.552584897805</v>
      </c>
      <c r="N320" s="21">
        <f t="shared" si="302"/>
        <v>1523.8498040502054</v>
      </c>
      <c r="O320" s="21">
        <f t="shared" si="302"/>
        <v>641.82577051740691</v>
      </c>
      <c r="P320" s="21">
        <f t="shared" si="302"/>
        <v>2.5368511007529539</v>
      </c>
      <c r="Q320" s="21">
        <f t="shared" si="302"/>
        <v>1424.1512286495545</v>
      </c>
      <c r="R320" s="21">
        <f t="shared" si="302"/>
        <v>3353.0726516838354</v>
      </c>
      <c r="S320" s="21">
        <f t="shared" si="302"/>
        <v>2433.3149066059614</v>
      </c>
      <c r="T320" s="21">
        <f t="shared" si="302"/>
        <v>945.97983013651594</v>
      </c>
      <c r="U320" s="21">
        <f t="shared" si="302"/>
        <v>20.708608492502037</v>
      </c>
      <c r="V320" s="21">
        <f t="shared" si="302"/>
        <v>105.48189519105088</v>
      </c>
      <c r="W320" s="21">
        <f t="shared" si="302"/>
        <v>561.68109424636975</v>
      </c>
      <c r="X320" s="21">
        <f t="shared" si="302"/>
        <v>1459.0456752448015</v>
      </c>
      <c r="Y320" s="21">
        <f t="shared" si="302"/>
        <v>2605.7337593969851</v>
      </c>
      <c r="Z320" s="21">
        <f t="shared" si="302"/>
        <v>3296.3855888225175</v>
      </c>
      <c r="AA320" s="21">
        <f t="shared" si="302"/>
        <v>2719.8543175474024</v>
      </c>
      <c r="AB320" s="21">
        <f t="shared" si="302"/>
        <v>1366.8813663703754</v>
      </c>
      <c r="AC320" s="21">
        <f t="shared" si="302"/>
        <v>497.66445640558959</v>
      </c>
      <c r="AD320" s="21">
        <f t="shared" si="302"/>
        <v>941.29178210194107</v>
      </c>
      <c r="AE320" s="21">
        <f t="shared" si="302"/>
        <v>4976.5498366069951</v>
      </c>
      <c r="AF320" s="21">
        <f t="shared" si="302"/>
        <v>2622.5312153119653</v>
      </c>
      <c r="AG320" s="3"/>
      <c r="AH320" s="3"/>
    </row>
    <row r="321" spans="1:34" x14ac:dyDescent="0.25">
      <c r="A321" s="72">
        <f>SUM(B321:AF321)</f>
        <v>13927.988016922161</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1532.5138855965729</v>
      </c>
      <c r="M321" s="60">
        <f t="shared" ref="M321" si="313">IF($A$64&lt;=M285,IF($B$64&gt;=M285,ABS(M320),0),0)</f>
        <v>1944.552584897805</v>
      </c>
      <c r="N321" s="60">
        <f t="shared" ref="N321" si="314">IF($A$64&lt;=N285,IF($B$64&gt;=N285,ABS(N320),0),0)</f>
        <v>1523.8498040502054</v>
      </c>
      <c r="O321" s="60">
        <f t="shared" ref="O321" si="315">IF($A$64&lt;=O285,IF($B$64&gt;=O285,ABS(O320),0),0)</f>
        <v>641.82577051740691</v>
      </c>
      <c r="P321" s="60">
        <f t="shared" ref="P321" si="316">IF($A$64&lt;=P285,IF($B$64&gt;=P285,ABS(P320),0),0)</f>
        <v>2.5368511007529539</v>
      </c>
      <c r="Q321" s="60">
        <f t="shared" ref="Q321" si="317">IF($A$64&lt;=Q285,IF($B$64&gt;=Q285,ABS(Q320),0),0)</f>
        <v>1424.1512286495545</v>
      </c>
      <c r="R321" s="60">
        <f t="shared" ref="R321" si="318">IF($A$64&lt;=R285,IF($B$64&gt;=R285,ABS(R320),0),0)</f>
        <v>3353.0726516838354</v>
      </c>
      <c r="S321" s="60">
        <f t="shared" ref="S321" si="319">IF($A$64&lt;=S285,IF($B$64&gt;=S285,ABS(S320),0),0)</f>
        <v>2433.3149066059614</v>
      </c>
      <c r="T321" s="60">
        <f t="shared" ref="T321" si="320">IF($A$64&lt;=T285,IF($B$64&gt;=T285,ABS(T320),0),0)</f>
        <v>945.97983013651594</v>
      </c>
      <c r="U321" s="60">
        <f t="shared" ref="U321" si="321">IF($A$64&lt;=U285,IF($B$64&gt;=U285,ABS(U320),0),0)</f>
        <v>20.708608492502037</v>
      </c>
      <c r="V321" s="60">
        <f t="shared" ref="V321" si="322">IF($A$64&lt;=V285,IF($B$64&gt;=V285,ABS(V320),0),0)</f>
        <v>105.48189519105088</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8" t="s">
        <v>22</v>
      </c>
      <c r="B326" s="27">
        <f>($C$17+SUM(B327:B357))*$B$51</f>
        <v>4585.9791929110752</v>
      </c>
      <c r="C326" s="27">
        <f t="shared" ref="C326:AF326" si="333">($C$17+SUM(C327:C357))*$B$51</f>
        <v>4427.1970105398186</v>
      </c>
      <c r="D326" s="27">
        <f t="shared" si="333"/>
        <v>4274.2321848402726</v>
      </c>
      <c r="E326" s="27">
        <f t="shared" si="333"/>
        <v>4109.7225658717089</v>
      </c>
      <c r="F326" s="27">
        <f t="shared" si="333"/>
        <v>3909.5212624984615</v>
      </c>
      <c r="G326" s="27">
        <f t="shared" si="333"/>
        <v>3694.2612280176654</v>
      </c>
      <c r="H326" s="27">
        <f t="shared" si="333"/>
        <v>3499.8729309774162</v>
      </c>
      <c r="I326" s="27">
        <f t="shared" si="333"/>
        <v>3312.4684220273957</v>
      </c>
      <c r="J326" s="27">
        <f t="shared" si="333"/>
        <v>3107.9958412583314</v>
      </c>
      <c r="K326" s="27">
        <f t="shared" si="333"/>
        <v>2915.459710156962</v>
      </c>
      <c r="L326" s="27">
        <f t="shared" si="333"/>
        <v>2733.0583290859608</v>
      </c>
      <c r="M326" s="27">
        <f t="shared" si="333"/>
        <v>2554.1588214534427</v>
      </c>
      <c r="N326" s="27">
        <f t="shared" si="333"/>
        <v>2363.490163080985</v>
      </c>
      <c r="O326" s="27">
        <f t="shared" si="333"/>
        <v>2163.7903320614837</v>
      </c>
      <c r="P326" s="27">
        <f t="shared" si="333"/>
        <v>1945.3336540152216</v>
      </c>
      <c r="Q326" s="27">
        <f t="shared" si="333"/>
        <v>1703.9523235786082</v>
      </c>
      <c r="R326" s="27">
        <f t="shared" si="333"/>
        <v>1425.2453286470409</v>
      </c>
      <c r="S326" s="27">
        <f t="shared" si="333"/>
        <v>1116.2224769647901</v>
      </c>
      <c r="T326" s="27">
        <f t="shared" si="333"/>
        <v>813.36105893488707</v>
      </c>
      <c r="U326" s="27">
        <f t="shared" si="333"/>
        <v>570.93479679544328</v>
      </c>
      <c r="V326" s="27">
        <f t="shared" si="333"/>
        <v>411.8932295514407</v>
      </c>
      <c r="W326" s="27">
        <f t="shared" si="333"/>
        <v>278.93736319435163</v>
      </c>
      <c r="X326" s="27">
        <f t="shared" si="333"/>
        <v>213.72976591238364</v>
      </c>
      <c r="Y326" s="27">
        <f t="shared" si="333"/>
        <v>213.71664305722481</v>
      </c>
      <c r="Z326" s="27">
        <f t="shared" si="333"/>
        <v>213.71664305722481</v>
      </c>
      <c r="AA326" s="27">
        <f t="shared" si="333"/>
        <v>213.71664305722481</v>
      </c>
      <c r="AB326" s="27">
        <f t="shared" si="333"/>
        <v>213.71664305722481</v>
      </c>
      <c r="AC326" s="27">
        <f t="shared" si="333"/>
        <v>213.71664305722481</v>
      </c>
      <c r="AD326" s="27">
        <f t="shared" si="333"/>
        <v>213.71664305722481</v>
      </c>
      <c r="AE326" s="27">
        <f t="shared" si="333"/>
        <v>213.71664305722481</v>
      </c>
      <c r="AF326" s="27">
        <f t="shared" si="333"/>
        <v>213.71664305722481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4.8499154800520823E-59</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2.1641139170410001E-7</v>
      </c>
      <c r="C335" s="3">
        <f t="shared" si="342"/>
        <v>2.0425378903491262E-53</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1.0250242288665785E-2</v>
      </c>
      <c r="C336" s="3">
        <f t="shared" si="343"/>
        <v>7.225806333480591E-7</v>
      </c>
      <c r="D336" s="3">
        <f t="shared" si="343"/>
        <v>2.1898188028722487E-48</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2.7338321533502276E-2</v>
      </c>
      <c r="C337" s="3">
        <f t="shared" si="344"/>
        <v>1.1540925411757393E-2</v>
      </c>
      <c r="D337" s="3">
        <f t="shared" si="344"/>
        <v>2.0745719702674165E-6</v>
      </c>
      <c r="E337" s="3">
        <f t="shared" si="344"/>
        <v>7.3081461128800281E-44</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2.6419807631924305E-2</v>
      </c>
      <c r="C338" s="3">
        <f t="shared" si="345"/>
        <v>2.444239847207753E-2</v>
      </c>
      <c r="D338" s="3">
        <f t="shared" si="345"/>
        <v>1.1227563188083692E-2</v>
      </c>
      <c r="E338" s="3">
        <f t="shared" si="345"/>
        <v>4.6957221146388002E-6</v>
      </c>
      <c r="F338" s="3">
        <f t="shared" si="345"/>
        <v>7.6890235367849571E-40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3.274396899512233E-2</v>
      </c>
      <c r="C339" s="3">
        <f t="shared" si="346"/>
        <v>3.2514984952928115E-2</v>
      </c>
      <c r="D339" s="3">
        <f t="shared" si="346"/>
        <v>3.0311395199354642E-2</v>
      </c>
      <c r="E339" s="3">
        <f t="shared" si="346"/>
        <v>1.5025523857588215E-2</v>
      </c>
      <c r="F339" s="3">
        <f t="shared" si="346"/>
        <v>1.346066690192787E-5</v>
      </c>
      <c r="G339" s="3">
        <f t="shared" si="346"/>
        <v>4.4816313191442585E-36</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4.1904251825818431E-2</v>
      </c>
      <c r="C340" s="3">
        <f t="shared" si="347"/>
        <v>4.1877732400418755E-2</v>
      </c>
      <c r="D340" s="3">
        <f t="shared" si="347"/>
        <v>4.1613459462265336E-2</v>
      </c>
      <c r="E340" s="3">
        <f t="shared" si="347"/>
        <v>3.9060739709538682E-2</v>
      </c>
      <c r="F340" s="3">
        <f t="shared" si="347"/>
        <v>2.0739910686687662E-2</v>
      </c>
      <c r="G340" s="3">
        <f t="shared" si="347"/>
        <v>3.6937803421749196E-5</v>
      </c>
      <c r="H340" s="3">
        <f t="shared" si="347"/>
        <v>1.1860770550239351E-32</v>
      </c>
      <c r="I340" s="3">
        <f t="shared" si="347"/>
        <v>1.3820739836468122E-307</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3.8766685956579484E-2</v>
      </c>
      <c r="C341" s="3">
        <f t="shared" si="348"/>
        <v>3.876447216696919E-2</v>
      </c>
      <c r="D341" s="3">
        <f t="shared" si="348"/>
        <v>3.8742341222746821E-2</v>
      </c>
      <c r="E341" s="3">
        <f t="shared" si="348"/>
        <v>3.8521725501916612E-2</v>
      </c>
      <c r="F341" s="3">
        <f t="shared" si="348"/>
        <v>3.6383496747237759E-2</v>
      </c>
      <c r="G341" s="3">
        <f t="shared" si="348"/>
        <v>2.0553769084413417E-2</v>
      </c>
      <c r="H341" s="3">
        <f t="shared" si="348"/>
        <v>6.8039614481262087E-5</v>
      </c>
      <c r="I341" s="3">
        <f t="shared" si="348"/>
        <v>1.075141326471069E-29</v>
      </c>
      <c r="J341" s="3">
        <f t="shared" si="348"/>
        <v>1.0435245491491382E-277</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3.2038655289658817E-2</v>
      </c>
      <c r="C342" s="3">
        <f t="shared" si="349"/>
        <v>3.2038490241827776E-2</v>
      </c>
      <c r="D342" s="3">
        <f t="shared" si="349"/>
        <v>3.2036839810280264E-2</v>
      </c>
      <c r="E342" s="3">
        <f t="shared" si="349"/>
        <v>3.2020340170202888E-2</v>
      </c>
      <c r="F342" s="3">
        <f t="shared" si="349"/>
        <v>3.185581041926968E-2</v>
      </c>
      <c r="G342" s="3">
        <f t="shared" si="349"/>
        <v>3.0256300551229673E-2</v>
      </c>
      <c r="H342" s="3">
        <f t="shared" si="349"/>
        <v>1.8075382668292568E-2</v>
      </c>
      <c r="I342" s="3">
        <f t="shared" si="349"/>
        <v>1.0466566768343072E-4</v>
      </c>
      <c r="J342" s="3">
        <f t="shared" si="349"/>
        <v>4.4357976540334138E-27</v>
      </c>
      <c r="K342" s="3">
        <f t="shared" si="349"/>
        <v>8.2917559946571091E-251</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3.8815202016383242E-2</v>
      </c>
      <c r="C343" s="3">
        <f t="shared" si="350"/>
        <v>3.8815183978523689E-2</v>
      </c>
      <c r="D343" s="3">
        <f t="shared" si="350"/>
        <v>3.8815003600389163E-2</v>
      </c>
      <c r="E343" s="3">
        <f t="shared" si="350"/>
        <v>3.881319986514626E-2</v>
      </c>
      <c r="F343" s="3">
        <f t="shared" si="350"/>
        <v>3.8795167122156485E-2</v>
      </c>
      <c r="G343" s="3">
        <f t="shared" si="350"/>
        <v>3.8615299844607841E-2</v>
      </c>
      <c r="H343" s="3">
        <f t="shared" si="350"/>
        <v>3.6861860842047997E-2</v>
      </c>
      <c r="I343" s="3">
        <f t="shared" si="350"/>
        <v>2.3160913976248709E-2</v>
      </c>
      <c r="J343" s="3">
        <f t="shared" si="350"/>
        <v>2.2209566206494777E-4</v>
      </c>
      <c r="K343" s="3">
        <f t="shared" si="350"/>
        <v>1.4601043722095673E-24</v>
      </c>
      <c r="L343" s="3">
        <f t="shared" si="350"/>
        <v>2.2020245430807695E-226</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3.6757921349356154E-2</v>
      </c>
      <c r="C344" s="3">
        <f t="shared" si="351"/>
        <v>3.6757919808433723E-2</v>
      </c>
      <c r="D344" s="3">
        <f t="shared" si="351"/>
        <v>3.6757904399212962E-2</v>
      </c>
      <c r="E344" s="3">
        <f t="shared" si="351"/>
        <v>3.6757750307360657E-2</v>
      </c>
      <c r="F344" s="3">
        <f t="shared" si="351"/>
        <v>3.6756209424365166E-2</v>
      </c>
      <c r="G344" s="3">
        <f t="shared" si="351"/>
        <v>3.6740804146619011E-2</v>
      </c>
      <c r="H344" s="3">
        <f t="shared" si="351"/>
        <v>3.6587106039673661E-2</v>
      </c>
      <c r="I344" s="3">
        <f t="shared" si="351"/>
        <v>3.5085048016955146E-2</v>
      </c>
      <c r="J344" s="3">
        <f t="shared" si="351"/>
        <v>2.3070777809873273E-2</v>
      </c>
      <c r="K344" s="3">
        <f t="shared" si="351"/>
        <v>3.4870955711393549E-4</v>
      </c>
      <c r="L344" s="3">
        <f t="shared" si="351"/>
        <v>2.1701012000434762E-22</v>
      </c>
      <c r="M344" s="3">
        <f t="shared" si="351"/>
        <v>1.8907815481411609E-204</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3.3395319981729919E-2</v>
      </c>
      <c r="C345" s="3">
        <f t="shared" si="352"/>
        <v>3.3395319855441932E-2</v>
      </c>
      <c r="D345" s="3">
        <f t="shared" si="352"/>
        <v>3.3395318592562083E-2</v>
      </c>
      <c r="E345" s="3">
        <f t="shared" si="352"/>
        <v>3.3395305963766261E-2</v>
      </c>
      <c r="F345" s="3">
        <f t="shared" si="352"/>
        <v>3.3395179676070648E-2</v>
      </c>
      <c r="G345" s="3">
        <f t="shared" si="352"/>
        <v>3.3393916825380551E-2</v>
      </c>
      <c r="H345" s="3">
        <f t="shared" si="352"/>
        <v>3.3381290944715002E-2</v>
      </c>
      <c r="I345" s="3">
        <f t="shared" si="352"/>
        <v>3.325529439450807E-2</v>
      </c>
      <c r="J345" s="3">
        <f t="shared" si="352"/>
        <v>3.2021191271654585E-2</v>
      </c>
      <c r="K345" s="3">
        <f t="shared" si="352"/>
        <v>2.1938370385560898E-2</v>
      </c>
      <c r="L345" s="3">
        <f t="shared" si="352"/>
        <v>4.9988851713169042E-4</v>
      </c>
      <c r="M345" s="3">
        <f t="shared" si="352"/>
        <v>1.8860844053264208E-20</v>
      </c>
      <c r="N345" s="3">
        <f t="shared" si="352"/>
        <v>1.1026578125498237E-184</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3.5168182508101498E-2</v>
      </c>
      <c r="C346" s="3">
        <f t="shared" si="353"/>
        <v>3.5168182496104483E-2</v>
      </c>
      <c r="D346" s="3">
        <f t="shared" si="353"/>
        <v>3.5168182376134408E-2</v>
      </c>
      <c r="E346" s="3">
        <f t="shared" si="353"/>
        <v>3.5168181176433631E-2</v>
      </c>
      <c r="F346" s="3">
        <f t="shared" si="353"/>
        <v>3.5168169179428124E-2</v>
      </c>
      <c r="G346" s="3">
        <f t="shared" si="353"/>
        <v>3.5168049209598193E-2</v>
      </c>
      <c r="H346" s="3">
        <f t="shared" si="353"/>
        <v>3.5166849533807651E-2</v>
      </c>
      <c r="I346" s="3">
        <f t="shared" si="353"/>
        <v>3.5154855026499343E-2</v>
      </c>
      <c r="J346" s="3">
        <f t="shared" si="353"/>
        <v>3.5035134729318108E-2</v>
      </c>
      <c r="K346" s="3">
        <f t="shared" si="353"/>
        <v>3.3860128207977465E-2</v>
      </c>
      <c r="L346" s="3">
        <f t="shared" si="353"/>
        <v>2.4073357244481012E-2</v>
      </c>
      <c r="M346" s="3">
        <f t="shared" si="353"/>
        <v>7.9435985204830281E-4</v>
      </c>
      <c r="N346" s="3">
        <f t="shared" si="353"/>
        <v>1.2156919512023354E-18</v>
      </c>
      <c r="O346" s="3">
        <f t="shared" si="353"/>
        <v>8.568130890646355E-167</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2.065915541421252E-2</v>
      </c>
      <c r="C347" s="3">
        <f t="shared" si="354"/>
        <v>2.0659155413576775E-2</v>
      </c>
      <c r="D347" s="3">
        <f t="shared" si="354"/>
        <v>2.0659155407219337E-2</v>
      </c>
      <c r="E347" s="3">
        <f t="shared" si="354"/>
        <v>2.0659155343644951E-2</v>
      </c>
      <c r="F347" s="3">
        <f t="shared" si="354"/>
        <v>2.0659154707901098E-2</v>
      </c>
      <c r="G347" s="3">
        <f t="shared" si="354"/>
        <v>2.0659148350463646E-2</v>
      </c>
      <c r="H347" s="3">
        <f t="shared" si="354"/>
        <v>2.0659084776196726E-2</v>
      </c>
      <c r="I347" s="3">
        <f t="shared" si="354"/>
        <v>2.0658449044287461E-2</v>
      </c>
      <c r="J347" s="3">
        <f t="shared" si="354"/>
        <v>2.065209280106417E-2</v>
      </c>
      <c r="K347" s="3">
        <f t="shared" si="354"/>
        <v>2.0588637833369748E-2</v>
      </c>
      <c r="L347" s="3">
        <f t="shared" si="354"/>
        <v>1.9964713251756687E-2</v>
      </c>
      <c r="M347" s="3">
        <f t="shared" si="354"/>
        <v>1.4676337971628114E-2</v>
      </c>
      <c r="N347" s="3">
        <f t="shared" si="354"/>
        <v>6.7633829438901421E-4</v>
      </c>
      <c r="O347" s="3">
        <f t="shared" si="354"/>
        <v>2.9216400865311115E-17</v>
      </c>
      <c r="P347" s="3">
        <f t="shared" si="354"/>
        <v>6.6108009639164106E-151</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3.0227206274898392E-2</v>
      </c>
      <c r="C348" s="3">
        <f t="shared" si="355"/>
        <v>3.0227206274641129E-2</v>
      </c>
      <c r="D348" s="3">
        <f t="shared" si="355"/>
        <v>3.0227206272068475E-2</v>
      </c>
      <c r="E348" s="3">
        <f t="shared" si="355"/>
        <v>3.0227206246341991E-2</v>
      </c>
      <c r="F348" s="3">
        <f t="shared" si="355"/>
        <v>3.0227205989077122E-2</v>
      </c>
      <c r="G348" s="3">
        <f t="shared" si="355"/>
        <v>3.0227203416428556E-2</v>
      </c>
      <c r="H348" s="3">
        <f t="shared" si="355"/>
        <v>3.0227177689954941E-2</v>
      </c>
      <c r="I348" s="3">
        <f t="shared" si="355"/>
        <v>3.0226920426423085E-2</v>
      </c>
      <c r="J348" s="3">
        <f t="shared" si="355"/>
        <v>3.0224347911527762E-2</v>
      </c>
      <c r="K348" s="3">
        <f t="shared" si="355"/>
        <v>3.0198634801111329E-2</v>
      </c>
      <c r="L348" s="3">
        <f t="shared" si="355"/>
        <v>2.9942703768203113E-2</v>
      </c>
      <c r="M348" s="3">
        <f t="shared" si="355"/>
        <v>2.7499705939009335E-2</v>
      </c>
      <c r="N348" s="3">
        <f t="shared" si="355"/>
        <v>1.1740819488106307E-2</v>
      </c>
      <c r="O348" s="3">
        <f t="shared" si="355"/>
        <v>2.3626643155683715E-6</v>
      </c>
      <c r="P348" s="3">
        <f t="shared" si="355"/>
        <v>2.5729902022943156E-43</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3.7583954306505386E-2</v>
      </c>
      <c r="C349" s="3">
        <f t="shared" si="356"/>
        <v>3.7583954306473398E-2</v>
      </c>
      <c r="D349" s="3">
        <f t="shared" si="356"/>
        <v>3.7583954306153522E-2</v>
      </c>
      <c r="E349" s="3">
        <f t="shared" si="356"/>
        <v>3.7583954302954733E-2</v>
      </c>
      <c r="F349" s="3">
        <f t="shared" si="356"/>
        <v>3.7583954270966891E-2</v>
      </c>
      <c r="G349" s="3">
        <f t="shared" si="356"/>
        <v>3.7583953951088468E-2</v>
      </c>
      <c r="H349" s="3">
        <f t="shared" si="356"/>
        <v>3.758395075230439E-2</v>
      </c>
      <c r="I349" s="3">
        <f t="shared" si="356"/>
        <v>3.7583918764478592E-2</v>
      </c>
      <c r="J349" s="3">
        <f t="shared" si="356"/>
        <v>3.7583598887717964E-2</v>
      </c>
      <c r="K349" s="3">
        <f t="shared" si="356"/>
        <v>3.7580400269843744E-2</v>
      </c>
      <c r="L349" s="3">
        <f t="shared" si="356"/>
        <v>3.7548429059597592E-2</v>
      </c>
      <c r="M349" s="3">
        <f t="shared" si="356"/>
        <v>3.7230209103742175E-2</v>
      </c>
      <c r="N349" s="3">
        <f t="shared" si="356"/>
        <v>3.4192630375883326E-2</v>
      </c>
      <c r="O349" s="3">
        <f t="shared" si="356"/>
        <v>1.4598319776842266E-2</v>
      </c>
      <c r="P349" s="3">
        <f t="shared" si="356"/>
        <v>2.9376935092939021E-6</v>
      </c>
      <c r="Q349" s="3">
        <f t="shared" si="356"/>
        <v>3.1992088621944061E-43</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3.8796261080833644E-2</v>
      </c>
      <c r="C350" s="3">
        <f t="shared" si="357"/>
        <v>3.8796261080830341E-2</v>
      </c>
      <c r="D350" s="3">
        <f t="shared" si="357"/>
        <v>3.8796261080797326E-2</v>
      </c>
      <c r="E350" s="3">
        <f t="shared" si="357"/>
        <v>3.8796261080467132E-2</v>
      </c>
      <c r="F350" s="3">
        <f t="shared" si="357"/>
        <v>3.8796261077165162E-2</v>
      </c>
      <c r="G350" s="3">
        <f t="shared" si="357"/>
        <v>3.8796261044145519E-2</v>
      </c>
      <c r="H350" s="3">
        <f t="shared" si="357"/>
        <v>3.8796260713949114E-2</v>
      </c>
      <c r="I350" s="3">
        <f t="shared" si="357"/>
        <v>3.8796257411985162E-2</v>
      </c>
      <c r="J350" s="3">
        <f t="shared" si="357"/>
        <v>3.879622439236112E-2</v>
      </c>
      <c r="K350" s="3">
        <f t="shared" si="357"/>
        <v>3.8795894197666388E-2</v>
      </c>
      <c r="L350" s="3">
        <f t="shared" si="357"/>
        <v>3.87925924052809E-2</v>
      </c>
      <c r="M350" s="3">
        <f t="shared" si="357"/>
        <v>3.8759589932745295E-2</v>
      </c>
      <c r="N350" s="3">
        <f t="shared" si="357"/>
        <v>3.8431105484626422E-2</v>
      </c>
      <c r="O350" s="3">
        <f t="shared" si="357"/>
        <v>3.5295546718815816E-2</v>
      </c>
      <c r="P350" s="3">
        <f t="shared" si="357"/>
        <v>1.5069202691793146E-2</v>
      </c>
      <c r="Q350" s="3">
        <f t="shared" si="357"/>
        <v>3.0324516529730792E-6</v>
      </c>
      <c r="R350" s="3">
        <f t="shared" si="357"/>
        <v>3.3024024363587779E-43</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4.4435908664617038E-2</v>
      </c>
      <c r="C351" s="3">
        <f t="shared" si="358"/>
        <v>4.4435908664616663E-2</v>
      </c>
      <c r="D351" s="3">
        <f t="shared" si="358"/>
        <v>4.4435908664612875E-2</v>
      </c>
      <c r="E351" s="3">
        <f t="shared" si="358"/>
        <v>4.4435908664575058E-2</v>
      </c>
      <c r="F351" s="3">
        <f t="shared" si="358"/>
        <v>4.4435908664196867E-2</v>
      </c>
      <c r="G351" s="3">
        <f t="shared" si="358"/>
        <v>4.4435908660414906E-2</v>
      </c>
      <c r="H351" s="3">
        <f t="shared" si="358"/>
        <v>4.443590862259534E-2</v>
      </c>
      <c r="I351" s="3">
        <f t="shared" si="358"/>
        <v>4.4435908244399684E-2</v>
      </c>
      <c r="J351" s="3">
        <f t="shared" si="358"/>
        <v>4.4435904462443263E-2</v>
      </c>
      <c r="K351" s="3">
        <f t="shared" si="358"/>
        <v>4.4435866642896817E-2</v>
      </c>
      <c r="L351" s="3">
        <f t="shared" si="358"/>
        <v>4.4435488449202684E-2</v>
      </c>
      <c r="M351" s="3">
        <f t="shared" si="358"/>
        <v>4.4431706689291195E-2</v>
      </c>
      <c r="N351" s="3">
        <f t="shared" si="358"/>
        <v>4.4393906787588214E-2</v>
      </c>
      <c r="O351" s="3">
        <f t="shared" si="358"/>
        <v>4.4017671951351173E-2</v>
      </c>
      <c r="P351" s="3">
        <f t="shared" si="358"/>
        <v>4.0426310334318143E-2</v>
      </c>
      <c r="Q351" s="3">
        <f t="shared" si="358"/>
        <v>1.7259748640879268E-2</v>
      </c>
      <c r="R351" s="3">
        <f t="shared" si="358"/>
        <v>3.4732662614219649E-6</v>
      </c>
      <c r="S351" s="3">
        <f t="shared" si="358"/>
        <v>3.782458642859843E-43</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5.2241280235407653E-2</v>
      </c>
      <c r="C352" s="3">
        <f t="shared" si="359"/>
        <v>5.2241280235407604E-2</v>
      </c>
      <c r="D352" s="3">
        <f t="shared" si="359"/>
        <v>5.2241280235407167E-2</v>
      </c>
      <c r="E352" s="3">
        <f t="shared" si="359"/>
        <v>5.2241280235402719E-2</v>
      </c>
      <c r="F352" s="3">
        <f t="shared" si="359"/>
        <v>5.2241280235358255E-2</v>
      </c>
      <c r="G352" s="3">
        <f t="shared" si="359"/>
        <v>5.2241280234913631E-2</v>
      </c>
      <c r="H352" s="3">
        <f t="shared" si="359"/>
        <v>5.2241280230467355E-2</v>
      </c>
      <c r="I352" s="3">
        <f t="shared" si="359"/>
        <v>5.2241280186004609E-2</v>
      </c>
      <c r="J352" s="3">
        <f t="shared" si="359"/>
        <v>5.2241279741377149E-2</v>
      </c>
      <c r="K352" s="3">
        <f t="shared" si="359"/>
        <v>5.2241275295102703E-2</v>
      </c>
      <c r="L352" s="3">
        <f t="shared" si="359"/>
        <v>5.224123083237911E-2</v>
      </c>
      <c r="M352" s="3">
        <f t="shared" si="359"/>
        <v>5.224078620722454E-2</v>
      </c>
      <c r="N352" s="3">
        <f t="shared" si="359"/>
        <v>5.2236340163804788E-2</v>
      </c>
      <c r="O352" s="3">
        <f t="shared" si="359"/>
        <v>5.2191900535650884E-2</v>
      </c>
      <c r="P352" s="3">
        <f t="shared" si="359"/>
        <v>5.1749578321368526E-2</v>
      </c>
      <c r="Q352" s="3">
        <f t="shared" si="359"/>
        <v>4.7527377531503663E-2</v>
      </c>
      <c r="R352" s="3">
        <f t="shared" si="359"/>
        <v>2.0291502810177546E-2</v>
      </c>
      <c r="S352" s="3">
        <f t="shared" si="359"/>
        <v>4.08336144231057E-6</v>
      </c>
      <c r="T352" s="3">
        <f t="shared" si="359"/>
        <v>4.4468648865016655E-43</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5.759294658465644E-2</v>
      </c>
      <c r="C353" s="3">
        <f t="shared" si="360"/>
        <v>5.7592946584656433E-2</v>
      </c>
      <c r="D353" s="3">
        <f t="shared" si="360"/>
        <v>5.7592946584656385E-2</v>
      </c>
      <c r="E353" s="3">
        <f t="shared" si="360"/>
        <v>5.7592946584655899E-2</v>
      </c>
      <c r="F353" s="3">
        <f t="shared" si="360"/>
        <v>5.7592946584650993E-2</v>
      </c>
      <c r="G353" s="3">
        <f t="shared" si="360"/>
        <v>5.7592946584601977E-2</v>
      </c>
      <c r="H353" s="3">
        <f t="shared" si="360"/>
        <v>5.7592946584111807E-2</v>
      </c>
      <c r="I353" s="3">
        <f t="shared" si="360"/>
        <v>5.759294657921004E-2</v>
      </c>
      <c r="J353" s="3">
        <f t="shared" si="360"/>
        <v>5.7592946530192472E-2</v>
      </c>
      <c r="K353" s="3">
        <f t="shared" si="360"/>
        <v>5.7592946040016781E-2</v>
      </c>
      <c r="L353" s="3">
        <f t="shared" si="360"/>
        <v>5.7592941138260058E-2</v>
      </c>
      <c r="M353" s="3">
        <f t="shared" si="360"/>
        <v>5.7592892120715826E-2</v>
      </c>
      <c r="N353" s="3">
        <f t="shared" si="360"/>
        <v>5.7592401947568046E-2</v>
      </c>
      <c r="O353" s="3">
        <f t="shared" si="360"/>
        <v>5.7587500445536829E-2</v>
      </c>
      <c r="P353" s="3">
        <f t="shared" si="360"/>
        <v>5.7538508362667183E-2</v>
      </c>
      <c r="Q353" s="3">
        <f t="shared" si="360"/>
        <v>5.7050874071440438E-2</v>
      </c>
      <c r="R353" s="3">
        <f t="shared" si="360"/>
        <v>5.2396145407352906E-2</v>
      </c>
      <c r="S353" s="3">
        <f t="shared" si="360"/>
        <v>2.2370191392761567E-2</v>
      </c>
      <c r="T353" s="3">
        <f t="shared" si="360"/>
        <v>4.5016664287917829E-6</v>
      </c>
      <c r="U353" s="3">
        <f t="shared" si="360"/>
        <v>4.9024076501075481E-43</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5.4172080221644638E-2</v>
      </c>
      <c r="C354" s="3">
        <f t="shared" si="361"/>
        <v>5.4172080221644638E-2</v>
      </c>
      <c r="D354" s="3">
        <f t="shared" si="361"/>
        <v>5.4172080221644631E-2</v>
      </c>
      <c r="E354" s="3">
        <f t="shared" si="361"/>
        <v>5.4172080221644582E-2</v>
      </c>
      <c r="F354" s="3">
        <f t="shared" si="361"/>
        <v>5.4172080221644124E-2</v>
      </c>
      <c r="G354" s="3">
        <f t="shared" si="361"/>
        <v>5.4172080221639517E-2</v>
      </c>
      <c r="H354" s="3">
        <f t="shared" si="361"/>
        <v>5.4172080221593408E-2</v>
      </c>
      <c r="I354" s="3">
        <f t="shared" si="361"/>
        <v>5.4172080221132353E-2</v>
      </c>
      <c r="J354" s="3">
        <f t="shared" si="361"/>
        <v>5.4172080216521742E-2</v>
      </c>
      <c r="K354" s="3">
        <f t="shared" si="361"/>
        <v>5.4172080170415686E-2</v>
      </c>
      <c r="L354" s="3">
        <f t="shared" si="361"/>
        <v>5.4172079709355114E-2</v>
      </c>
      <c r="M354" s="3">
        <f t="shared" si="361"/>
        <v>5.4172075098749578E-2</v>
      </c>
      <c r="N354" s="3">
        <f t="shared" si="361"/>
        <v>5.4172028992715837E-2</v>
      </c>
      <c r="O354" s="3">
        <f t="shared" si="361"/>
        <v>5.4171567934536688E-2</v>
      </c>
      <c r="P354" s="3">
        <f t="shared" si="361"/>
        <v>5.4166957568563288E-2</v>
      </c>
      <c r="Q354" s="3">
        <f t="shared" si="361"/>
        <v>5.4120875483849341E-2</v>
      </c>
      <c r="R354" s="3">
        <f t="shared" si="361"/>
        <v>5.3662205359994317E-2</v>
      </c>
      <c r="S354" s="3">
        <f t="shared" si="361"/>
        <v>4.928395507842049E-2</v>
      </c>
      <c r="T354" s="3">
        <f t="shared" si="361"/>
        <v>2.1041462098504177E-2</v>
      </c>
      <c r="U354" s="3">
        <f t="shared" si="361"/>
        <v>4.2342795320106423E-6</v>
      </c>
      <c r="V354" s="3">
        <f t="shared" si="361"/>
        <v>4.6112178009586849E-43</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3.8751330064371987E-2</v>
      </c>
      <c r="C355" s="3">
        <f t="shared" si="362"/>
        <v>3.8751330064371987E-2</v>
      </c>
      <c r="D355" s="3">
        <f t="shared" si="362"/>
        <v>3.8751330064371987E-2</v>
      </c>
      <c r="E355" s="3">
        <f t="shared" si="362"/>
        <v>3.875133006437198E-2</v>
      </c>
      <c r="F355" s="3">
        <f t="shared" si="362"/>
        <v>3.8751330064371946E-2</v>
      </c>
      <c r="G355" s="3">
        <f t="shared" si="362"/>
        <v>3.875133006437162E-2</v>
      </c>
      <c r="H355" s="3">
        <f t="shared" si="362"/>
        <v>3.8751330064368324E-2</v>
      </c>
      <c r="I355" s="3">
        <f t="shared" si="362"/>
        <v>3.8751330064335343E-2</v>
      </c>
      <c r="J355" s="3">
        <f t="shared" si="362"/>
        <v>3.8751330064005531E-2</v>
      </c>
      <c r="K355" s="3">
        <f t="shared" si="362"/>
        <v>3.8751330060707384E-2</v>
      </c>
      <c r="L355" s="3">
        <f t="shared" si="362"/>
        <v>3.8751330027725989E-2</v>
      </c>
      <c r="M355" s="3">
        <f t="shared" si="362"/>
        <v>3.8751329697911986E-2</v>
      </c>
      <c r="N355" s="3">
        <f t="shared" si="362"/>
        <v>3.8751326399772128E-2</v>
      </c>
      <c r="O355" s="3">
        <f t="shared" si="362"/>
        <v>3.8751293418389024E-2</v>
      </c>
      <c r="P355" s="3">
        <f t="shared" si="362"/>
        <v>3.8750963606101849E-2</v>
      </c>
      <c r="Q355" s="3">
        <f t="shared" si="362"/>
        <v>3.874766563761288E-2</v>
      </c>
      <c r="R355" s="3">
        <f t="shared" si="362"/>
        <v>3.8714701386147958E-2</v>
      </c>
      <c r="S355" s="3">
        <f t="shared" si="362"/>
        <v>3.8386597364898446E-2</v>
      </c>
      <c r="T355" s="3">
        <f t="shared" si="362"/>
        <v>3.5254669975890641E-2</v>
      </c>
      <c r="U355" s="3">
        <f t="shared" si="362"/>
        <v>1.5051750633905302E-2</v>
      </c>
      <c r="V355" s="3">
        <f t="shared" si="362"/>
        <v>3.0289396873520586E-6</v>
      </c>
      <c r="W355" s="3">
        <f t="shared" si="362"/>
        <v>3.2985778333146055E-43</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2.0828240532986285E-2</v>
      </c>
      <c r="C356" s="3">
        <f t="shared" si="363"/>
        <v>2.0828240532986285E-2</v>
      </c>
      <c r="D356" s="3">
        <f t="shared" si="363"/>
        <v>2.0828240532986285E-2</v>
      </c>
      <c r="E356" s="3">
        <f t="shared" si="363"/>
        <v>2.0828240532986285E-2</v>
      </c>
      <c r="F356" s="3">
        <f t="shared" si="363"/>
        <v>2.0828240532986281E-2</v>
      </c>
      <c r="G356" s="3">
        <f t="shared" si="363"/>
        <v>2.0828240532986264E-2</v>
      </c>
      <c r="H356" s="3">
        <f t="shared" si="363"/>
        <v>2.0828240532986087E-2</v>
      </c>
      <c r="I356" s="3">
        <f t="shared" si="363"/>
        <v>2.0828240532984314E-2</v>
      </c>
      <c r="J356" s="3">
        <f t="shared" si="363"/>
        <v>2.0828240532966589E-2</v>
      </c>
      <c r="K356" s="3">
        <f t="shared" si="363"/>
        <v>2.0828240532789321E-2</v>
      </c>
      <c r="L356" s="3">
        <f t="shared" si="363"/>
        <v>2.0828240531016617E-2</v>
      </c>
      <c r="M356" s="3">
        <f t="shared" si="363"/>
        <v>2.0828240513289627E-2</v>
      </c>
      <c r="N356" s="3">
        <f t="shared" si="363"/>
        <v>2.0828240336019703E-2</v>
      </c>
      <c r="O356" s="3">
        <f t="shared" si="363"/>
        <v>2.0828238563320542E-2</v>
      </c>
      <c r="P356" s="3">
        <f t="shared" si="363"/>
        <v>2.0828220836337254E-2</v>
      </c>
      <c r="Q356" s="3">
        <f t="shared" si="363"/>
        <v>2.0828043567334188E-2</v>
      </c>
      <c r="R356" s="3">
        <f t="shared" si="363"/>
        <v>2.0826270960281879E-2</v>
      </c>
      <c r="S356" s="3">
        <f t="shared" si="363"/>
        <v>2.0808553184985888E-2</v>
      </c>
      <c r="T356" s="3">
        <f t="shared" si="363"/>
        <v>2.0632202348432081E-2</v>
      </c>
      <c r="U356" s="3">
        <f t="shared" si="363"/>
        <v>1.8948839819152675E-2</v>
      </c>
      <c r="V356" s="3">
        <f t="shared" si="363"/>
        <v>8.090083156493821E-3</v>
      </c>
      <c r="W356" s="3">
        <f t="shared" si="363"/>
        <v>1.6280082325762451E-6</v>
      </c>
      <c r="X356" s="3">
        <f t="shared" si="363"/>
        <v>1.7729345654697791E-43</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2.990470230026878E-2</v>
      </c>
      <c r="C357" s="3">
        <f t="shared" si="364"/>
        <v>2.990470230026878E-2</v>
      </c>
      <c r="D357" s="3">
        <f t="shared" si="364"/>
        <v>2.990470230026878E-2</v>
      </c>
      <c r="E357" s="3">
        <f t="shared" si="364"/>
        <v>2.990470230026878E-2</v>
      </c>
      <c r="F357" s="3">
        <f t="shared" si="364"/>
        <v>2.990470230026878E-2</v>
      </c>
      <c r="G357" s="3">
        <f t="shared" si="364"/>
        <v>2.9904702300268777E-2</v>
      </c>
      <c r="H357" s="3">
        <f t="shared" si="364"/>
        <v>2.9904702300268749E-2</v>
      </c>
      <c r="I357" s="3">
        <f t="shared" si="364"/>
        <v>2.9904702300268499E-2</v>
      </c>
      <c r="J357" s="3">
        <f t="shared" si="364"/>
        <v>2.9904702300265953E-2</v>
      </c>
      <c r="K357" s="3">
        <f t="shared" si="364"/>
        <v>2.9904702300240501E-2</v>
      </c>
      <c r="L357" s="3">
        <f t="shared" si="364"/>
        <v>2.9904702299985982E-2</v>
      </c>
      <c r="M357" s="3">
        <f t="shared" si="364"/>
        <v>2.9904702297440779E-2</v>
      </c>
      <c r="N357" s="3">
        <f t="shared" si="364"/>
        <v>2.9904702271988777E-2</v>
      </c>
      <c r="O357" s="3">
        <f t="shared" si="364"/>
        <v>2.9904702017468754E-2</v>
      </c>
      <c r="P357" s="3">
        <f t="shared" si="364"/>
        <v>2.9904699472268616E-2</v>
      </c>
      <c r="Q357" s="3">
        <f t="shared" si="364"/>
        <v>2.9904674020279187E-2</v>
      </c>
      <c r="R357" s="3">
        <f t="shared" si="364"/>
        <v>2.9904419501576299E-2</v>
      </c>
      <c r="S357" s="3">
        <f t="shared" si="364"/>
        <v>2.9901874433685874E-2</v>
      </c>
      <c r="T357" s="3">
        <f t="shared" si="364"/>
        <v>2.98764356648753E-2</v>
      </c>
      <c r="U357" s="3">
        <f t="shared" si="364"/>
        <v>2.9623235244071976E-2</v>
      </c>
      <c r="V357" s="3">
        <f t="shared" si="364"/>
        <v>2.7206302559729171E-2</v>
      </c>
      <c r="W357" s="3">
        <f t="shared" si="364"/>
        <v>1.1615552835402134E-2</v>
      </c>
      <c r="X357" s="3">
        <f t="shared" si="364"/>
        <v>2.3374562753140552E-6</v>
      </c>
      <c r="Y357" s="3">
        <f t="shared" si="364"/>
        <v>2.5455381261927666E-43</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80">
        <f>AVERAGE(B358:AF358)</f>
        <v>1.6807645823425973E-2</v>
      </c>
      <c r="B358" s="81">
        <f>IF($A$64&lt;=B324,IF($B$64&gt;=B324,ABS((B326-B325)/B325),0),0)</f>
        <v>0</v>
      </c>
      <c r="C358" s="81">
        <f t="shared" ref="C358:AF358" si="365">IF($A$64&lt;=C324,IF($B$64&gt;=C324,ABS((C326-C325)/C325),0),0)</f>
        <v>0</v>
      </c>
      <c r="D358" s="81">
        <f t="shared" si="365"/>
        <v>0</v>
      </c>
      <c r="E358" s="81">
        <f t="shared" si="365"/>
        <v>0</v>
      </c>
      <c r="F358" s="81">
        <f t="shared" si="365"/>
        <v>0</v>
      </c>
      <c r="G358" s="81">
        <f t="shared" si="365"/>
        <v>0</v>
      </c>
      <c r="H358" s="81">
        <f t="shared" si="365"/>
        <v>0</v>
      </c>
      <c r="I358" s="81">
        <f t="shared" si="365"/>
        <v>0</v>
      </c>
      <c r="J358" s="81">
        <f t="shared" si="365"/>
        <v>0</v>
      </c>
      <c r="K358" s="81">
        <f t="shared" si="365"/>
        <v>0</v>
      </c>
      <c r="L358" s="81">
        <f t="shared" si="365"/>
        <v>2.9092772934289468E-2</v>
      </c>
      <c r="M358" s="81">
        <f t="shared" si="365"/>
        <v>3.3057733292196884E-2</v>
      </c>
      <c r="N358" s="81">
        <f t="shared" si="365"/>
        <v>3.4988533070370607E-2</v>
      </c>
      <c r="O358" s="81">
        <f t="shared" si="365"/>
        <v>3.2218276827320876E-2</v>
      </c>
      <c r="P358" s="81">
        <f t="shared" si="365"/>
        <v>2.4081275442991094E-2</v>
      </c>
      <c r="Q358" s="81">
        <f t="shared" si="365"/>
        <v>2.3172976484808444E-3</v>
      </c>
      <c r="R358" s="81">
        <f t="shared" si="365"/>
        <v>3.0553499876072462E-2</v>
      </c>
      <c r="S358" s="81">
        <f t="shared" si="365"/>
        <v>6.7762481807547278E-2</v>
      </c>
      <c r="T358" s="81">
        <f t="shared" si="365"/>
        <v>9.3955230828410646E-2</v>
      </c>
      <c r="U358" s="81">
        <f t="shared" si="365"/>
        <v>9.9016728486315278E-2</v>
      </c>
      <c r="V358" s="81">
        <f t="shared" si="365"/>
        <v>7.3993190312209772E-2</v>
      </c>
      <c r="W358" s="81">
        <f t="shared" si="365"/>
        <v>0</v>
      </c>
      <c r="X358" s="81">
        <f t="shared" si="365"/>
        <v>0</v>
      </c>
      <c r="Y358" s="81">
        <f t="shared" si="365"/>
        <v>0</v>
      </c>
      <c r="Z358" s="81">
        <f t="shared" si="365"/>
        <v>0</v>
      </c>
      <c r="AA358" s="81">
        <f t="shared" si="365"/>
        <v>0</v>
      </c>
      <c r="AB358" s="81">
        <f t="shared" si="365"/>
        <v>0</v>
      </c>
      <c r="AC358" s="81">
        <f t="shared" si="365"/>
        <v>0</v>
      </c>
      <c r="AD358" s="81">
        <f t="shared" si="365"/>
        <v>0</v>
      </c>
      <c r="AE358" s="81">
        <f t="shared" si="365"/>
        <v>0</v>
      </c>
      <c r="AF358" s="81">
        <f t="shared" si="365"/>
        <v>0</v>
      </c>
    </row>
    <row r="359" spans="1:34" x14ac:dyDescent="0.25">
      <c r="B359" s="21">
        <f>(B326-B325)^2</f>
        <v>375.41307311828558</v>
      </c>
      <c r="C359" s="21">
        <f t="shared" ref="C359:AF359" si="366">(C326-C325)^2</f>
        <v>3513.8628248799196</v>
      </c>
      <c r="D359" s="21">
        <f t="shared" si="366"/>
        <v>3904.4109413946376</v>
      </c>
      <c r="E359" s="21">
        <f t="shared" si="366"/>
        <v>5566.0667105299099</v>
      </c>
      <c r="F359" s="21">
        <f t="shared" si="366"/>
        <v>6812.5758994009811</v>
      </c>
      <c r="G359" s="21">
        <f t="shared" si="366"/>
        <v>5491.1158118810245</v>
      </c>
      <c r="H359" s="21">
        <f t="shared" si="366"/>
        <v>2835.5286661252285</v>
      </c>
      <c r="I359" s="21">
        <f t="shared" si="366"/>
        <v>836.91168573821449</v>
      </c>
      <c r="J359" s="21">
        <f t="shared" si="366"/>
        <v>329.62940585808997</v>
      </c>
      <c r="K359" s="21">
        <f t="shared" si="366"/>
        <v>3076.2939441505059</v>
      </c>
      <c r="L359" s="21">
        <f t="shared" si="366"/>
        <v>6706.7569520711468</v>
      </c>
      <c r="M359" s="21">
        <f t="shared" si="366"/>
        <v>7625.0176248013768</v>
      </c>
      <c r="N359" s="21">
        <f t="shared" si="366"/>
        <v>7343.3481639031043</v>
      </c>
      <c r="O359" s="21">
        <f t="shared" si="366"/>
        <v>5188.9577837231564</v>
      </c>
      <c r="P359" s="21">
        <f t="shared" si="366"/>
        <v>2304.1983918197393</v>
      </c>
      <c r="Q359" s="21">
        <f t="shared" si="366"/>
        <v>15.663673967045357</v>
      </c>
      <c r="R359" s="21">
        <f t="shared" si="366"/>
        <v>1785.5010023718678</v>
      </c>
      <c r="S359" s="21">
        <f t="shared" si="366"/>
        <v>5018.0018904453782</v>
      </c>
      <c r="T359" s="21">
        <f t="shared" si="366"/>
        <v>4879.8849292023779</v>
      </c>
      <c r="U359" s="21">
        <f t="shared" si="366"/>
        <v>2645.9495898179071</v>
      </c>
      <c r="V359" s="21">
        <f t="shared" si="366"/>
        <v>805.28527344215911</v>
      </c>
      <c r="W359" s="21">
        <f t="shared" si="366"/>
        <v>1236.6725266606675</v>
      </c>
      <c r="X359" s="21">
        <f t="shared" si="366"/>
        <v>4483.8018278317086</v>
      </c>
      <c r="Y359" s="21">
        <f t="shared" si="366"/>
        <v>2354.4150631932148</v>
      </c>
      <c r="Z359" s="21">
        <f t="shared" si="366"/>
        <v>1355.8526043077247</v>
      </c>
      <c r="AA359" s="21">
        <f t="shared" si="366"/>
        <v>999.16818651465906</v>
      </c>
      <c r="AB359" s="21">
        <f t="shared" si="366"/>
        <v>414.25627126526064</v>
      </c>
      <c r="AC359" s="21">
        <f t="shared" si="366"/>
        <v>155.4014087332956</v>
      </c>
      <c r="AD359" s="21">
        <f t="shared" si="366"/>
        <v>132.74908783696947</v>
      </c>
      <c r="AE359" s="21">
        <f t="shared" si="366"/>
        <v>130.41433662752453</v>
      </c>
      <c r="AF359" s="21">
        <f t="shared" si="366"/>
        <v>128.20845595751246</v>
      </c>
      <c r="AG359" s="3"/>
      <c r="AH359" s="3"/>
    </row>
    <row r="360" spans="1:34" x14ac:dyDescent="0.25">
      <c r="A360" s="72">
        <f>SUM(B360:AF360)</f>
        <v>44318.565275565263</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6706.7569520711468</v>
      </c>
      <c r="M360" s="60">
        <f t="shared" si="367"/>
        <v>7625.0176248013768</v>
      </c>
      <c r="N360" s="60">
        <f t="shared" si="367"/>
        <v>7343.3481639031043</v>
      </c>
      <c r="O360" s="60">
        <f t="shared" si="367"/>
        <v>5188.9577837231564</v>
      </c>
      <c r="P360" s="60">
        <f t="shared" si="367"/>
        <v>2304.1983918197393</v>
      </c>
      <c r="Q360" s="60">
        <f t="shared" si="367"/>
        <v>15.663673967045357</v>
      </c>
      <c r="R360" s="60">
        <f t="shared" si="367"/>
        <v>1785.5010023718678</v>
      </c>
      <c r="S360" s="60">
        <f t="shared" si="367"/>
        <v>5018.0018904453782</v>
      </c>
      <c r="T360" s="60">
        <f t="shared" si="367"/>
        <v>4879.8849292023779</v>
      </c>
      <c r="U360" s="60">
        <f t="shared" si="367"/>
        <v>2645.9495898179071</v>
      </c>
      <c r="V360" s="60">
        <f t="shared" si="367"/>
        <v>805.28527344215911</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1" t="s">
        <v>22</v>
      </c>
      <c r="B365" s="27">
        <f>($C$17+SUM(B366:B396))*$B$51</f>
        <v>3434.0053615381808</v>
      </c>
      <c r="C365" s="27">
        <f t="shared" ref="C365:AF365" si="368">($C$17+SUM(C366:C396))*$B$51</f>
        <v>3238.5165109974027</v>
      </c>
      <c r="D365" s="27">
        <f t="shared" si="368"/>
        <v>3040.0301335327581</v>
      </c>
      <c r="E365" s="27">
        <f t="shared" si="368"/>
        <v>2854.2564510244847</v>
      </c>
      <c r="F365" s="27">
        <f t="shared" si="368"/>
        <v>2672.9005739835952</v>
      </c>
      <c r="G365" s="27">
        <f t="shared" si="368"/>
        <v>2501.6423712121878</v>
      </c>
      <c r="H365" s="27">
        <f t="shared" si="368"/>
        <v>2290.3565030714371</v>
      </c>
      <c r="I365" s="27">
        <f t="shared" si="368"/>
        <v>2082.2331720111233</v>
      </c>
      <c r="J365" s="27">
        <f t="shared" si="368"/>
        <v>1858.2426029218966</v>
      </c>
      <c r="K365" s="27">
        <f t="shared" si="368"/>
        <v>1603.6843030194534</v>
      </c>
      <c r="L365" s="27">
        <f t="shared" si="368"/>
        <v>1310.5710489851758</v>
      </c>
      <c r="M365" s="27">
        <f t="shared" si="368"/>
        <v>996.53980566314851</v>
      </c>
      <c r="N365" s="27">
        <f t="shared" si="368"/>
        <v>708.61091581109019</v>
      </c>
      <c r="O365" s="27">
        <f t="shared" si="368"/>
        <v>499.04772258058188</v>
      </c>
      <c r="P365" s="27">
        <f t="shared" si="368"/>
        <v>363.7581395444729</v>
      </c>
      <c r="Q365" s="27">
        <f t="shared" si="368"/>
        <v>234.00677812051651</v>
      </c>
      <c r="R365" s="27">
        <f t="shared" si="368"/>
        <v>213.71664316881615</v>
      </c>
      <c r="S365" s="27">
        <f t="shared" si="368"/>
        <v>213.71664305722481</v>
      </c>
      <c r="T365" s="27">
        <f t="shared" si="368"/>
        <v>213.71664305722481</v>
      </c>
      <c r="U365" s="27">
        <f t="shared" si="368"/>
        <v>213.71664305722481</v>
      </c>
      <c r="V365" s="27">
        <f t="shared" si="368"/>
        <v>213.71664305722481</v>
      </c>
      <c r="W365" s="27">
        <f t="shared" si="368"/>
        <v>213.71664305722481</v>
      </c>
      <c r="X365" s="27">
        <f t="shared" si="368"/>
        <v>213.71664305722481</v>
      </c>
      <c r="Y365" s="27">
        <f t="shared" si="368"/>
        <v>213.71664305722481</v>
      </c>
      <c r="Z365" s="27">
        <f t="shared" si="368"/>
        <v>213.71664305722481</v>
      </c>
      <c r="AA365" s="27">
        <f t="shared" si="368"/>
        <v>213.71664305722481</v>
      </c>
      <c r="AB365" s="27">
        <f t="shared" si="368"/>
        <v>213.71664305722481</v>
      </c>
      <c r="AC365" s="27">
        <f t="shared" si="368"/>
        <v>213.71664305722481</v>
      </c>
      <c r="AD365" s="27">
        <f t="shared" si="368"/>
        <v>213.71664305722481</v>
      </c>
      <c r="AE365" s="27">
        <f t="shared" si="368"/>
        <v>213.71664305722481</v>
      </c>
      <c r="AF365" s="27">
        <f t="shared" si="368"/>
        <v>213.71664305722481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0</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2.2912592642122814E-70</v>
      </c>
      <c r="C379" s="3">
        <f t="shared" si="382"/>
        <v>0</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2.6955153265022079E-8</v>
      </c>
      <c r="C380" s="3">
        <f t="shared" si="383"/>
        <v>1.0239179795866659E-63</v>
      </c>
      <c r="D380" s="3">
        <f t="shared" si="383"/>
        <v>0</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8.9163677006555246E-3</v>
      </c>
      <c r="C381" s="3">
        <f t="shared" si="384"/>
        <v>8.929125853203562E-8</v>
      </c>
      <c r="D381" s="3">
        <f t="shared" si="384"/>
        <v>9.0577157393327485E-58</v>
      </c>
      <c r="E381" s="3">
        <f t="shared" si="384"/>
        <v>0</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3.4585365084863935E-2</v>
      </c>
      <c r="C382" s="3">
        <f t="shared" si="385"/>
        <v>1.2243533828807015E-2</v>
      </c>
      <c r="D382" s="3">
        <f t="shared" si="385"/>
        <v>3.7848702509316505E-7</v>
      </c>
      <c r="E382" s="3">
        <f t="shared" si="385"/>
        <v>3.0164289572223242E-52</v>
      </c>
      <c r="F382" s="3">
        <f t="shared" si="385"/>
        <v>0</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3.6377315911542946E-2</v>
      </c>
      <c r="C383" s="3">
        <f t="shared" si="386"/>
        <v>3.3124398487141396E-2</v>
      </c>
      <c r="D383" s="3">
        <f t="shared" si="386"/>
        <v>1.2981398738530717E-2</v>
      </c>
      <c r="E383" s="3">
        <f t="shared" si="386"/>
        <v>1.1093188276428331E-6</v>
      </c>
      <c r="F383" s="3">
        <f t="shared" si="386"/>
        <v>2.3035907413642319E-47</v>
      </c>
      <c r="G383" s="3">
        <f t="shared" si="386"/>
        <v>0</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3.3363979146761348E-2</v>
      </c>
      <c r="C384" s="3">
        <f t="shared" si="387"/>
        <v>3.3083231773376374E-2</v>
      </c>
      <c r="D384" s="3">
        <f t="shared" si="387"/>
        <v>3.0402464622145148E-2</v>
      </c>
      <c r="E384" s="3">
        <f t="shared" si="387"/>
        <v>1.3059225902956008E-2</v>
      </c>
      <c r="F384" s="3">
        <f t="shared" si="387"/>
        <v>2.7925686735063859E-6</v>
      </c>
      <c r="G384" s="3">
        <f t="shared" si="387"/>
        <v>5.58300652621146E-43</v>
      </c>
      <c r="H384" s="3">
        <f t="shared" si="387"/>
        <v>0</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3.5165203944040054E-2</v>
      </c>
      <c r="C385" s="3">
        <f t="shared" si="388"/>
        <v>3.5138408205043818E-2</v>
      </c>
      <c r="D385" s="3">
        <f t="shared" si="388"/>
        <v>3.4871571255103526E-2</v>
      </c>
      <c r="E385" s="3">
        <f t="shared" si="388"/>
        <v>3.2312149006762984E-2</v>
      </c>
      <c r="F385" s="3">
        <f t="shared" si="388"/>
        <v>1.5076797713636772E-2</v>
      </c>
      <c r="G385" s="3">
        <f t="shared" si="388"/>
        <v>7.3746558485473178E-6</v>
      </c>
      <c r="H385" s="3">
        <f t="shared" si="388"/>
        <v>5.7818691492043833E-39</v>
      </c>
      <c r="I385" s="3">
        <f t="shared" si="388"/>
        <v>0</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2.0658997568457418E-2</v>
      </c>
      <c r="C386" s="3">
        <f t="shared" si="389"/>
        <v>2.0657577010295424E-2</v>
      </c>
      <c r="D386" s="3">
        <f t="shared" si="389"/>
        <v>2.0643376800006309E-2</v>
      </c>
      <c r="E386" s="3">
        <f t="shared" si="389"/>
        <v>2.0501910466081907E-2</v>
      </c>
      <c r="F386" s="3">
        <f t="shared" si="389"/>
        <v>1.9139485583229681E-2</v>
      </c>
      <c r="G386" s="3">
        <f t="shared" si="389"/>
        <v>9.6225360036788655E-3</v>
      </c>
      <c r="H386" s="3">
        <f t="shared" si="389"/>
        <v>9.92847124712498E-6</v>
      </c>
      <c r="I386" s="3">
        <f t="shared" si="389"/>
        <v>1.3577217006618671E-35</v>
      </c>
      <c r="J386" s="3">
        <f t="shared" si="389"/>
        <v>0</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3.0227142399677356E-2</v>
      </c>
      <c r="C387" s="3">
        <f t="shared" si="390"/>
        <v>3.0226567528504774E-2</v>
      </c>
      <c r="D387" s="3">
        <f t="shared" si="390"/>
        <v>3.0220819418066053E-2</v>
      </c>
      <c r="E387" s="3">
        <f t="shared" si="390"/>
        <v>3.0163398400097876E-2</v>
      </c>
      <c r="F387" s="3">
        <f t="shared" si="390"/>
        <v>2.9595154794545463E-2</v>
      </c>
      <c r="G387" s="3">
        <f t="shared" si="390"/>
        <v>2.4469442292976238E-2</v>
      </c>
      <c r="H387" s="3">
        <f t="shared" si="390"/>
        <v>3.6530752879788114E-3</v>
      </c>
      <c r="I387" s="3">
        <f t="shared" si="390"/>
        <v>2.009111971362049E-11</v>
      </c>
      <c r="J387" s="3">
        <f t="shared" si="390"/>
        <v>5.0869717610556974E-94</v>
      </c>
      <c r="K387" s="3">
        <f t="shared" si="390"/>
        <v>0</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3.7583946364369916E-2</v>
      </c>
      <c r="C388" s="3">
        <f t="shared" si="391"/>
        <v>3.7583874885194206E-2</v>
      </c>
      <c r="D388" s="3">
        <f t="shared" si="391"/>
        <v>3.7583160100913914E-2</v>
      </c>
      <c r="E388" s="3">
        <f t="shared" si="391"/>
        <v>3.7576013005740358E-2</v>
      </c>
      <c r="F388" s="3">
        <f t="shared" si="391"/>
        <v>3.7504616764356999E-2</v>
      </c>
      <c r="G388" s="3">
        <f t="shared" si="391"/>
        <v>3.6798073079446138E-2</v>
      </c>
      <c r="H388" s="3">
        <f t="shared" si="391"/>
        <v>3.0424856094220635E-2</v>
      </c>
      <c r="I388" s="3">
        <f t="shared" si="391"/>
        <v>4.5421668629534737E-3</v>
      </c>
      <c r="J388" s="3">
        <f t="shared" si="391"/>
        <v>2.4980930040817687E-11</v>
      </c>
      <c r="K388" s="3">
        <f t="shared" si="391"/>
        <v>6.3250474584747419E-94</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3.8796260261001893E-2</v>
      </c>
      <c r="C389" s="3">
        <f t="shared" si="392"/>
        <v>3.8796252882513614E-2</v>
      </c>
      <c r="D389" s="3">
        <f t="shared" si="392"/>
        <v>3.8796179097708001E-2</v>
      </c>
      <c r="E389" s="3">
        <f t="shared" si="392"/>
        <v>3.8795441257369848E-2</v>
      </c>
      <c r="F389" s="3">
        <f t="shared" si="392"/>
        <v>3.8788063625733178E-2</v>
      </c>
      <c r="G389" s="3">
        <f t="shared" si="392"/>
        <v>3.8714364429573309E-2</v>
      </c>
      <c r="H389" s="3">
        <f t="shared" si="392"/>
        <v>3.7985030495169575E-2</v>
      </c>
      <c r="I389" s="3">
        <f t="shared" si="392"/>
        <v>3.1406239235815758E-2</v>
      </c>
      <c r="J389" s="3">
        <f t="shared" si="392"/>
        <v>4.6886788455183237E-3</v>
      </c>
      <c r="K389" s="3">
        <f t="shared" si="392"/>
        <v>2.578671408553113E-11</v>
      </c>
      <c r="L389" s="3">
        <f t="shared" si="392"/>
        <v>6.5290679779574815E-94</v>
      </c>
      <c r="M389" s="3">
        <f t="shared" si="392"/>
        <v>0</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4.4435908570716311E-2</v>
      </c>
      <c r="C390" s="3">
        <f t="shared" si="393"/>
        <v>4.4435907725609451E-2</v>
      </c>
      <c r="D390" s="3">
        <f t="shared" si="393"/>
        <v>4.4435899274541689E-2</v>
      </c>
      <c r="E390" s="3">
        <f t="shared" si="393"/>
        <v>4.4435814763952482E-2</v>
      </c>
      <c r="F390" s="3">
        <f t="shared" si="393"/>
        <v>4.4434969666900297E-2</v>
      </c>
      <c r="G390" s="3">
        <f t="shared" si="393"/>
        <v>4.442651958030857E-2</v>
      </c>
      <c r="H390" s="3">
        <f t="shared" si="393"/>
        <v>4.4342107045234835E-2</v>
      </c>
      <c r="I390" s="3">
        <f t="shared" si="393"/>
        <v>4.3506752936558098E-2</v>
      </c>
      <c r="J390" s="3">
        <f t="shared" si="393"/>
        <v>3.5971630752615336E-2</v>
      </c>
      <c r="K390" s="3">
        <f t="shared" si="393"/>
        <v>5.3702521617502129E-3</v>
      </c>
      <c r="L390" s="3">
        <f t="shared" si="393"/>
        <v>2.9535219115001875E-11</v>
      </c>
      <c r="M390" s="3">
        <f t="shared" si="393"/>
        <v>7.4781708404609535E-94</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5.2241280224368171E-2</v>
      </c>
      <c r="C391" s="3">
        <f t="shared" si="394"/>
        <v>5.2241280125012793E-2</v>
      </c>
      <c r="D391" s="3">
        <f t="shared" si="394"/>
        <v>5.2241279131459026E-2</v>
      </c>
      <c r="E391" s="3">
        <f t="shared" si="394"/>
        <v>5.2241269195922375E-2</v>
      </c>
      <c r="F391" s="3">
        <f t="shared" si="394"/>
        <v>5.2241169840659789E-2</v>
      </c>
      <c r="G391" s="3">
        <f t="shared" si="394"/>
        <v>5.2240176298426574E-2</v>
      </c>
      <c r="H391" s="3">
        <f t="shared" si="394"/>
        <v>5.2230241915290999E-2</v>
      </c>
      <c r="I391" s="3">
        <f t="shared" si="394"/>
        <v>5.2131001930497363E-2</v>
      </c>
      <c r="J391" s="3">
        <f t="shared" si="394"/>
        <v>5.114891403359946E-2</v>
      </c>
      <c r="K391" s="3">
        <f t="shared" si="394"/>
        <v>4.2290213008929357E-2</v>
      </c>
      <c r="L391" s="3">
        <f t="shared" si="394"/>
        <v>6.3135616339986969E-3</v>
      </c>
      <c r="M391" s="3">
        <f t="shared" si="394"/>
        <v>3.472321608738904E-11</v>
      </c>
      <c r="N391" s="3">
        <f t="shared" si="394"/>
        <v>8.7917459159747608E-94</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5.75929465834394E-2</v>
      </c>
      <c r="C392" s="3">
        <f t="shared" si="395"/>
        <v>5.7592946572486058E-2</v>
      </c>
      <c r="D392" s="3">
        <f t="shared" si="395"/>
        <v>5.7592946462952578E-2</v>
      </c>
      <c r="E392" s="3">
        <f t="shared" si="395"/>
        <v>5.7592945367617832E-2</v>
      </c>
      <c r="F392" s="3">
        <f t="shared" si="395"/>
        <v>5.7592934414271574E-2</v>
      </c>
      <c r="G392" s="3">
        <f t="shared" si="395"/>
        <v>5.7592824880923515E-2</v>
      </c>
      <c r="H392" s="3">
        <f t="shared" si="395"/>
        <v>5.7591729558900219E-2</v>
      </c>
      <c r="I392" s="3">
        <f t="shared" si="395"/>
        <v>5.7580777484320493E-2</v>
      </c>
      <c r="J392" s="3">
        <f t="shared" si="395"/>
        <v>5.7471371223265497E-2</v>
      </c>
      <c r="K392" s="3">
        <f t="shared" si="395"/>
        <v>5.6388676933757202E-2</v>
      </c>
      <c r="L392" s="3">
        <f t="shared" si="395"/>
        <v>4.6622478773523976E-2</v>
      </c>
      <c r="M392" s="3">
        <f t="shared" si="395"/>
        <v>6.9603312994495512E-3</v>
      </c>
      <c r="N392" s="3">
        <f t="shared" si="395"/>
        <v>3.8280308605704192E-11</v>
      </c>
      <c r="O392" s="3">
        <f t="shared" si="395"/>
        <v>9.6923840809977152E-94</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5.417208022153016E-2</v>
      </c>
      <c r="C393" s="3">
        <f t="shared" si="396"/>
        <v>5.4172080220499887E-2</v>
      </c>
      <c r="D393" s="3">
        <f t="shared" si="396"/>
        <v>5.4172080210197142E-2</v>
      </c>
      <c r="E393" s="3">
        <f t="shared" si="396"/>
        <v>5.4172080107169653E-2</v>
      </c>
      <c r="F393" s="3">
        <f t="shared" si="396"/>
        <v>5.4172079076894857E-2</v>
      </c>
      <c r="G393" s="3">
        <f t="shared" si="396"/>
        <v>5.4172068774147951E-2</v>
      </c>
      <c r="H393" s="3">
        <f t="shared" si="396"/>
        <v>5.4171965746786614E-2</v>
      </c>
      <c r="I393" s="3">
        <f t="shared" si="396"/>
        <v>5.417093548395005E-2</v>
      </c>
      <c r="J393" s="3">
        <f t="shared" si="396"/>
        <v>5.4160633933188894E-2</v>
      </c>
      <c r="K393" s="3">
        <f t="shared" si="396"/>
        <v>5.4057726110233358E-2</v>
      </c>
      <c r="L393" s="3">
        <f t="shared" si="396"/>
        <v>5.3039340953979081E-2</v>
      </c>
      <c r="M393" s="3">
        <f t="shared" si="396"/>
        <v>4.3853228737633816E-2</v>
      </c>
      <c r="N393" s="3">
        <f t="shared" si="396"/>
        <v>6.5469063120215144E-3</v>
      </c>
      <c r="O393" s="3">
        <f t="shared" si="396"/>
        <v>3.6006561075136763E-11</v>
      </c>
      <c r="P393" s="3">
        <f t="shared" si="396"/>
        <v>9.1166824951908614E-94</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3.87513300643638E-2</v>
      </c>
      <c r="C394" s="3">
        <f t="shared" si="397"/>
        <v>3.8751330064290102E-2</v>
      </c>
      <c r="D394" s="3">
        <f t="shared" si="397"/>
        <v>3.8751330063553101E-2</v>
      </c>
      <c r="E394" s="3">
        <f t="shared" si="397"/>
        <v>3.8751330056183163E-2</v>
      </c>
      <c r="F394" s="3">
        <f t="shared" si="397"/>
        <v>3.875132998248372E-2</v>
      </c>
      <c r="G394" s="3">
        <f t="shared" si="397"/>
        <v>3.8751329245489338E-2</v>
      </c>
      <c r="H394" s="3">
        <f t="shared" si="397"/>
        <v>3.8751321875546293E-2</v>
      </c>
      <c r="I394" s="3">
        <f t="shared" si="397"/>
        <v>3.8751248176192889E-2</v>
      </c>
      <c r="J394" s="3">
        <f t="shared" si="397"/>
        <v>3.8750511190367917E-2</v>
      </c>
      <c r="K394" s="3">
        <f t="shared" si="397"/>
        <v>3.8743142102969252E-2</v>
      </c>
      <c r="L394" s="3">
        <f t="shared" si="397"/>
        <v>3.8669528259874436E-2</v>
      </c>
      <c r="M394" s="3">
        <f t="shared" si="397"/>
        <v>3.7941038987149435E-2</v>
      </c>
      <c r="N394" s="3">
        <f t="shared" si="397"/>
        <v>3.1369866806803211E-2</v>
      </c>
      <c r="O394" s="3">
        <f t="shared" si="397"/>
        <v>4.683248757656141E-3</v>
      </c>
      <c r="P394" s="3">
        <f t="shared" si="397"/>
        <v>2.5756849783075078E-11</v>
      </c>
      <c r="Q394" s="3">
        <f t="shared" si="397"/>
        <v>6.5215064848491425E-94</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2.0828240532985844E-2</v>
      </c>
      <c r="C395" s="3">
        <f t="shared" si="398"/>
        <v>2.0828240532981886E-2</v>
      </c>
      <c r="D395" s="3">
        <f t="shared" si="398"/>
        <v>2.0828240532942272E-2</v>
      </c>
      <c r="E395" s="3">
        <f t="shared" si="398"/>
        <v>2.0828240532546147E-2</v>
      </c>
      <c r="F395" s="3">
        <f t="shared" si="398"/>
        <v>2.0828240528584917E-2</v>
      </c>
      <c r="G395" s="3">
        <f t="shared" si="398"/>
        <v>2.0828240488972607E-2</v>
      </c>
      <c r="H395" s="3">
        <f t="shared" si="398"/>
        <v>2.0828240092849528E-2</v>
      </c>
      <c r="I395" s="3">
        <f t="shared" si="398"/>
        <v>2.0828236131619132E-2</v>
      </c>
      <c r="J395" s="3">
        <f t="shared" si="398"/>
        <v>2.0828196519356607E-2</v>
      </c>
      <c r="K395" s="3">
        <f t="shared" si="398"/>
        <v>2.0827800400874827E-2</v>
      </c>
      <c r="L395" s="3">
        <f t="shared" si="398"/>
        <v>2.0823839630377584E-2</v>
      </c>
      <c r="M395" s="3">
        <f t="shared" si="398"/>
        <v>2.0784273328318031E-2</v>
      </c>
      <c r="N395" s="3">
        <f t="shared" si="398"/>
        <v>2.0392721611955995E-2</v>
      </c>
      <c r="O395" s="3">
        <f t="shared" si="398"/>
        <v>1.6860818203000397E-2</v>
      </c>
      <c r="P395" s="3">
        <f t="shared" si="398"/>
        <v>2.5171737702482937E-3</v>
      </c>
      <c r="Q395" s="3">
        <f t="shared" si="398"/>
        <v>1.3843908370699106E-11</v>
      </c>
      <c r="R395" s="3">
        <f t="shared" si="398"/>
        <v>3.505208865817781E-94</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2.9904702300268718E-2</v>
      </c>
      <c r="C396" s="3">
        <f t="shared" si="399"/>
        <v>2.9904702300268149E-2</v>
      </c>
      <c r="D396" s="3">
        <f t="shared" si="399"/>
        <v>2.9904702300262462E-2</v>
      </c>
      <c r="E396" s="3">
        <f t="shared" si="399"/>
        <v>2.9904702300205584E-2</v>
      </c>
      <c r="F396" s="3">
        <f t="shared" si="399"/>
        <v>2.9904702299636841E-2</v>
      </c>
      <c r="G396" s="3">
        <f t="shared" si="399"/>
        <v>2.9904702293949398E-2</v>
      </c>
      <c r="H396" s="3">
        <f t="shared" si="399"/>
        <v>2.9904702237074969E-2</v>
      </c>
      <c r="I396" s="3">
        <f t="shared" si="399"/>
        <v>2.9904701668330681E-2</v>
      </c>
      <c r="J396" s="3">
        <f t="shared" si="399"/>
        <v>2.9904695980888407E-2</v>
      </c>
      <c r="K396" s="3">
        <f t="shared" si="399"/>
        <v>2.990463910652514E-2</v>
      </c>
      <c r="L396" s="3">
        <f t="shared" si="399"/>
        <v>2.9904070368841587E-2</v>
      </c>
      <c r="M396" s="3">
        <f t="shared" si="399"/>
        <v>2.9898383586877832E-2</v>
      </c>
      <c r="N396" s="3">
        <f t="shared" si="399"/>
        <v>2.9841575212577586E-2</v>
      </c>
      <c r="O396" s="3">
        <f t="shared" si="399"/>
        <v>2.9279394384368804E-2</v>
      </c>
      <c r="P396" s="3">
        <f t="shared" si="399"/>
        <v>2.4208369790099913E-2</v>
      </c>
      <c r="Q396" s="3">
        <f t="shared" si="399"/>
        <v>3.6140994299592747E-3</v>
      </c>
      <c r="R396" s="3">
        <f t="shared" si="399"/>
        <v>1.9876760969909833E-11</v>
      </c>
      <c r="S396" s="3">
        <f t="shared" si="399"/>
        <v>5.0326971914182347E-94</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3.5337753535798766E-2</v>
      </c>
      <c r="B397" s="81">
        <f>IF($A$64&lt;=B363,IF($B$64&gt;=B363,ABS((B365-B364)/B364),0),0)</f>
        <v>0</v>
      </c>
      <c r="C397" s="81">
        <f t="shared" ref="C397:AF397" si="400">IF($A$64&lt;=C363,IF($B$64&gt;=C363,ABS((C365-C364)/C364),0),0)</f>
        <v>0</v>
      </c>
      <c r="D397" s="81">
        <f t="shared" si="400"/>
        <v>0</v>
      </c>
      <c r="E397" s="81">
        <f t="shared" si="400"/>
        <v>0</v>
      </c>
      <c r="F397" s="81">
        <f t="shared" si="400"/>
        <v>0</v>
      </c>
      <c r="G397" s="81">
        <f t="shared" si="400"/>
        <v>0</v>
      </c>
      <c r="H397" s="81">
        <f t="shared" si="400"/>
        <v>0</v>
      </c>
      <c r="I397" s="81">
        <f t="shared" si="400"/>
        <v>0</v>
      </c>
      <c r="J397" s="81">
        <f t="shared" si="400"/>
        <v>0</v>
      </c>
      <c r="K397" s="81">
        <f t="shared" si="400"/>
        <v>0</v>
      </c>
      <c r="L397" s="81">
        <f t="shared" si="400"/>
        <v>6.8956757611001729E-3</v>
      </c>
      <c r="M397" s="81">
        <f t="shared" si="400"/>
        <v>1.3139670323239176E-2</v>
      </c>
      <c r="N397" s="81">
        <f t="shared" si="400"/>
        <v>2.1552122577340359E-2</v>
      </c>
      <c r="O397" s="81">
        <f t="shared" si="400"/>
        <v>2.6973968050291574E-2</v>
      </c>
      <c r="P397" s="81">
        <f t="shared" si="400"/>
        <v>9.858367625194037E-3</v>
      </c>
      <c r="Q397" s="81">
        <f t="shared" si="400"/>
        <v>0.23818922223622419</v>
      </c>
      <c r="R397" s="81">
        <f t="shared" si="400"/>
        <v>0.23417834457722653</v>
      </c>
      <c r="S397" s="81">
        <f t="shared" si="400"/>
        <v>0.1832641772435295</v>
      </c>
      <c r="T397" s="81">
        <f t="shared" si="400"/>
        <v>0.1497139127765196</v>
      </c>
      <c r="U397" s="81">
        <f t="shared" si="400"/>
        <v>0.13168968614481266</v>
      </c>
      <c r="V397" s="81">
        <f t="shared" si="400"/>
        <v>8.0015212294283891E-2</v>
      </c>
      <c r="W397" s="81">
        <f t="shared" si="400"/>
        <v>0</v>
      </c>
      <c r="X397" s="81">
        <f t="shared" si="400"/>
        <v>0</v>
      </c>
      <c r="Y397" s="81">
        <f t="shared" si="400"/>
        <v>0</v>
      </c>
      <c r="Z397" s="81">
        <f t="shared" si="400"/>
        <v>0</v>
      </c>
      <c r="AA397" s="81">
        <f t="shared" si="400"/>
        <v>0</v>
      </c>
      <c r="AB397" s="81">
        <f t="shared" si="400"/>
        <v>0</v>
      </c>
      <c r="AC397" s="81">
        <f t="shared" si="400"/>
        <v>0</v>
      </c>
      <c r="AD397" s="81">
        <f t="shared" si="400"/>
        <v>0</v>
      </c>
      <c r="AE397" s="81">
        <f t="shared" si="400"/>
        <v>0</v>
      </c>
      <c r="AF397" s="81">
        <f t="shared" si="400"/>
        <v>0</v>
      </c>
    </row>
    <row r="398" spans="1:34" x14ac:dyDescent="0.25">
      <c r="B398" s="21">
        <f>(B365-B364)^2</f>
        <v>203.93429725783326</v>
      </c>
      <c r="C398" s="21">
        <f t="shared" ref="C398:AF398" si="401">(C365-C364)^2</f>
        <v>1.157462350700371</v>
      </c>
      <c r="D398" s="21">
        <f t="shared" si="401"/>
        <v>1758.863841367556</v>
      </c>
      <c r="E398" s="21">
        <f t="shared" si="401"/>
        <v>5022.6917871972755</v>
      </c>
      <c r="F398" s="21">
        <f t="shared" si="401"/>
        <v>9173.2253537965535</v>
      </c>
      <c r="G398" s="21">
        <f t="shared" si="401"/>
        <v>7435.4709488330391</v>
      </c>
      <c r="H398" s="21">
        <f t="shared" si="401"/>
        <v>10426.950845713589</v>
      </c>
      <c r="I398" s="21">
        <f t="shared" si="401"/>
        <v>8199.1407758165496</v>
      </c>
      <c r="J398" s="21">
        <f t="shared" si="401"/>
        <v>4861.128649015277</v>
      </c>
      <c r="K398" s="21">
        <f t="shared" si="401"/>
        <v>1601.0186245405087</v>
      </c>
      <c r="L398" s="21">
        <f t="shared" si="401"/>
        <v>82.810433696244019</v>
      </c>
      <c r="M398" s="21">
        <f t="shared" si="401"/>
        <v>167.0396600777915</v>
      </c>
      <c r="N398" s="21">
        <f t="shared" si="401"/>
        <v>223.49855115545631</v>
      </c>
      <c r="O398" s="21">
        <f t="shared" si="401"/>
        <v>171.81258152124329</v>
      </c>
      <c r="P398" s="21">
        <f t="shared" si="401"/>
        <v>13.117190180224721</v>
      </c>
      <c r="Q398" s="21">
        <f t="shared" si="401"/>
        <v>5353.1185548677722</v>
      </c>
      <c r="R398" s="21">
        <f t="shared" si="401"/>
        <v>4270.8553815285077</v>
      </c>
      <c r="S398" s="21">
        <f t="shared" si="401"/>
        <v>2299.686531158844</v>
      </c>
      <c r="T398" s="21">
        <f t="shared" si="401"/>
        <v>1416.0248125165226</v>
      </c>
      <c r="U398" s="21">
        <f t="shared" si="401"/>
        <v>1050.5828180510239</v>
      </c>
      <c r="V398" s="21">
        <f t="shared" si="401"/>
        <v>345.50991850346276</v>
      </c>
      <c r="W398" s="21">
        <f t="shared" si="401"/>
        <v>182.9038170656132</v>
      </c>
      <c r="X398" s="21">
        <f t="shared" si="401"/>
        <v>161.11854181124249</v>
      </c>
      <c r="Y398" s="21">
        <f t="shared" si="401"/>
        <v>158.39372475156418</v>
      </c>
      <c r="Z398" s="21">
        <f t="shared" si="401"/>
        <v>150.17804373874205</v>
      </c>
      <c r="AA398" s="21">
        <f t="shared" si="401"/>
        <v>141.36282436714913</v>
      </c>
      <c r="AB398" s="21">
        <f t="shared" si="401"/>
        <v>138.64279988975991</v>
      </c>
      <c r="AC398" s="21">
        <f t="shared" si="401"/>
        <v>136.06499100420274</v>
      </c>
      <c r="AD398" s="21">
        <f t="shared" si="401"/>
        <v>133.90700674079923</v>
      </c>
      <c r="AE398" s="21">
        <f t="shared" si="401"/>
        <v>133.28102060451778</v>
      </c>
      <c r="AF398" s="21">
        <f t="shared" si="401"/>
        <v>132.95018024346487</v>
      </c>
      <c r="AG398" s="3"/>
      <c r="AH398" s="3"/>
    </row>
    <row r="399" spans="1:34" x14ac:dyDescent="0.25">
      <c r="A399" s="72">
        <f>SUM(B399:AF399)</f>
        <v>15394.056433257096</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82.810433696244019</v>
      </c>
      <c r="M399" s="60">
        <f t="shared" ref="M399" si="412">IF($A$64&lt;=M363,IF($B$64&gt;=M363,ABS(M398),0),0)</f>
        <v>167.0396600777915</v>
      </c>
      <c r="N399" s="60">
        <f t="shared" ref="N399" si="413">IF($A$64&lt;=N363,IF($B$64&gt;=N363,ABS(N398),0),0)</f>
        <v>223.49855115545631</v>
      </c>
      <c r="O399" s="60">
        <f t="shared" ref="O399" si="414">IF($A$64&lt;=O363,IF($B$64&gt;=O363,ABS(O398),0),0)</f>
        <v>171.81258152124329</v>
      </c>
      <c r="P399" s="60">
        <f t="shared" ref="P399" si="415">IF($A$64&lt;=P363,IF($B$64&gt;=P363,ABS(P398),0),0)</f>
        <v>13.117190180224721</v>
      </c>
      <c r="Q399" s="60">
        <f t="shared" ref="Q399" si="416">IF($A$64&lt;=Q363,IF($B$64&gt;=Q363,ABS(Q398),0),0)</f>
        <v>5353.1185548677722</v>
      </c>
      <c r="R399" s="60">
        <f t="shared" ref="R399" si="417">IF($A$64&lt;=R363,IF($B$64&gt;=R363,ABS(R398),0),0)</f>
        <v>4270.8553815285077</v>
      </c>
      <c r="S399" s="60">
        <f t="shared" ref="S399" si="418">IF($A$64&lt;=S363,IF($B$64&gt;=S363,ABS(S398),0),0)</f>
        <v>2299.686531158844</v>
      </c>
      <c r="T399" s="60">
        <f t="shared" ref="T399" si="419">IF($A$64&lt;=T363,IF($B$64&gt;=T363,ABS(T398),0),0)</f>
        <v>1416.0248125165226</v>
      </c>
      <c r="U399" s="60">
        <f t="shared" ref="U399" si="420">IF($A$64&lt;=U363,IF($B$64&gt;=U363,ABS(U398),0),0)</f>
        <v>1050.5828180510239</v>
      </c>
      <c r="V399" s="60">
        <f t="shared" ref="V399" si="421">IF($A$64&lt;=V363,IF($B$64&gt;=V363,ABS(V398),0),0)</f>
        <v>345.50991850346276</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1"/>
      <c r="B532" s="11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6"/>
      <c r="B534" s="10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11"/>
      <c r="B581" s="11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11"/>
      <c r="B596" s="11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6"/>
      <c r="B597" s="10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6"/>
      <c r="B626" s="106"/>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6"/>
      <c r="B627" s="106"/>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1"/>
      <c r="B650" s="11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6"/>
      <c r="B651" s="10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6"/>
      <c r="B652" s="10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6"/>
      <c r="B653" s="10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6"/>
      <c r="B654" s="10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50:B650"/>
    <mergeCell ref="A651:B651"/>
    <mergeCell ref="A652:B652"/>
    <mergeCell ref="A653:B653"/>
    <mergeCell ref="A654:B654"/>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-25.324970495913302</v>
      </c>
      <c r="M1" s="54">
        <v>1</v>
      </c>
      <c r="N1" s="56">
        <f>INDEX($H$217:$P$217,1,Q1)</f>
        <v>0.18527445724939223</v>
      </c>
      <c r="O1" s="11"/>
      <c r="P1" s="55">
        <v>1</v>
      </c>
      <c r="Q1" s="11">
        <v>2</v>
      </c>
    </row>
    <row r="2" spans="1:17" x14ac:dyDescent="0.25">
      <c r="A2" s="11">
        <f>'Mastercurve bestimmen'!M119</f>
        <v>0</v>
      </c>
      <c r="B2" s="11">
        <f>'Mastercurve bestimmen'!N119</f>
        <v>-11.433389395276924</v>
      </c>
      <c r="M2" s="54">
        <v>2</v>
      </c>
      <c r="N2" s="56">
        <f t="shared" ref="N2:N9" si="0">INDEX($H$217:$P$217,1,Q2)</f>
        <v>3.7053178956305806E-4</v>
      </c>
      <c r="O2" s="11"/>
      <c r="P2" s="55">
        <v>2</v>
      </c>
      <c r="Q2" s="11">
        <f>Q1+1</f>
        <v>3</v>
      </c>
    </row>
    <row r="3" spans="1:17" x14ac:dyDescent="0.25">
      <c r="A3" s="11">
        <f>'Mastercurve bestimmen'!M120</f>
        <v>25</v>
      </c>
      <c r="B3" s="11">
        <f>'Mastercurve bestimmen'!N120</f>
        <v>-4.9812338750496075</v>
      </c>
      <c r="M3" s="54">
        <v>3</v>
      </c>
      <c r="N3" s="56">
        <f t="shared" si="0"/>
        <v>3.3879974635543962E-5</v>
      </c>
      <c r="O3" s="11"/>
      <c r="P3" s="55">
        <v>3</v>
      </c>
      <c r="Q3" s="11">
        <f t="shared" ref="Q3:Q8" si="1">Q2+1</f>
        <v>4</v>
      </c>
    </row>
    <row r="4" spans="1:17" x14ac:dyDescent="0.25">
      <c r="A4" s="11">
        <f>'Mastercurve bestimmen'!M121</f>
        <v>50</v>
      </c>
      <c r="B4" s="11">
        <f>'Mastercurve bestimmen'!N121</f>
        <v>0</v>
      </c>
      <c r="M4" s="54">
        <v>4</v>
      </c>
      <c r="N4" s="56">
        <f t="shared" si="0"/>
        <v>-9.9122100525773756E-8</v>
      </c>
      <c r="O4" s="11"/>
      <c r="P4" s="55">
        <v>4</v>
      </c>
      <c r="Q4" s="11">
        <f t="shared" si="1"/>
        <v>5</v>
      </c>
    </row>
    <row r="5" spans="1:17" x14ac:dyDescent="0.25">
      <c r="A5" s="11">
        <f>'Mastercurve bestimmen'!M122</f>
        <v>80</v>
      </c>
      <c r="B5" s="11">
        <f>'Mastercurve bestimmen'!N122</f>
        <v>6.6241379047169344</v>
      </c>
      <c r="M5" s="54">
        <v>5</v>
      </c>
      <c r="N5" s="56">
        <f t="shared" si="0"/>
        <v>-3.0437497871993927E-9</v>
      </c>
      <c r="O5" s="11"/>
      <c r="P5" s="55">
        <v>5</v>
      </c>
      <c r="Q5" s="11">
        <f t="shared" si="1"/>
        <v>6</v>
      </c>
    </row>
    <row r="6" spans="1:17" x14ac:dyDescent="0.25">
      <c r="A6" s="11">
        <f>'Mastercurve bestimmen'!M123</f>
        <v>125</v>
      </c>
      <c r="B6" s="11">
        <f>'Mastercurve bestimmen'!N123</f>
        <v>22.969990140232735</v>
      </c>
      <c r="M6" s="54">
        <v>6</v>
      </c>
      <c r="N6" s="56">
        <f t="shared" si="0"/>
        <v>1.3392922755143096E-11</v>
      </c>
      <c r="O6" s="11"/>
      <c r="P6" s="55">
        <v>6</v>
      </c>
      <c r="Q6" s="11">
        <f t="shared" si="1"/>
        <v>7</v>
      </c>
    </row>
    <row r="7" spans="1:17" x14ac:dyDescent="0.25">
      <c r="A7" s="11">
        <f>'Mastercurve bestimmen'!M124</f>
        <v>160</v>
      </c>
      <c r="B7" s="11">
        <f>'Mastercurve bestimmen'!N124</f>
        <v>37.589552112143352</v>
      </c>
      <c r="M7" s="54">
        <v>7</v>
      </c>
      <c r="N7" s="56">
        <f t="shared" si="0"/>
        <v>7.8817220331992018E-14</v>
      </c>
      <c r="O7" s="11"/>
      <c r="P7" s="55">
        <v>7</v>
      </c>
      <c r="Q7" s="11">
        <f t="shared" si="1"/>
        <v>8</v>
      </c>
    </row>
    <row r="8" spans="1:17" x14ac:dyDescent="0.25">
      <c r="A8" s="11"/>
      <c r="B8" s="11"/>
      <c r="M8" s="54">
        <v>8</v>
      </c>
      <c r="N8" s="56">
        <f t="shared" si="0"/>
        <v>-3.6765751907721196E-16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-25.324970495913306</v>
      </c>
      <c r="E15" s="11">
        <f>A15-'Mastercurve bestimmen'!$B$2</f>
        <v>-90</v>
      </c>
      <c r="F15" s="11">
        <f>B15</f>
        <v>-25.324970495913306</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-25.048961849800175</v>
      </c>
      <c r="E16" s="11">
        <f>A16-'Mastercurve bestimmen'!$B$2</f>
        <v>-89</v>
      </c>
      <c r="F16" s="11">
        <f t="shared" ref="F16:F79" si="4">B16</f>
        <v>-25.048961849800175</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-24.772685733212739</v>
      </c>
      <c r="E17" s="11">
        <f>A17-'Mastercurve bestimmen'!$B$2</f>
        <v>-88</v>
      </c>
      <c r="F17" s="11">
        <f t="shared" si="4"/>
        <v>-24.772685733212739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-24.495874675676696</v>
      </c>
      <c r="E18" s="11">
        <f>A18-'Mastercurve bestimmen'!$B$2</f>
        <v>-87</v>
      </c>
      <c r="F18" s="11">
        <f t="shared" si="4"/>
        <v>-24.495874675676696</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-24.218261206717724</v>
      </c>
      <c r="E19" s="11">
        <f>A19-'Mastercurve bestimmen'!$B$2</f>
        <v>-86</v>
      </c>
      <c r="F19" s="11">
        <f t="shared" si="4"/>
        <v>-24.218261206717724</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-23.939577855861529</v>
      </c>
      <c r="E20" s="11">
        <f>A20-'Mastercurve bestimmen'!$B$2</f>
        <v>-85</v>
      </c>
      <c r="F20" s="11">
        <f t="shared" si="4"/>
        <v>-23.939577855861529</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-23.659557152633795</v>
      </c>
      <c r="E21" s="11">
        <f>A21-'Mastercurve bestimmen'!$B$2</f>
        <v>-84</v>
      </c>
      <c r="F21" s="11">
        <f t="shared" si="4"/>
        <v>-23.659557152633795</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-23.377931626560223</v>
      </c>
      <c r="E22" s="11">
        <f>A22-'Mastercurve bestimmen'!$B$2</f>
        <v>-83</v>
      </c>
      <c r="F22" s="11">
        <f t="shared" si="4"/>
        <v>-23.377931626560223</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-23.094433807166507</v>
      </c>
      <c r="E23" s="11">
        <f>A23-'Mastercurve bestimmen'!$B$2</f>
        <v>-82</v>
      </c>
      <c r="F23" s="11">
        <f t="shared" si="4"/>
        <v>-23.094433807166507</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-22.80879622397833</v>
      </c>
      <c r="E24" s="11">
        <f>A24-'Mastercurve bestimmen'!$B$2</f>
        <v>-81</v>
      </c>
      <c r="F24" s="11">
        <f t="shared" si="4"/>
        <v>-22.80879622397833</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-22.520751406521395</v>
      </c>
      <c r="E25" s="11">
        <f>A25-'Mastercurve bestimmen'!$B$2</f>
        <v>-80</v>
      </c>
      <c r="F25" s="11">
        <f t="shared" si="4"/>
        <v>-22.520751406521395</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-22.230031884321384</v>
      </c>
      <c r="E26" s="11">
        <f>A26-'Mastercurve bestimmen'!$B$2</f>
        <v>-79</v>
      </c>
      <c r="F26" s="11">
        <f t="shared" si="4"/>
        <v>-22.230031884321384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-21.936370186904004</v>
      </c>
      <c r="E27" s="11">
        <f>A27-'Mastercurve bestimmen'!$B$2</f>
        <v>-78</v>
      </c>
      <c r="F27" s="11">
        <f t="shared" si="4"/>
        <v>-21.936370186904004</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-21.639498843794939</v>
      </c>
      <c r="E28" s="11">
        <f>A28-'Mastercurve bestimmen'!$B$2</f>
        <v>-77</v>
      </c>
      <c r="F28" s="11">
        <f t="shared" si="4"/>
        <v>-21.639498843794939</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-21.339150384519886</v>
      </c>
      <c r="E29" s="11">
        <f>A29-'Mastercurve bestimmen'!$B$2</f>
        <v>-76</v>
      </c>
      <c r="F29" s="11">
        <f t="shared" si="4"/>
        <v>-21.339150384519886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-21.035057338604538</v>
      </c>
      <c r="E30" s="11">
        <f>A30-'Mastercurve bestimmen'!$B$2</f>
        <v>-75</v>
      </c>
      <c r="F30" s="11">
        <f t="shared" si="4"/>
        <v>-21.035057338604538</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-20.726952235574586</v>
      </c>
      <c r="E31" s="11">
        <f>A31-'Mastercurve bestimmen'!$B$2</f>
        <v>-74</v>
      </c>
      <c r="F31" s="11">
        <f t="shared" si="4"/>
        <v>-20.726952235574586</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-20.414567604955725</v>
      </c>
      <c r="E32" s="11">
        <f>A32-'Mastercurve bestimmen'!$B$2</f>
        <v>-73</v>
      </c>
      <c r="F32" s="11">
        <f t="shared" si="4"/>
        <v>-20.414567604955725</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-20.097635976273644</v>
      </c>
      <c r="E33" s="11">
        <f>A33-'Mastercurve bestimmen'!$B$2</f>
        <v>-72</v>
      </c>
      <c r="F33" s="11">
        <f t="shared" si="4"/>
        <v>-20.097635976273644</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-19.775889879054041</v>
      </c>
      <c r="E34" s="11">
        <f>A34-'Mastercurve bestimmen'!$B$2</f>
        <v>-71</v>
      </c>
      <c r="F34" s="11">
        <f t="shared" si="4"/>
        <v>-19.775889879054041</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-19.449061842822609</v>
      </c>
      <c r="E35" s="11">
        <f>A35-'Mastercurve bestimmen'!$B$2</f>
        <v>-70</v>
      </c>
      <c r="F35" s="11">
        <f t="shared" si="4"/>
        <v>-19.449061842822609</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-19.116884397105036</v>
      </c>
      <c r="E36" s="11">
        <f>A36-'Mastercurve bestimmen'!$B$2</f>
        <v>-69</v>
      </c>
      <c r="F36" s="11">
        <f t="shared" si="4"/>
        <v>-19.116884397105036</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-18.779090071427021</v>
      </c>
      <c r="E37" s="11">
        <f>A37-'Mastercurve bestimmen'!$B$2</f>
        <v>-68</v>
      </c>
      <c r="F37" s="11">
        <f t="shared" si="4"/>
        <v>-18.779090071427021</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-18.435411395314254</v>
      </c>
      <c r="E38" s="11">
        <f>A38-'Mastercurve bestimmen'!$B$2</f>
        <v>-67</v>
      </c>
      <c r="F38" s="11">
        <f t="shared" si="4"/>
        <v>-18.435411395314254</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-18.085580898292427</v>
      </c>
      <c r="E39" s="11">
        <f>A39-'Mastercurve bestimmen'!$B$2</f>
        <v>-66</v>
      </c>
      <c r="F39" s="11">
        <f t="shared" si="4"/>
        <v>-18.085580898292427</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-17.729331109887241</v>
      </c>
      <c r="E40" s="11">
        <f>A40-'Mastercurve bestimmen'!$B$2</f>
        <v>-65</v>
      </c>
      <c r="F40" s="11">
        <f t="shared" si="4"/>
        <v>-17.729331109887241</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-17.366394559624375</v>
      </c>
      <c r="E41" s="11">
        <f>A41-'Mastercurve bestimmen'!$B$2</f>
        <v>-64</v>
      </c>
      <c r="F41" s="11">
        <f t="shared" si="4"/>
        <v>-17.366394559624375</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-16.996503777029538</v>
      </c>
      <c r="E42" s="11">
        <f>A42-'Mastercurve bestimmen'!$B$2</f>
        <v>-63</v>
      </c>
      <c r="F42" s="11">
        <f t="shared" si="4"/>
        <v>-16.996503777029538</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-16.619391291628411</v>
      </c>
      <c r="E43" s="11">
        <f>A43-'Mastercurve bestimmen'!$B$2</f>
        <v>-62</v>
      </c>
      <c r="F43" s="11">
        <f t="shared" si="4"/>
        <v>-16.619391291628411</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-16.234789632946693</v>
      </c>
      <c r="E44" s="11">
        <f>A44-'Mastercurve bestimmen'!$B$2</f>
        <v>-61</v>
      </c>
      <c r="F44" s="11">
        <f t="shared" si="4"/>
        <v>-16.234789632946693</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-15.842431330510077</v>
      </c>
      <c r="E45" s="11">
        <f>A45-'Mastercurve bestimmen'!$B$2</f>
        <v>-60</v>
      </c>
      <c r="F45" s="11">
        <f t="shared" si="4"/>
        <v>-15.842431330510077</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-15.442048913844253</v>
      </c>
      <c r="E46" s="11">
        <f>A46-'Mastercurve bestimmen'!$B$2</f>
        <v>-59</v>
      </c>
      <c r="F46" s="11">
        <f t="shared" si="4"/>
        <v>-15.442048913844253</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-15.033374912474915</v>
      </c>
      <c r="E47" s="11">
        <f>A47-'Mastercurve bestimmen'!$B$2</f>
        <v>-58</v>
      </c>
      <c r="F47" s="11">
        <f t="shared" si="4"/>
        <v>-15.033374912474915</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-14.616141855927758</v>
      </c>
      <c r="E48" s="11">
        <f>A48-'Mastercurve bestimmen'!$B$2</f>
        <v>-57</v>
      </c>
      <c r="F48" s="11">
        <f t="shared" si="4"/>
        <v>-14.616141855927758</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-14.190082273728475</v>
      </c>
      <c r="E49" s="11">
        <f>A49-'Mastercurve bestimmen'!$B$2</f>
        <v>-56</v>
      </c>
      <c r="F49" s="11">
        <f t="shared" si="4"/>
        <v>-14.190082273728475</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-13.754928695402757</v>
      </c>
      <c r="E50" s="11">
        <f>A50-'Mastercurve bestimmen'!$B$2</f>
        <v>-55</v>
      </c>
      <c r="F50" s="11">
        <f t="shared" si="4"/>
        <v>-13.754928695402757</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-13.310413650476299</v>
      </c>
      <c r="E51" s="11">
        <f>A51-'Mastercurve bestimmen'!$B$2</f>
        <v>-54</v>
      </c>
      <c r="F51" s="11">
        <f t="shared" si="4"/>
        <v>-13.310413650476299</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-12.856269668474795</v>
      </c>
      <c r="E52" s="11">
        <f>A52-'Mastercurve bestimmen'!$B$2</f>
        <v>-53</v>
      </c>
      <c r="F52" s="11">
        <f t="shared" si="4"/>
        <v>-12.856269668474795</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-12.392229278923935</v>
      </c>
      <c r="E53" s="11">
        <f>A53-'Mastercurve bestimmen'!$B$2</f>
        <v>-52</v>
      </c>
      <c r="F53" s="11">
        <f t="shared" si="4"/>
        <v>-12.392229278923935</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-11.918025011349414</v>
      </c>
      <c r="E54" s="11">
        <f>A54-'Mastercurve bestimmen'!$B$2</f>
        <v>-51</v>
      </c>
      <c r="F54" s="11">
        <f t="shared" si="4"/>
        <v>-11.918025011349414</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-11.433389395276924</v>
      </c>
      <c r="E55" s="11">
        <f>A55-'Mastercurve bestimmen'!$B$2</f>
        <v>-50</v>
      </c>
      <c r="F55" s="11">
        <f t="shared" si="4"/>
        <v>-11.433389395276924</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-11.232108434355322</v>
      </c>
      <c r="E56" s="11">
        <f>A56-'Mastercurve bestimmen'!$B$2</f>
        <v>-49</v>
      </c>
      <c r="F56" s="11">
        <f t="shared" si="4"/>
        <v>-11.232108434355322</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-11.020816929151636</v>
      </c>
      <c r="E57" s="11">
        <f>A57-'Mastercurve bestimmen'!$B$2</f>
        <v>-48</v>
      </c>
      <c r="F57" s="11">
        <f t="shared" si="4"/>
        <v>-11.020816929151636</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-10.800203154356055</v>
      </c>
      <c r="E58" s="11">
        <f>A58-'Mastercurve bestimmen'!$B$2</f>
        <v>-47</v>
      </c>
      <c r="F58" s="11">
        <f t="shared" si="4"/>
        <v>-10.800203154356055</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-10.570955384658772</v>
      </c>
      <c r="E59" s="11">
        <f>A59-'Mastercurve bestimmen'!$B$2</f>
        <v>-46</v>
      </c>
      <c r="F59" s="11">
        <f t="shared" si="4"/>
        <v>-10.570955384658772</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-10.333761894749971</v>
      </c>
      <c r="E60" s="11">
        <f>A60-'Mastercurve bestimmen'!$B$2</f>
        <v>-45</v>
      </c>
      <c r="F60" s="11">
        <f t="shared" si="4"/>
        <v>-10.333761894749971</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-10.089310959319853</v>
      </c>
      <c r="E61" s="11">
        <f>A61-'Mastercurve bestimmen'!$B$2</f>
        <v>-44</v>
      </c>
      <c r="F61" s="11">
        <f t="shared" si="4"/>
        <v>-10.089310959319853</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-9.8382908530586004</v>
      </c>
      <c r="E62" s="11">
        <f>A62-'Mastercurve bestimmen'!$B$2</f>
        <v>-43</v>
      </c>
      <c r="F62" s="11">
        <f t="shared" si="4"/>
        <v>-9.8382908530586004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-9.5813898506564072</v>
      </c>
      <c r="E63" s="11">
        <f>A63-'Mastercurve bestimmen'!$B$2</f>
        <v>-42</v>
      </c>
      <c r="F63" s="11">
        <f t="shared" si="4"/>
        <v>-9.5813898506564072</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-9.3192962268034627</v>
      </c>
      <c r="E64" s="11">
        <f>A64-'Mastercurve bestimmen'!$B$2</f>
        <v>-41</v>
      </c>
      <c r="F64" s="11">
        <f t="shared" si="4"/>
        <v>-9.3192962268034627</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-9.0526982561899558</v>
      </c>
      <c r="E65" s="11">
        <f>A65-'Mastercurve bestimmen'!$B$2</f>
        <v>-40</v>
      </c>
      <c r="F65" s="11">
        <f t="shared" si="4"/>
        <v>-9.0526982561899558</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-8.782284213506081</v>
      </c>
      <c r="E66" s="11">
        <f>A66-'Mastercurve bestimmen'!$B$2</f>
        <v>-39</v>
      </c>
      <c r="F66" s="11">
        <f t="shared" si="4"/>
        <v>-8.782284213506081</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-8.5087423734420238</v>
      </c>
      <c r="E67" s="11">
        <f>A67-'Mastercurve bestimmen'!$B$2</f>
        <v>-38</v>
      </c>
      <c r="F67" s="11">
        <f t="shared" si="4"/>
        <v>-8.5087423734420238</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-8.2327610106879803</v>
      </c>
      <c r="E68" s="11">
        <f>A68-'Mastercurve bestimmen'!$B$2</f>
        <v>-37</v>
      </c>
      <c r="F68" s="11">
        <f t="shared" si="4"/>
        <v>-8.2327610106879803</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-7.955028399934136</v>
      </c>
      <c r="E69" s="11">
        <f>A69-'Mastercurve bestimmen'!$B$2</f>
        <v>-36</v>
      </c>
      <c r="F69" s="11">
        <f t="shared" si="4"/>
        <v>-7.955028399934136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-7.6762328158706836</v>
      </c>
      <c r="E70" s="11">
        <f>A70-'Mastercurve bestimmen'!$B$2</f>
        <v>-35</v>
      </c>
      <c r="F70" s="11">
        <f t="shared" si="4"/>
        <v>-7.6762328158706836</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-7.3970625331878139</v>
      </c>
      <c r="E71" s="11">
        <f>A71-'Mastercurve bestimmen'!$B$2</f>
        <v>-34</v>
      </c>
      <c r="F71" s="11">
        <f t="shared" si="4"/>
        <v>-7.3970625331878139</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-7.118205826575716</v>
      </c>
      <c r="E72" s="11">
        <f>A72-'Mastercurve bestimmen'!$B$2</f>
        <v>-33</v>
      </c>
      <c r="F72" s="11">
        <f t="shared" si="4"/>
        <v>-7.118205826575716</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-6.8403509707245824</v>
      </c>
      <c r="E73" s="11">
        <f>A73-'Mastercurve bestimmen'!$B$2</f>
        <v>-32</v>
      </c>
      <c r="F73" s="11">
        <f t="shared" si="4"/>
        <v>-6.8403509707245824</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-6.5641862403246014</v>
      </c>
      <c r="E74" s="11">
        <f>A74-'Mastercurve bestimmen'!$B$2</f>
        <v>-31</v>
      </c>
      <c r="F74" s="11">
        <f t="shared" si="4"/>
        <v>-6.5641862403246014</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-6.2903999100659647</v>
      </c>
      <c r="E75" s="11">
        <f>A75-'Mastercurve bestimmen'!$B$2</f>
        <v>-30</v>
      </c>
      <c r="F75" s="11">
        <f t="shared" si="4"/>
        <v>-6.2903999100659647</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-6.0196802546388621</v>
      </c>
      <c r="E76" s="11">
        <f>A76-'Mastercurve bestimmen'!$B$2</f>
        <v>-29</v>
      </c>
      <c r="F76" s="11">
        <f t="shared" si="4"/>
        <v>-6.0196802546388621</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-5.7527155487334856</v>
      </c>
      <c r="E77" s="11">
        <f>A77-'Mastercurve bestimmen'!$B$2</f>
        <v>-28</v>
      </c>
      <c r="F77" s="11">
        <f t="shared" si="4"/>
        <v>-5.7527155487334856</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-5.4901940670400231</v>
      </c>
      <c r="E78" s="11">
        <f>A78-'Mastercurve bestimmen'!$B$2</f>
        <v>-27</v>
      </c>
      <c r="F78" s="11">
        <f t="shared" si="4"/>
        <v>-5.4901940670400231</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-5.2328040842486665</v>
      </c>
      <c r="E79" s="11">
        <f>A79-'Mastercurve bestimmen'!$B$2</f>
        <v>-26</v>
      </c>
      <c r="F79" s="11">
        <f t="shared" si="4"/>
        <v>-5.2328040842486665</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-4.9812338750496066</v>
      </c>
      <c r="E80" s="11">
        <f>A80-'Mastercurve bestimmen'!$B$2</f>
        <v>-25</v>
      </c>
      <c r="F80" s="11">
        <f t="shared" ref="F80:F143" si="10">B80</f>
        <v>-4.9812338750496066</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-4.7360055311870255</v>
      </c>
      <c r="E81" s="11">
        <f>A81-'Mastercurve bestimmen'!$B$2</f>
        <v>-24</v>
      </c>
      <c r="F81" s="11">
        <f t="shared" si="10"/>
        <v>-4.7360055311870255</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-4.4969764126210743</v>
      </c>
      <c r="E82" s="11">
        <f>A82-'Mastercurve bestimmen'!$B$2</f>
        <v>-23</v>
      </c>
      <c r="F82" s="11">
        <f t="shared" si="10"/>
        <v>-4.4969764126210743</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-4.2638376963658917</v>
      </c>
      <c r="E83" s="11">
        <f>A83-'Mastercurve bestimmen'!$B$2</f>
        <v>-22</v>
      </c>
      <c r="F83" s="11">
        <f t="shared" si="10"/>
        <v>-4.2638376963658917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-4.0362805594356237</v>
      </c>
      <c r="E84" s="11">
        <f>A84-'Mastercurve bestimmen'!$B$2</f>
        <v>-21</v>
      </c>
      <c r="F84" s="11">
        <f t="shared" si="10"/>
        <v>-4.0362805594356237</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-3.8139961788444086</v>
      </c>
      <c r="E85" s="11">
        <f>A85-'Mastercurve bestimmen'!$B$2</f>
        <v>-20</v>
      </c>
      <c r="F85" s="11">
        <f t="shared" si="10"/>
        <v>-3.8139961788444086</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-3.59667573160639</v>
      </c>
      <c r="E86" s="11">
        <f>A86-'Mastercurve bestimmen'!$B$2</f>
        <v>-19</v>
      </c>
      <c r="F86" s="11">
        <f t="shared" si="10"/>
        <v>-3.59667573160639</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-3.384010394735709</v>
      </c>
      <c r="E87" s="11">
        <f>A87-'Mastercurve bestimmen'!$B$2</f>
        <v>-18</v>
      </c>
      <c r="F87" s="11">
        <f t="shared" si="10"/>
        <v>-3.384010394735709</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-3.1756913452465083</v>
      </c>
      <c r="E88" s="11">
        <f>A88-'Mastercurve bestimmen'!$B$2</f>
        <v>-17</v>
      </c>
      <c r="F88" s="11">
        <f t="shared" si="10"/>
        <v>-3.1756913452465083</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-2.9714097601529295</v>
      </c>
      <c r="E89" s="11">
        <f>A89-'Mastercurve bestimmen'!$B$2</f>
        <v>-16</v>
      </c>
      <c r="F89" s="11">
        <f t="shared" si="10"/>
        <v>-2.9714097601529295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-2.7708568164691143</v>
      </c>
      <c r="E90" s="11">
        <f>A90-'Mastercurve bestimmen'!$B$2</f>
        <v>-15</v>
      </c>
      <c r="F90" s="11">
        <f t="shared" si="10"/>
        <v>-2.7708568164691143</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-2.5737236912092043</v>
      </c>
      <c r="E91" s="11">
        <f>A91-'Mastercurve bestimmen'!$B$2</f>
        <v>-14</v>
      </c>
      <c r="F91" s="11">
        <f t="shared" si="10"/>
        <v>-2.5737236912092043</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-2.3797015613873422</v>
      </c>
      <c r="E92" s="11">
        <f>A92-'Mastercurve bestimmen'!$B$2</f>
        <v>-13</v>
      </c>
      <c r="F92" s="11">
        <f t="shared" si="10"/>
        <v>-2.3797015613873422</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-2.1884816040176691</v>
      </c>
      <c r="E93" s="11">
        <f>A93-'Mastercurve bestimmen'!$B$2</f>
        <v>-12</v>
      </c>
      <c r="F93" s="11">
        <f t="shared" si="10"/>
        <v>-2.1884816040176691</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-1.9997549961143275</v>
      </c>
      <c r="E94" s="11">
        <f>A94-'Mastercurve bestimmen'!$B$2</f>
        <v>-11</v>
      </c>
      <c r="F94" s="11">
        <f t="shared" si="10"/>
        <v>-1.9997549961143275</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-1.8132129146914586</v>
      </c>
      <c r="E95" s="11">
        <f>A95-'Mastercurve bestimmen'!$B$2</f>
        <v>-10</v>
      </c>
      <c r="F95" s="11">
        <f t="shared" si="10"/>
        <v>-1.8132129146914586</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-1.6285465367632048</v>
      </c>
      <c r="E96" s="11">
        <f>A96-'Mastercurve bestimmen'!$B$2</f>
        <v>-9</v>
      </c>
      <c r="F96" s="11">
        <f t="shared" si="10"/>
        <v>-1.6285465367632048</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-1.4454470393437076</v>
      </c>
      <c r="E97" s="11">
        <f>A97-'Mastercurve bestimmen'!$B$2</f>
        <v>-8</v>
      </c>
      <c r="F97" s="11">
        <f t="shared" si="10"/>
        <v>-1.4454470393437076</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-1.2636055994471094</v>
      </c>
      <c r="E98" s="11">
        <f>A98-'Mastercurve bestimmen'!$B$2</f>
        <v>-7</v>
      </c>
      <c r="F98" s="11">
        <f t="shared" si="10"/>
        <v>-1.2636055994471094</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-1.0827133940875513</v>
      </c>
      <c r="E99" s="11">
        <f>A99-'Mastercurve bestimmen'!$B$2</f>
        <v>-6</v>
      </c>
      <c r="F99" s="11">
        <f t="shared" si="10"/>
        <v>-1.0827133940875513</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-0.90246160027917599</v>
      </c>
      <c r="E100" s="11">
        <f>A100-'Mastercurve bestimmen'!$B$2</f>
        <v>-5</v>
      </c>
      <c r="F100" s="11">
        <f t="shared" si="10"/>
        <v>-0.90246160027917599</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-0.72254139503612469</v>
      </c>
      <c r="E101" s="11">
        <f>A101-'Mastercurve bestimmen'!$B$2</f>
        <v>-4</v>
      </c>
      <c r="F101" s="11">
        <f t="shared" si="10"/>
        <v>-0.72254139503612469</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-0.54264395537253962</v>
      </c>
      <c r="E102" s="11">
        <f>A102-'Mastercurve bestimmen'!$B$2</f>
        <v>-3</v>
      </c>
      <c r="F102" s="11">
        <f t="shared" si="10"/>
        <v>-0.54264395537253962</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-0.36246045830256257</v>
      </c>
      <c r="E103" s="11">
        <f>A103-'Mastercurve bestimmen'!$B$2</f>
        <v>-2</v>
      </c>
      <c r="F103" s="11">
        <f t="shared" si="10"/>
        <v>-0.36246045830256257</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-0.18168208084033541</v>
      </c>
      <c r="E104" s="11">
        <f>A104-'Mastercurve bestimmen'!$B$2</f>
        <v>-1</v>
      </c>
      <c r="F104" s="11">
        <f t="shared" si="10"/>
        <v>-0.18168208084033541</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2.7755575615628914E-17</v>
      </c>
      <c r="E105" s="11">
        <f>A105-'Mastercurve bestimmen'!$B$2</f>
        <v>0</v>
      </c>
      <c r="F105" s="11">
        <f t="shared" si="10"/>
        <v>2.7755575615628914E-17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0.18286578095981401</v>
      </c>
      <c r="E106" s="11">
        <f>A106-'Mastercurve bestimmen'!$B$2</f>
        <v>1</v>
      </c>
      <c r="F106" s="11">
        <f t="shared" si="10"/>
        <v>0.18286578095981401</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0.36707995380252589</v>
      </c>
      <c r="E107" s="11">
        <f>A107-'Mastercurve bestimmen'!$B$2</f>
        <v>2</v>
      </c>
      <c r="F107" s="11">
        <f t="shared" si="10"/>
        <v>0.36707995380252589</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0.55277838404706714</v>
      </c>
      <c r="E108" s="11">
        <f>A108-'Mastercurve bestimmen'!$B$2</f>
        <v>3</v>
      </c>
      <c r="F108" s="11">
        <f t="shared" si="10"/>
        <v>0.55277838404706714</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0.74009693721236935</v>
      </c>
      <c r="E109" s="11">
        <f>A109-'Mastercurve bestimmen'!$B$2</f>
        <v>4</v>
      </c>
      <c r="F109" s="11">
        <f t="shared" si="10"/>
        <v>0.74009693721236935</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0.92917147881736395</v>
      </c>
      <c r="E110" s="11">
        <f>A110-'Mastercurve bestimmen'!$B$2</f>
        <v>5</v>
      </c>
      <c r="F110" s="11">
        <f t="shared" si="10"/>
        <v>0.92917147881736395</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1.1201378743809824</v>
      </c>
      <c r="E111" s="11">
        <f>A111-'Mastercurve bestimmen'!$B$2</f>
        <v>6</v>
      </c>
      <c r="F111" s="11">
        <f t="shared" si="10"/>
        <v>1.1201378743809824</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1.3131319894221565</v>
      </c>
      <c r="E112" s="11">
        <f>A112-'Mastercurve bestimmen'!$B$2</f>
        <v>7</v>
      </c>
      <c r="F112" s="11">
        <f t="shared" si="10"/>
        <v>1.3131319894221565</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1.5082896894598172</v>
      </c>
      <c r="E113" s="11">
        <f>A113-'Mastercurve bestimmen'!$B$2</f>
        <v>8</v>
      </c>
      <c r="F113" s="11">
        <f t="shared" si="10"/>
        <v>1.5082896894598172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1.7057468400128966</v>
      </c>
      <c r="E114" s="11">
        <f>A114-'Mastercurve bestimmen'!$B$2</f>
        <v>9</v>
      </c>
      <c r="F114" s="11">
        <f t="shared" si="10"/>
        <v>1.7057468400128966</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1.9056393066003259</v>
      </c>
      <c r="E115" s="11">
        <f>A115-'Mastercurve bestimmen'!$B$2</f>
        <v>10</v>
      </c>
      <c r="F115" s="11">
        <f t="shared" si="10"/>
        <v>1.9056393066003259</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2.108102954741037</v>
      </c>
      <c r="E116" s="11">
        <f>A116-'Mastercurve bestimmen'!$B$2</f>
        <v>11</v>
      </c>
      <c r="F116" s="11">
        <f t="shared" si="10"/>
        <v>2.108102954741037</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2.3132736499539606</v>
      </c>
      <c r="E117" s="11">
        <f>A117-'Mastercurve bestimmen'!$B$2</f>
        <v>12</v>
      </c>
      <c r="F117" s="11">
        <f t="shared" si="10"/>
        <v>2.3132736499539606</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2.5212872577580288</v>
      </c>
      <c r="E118" s="11">
        <f>A118-'Mastercurve bestimmen'!$B$2</f>
        <v>13</v>
      </c>
      <c r="F118" s="11">
        <f t="shared" si="10"/>
        <v>2.5212872577580288</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2.7322796436721735</v>
      </c>
      <c r="E119" s="11">
        <f>A119-'Mastercurve bestimmen'!$B$2</f>
        <v>14</v>
      </c>
      <c r="F119" s="11">
        <f t="shared" si="10"/>
        <v>2.7322796436721735</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2.9463866732153248</v>
      </c>
      <c r="E120" s="11">
        <f>A120-'Mastercurve bestimmen'!$B$2</f>
        <v>15</v>
      </c>
      <c r="F120" s="11">
        <f t="shared" si="10"/>
        <v>2.9463866732153248</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3.1637442119064159</v>
      </c>
      <c r="E121" s="11">
        <f>A121-'Mastercurve bestimmen'!$B$2</f>
        <v>16</v>
      </c>
      <c r="F121" s="11">
        <f t="shared" si="10"/>
        <v>3.1637442119064159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3.3844881252643773</v>
      </c>
      <c r="E122" s="11">
        <f>A122-'Mastercurve bestimmen'!$B$2</f>
        <v>17</v>
      </c>
      <c r="F122" s="11">
        <f t="shared" si="10"/>
        <v>3.3844881252643773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3.6087542788081408</v>
      </c>
      <c r="E123" s="11">
        <f>A123-'Mastercurve bestimmen'!$B$2</f>
        <v>18</v>
      </c>
      <c r="F123" s="11">
        <f t="shared" si="10"/>
        <v>3.6087542788081408</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3.8366785380566379</v>
      </c>
      <c r="E124" s="11">
        <f>A124-'Mastercurve bestimmen'!$B$2</f>
        <v>19</v>
      </c>
      <c r="F124" s="11">
        <f t="shared" si="10"/>
        <v>3.8366785380566379</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4.0683967685288005</v>
      </c>
      <c r="E125" s="11">
        <f>A125-'Mastercurve bestimmen'!$B$2</f>
        <v>20</v>
      </c>
      <c r="F125" s="11">
        <f t="shared" si="10"/>
        <v>4.0683967685288005</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4.304044835743559</v>
      </c>
      <c r="E126" s="11">
        <f>A126-'Mastercurve bestimmen'!$B$2</f>
        <v>21</v>
      </c>
      <c r="F126" s="11">
        <f t="shared" si="10"/>
        <v>4.304044835743559</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4.5437586052198462</v>
      </c>
      <c r="E127" s="11">
        <f>A127-'Mastercurve bestimmen'!$B$2</f>
        <v>22</v>
      </c>
      <c r="F127" s="11">
        <f t="shared" si="10"/>
        <v>4.5437586052198462</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4.7876739424765917</v>
      </c>
      <c r="E128" s="11">
        <f>A128-'Mastercurve bestimmen'!$B$2</f>
        <v>23</v>
      </c>
      <c r="F128" s="11">
        <f t="shared" si="10"/>
        <v>4.7876739424765917</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5.0359267130327297</v>
      </c>
      <c r="E129" s="11">
        <f>A129-'Mastercurve bestimmen'!$B$2</f>
        <v>24</v>
      </c>
      <c r="F129" s="11">
        <f t="shared" si="10"/>
        <v>5.0359267130327297</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5.2886527824071905</v>
      </c>
      <c r="E130" s="11">
        <f>A130-'Mastercurve bestimmen'!$B$2</f>
        <v>25</v>
      </c>
      <c r="F130" s="11">
        <f t="shared" si="10"/>
        <v>5.2886527824071905</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5.5459880161189048</v>
      </c>
      <c r="E131" s="11">
        <f>A131-'Mastercurve bestimmen'!$B$2</f>
        <v>26</v>
      </c>
      <c r="F131" s="11">
        <f t="shared" si="10"/>
        <v>5.5459880161189048</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5.8080682796868048</v>
      </c>
      <c r="E132" s="11">
        <f>A132-'Mastercurve bestimmen'!$B$2</f>
        <v>27</v>
      </c>
      <c r="F132" s="11">
        <f t="shared" si="10"/>
        <v>5.8080682796868048</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6.075029438629822</v>
      </c>
      <c r="E133" s="11">
        <f>A133-'Mastercurve bestimmen'!$B$2</f>
        <v>28</v>
      </c>
      <c r="F133" s="11">
        <f t="shared" si="10"/>
        <v>6.075029438629822</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6.3470073584668878</v>
      </c>
      <c r="E134" s="11">
        <f>A134-'Mastercurve bestimmen'!$B$2</f>
        <v>29</v>
      </c>
      <c r="F134" s="11">
        <f t="shared" si="10"/>
        <v>6.3470073584668878</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6.6241379047169335</v>
      </c>
      <c r="E135" s="11">
        <f>A135-'Mastercurve bestimmen'!$B$2</f>
        <v>30</v>
      </c>
      <c r="F135" s="11">
        <f t="shared" si="10"/>
        <v>6.6241379047169335</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6.9065167667664076</v>
      </c>
      <c r="E136" s="11">
        <f>A136-'Mastercurve bestimmen'!$B$2</f>
        <v>31</v>
      </c>
      <c r="F136" s="11">
        <f t="shared" si="10"/>
        <v>6.9065167667664076</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7.1940789294718179</v>
      </c>
      <c r="E137" s="11">
        <f>A137-'Mastercurve bestimmen'!$B$2</f>
        <v>32</v>
      </c>
      <c r="F137" s="11">
        <f t="shared" si="10"/>
        <v>7.1940789294718179</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7.4867192015571895</v>
      </c>
      <c r="E138" s="11">
        <f>A138-'Mastercurve bestimmen'!$B$2</f>
        <v>33</v>
      </c>
      <c r="F138" s="11">
        <f t="shared" si="10"/>
        <v>7.4867192015571895</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7.7843323917465472</v>
      </c>
      <c r="E139" s="11">
        <f>A139-'Mastercurve bestimmen'!$B$2</f>
        <v>34</v>
      </c>
      <c r="F139" s="11">
        <f t="shared" si="10"/>
        <v>7.7843323917465472</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8.0868133087639151</v>
      </c>
      <c r="E140" s="11">
        <f>A140-'Mastercurve bestimmen'!$B$2</f>
        <v>35</v>
      </c>
      <c r="F140" s="11">
        <f t="shared" si="10"/>
        <v>8.0868133087639151</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8.3940567613333208</v>
      </c>
      <c r="E141" s="11">
        <f>A141-'Mastercurve bestimmen'!$B$2</f>
        <v>36</v>
      </c>
      <c r="F141" s="11">
        <f t="shared" si="10"/>
        <v>8.3940567613333208</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8.7059575581787847</v>
      </c>
      <c r="E142" s="11">
        <f>A142-'Mastercurve bestimmen'!$B$2</f>
        <v>37</v>
      </c>
      <c r="F142" s="11">
        <f t="shared" si="10"/>
        <v>8.7059575581787847</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9.0224105080243362</v>
      </c>
      <c r="E143" s="11">
        <f>A143-'Mastercurve bestimmen'!$B$2</f>
        <v>38</v>
      </c>
      <c r="F143" s="11">
        <f t="shared" si="10"/>
        <v>9.0224105080243362</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9.3433104195939976</v>
      </c>
      <c r="E144" s="11">
        <f>A144-'Mastercurve bestimmen'!$B$2</f>
        <v>39</v>
      </c>
      <c r="F144" s="11">
        <f t="shared" ref="F144:F207" si="15">B144</f>
        <v>9.3433104195939976</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9.6685521016117928</v>
      </c>
      <c r="E145" s="11">
        <f>A145-'Mastercurve bestimmen'!$B$2</f>
        <v>40</v>
      </c>
      <c r="F145" s="11">
        <f t="shared" si="15"/>
        <v>9.6685521016117928</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9.9980303628017495</v>
      </c>
      <c r="E146" s="11">
        <f>A146-'Mastercurve bestimmen'!$B$2</f>
        <v>41</v>
      </c>
      <c r="F146" s="11">
        <f t="shared" si="15"/>
        <v>9.9980303628017495</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10.331640011887892</v>
      </c>
      <c r="E147" s="11">
        <f>A147-'Mastercurve bestimmen'!$B$2</f>
        <v>42</v>
      </c>
      <c r="F147" s="11">
        <f t="shared" si="15"/>
        <v>10.331640011887892</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10.66927585759424</v>
      </c>
      <c r="E148" s="11">
        <f>A148-'Mastercurve bestimmen'!$B$2</f>
        <v>43</v>
      </c>
      <c r="F148" s="11">
        <f t="shared" si="15"/>
        <v>10.66927585759424</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11.010832708644827</v>
      </c>
      <c r="E149" s="11">
        <f>A149-'Mastercurve bestimmen'!$B$2</f>
        <v>44</v>
      </c>
      <c r="F149" s="11">
        <f t="shared" si="15"/>
        <v>11.010832708644827</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11.356205373763672</v>
      </c>
      <c r="E150" s="11">
        <f>A150-'Mastercurve bestimmen'!$B$2</f>
        <v>45</v>
      </c>
      <c r="F150" s="11">
        <f t="shared" si="15"/>
        <v>11.356205373763672</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11.7052886616748</v>
      </c>
      <c r="E151" s="11">
        <f>A151-'Mastercurve bestimmen'!$B$2</f>
        <v>46</v>
      </c>
      <c r="F151" s="11">
        <f t="shared" si="15"/>
        <v>11.7052886616748</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12.057977381102237</v>
      </c>
      <c r="E152" s="11">
        <f>A152-'Mastercurve bestimmen'!$B$2</f>
        <v>47</v>
      </c>
      <c r="F152" s="11">
        <f t="shared" si="15"/>
        <v>12.057977381102237</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12.414166340770009</v>
      </c>
      <c r="E153" s="11">
        <f>A153-'Mastercurve bestimmen'!$B$2</f>
        <v>48</v>
      </c>
      <c r="F153" s="11">
        <f t="shared" si="15"/>
        <v>12.414166340770009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12.773750349402139</v>
      </c>
      <c r="E154" s="11">
        <f>A154-'Mastercurve bestimmen'!$B$2</f>
        <v>49</v>
      </c>
      <c r="F154" s="11">
        <f t="shared" si="15"/>
        <v>12.773750349402139</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13.136624215722652</v>
      </c>
      <c r="E155" s="11">
        <f>A155-'Mastercurve bestimmen'!$B$2</f>
        <v>50</v>
      </c>
      <c r="F155" s="11">
        <f t="shared" si="15"/>
        <v>13.136624215722652</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13.502682748455575</v>
      </c>
      <c r="E156" s="11">
        <f>A156-'Mastercurve bestimmen'!$B$2</f>
        <v>51</v>
      </c>
      <c r="F156" s="11">
        <f t="shared" si="15"/>
        <v>13.502682748455575</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13.871820756324929</v>
      </c>
      <c r="E157" s="11">
        <f>A157-'Mastercurve bestimmen'!$B$2</f>
        <v>52</v>
      </c>
      <c r="F157" s="11">
        <f t="shared" si="15"/>
        <v>13.871820756324929</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14.243933048054743</v>
      </c>
      <c r="E158" s="11">
        <f>A158-'Mastercurve bestimmen'!$B$2</f>
        <v>53</v>
      </c>
      <c r="F158" s="11">
        <f t="shared" si="15"/>
        <v>14.243933048054743</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14.618914432369039</v>
      </c>
      <c r="E159" s="11">
        <f>A159-'Mastercurve bestimmen'!$B$2</f>
        <v>54</v>
      </c>
      <c r="F159" s="11">
        <f t="shared" si="15"/>
        <v>14.618914432369039</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14.996659717991841</v>
      </c>
      <c r="E160" s="11">
        <f>A160-'Mastercurve bestimmen'!$B$2</f>
        <v>55</v>
      </c>
      <c r="F160" s="11">
        <f t="shared" si="15"/>
        <v>14.996659717991841</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15.377063713647175</v>
      </c>
      <c r="E161" s="11">
        <f>A161-'Mastercurve bestimmen'!$B$2</f>
        <v>56</v>
      </c>
      <c r="F161" s="11">
        <f t="shared" si="15"/>
        <v>15.377063713647175</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15.760021228059069</v>
      </c>
      <c r="E162" s="11">
        <f>A162-'Mastercurve bestimmen'!$B$2</f>
        <v>57</v>
      </c>
      <c r="F162" s="11">
        <f t="shared" si="15"/>
        <v>15.760021228059069</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16.145427069951545</v>
      </c>
      <c r="E163" s="11">
        <f>A163-'Mastercurve bestimmen'!$B$2</f>
        <v>58</v>
      </c>
      <c r="F163" s="11">
        <f t="shared" si="15"/>
        <v>16.145427069951545</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16.533176048048627</v>
      </c>
      <c r="E164" s="11">
        <f>A164-'Mastercurve bestimmen'!$B$2</f>
        <v>59</v>
      </c>
      <c r="F164" s="11">
        <f t="shared" si="15"/>
        <v>16.533176048048627</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16.923162971074341</v>
      </c>
      <c r="E165" s="11">
        <f>A165-'Mastercurve bestimmen'!$B$2</f>
        <v>60</v>
      </c>
      <c r="F165" s="11">
        <f t="shared" si="15"/>
        <v>16.923162971074341</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17.31528264775271</v>
      </c>
      <c r="E166" s="11">
        <f>A166-'Mastercurve bestimmen'!$B$2</f>
        <v>61</v>
      </c>
      <c r="F166" s="11">
        <f t="shared" si="15"/>
        <v>17.31528264775271</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17.709429886807762</v>
      </c>
      <c r="E167" s="11">
        <f>A167-'Mastercurve bestimmen'!$B$2</f>
        <v>62</v>
      </c>
      <c r="F167" s="11">
        <f t="shared" si="15"/>
        <v>17.709429886807762</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18.105499496963517</v>
      </c>
      <c r="E168" s="11">
        <f>A168-'Mastercurve bestimmen'!$B$2</f>
        <v>63</v>
      </c>
      <c r="F168" s="11">
        <f t="shared" si="15"/>
        <v>18.105499496963517</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18.503386286944007</v>
      </c>
      <c r="E169" s="11">
        <f>A169-'Mastercurve bestimmen'!$B$2</f>
        <v>64</v>
      </c>
      <c r="F169" s="11">
        <f t="shared" si="15"/>
        <v>18.503386286944007</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18.902985065473253</v>
      </c>
      <c r="E170" s="11">
        <f>A170-'Mastercurve bestimmen'!$B$2</f>
        <v>65</v>
      </c>
      <c r="F170" s="11">
        <f t="shared" si="15"/>
        <v>18.902985065473253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19.304190641275277</v>
      </c>
      <c r="E171" s="11">
        <f>A171-'Mastercurve bestimmen'!$B$2</f>
        <v>66</v>
      </c>
      <c r="F171" s="11">
        <f t="shared" si="15"/>
        <v>19.304190641275277</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19.706897823074108</v>
      </c>
      <c r="E172" s="11">
        <f>A172-'Mastercurve bestimmen'!$B$2</f>
        <v>67</v>
      </c>
      <c r="F172" s="11">
        <f t="shared" si="15"/>
        <v>19.706897823074108</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20.111001419593769</v>
      </c>
      <c r="E173" s="11">
        <f>A173-'Mastercurve bestimmen'!$B$2</f>
        <v>68</v>
      </c>
      <c r="F173" s="11">
        <f t="shared" si="15"/>
        <v>20.111001419593769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20.516396239558286</v>
      </c>
      <c r="E174" s="11">
        <f>A174-'Mastercurve bestimmen'!$B$2</f>
        <v>69</v>
      </c>
      <c r="F174" s="11">
        <f t="shared" si="15"/>
        <v>20.516396239558286</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20.922977091691681</v>
      </c>
      <c r="E175" s="11">
        <f>A175-'Mastercurve bestimmen'!$B$2</f>
        <v>70</v>
      </c>
      <c r="F175" s="11">
        <f t="shared" si="15"/>
        <v>20.922977091691681</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21.330638784717987</v>
      </c>
      <c r="E176" s="11">
        <f>A176-'Mastercurve bestimmen'!$B$2</f>
        <v>71</v>
      </c>
      <c r="F176" s="11">
        <f t="shared" si="15"/>
        <v>21.330638784717987</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21.739276127361219</v>
      </c>
      <c r="E177" s="11">
        <f>A177-'Mastercurve bestimmen'!$B$2</f>
        <v>72</v>
      </c>
      <c r="F177" s="11">
        <f t="shared" si="15"/>
        <v>21.739276127361219</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22.148783928345402</v>
      </c>
      <c r="E178" s="11">
        <f>A178-'Mastercurve bestimmen'!$B$2</f>
        <v>73</v>
      </c>
      <c r="F178" s="11">
        <f t="shared" si="15"/>
        <v>22.148783928345402</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22.559056996394567</v>
      </c>
      <c r="E179" s="11">
        <f>A179-'Mastercurve bestimmen'!$B$2</f>
        <v>74</v>
      </c>
      <c r="F179" s="11">
        <f t="shared" si="15"/>
        <v>22.559056996394567</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22.969990140232735</v>
      </c>
      <c r="E180" s="11">
        <f>A180-'Mastercurve bestimmen'!$B$2</f>
        <v>75</v>
      </c>
      <c r="F180" s="11">
        <f t="shared" si="15"/>
        <v>22.969990140232735</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23.381493058156057</v>
      </c>
      <c r="E181" s="11">
        <f>A181-'Mastercurve bestimmen'!$B$2</f>
        <v>76</v>
      </c>
      <c r="F181" s="11">
        <f t="shared" si="15"/>
        <v>23.381493058156057</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23.793535006749181</v>
      </c>
      <c r="E182" s="11">
        <f>A182-'Mastercurve bestimmen'!$B$2</f>
        <v>77</v>
      </c>
      <c r="F182" s="11">
        <f t="shared" si="15"/>
        <v>23.793535006749181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24.206100132168871</v>
      </c>
      <c r="E183" s="11">
        <f>A183-'Mastercurve bestimmen'!$B$2</f>
        <v>78</v>
      </c>
      <c r="F183" s="11">
        <f t="shared" si="15"/>
        <v>24.206100132168871</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24.619172580571906</v>
      </c>
      <c r="E184" s="11">
        <f>A184-'Mastercurve bestimmen'!$B$2</f>
        <v>79</v>
      </c>
      <c r="F184" s="11">
        <f t="shared" si="15"/>
        <v>24.619172580571906</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25.03273649811505</v>
      </c>
      <c r="E185" s="11">
        <f>A185-'Mastercurve bestimmen'!$B$2</f>
        <v>80</v>
      </c>
      <c r="F185" s="11">
        <f t="shared" si="15"/>
        <v>25.03273649811505</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25.446776030955078</v>
      </c>
      <c r="E186" s="11">
        <f>A186-'Mastercurve bestimmen'!$B$2</f>
        <v>81</v>
      </c>
      <c r="F186" s="11">
        <f t="shared" si="15"/>
        <v>25.446776030955078</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25.861275325248751</v>
      </c>
      <c r="E187" s="11">
        <f>A187-'Mastercurve bestimmen'!$B$2</f>
        <v>82</v>
      </c>
      <c r="F187" s="11">
        <f t="shared" si="15"/>
        <v>25.861275325248751</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26.276218527152857</v>
      </c>
      <c r="E188" s="11">
        <f>A188-'Mastercurve bestimmen'!$B$2</f>
        <v>83</v>
      </c>
      <c r="F188" s="11">
        <f t="shared" si="15"/>
        <v>26.276218527152857</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26.691589782824153</v>
      </c>
      <c r="E189" s="11">
        <f>A189-'Mastercurve bestimmen'!$B$2</f>
        <v>84</v>
      </c>
      <c r="F189" s="11">
        <f t="shared" si="15"/>
        <v>26.691589782824153</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27.107373238419413</v>
      </c>
      <c r="E190" s="11">
        <f>A190-'Mastercurve bestimmen'!$B$2</f>
        <v>85</v>
      </c>
      <c r="F190" s="11">
        <f t="shared" si="15"/>
        <v>27.107373238419413</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27.523553040095408</v>
      </c>
      <c r="E191" s="11">
        <f>A191-'Mastercurve bestimmen'!$B$2</f>
        <v>86</v>
      </c>
      <c r="F191" s="11">
        <f t="shared" si="15"/>
        <v>27.523553040095408</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27.940113334008906</v>
      </c>
      <c r="E192" s="11">
        <f>A192-'Mastercurve bestimmen'!$B$2</f>
        <v>87</v>
      </c>
      <c r="F192" s="11">
        <f t="shared" si="15"/>
        <v>27.940113334008906</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28.357038266316685</v>
      </c>
      <c r="E193" s="11">
        <f>A193-'Mastercurve bestimmen'!$B$2</f>
        <v>88</v>
      </c>
      <c r="F193" s="11">
        <f t="shared" si="15"/>
        <v>28.357038266316685</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28.774311983175508</v>
      </c>
      <c r="E194" s="11">
        <f>A194-'Mastercurve bestimmen'!$B$2</f>
        <v>89</v>
      </c>
      <c r="F194" s="11">
        <f t="shared" si="15"/>
        <v>28.774311983175508</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29.191918630742151</v>
      </c>
      <c r="E195" s="11">
        <f>A195-'Mastercurve bestimmen'!$B$2</f>
        <v>90</v>
      </c>
      <c r="F195" s="11">
        <f t="shared" si="15"/>
        <v>29.191918630742151</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29.609842355173377</v>
      </c>
      <c r="E196" s="11">
        <f>A196-'Mastercurve bestimmen'!$B$2</f>
        <v>91</v>
      </c>
      <c r="F196" s="11">
        <f t="shared" si="15"/>
        <v>29.609842355173377</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30.028067302625967</v>
      </c>
      <c r="E197" s="11">
        <f>A197-'Mastercurve bestimmen'!$B$2</f>
        <v>92</v>
      </c>
      <c r="F197" s="11">
        <f t="shared" si="15"/>
        <v>30.028067302625967</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30.446577619256686</v>
      </c>
      <c r="E198" s="11">
        <f>A198-'Mastercurve bestimmen'!$B$2</f>
        <v>93</v>
      </c>
      <c r="F198" s="11">
        <f t="shared" si="15"/>
        <v>30.446577619256686</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30.865357451222302</v>
      </c>
      <c r="E199" s="11">
        <f>A199-'Mastercurve bestimmen'!$B$2</f>
        <v>94</v>
      </c>
      <c r="F199" s="11">
        <f t="shared" si="15"/>
        <v>30.865357451222302</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31.28439094467959</v>
      </c>
      <c r="E200" s="11">
        <f>A200-'Mastercurve bestimmen'!$B$2</f>
        <v>95</v>
      </c>
      <c r="F200" s="11">
        <f t="shared" si="15"/>
        <v>31.28439094467959</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31.703662245785317</v>
      </c>
      <c r="E201" s="11">
        <f>A201-'Mastercurve bestimmen'!$B$2</f>
        <v>96</v>
      </c>
      <c r="F201" s="11">
        <f t="shared" si="15"/>
        <v>31.703662245785317</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32.123155500696257</v>
      </c>
      <c r="E202" s="11">
        <f>A202-'Mastercurve bestimmen'!$B$2</f>
        <v>97</v>
      </c>
      <c r="F202" s="11">
        <f t="shared" si="15"/>
        <v>32.123155500696257</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32.542854855569182</v>
      </c>
      <c r="E203" s="11">
        <f>A203-'Mastercurve bestimmen'!$B$2</f>
        <v>98</v>
      </c>
      <c r="F203" s="11">
        <f t="shared" si="15"/>
        <v>32.542854855569182</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32.962744456560856</v>
      </c>
      <c r="E204" s="11">
        <f>A204-'Mastercurve bestimmen'!$B$2</f>
        <v>99</v>
      </c>
      <c r="F204" s="11">
        <f t="shared" si="15"/>
        <v>32.962744456560856</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33.382808449828055</v>
      </c>
      <c r="E205" s="11">
        <f>A205-'Mastercurve bestimmen'!$B$2</f>
        <v>100</v>
      </c>
      <c r="F205" s="11">
        <f t="shared" si="15"/>
        <v>33.382808449828055</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33.803030981527542</v>
      </c>
      <c r="E206" s="11">
        <f>A206-'Mastercurve bestimmen'!$B$2</f>
        <v>101</v>
      </c>
      <c r="F206" s="11">
        <f t="shared" si="15"/>
        <v>33.803030981527542</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34.223396197816101</v>
      </c>
      <c r="E207" s="11">
        <f>A207-'Mastercurve bestimmen'!$B$2</f>
        <v>102</v>
      </c>
      <c r="F207" s="11">
        <f t="shared" si="15"/>
        <v>34.223396197816101</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34.643888244850494</v>
      </c>
      <c r="E208" s="11">
        <f>A208-'Mastercurve bestimmen'!$B$2</f>
        <v>103</v>
      </c>
      <c r="F208" s="11">
        <f t="shared" ref="F208:F215" si="21">B208</f>
        <v>34.643888244850494</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35.064491268787492</v>
      </c>
      <c r="E209" s="11">
        <f>A209-'Mastercurve bestimmen'!$B$2</f>
        <v>104</v>
      </c>
      <c r="F209" s="11">
        <f t="shared" si="21"/>
        <v>35.064491268787492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35.485189415783871</v>
      </c>
      <c r="E210" s="11">
        <f>A210-'Mastercurve bestimmen'!$B$2</f>
        <v>105</v>
      </c>
      <c r="F210" s="11">
        <f t="shared" si="21"/>
        <v>35.485189415783871</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35.905966831996381</v>
      </c>
      <c r="E211" s="11">
        <f>A211-'Mastercurve bestimmen'!$B$2</f>
        <v>106</v>
      </c>
      <c r="F211" s="11">
        <f t="shared" si="21"/>
        <v>35.905966831996381</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36.326807663581825</v>
      </c>
      <c r="E212" s="11">
        <f>A212-'Mastercurve bestimmen'!$B$2</f>
        <v>107</v>
      </c>
      <c r="F212" s="11">
        <f t="shared" si="21"/>
        <v>36.326807663581825</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36.747696056696952</v>
      </c>
      <c r="E213" s="11">
        <f>A213-'Mastercurve bestimmen'!$B$2</f>
        <v>108</v>
      </c>
      <c r="F213" s="11">
        <f t="shared" si="21"/>
        <v>36.747696056696952</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37.168616157498533</v>
      </c>
      <c r="E214" s="11">
        <f>A214-'Mastercurve bestimmen'!$B$2</f>
        <v>109</v>
      </c>
      <c r="F214" s="11">
        <f t="shared" si="21"/>
        <v>37.168616157498533</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37.589552112143352</v>
      </c>
      <c r="E215" s="11">
        <f>A215-'Mastercurve bestimmen'!$B$2</f>
        <v>110</v>
      </c>
      <c r="F215" s="11">
        <f t="shared" si="21"/>
        <v>37.589552112143352</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0.18527445724939223</v>
      </c>
      <c r="J217" s="99">
        <v>3.7053178956305806E-4</v>
      </c>
      <c r="K217" s="99">
        <v>3.3879974635543962E-5</v>
      </c>
      <c r="L217" s="99">
        <v>-9.9122100525773756E-8</v>
      </c>
      <c r="M217" s="99">
        <v>-3.0437497871993927E-9</v>
      </c>
      <c r="N217" s="99">
        <v>1.3392922755143096E-11</v>
      </c>
      <c r="O217" s="99">
        <v>7.8817220331992018E-14</v>
      </c>
      <c r="P217" s="99">
        <v>-3.6765751907721196E-16</v>
      </c>
    </row>
    <row r="218" spans="1:16" x14ac:dyDescent="0.25">
      <c r="G218" s="11"/>
      <c r="H218" s="11">
        <v>0</v>
      </c>
      <c r="I218" s="11">
        <v>1.0761340554176074E-3</v>
      </c>
      <c r="J218" s="11">
        <v>2.4170061530858656E-5</v>
      </c>
      <c r="K218" s="3">
        <v>9.0389432481750823E-7</v>
      </c>
      <c r="L218" s="3">
        <v>1.3569908380645207E-8</v>
      </c>
      <c r="M218" s="3">
        <v>2.2069425210836822E-10</v>
      </c>
      <c r="N218" s="3">
        <v>2.5515860231531203E-12</v>
      </c>
      <c r="O218" s="11">
        <v>1.5982287693929892E-14</v>
      </c>
      <c r="P218" s="11">
        <v>1.613208017697805E-16</v>
      </c>
    </row>
    <row r="219" spans="1:16" x14ac:dyDescent="0.25">
      <c r="G219" s="11"/>
      <c r="H219" s="11">
        <v>0.99995460495868493</v>
      </c>
      <c r="I219" s="11">
        <v>0.12060207630984597</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-25.137158081310165</v>
      </c>
      <c r="G222">
        <f>F15</f>
        <v>-25.324970495913306</v>
      </c>
    </row>
    <row r="223" spans="1:16" x14ac:dyDescent="0.25">
      <c r="E223" s="11">
        <f t="shared" ref="E223:E286" si="25">E16</f>
        <v>-89</v>
      </c>
      <c r="F223" s="11">
        <f t="shared" ref="F223:F286" si="26">$H$217*0+E223*$I$217+E223^2*$J$217+E223^3*$K$217+E223^4*$L$217+E223^5*$M$217+E223^6*$N$217+E223^7*$O$217+E223^8*$P$217</f>
        <v>-24.938914490302157</v>
      </c>
      <c r="G223" s="11">
        <f t="shared" ref="G223:G286" si="27">F16</f>
        <v>-25.048961849800175</v>
      </c>
    </row>
    <row r="224" spans="1:16" x14ac:dyDescent="0.25">
      <c r="E224" s="11">
        <f t="shared" si="25"/>
        <v>-88</v>
      </c>
      <c r="F224" s="11">
        <f t="shared" si="26"/>
        <v>-24.728038178210216</v>
      </c>
      <c r="G224" s="11">
        <f t="shared" si="27"/>
        <v>-24.772685733212739</v>
      </c>
    </row>
    <row r="225" spans="5:7" x14ac:dyDescent="0.25">
      <c r="E225" s="11">
        <f t="shared" si="25"/>
        <v>-87</v>
      </c>
      <c r="F225" s="11">
        <f t="shared" si="26"/>
        <v>-24.504973441818407</v>
      </c>
      <c r="G225" s="11">
        <f t="shared" si="27"/>
        <v>-24.495874675676696</v>
      </c>
    </row>
    <row r="226" spans="5:7" x14ac:dyDescent="0.25">
      <c r="E226" s="11">
        <f t="shared" si="25"/>
        <v>-86</v>
      </c>
      <c r="F226" s="11">
        <f t="shared" si="26"/>
        <v>-24.270179650216804</v>
      </c>
      <c r="G226" s="11">
        <f t="shared" si="27"/>
        <v>-24.218261206717724</v>
      </c>
    </row>
    <row r="227" spans="5:7" x14ac:dyDescent="0.25">
      <c r="E227" s="11">
        <f t="shared" si="25"/>
        <v>-85</v>
      </c>
      <c r="F227" s="11">
        <f t="shared" si="26"/>
        <v>-24.024129277624748</v>
      </c>
      <c r="G227" s="11">
        <f t="shared" si="27"/>
        <v>-23.939577855861529</v>
      </c>
    </row>
    <row r="228" spans="5:7" x14ac:dyDescent="0.25">
      <c r="E228" s="11">
        <f t="shared" si="25"/>
        <v>-84</v>
      </c>
      <c r="F228" s="11">
        <f t="shared" si="26"/>
        <v>-23.767306017235768</v>
      </c>
      <c r="G228" s="11">
        <f t="shared" si="27"/>
        <v>-23.659557152633795</v>
      </c>
    </row>
    <row r="229" spans="5:7" x14ac:dyDescent="0.25">
      <c r="E229" s="11">
        <f t="shared" si="25"/>
        <v>-83</v>
      </c>
      <c r="F229" s="11">
        <f t="shared" si="26"/>
        <v>-23.500202974404917</v>
      </c>
      <c r="G229" s="11">
        <f t="shared" si="27"/>
        <v>-23.377931626560223</v>
      </c>
    </row>
    <row r="230" spans="5:7" x14ac:dyDescent="0.25">
      <c r="E230" s="11">
        <f t="shared" si="25"/>
        <v>-82</v>
      </c>
      <c r="F230" s="11">
        <f t="shared" si="26"/>
        <v>-23.223320937513741</v>
      </c>
      <c r="G230" s="11">
        <f t="shared" si="27"/>
        <v>-23.094433807166507</v>
      </c>
    </row>
    <row r="231" spans="5:7" x14ac:dyDescent="0.25">
      <c r="E231" s="11">
        <f t="shared" si="25"/>
        <v>-81</v>
      </c>
      <c r="F231" s="11">
        <f t="shared" si="26"/>
        <v>-22.937166724862951</v>
      </c>
      <c r="G231" s="11">
        <f t="shared" si="27"/>
        <v>-22.80879622397833</v>
      </c>
    </row>
    <row r="232" spans="5:7" x14ac:dyDescent="0.25">
      <c r="E232" s="11">
        <f t="shared" si="25"/>
        <v>-80</v>
      </c>
      <c r="F232" s="11">
        <f t="shared" si="26"/>
        <v>-22.642251605957835</v>
      </c>
      <c r="G232" s="11">
        <f t="shared" si="27"/>
        <v>-22.520751406521395</v>
      </c>
    </row>
    <row r="233" spans="5:7" x14ac:dyDescent="0.25">
      <c r="E233" s="11">
        <f t="shared" si="25"/>
        <v>-79</v>
      </c>
      <c r="F233" s="11">
        <f t="shared" si="26"/>
        <v>-22.33908979556616</v>
      </c>
      <c r="G233" s="11">
        <f t="shared" si="27"/>
        <v>-22.230031884321384</v>
      </c>
    </row>
    <row r="234" spans="5:7" x14ac:dyDescent="0.25">
      <c r="E234" s="11">
        <f t="shared" si="25"/>
        <v>-78</v>
      </c>
      <c r="F234" s="11">
        <f t="shared" si="26"/>
        <v>-22.028197018943242</v>
      </c>
      <c r="G234" s="11">
        <f t="shared" si="27"/>
        <v>-21.936370186904004</v>
      </c>
    </row>
    <row r="235" spans="5:7" x14ac:dyDescent="0.25">
      <c r="E235" s="11">
        <f t="shared" si="25"/>
        <v>-77</v>
      </c>
      <c r="F235" s="11">
        <f t="shared" si="26"/>
        <v>-21.710089146633528</v>
      </c>
      <c r="G235" s="11">
        <f t="shared" si="27"/>
        <v>-21.639498843794939</v>
      </c>
    </row>
    <row r="236" spans="5:7" x14ac:dyDescent="0.25">
      <c r="E236" s="11">
        <f t="shared" si="25"/>
        <v>-76</v>
      </c>
      <c r="F236" s="11">
        <f t="shared" si="26"/>
        <v>-21.38528089727296</v>
      </c>
      <c r="G236" s="11">
        <f t="shared" si="27"/>
        <v>-21.339150384519886</v>
      </c>
    </row>
    <row r="237" spans="5:7" x14ac:dyDescent="0.25">
      <c r="E237" s="11">
        <f t="shared" si="25"/>
        <v>-75</v>
      </c>
      <c r="F237" s="11">
        <f t="shared" si="26"/>
        <v>-21.054284606831278</v>
      </c>
      <c r="G237" s="11">
        <f t="shared" si="27"/>
        <v>-21.035057338604538</v>
      </c>
    </row>
    <row r="238" spans="5:7" x14ac:dyDescent="0.25">
      <c r="E238" s="11">
        <f t="shared" si="25"/>
        <v>-74</v>
      </c>
      <c r="F238" s="11">
        <f t="shared" si="26"/>
        <v>-20.717609062748085</v>
      </c>
      <c r="G238" s="11">
        <f t="shared" si="27"/>
        <v>-20.726952235574586</v>
      </c>
    </row>
    <row r="239" spans="5:7" x14ac:dyDescent="0.25">
      <c r="E239" s="11">
        <f t="shared" si="25"/>
        <v>-73</v>
      </c>
      <c r="F239" s="11">
        <f t="shared" si="26"/>
        <v>-20.375758401431423</v>
      </c>
      <c r="G239" s="11">
        <f t="shared" si="27"/>
        <v>-20.414567604955725</v>
      </c>
    </row>
    <row r="240" spans="5:7" x14ac:dyDescent="0.25">
      <c r="E240" s="11">
        <f t="shared" si="25"/>
        <v>-72</v>
      </c>
      <c r="F240" s="11">
        <f t="shared" si="26"/>
        <v>-20.029231067602449</v>
      </c>
      <c r="G240" s="11">
        <f t="shared" si="27"/>
        <v>-20.097635976273644</v>
      </c>
    </row>
    <row r="241" spans="5:7" x14ac:dyDescent="0.25">
      <c r="E241" s="11">
        <f t="shared" si="25"/>
        <v>-71</v>
      </c>
      <c r="F241" s="11">
        <f t="shared" si="26"/>
        <v>-19.678518833984551</v>
      </c>
      <c r="G241" s="11">
        <f t="shared" si="27"/>
        <v>-19.775889879054041</v>
      </c>
    </row>
    <row r="242" spans="5:7" x14ac:dyDescent="0.25">
      <c r="E242" s="11">
        <f t="shared" si="25"/>
        <v>-70</v>
      </c>
      <c r="F242" s="11">
        <f t="shared" si="26"/>
        <v>-19.324105879850109</v>
      </c>
      <c r="G242" s="11">
        <f t="shared" si="27"/>
        <v>-19.449061842822609</v>
      </c>
    </row>
    <row r="243" spans="5:7" x14ac:dyDescent="0.25">
      <c r="E243" s="11">
        <f t="shared" si="25"/>
        <v>-69</v>
      </c>
      <c r="F243" s="11">
        <f t="shared" si="26"/>
        <v>-18.966467926952927</v>
      </c>
      <c r="G243" s="11">
        <f t="shared" si="27"/>
        <v>-19.116884397105036</v>
      </c>
    </row>
    <row r="244" spans="5:7" x14ac:dyDescent="0.25">
      <c r="E244" s="11">
        <f t="shared" si="25"/>
        <v>-68</v>
      </c>
      <c r="F244" s="11">
        <f t="shared" si="26"/>
        <v>-18.606071431389214</v>
      </c>
      <c r="G244" s="11">
        <f t="shared" si="27"/>
        <v>-18.779090071427021</v>
      </c>
    </row>
    <row r="245" spans="5:7" x14ac:dyDescent="0.25">
      <c r="E245" s="11">
        <f t="shared" si="25"/>
        <v>-67</v>
      </c>
      <c r="F245" s="11">
        <f t="shared" si="26"/>
        <v>-18.243372829944736</v>
      </c>
      <c r="G245" s="11">
        <f t="shared" si="27"/>
        <v>-18.435411395314254</v>
      </c>
    </row>
    <row r="246" spans="5:7" x14ac:dyDescent="0.25">
      <c r="E246" s="11">
        <f t="shared" si="25"/>
        <v>-66</v>
      </c>
      <c r="F246" s="11">
        <f t="shared" si="26"/>
        <v>-17.87881783950068</v>
      </c>
      <c r="G246" s="11">
        <f t="shared" si="27"/>
        <v>-18.085580898292427</v>
      </c>
    </row>
    <row r="247" spans="5:7" x14ac:dyDescent="0.25">
      <c r="E247" s="11">
        <f t="shared" si="25"/>
        <v>-65</v>
      </c>
      <c r="F247" s="11">
        <f t="shared" si="26"/>
        <v>-17.512840808085532</v>
      </c>
      <c r="G247" s="11">
        <f t="shared" si="27"/>
        <v>-17.729331109887241</v>
      </c>
    </row>
    <row r="248" spans="5:7" x14ac:dyDescent="0.25">
      <c r="E248" s="11">
        <f t="shared" si="25"/>
        <v>-64</v>
      </c>
      <c r="F248" s="11">
        <f t="shared" si="26"/>
        <v>-17.145864116175073</v>
      </c>
      <c r="G248" s="11">
        <f t="shared" si="27"/>
        <v>-17.366394559624375</v>
      </c>
    </row>
    <row r="249" spans="5:7" x14ac:dyDescent="0.25">
      <c r="E249" s="11">
        <f t="shared" si="25"/>
        <v>-63</v>
      </c>
      <c r="F249" s="11">
        <f t="shared" si="26"/>
        <v>-16.778297626857587</v>
      </c>
      <c r="G249" s="11">
        <f t="shared" si="27"/>
        <v>-16.996503777029538</v>
      </c>
    </row>
    <row r="250" spans="5:7" x14ac:dyDescent="0.25">
      <c r="E250" s="11">
        <f t="shared" si="25"/>
        <v>-62</v>
      </c>
      <c r="F250" s="11">
        <f t="shared" si="26"/>
        <v>-16.410538183495891</v>
      </c>
      <c r="G250" s="11">
        <f t="shared" si="27"/>
        <v>-16.619391291628411</v>
      </c>
    </row>
    <row r="251" spans="5:7" x14ac:dyDescent="0.25">
      <c r="E251" s="11">
        <f t="shared" si="25"/>
        <v>-61</v>
      </c>
      <c r="F251" s="11">
        <f t="shared" si="26"/>
        <v>-16.042969153532994</v>
      </c>
      <c r="G251" s="11">
        <f t="shared" si="27"/>
        <v>-16.234789632946693</v>
      </c>
    </row>
    <row r="252" spans="5:7" x14ac:dyDescent="0.25">
      <c r="E252" s="11">
        <f t="shared" si="25"/>
        <v>-60</v>
      </c>
      <c r="F252" s="11">
        <f t="shared" si="26"/>
        <v>-15.675960017102652</v>
      </c>
      <c r="G252" s="11">
        <f t="shared" si="27"/>
        <v>-15.842431330510077</v>
      </c>
    </row>
    <row r="253" spans="5:7" x14ac:dyDescent="0.25">
      <c r="E253" s="11">
        <f t="shared" si="25"/>
        <v>-59</v>
      </c>
      <c r="F253" s="11">
        <f t="shared" si="26"/>
        <v>-15.309865999121202</v>
      </c>
      <c r="G253" s="11">
        <f t="shared" si="27"/>
        <v>-15.442048913844253</v>
      </c>
    </row>
    <row r="254" spans="5:7" x14ac:dyDescent="0.25">
      <c r="E254" s="11">
        <f t="shared" si="25"/>
        <v>-58</v>
      </c>
      <c r="F254" s="11">
        <f t="shared" si="26"/>
        <v>-14.945027743551755</v>
      </c>
      <c r="G254" s="11">
        <f t="shared" si="27"/>
        <v>-15.033374912474915</v>
      </c>
    </row>
    <row r="255" spans="5:7" x14ac:dyDescent="0.25">
      <c r="E255" s="11">
        <f t="shared" si="25"/>
        <v>-57</v>
      </c>
      <c r="F255" s="11">
        <f t="shared" si="26"/>
        <v>-14.581771028546548</v>
      </c>
      <c r="G255" s="11">
        <f t="shared" si="27"/>
        <v>-14.616141855927758</v>
      </c>
    </row>
    <row r="256" spans="5:7" x14ac:dyDescent="0.25">
      <c r="E256" s="11">
        <f t="shared" si="25"/>
        <v>-56</v>
      </c>
      <c r="F256" s="11">
        <f t="shared" si="26"/>
        <v>-14.220406521188362</v>
      </c>
      <c r="G256" s="11">
        <f t="shared" si="27"/>
        <v>-14.190082273728475</v>
      </c>
    </row>
    <row r="257" spans="5:7" x14ac:dyDescent="0.25">
      <c r="E257" s="11">
        <f t="shared" si="25"/>
        <v>-55</v>
      </c>
      <c r="F257" s="11">
        <f t="shared" si="26"/>
        <v>-13.861229570566429</v>
      </c>
      <c r="G257" s="11">
        <f t="shared" si="27"/>
        <v>-13.754928695402757</v>
      </c>
    </row>
    <row r="258" spans="5:7" x14ac:dyDescent="0.25">
      <c r="E258" s="11">
        <f t="shared" si="25"/>
        <v>-54</v>
      </c>
      <c r="F258" s="11">
        <f t="shared" si="26"/>
        <v>-13.504520037937258</v>
      </c>
      <c r="G258" s="11">
        <f t="shared" si="27"/>
        <v>-13.310413650476299</v>
      </c>
    </row>
    <row r="259" spans="5:7" x14ac:dyDescent="0.25">
      <c r="E259" s="11">
        <f t="shared" si="25"/>
        <v>-53</v>
      </c>
      <c r="F259" s="11">
        <f t="shared" si="26"/>
        <v>-13.15054216273559</v>
      </c>
      <c r="G259" s="11">
        <f t="shared" si="27"/>
        <v>-12.856269668474795</v>
      </c>
    </row>
    <row r="260" spans="5:7" x14ac:dyDescent="0.25">
      <c r="E260" s="11">
        <f t="shared" si="25"/>
        <v>-52</v>
      </c>
      <c r="F260" s="11">
        <f t="shared" si="26"/>
        <v>-12.799544463215568</v>
      </c>
      <c r="G260" s="11">
        <f t="shared" si="27"/>
        <v>-12.392229278923935</v>
      </c>
    </row>
    <row r="261" spans="5:7" x14ac:dyDescent="0.25">
      <c r="E261" s="11">
        <f t="shared" si="25"/>
        <v>-51</v>
      </c>
      <c r="F261" s="11">
        <f t="shared" si="26"/>
        <v>-12.451759670516852</v>
      </c>
      <c r="G261" s="11">
        <f t="shared" si="27"/>
        <v>-11.918025011349414</v>
      </c>
    </row>
    <row r="262" spans="5:7" x14ac:dyDescent="0.25">
      <c r="E262" s="11">
        <f t="shared" si="25"/>
        <v>-50</v>
      </c>
      <c r="F262" s="11">
        <f t="shared" si="26"/>
        <v>-12.107404694965448</v>
      </c>
      <c r="G262" s="11">
        <f t="shared" si="27"/>
        <v>-11.433389395276924</v>
      </c>
    </row>
    <row r="263" spans="5:7" x14ac:dyDescent="0.25">
      <c r="E263" s="11">
        <f t="shared" si="25"/>
        <v>-49</v>
      </c>
      <c r="F263" s="11">
        <f t="shared" si="26"/>
        <v>-11.766680623433786</v>
      </c>
      <c r="G263" s="11">
        <f t="shared" si="27"/>
        <v>-11.232108434355322</v>
      </c>
    </row>
    <row r="264" spans="5:7" x14ac:dyDescent="0.25">
      <c r="E264" s="11">
        <f t="shared" si="25"/>
        <v>-48</v>
      </c>
      <c r="F264" s="11">
        <f t="shared" si="26"/>
        <v>-11.429772746599255</v>
      </c>
      <c r="G264" s="11">
        <f t="shared" si="27"/>
        <v>-11.020816929151636</v>
      </c>
    </row>
    <row r="265" spans="5:7" x14ac:dyDescent="0.25">
      <c r="E265" s="11">
        <f t="shared" si="25"/>
        <v>-47</v>
      </c>
      <c r="F265" s="11">
        <f t="shared" si="26"/>
        <v>-11.096850614955496</v>
      </c>
      <c r="G265" s="11">
        <f t="shared" si="27"/>
        <v>-10.800203154356055</v>
      </c>
    </row>
    <row r="266" spans="5:7" x14ac:dyDescent="0.25">
      <c r="E266" s="11">
        <f t="shared" si="25"/>
        <v>-46</v>
      </c>
      <c r="F266" s="11">
        <f t="shared" si="26"/>
        <v>-10.768068122445255</v>
      </c>
      <c r="G266" s="11">
        <f t="shared" si="27"/>
        <v>-10.570955384658772</v>
      </c>
    </row>
    <row r="267" spans="5:7" x14ac:dyDescent="0.25">
      <c r="E267" s="11">
        <f t="shared" si="25"/>
        <v>-45</v>
      </c>
      <c r="F267" s="11">
        <f t="shared" si="26"/>
        <v>-10.443563616598791</v>
      </c>
      <c r="G267" s="11">
        <f t="shared" si="27"/>
        <v>-10.333761894749971</v>
      </c>
    </row>
    <row r="268" spans="5:7" x14ac:dyDescent="0.25">
      <c r="E268" s="11">
        <f t="shared" si="25"/>
        <v>-44</v>
      </c>
      <c r="F268" s="11">
        <f t="shared" si="26"/>
        <v>-10.123460034076288</v>
      </c>
      <c r="G268" s="11">
        <f t="shared" si="27"/>
        <v>-10.089310959319853</v>
      </c>
    </row>
    <row r="269" spans="5:7" x14ac:dyDescent="0.25">
      <c r="E269" s="11">
        <f t="shared" si="25"/>
        <v>-43</v>
      </c>
      <c r="F269" s="11">
        <f t="shared" si="26"/>
        <v>-9.8078650605278419</v>
      </c>
      <c r="G269" s="11">
        <f t="shared" si="27"/>
        <v>-9.8382908530586004</v>
      </c>
    </row>
    <row r="270" spans="5:7" x14ac:dyDescent="0.25">
      <c r="E270" s="11">
        <f t="shared" si="25"/>
        <v>-42</v>
      </c>
      <c r="F270" s="11">
        <f t="shared" si="26"/>
        <v>-9.4968713136992111</v>
      </c>
      <c r="G270" s="11">
        <f t="shared" si="27"/>
        <v>-9.5813898506564072</v>
      </c>
    </row>
    <row r="271" spans="5:7" x14ac:dyDescent="0.25">
      <c r="E271" s="11">
        <f t="shared" si="25"/>
        <v>-41</v>
      </c>
      <c r="F271" s="11">
        <f t="shared" si="26"/>
        <v>-9.1905565487264802</v>
      </c>
      <c r="G271" s="11">
        <f t="shared" si="27"/>
        <v>-9.3192962268034627</v>
      </c>
    </row>
    <row r="272" spans="5:7" x14ac:dyDescent="0.25">
      <c r="E272" s="11">
        <f t="shared" si="25"/>
        <v>-40</v>
      </c>
      <c r="F272" s="11">
        <f t="shared" si="26"/>
        <v>-8.8889838845775238</v>
      </c>
      <c r="G272" s="11">
        <f t="shared" si="27"/>
        <v>-9.0526982561899558</v>
      </c>
    </row>
    <row r="273" spans="5:7" x14ac:dyDescent="0.25">
      <c r="E273" s="11">
        <f t="shared" si="25"/>
        <v>-39</v>
      </c>
      <c r="F273" s="11">
        <f t="shared" si="26"/>
        <v>-8.5922020506130483</v>
      </c>
      <c r="G273" s="11">
        <f t="shared" si="27"/>
        <v>-8.782284213506081</v>
      </c>
    </row>
    <row r="274" spans="5:7" x14ac:dyDescent="0.25">
      <c r="E274" s="11">
        <f t="shared" si="25"/>
        <v>-38</v>
      </c>
      <c r="F274" s="11">
        <f t="shared" si="26"/>
        <v>-8.300245652254727</v>
      </c>
      <c r="G274" s="11">
        <f t="shared" si="27"/>
        <v>-8.5087423734420238</v>
      </c>
    </row>
    <row r="275" spans="5:7" x14ac:dyDescent="0.25">
      <c r="E275" s="11">
        <f t="shared" si="25"/>
        <v>-37</v>
      </c>
      <c r="F275" s="11">
        <f t="shared" si="26"/>
        <v>-8.0131354547628568</v>
      </c>
      <c r="G275" s="11">
        <f t="shared" si="27"/>
        <v>-8.2327610106879803</v>
      </c>
    </row>
    <row r="276" spans="5:7" x14ac:dyDescent="0.25">
      <c r="E276" s="11">
        <f t="shared" si="25"/>
        <v>-36</v>
      </c>
      <c r="F276" s="11">
        <f t="shared" si="26"/>
        <v>-7.7308786841407713</v>
      </c>
      <c r="G276" s="11">
        <f t="shared" si="27"/>
        <v>-7.955028399934136</v>
      </c>
    </row>
    <row r="277" spans="5:7" x14ac:dyDescent="0.25">
      <c r="E277" s="11">
        <f t="shared" si="25"/>
        <v>-35</v>
      </c>
      <c r="F277" s="11">
        <f t="shared" si="26"/>
        <v>-7.4534693441979858</v>
      </c>
      <c r="G277" s="11">
        <f t="shared" si="27"/>
        <v>-7.6762328158706836</v>
      </c>
    </row>
    <row r="278" spans="5:7" x14ac:dyDescent="0.25">
      <c r="E278" s="11">
        <f t="shared" si="25"/>
        <v>-34</v>
      </c>
      <c r="F278" s="11">
        <f t="shared" si="26"/>
        <v>-7.180888548818996</v>
      </c>
      <c r="G278" s="11">
        <f t="shared" si="27"/>
        <v>-7.3970625331878139</v>
      </c>
    </row>
    <row r="279" spans="5:7" x14ac:dyDescent="0.25">
      <c r="E279" s="11">
        <f t="shared" si="25"/>
        <v>-33</v>
      </c>
      <c r="F279" s="11">
        <f t="shared" si="26"/>
        <v>-6.913104868499385</v>
      </c>
      <c r="G279" s="11">
        <f t="shared" si="27"/>
        <v>-7.118205826575716</v>
      </c>
    </row>
    <row r="280" spans="5:7" x14ac:dyDescent="0.25">
      <c r="E280" s="11">
        <f t="shared" si="25"/>
        <v>-32</v>
      </c>
      <c r="F280" s="11">
        <f t="shared" si="26"/>
        <v>-6.6500746902257681</v>
      </c>
      <c r="G280" s="11">
        <f t="shared" si="27"/>
        <v>-6.8403509707245824</v>
      </c>
    </row>
    <row r="281" spans="5:7" x14ac:dyDescent="0.25">
      <c r="E281" s="11">
        <f t="shared" si="25"/>
        <v>-31</v>
      </c>
      <c r="F281" s="11">
        <f t="shared" si="26"/>
        <v>-6.3917425897908906</v>
      </c>
      <c r="G281" s="11">
        <f t="shared" si="27"/>
        <v>-6.5641862403246014</v>
      </c>
    </row>
    <row r="282" spans="5:7" x14ac:dyDescent="0.25">
      <c r="E282" s="11">
        <f t="shared" si="25"/>
        <v>-30</v>
      </c>
      <c r="F282" s="11">
        <f t="shared" si="26"/>
        <v>-6.1380417156500613</v>
      </c>
      <c r="G282" s="11">
        <f t="shared" si="27"/>
        <v>-6.2903999100659647</v>
      </c>
    </row>
    <row r="283" spans="5:7" x14ac:dyDescent="0.25">
      <c r="E283" s="11">
        <f t="shared" si="25"/>
        <v>-29</v>
      </c>
      <c r="F283" s="11">
        <f t="shared" si="26"/>
        <v>-5.8888941834398816</v>
      </c>
      <c r="G283" s="11">
        <f t="shared" si="27"/>
        <v>-6.0196802546388621</v>
      </c>
    </row>
    <row r="284" spans="5:7" x14ac:dyDescent="0.25">
      <c r="E284" s="11">
        <f t="shared" si="25"/>
        <v>-28</v>
      </c>
      <c r="F284" s="11">
        <f t="shared" si="26"/>
        <v>-5.6442114802950929</v>
      </c>
      <c r="G284" s="11">
        <f t="shared" si="27"/>
        <v>-5.7527155487334856</v>
      </c>
    </row>
    <row r="285" spans="5:7" x14ac:dyDescent="0.25">
      <c r="E285" s="11">
        <f t="shared" si="25"/>
        <v>-27</v>
      </c>
      <c r="F285" s="11">
        <f t="shared" si="26"/>
        <v>-5.4038948781141674</v>
      </c>
      <c r="G285" s="11">
        <f t="shared" si="27"/>
        <v>-5.4901940670400231</v>
      </c>
    </row>
    <row r="286" spans="5:7" x14ac:dyDescent="0.25">
      <c r="E286" s="11">
        <f t="shared" si="25"/>
        <v>-26</v>
      </c>
      <c r="F286" s="11">
        <f t="shared" si="26"/>
        <v>-5.1678358549390921</v>
      </c>
      <c r="G286" s="11">
        <f t="shared" si="27"/>
        <v>-5.2328040842486665</v>
      </c>
    </row>
    <row r="287" spans="5:7" x14ac:dyDescent="0.25">
      <c r="E287" s="11">
        <f t="shared" ref="E287:E350" si="28">E80</f>
        <v>-25</v>
      </c>
      <c r="F287" s="11">
        <f t="shared" ref="F287:F350" si="29">$H$217*0+E287*$I$217+E287^2*$J$217+E287^3*$K$217+E287^4*$L$217+E287^5*$M$217+E287^6*$N$217+E287^7*$O$217+E287^8*$P$217</f>
        <v>-4.9359165236296363</v>
      </c>
      <c r="G287" s="11">
        <f t="shared" ref="G287:G350" si="30">F80</f>
        <v>-4.9812338750496066</v>
      </c>
    </row>
    <row r="288" spans="5:7" x14ac:dyDescent="0.25">
      <c r="E288" s="11">
        <f t="shared" si="28"/>
        <v>-24</v>
      </c>
      <c r="F288" s="11">
        <f t="shared" si="29"/>
        <v>-4.7080100670271898</v>
      </c>
      <c r="G288" s="11">
        <f t="shared" si="30"/>
        <v>-4.7360055311870255</v>
      </c>
    </row>
    <row r="289" spans="5:7" x14ac:dyDescent="0.25">
      <c r="E289" s="11">
        <f t="shared" si="28"/>
        <v>-23</v>
      </c>
      <c r="F289" s="11">
        <f t="shared" si="29"/>
        <v>-4.483981178818115</v>
      </c>
      <c r="G289" s="11">
        <f t="shared" si="30"/>
        <v>-4.4969764126210743</v>
      </c>
    </row>
    <row r="290" spans="5:7" x14ac:dyDescent="0.25">
      <c r="E290" s="11">
        <f t="shared" si="28"/>
        <v>-22</v>
      </c>
      <c r="F290" s="11">
        <f t="shared" si="29"/>
        <v>-4.263686509321353</v>
      </c>
      <c r="G290" s="11">
        <f t="shared" si="30"/>
        <v>-4.2638376963658917</v>
      </c>
    </row>
    <row r="291" spans="5:7" x14ac:dyDescent="0.25">
      <c r="E291" s="11">
        <f t="shared" si="28"/>
        <v>-21</v>
      </c>
      <c r="F291" s="11">
        <f t="shared" si="29"/>
        <v>-4.0469751154398512</v>
      </c>
      <c r="G291" s="11">
        <f t="shared" si="30"/>
        <v>-4.0362805594356237</v>
      </c>
    </row>
    <row r="292" spans="5:7" x14ac:dyDescent="0.25">
      <c r="E292" s="11">
        <f t="shared" si="28"/>
        <v>-20</v>
      </c>
      <c r="F292" s="11">
        <f t="shared" si="29"/>
        <v>-3.8336889140302435</v>
      </c>
      <c r="G292" s="11">
        <f t="shared" si="30"/>
        <v>-3.8139961788444086</v>
      </c>
    </row>
    <row r="293" spans="5:7" x14ac:dyDescent="0.25">
      <c r="E293" s="11">
        <f t="shared" si="28"/>
        <v>-19</v>
      </c>
      <c r="F293" s="11">
        <f t="shared" si="29"/>
        <v>-3.6236631379599431</v>
      </c>
      <c r="G293" s="11">
        <f t="shared" si="30"/>
        <v>-3.59667573160639</v>
      </c>
    </row>
    <row r="294" spans="5:7" x14ac:dyDescent="0.25">
      <c r="E294" s="11">
        <f t="shared" si="28"/>
        <v>-18</v>
      </c>
      <c r="F294" s="11">
        <f t="shared" si="29"/>
        <v>-3.4167267941357733</v>
      </c>
      <c r="G294" s="11">
        <f t="shared" si="30"/>
        <v>-3.384010394735709</v>
      </c>
    </row>
    <row r="295" spans="5:7" x14ac:dyDescent="0.25">
      <c r="E295" s="11">
        <f t="shared" si="28"/>
        <v>-17</v>
      </c>
      <c r="F295" s="11">
        <f t="shared" si="29"/>
        <v>-3.2127031228029423</v>
      </c>
      <c r="G295" s="11">
        <f t="shared" si="30"/>
        <v>-3.1756913452465083</v>
      </c>
    </row>
    <row r="296" spans="5:7" x14ac:dyDescent="0.25">
      <c r="E296" s="11">
        <f t="shared" si="28"/>
        <v>-16</v>
      </c>
      <c r="F296" s="11">
        <f t="shared" si="29"/>
        <v>-3.0114100574280829</v>
      </c>
      <c r="G296" s="11">
        <f t="shared" si="30"/>
        <v>-2.9714097601529295</v>
      </c>
    </row>
    <row r="297" spans="5:7" x14ac:dyDescent="0.25">
      <c r="E297" s="11">
        <f t="shared" si="28"/>
        <v>-15</v>
      </c>
      <c r="F297" s="11">
        <f t="shared" si="29"/>
        <v>-2.8126606844948752</v>
      </c>
      <c r="G297" s="11">
        <f t="shared" si="30"/>
        <v>-2.7708568164691143</v>
      </c>
    </row>
    <row r="298" spans="5:7" x14ac:dyDescent="0.25">
      <c r="E298" s="11">
        <f t="shared" si="28"/>
        <v>-14</v>
      </c>
      <c r="F298" s="11">
        <f t="shared" si="29"/>
        <v>-2.6162637025555955</v>
      </c>
      <c r="G298" s="11">
        <f t="shared" si="30"/>
        <v>-2.5737236912092043</v>
      </c>
    </row>
    <row r="299" spans="5:7" x14ac:dyDescent="0.25">
      <c r="E299" s="11">
        <f t="shared" si="28"/>
        <v>-13</v>
      </c>
      <c r="F299" s="11">
        <f t="shared" si="29"/>
        <v>-2.4220238798967419</v>
      </c>
      <c r="G299" s="11">
        <f t="shared" si="30"/>
        <v>-2.3797015613873422</v>
      </c>
    </row>
    <row r="300" spans="5:7" x14ac:dyDescent="0.25">
      <c r="E300" s="11">
        <f t="shared" si="28"/>
        <v>-12</v>
      </c>
      <c r="F300" s="11">
        <f t="shared" si="29"/>
        <v>-2.2297425101917496</v>
      </c>
      <c r="G300" s="11">
        <f t="shared" si="30"/>
        <v>-2.1884816040176691</v>
      </c>
    </row>
    <row r="301" spans="5:7" x14ac:dyDescent="0.25">
      <c r="E301" s="11">
        <f t="shared" si="28"/>
        <v>-11</v>
      </c>
      <c r="F301" s="11">
        <f t="shared" si="29"/>
        <v>-2.0392178655285895</v>
      </c>
      <c r="G301" s="11">
        <f t="shared" si="30"/>
        <v>-1.9997549961143275</v>
      </c>
    </row>
    <row r="302" spans="5:7" x14ac:dyDescent="0.25">
      <c r="E302" s="11">
        <f t="shared" si="28"/>
        <v>-10</v>
      </c>
      <c r="F302" s="11">
        <f t="shared" si="29"/>
        <v>-1.8502456462148988</v>
      </c>
      <c r="G302" s="11">
        <f t="shared" si="30"/>
        <v>-1.8132129146914586</v>
      </c>
    </row>
    <row r="303" spans="5:7" x14ac:dyDescent="0.25">
      <c r="E303" s="11">
        <f t="shared" si="28"/>
        <v>-9</v>
      </c>
      <c r="F303" s="11">
        <f t="shared" si="29"/>
        <v>-1.6626194267781094</v>
      </c>
      <c r="G303" s="11">
        <f t="shared" si="30"/>
        <v>-1.6285465367632048</v>
      </c>
    </row>
    <row r="304" spans="5:7" x14ac:dyDescent="0.25">
      <c r="E304" s="11">
        <f t="shared" si="28"/>
        <v>-8</v>
      </c>
      <c r="F304" s="11">
        <f t="shared" si="29"/>
        <v>-1.4761310975928452</v>
      </c>
      <c r="G304" s="11">
        <f t="shared" si="30"/>
        <v>-1.4454470393437076</v>
      </c>
    </row>
    <row r="305" spans="5:7" x14ac:dyDescent="0.25">
      <c r="E305" s="11">
        <f t="shared" si="28"/>
        <v>-7</v>
      </c>
      <c r="F305" s="11">
        <f t="shared" si="29"/>
        <v>-1.2905713015827094</v>
      </c>
      <c r="G305" s="11">
        <f t="shared" si="30"/>
        <v>-1.2636055994471094</v>
      </c>
    </row>
    <row r="306" spans="5:7" x14ac:dyDescent="0.25">
      <c r="E306" s="11">
        <f t="shared" si="28"/>
        <v>-6</v>
      </c>
      <c r="F306" s="11">
        <f t="shared" si="29"/>
        <v>-1.1057298654583938</v>
      </c>
      <c r="G306" s="11">
        <f t="shared" si="30"/>
        <v>-1.0827133940875513</v>
      </c>
    </row>
    <row r="307" spans="5:7" x14ac:dyDescent="0.25">
      <c r="E307" s="11">
        <f t="shared" si="28"/>
        <v>-5</v>
      </c>
      <c r="F307" s="11">
        <f t="shared" si="29"/>
        <v>-0.92139622496886475</v>
      </c>
      <c r="G307" s="11">
        <f t="shared" si="30"/>
        <v>-0.90246160027917599</v>
      </c>
    </row>
    <row r="308" spans="5:7" x14ac:dyDescent="0.25">
      <c r="E308" s="11">
        <f t="shared" si="28"/>
        <v>-4</v>
      </c>
      <c r="F308" s="11">
        <f t="shared" si="29"/>
        <v>-0.73735984365721197</v>
      </c>
      <c r="G308" s="11">
        <f t="shared" si="30"/>
        <v>-0.72254139503612469</v>
      </c>
    </row>
    <row r="309" spans="5:7" x14ac:dyDescent="0.25">
      <c r="E309" s="11">
        <f t="shared" si="28"/>
        <v>-3</v>
      </c>
      <c r="F309" s="11">
        <f t="shared" si="29"/>
        <v>-0.55341062462755786</v>
      </c>
      <c r="G309" s="11">
        <f t="shared" si="30"/>
        <v>-0.54264395537253962</v>
      </c>
    </row>
    <row r="310" spans="5:7" x14ac:dyDescent="0.25">
      <c r="E310" s="11">
        <f t="shared" si="28"/>
        <v>-2</v>
      </c>
      <c r="F310" s="11">
        <f t="shared" si="29"/>
        <v>-0.36933931484426746</v>
      </c>
      <c r="G310" s="11">
        <f t="shared" si="30"/>
        <v>-0.36246045830256257</v>
      </c>
    </row>
    <row r="311" spans="5:7" x14ac:dyDescent="0.25">
      <c r="E311" s="11">
        <f t="shared" si="28"/>
        <v>-1</v>
      </c>
      <c r="F311" s="11">
        <f t="shared" si="29"/>
        <v>-0.18493790149950173</v>
      </c>
      <c r="G311" s="11">
        <f t="shared" si="30"/>
        <v>-0.18168208084033541</v>
      </c>
    </row>
    <row r="312" spans="5:7" x14ac:dyDescent="0.25">
      <c r="E312" s="11">
        <f t="shared" si="28"/>
        <v>0</v>
      </c>
      <c r="F312" s="11">
        <f t="shared" si="29"/>
        <v>0</v>
      </c>
      <c r="G312" s="11">
        <f t="shared" si="30"/>
        <v>2.7755575615628914E-17</v>
      </c>
    </row>
    <row r="313" spans="5:7" x14ac:dyDescent="0.25">
      <c r="E313" s="11">
        <f t="shared" si="28"/>
        <v>1</v>
      </c>
      <c r="F313" s="11">
        <f t="shared" si="29"/>
        <v>0.18567876686121193</v>
      </c>
      <c r="G313" s="11">
        <f t="shared" si="30"/>
        <v>0.18286578095981401</v>
      </c>
    </row>
    <row r="314" spans="5:7" x14ac:dyDescent="0.25">
      <c r="E314" s="11">
        <f t="shared" si="28"/>
        <v>2</v>
      </c>
      <c r="F314" s="11">
        <f t="shared" si="29"/>
        <v>0.37230039896766104</v>
      </c>
      <c r="G314" s="11">
        <f t="shared" si="30"/>
        <v>0.36707995380252589</v>
      </c>
    </row>
    <row r="315" spans="5:7" x14ac:dyDescent="0.25">
      <c r="E315" s="11">
        <f t="shared" si="28"/>
        <v>3</v>
      </c>
      <c r="F315" s="11">
        <f t="shared" si="29"/>
        <v>0.56006415858146474</v>
      </c>
      <c r="G315" s="11">
        <f t="shared" si="30"/>
        <v>0.55277838404706714</v>
      </c>
    </row>
    <row r="316" spans="5:7" x14ac:dyDescent="0.25">
      <c r="E316" s="11">
        <f t="shared" si="28"/>
        <v>4</v>
      </c>
      <c r="F316" s="11">
        <f t="shared" si="29"/>
        <v>0.74916622007439426</v>
      </c>
      <c r="G316" s="11">
        <f t="shared" si="30"/>
        <v>0.74009693721236935</v>
      </c>
    </row>
    <row r="317" spans="5:7" x14ac:dyDescent="0.25">
      <c r="E317" s="11">
        <f t="shared" si="28"/>
        <v>5</v>
      </c>
      <c r="F317" s="11">
        <f t="shared" si="29"/>
        <v>0.93979933006296412</v>
      </c>
      <c r="G317" s="11">
        <f t="shared" si="30"/>
        <v>0.92917147881736395</v>
      </c>
    </row>
    <row r="318" spans="5:7" x14ac:dyDescent="0.25">
      <c r="E318" s="11">
        <f t="shared" si="28"/>
        <v>6</v>
      </c>
      <c r="F318" s="11">
        <f t="shared" si="29"/>
        <v>1.1321524783077324</v>
      </c>
      <c r="G318" s="11">
        <f t="shared" si="30"/>
        <v>1.1201378743809824</v>
      </c>
    </row>
    <row r="319" spans="5:7" x14ac:dyDescent="0.25">
      <c r="E319" s="11">
        <f t="shared" si="28"/>
        <v>7</v>
      </c>
      <c r="F319" s="11">
        <f t="shared" si="29"/>
        <v>1.3264105797221579</v>
      </c>
      <c r="G319" s="11">
        <f t="shared" si="30"/>
        <v>1.3131319894221565</v>
      </c>
    </row>
    <row r="320" spans="5:7" x14ac:dyDescent="0.25">
      <c r="E320" s="11">
        <f t="shared" si="28"/>
        <v>8</v>
      </c>
      <c r="F320" s="11">
        <f t="shared" si="29"/>
        <v>1.5227541678215559</v>
      </c>
      <c r="G320" s="11">
        <f t="shared" si="30"/>
        <v>1.5082896894598172</v>
      </c>
    </row>
    <row r="321" spans="5:7" x14ac:dyDescent="0.25">
      <c r="E321" s="11">
        <f t="shared" si="28"/>
        <v>9</v>
      </c>
      <c r="F321" s="11">
        <f t="shared" si="29"/>
        <v>1.7213590999278481</v>
      </c>
      <c r="G321" s="11">
        <f t="shared" si="30"/>
        <v>1.7057468400128966</v>
      </c>
    </row>
    <row r="322" spans="5:7" x14ac:dyDescent="0.25">
      <c r="E322" s="11">
        <f t="shared" si="28"/>
        <v>10</v>
      </c>
      <c r="F322" s="11">
        <f t="shared" si="29"/>
        <v>1.9223962744310008</v>
      </c>
      <c r="G322" s="11">
        <f t="shared" si="30"/>
        <v>1.9056393066003259</v>
      </c>
    </row>
    <row r="323" spans="5:7" x14ac:dyDescent="0.25">
      <c r="E323" s="11">
        <f t="shared" si="28"/>
        <v>11</v>
      </c>
      <c r="F323" s="11">
        <f t="shared" si="29"/>
        <v>2.1260313603932031</v>
      </c>
      <c r="G323" s="11">
        <f t="shared" si="30"/>
        <v>2.108102954741037</v>
      </c>
    </row>
    <row r="324" spans="5:7" x14ac:dyDescent="0.25">
      <c r="E324" s="11">
        <f t="shared" si="28"/>
        <v>12</v>
      </c>
      <c r="F324" s="11">
        <f t="shared" si="29"/>
        <v>2.3324245397670187</v>
      </c>
      <c r="G324" s="11">
        <f t="shared" si="30"/>
        <v>2.3132736499539606</v>
      </c>
    </row>
    <row r="325" spans="5:7" x14ac:dyDescent="0.25">
      <c r="E325" s="11">
        <f t="shared" si="28"/>
        <v>13</v>
      </c>
      <c r="F325" s="11">
        <f t="shared" si="29"/>
        <v>2.5417302624839375</v>
      </c>
      <c r="G325" s="11">
        <f t="shared" si="30"/>
        <v>2.5212872577580288</v>
      </c>
    </row>
    <row r="326" spans="5:7" x14ac:dyDescent="0.25">
      <c r="E326" s="11">
        <f t="shared" si="28"/>
        <v>14</v>
      </c>
      <c r="F326" s="11">
        <f t="shared" si="29"/>
        <v>2.7540970146548918</v>
      </c>
      <c r="G326" s="11">
        <f t="shared" si="30"/>
        <v>2.7322796436721735</v>
      </c>
    </row>
    <row r="327" spans="5:7" x14ac:dyDescent="0.25">
      <c r="E327" s="11">
        <f t="shared" si="28"/>
        <v>15</v>
      </c>
      <c r="F327" s="11">
        <f t="shared" si="29"/>
        <v>2.9696671001095147</v>
      </c>
      <c r="G327" s="11">
        <f t="shared" si="30"/>
        <v>2.9463866732153248</v>
      </c>
    </row>
    <row r="328" spans="5:7" x14ac:dyDescent="0.25">
      <c r="E328" s="11">
        <f t="shared" si="28"/>
        <v>16</v>
      </c>
      <c r="F328" s="11">
        <f t="shared" si="29"/>
        <v>3.1885764354860808</v>
      </c>
      <c r="G328" s="11">
        <f t="shared" si="30"/>
        <v>3.1637442119064159</v>
      </c>
    </row>
    <row r="329" spans="5:7" x14ac:dyDescent="0.25">
      <c r="E329" s="11">
        <f t="shared" si="28"/>
        <v>17</v>
      </c>
      <c r="F329" s="11">
        <f t="shared" si="29"/>
        <v>3.410954359069243</v>
      </c>
      <c r="G329" s="11">
        <f t="shared" si="30"/>
        <v>3.3844881252643773</v>
      </c>
    </row>
    <row r="330" spans="5:7" x14ac:dyDescent="0.25">
      <c r="E330" s="11">
        <f t="shared" si="28"/>
        <v>18</v>
      </c>
      <c r="F330" s="11">
        <f t="shared" si="29"/>
        <v>3.6369234535578419</v>
      </c>
      <c r="G330" s="11">
        <f t="shared" si="30"/>
        <v>3.6087542788081408</v>
      </c>
    </row>
    <row r="331" spans="5:7" x14ac:dyDescent="0.25">
      <c r="E331" s="11">
        <f t="shared" si="28"/>
        <v>19</v>
      </c>
      <c r="F331" s="11">
        <f t="shared" si="29"/>
        <v>3.8665993829302878</v>
      </c>
      <c r="G331" s="11">
        <f t="shared" si="30"/>
        <v>3.8366785380566379</v>
      </c>
    </row>
    <row r="332" spans="5:7" x14ac:dyDescent="0.25">
      <c r="E332" s="11">
        <f t="shared" si="28"/>
        <v>20</v>
      </c>
      <c r="F332" s="11">
        <f t="shared" si="29"/>
        <v>4.1000907435601235</v>
      </c>
      <c r="G332" s="11">
        <f t="shared" si="30"/>
        <v>4.0683967685288005</v>
      </c>
    </row>
    <row r="333" spans="5:7" x14ac:dyDescent="0.25">
      <c r="E333" s="11">
        <f t="shared" si="28"/>
        <v>21</v>
      </c>
      <c r="F333" s="11">
        <f t="shared" si="29"/>
        <v>4.3374989297196134</v>
      </c>
      <c r="G333" s="11">
        <f t="shared" si="30"/>
        <v>4.304044835743559</v>
      </c>
    </row>
    <row r="334" spans="5:7" x14ac:dyDescent="0.25">
      <c r="E334" s="11">
        <f t="shared" si="28"/>
        <v>22</v>
      </c>
      <c r="F334" s="11">
        <f t="shared" si="29"/>
        <v>4.5789180135943326</v>
      </c>
      <c r="G334" s="11">
        <f t="shared" si="30"/>
        <v>4.5437586052198462</v>
      </c>
    </row>
    <row r="335" spans="5:7" x14ac:dyDescent="0.25">
      <c r="E335" s="11">
        <f t="shared" si="28"/>
        <v>23</v>
      </c>
      <c r="F335" s="11">
        <f t="shared" si="29"/>
        <v>4.8244346399169649</v>
      </c>
      <c r="G335" s="11">
        <f t="shared" si="30"/>
        <v>4.7876739424765917</v>
      </c>
    </row>
    <row r="336" spans="5:7" x14ac:dyDescent="0.25">
      <c r="E336" s="11">
        <f t="shared" si="28"/>
        <v>24</v>
      </c>
      <c r="F336" s="11">
        <f t="shared" si="29"/>
        <v>5.0741279353136024</v>
      </c>
      <c r="G336" s="11">
        <f t="shared" si="30"/>
        <v>5.0359267130327297</v>
      </c>
    </row>
    <row r="337" spans="5:7" x14ac:dyDescent="0.25">
      <c r="E337" s="11">
        <f t="shared" si="28"/>
        <v>25</v>
      </c>
      <c r="F337" s="11">
        <f t="shared" si="29"/>
        <v>5.3280694324411151</v>
      </c>
      <c r="G337" s="11">
        <f t="shared" si="30"/>
        <v>5.2886527824071905</v>
      </c>
    </row>
    <row r="338" spans="5:7" x14ac:dyDescent="0.25">
      <c r="E338" s="11">
        <f t="shared" si="28"/>
        <v>26</v>
      </c>
      <c r="F338" s="11">
        <f t="shared" si="29"/>
        <v>5.586323008979285</v>
      </c>
      <c r="G338" s="11">
        <f t="shared" si="30"/>
        <v>5.5459880161189048</v>
      </c>
    </row>
    <row r="339" spans="5:7" x14ac:dyDescent="0.25">
      <c r="E339" s="11">
        <f t="shared" si="28"/>
        <v>27</v>
      </c>
      <c r="F339" s="11">
        <f t="shared" si="29"/>
        <v>5.8489448415265528</v>
      </c>
      <c r="G339" s="11">
        <f t="shared" si="30"/>
        <v>5.8080682796868048</v>
      </c>
    </row>
    <row r="340" spans="5:7" x14ac:dyDescent="0.25">
      <c r="E340" s="11">
        <f t="shared" si="28"/>
        <v>28</v>
      </c>
      <c r="F340" s="11">
        <f t="shared" si="29"/>
        <v>6.1159833744334566</v>
      </c>
      <c r="G340" s="11">
        <f t="shared" si="30"/>
        <v>6.075029438629822</v>
      </c>
    </row>
    <row r="341" spans="5:7" x14ac:dyDescent="0.25">
      <c r="E341" s="11">
        <f t="shared" si="28"/>
        <v>29</v>
      </c>
      <c r="F341" s="11">
        <f t="shared" si="29"/>
        <v>6.3874793035929942</v>
      </c>
      <c r="G341" s="11">
        <f t="shared" si="30"/>
        <v>6.3470073584668878</v>
      </c>
    </row>
    <row r="342" spans="5:7" x14ac:dyDescent="0.25">
      <c r="E342" s="11">
        <f t="shared" si="28"/>
        <v>30</v>
      </c>
      <c r="F342" s="11">
        <f t="shared" si="29"/>
        <v>6.6634655751922782</v>
      </c>
      <c r="G342" s="11">
        <f t="shared" si="30"/>
        <v>6.6241379047169335</v>
      </c>
    </row>
    <row r="343" spans="5:7" x14ac:dyDescent="0.25">
      <c r="E343" s="11">
        <f t="shared" si="28"/>
        <v>31</v>
      </c>
      <c r="F343" s="11">
        <f t="shared" si="29"/>
        <v>6.9439673994151008</v>
      </c>
      <c r="G343" s="11">
        <f t="shared" si="30"/>
        <v>6.9065167667664076</v>
      </c>
    </row>
    <row r="344" spans="5:7" x14ac:dyDescent="0.25">
      <c r="E344" s="11">
        <f t="shared" si="28"/>
        <v>32</v>
      </c>
      <c r="F344" s="11">
        <f t="shared" si="29"/>
        <v>7.2290022790701514</v>
      </c>
      <c r="G344" s="11">
        <f t="shared" si="30"/>
        <v>7.1940789294718179</v>
      </c>
    </row>
    <row r="345" spans="5:7" x14ac:dyDescent="0.25">
      <c r="E345" s="11">
        <f t="shared" si="28"/>
        <v>33</v>
      </c>
      <c r="F345" s="11">
        <f t="shared" si="29"/>
        <v>7.5185800531048095</v>
      </c>
      <c r="G345" s="11">
        <f t="shared" si="30"/>
        <v>7.4867192015571895</v>
      </c>
    </row>
    <row r="346" spans="5:7" x14ac:dyDescent="0.25">
      <c r="E346" s="11">
        <f t="shared" si="28"/>
        <v>34</v>
      </c>
      <c r="F346" s="11">
        <f t="shared" si="29"/>
        <v>7.8127029549496347</v>
      </c>
      <c r="G346" s="11">
        <f t="shared" si="30"/>
        <v>7.7843323917465472</v>
      </c>
    </row>
    <row r="347" spans="5:7" x14ac:dyDescent="0.25">
      <c r="E347" s="11">
        <f t="shared" si="28"/>
        <v>35</v>
      </c>
      <c r="F347" s="11">
        <f t="shared" si="29"/>
        <v>8.1113656856238414</v>
      </c>
      <c r="G347" s="11">
        <f t="shared" si="30"/>
        <v>8.0868133087639151</v>
      </c>
    </row>
    <row r="348" spans="5:7" x14ac:dyDescent="0.25">
      <c r="E348" s="11">
        <f t="shared" si="28"/>
        <v>36</v>
      </c>
      <c r="F348" s="11">
        <f t="shared" si="29"/>
        <v>8.4145555015171993</v>
      </c>
      <c r="G348" s="11">
        <f t="shared" si="30"/>
        <v>8.3940567613333208</v>
      </c>
    </row>
    <row r="349" spans="5:7" x14ac:dyDescent="0.25">
      <c r="E349" s="11">
        <f t="shared" si="28"/>
        <v>37</v>
      </c>
      <c r="F349" s="11">
        <f t="shared" si="29"/>
        <v>8.7222523167489978</v>
      </c>
      <c r="G349" s="11">
        <f t="shared" si="30"/>
        <v>8.7059575581787847</v>
      </c>
    </row>
    <row r="350" spans="5:7" x14ac:dyDescent="0.25">
      <c r="E350" s="11">
        <f t="shared" si="28"/>
        <v>38</v>
      </c>
      <c r="F350" s="11">
        <f t="shared" si="29"/>
        <v>9.0344288199899374</v>
      </c>
      <c r="G350" s="11">
        <f t="shared" si="30"/>
        <v>9.0224105080243362</v>
      </c>
    </row>
    <row r="351" spans="5:7" x14ac:dyDescent="0.25">
      <c r="E351" s="11">
        <f t="shared" ref="E351:E414" si="31">E144</f>
        <v>39</v>
      </c>
      <c r="F351" s="11">
        <f t="shared" ref="F351:F414" si="32">$H$217*0+E351*$I$217+E351^2*$J$217+E351^3*$K$217+E351^4*$L$217+E351^5*$M$217+E351^6*$N$217+E351^7*$O$217+E351^8*$P$217</f>
        <v>9.3510506056178375</v>
      </c>
      <c r="G351" s="11">
        <f t="shared" ref="G351:G414" si="33">F144</f>
        <v>9.3433104195939976</v>
      </c>
    </row>
    <row r="352" spans="5:7" x14ac:dyDescent="0.25">
      <c r="E352" s="11">
        <f t="shared" si="31"/>
        <v>40</v>
      </c>
      <c r="F352" s="11">
        <f t="shared" si="32"/>
        <v>9.6720763190634322</v>
      </c>
      <c r="G352" s="11">
        <f t="shared" si="33"/>
        <v>9.6685521016117928</v>
      </c>
    </row>
    <row r="353" spans="5:7" x14ac:dyDescent="0.25">
      <c r="E353" s="11">
        <f t="shared" si="31"/>
        <v>41</v>
      </c>
      <c r="F353" s="11">
        <f t="shared" si="32"/>
        <v>9.9974578161875272</v>
      </c>
      <c r="G353" s="11">
        <f t="shared" si="33"/>
        <v>9.9980303628017495</v>
      </c>
    </row>
    <row r="354" spans="5:7" x14ac:dyDescent="0.25">
      <c r="E354" s="11">
        <f t="shared" si="31"/>
        <v>42</v>
      </c>
      <c r="F354" s="11">
        <f t="shared" si="32"/>
        <v>10.327140336516043</v>
      </c>
      <c r="G354" s="11">
        <f t="shared" si="33"/>
        <v>10.331640011887892</v>
      </c>
    </row>
    <row r="355" spans="5:7" x14ac:dyDescent="0.25">
      <c r="E355" s="11">
        <f t="shared" si="31"/>
        <v>43</v>
      </c>
      <c r="F355" s="11">
        <f t="shared" si="32"/>
        <v>10.661062690144663</v>
      </c>
      <c r="G355" s="11">
        <f t="shared" si="33"/>
        <v>10.66927585759424</v>
      </c>
    </row>
    <row r="356" spans="5:7" x14ac:dyDescent="0.25">
      <c r="E356" s="11">
        <f t="shared" si="31"/>
        <v>44</v>
      </c>
      <c r="F356" s="11">
        <f t="shared" si="32"/>
        <v>10.999157458109934</v>
      </c>
      <c r="G356" s="11">
        <f t="shared" si="33"/>
        <v>11.010832708644827</v>
      </c>
    </row>
    <row r="357" spans="5:7" x14ac:dyDescent="0.25">
      <c r="E357" s="11">
        <f t="shared" si="31"/>
        <v>45</v>
      </c>
      <c r="F357" s="11">
        <f t="shared" si="32"/>
        <v>11.34135120600887</v>
      </c>
      <c r="G357" s="11">
        <f t="shared" si="33"/>
        <v>11.356205373763672</v>
      </c>
    </row>
    <row r="358" spans="5:7" x14ac:dyDescent="0.25">
      <c r="E358" s="11">
        <f t="shared" si="31"/>
        <v>46</v>
      </c>
      <c r="F358" s="11">
        <f t="shared" si="32"/>
        <v>11.687564710634268</v>
      </c>
      <c r="G358" s="11">
        <f t="shared" si="33"/>
        <v>11.7052886616748</v>
      </c>
    </row>
    <row r="359" spans="5:7" x14ac:dyDescent="0.25">
      <c r="E359" s="11">
        <f t="shared" si="31"/>
        <v>47</v>
      </c>
      <c r="F359" s="11">
        <f t="shared" si="32"/>
        <v>12.037713199378171</v>
      </c>
      <c r="G359" s="11">
        <f t="shared" si="33"/>
        <v>12.057977381102237</v>
      </c>
    </row>
    <row r="360" spans="5:7" x14ac:dyDescent="0.25">
      <c r="E360" s="11">
        <f t="shared" si="31"/>
        <v>48</v>
      </c>
      <c r="F360" s="11">
        <f t="shared" si="32"/>
        <v>12.391706602141006</v>
      </c>
      <c r="G360" s="11">
        <f t="shared" si="33"/>
        <v>12.414166340770009</v>
      </c>
    </row>
    <row r="361" spans="5:7" x14ac:dyDescent="0.25">
      <c r="E361" s="11">
        <f t="shared" si="31"/>
        <v>49</v>
      </c>
      <c r="F361" s="11">
        <f t="shared" si="32"/>
        <v>12.749449815469145</v>
      </c>
      <c r="G361" s="11">
        <f t="shared" si="33"/>
        <v>12.773750349402139</v>
      </c>
    </row>
    <row r="362" spans="5:7" x14ac:dyDescent="0.25">
      <c r="E362" s="11">
        <f t="shared" si="31"/>
        <v>50</v>
      </c>
      <c r="F362" s="11">
        <f t="shared" si="32"/>
        <v>13.110842978628883</v>
      </c>
      <c r="G362" s="11">
        <f t="shared" si="33"/>
        <v>13.136624215722652</v>
      </c>
    </row>
    <row r="363" spans="5:7" x14ac:dyDescent="0.25">
      <c r="E363" s="11">
        <f t="shared" si="31"/>
        <v>51</v>
      </c>
      <c r="F363" s="11">
        <f t="shared" si="32"/>
        <v>13.475781761309834</v>
      </c>
      <c r="G363" s="11">
        <f t="shared" si="33"/>
        <v>13.502682748455575</v>
      </c>
    </row>
    <row r="364" spans="5:7" x14ac:dyDescent="0.25">
      <c r="E364" s="11">
        <f t="shared" si="31"/>
        <v>52</v>
      </c>
      <c r="F364" s="11">
        <f t="shared" si="32"/>
        <v>13.844157662636121</v>
      </c>
      <c r="G364" s="11">
        <f t="shared" si="33"/>
        <v>13.871820756324929</v>
      </c>
    </row>
    <row r="365" spans="5:7" x14ac:dyDescent="0.25">
      <c r="E365" s="11">
        <f t="shared" si="31"/>
        <v>53</v>
      </c>
      <c r="F365" s="11">
        <f t="shared" si="32"/>
        <v>14.215858321148708</v>
      </c>
      <c r="G365" s="11">
        <f t="shared" si="33"/>
        <v>14.243933048054743</v>
      </c>
    </row>
    <row r="366" spans="5:7" x14ac:dyDescent="0.25">
      <c r="E366" s="11">
        <f t="shared" si="31"/>
        <v>54</v>
      </c>
      <c r="F366" s="11">
        <f t="shared" si="32"/>
        <v>14.590767835407622</v>
      </c>
      <c r="G366" s="11">
        <f t="shared" si="33"/>
        <v>14.618914432369039</v>
      </c>
    </row>
    <row r="367" spans="5:7" x14ac:dyDescent="0.25">
      <c r="E367" s="11">
        <f t="shared" si="31"/>
        <v>55</v>
      </c>
      <c r="F367" s="11">
        <f t="shared" si="32"/>
        <v>14.968767094847754</v>
      </c>
      <c r="G367" s="11">
        <f t="shared" si="33"/>
        <v>14.996659717991841</v>
      </c>
    </row>
    <row r="368" spans="5:7" x14ac:dyDescent="0.25">
      <c r="E368" s="11">
        <f t="shared" si="31"/>
        <v>56</v>
      </c>
      <c r="F368" s="11">
        <f t="shared" si="32"/>
        <v>15.349734120507311</v>
      </c>
      <c r="G368" s="11">
        <f t="shared" si="33"/>
        <v>15.377063713647175</v>
      </c>
    </row>
    <row r="369" spans="5:7" x14ac:dyDescent="0.25">
      <c r="E369" s="11">
        <f t="shared" si="31"/>
        <v>57</v>
      </c>
      <c r="F369" s="11">
        <f t="shared" si="32"/>
        <v>15.733544415233027</v>
      </c>
      <c r="G369" s="11">
        <f t="shared" si="33"/>
        <v>15.760021228059069</v>
      </c>
    </row>
    <row r="370" spans="5:7" x14ac:dyDescent="0.25">
      <c r="E370" s="11">
        <f t="shared" si="31"/>
        <v>58</v>
      </c>
      <c r="F370" s="11">
        <f t="shared" si="32"/>
        <v>16.120071322951482</v>
      </c>
      <c r="G370" s="11">
        <f t="shared" si="33"/>
        <v>16.145427069951545</v>
      </c>
    </row>
    <row r="371" spans="5:7" x14ac:dyDescent="0.25">
      <c r="E371" s="11">
        <f t="shared" si="31"/>
        <v>59</v>
      </c>
      <c r="F371" s="11">
        <f t="shared" si="32"/>
        <v>16.509186396581036</v>
      </c>
      <c r="G371" s="11">
        <f t="shared" si="33"/>
        <v>16.533176048048627</v>
      </c>
    </row>
    <row r="372" spans="5:7" x14ac:dyDescent="0.25">
      <c r="E372" s="11">
        <f t="shared" si="31"/>
        <v>60</v>
      </c>
      <c r="F372" s="11">
        <f t="shared" si="32"/>
        <v>16.900759774144046</v>
      </c>
      <c r="G372" s="11">
        <f t="shared" si="33"/>
        <v>16.923162971074341</v>
      </c>
    </row>
    <row r="373" spans="5:7" x14ac:dyDescent="0.25">
      <c r="E373" s="11">
        <f t="shared" si="31"/>
        <v>61</v>
      </c>
      <c r="F373" s="11">
        <f t="shared" si="32"/>
        <v>17.294660562624287</v>
      </c>
      <c r="G373" s="11">
        <f t="shared" si="33"/>
        <v>17.31528264775271</v>
      </c>
    </row>
    <row r="374" spans="5:7" x14ac:dyDescent="0.25">
      <c r="E374" s="11">
        <f t="shared" si="31"/>
        <v>62</v>
      </c>
      <c r="F374" s="11">
        <f t="shared" si="32"/>
        <v>17.69075722909955</v>
      </c>
      <c r="G374" s="11">
        <f t="shared" si="33"/>
        <v>17.709429886807762</v>
      </c>
    </row>
    <row r="375" spans="5:7" x14ac:dyDescent="0.25">
      <c r="E375" s="11">
        <f t="shared" si="31"/>
        <v>63</v>
      </c>
      <c r="F375" s="11">
        <f t="shared" si="32"/>
        <v>18.088917998664609</v>
      </c>
      <c r="G375" s="11">
        <f t="shared" si="33"/>
        <v>18.105499496963517</v>
      </c>
    </row>
    <row r="376" spans="5:7" x14ac:dyDescent="0.25">
      <c r="E376" s="11">
        <f t="shared" si="31"/>
        <v>64</v>
      </c>
      <c r="F376" s="11">
        <f t="shared" si="32"/>
        <v>18.489011258645096</v>
      </c>
      <c r="G376" s="11">
        <f t="shared" si="33"/>
        <v>18.503386286944007</v>
      </c>
    </row>
    <row r="377" spans="5:7" x14ac:dyDescent="0.25">
      <c r="E377" s="11">
        <f t="shared" si="31"/>
        <v>65</v>
      </c>
      <c r="F377" s="11">
        <f t="shared" si="32"/>
        <v>18.890905968587628</v>
      </c>
      <c r="G377" s="11">
        <f t="shared" si="33"/>
        <v>18.902985065473253</v>
      </c>
    </row>
    <row r="378" spans="5:7" x14ac:dyDescent="0.25">
      <c r="E378" s="11">
        <f t="shared" si="31"/>
        <v>66</v>
      </c>
      <c r="F378" s="11">
        <f t="shared" si="32"/>
        <v>19.294472075497158</v>
      </c>
      <c r="G378" s="11">
        <f t="shared" si="33"/>
        <v>19.304190641275277</v>
      </c>
    </row>
    <row r="379" spans="5:7" x14ac:dyDescent="0.25">
      <c r="E379" s="11">
        <f t="shared" si="31"/>
        <v>67</v>
      </c>
      <c r="F379" s="11">
        <f t="shared" si="32"/>
        <v>19.699580933777238</v>
      </c>
      <c r="G379" s="11">
        <f t="shared" si="33"/>
        <v>19.706897823074108</v>
      </c>
    </row>
    <row r="380" spans="5:7" x14ac:dyDescent="0.25">
      <c r="E380" s="11">
        <f t="shared" si="31"/>
        <v>68</v>
      </c>
      <c r="F380" s="11">
        <f t="shared" si="32"/>
        <v>20.106105729314482</v>
      </c>
      <c r="G380" s="11">
        <f t="shared" si="33"/>
        <v>20.111001419593769</v>
      </c>
    </row>
    <row r="381" spans="5:7" x14ac:dyDescent="0.25">
      <c r="E381" s="11">
        <f t="shared" si="31"/>
        <v>69</v>
      </c>
      <c r="F381" s="11">
        <f t="shared" si="32"/>
        <v>20.513921907133472</v>
      </c>
      <c r="G381" s="11">
        <f t="shared" si="33"/>
        <v>20.516396239558286</v>
      </c>
    </row>
    <row r="382" spans="5:7" x14ac:dyDescent="0.25">
      <c r="E382" s="11">
        <f t="shared" si="31"/>
        <v>70</v>
      </c>
      <c r="F382" s="11">
        <f t="shared" si="32"/>
        <v>20.92290760203332</v>
      </c>
      <c r="G382" s="11">
        <f t="shared" si="33"/>
        <v>20.922977091691681</v>
      </c>
    </row>
    <row r="383" spans="5:7" x14ac:dyDescent="0.25">
      <c r="E383" s="11">
        <f t="shared" si="31"/>
        <v>71</v>
      </c>
      <c r="F383" s="11">
        <f t="shared" si="32"/>
        <v>21.332944071602892</v>
      </c>
      <c r="G383" s="11">
        <f t="shared" si="33"/>
        <v>21.330638784717987</v>
      </c>
    </row>
    <row r="384" spans="5:7" x14ac:dyDescent="0.25">
      <c r="E384" s="11">
        <f t="shared" si="31"/>
        <v>72</v>
      </c>
      <c r="F384" s="11">
        <f t="shared" si="32"/>
        <v>21.74391613099618</v>
      </c>
      <c r="G384" s="11">
        <f t="shared" si="33"/>
        <v>21.739276127361219</v>
      </c>
    </row>
    <row r="385" spans="5:7" x14ac:dyDescent="0.25">
      <c r="E385" s="11">
        <f t="shared" si="31"/>
        <v>73</v>
      </c>
      <c r="F385" s="11">
        <f t="shared" si="32"/>
        <v>22.155712588834927</v>
      </c>
      <c r="G385" s="11">
        <f t="shared" si="33"/>
        <v>22.148783928345402</v>
      </c>
    </row>
    <row r="386" spans="5:7" x14ac:dyDescent="0.25">
      <c r="E386" s="11">
        <f t="shared" si="31"/>
        <v>74</v>
      </c>
      <c r="F386" s="11">
        <f t="shared" si="32"/>
        <v>22.568226683590648</v>
      </c>
      <c r="G386" s="11">
        <f t="shared" si="33"/>
        <v>22.559056996394567</v>
      </c>
    </row>
    <row r="387" spans="5:7" x14ac:dyDescent="0.25">
      <c r="E387" s="11">
        <f t="shared" si="31"/>
        <v>75</v>
      </c>
      <c r="F387" s="11">
        <f t="shared" si="32"/>
        <v>22.981356519783379</v>
      </c>
      <c r="G387" s="11">
        <f t="shared" si="33"/>
        <v>22.969990140232735</v>
      </c>
    </row>
    <row r="388" spans="5:7" x14ac:dyDescent="0.25">
      <c r="E388" s="11">
        <f t="shared" si="31"/>
        <v>76</v>
      </c>
      <c r="F388" s="11">
        <f t="shared" si="32"/>
        <v>23.39500550331956</v>
      </c>
      <c r="G388" s="11">
        <f t="shared" si="33"/>
        <v>23.381493058156057</v>
      </c>
    </row>
    <row r="389" spans="5:7" x14ac:dyDescent="0.25">
      <c r="E389" s="11">
        <f t="shared" si="31"/>
        <v>77</v>
      </c>
      <c r="F389" s="11">
        <f t="shared" si="32"/>
        <v>23.809082775276895</v>
      </c>
      <c r="G389" s="11">
        <f t="shared" si="33"/>
        <v>23.793535006749181</v>
      </c>
    </row>
    <row r="390" spans="5:7" x14ac:dyDescent="0.25">
      <c r="E390" s="11">
        <f t="shared" si="31"/>
        <v>78</v>
      </c>
      <c r="F390" s="11">
        <f t="shared" si="32"/>
        <v>24.223503643428931</v>
      </c>
      <c r="G390" s="11">
        <f t="shared" si="33"/>
        <v>24.206100132168871</v>
      </c>
    </row>
    <row r="391" spans="5:7" x14ac:dyDescent="0.25">
      <c r="E391" s="11">
        <f t="shared" si="31"/>
        <v>79</v>
      </c>
      <c r="F391" s="11">
        <f t="shared" si="32"/>
        <v>24.638190010787405</v>
      </c>
      <c r="G391" s="11">
        <f t="shared" si="33"/>
        <v>24.619172580571906</v>
      </c>
    </row>
    <row r="392" spans="5:7" x14ac:dyDescent="0.25">
      <c r="E392" s="11">
        <f t="shared" si="31"/>
        <v>80</v>
      </c>
      <c r="F392" s="11">
        <f t="shared" si="32"/>
        <v>25.053070800425562</v>
      </c>
      <c r="G392" s="11">
        <f t="shared" si="33"/>
        <v>25.03273649811505</v>
      </c>
    </row>
    <row r="393" spans="5:7" x14ac:dyDescent="0.25">
      <c r="E393" s="11">
        <f t="shared" si="31"/>
        <v>81</v>
      </c>
      <c r="F393" s="11">
        <f t="shared" si="32"/>
        <v>25.468082375830829</v>
      </c>
      <c r="G393" s="11">
        <f t="shared" si="33"/>
        <v>25.446776030955078</v>
      </c>
    </row>
    <row r="394" spans="5:7" x14ac:dyDescent="0.25">
      <c r="E394" s="11">
        <f t="shared" si="31"/>
        <v>82</v>
      </c>
      <c r="F394" s="11">
        <f t="shared" si="32"/>
        <v>25.883168956020498</v>
      </c>
      <c r="G394" s="11">
        <f t="shared" si="33"/>
        <v>25.861275325248751</v>
      </c>
    </row>
    <row r="395" spans="5:7" x14ac:dyDescent="0.25">
      <c r="E395" s="11">
        <f t="shared" si="31"/>
        <v>83</v>
      </c>
      <c r="F395" s="11">
        <f t="shared" si="32"/>
        <v>26.298283024638931</v>
      </c>
      <c r="G395" s="11">
        <f t="shared" si="33"/>
        <v>26.276218527152857</v>
      </c>
    </row>
    <row r="396" spans="5:7" x14ac:dyDescent="0.25">
      <c r="E396" s="11">
        <f t="shared" si="31"/>
        <v>84</v>
      </c>
      <c r="F396" s="11">
        <f t="shared" si="32"/>
        <v>26.713385732240461</v>
      </c>
      <c r="G396" s="11">
        <f t="shared" si="33"/>
        <v>26.691589782824153</v>
      </c>
    </row>
    <row r="397" spans="5:7" x14ac:dyDescent="0.25">
      <c r="E397" s="11">
        <f t="shared" si="31"/>
        <v>85</v>
      </c>
      <c r="F397" s="11">
        <f t="shared" si="32"/>
        <v>27.128447290946855</v>
      </c>
      <c r="G397" s="11">
        <f t="shared" si="33"/>
        <v>27.107373238419413</v>
      </c>
    </row>
    <row r="398" spans="5:7" x14ac:dyDescent="0.25">
      <c r="E398" s="11">
        <f t="shared" si="31"/>
        <v>86</v>
      </c>
      <c r="F398" s="11">
        <f t="shared" si="32"/>
        <v>27.543447360653715</v>
      </c>
      <c r="G398" s="11">
        <f t="shared" si="33"/>
        <v>27.523553040095408</v>
      </c>
    </row>
    <row r="399" spans="5:7" x14ac:dyDescent="0.25">
      <c r="E399" s="11">
        <f t="shared" si="31"/>
        <v>87</v>
      </c>
      <c r="F399" s="11">
        <f t="shared" si="32"/>
        <v>27.958375425945327</v>
      </c>
      <c r="G399" s="11">
        <f t="shared" si="33"/>
        <v>27.940113334008906</v>
      </c>
    </row>
    <row r="400" spans="5:7" x14ac:dyDescent="0.25">
      <c r="E400" s="11">
        <f t="shared" si="31"/>
        <v>88</v>
      </c>
      <c r="F400" s="11">
        <f t="shared" si="32"/>
        <v>28.373231162862343</v>
      </c>
      <c r="G400" s="11">
        <f t="shared" si="33"/>
        <v>28.357038266316685</v>
      </c>
    </row>
    <row r="401" spans="5:7" x14ac:dyDescent="0.25">
      <c r="E401" s="11">
        <f t="shared" si="31"/>
        <v>89</v>
      </c>
      <c r="F401" s="11">
        <f t="shared" si="32"/>
        <v>28.788024794652305</v>
      </c>
      <c r="G401" s="11">
        <f t="shared" si="33"/>
        <v>28.774311983175508</v>
      </c>
    </row>
    <row r="402" spans="5:7" x14ac:dyDescent="0.25">
      <c r="E402" s="11">
        <f t="shared" si="31"/>
        <v>90</v>
      </c>
      <c r="F402" s="11">
        <f t="shared" si="32"/>
        <v>29.202777435617893</v>
      </c>
      <c r="G402" s="11">
        <f t="shared" si="33"/>
        <v>29.191918630742151</v>
      </c>
    </row>
    <row r="403" spans="5:7" x14ac:dyDescent="0.25">
      <c r="E403" s="11">
        <f t="shared" si="31"/>
        <v>91</v>
      </c>
      <c r="F403" s="11">
        <f t="shared" si="32"/>
        <v>29.617521422163048</v>
      </c>
      <c r="G403" s="11">
        <f t="shared" si="33"/>
        <v>29.609842355173377</v>
      </c>
    </row>
    <row r="404" spans="5:7" x14ac:dyDescent="0.25">
      <c r="E404" s="11">
        <f t="shared" si="31"/>
        <v>92</v>
      </c>
      <c r="F404" s="11">
        <f t="shared" si="32"/>
        <v>30.03230063012224</v>
      </c>
      <c r="G404" s="11">
        <f t="shared" si="33"/>
        <v>30.028067302625967</v>
      </c>
    </row>
    <row r="405" spans="5:7" x14ac:dyDescent="0.25">
      <c r="E405" s="11">
        <f t="shared" si="31"/>
        <v>93</v>
      </c>
      <c r="F405" s="11">
        <f t="shared" si="32"/>
        <v>30.447170777443503</v>
      </c>
      <c r="G405" s="11">
        <f t="shared" si="33"/>
        <v>30.446577619256686</v>
      </c>
    </row>
    <row r="406" spans="5:7" x14ac:dyDescent="0.25">
      <c r="E406" s="11">
        <f t="shared" si="31"/>
        <v>94</v>
      </c>
      <c r="F406" s="11">
        <f t="shared" si="32"/>
        <v>30.86219971128078</v>
      </c>
      <c r="G406" s="11">
        <f t="shared" si="33"/>
        <v>30.865357451222302</v>
      </c>
    </row>
    <row r="407" spans="5:7" x14ac:dyDescent="0.25">
      <c r="E407" s="11">
        <f t="shared" si="31"/>
        <v>95</v>
      </c>
      <c r="F407" s="11">
        <f t="shared" si="32"/>
        <v>31.277467678536425</v>
      </c>
      <c r="G407" s="11">
        <f t="shared" si="33"/>
        <v>31.28439094467959</v>
      </c>
    </row>
    <row r="408" spans="5:7" x14ac:dyDescent="0.25">
      <c r="E408" s="11">
        <f t="shared" si="31"/>
        <v>96</v>
      </c>
      <c r="F408" s="11">
        <f t="shared" si="32"/>
        <v>31.693067578880083</v>
      </c>
      <c r="G408" s="11">
        <f t="shared" si="33"/>
        <v>31.703662245785317</v>
      </c>
    </row>
    <row r="409" spans="5:7" x14ac:dyDescent="0.25">
      <c r="E409" s="11">
        <f t="shared" si="31"/>
        <v>97</v>
      </c>
      <c r="F409" s="11">
        <f t="shared" si="32"/>
        <v>32.109105199254813</v>
      </c>
      <c r="G409" s="11">
        <f t="shared" si="33"/>
        <v>32.123155500696257</v>
      </c>
    </row>
    <row r="410" spans="5:7" x14ac:dyDescent="0.25">
      <c r="E410" s="11">
        <f t="shared" si="31"/>
        <v>98</v>
      </c>
      <c r="F410" s="11">
        <f t="shared" si="32"/>
        <v>32.525699428867178</v>
      </c>
      <c r="G410" s="11">
        <f t="shared" si="33"/>
        <v>32.542854855569182</v>
      </c>
    </row>
    <row r="411" spans="5:7" x14ac:dyDescent="0.25">
      <c r="E411" s="11">
        <f t="shared" si="31"/>
        <v>99</v>
      </c>
      <c r="F411" s="11">
        <f t="shared" si="32"/>
        <v>32.942982453642557</v>
      </c>
      <c r="G411" s="11">
        <f t="shared" si="33"/>
        <v>32.962744456560856</v>
      </c>
    </row>
    <row r="412" spans="5:7" x14ac:dyDescent="0.25">
      <c r="E412" s="11">
        <f t="shared" si="31"/>
        <v>100</v>
      </c>
      <c r="F412" s="11">
        <f t="shared" si="32"/>
        <v>33.361099929112648</v>
      </c>
      <c r="G412" s="11">
        <f t="shared" si="33"/>
        <v>33.382808449828055</v>
      </c>
    </row>
    <row r="413" spans="5:7" x14ac:dyDescent="0.25">
      <c r="E413" s="11">
        <f t="shared" si="31"/>
        <v>101</v>
      </c>
      <c r="F413" s="11">
        <f t="shared" si="32"/>
        <v>33.780211130686872</v>
      </c>
      <c r="G413" s="11">
        <f t="shared" si="33"/>
        <v>33.803030981527542</v>
      </c>
    </row>
    <row r="414" spans="5:7" x14ac:dyDescent="0.25">
      <c r="E414" s="11">
        <f t="shared" si="31"/>
        <v>102</v>
      </c>
      <c r="F414" s="11">
        <f t="shared" si="32"/>
        <v>34.200489080244964</v>
      </c>
      <c r="G414" s="11">
        <f t="shared" si="33"/>
        <v>34.223396197816101</v>
      </c>
    </row>
    <row r="415" spans="5:7" x14ac:dyDescent="0.25">
      <c r="E415" s="11">
        <f t="shared" ref="E415:E422" si="34">E208</f>
        <v>103</v>
      </c>
      <c r="F415" s="11">
        <f t="shared" ref="F415:F422" si="35">$H$217*0+E415*$I$217+E415^2*$J$217+E415^3*$K$217+E415^4*$L$217+E415^5*$M$217+E415^6*$N$217+E415^7*$O$217+E415^8*$P$217</f>
        <v>34.622120647972643</v>
      </c>
      <c r="G415" s="11">
        <f t="shared" ref="G415:G422" si="36">F208</f>
        <v>34.643888244850494</v>
      </c>
    </row>
    <row r="416" spans="5:7" x14ac:dyDescent="0.25">
      <c r="E416" s="11">
        <f t="shared" si="34"/>
        <v>104</v>
      </c>
      <c r="F416" s="11">
        <f t="shared" si="35"/>
        <v>35.045306628348392</v>
      </c>
      <c r="G416" s="11">
        <f t="shared" si="36"/>
        <v>35.064491268787492</v>
      </c>
    </row>
    <row r="417" spans="5:7" x14ac:dyDescent="0.25">
      <c r="E417" s="11">
        <f t="shared" si="34"/>
        <v>105</v>
      </c>
      <c r="F417" s="11">
        <f t="shared" si="35"/>
        <v>35.470261789173229</v>
      </c>
      <c r="G417" s="11">
        <f t="shared" si="36"/>
        <v>35.485189415783871</v>
      </c>
    </row>
    <row r="418" spans="5:7" x14ac:dyDescent="0.25">
      <c r="E418" s="11">
        <f t="shared" si="34"/>
        <v>106</v>
      </c>
      <c r="F418" s="11">
        <f t="shared" si="35"/>
        <v>35.897214892521937</v>
      </c>
      <c r="G418" s="11">
        <f t="shared" si="36"/>
        <v>35.905966831996381</v>
      </c>
    </row>
    <row r="419" spans="5:7" x14ac:dyDescent="0.25">
      <c r="E419" s="11">
        <f t="shared" si="34"/>
        <v>107</v>
      </c>
      <c r="F419" s="11">
        <f t="shared" si="35"/>
        <v>36.326408686478153</v>
      </c>
      <c r="G419" s="11">
        <f t="shared" si="36"/>
        <v>36.326807663581825</v>
      </c>
    </row>
    <row r="420" spans="5:7" x14ac:dyDescent="0.25">
      <c r="E420" s="11">
        <f t="shared" si="34"/>
        <v>108</v>
      </c>
      <c r="F420" s="11">
        <f t="shared" si="35"/>
        <v>36.758099866501809</v>
      </c>
      <c r="G420" s="11">
        <f t="shared" si="36"/>
        <v>36.747696056696952</v>
      </c>
    </row>
    <row r="421" spans="5:7" x14ac:dyDescent="0.25">
      <c r="E421" s="11">
        <f t="shared" si="34"/>
        <v>109</v>
      </c>
      <c r="F421" s="11">
        <f t="shared" si="35"/>
        <v>37.192559005262254</v>
      </c>
      <c r="G421" s="11">
        <f t="shared" si="36"/>
        <v>37.168616157498533</v>
      </c>
    </row>
    <row r="422" spans="5:7" x14ac:dyDescent="0.25">
      <c r="E422" s="11">
        <f t="shared" si="34"/>
        <v>110</v>
      </c>
      <c r="F422" s="11">
        <f t="shared" si="35"/>
        <v>37.630070449755067</v>
      </c>
      <c r="G422" s="11">
        <f t="shared" si="36"/>
        <v>37.589552112143352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2022-01-05T18:00:20Z</dcterms:modified>
</cp:coreProperties>
</file>