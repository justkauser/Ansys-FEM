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A18" i="43" l="1"/>
  <c r="M3" i="8"/>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B403" i="43"/>
  <c r="E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23" i="43"/>
  <c r="C428" i="43"/>
  <c r="C404" i="43"/>
  <c r="C434" i="43"/>
  <c r="C420" i="43"/>
  <c r="C431" i="43"/>
  <c r="C419" i="43"/>
  <c r="C430" i="43"/>
  <c r="C409" i="43"/>
  <c r="C421" i="43"/>
  <c r="C412" i="43"/>
  <c r="C417" i="43"/>
  <c r="C426" i="43"/>
  <c r="C407" i="43"/>
  <c r="C414" i="43"/>
  <c r="C418" i="43"/>
  <c r="C425" i="43"/>
  <c r="C427" i="43"/>
  <c r="C429" i="43"/>
  <c r="C432" i="43"/>
  <c r="C410" i="43"/>
  <c r="C422" i="43"/>
  <c r="C405" i="43"/>
  <c r="C408" i="43"/>
  <c r="C415" i="43"/>
  <c r="C424" i="43"/>
  <c r="C433" i="43"/>
  <c r="C413" i="43"/>
  <c r="C411" i="43"/>
  <c r="C416" i="43"/>
  <c r="H434" i="43"/>
  <c r="H418" i="43"/>
  <c r="H415" i="43"/>
  <c r="H410" i="43"/>
  <c r="H424" i="43"/>
  <c r="H405" i="43"/>
  <c r="H404" i="43"/>
  <c r="H427" i="43"/>
  <c r="H409" i="43"/>
  <c r="H422" i="43"/>
  <c r="H426" i="43"/>
  <c r="H417" i="43"/>
  <c r="H414" i="43"/>
  <c r="H430" i="43"/>
  <c r="H423" i="43"/>
  <c r="H433" i="43"/>
  <c r="H408" i="43"/>
  <c r="H420" i="43"/>
  <c r="H416" i="43"/>
  <c r="H413" i="43"/>
  <c r="H421" i="43"/>
  <c r="H428" i="43"/>
  <c r="H432" i="43"/>
  <c r="H412" i="43"/>
  <c r="H425" i="43"/>
  <c r="H407" i="43"/>
  <c r="H419" i="43"/>
  <c r="H431" i="43"/>
  <c r="H411" i="43"/>
  <c r="H429" i="43"/>
  <c r="H406" i="43"/>
  <c r="E405" i="43"/>
  <c r="E408" i="43"/>
  <c r="E413" i="43"/>
  <c r="E415" i="43"/>
  <c r="E424" i="43"/>
  <c r="E433" i="43"/>
  <c r="E404" i="43"/>
  <c r="E425" i="43"/>
  <c r="E406" i="43"/>
  <c r="E417" i="43"/>
  <c r="E419" i="43"/>
  <c r="E426" i="43"/>
  <c r="E430" i="43"/>
  <c r="E434" i="43"/>
  <c r="E429" i="43"/>
  <c r="E411" i="43"/>
  <c r="E416" i="43"/>
  <c r="E423" i="43"/>
  <c r="E427" i="43"/>
  <c r="E420" i="43"/>
  <c r="E418" i="43"/>
  <c r="E410" i="43"/>
  <c r="E422" i="43"/>
  <c r="E431" i="43"/>
  <c r="E412" i="43"/>
  <c r="E432" i="43"/>
  <c r="E421" i="43"/>
  <c r="E409" i="43"/>
  <c r="E407" i="43"/>
  <c r="E428" i="43"/>
  <c r="E414" i="43"/>
  <c r="G410" i="43"/>
  <c r="G434" i="43"/>
  <c r="G413" i="43"/>
  <c r="G431" i="43"/>
  <c r="G416" i="43"/>
  <c r="G428" i="43"/>
  <c r="G429" i="43"/>
  <c r="G411" i="43"/>
  <c r="G427" i="43"/>
  <c r="G409" i="43"/>
  <c r="G423" i="43"/>
  <c r="G405" i="43"/>
  <c r="G421" i="43"/>
  <c r="G407" i="43"/>
  <c r="G420" i="43"/>
  <c r="G422" i="43"/>
  <c r="G426" i="43"/>
  <c r="G408" i="43"/>
  <c r="G424" i="43"/>
  <c r="G418" i="43"/>
  <c r="G406" i="43"/>
  <c r="G419" i="43"/>
  <c r="G404" i="43"/>
  <c r="G417" i="43"/>
  <c r="G433" i="43"/>
  <c r="G415" i="43"/>
  <c r="G425" i="43"/>
  <c r="G432" i="43"/>
  <c r="G414" i="43"/>
  <c r="G430" i="43"/>
  <c r="G412" i="43"/>
  <c r="B405" i="43"/>
  <c r="B424" i="43"/>
  <c r="B425" i="43"/>
  <c r="B413" i="43"/>
  <c r="B414" i="43"/>
  <c r="B408" i="43"/>
  <c r="B428" i="43"/>
  <c r="B410" i="43"/>
  <c r="B427" i="43"/>
  <c r="B420" i="43"/>
  <c r="B415" i="43"/>
  <c r="B417" i="43"/>
  <c r="B409" i="43"/>
  <c r="B406" i="43"/>
  <c r="B429" i="43"/>
  <c r="B431" i="43"/>
  <c r="B411" i="43"/>
  <c r="B416" i="43"/>
  <c r="B432" i="43"/>
  <c r="B404" i="43"/>
  <c r="B407" i="43"/>
  <c r="B434" i="43"/>
  <c r="B430" i="43"/>
  <c r="B423" i="43"/>
  <c r="B418" i="43"/>
  <c r="B419" i="43"/>
  <c r="B433" i="43"/>
  <c r="B426" i="43"/>
  <c r="B421" i="43"/>
  <c r="B422" i="43"/>
  <c r="B412" i="43"/>
  <c r="D406" i="43"/>
  <c r="D417" i="43"/>
  <c r="D419" i="43"/>
  <c r="D426" i="43"/>
  <c r="D430" i="43"/>
  <c r="D425" i="43"/>
  <c r="D431" i="43"/>
  <c r="D413" i="43"/>
  <c r="D424" i="43"/>
  <c r="D411" i="43"/>
  <c r="D416" i="43"/>
  <c r="D423" i="43"/>
  <c r="D428" i="43"/>
  <c r="D404" i="43"/>
  <c r="D407" i="43"/>
  <c r="D418" i="43"/>
  <c r="D429" i="43"/>
  <c r="D408" i="43"/>
  <c r="D433" i="43"/>
  <c r="D409" i="43"/>
  <c r="D421" i="43"/>
  <c r="D434" i="43"/>
  <c r="D414" i="43"/>
  <c r="D427" i="43"/>
  <c r="D432" i="43"/>
  <c r="D405" i="43"/>
  <c r="D415" i="43"/>
  <c r="D410" i="43"/>
  <c r="D412" i="43"/>
  <c r="D420" i="43"/>
  <c r="D422" i="43"/>
  <c r="F415" i="43"/>
  <c r="F410" i="43"/>
  <c r="F420" i="43"/>
  <c r="F431" i="43"/>
  <c r="F404" i="43"/>
  <c r="F424" i="43"/>
  <c r="F423" i="43"/>
  <c r="F419" i="43"/>
  <c r="F430" i="43"/>
  <c r="F416" i="43"/>
  <c r="F434" i="43"/>
  <c r="F427" i="43"/>
  <c r="F421" i="43"/>
  <c r="F425" i="43"/>
  <c r="F426" i="43"/>
  <c r="F412" i="43"/>
  <c r="F432" i="43"/>
  <c r="F418" i="43"/>
  <c r="F417" i="43"/>
  <c r="F414" i="43"/>
  <c r="F422" i="43"/>
  <c r="F411" i="43"/>
  <c r="F405" i="43"/>
  <c r="F409"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AP5" i="8"/>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AM29" i="8"/>
  <c r="J430" i="43"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Q3" i="8" l="1"/>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A49" i="43" l="1"/>
  <c r="AA50" i="43" s="1"/>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<sst xmlns="http://schemas.openxmlformats.org/spreadsheetml/2006/main" count="311" uniqueCount="164">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</sst>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3172544"/>
        <c:axId val="4431733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31725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173328"/>
        <c:crossesAt val="-8.0000000000000019E-3"/>
        <c:crossBetween val="midCat"/>
      </c:valAx>
      <c:valAx>
        <c:axId val="443173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172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705290688"/>
        <c:axId val="7052852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70529068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5285200"/>
        <c:crosses val="autoZero"/>
        <c:crossBetween val="midCat"/>
      </c:valAx>
      <c:valAx>
        <c:axId val="70528520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529068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705291472"/>
        <c:axId val="6924762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7052914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2476240"/>
        <c:crosses val="autoZero"/>
        <c:crossBetween val="midCat"/>
        <c:majorUnit val="10000"/>
      </c:valAx>
      <c:valAx>
        <c:axId val="69247624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529147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92471928"/>
        <c:axId val="5520397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924719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52039720"/>
        <c:crosses val="autoZero"/>
        <c:crossBetween val="midCat"/>
        <c:majorUnit val="10000"/>
      </c:valAx>
      <c:valAx>
        <c:axId val="55203972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9247192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739815720"/>
        <c:axId val="7398219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73981572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21992"/>
        <c:crosses val="autoZero"/>
        <c:crossBetween val="midCat"/>
        <c:majorUnit val="10000"/>
      </c:valAx>
      <c:valAx>
        <c:axId val="739821992"/>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1572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5.1215880052082739E-5</c:v>
                </c:pt>
                <c:pt idx="1">
                  <c:v>4.1143463122608028E-5</c:v>
                </c:pt>
                <c:pt idx="2">
                  <c:v>4.3796590619313912E-5</c:v>
                </c:pt>
                <c:pt idx="3">
                  <c:v>1.90518485834096E-5</c:v>
                </c:pt>
                <c:pt idx="4">
                  <c:v>1.9518428823748194E-4</c:v>
                </c:pt>
                <c:pt idx="5">
                  <c:v>4.5429954789733599E-5</c:v>
                </c:pt>
                <c:pt idx="6">
                  <c:v>8.0012647718011146E-6</c:v>
                </c:pt>
                <c:pt idx="7">
                  <c:v>7.8969850457090773E-6</c:v>
                </c:pt>
                <c:pt idx="8">
                  <c:v>1.7510943506298101E-5</c:v>
                </c:pt>
                <c:pt idx="9">
                  <c:v>3.6917291480505001E-5</c:v>
                </c:pt>
                <c:pt idx="10">
                  <c:v>6.5727363751683535E-5</c:v>
                </c:pt>
                <c:pt idx="11">
                  <c:v>9.9138078911711352E-5</c:v>
                </c:pt>
                <c:pt idx="12">
                  <c:v>1.2768493254251281E-4</c:v>
                </c:pt>
                <c:pt idx="13">
                  <c:v>1.4088195611606884E-4</c:v>
                </c:pt>
                <c:pt idx="14">
                  <c:v>1.3356430232890377E-4</c:v>
                </c:pt>
                <c:pt idx="15">
                  <c:v>1.0864161125312359E-4</c:v>
                </c:pt>
                <c:pt idx="16">
                  <c:v>7.9198386219219024E-5</c:v>
                </c:pt>
                <c:pt idx="17">
                  <c:v>5.6438989742588712E-5</c:v>
                </c:pt>
                <c:pt idx="18">
                  <c:v>4.0600055994889522E-5</c:v>
                </c:pt>
                <c:pt idx="19">
                  <c:v>2.8731869784741182E-5</c:v>
                </c:pt>
                <c:pt idx="20">
                  <c:v>1.7610213227375697E-5</c:v>
                </c:pt>
                <c:pt idx="21">
                  <c:v>5.5769448746685824E-6</c:v>
                </c:pt>
                <c:pt idx="22">
                  <c:v>1.8179089948189901E-5</c:v>
                </c:pt>
                <c:pt idx="23">
                  <c:v>8.561005362961197E-5</c:v>
                </c:pt>
                <c:pt idx="24">
                  <c:v>1.7066642569976028E-4</c:v>
                </c:pt>
                <c:pt idx="25">
                  <c:v>2.2943148355939331E-4</c:v>
                </c:pt>
                <c:pt idx="26">
                  <c:v>9.7550496224414144E-4</c:v>
                </c:pt>
                <c:pt idx="27">
                  <c:v>2.0581165927523351E-3</c:v>
                </c:pt>
                <c:pt idx="28">
                  <c:v>2.8234686620210742E-3</c:v>
                </c:pt>
                <c:pt idx="29">
                  <c:v>1.8226365266288422E-3</c:v>
                </c:pt>
                <c:pt idx="30">
                  <c:v>2.3245398234655683E-4</c:v>
                </c:pt>
              </c:numCache>
            </c:numRef>
          </c:yVal>
          <c:smooth val="1"/>
        </c:ser>
        <c:dLbls>
          <c:showLegendKey val="0"/>
          <c:showVal val="0"/>
          <c:showCatName val="0"/>
          <c:showSerName val="0"/>
          <c:showPercent val="0"/>
          <c:showBubbleSize val="0"/>
        </c:dLbls>
        <c:axId val="739821600"/>
        <c:axId val="739818464"/>
      </c:scatterChart>
      <c:valAx>
        <c:axId val="7398216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18464"/>
        <c:crossesAt val="-1.5000000000000005E-3"/>
        <c:crossBetween val="midCat"/>
      </c:valAx>
      <c:valAx>
        <c:axId val="73981846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2160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7233.6489560907294</c:v>
                </c:pt>
                <c:pt idx="1">
                  <c:v>7233.6412789301585</c:v>
                </c:pt>
                <c:pt idx="2">
                  <c:v>7233.5645546389878</c:v>
                </c:pt>
                <c:pt idx="3">
                  <c:v>7232.8020149385047</c:v>
                </c:pt>
                <c:pt idx="4">
                  <c:v>7225.6199716255396</c:v>
                </c:pt>
                <c:pt idx="5">
                  <c:v>7180.283603972659</c:v>
                </c:pt>
                <c:pt idx="6">
                  <c:v>7042.6121356681679</c:v>
                </c:pt>
                <c:pt idx="7">
                  <c:v>6896.7246874619395</c:v>
                </c:pt>
                <c:pt idx="8">
                  <c:v>6728.194025170129</c:v>
                </c:pt>
                <c:pt idx="9">
                  <c:v>6522.9891517081924</c:v>
                </c:pt>
                <c:pt idx="10">
                  <c:v>6323.3511858935899</c:v>
                </c:pt>
                <c:pt idx="11">
                  <c:v>6061.456618964623</c:v>
                </c:pt>
                <c:pt idx="12">
                  <c:v>5776.0099456976832</c:v>
                </c:pt>
                <c:pt idx="13">
                  <c:v>5496.5417911767963</c:v>
                </c:pt>
                <c:pt idx="14">
                  <c:v>5187.9066871761761</c:v>
                </c:pt>
                <c:pt idx="15">
                  <c:v>4846.7024738878008</c:v>
                </c:pt>
                <c:pt idx="16">
                  <c:v>4307.1897145932844</c:v>
                </c:pt>
                <c:pt idx="17">
                  <c:v>3424.4341767327073</c:v>
                </c:pt>
                <c:pt idx="18">
                  <c:v>2457.5308781659355</c:v>
                </c:pt>
                <c:pt idx="19">
                  <c:v>1610.9849973113182</c:v>
                </c:pt>
                <c:pt idx="20">
                  <c:v>942.67451279802947</c:v>
                </c:pt>
                <c:pt idx="21">
                  <c:v>510.3275488058012</c:v>
                </c:pt>
                <c:pt idx="22">
                  <c:v>271.37260344935805</c:v>
                </c:pt>
                <c:pt idx="23">
                  <c:v>152.44342274073426</c:v>
                </c:pt>
                <c:pt idx="24">
                  <c:v>114.50482120715523</c:v>
                </c:pt>
                <c:pt idx="25">
                  <c:v>101.04198976888745</c:v>
                </c:pt>
                <c:pt idx="26">
                  <c:v>93.150658619000509</c:v>
                </c:pt>
                <c:pt idx="27">
                  <c:v>92.441321139508887</c:v>
                </c:pt>
                <c:pt idx="28">
                  <c:v>91.488868639986578</c:v>
                </c:pt>
                <c:pt idx="29">
                  <c:v>91.043668630577599</c:v>
                </c:pt>
                <c:pt idx="30">
                  <c:v>90.322551729589989</c:v>
                </c:pt>
              </c:numCache>
            </c:numRef>
          </c:yVal>
          <c:smooth val="1"/>
        </c:ser>
        <c:dLbls>
          <c:showLegendKey val="0"/>
          <c:showVal val="0"/>
          <c:showCatName val="0"/>
          <c:showSerName val="0"/>
          <c:showPercent val="0"/>
          <c:showBubbleSize val="0"/>
        </c:dLbls>
        <c:axId val="739820032"/>
        <c:axId val="739816504"/>
      </c:scatterChart>
      <c:valAx>
        <c:axId val="7398200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16504"/>
        <c:crosses val="autoZero"/>
        <c:crossBetween val="midCat"/>
      </c:valAx>
      <c:valAx>
        <c:axId val="739816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2003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2.7697343668279854E-2</c:v>
                </c:pt>
                <c:pt idx="1">
                  <c:v>2.77073798407011E-2</c:v>
                </c:pt>
                <c:pt idx="2">
                  <c:v>2.7702179879871131E-2</c:v>
                </c:pt>
                <c:pt idx="3">
                  <c:v>2.7700832354292586E-2</c:v>
                </c:pt>
                <c:pt idx="4">
                  <c:v>2.7700435537364374E-2</c:v>
                </c:pt>
                <c:pt idx="5">
                  <c:v>2.7700311536265027E-2</c:v>
                </c:pt>
                <c:pt idx="6">
                  <c:v>2.7700278511408934E-2</c:v>
                </c:pt>
                <c:pt idx="7">
                  <c:v>2.7700270676955862E-2</c:v>
                </c:pt>
                <c:pt idx="8">
                  <c:v>2.7700266735677694E-2</c:v>
                </c:pt>
                <c:pt idx="9">
                  <c:v>2.7700309993069255E-2</c:v>
                </c:pt>
                <c:pt idx="10">
                  <c:v>2.7700742555804285E-2</c:v>
                </c:pt>
                <c:pt idx="11">
                  <c:v>2.7705050531332855E-2</c:v>
                </c:pt>
                <c:pt idx="12">
                  <c:v>2.774809319000647E-2</c:v>
                </c:pt>
                <c:pt idx="13">
                  <c:v>2.8167595214956015E-2</c:v>
                </c:pt>
                <c:pt idx="14">
                  <c:v>3.1503473991149521E-2</c:v>
                </c:pt>
                <c:pt idx="15">
                  <c:v>4.4469427472068869E-2</c:v>
                </c:pt>
                <c:pt idx="16">
                  <c:v>6.4052841555903892E-2</c:v>
                </c:pt>
                <c:pt idx="17">
                  <c:v>7.7758979533215755E-2</c:v>
                </c:pt>
                <c:pt idx="18">
                  <c:v>8.5890910389080546E-2</c:v>
                </c:pt>
                <c:pt idx="19">
                  <c:v>9.4484745823594049E-2</c:v>
                </c:pt>
                <c:pt idx="20">
                  <c:v>8.6926891301300713E-2</c:v>
                </c:pt>
                <c:pt idx="21">
                  <c:v>3.3444066858474765E-2</c:v>
                </c:pt>
                <c:pt idx="22">
                  <c:v>8.6558393713547996E-2</c:v>
                </c:pt>
                <c:pt idx="23">
                  <c:v>0.21834807647038915</c:v>
                </c:pt>
                <c:pt idx="24">
                  <c:v>0.32122538810570833</c:v>
                </c:pt>
                <c:pt idx="25">
                  <c:v>0.36392690428087771</c:v>
                </c:pt>
                <c:pt idx="26">
                  <c:v>0.25025620821944716</c:v>
                </c:pt>
                <c:pt idx="27">
                  <c:v>2.6981668753936594E-2</c:v>
                </c:pt>
                <c:pt idx="28">
                  <c:v>0.20788441699597987</c:v>
                </c:pt>
                <c:pt idx="29">
                  <c:v>0.42534446001839377</c:v>
                </c:pt>
                <c:pt idx="30">
                  <c:v>0.59700640710374087</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7.3542702044208817E-3</c:v>
                </c:pt>
                <c:pt idx="1">
                  <c:v>7.3641412390936679E-3</c:v>
                </c:pt>
                <c:pt idx="2">
                  <c:v>7.3588523691517967E-3</c:v>
                </c:pt>
                <c:pt idx="3">
                  <c:v>7.3575085915081858E-3</c:v>
                </c:pt>
                <c:pt idx="4">
                  <c:v>7.3573228591722649E-3</c:v>
                </c:pt>
                <c:pt idx="5">
                  <c:v>7.3592019921333192E-3</c:v>
                </c:pt>
                <c:pt idx="6">
                  <c:v>7.379118399348389E-3</c:v>
                </c:pt>
                <c:pt idx="7">
                  <c:v>7.5763110653393785E-3</c:v>
                </c:pt>
                <c:pt idx="8">
                  <c:v>9.33589887448074E-3</c:v>
                </c:pt>
                <c:pt idx="9">
                  <c:v>1.8027371750459081E-2</c:v>
                </c:pt>
                <c:pt idx="10">
                  <c:v>3.6537135583689283E-2</c:v>
                </c:pt>
                <c:pt idx="11">
                  <c:v>4.2187025618716782E-2</c:v>
                </c:pt>
                <c:pt idx="12">
                  <c:v>4.8639623632836054E-2</c:v>
                </c:pt>
                <c:pt idx="13">
                  <c:v>5.7925617233823411E-2</c:v>
                </c:pt>
                <c:pt idx="14">
                  <c:v>6.1598924433043593E-2</c:v>
                </c:pt>
                <c:pt idx="15">
                  <c:v>7.6332982589828305E-2</c:v>
                </c:pt>
                <c:pt idx="16">
                  <c:v>8.1788552007176579E-2</c:v>
                </c:pt>
                <c:pt idx="17">
                  <c:v>5.6904052573367739E-2</c:v>
                </c:pt>
                <c:pt idx="18">
                  <c:v>3.5787121061877217E-2</c:v>
                </c:pt>
                <c:pt idx="19">
                  <c:v>0.16539933676295832</c:v>
                </c:pt>
                <c:pt idx="20">
                  <c:v>0.19932280771517402</c:v>
                </c:pt>
                <c:pt idx="21">
                  <c:v>9.3462112880354623E-2</c:v>
                </c:pt>
                <c:pt idx="22">
                  <c:v>7.765932022030668E-2</c:v>
                </c:pt>
                <c:pt idx="23">
                  <c:v>0.26447593943353603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5.1215880682405064E-5</c:v>
                </c:pt>
                <c:pt idx="1">
                  <c:v>4.1143469425397299E-5</c:v>
                </c:pt>
                <c:pt idx="2">
                  <c:v>4.3796653578006262E-5</c:v>
                </c:pt>
                <c:pt idx="3">
                  <c:v>1.9052471222863179E-5</c:v>
                </c:pt>
                <c:pt idx="4">
                  <c:v>1.9517869853475639E-4</c:v>
                </c:pt>
                <c:pt idx="5">
                  <c:v>4.5456074112802971E-5</c:v>
                </c:pt>
                <c:pt idx="6">
                  <c:v>7.9447110022668944E-6</c:v>
                </c:pt>
                <c:pt idx="7">
                  <c:v>7.952561541033446E-6</c:v>
                </c:pt>
                <c:pt idx="8">
                  <c:v>1.7439111495184958E-5</c:v>
                </c:pt>
                <c:pt idx="9">
                  <c:v>3.7003947845423878E-5</c:v>
                </c:pt>
                <c:pt idx="10">
                  <c:v>6.5644559231420649E-5</c:v>
                </c:pt>
                <c:pt idx="11">
                  <c:v>9.9268958645661861E-5</c:v>
                </c:pt>
                <c:pt idx="12">
                  <c:v>1.2756803334037942E-4</c:v>
                </c:pt>
                <c:pt idx="13">
                  <c:v>1.4101342881471871E-4</c:v>
                </c:pt>
                <c:pt idx="14">
                  <c:v>1.3341441197224551E-4</c:v>
                </c:pt>
                <c:pt idx="15">
                  <c:v>1.088189697724042E-4</c:v>
                </c:pt>
                <c:pt idx="16">
                  <c:v>7.878228351032869E-5</c:v>
                </c:pt>
                <c:pt idx="17">
                  <c:v>5.7054796270806662E-5</c:v>
                </c:pt>
                <c:pt idx="18">
                  <c:v>3.9846511660064785E-5</c:v>
                </c:pt>
                <c:pt idx="19">
                  <c:v>2.9660091630915912E-5</c:v>
                </c:pt>
                <c:pt idx="20">
                  <c:v>1.6496668451288427E-5</c:v>
                </c:pt>
                <c:pt idx="21">
                  <c:v>6.6694794094754129E-6</c:v>
                </c:pt>
                <c:pt idx="22">
                  <c:v>1.9981013012291349E-5</c:v>
                </c:pt>
                <c:pt idx="23">
                  <c:v>8.4421962754747192E-5</c:v>
                </c:pt>
                <c:pt idx="24">
                  <c:v>1.7085516790194978E-4</c:v>
                </c:pt>
                <c:pt idx="25">
                  <c:v>2.29019017125697E-4</c:v>
                </c:pt>
                <c:pt idx="26">
                  <c:v>9.7551212167417312E-4</c:v>
                </c:pt>
                <c:pt idx="27">
                  <c:v>2.0580867918875254E-3</c:v>
                </c:pt>
                <c:pt idx="28">
                  <c:v>2.8234899526876785E-3</c:v>
                </c:pt>
                <c:pt idx="29">
                  <c:v>1.8226306099805368E-3</c:v>
                </c:pt>
                <c:pt idx="30">
                  <c:v>2.3249216352611097E-4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3.1721662265972471E-2</c:v>
                </c:pt>
                <c:pt idx="1">
                  <c:v>4.7029624512544541E-2</c:v>
                </c:pt>
                <c:pt idx="2">
                  <c:v>4.7659822492401659E-2</c:v>
                </c:pt>
                <c:pt idx="3">
                  <c:v>5.1241721054317194E-2</c:v>
                </c:pt>
                <c:pt idx="4">
                  <c:v>5.5249508016782245E-2</c:v>
                </c:pt>
                <c:pt idx="5">
                  <c:v>6.1289412715462545E-2</c:v>
                </c:pt>
                <c:pt idx="6">
                  <c:v>6.5295648255205244E-2</c:v>
                </c:pt>
                <c:pt idx="7">
                  <c:v>8.6856337458876803E-4</c:v>
                </c:pt>
                <c:pt idx="8">
                  <c:v>9.121658110129556E-2</c:v>
                </c:pt>
                <c:pt idx="9">
                  <c:v>0.13977006479664519</c:v>
                </c:pt>
                <c:pt idx="10">
                  <c:v>0.17731295086247001</c:v>
                </c:pt>
                <c:pt idx="11">
                  <c:v>0.22615030223224614</c:v>
                </c:pt>
                <c:pt idx="12">
                  <c:v>0.23402831299542531</c:v>
                </c:pt>
                <c:pt idx="13">
                  <c:v>0.37575512728717492</c:v>
                </c:pt>
                <c:pt idx="14">
                  <c:v>0.48295211967217833</c:v>
                </c:pt>
                <c:pt idx="15">
                  <c:v>0.48632103518663589</c:v>
                </c:pt>
                <c:pt idx="16">
                  <c:v>0.5089934556430219</c:v>
                </c:pt>
                <c:pt idx="17">
                  <c:v>0.45465829387890738</c:v>
                </c:pt>
                <c:pt idx="18">
                  <c:v>0.35606623491664369</c:v>
                </c:pt>
                <c:pt idx="19">
                  <c:v>0.25172277079012101</c:v>
                </c:pt>
                <c:pt idx="20">
                  <c:v>0.17141015075295143</c:v>
                </c:pt>
                <c:pt idx="21">
                  <c:v>0.13429038685467601</c:v>
                </c:pt>
                <c:pt idx="22">
                  <c:v>0.11948417079830846</c:v>
                </c:pt>
                <c:pt idx="23">
                  <c:v>9.3618147572974625E-2</c:v>
                </c:pt>
                <c:pt idx="24">
                  <c:v>7.6223510797627167E-2</c:v>
                </c:pt>
                <c:pt idx="25">
                  <c:v>6.6953520770166225E-2</c:v>
                </c:pt>
                <c:pt idx="26">
                  <c:v>6.4483509171278264E-2</c:v>
                </c:pt>
                <c:pt idx="27">
                  <c:v>5.4658551412236696E-2</c:v>
                </c:pt>
                <c:pt idx="28">
                  <c:v>5.4500996930720504E-2</c:v>
                </c:pt>
                <c:pt idx="29">
                  <c:v>4.7821556167002392E-2</c:v>
                </c:pt>
                <c:pt idx="30">
                  <c:v>4.5236677648032866E-2</c:v>
                </c:pt>
              </c:numCache>
            </c:numRef>
          </c:yVal>
          <c:smooth val="1"/>
        </c:ser>
        <c:dLbls>
          <c:showLegendKey val="0"/>
          <c:showVal val="0"/>
          <c:showCatName val="0"/>
          <c:showSerName val="0"/>
          <c:showPercent val="0"/>
          <c:showBubbleSize val="0"/>
        </c:dLbls>
        <c:axId val="739820424"/>
        <c:axId val="739819248"/>
      </c:scatterChart>
      <c:valAx>
        <c:axId val="7398204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19248"/>
        <c:crossesAt val="1.0000000000000005E-9"/>
        <c:crossBetween val="midCat"/>
      </c:valAx>
      <c:valAx>
        <c:axId val="739819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2042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-21.592748433065772</c:v>
                </c:pt>
                <c:pt idx="1">
                  <c:v>-17.596432358829645</c:v>
                </c:pt>
                <c:pt idx="2">
                  <c:v>-13.968667918642728</c:v>
                </c:pt>
                <c:pt idx="3">
                  <c:v>-8.5553786635158335</c:v>
                </c:pt>
                <c:pt idx="4">
                  <c:v>0</c:v>
                </c:pt>
                <c:pt idx="5">
                  <c:v>18.564422951866018</c:v>
                </c:pt>
                <c:pt idx="6">
                  <c:v>22.636340120272525</c:v>
                </c:pt>
              </c:numCache>
            </c:numRef>
          </c:yVal>
          <c:smooth val="0"/>
        </c:ser>
        <c:dLbls>
          <c:showLegendKey val="0"/>
          <c:showVal val="0"/>
          <c:showCatName val="0"/>
          <c:showSerName val="0"/>
          <c:showPercent val="0"/>
          <c:showBubbleSize val="0"/>
        </c:dLbls>
        <c:axId val="739819640"/>
        <c:axId val="739820816"/>
      </c:scatterChart>
      <c:valAx>
        <c:axId val="7398196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20816"/>
        <c:crossesAt val="-100"/>
        <c:crossBetween val="midCat"/>
      </c:valAx>
      <c:valAx>
        <c:axId val="73982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1964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739818072"/>
        <c:axId val="739817680"/>
      </c:scatterChart>
      <c:valAx>
        <c:axId val="73981807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17680"/>
        <c:crosses val="autoZero"/>
        <c:crossBetween val="midCat"/>
      </c:valAx>
      <c:valAx>
        <c:axId val="73981768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81807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4.1916837249277672E-25</c:v>
                </c:pt>
                <c:pt idx="1">
                  <c:v>4.191683724927767E-24</c:v>
                </c:pt>
                <c:pt idx="2">
                  <c:v>4.1916837249277667E-23</c:v>
                </c:pt>
                <c:pt idx="3">
                  <c:v>4.1916837249277669E-22</c:v>
                </c:pt>
                <c:pt idx="4">
                  <c:v>4.1916837249277667E-21</c:v>
                </c:pt>
                <c:pt idx="5">
                  <c:v>4.191683724927767E-20</c:v>
                </c:pt>
                <c:pt idx="6">
                  <c:v>4.1916837249277672E-19</c:v>
                </c:pt>
                <c:pt idx="7">
                  <c:v>4.1916837249277668E-18</c:v>
                </c:pt>
                <c:pt idx="8">
                  <c:v>4.1916837249277665E-17</c:v>
                </c:pt>
                <c:pt idx="9">
                  <c:v>4.1916837249277666E-16</c:v>
                </c:pt>
                <c:pt idx="10">
                  <c:v>4.1916837249277668E-15</c:v>
                </c:pt>
                <c:pt idx="11">
                  <c:v>4.1916837249277668E-14</c:v>
                </c:pt>
                <c:pt idx="12">
                  <c:v>4.1916837249277668E-13</c:v>
                </c:pt>
                <c:pt idx="13">
                  <c:v>4.191683724927767E-12</c:v>
                </c:pt>
                <c:pt idx="14">
                  <c:v>4.1916837249277668E-11</c:v>
                </c:pt>
                <c:pt idx="15">
                  <c:v>4.191683724927767E-10</c:v>
                </c:pt>
                <c:pt idx="16">
                  <c:v>4.1916837249277665E-9</c:v>
                </c:pt>
                <c:pt idx="17">
                  <c:v>4.1916837249277669E-8</c:v>
                </c:pt>
                <c:pt idx="18">
                  <c:v>4.191683724927767E-7</c:v>
                </c:pt>
                <c:pt idx="19">
                  <c:v>4.1916837249277669E-6</c:v>
                </c:pt>
                <c:pt idx="20">
                  <c:v>4.1916837249277669E-5</c:v>
                </c:pt>
                <c:pt idx="21">
                  <c:v>4.1916837249277668E-4</c:v>
                </c:pt>
                <c:pt idx="22">
                  <c:v>4.191683724927767E-3</c:v>
                </c:pt>
                <c:pt idx="23">
                  <c:v>4.1916837249277666E-2</c:v>
                </c:pt>
                <c:pt idx="24">
                  <c:v>0.41916837249277666</c:v>
                </c:pt>
                <c:pt idx="25">
                  <c:v>4.191683724927767</c:v>
                </c:pt>
                <c:pt idx="26">
                  <c:v>41.91683724927767</c:v>
                </c:pt>
                <c:pt idx="27">
                  <c:v>419.16837249277665</c:v>
                </c:pt>
                <c:pt idx="28">
                  <c:v>4191.6837249277669</c:v>
                </c:pt>
                <c:pt idx="29">
                  <c:v>41916.837249277669</c:v>
                </c:pt>
                <c:pt idx="30">
                  <c:v>419168.37249277666</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2.2801663141821097E-23</c:v>
                </c:pt>
                <c:pt idx="1">
                  <c:v>2.2801663141821096E-22</c:v>
                </c:pt>
                <c:pt idx="2">
                  <c:v>2.2801663141821093E-21</c:v>
                </c:pt>
                <c:pt idx="3">
                  <c:v>2.2801663141821093E-20</c:v>
                </c:pt>
                <c:pt idx="4">
                  <c:v>2.2801663141821092E-19</c:v>
                </c:pt>
                <c:pt idx="5">
                  <c:v>2.2801663141821095E-18</c:v>
                </c:pt>
                <c:pt idx="6">
                  <c:v>2.2801663141821095E-17</c:v>
                </c:pt>
                <c:pt idx="7">
                  <c:v>2.2801663141821095E-16</c:v>
                </c:pt>
                <c:pt idx="8">
                  <c:v>2.2801663141821094E-15</c:v>
                </c:pt>
                <c:pt idx="9">
                  <c:v>2.2801663141821093E-14</c:v>
                </c:pt>
                <c:pt idx="10">
                  <c:v>2.2801663141821094E-13</c:v>
                </c:pt>
                <c:pt idx="11">
                  <c:v>2.2801663141821096E-12</c:v>
                </c:pt>
                <c:pt idx="12">
                  <c:v>2.2801663141821094E-11</c:v>
                </c:pt>
                <c:pt idx="13">
                  <c:v>2.2801663141821094E-10</c:v>
                </c:pt>
                <c:pt idx="14">
                  <c:v>2.2801663141821097E-9</c:v>
                </c:pt>
                <c:pt idx="15">
                  <c:v>2.2801663141821095E-8</c:v>
                </c:pt>
                <c:pt idx="16">
                  <c:v>2.2801663141821093E-7</c:v>
                </c:pt>
                <c:pt idx="17">
                  <c:v>2.2801663141821093E-6</c:v>
                </c:pt>
                <c:pt idx="18">
                  <c:v>2.2801663141821096E-5</c:v>
                </c:pt>
                <c:pt idx="19">
                  <c:v>2.2801663141821095E-4</c:v>
                </c:pt>
                <c:pt idx="20">
                  <c:v>2.2801663141821093E-3</c:v>
                </c:pt>
                <c:pt idx="21">
                  <c:v>2.2801663141821093E-2</c:v>
                </c:pt>
                <c:pt idx="22">
                  <c:v>0.22801663141821094</c:v>
                </c:pt>
                <c:pt idx="23">
                  <c:v>2.2801663141821096</c:v>
                </c:pt>
                <c:pt idx="24">
                  <c:v>22.801663141821095</c:v>
                </c:pt>
                <c:pt idx="25">
                  <c:v>228.01663141821095</c:v>
                </c:pt>
                <c:pt idx="26">
                  <c:v>2280.1663141821095</c:v>
                </c:pt>
                <c:pt idx="27">
                  <c:v>22801.663141821093</c:v>
                </c:pt>
                <c:pt idx="28">
                  <c:v>228016.63141821095</c:v>
                </c:pt>
                <c:pt idx="29">
                  <c:v>2280166.3141821097</c:v>
                </c:pt>
                <c:pt idx="30">
                  <c:v>22801663.141821094</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8.5799469656027922E-22</c:v>
                </c:pt>
                <c:pt idx="1">
                  <c:v>8.5799469656027922E-21</c:v>
                </c:pt>
                <c:pt idx="2">
                  <c:v>8.5799469656027925E-20</c:v>
                </c:pt>
                <c:pt idx="3">
                  <c:v>8.5799469656027913E-19</c:v>
                </c:pt>
                <c:pt idx="4">
                  <c:v>8.5799469656027913E-18</c:v>
                </c:pt>
                <c:pt idx="5">
                  <c:v>8.5799469656027919E-17</c:v>
                </c:pt>
                <c:pt idx="6">
                  <c:v>8.5799469656027922E-16</c:v>
                </c:pt>
                <c:pt idx="7">
                  <c:v>8.5799469656027914E-15</c:v>
                </c:pt>
                <c:pt idx="8">
                  <c:v>8.5799469656027911E-14</c:v>
                </c:pt>
                <c:pt idx="9">
                  <c:v>8.5799469656027913E-13</c:v>
                </c:pt>
                <c:pt idx="10">
                  <c:v>8.5799469656027923E-12</c:v>
                </c:pt>
                <c:pt idx="11">
                  <c:v>8.5799469656027923E-11</c:v>
                </c:pt>
                <c:pt idx="12">
                  <c:v>8.5799469656027923E-10</c:v>
                </c:pt>
                <c:pt idx="13">
                  <c:v>8.5799469656027921E-9</c:v>
                </c:pt>
                <c:pt idx="14">
                  <c:v>8.5799469656027924E-8</c:v>
                </c:pt>
                <c:pt idx="15">
                  <c:v>8.5799469656027916E-7</c:v>
                </c:pt>
                <c:pt idx="16">
                  <c:v>8.5799469656027925E-6</c:v>
                </c:pt>
                <c:pt idx="17">
                  <c:v>8.5799469656027918E-5</c:v>
                </c:pt>
                <c:pt idx="18">
                  <c:v>8.5799469656027913E-4</c:v>
                </c:pt>
                <c:pt idx="19">
                  <c:v>8.5799469656027919E-3</c:v>
                </c:pt>
                <c:pt idx="20">
                  <c:v>8.5799469656027916E-2</c:v>
                </c:pt>
                <c:pt idx="21">
                  <c:v>0.85799469656027916</c:v>
                </c:pt>
                <c:pt idx="22">
                  <c:v>8.579946965602792</c:v>
                </c:pt>
                <c:pt idx="23">
                  <c:v>85.799469656027924</c:v>
                </c:pt>
                <c:pt idx="24">
                  <c:v>857.99469656027918</c:v>
                </c:pt>
                <c:pt idx="25">
                  <c:v>8579.9469656027923</c:v>
                </c:pt>
                <c:pt idx="26">
                  <c:v>85799.469656027912</c:v>
                </c:pt>
                <c:pt idx="27">
                  <c:v>857994.69656027912</c:v>
                </c:pt>
                <c:pt idx="28">
                  <c:v>8579946.9656027909</c:v>
                </c:pt>
                <c:pt idx="29">
                  <c:v>85799469.656027913</c:v>
                </c:pt>
                <c:pt idx="30">
                  <c:v>857994696.56027913</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1.9250688021166696E-19</c:v>
                </c:pt>
                <c:pt idx="1">
                  <c:v>1.9250688021166694E-18</c:v>
                </c:pt>
                <c:pt idx="2">
                  <c:v>1.9250688021166696E-17</c:v>
                </c:pt>
                <c:pt idx="3">
                  <c:v>1.9250688021166695E-16</c:v>
                </c:pt>
                <c:pt idx="4">
                  <c:v>1.9250688021166694E-15</c:v>
                </c:pt>
                <c:pt idx="5">
                  <c:v>1.9250688021166696E-14</c:v>
                </c:pt>
                <c:pt idx="6">
                  <c:v>1.9250688021166697E-13</c:v>
                </c:pt>
                <c:pt idx="7">
                  <c:v>1.9250688021166697E-12</c:v>
                </c:pt>
                <c:pt idx="8">
                  <c:v>1.9250688021166693E-11</c:v>
                </c:pt>
                <c:pt idx="9">
                  <c:v>1.9250688021166693E-10</c:v>
                </c:pt>
                <c:pt idx="10">
                  <c:v>1.9250688021166695E-9</c:v>
                </c:pt>
                <c:pt idx="11">
                  <c:v>1.9250688021166696E-8</c:v>
                </c:pt>
                <c:pt idx="12">
                  <c:v>1.9250688021166695E-7</c:v>
                </c:pt>
                <c:pt idx="13">
                  <c:v>1.9250688021166696E-6</c:v>
                </c:pt>
                <c:pt idx="14">
                  <c:v>1.9250688021166695E-5</c:v>
                </c:pt>
                <c:pt idx="15">
                  <c:v>1.9250688021166696E-4</c:v>
                </c:pt>
                <c:pt idx="16">
                  <c:v>1.9250688021166696E-3</c:v>
                </c:pt>
                <c:pt idx="17">
                  <c:v>1.9250688021166695E-2</c:v>
                </c:pt>
                <c:pt idx="18">
                  <c:v>0.19250688021166695</c:v>
                </c:pt>
                <c:pt idx="19">
                  <c:v>1.9250688021166695</c:v>
                </c:pt>
                <c:pt idx="20">
                  <c:v>19.250688021166695</c:v>
                </c:pt>
                <c:pt idx="21">
                  <c:v>192.50688021166695</c:v>
                </c:pt>
                <c:pt idx="22">
                  <c:v>1925.0688021166695</c:v>
                </c:pt>
                <c:pt idx="23">
                  <c:v>19250.688021166694</c:v>
                </c:pt>
                <c:pt idx="24">
                  <c:v>192506.88021166695</c:v>
                </c:pt>
                <c:pt idx="25">
                  <c:v>1925068.8021166695</c:v>
                </c:pt>
                <c:pt idx="26">
                  <c:v>19250688.021166693</c:v>
                </c:pt>
                <c:pt idx="27">
                  <c:v>192506880.21166694</c:v>
                </c:pt>
                <c:pt idx="28">
                  <c:v>1925068802.1166694</c:v>
                </c:pt>
                <c:pt idx="29">
                  <c:v>19250688021.166695</c:v>
                </c:pt>
                <c:pt idx="30">
                  <c:v>192506880211.66696</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1.1545864269127174E-7</c:v>
                </c:pt>
                <c:pt idx="1">
                  <c:v>1.1545864269127174E-6</c:v>
                </c:pt>
                <c:pt idx="2">
                  <c:v>1.1545864269127174E-5</c:v>
                </c:pt>
                <c:pt idx="3">
                  <c:v>1.1545864269127173E-4</c:v>
                </c:pt>
                <c:pt idx="4">
                  <c:v>1.1545864269127172E-3</c:v>
                </c:pt>
                <c:pt idx="5">
                  <c:v>1.1545864269127173E-2</c:v>
                </c:pt>
                <c:pt idx="6">
                  <c:v>0.11545864269127175</c:v>
                </c:pt>
                <c:pt idx="7">
                  <c:v>1.1545864269127173</c:v>
                </c:pt>
                <c:pt idx="8">
                  <c:v>11.545864269127174</c:v>
                </c:pt>
                <c:pt idx="9">
                  <c:v>115.45864269127173</c:v>
                </c:pt>
                <c:pt idx="10">
                  <c:v>1154.5864269127173</c:v>
                </c:pt>
                <c:pt idx="11">
                  <c:v>11545.864269127174</c:v>
                </c:pt>
                <c:pt idx="12">
                  <c:v>115458.64269127174</c:v>
                </c:pt>
                <c:pt idx="13">
                  <c:v>1154586.4269127173</c:v>
                </c:pt>
                <c:pt idx="14">
                  <c:v>11545864.269127173</c:v>
                </c:pt>
                <c:pt idx="15">
                  <c:v>115458642.69127174</c:v>
                </c:pt>
                <c:pt idx="16">
                  <c:v>1154586426.9127173</c:v>
                </c:pt>
                <c:pt idx="17">
                  <c:v>11545864269.127174</c:v>
                </c:pt>
                <c:pt idx="18">
                  <c:v>115458642691.27173</c:v>
                </c:pt>
                <c:pt idx="19">
                  <c:v>1154586426912.7173</c:v>
                </c:pt>
                <c:pt idx="20">
                  <c:v>11545864269127.174</c:v>
                </c:pt>
                <c:pt idx="21">
                  <c:v>115458642691271.73</c:v>
                </c:pt>
                <c:pt idx="22">
                  <c:v>1154586426912717.2</c:v>
                </c:pt>
                <c:pt idx="23">
                  <c:v>1.1545864269127174E+16</c:v>
                </c:pt>
                <c:pt idx="24">
                  <c:v>1.1545864269127173E+17</c:v>
                </c:pt>
                <c:pt idx="25">
                  <c:v>1.1545864269127173E+18</c:v>
                </c:pt>
                <c:pt idx="26">
                  <c:v>1.1545864269127174E+19</c:v>
                </c:pt>
                <c:pt idx="27">
                  <c:v>1.1545864269127174E+20</c:v>
                </c:pt>
                <c:pt idx="28">
                  <c:v>1.1545864269127174E+21</c:v>
                </c:pt>
                <c:pt idx="29">
                  <c:v>1.1545864269127173E+22</c:v>
                </c:pt>
                <c:pt idx="30">
                  <c:v>1.1545864269127174E+23</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6.7738816520092729E-6</c:v>
                </c:pt>
                <c:pt idx="1">
                  <c:v>6.7738816520092717E-5</c:v>
                </c:pt>
                <c:pt idx="2">
                  <c:v>6.7738816520092728E-4</c:v>
                </c:pt>
                <c:pt idx="3">
                  <c:v>6.7738816520092719E-3</c:v>
                </c:pt>
                <c:pt idx="4">
                  <c:v>6.7738816520092712E-2</c:v>
                </c:pt>
                <c:pt idx="5">
                  <c:v>0.67738816520092726</c:v>
                </c:pt>
                <c:pt idx="6">
                  <c:v>6.7738816520092726</c:v>
                </c:pt>
                <c:pt idx="7">
                  <c:v>67.738816520092726</c:v>
                </c:pt>
                <c:pt idx="8">
                  <c:v>677.38816520092723</c:v>
                </c:pt>
                <c:pt idx="9">
                  <c:v>6773.8816520092714</c:v>
                </c:pt>
                <c:pt idx="10">
                  <c:v>67738.816520092732</c:v>
                </c:pt>
                <c:pt idx="11">
                  <c:v>677388.16520092729</c:v>
                </c:pt>
                <c:pt idx="12">
                  <c:v>6773881.652009272</c:v>
                </c:pt>
                <c:pt idx="13">
                  <c:v>67738816.520092726</c:v>
                </c:pt>
                <c:pt idx="14">
                  <c:v>677388165.20092726</c:v>
                </c:pt>
                <c:pt idx="15">
                  <c:v>6773881652.0092716</c:v>
                </c:pt>
                <c:pt idx="16">
                  <c:v>67738816520.09272</c:v>
                </c:pt>
                <c:pt idx="17">
                  <c:v>677388165200.92725</c:v>
                </c:pt>
                <c:pt idx="18">
                  <c:v>6773881652009.2725</c:v>
                </c:pt>
                <c:pt idx="19">
                  <c:v>67738816520092.719</c:v>
                </c:pt>
                <c:pt idx="20">
                  <c:v>677388165200927.25</c:v>
                </c:pt>
                <c:pt idx="21">
                  <c:v>6773881652009272</c:v>
                </c:pt>
                <c:pt idx="22">
                  <c:v>6.773881652009272E+16</c:v>
                </c:pt>
                <c:pt idx="23">
                  <c:v>6.7738816520092723E+17</c:v>
                </c:pt>
                <c:pt idx="24">
                  <c:v>6.7738816520092723E+18</c:v>
                </c:pt>
                <c:pt idx="25">
                  <c:v>6.7738816520092721E+19</c:v>
                </c:pt>
                <c:pt idx="26">
                  <c:v>6.7738816520092726E+20</c:v>
                </c:pt>
                <c:pt idx="27">
                  <c:v>6.7738816520092721E+21</c:v>
                </c:pt>
                <c:pt idx="28">
                  <c:v>6.7738816520092725E+22</c:v>
                </c:pt>
                <c:pt idx="29">
                  <c:v>6.7738816520092722E+23</c:v>
                </c:pt>
                <c:pt idx="30">
                  <c:v>6.7738816520092719E+24</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555284512"/>
        <c:axId val="555284904"/>
      </c:scatterChart>
      <c:valAx>
        <c:axId val="5552845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5284904"/>
        <c:crosses val="autoZero"/>
        <c:crossBetween val="midCat"/>
      </c:valAx>
      <c:valAx>
        <c:axId val="555284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528451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4.1916837249277672E-25</c:v>
                </c:pt>
                <c:pt idx="1">
                  <c:v>4.191683724927767E-24</c:v>
                </c:pt>
                <c:pt idx="2">
                  <c:v>4.1916837249277667E-23</c:v>
                </c:pt>
                <c:pt idx="3">
                  <c:v>4.1916837249277669E-22</c:v>
                </c:pt>
                <c:pt idx="4">
                  <c:v>4.1916837249277667E-21</c:v>
                </c:pt>
                <c:pt idx="5">
                  <c:v>4.191683724927767E-20</c:v>
                </c:pt>
                <c:pt idx="6">
                  <c:v>4.1916837249277672E-19</c:v>
                </c:pt>
                <c:pt idx="7">
                  <c:v>4.1916837249277668E-18</c:v>
                </c:pt>
                <c:pt idx="8">
                  <c:v>4.1916837249277665E-17</c:v>
                </c:pt>
                <c:pt idx="9">
                  <c:v>4.1916837249277666E-16</c:v>
                </c:pt>
                <c:pt idx="10">
                  <c:v>4.1916837249277668E-15</c:v>
                </c:pt>
                <c:pt idx="11">
                  <c:v>4.1916837249277668E-14</c:v>
                </c:pt>
                <c:pt idx="12">
                  <c:v>4.1916837249277668E-13</c:v>
                </c:pt>
                <c:pt idx="13">
                  <c:v>4.191683724927767E-12</c:v>
                </c:pt>
                <c:pt idx="14">
                  <c:v>4.1916837249277668E-11</c:v>
                </c:pt>
                <c:pt idx="15">
                  <c:v>4.191683724927767E-10</c:v>
                </c:pt>
                <c:pt idx="16">
                  <c:v>4.1916837249277665E-9</c:v>
                </c:pt>
                <c:pt idx="17">
                  <c:v>4.1916837249277669E-8</c:v>
                </c:pt>
                <c:pt idx="18">
                  <c:v>4.191683724927767E-7</c:v>
                </c:pt>
                <c:pt idx="19">
                  <c:v>4.1916837249277669E-6</c:v>
                </c:pt>
                <c:pt idx="20">
                  <c:v>4.1916837249277669E-5</c:v>
                </c:pt>
                <c:pt idx="21">
                  <c:v>4.1916837249277668E-4</c:v>
                </c:pt>
                <c:pt idx="22">
                  <c:v>4.191683724927767E-3</c:v>
                </c:pt>
                <c:pt idx="23">
                  <c:v>4.1916837249277666E-2</c:v>
                </c:pt>
                <c:pt idx="24">
                  <c:v>0.41916837249277666</c:v>
                </c:pt>
                <c:pt idx="25">
                  <c:v>4.191683724927767</c:v>
                </c:pt>
                <c:pt idx="26">
                  <c:v>41.91683724927767</c:v>
                </c:pt>
                <c:pt idx="27">
                  <c:v>419.16837249277665</c:v>
                </c:pt>
                <c:pt idx="28">
                  <c:v>4191.6837249277669</c:v>
                </c:pt>
                <c:pt idx="29">
                  <c:v>41916.837249277669</c:v>
                </c:pt>
                <c:pt idx="30">
                  <c:v>419168.37249277666</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2.2801663141821097E-23</c:v>
                </c:pt>
                <c:pt idx="1">
                  <c:v>2.2801663141821096E-22</c:v>
                </c:pt>
                <c:pt idx="2">
                  <c:v>2.2801663141821093E-21</c:v>
                </c:pt>
                <c:pt idx="3">
                  <c:v>2.2801663141821093E-20</c:v>
                </c:pt>
                <c:pt idx="4">
                  <c:v>2.2801663141821092E-19</c:v>
                </c:pt>
                <c:pt idx="5">
                  <c:v>2.2801663141821095E-18</c:v>
                </c:pt>
                <c:pt idx="6">
                  <c:v>2.2801663141821095E-17</c:v>
                </c:pt>
                <c:pt idx="7">
                  <c:v>2.2801663141821095E-16</c:v>
                </c:pt>
                <c:pt idx="8">
                  <c:v>2.2801663141821094E-15</c:v>
                </c:pt>
                <c:pt idx="9">
                  <c:v>2.2801663141821093E-14</c:v>
                </c:pt>
                <c:pt idx="10">
                  <c:v>2.2801663141821094E-13</c:v>
                </c:pt>
                <c:pt idx="11">
                  <c:v>2.2801663141821096E-12</c:v>
                </c:pt>
                <c:pt idx="12">
                  <c:v>2.2801663141821094E-11</c:v>
                </c:pt>
                <c:pt idx="13">
                  <c:v>2.2801663141821094E-10</c:v>
                </c:pt>
                <c:pt idx="14">
                  <c:v>2.2801663141821097E-9</c:v>
                </c:pt>
                <c:pt idx="15">
                  <c:v>2.2801663141821095E-8</c:v>
                </c:pt>
                <c:pt idx="16">
                  <c:v>2.2801663141821093E-7</c:v>
                </c:pt>
                <c:pt idx="17">
                  <c:v>2.2801663141821093E-6</c:v>
                </c:pt>
                <c:pt idx="18">
                  <c:v>2.2801663141821096E-5</c:v>
                </c:pt>
                <c:pt idx="19">
                  <c:v>2.2801663141821095E-4</c:v>
                </c:pt>
                <c:pt idx="20">
                  <c:v>2.2801663141821093E-3</c:v>
                </c:pt>
                <c:pt idx="21">
                  <c:v>2.2801663141821093E-2</c:v>
                </c:pt>
                <c:pt idx="22">
                  <c:v>0.22801663141821094</c:v>
                </c:pt>
                <c:pt idx="23">
                  <c:v>2.2801663141821096</c:v>
                </c:pt>
                <c:pt idx="24">
                  <c:v>22.801663141821095</c:v>
                </c:pt>
                <c:pt idx="25">
                  <c:v>228.01663141821095</c:v>
                </c:pt>
                <c:pt idx="26">
                  <c:v>2280.1663141821095</c:v>
                </c:pt>
                <c:pt idx="27">
                  <c:v>22801.663141821093</c:v>
                </c:pt>
                <c:pt idx="28">
                  <c:v>228016.63141821095</c:v>
                </c:pt>
                <c:pt idx="29">
                  <c:v>2280166.3141821097</c:v>
                </c:pt>
                <c:pt idx="30">
                  <c:v>22801663.141821094</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8.5799469656027922E-22</c:v>
                </c:pt>
                <c:pt idx="1">
                  <c:v>8.5799469656027922E-21</c:v>
                </c:pt>
                <c:pt idx="2">
                  <c:v>8.5799469656027925E-20</c:v>
                </c:pt>
                <c:pt idx="3">
                  <c:v>8.5799469656027913E-19</c:v>
                </c:pt>
                <c:pt idx="4">
                  <c:v>8.5799469656027913E-18</c:v>
                </c:pt>
                <c:pt idx="5">
                  <c:v>8.5799469656027919E-17</c:v>
                </c:pt>
                <c:pt idx="6">
                  <c:v>8.5799469656027922E-16</c:v>
                </c:pt>
                <c:pt idx="7">
                  <c:v>8.5799469656027914E-15</c:v>
                </c:pt>
                <c:pt idx="8">
                  <c:v>8.5799469656027911E-14</c:v>
                </c:pt>
                <c:pt idx="9">
                  <c:v>8.5799469656027913E-13</c:v>
                </c:pt>
                <c:pt idx="10">
                  <c:v>8.5799469656027923E-12</c:v>
                </c:pt>
                <c:pt idx="11">
                  <c:v>8.5799469656027923E-11</c:v>
                </c:pt>
                <c:pt idx="12">
                  <c:v>8.5799469656027923E-10</c:v>
                </c:pt>
                <c:pt idx="13">
                  <c:v>8.5799469656027921E-9</c:v>
                </c:pt>
                <c:pt idx="14">
                  <c:v>8.5799469656027924E-8</c:v>
                </c:pt>
                <c:pt idx="15">
                  <c:v>8.5799469656027916E-7</c:v>
                </c:pt>
                <c:pt idx="16">
                  <c:v>8.5799469656027925E-6</c:v>
                </c:pt>
                <c:pt idx="17">
                  <c:v>8.5799469656027918E-5</c:v>
                </c:pt>
                <c:pt idx="18">
                  <c:v>8.5799469656027913E-4</c:v>
                </c:pt>
                <c:pt idx="19">
                  <c:v>8.5799469656027919E-3</c:v>
                </c:pt>
                <c:pt idx="20">
                  <c:v>8.5799469656027916E-2</c:v>
                </c:pt>
                <c:pt idx="21">
                  <c:v>0.85799469656027916</c:v>
                </c:pt>
                <c:pt idx="22">
                  <c:v>8.579946965602792</c:v>
                </c:pt>
                <c:pt idx="23">
                  <c:v>85.799469656027924</c:v>
                </c:pt>
                <c:pt idx="24">
                  <c:v>857.99469656027918</c:v>
                </c:pt>
                <c:pt idx="25">
                  <c:v>8579.9469656027923</c:v>
                </c:pt>
                <c:pt idx="26">
                  <c:v>85799.469656027912</c:v>
                </c:pt>
                <c:pt idx="27">
                  <c:v>857994.69656027912</c:v>
                </c:pt>
                <c:pt idx="28">
                  <c:v>8579946.9656027909</c:v>
                </c:pt>
                <c:pt idx="29">
                  <c:v>85799469.656027913</c:v>
                </c:pt>
                <c:pt idx="30">
                  <c:v>857994696.56027913</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1.9250688021166696E-19</c:v>
                </c:pt>
                <c:pt idx="1">
                  <c:v>1.9250688021166694E-18</c:v>
                </c:pt>
                <c:pt idx="2">
                  <c:v>1.9250688021166696E-17</c:v>
                </c:pt>
                <c:pt idx="3">
                  <c:v>1.9250688021166695E-16</c:v>
                </c:pt>
                <c:pt idx="4">
                  <c:v>1.9250688021166694E-15</c:v>
                </c:pt>
                <c:pt idx="5">
                  <c:v>1.9250688021166696E-14</c:v>
                </c:pt>
                <c:pt idx="6">
                  <c:v>1.9250688021166697E-13</c:v>
                </c:pt>
                <c:pt idx="7">
                  <c:v>1.9250688021166697E-12</c:v>
                </c:pt>
                <c:pt idx="8">
                  <c:v>1.9250688021166693E-11</c:v>
                </c:pt>
                <c:pt idx="9">
                  <c:v>1.9250688021166693E-10</c:v>
                </c:pt>
                <c:pt idx="10">
                  <c:v>1.9250688021166695E-9</c:v>
                </c:pt>
                <c:pt idx="11">
                  <c:v>1.9250688021166696E-8</c:v>
                </c:pt>
                <c:pt idx="12">
                  <c:v>1.9250688021166695E-7</c:v>
                </c:pt>
                <c:pt idx="13">
                  <c:v>1.9250688021166696E-6</c:v>
                </c:pt>
                <c:pt idx="14">
                  <c:v>1.9250688021166695E-5</c:v>
                </c:pt>
                <c:pt idx="15">
                  <c:v>1.9250688021166696E-4</c:v>
                </c:pt>
                <c:pt idx="16">
                  <c:v>1.9250688021166696E-3</c:v>
                </c:pt>
                <c:pt idx="17">
                  <c:v>1.9250688021166695E-2</c:v>
                </c:pt>
                <c:pt idx="18">
                  <c:v>0.19250688021166695</c:v>
                </c:pt>
                <c:pt idx="19">
                  <c:v>1.9250688021166695</c:v>
                </c:pt>
                <c:pt idx="20">
                  <c:v>19.250688021166695</c:v>
                </c:pt>
                <c:pt idx="21">
                  <c:v>192.50688021166695</c:v>
                </c:pt>
                <c:pt idx="22">
                  <c:v>1925.0688021166695</c:v>
                </c:pt>
                <c:pt idx="23">
                  <c:v>19250.688021166694</c:v>
                </c:pt>
                <c:pt idx="24">
                  <c:v>192506.88021166695</c:v>
                </c:pt>
                <c:pt idx="25">
                  <c:v>1925068.8021166695</c:v>
                </c:pt>
                <c:pt idx="26">
                  <c:v>19250688.021166693</c:v>
                </c:pt>
                <c:pt idx="27">
                  <c:v>192506880.21166694</c:v>
                </c:pt>
                <c:pt idx="28">
                  <c:v>1925068802.1166694</c:v>
                </c:pt>
                <c:pt idx="29">
                  <c:v>19250688021.166695</c:v>
                </c:pt>
                <c:pt idx="30">
                  <c:v>192506880211.66696</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1.1545864269127174E-7</c:v>
                </c:pt>
                <c:pt idx="1">
                  <c:v>1.1545864269127174E-6</c:v>
                </c:pt>
                <c:pt idx="2">
                  <c:v>1.1545864269127174E-5</c:v>
                </c:pt>
                <c:pt idx="3">
                  <c:v>1.1545864269127173E-4</c:v>
                </c:pt>
                <c:pt idx="4">
                  <c:v>1.1545864269127172E-3</c:v>
                </c:pt>
                <c:pt idx="5">
                  <c:v>1.1545864269127173E-2</c:v>
                </c:pt>
                <c:pt idx="6">
                  <c:v>0.11545864269127175</c:v>
                </c:pt>
                <c:pt idx="7">
                  <c:v>1.1545864269127173</c:v>
                </c:pt>
                <c:pt idx="8">
                  <c:v>11.545864269127174</c:v>
                </c:pt>
                <c:pt idx="9">
                  <c:v>115.45864269127173</c:v>
                </c:pt>
                <c:pt idx="10">
                  <c:v>1154.5864269127173</c:v>
                </c:pt>
                <c:pt idx="11">
                  <c:v>11545.864269127174</c:v>
                </c:pt>
                <c:pt idx="12">
                  <c:v>115458.64269127174</c:v>
                </c:pt>
                <c:pt idx="13">
                  <c:v>1154586.4269127173</c:v>
                </c:pt>
                <c:pt idx="14">
                  <c:v>11545864.269127173</c:v>
                </c:pt>
                <c:pt idx="15">
                  <c:v>115458642.69127174</c:v>
                </c:pt>
                <c:pt idx="16">
                  <c:v>1154586426.9127173</c:v>
                </c:pt>
                <c:pt idx="17">
                  <c:v>11545864269.127174</c:v>
                </c:pt>
                <c:pt idx="18">
                  <c:v>115458642691.27173</c:v>
                </c:pt>
                <c:pt idx="19">
                  <c:v>1154586426912.7173</c:v>
                </c:pt>
                <c:pt idx="20">
                  <c:v>11545864269127.174</c:v>
                </c:pt>
                <c:pt idx="21">
                  <c:v>115458642691271.73</c:v>
                </c:pt>
                <c:pt idx="22">
                  <c:v>1154586426912717.2</c:v>
                </c:pt>
                <c:pt idx="23">
                  <c:v>1.1545864269127174E+16</c:v>
                </c:pt>
                <c:pt idx="24">
                  <c:v>1.1545864269127173E+17</c:v>
                </c:pt>
                <c:pt idx="25">
                  <c:v>1.1545864269127173E+18</c:v>
                </c:pt>
                <c:pt idx="26">
                  <c:v>1.1545864269127174E+19</c:v>
                </c:pt>
                <c:pt idx="27">
                  <c:v>1.1545864269127174E+20</c:v>
                </c:pt>
                <c:pt idx="28">
                  <c:v>1.1545864269127174E+21</c:v>
                </c:pt>
                <c:pt idx="29">
                  <c:v>1.1545864269127173E+22</c:v>
                </c:pt>
                <c:pt idx="30">
                  <c:v>1.1545864269127174E+23</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6.7738816520092729E-6</c:v>
                </c:pt>
                <c:pt idx="1">
                  <c:v>6.7738816520092717E-5</c:v>
                </c:pt>
                <c:pt idx="2">
                  <c:v>6.7738816520092728E-4</c:v>
                </c:pt>
                <c:pt idx="3">
                  <c:v>6.7738816520092719E-3</c:v>
                </c:pt>
                <c:pt idx="4">
                  <c:v>6.7738816520092712E-2</c:v>
                </c:pt>
                <c:pt idx="5">
                  <c:v>0.67738816520092726</c:v>
                </c:pt>
                <c:pt idx="6">
                  <c:v>6.7738816520092726</c:v>
                </c:pt>
                <c:pt idx="7">
                  <c:v>67.738816520092726</c:v>
                </c:pt>
                <c:pt idx="8">
                  <c:v>677.38816520092723</c:v>
                </c:pt>
                <c:pt idx="9">
                  <c:v>6773.8816520092714</c:v>
                </c:pt>
                <c:pt idx="10">
                  <c:v>67738.816520092732</c:v>
                </c:pt>
                <c:pt idx="11">
                  <c:v>677388.16520092729</c:v>
                </c:pt>
                <c:pt idx="12">
                  <c:v>6773881.652009272</c:v>
                </c:pt>
                <c:pt idx="13">
                  <c:v>67738816.520092726</c:v>
                </c:pt>
                <c:pt idx="14">
                  <c:v>677388165.20092726</c:v>
                </c:pt>
                <c:pt idx="15">
                  <c:v>6773881652.0092716</c:v>
                </c:pt>
                <c:pt idx="16">
                  <c:v>67738816520.09272</c:v>
                </c:pt>
                <c:pt idx="17">
                  <c:v>677388165200.92725</c:v>
                </c:pt>
                <c:pt idx="18">
                  <c:v>6773881652009.2725</c:v>
                </c:pt>
                <c:pt idx="19">
                  <c:v>67738816520092.719</c:v>
                </c:pt>
                <c:pt idx="20">
                  <c:v>677388165200927.25</c:v>
                </c:pt>
                <c:pt idx="21">
                  <c:v>6773881652009272</c:v>
                </c:pt>
                <c:pt idx="22">
                  <c:v>6.773881652009272E+16</c:v>
                </c:pt>
                <c:pt idx="23">
                  <c:v>6.7738816520092723E+17</c:v>
                </c:pt>
                <c:pt idx="24">
                  <c:v>6.7738816520092723E+18</c:v>
                </c:pt>
                <c:pt idx="25">
                  <c:v>6.7738816520092721E+19</c:v>
                </c:pt>
                <c:pt idx="26">
                  <c:v>6.7738816520092726E+20</c:v>
                </c:pt>
                <c:pt idx="27">
                  <c:v>6.7738816520092721E+21</c:v>
                </c:pt>
                <c:pt idx="28">
                  <c:v>6.7738816520092725E+22</c:v>
                </c:pt>
                <c:pt idx="29">
                  <c:v>6.7738816520092722E+23</c:v>
                </c:pt>
                <c:pt idx="30">
                  <c:v>6.7738816520092719E+24</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555286080"/>
        <c:axId val="555287256"/>
      </c:scatterChart>
      <c:valAx>
        <c:axId val="55528608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5287256"/>
        <c:crosses val="autoZero"/>
        <c:crossBetween val="midCat"/>
      </c:valAx>
      <c:valAx>
        <c:axId val="555287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528608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-21.592748433065772</c:v>
                </c:pt>
                <c:pt idx="1">
                  <c:v>-21.508825873765161</c:v>
                </c:pt>
                <c:pt idx="2">
                  <c:v>-21.424843331940885</c:v>
                </c:pt>
                <c:pt idx="3">
                  <c:v>-21.340740825069293</c:v>
                </c:pt>
                <c:pt idx="4">
                  <c:v>-21.256458370626724</c:v>
                </c:pt>
                <c:pt idx="5">
                  <c:v>-21.171935986089512</c:v>
                </c:pt>
                <c:pt idx="6">
                  <c:v>-21.087113688934007</c:v>
                </c:pt>
                <c:pt idx="7">
                  <c:v>-21.001931496636544</c:v>
                </c:pt>
                <c:pt idx="8">
                  <c:v>-20.916329426673457</c:v>
                </c:pt>
                <c:pt idx="9">
                  <c:v>-20.8302474965211</c:v>
                </c:pt>
                <c:pt idx="10">
                  <c:v>-20.743625723655803</c:v>
                </c:pt>
                <c:pt idx="11">
                  <c:v>-20.656404125553912</c:v>
                </c:pt>
                <c:pt idx="12">
                  <c:v>-20.568522719691764</c:v>
                </c:pt>
                <c:pt idx="13">
                  <c:v>-20.479921523545698</c:v>
                </c:pt>
                <c:pt idx="14">
                  <c:v>-20.390540554592057</c:v>
                </c:pt>
                <c:pt idx="15">
                  <c:v>-20.300319830307185</c:v>
                </c:pt>
                <c:pt idx="16">
                  <c:v>-20.209199368167418</c:v>
                </c:pt>
                <c:pt idx="17">
                  <c:v>-20.117119185649095</c:v>
                </c:pt>
                <c:pt idx="18">
                  <c:v>-20.024019300228559</c:v>
                </c:pt>
                <c:pt idx="19">
                  <c:v>-19.929839729382152</c:v>
                </c:pt>
                <c:pt idx="20">
                  <c:v>-19.834520490586208</c:v>
                </c:pt>
                <c:pt idx="21">
                  <c:v>-19.738001601317073</c:v>
                </c:pt>
                <c:pt idx="22">
                  <c:v>-19.640223079051086</c:v>
                </c:pt>
                <c:pt idx="23">
                  <c:v>-19.541124941264588</c:v>
                </c:pt>
                <c:pt idx="24">
                  <c:v>-19.440647205433919</c:v>
                </c:pt>
                <c:pt idx="25">
                  <c:v>-19.33872988903542</c:v>
                </c:pt>
                <c:pt idx="26">
                  <c:v>-19.235313009545429</c:v>
                </c:pt>
                <c:pt idx="27">
                  <c:v>-19.130336584440286</c:v>
                </c:pt>
                <c:pt idx="28">
                  <c:v>-19.023740631196333</c:v>
                </c:pt>
                <c:pt idx="29">
                  <c:v>-18.915465167289913</c:v>
                </c:pt>
                <c:pt idx="30">
                  <c:v>-18.805450210197364</c:v>
                </c:pt>
                <c:pt idx="31">
                  <c:v>-18.693635777395023</c:v>
                </c:pt>
                <c:pt idx="32">
                  <c:v>-18.579961886359236</c:v>
                </c:pt>
                <c:pt idx="33">
                  <c:v>-18.464368554566342</c:v>
                </c:pt>
                <c:pt idx="34">
                  <c:v>-18.346795799492682</c:v>
                </c:pt>
                <c:pt idx="35">
                  <c:v>-18.227183638614591</c:v>
                </c:pt>
                <c:pt idx="36">
                  <c:v>-18.105472089408416</c:v>
                </c:pt>
                <c:pt idx="37">
                  <c:v>-17.98160116935049</c:v>
                </c:pt>
                <c:pt idx="38">
                  <c:v>-17.85551089591716</c:v>
                </c:pt>
                <c:pt idx="39">
                  <c:v>-17.727141286584768</c:v>
                </c:pt>
                <c:pt idx="40">
                  <c:v>-17.596432358829645</c:v>
                </c:pt>
                <c:pt idx="41">
                  <c:v>-17.484996655393694</c:v>
                </c:pt>
                <c:pt idx="42">
                  <c:v>-17.371114696561222</c:v>
                </c:pt>
                <c:pt idx="43">
                  <c:v>-17.254739527882073</c:v>
                </c:pt>
                <c:pt idx="44">
                  <c:v>-17.13582419490611</c:v>
                </c:pt>
                <c:pt idx="45">
                  <c:v>-17.014321743183192</c:v>
                </c:pt>
                <c:pt idx="46">
                  <c:v>-16.89018521826317</c:v>
                </c:pt>
                <c:pt idx="47">
                  <c:v>-16.763367665695903</c:v>
                </c:pt>
                <c:pt idx="48">
                  <c:v>-16.633822131031245</c:v>
                </c:pt>
                <c:pt idx="49">
                  <c:v>-16.501501659819056</c:v>
                </c:pt>
                <c:pt idx="50">
                  <c:v>-16.366359297609193</c:v>
                </c:pt>
                <c:pt idx="51">
                  <c:v>-16.228348089951513</c:v>
                </c:pt>
                <c:pt idx="52">
                  <c:v>-16.087421082395871</c:v>
                </c:pt>
                <c:pt idx="53">
                  <c:v>-15.943531320492118</c:v>
                </c:pt>
                <c:pt idx="54">
                  <c:v>-15.796631849790121</c:v>
                </c:pt>
                <c:pt idx="55">
                  <c:v>-15.646675715839731</c:v>
                </c:pt>
                <c:pt idx="56">
                  <c:v>-15.493615964190806</c:v>
                </c:pt>
                <c:pt idx="57">
                  <c:v>-15.337405640393202</c:v>
                </c:pt>
                <c:pt idx="58">
                  <c:v>-15.177997789996773</c:v>
                </c:pt>
                <c:pt idx="59">
                  <c:v>-15.015345458551383</c:v>
                </c:pt>
                <c:pt idx="60">
                  <c:v>-14.849401691606882</c:v>
                </c:pt>
                <c:pt idx="61">
                  <c:v>-14.680119534713128</c:v>
                </c:pt>
                <c:pt idx="62">
                  <c:v>-14.50745203341998</c:v>
                </c:pt>
                <c:pt idx="63">
                  <c:v>-14.331352233277293</c:v>
                </c:pt>
                <c:pt idx="64">
                  <c:v>-14.151773179834922</c:v>
                </c:pt>
                <c:pt idx="65">
                  <c:v>-13.968667918642726</c:v>
                </c:pt>
                <c:pt idx="66">
                  <c:v>-13.782018148150403</c:v>
                </c:pt>
                <c:pt idx="67">
                  <c:v>-13.591920178407026</c:v>
                </c:pt>
                <c:pt idx="68">
                  <c:v>-13.398498972361502</c:v>
                </c:pt>
                <c:pt idx="69">
                  <c:v>-13.201879492962746</c:v>
                </c:pt>
                <c:pt idx="70">
                  <c:v>-13.002186703159671</c:v>
                </c:pt>
                <c:pt idx="71">
                  <c:v>-12.799545565901187</c:v>
                </c:pt>
                <c:pt idx="72">
                  <c:v>-12.594081044136207</c:v>
                </c:pt>
                <c:pt idx="73">
                  <c:v>-12.385918100813647</c:v>
                </c:pt>
                <c:pt idx="74">
                  <c:v>-12.175181698882414</c:v>
                </c:pt>
                <c:pt idx="75">
                  <c:v>-11.96199680129142</c:v>
                </c:pt>
                <c:pt idx="76">
                  <c:v>-11.746488370989582</c:v>
                </c:pt>
                <c:pt idx="77">
                  <c:v>-11.52878137092581</c:v>
                </c:pt>
                <c:pt idx="78">
                  <c:v>-11.309000764049014</c:v>
                </c:pt>
                <c:pt idx="79">
                  <c:v>-11.08727151330811</c:v>
                </c:pt>
                <c:pt idx="80">
                  <c:v>-10.863718581652009</c:v>
                </c:pt>
                <c:pt idx="81">
                  <c:v>-10.638466932029623</c:v>
                </c:pt>
                <c:pt idx="82">
                  <c:v>-10.411641527389861</c:v>
                </c:pt>
                <c:pt idx="83">
                  <c:v>-10.183367330681643</c:v>
                </c:pt>
                <c:pt idx="84">
                  <c:v>-9.9537693048538731</c:v>
                </c:pt>
                <c:pt idx="85">
                  <c:v>-9.7229724128554693</c:v>
                </c:pt>
                <c:pt idx="86">
                  <c:v>-9.4911016176353407</c:v>
                </c:pt>
                <c:pt idx="87">
                  <c:v>-9.2582818821424002</c:v>
                </c:pt>
                <c:pt idx="88">
                  <c:v>-9.0246381693255611</c:v>
                </c:pt>
                <c:pt idx="89">
                  <c:v>-8.7902954421337327</c:v>
                </c:pt>
                <c:pt idx="90">
                  <c:v>-8.5553786635158335</c:v>
                </c:pt>
                <c:pt idx="91">
                  <c:v>-8.3199438794719391</c:v>
                </c:pt>
                <c:pt idx="92">
                  <c:v>-8.0837714682068018</c:v>
                </c:pt>
                <c:pt idx="93">
                  <c:v>-7.8465728909763452</c:v>
                </c:pt>
                <c:pt idx="94">
                  <c:v>-7.6080596090364905</c:v>
                </c:pt>
                <c:pt idx="95">
                  <c:v>-7.3679430836431585</c:v>
                </c:pt>
                <c:pt idx="96">
                  <c:v>-7.1259347760522713</c:v>
                </c:pt>
                <c:pt idx="97">
                  <c:v>-6.8817461475197499</c:v>
                </c:pt>
                <c:pt idx="98">
                  <c:v>-6.6350886593015161</c:v>
                </c:pt>
                <c:pt idx="99">
                  <c:v>-6.3856737726534911</c:v>
                </c:pt>
                <c:pt idx="100">
                  <c:v>-6.1332129488315967</c:v>
                </c:pt>
                <c:pt idx="101">
                  <c:v>-5.8774176490917531</c:v>
                </c:pt>
                <c:pt idx="102">
                  <c:v>-5.6179993346898831</c:v>
                </c:pt>
                <c:pt idx="103">
                  <c:v>-5.3546694668819068</c:v>
                </c:pt>
                <c:pt idx="104">
                  <c:v>-5.0871395069237462</c:v>
                </c:pt>
                <c:pt idx="105">
                  <c:v>-4.8151209160713231</c:v>
                </c:pt>
                <c:pt idx="106">
                  <c:v>-4.5383251555805595</c:v>
                </c:pt>
                <c:pt idx="107">
                  <c:v>-4.2564636867073755</c:v>
                </c:pt>
                <c:pt idx="108">
                  <c:v>-3.9692479707076918</c:v>
                </c:pt>
                <c:pt idx="109">
                  <c:v>-3.6763894688374315</c:v>
                </c:pt>
                <c:pt idx="110">
                  <c:v>-3.3775996423525161</c:v>
                </c:pt>
                <c:pt idx="111">
                  <c:v>-3.0725899525088658</c:v>
                </c:pt>
                <c:pt idx="112">
                  <c:v>-2.7610718605624025</c:v>
                </c:pt>
                <c:pt idx="113">
                  <c:v>-2.4427568277690481</c:v>
                </c:pt>
                <c:pt idx="114">
                  <c:v>-2.1173563153847228</c:v>
                </c:pt>
                <c:pt idx="115">
                  <c:v>-1.7845817846653496</c:v>
                </c:pt>
                <c:pt idx="116">
                  <c:v>-1.4441446968668485</c:v>
                </c:pt>
                <c:pt idx="117">
                  <c:v>-1.0957565132451417</c:v>
                </c:pt>
                <c:pt idx="118">
                  <c:v>-0.73912869505615064</c:v>
                </c:pt>
                <c:pt idx="119">
                  <c:v>-0.37397270355579615</c:v>
                </c:pt>
                <c:pt idx="120">
                  <c:v>0</c:v>
                </c:pt>
                <c:pt idx="121">
                  <c:v>0.3829455175770361</c:v>
                </c:pt>
                <c:pt idx="122">
                  <c:v>0.77449020402799174</c:v>
                </c:pt>
                <c:pt idx="123">
                  <c:v>1.1741279774272648</c:v>
                </c:pt>
                <c:pt idx="124">
                  <c:v>1.5813527558492551</c:v>
                </c:pt>
                <c:pt idx="125">
                  <c:v>1.9956584573683611</c:v>
                </c:pt>
                <c:pt idx="126">
                  <c:v>2.4165390000589806</c:v>
                </c:pt>
                <c:pt idx="127">
                  <c:v>2.8434883019955146</c:v>
                </c:pt>
                <c:pt idx="128">
                  <c:v>3.2760002812523603</c:v>
                </c:pt>
                <c:pt idx="129">
                  <c:v>3.7135688559039171</c:v>
                </c:pt>
                <c:pt idx="130">
                  <c:v>4.1556879440245833</c:v>
                </c:pt>
                <c:pt idx="131">
                  <c:v>4.6018514636887584</c:v>
                </c:pt>
                <c:pt idx="132">
                  <c:v>5.0515533329708404</c:v>
                </c:pt>
                <c:pt idx="133">
                  <c:v>5.5042874699452291</c:v>
                </c:pt>
                <c:pt idx="134">
                  <c:v>5.9595477926863225</c:v>
                </c:pt>
                <c:pt idx="135">
                  <c:v>6.4168282192685204</c:v>
                </c:pt>
                <c:pt idx="136">
                  <c:v>6.8756226677662209</c:v>
                </c:pt>
                <c:pt idx="137">
                  <c:v>7.3354250562538228</c:v>
                </c:pt>
                <c:pt idx="138">
                  <c:v>7.7957293028057268</c:v>
                </c:pt>
                <c:pt idx="139">
                  <c:v>8.2560293254963284</c:v>
                </c:pt>
                <c:pt idx="140">
                  <c:v>8.7158190424000281</c:v>
                </c:pt>
                <c:pt idx="141">
                  <c:v>9.1745923715912241</c:v>
                </c:pt>
                <c:pt idx="142">
                  <c:v>9.6318432311443196</c:v>
                </c:pt>
                <c:pt idx="143">
                  <c:v>10.087065539133706</c:v>
                </c:pt>
                <c:pt idx="144">
                  <c:v>10.539753213633785</c:v>
                </c:pt>
                <c:pt idx="145">
                  <c:v>10.989400172718961</c:v>
                </c:pt>
                <c:pt idx="146">
                  <c:v>11.435500334463624</c:v>
                </c:pt>
                <c:pt idx="147">
                  <c:v>11.877547616942179</c:v>
                </c:pt>
                <c:pt idx="148">
                  <c:v>12.315035938229022</c:v>
                </c:pt>
                <c:pt idx="149">
                  <c:v>12.747459216398553</c:v>
                </c:pt>
                <c:pt idx="150">
                  <c:v>13.174311369525171</c:v>
                </c:pt>
                <c:pt idx="151">
                  <c:v>13.595086315683274</c:v>
                </c:pt>
                <c:pt idx="152">
                  <c:v>14.00927797294726</c:v>
                </c:pt>
                <c:pt idx="153">
                  <c:v>14.416380259391531</c:v>
                </c:pt>
                <c:pt idx="154">
                  <c:v>14.815887093090479</c:v>
                </c:pt>
                <c:pt idx="155">
                  <c:v>15.207292392118513</c:v>
                </c:pt>
                <c:pt idx="156">
                  <c:v>15.590090074550025</c:v>
                </c:pt>
                <c:pt idx="157">
                  <c:v>15.963774058459418</c:v>
                </c:pt>
                <c:pt idx="158">
                  <c:v>16.32783826192108</c:v>
                </c:pt>
                <c:pt idx="159">
                  <c:v>16.681776603009425</c:v>
                </c:pt>
                <c:pt idx="160">
                  <c:v>17.025082999798844</c:v>
                </c:pt>
                <c:pt idx="161">
                  <c:v>17.357251370363734</c:v>
                </c:pt>
                <c:pt idx="162">
                  <c:v>17.677775632778499</c:v>
                </c:pt>
                <c:pt idx="163">
                  <c:v>17.986149705117537</c:v>
                </c:pt>
                <c:pt idx="164">
                  <c:v>18.281867505455242</c:v>
                </c:pt>
                <c:pt idx="165">
                  <c:v>18.564422951866014</c:v>
                </c:pt>
                <c:pt idx="166">
                  <c:v>18.833459397201633</c:v>
                </c:pt>
                <c:pt idx="167">
                  <c:v>19.089217933423363</c:v>
                </c:pt>
                <c:pt idx="168">
                  <c:v>19.332089087269843</c:v>
                </c:pt>
                <c:pt idx="169">
                  <c:v>19.562463385479727</c:v>
                </c:pt>
                <c:pt idx="170">
                  <c:v>19.780731354791655</c:v>
                </c:pt>
                <c:pt idx="171">
                  <c:v>19.987283521944271</c:v>
                </c:pt>
                <c:pt idx="172">
                  <c:v>20.182510413676212</c:v>
                </c:pt>
                <c:pt idx="173">
                  <c:v>20.366802556726125</c:v>
                </c:pt>
                <c:pt idx="174">
                  <c:v>20.54055047783266</c:v>
                </c:pt>
                <c:pt idx="175">
                  <c:v>20.70414470373446</c:v>
                </c:pt>
                <c:pt idx="176">
                  <c:v>20.85797576117016</c:v>
                </c:pt>
                <c:pt idx="177">
                  <c:v>21.002434176878417</c:v>
                </c:pt>
                <c:pt idx="178">
                  <c:v>21.13791047759786</c:v>
                </c:pt>
                <c:pt idx="179">
                  <c:v>21.26479519006714</c:v>
                </c:pt>
                <c:pt idx="180">
                  <c:v>21.383478841024903</c:v>
                </c:pt>
                <c:pt idx="181">
                  <c:v>21.494351957209794</c:v>
                </c:pt>
                <c:pt idx="182">
                  <c:v>21.597805065360447</c:v>
                </c:pt>
                <c:pt idx="183">
                  <c:v>21.694228692215518</c:v>
                </c:pt>
                <c:pt idx="184">
                  <c:v>21.78401336451364</c:v>
                </c:pt>
                <c:pt idx="185">
                  <c:v>21.867549608993464</c:v>
                </c:pt>
                <c:pt idx="186">
                  <c:v>21.94522795239363</c:v>
                </c:pt>
                <c:pt idx="187">
                  <c:v>22.017438921452779</c:v>
                </c:pt>
                <c:pt idx="188">
                  <c:v>22.084573042909568</c:v>
                </c:pt>
                <c:pt idx="189">
                  <c:v>22.147020843502627</c:v>
                </c:pt>
                <c:pt idx="190">
                  <c:v>22.205172849970605</c:v>
                </c:pt>
                <c:pt idx="191">
                  <c:v>22.259419589052143</c:v>
                </c:pt>
                <c:pt idx="192">
                  <c:v>22.31015158748589</c:v>
                </c:pt>
                <c:pt idx="193">
                  <c:v>22.357759372010484</c:v>
                </c:pt>
                <c:pt idx="194">
                  <c:v>22.402633469364574</c:v>
                </c:pt>
                <c:pt idx="195">
                  <c:v>22.4451644062868</c:v>
                </c:pt>
                <c:pt idx="196">
                  <c:v>22.485742709515808</c:v>
                </c:pt>
                <c:pt idx="197">
                  <c:v>22.524758905790243</c:v>
                </c:pt>
                <c:pt idx="198">
                  <c:v>22.562603521848743</c:v>
                </c:pt>
                <c:pt idx="199">
                  <c:v>22.599667084429957</c:v>
                </c:pt>
                <c:pt idx="200">
                  <c:v>22.636340120272525</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-21.592748433065772</c:v>
                </c:pt>
                <c:pt idx="1">
                  <c:v>-17.596432358829645</c:v>
                </c:pt>
                <c:pt idx="2">
                  <c:v>-13.968667918642728</c:v>
                </c:pt>
                <c:pt idx="3">
                  <c:v>-8.5553786635158335</c:v>
                </c:pt>
                <c:pt idx="4">
                  <c:v>0</c:v>
                </c:pt>
                <c:pt idx="5">
                  <c:v>18.564422951866018</c:v>
                </c:pt>
                <c:pt idx="6">
                  <c:v>22.636340120272525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-21.736216537412815</c:v>
                </c:pt>
                <c:pt idx="1">
                  <c:v>-21.608408798801278</c:v>
                </c:pt>
                <c:pt idx="2">
                  <c:v>-21.486122264365193</c:v>
                </c:pt>
                <c:pt idx="3">
                  <c:v>-21.368985432476272</c:v>
                </c:pt>
                <c:pt idx="4">
                  <c:v>-21.256622003428028</c:v>
                </c:pt>
                <c:pt idx="5">
                  <c:v>-21.148653008491742</c:v>
                </c:pt>
                <c:pt idx="6">
                  <c:v>-21.044698789651974</c:v>
                </c:pt>
                <c:pt idx="7">
                  <c:v>-20.944380834972385</c:v>
                </c:pt>
                <c:pt idx="8">
                  <c:v>-20.84732347447499</c:v>
                </c:pt>
                <c:pt idx="9">
                  <c:v>-20.753155441347822</c:v>
                </c:pt>
                <c:pt idx="10">
                  <c:v>-20.661511303228366</c:v>
                </c:pt>
                <c:pt idx="11">
                  <c:v>-20.572032768242458</c:v>
                </c:pt>
                <c:pt idx="12">
                  <c:v>-20.484369870411168</c:v>
                </c:pt>
                <c:pt idx="13">
                  <c:v>-20.398182038969143</c:v>
                </c:pt>
                <c:pt idx="14">
                  <c:v>-20.31313905607189</c:v>
                </c:pt>
                <c:pt idx="15">
                  <c:v>-20.228921907300105</c:v>
                </c:pt>
                <c:pt idx="16">
                  <c:v>-20.145223529302989</c:v>
                </c:pt>
                <c:pt idx="17">
                  <c:v>-20.061749458853164</c:v>
                </c:pt>
                <c:pt idx="18">
                  <c:v>-19.978218387519892</c:v>
                </c:pt>
                <c:pt idx="19">
                  <c:v>-19.89436262609788</c:v>
                </c:pt>
                <c:pt idx="20">
                  <c:v>-19.809928482862347</c:v>
                </c:pt>
                <c:pt idx="21">
                  <c:v>-19.724676559653179</c:v>
                </c:pt>
                <c:pt idx="22">
                  <c:v>-19.638381969722388</c:v>
                </c:pt>
                <c:pt idx="23">
                  <c:v>-19.55083448121313</c:v>
                </c:pt>
                <c:pt idx="24">
                  <c:v>-19.46183859006879</c:v>
                </c:pt>
                <c:pt idx="25">
                  <c:v>-19.371213526104547</c:v>
                </c:pt>
                <c:pt idx="26">
                  <c:v>-19.278793195905333</c:v>
                </c:pt>
                <c:pt idx="27">
                  <c:v>-19.184426066146276</c:v>
                </c:pt>
                <c:pt idx="28">
                  <c:v>-19.087974990864897</c:v>
                </c:pt>
                <c:pt idx="29">
                  <c:v>-18.989316986145418</c:v>
                </c:pt>
                <c:pt idx="30">
                  <c:v>-18.888342955608739</c:v>
                </c:pt>
                <c:pt idx="31">
                  <c:v>-18.784957370033524</c:v>
                </c:pt>
                <c:pt idx="32">
                  <c:v>-18.679077904366199</c:v>
                </c:pt>
                <c:pt idx="33">
                  <c:v>-18.570635035310119</c:v>
                </c:pt>
                <c:pt idx="34">
                  <c:v>-18.459571602616052</c:v>
                </c:pt>
                <c:pt idx="35">
                  <c:v>-18.345842337128868</c:v>
                </c:pt>
                <c:pt idx="36">
                  <c:v>-18.229413358577368</c:v>
                </c:pt>
                <c:pt idx="37">
                  <c:v>-18.110261646026526</c:v>
                </c:pt>
                <c:pt idx="38">
                  <c:v>-17.988374483843618</c:v>
                </c:pt>
                <c:pt idx="39">
                  <c:v>-17.863748885962238</c:v>
                </c:pt>
                <c:pt idx="40">
                  <c:v>-17.736391001160197</c:v>
                </c:pt>
                <c:pt idx="41">
                  <c:v>-17.606315501999852</c:v>
                </c:pt>
                <c:pt idx="42">
                  <c:v>-17.473544960011544</c:v>
                </c:pt>
                <c:pt idx="43">
                  <c:v>-17.338109209633057</c:v>
                </c:pt>
                <c:pt idx="44">
                  <c:v>-17.20004470335061</c:v>
                </c:pt>
                <c:pt idx="45">
                  <c:v>-17.059393860418744</c:v>
                </c:pt>
                <c:pt idx="46">
                  <c:v>-16.916204411469167</c:v>
                </c:pt>
                <c:pt idx="47">
                  <c:v>-16.770528741250605</c:v>
                </c:pt>
                <c:pt idx="48">
                  <c:v>-16.622423231674162</c:v>
                </c:pt>
                <c:pt idx="49">
                  <c:v>-16.471947607270963</c:v>
                </c:pt>
                <c:pt idx="50">
                  <c:v>-16.319164285101092</c:v>
                </c:pt>
                <c:pt idx="51">
                  <c:v>-16.164137731085134</c:v>
                </c:pt>
                <c:pt idx="52">
                  <c:v>-16.006933824662003</c:v>
                </c:pt>
                <c:pt idx="53">
                  <c:v>-15.847619233608896</c:v>
                </c:pt>
                <c:pt idx="54">
                  <c:v>-15.686260800791619</c:v>
                </c:pt>
                <c:pt idx="55">
                  <c:v>-15.522924944545768</c:v>
                </c:pt>
                <c:pt idx="56">
                  <c:v>-15.357677074321481</c:v>
                </c:pt>
                <c:pt idx="57">
                  <c:v>-15.190581023156996</c:v>
                </c:pt>
                <c:pt idx="58">
                  <c:v>-15.021698498478161</c:v>
                </c:pt>
                <c:pt idx="59">
                  <c:v>-14.851088552653637</c:v>
                </c:pt>
                <c:pt idx="60">
                  <c:v>-14.678807074667874</c:v>
                </c:pt>
                <c:pt idx="61">
                  <c:v>-14.504906304205795</c:v>
                </c:pt>
                <c:pt idx="62">
                  <c:v>-14.329434369375974</c:v>
                </c:pt>
                <c:pt idx="63">
                  <c:v>-14.152434849230984</c:v>
                </c:pt>
                <c:pt idx="64">
                  <c:v>-13.973946362176024</c:v>
                </c:pt>
                <c:pt idx="65">
                  <c:v>-13.794002181289246</c:v>
                </c:pt>
                <c:pt idx="66">
                  <c:v>-13.612629877509457</c:v>
                </c:pt>
                <c:pt idx="67">
                  <c:v>-13.429850991579116</c:v>
                </c:pt>
                <c:pt idx="68">
                  <c:v>-13.245680735562964</c:v>
                </c:pt>
                <c:pt idx="69">
                  <c:v>-13.060127724694757</c:v>
                </c:pt>
                <c:pt idx="70">
                  <c:v>-12.873193740236987</c:v>
                </c:pt>
                <c:pt idx="71">
                  <c:v>-12.684873523970728</c:v>
                </c:pt>
                <c:pt idx="72">
                  <c:v>-12.495154604864947</c:v>
                </c:pt>
                <c:pt idx="73">
                  <c:v>-12.304017158407124</c:v>
                </c:pt>
                <c:pt idx="74">
                  <c:v>-12.111433899009018</c:v>
                </c:pt>
                <c:pt idx="75">
                  <c:v>-11.917370005834007</c:v>
                </c:pt>
                <c:pt idx="76">
                  <c:v>-11.721783082324508</c:v>
                </c:pt>
                <c:pt idx="77">
                  <c:v>-11.524623149640314</c:v>
                </c:pt>
                <c:pt idx="78">
                  <c:v>-11.325832674151126</c:v>
                </c:pt>
                <c:pt idx="79">
                  <c:v>-11.125346629058575</c:v>
                </c:pt>
                <c:pt idx="80">
                  <c:v>-10.923092590155582</c:v>
                </c:pt>
                <c:pt idx="81">
                  <c:v>-10.718990865663077</c:v>
                </c:pt>
                <c:pt idx="82">
                  <c:v>-10.512954660016277</c:v>
                </c:pt>
                <c:pt idx="83">
                  <c:v>-10.304890271405315</c:v>
                </c:pt>
                <c:pt idx="84">
                  <c:v>-10.094697322806963</c:v>
                </c:pt>
                <c:pt idx="85">
                  <c:v>-9.8822690261766954</c:v>
                </c:pt>
                <c:pt idx="86">
                  <c:v>-9.6674924794025916</c:v>
                </c:pt>
                <c:pt idx="87">
                  <c:v>-9.4502489955547997</c:v>
                </c:pt>
                <c:pt idx="88">
                  <c:v>-9.2304144638966292</c:v>
                </c:pt>
                <c:pt idx="89">
                  <c:v>-9.0078597420556754</c:v>
                </c:pt>
                <c:pt idx="90">
                  <c:v>-8.7824510786854972</c:v>
                </c:pt>
                <c:pt idx="91">
                  <c:v>-8.554050565880889</c:v>
                </c:pt>
                <c:pt idx="92">
                  <c:v>-8.3225166205419079</c:v>
                </c:pt>
                <c:pt idx="93">
                  <c:v>-8.0877044938141562</c:v>
                </c:pt>
                <c:pt idx="94">
                  <c:v>-7.8494668076651504</c:v>
                </c:pt>
                <c:pt idx="95">
                  <c:v>-7.6076541175888126</c:v>
                </c:pt>
                <c:pt idx="96">
                  <c:v>-7.3621155003625383</c:v>
                </c:pt>
                <c:pt idx="97">
                  <c:v>-7.1126991657134004</c:v>
                </c:pt>
                <c:pt idx="98">
                  <c:v>-6.859253090682544</c:v>
                </c:pt>
                <c:pt idx="99">
                  <c:v>-6.6016256754089664</c:v>
                </c:pt>
                <c:pt idx="100">
                  <c:v>-6.339666418986222</c:v>
                </c:pt>
                <c:pt idx="101">
                  <c:v>-6.0732266139778899</c:v>
                </c:pt>
                <c:pt idx="102">
                  <c:v>-5.8021600581099193</c:v>
                </c:pt>
                <c:pt idx="103">
                  <c:v>-5.5263237815902366</c:v>
                </c:pt>
                <c:pt idx="104">
                  <c:v>-5.2455787884383458</c:v>
                </c:pt>
                <c:pt idx="105">
                  <c:v>-4.9597908101398751</c:v>
                </c:pt>
                <c:pt idx="106">
                  <c:v>-4.6688310698733568</c:v>
                </c:pt>
                <c:pt idx="107">
                  <c:v>-4.3725770554888213</c:v>
                </c:pt>
                <c:pt idx="108">
                  <c:v>-4.0709132993500283</c:v>
                </c:pt>
                <c:pt idx="109">
                  <c:v>-3.7637321630845051</c:v>
                </c:pt>
                <c:pt idx="110">
                  <c:v>-3.4509346252178168</c:v>
                </c:pt>
                <c:pt idx="111">
                  <c:v>-3.1324310696008051</c:v>
                </c:pt>
                <c:pt idx="112">
                  <c:v>-2.8081420724707851</c:v>
                </c:pt>
                <c:pt idx="113">
                  <c:v>-2.4779991859200328</c:v>
                </c:pt>
                <c:pt idx="114">
                  <c:v>-2.1419457154771444</c:v>
                </c:pt>
                <c:pt idx="115">
                  <c:v>-1.7999374894391478</c:v>
                </c:pt>
                <c:pt idx="116">
                  <c:v>-1.451943617524553</c:v>
                </c:pt>
                <c:pt idx="117">
                  <c:v>-1.097947236349796</c:v>
                </c:pt>
                <c:pt idx="118">
                  <c:v>-0.7379462391638334</c:v>
                </c:pt>
                <c:pt idx="119">
                  <c:v>-0.37195398720793443</c:v>
                </c:pt>
                <c:pt idx="120">
                  <c:v>0</c:v>
                </c:pt>
                <c:pt idx="121">
                  <c:v>0.37786937822496242</c:v>
                </c:pt>
                <c:pt idx="122">
                  <c:v>0.76159033875429838</c:v>
                </c:pt>
                <c:pt idx="123">
                  <c:v>1.1510809982208932</c:v>
                </c:pt>
                <c:pt idx="124">
                  <c:v>1.5462408209815932</c:v>
                </c:pt>
                <c:pt idx="125">
                  <c:v>1.9469500770900816</c:v>
                </c:pt>
                <c:pt idx="126">
                  <c:v>2.3530693389711241</c:v>
                </c:pt>
                <c:pt idx="127">
                  <c:v>2.7644390199708386</c:v>
                </c:pt>
                <c:pt idx="128">
                  <c:v>3.1808789580253123</c:v>
                </c:pt>
                <c:pt idx="129">
                  <c:v>3.6021880477576489</c:v>
                </c:pt>
                <c:pt idx="130">
                  <c:v>4.0281439243811894</c:v>
                </c:pt>
                <c:pt idx="131">
                  <c:v>4.4585027028543971</c:v>
                </c:pt>
                <c:pt idx="132">
                  <c:v>4.8929987758005868</c:v>
                </c:pt>
                <c:pt idx="133">
                  <c:v>5.3313446737734038</c:v>
                </c:pt>
                <c:pt idx="134">
                  <c:v>5.773230991516642</c:v>
                </c:pt>
                <c:pt idx="135">
                  <c:v>6.2183263839347482</c:v>
                </c:pt>
                <c:pt idx="136">
                  <c:v>6.6662776355579965</c:v>
                </c:pt>
                <c:pt idx="137">
                  <c:v>7.1167098073541188</c:v>
                </c:pt>
                <c:pt idx="138">
                  <c:v>7.5692264648057979</c:v>
                </c:pt>
                <c:pt idx="139">
                  <c:v>8.023409991241202</c:v>
                </c:pt>
                <c:pt idx="140">
                  <c:v>8.47882199047244</c:v>
                </c:pt>
                <c:pt idx="141">
                  <c:v>8.9350037828644489</c:v>
                </c:pt>
                <c:pt idx="142">
                  <c:v>9.3914769990247287</c:v>
                </c:pt>
                <c:pt idx="143">
                  <c:v>9.8477442753717437</c:v>
                </c:pt>
                <c:pt idx="144">
                  <c:v>10.303290055907913</c:v>
                </c:pt>
                <c:pt idx="145">
                  <c:v>10.757581504590396</c:v>
                </c:pt>
                <c:pt idx="146">
                  <c:v>11.210069532760944</c:v>
                </c:pt>
                <c:pt idx="147">
                  <c:v>11.6601899461636</c:v>
                </c:pt>
                <c:pt idx="148">
                  <c:v>12.107364716146819</c:v>
                </c:pt>
                <c:pt idx="149">
                  <c:v>12.551003379714224</c:v>
                </c:pt>
                <c:pt idx="150">
                  <c:v>12.99050457315602</c:v>
                </c:pt>
                <c:pt idx="151">
                  <c:v>13.425257704060694</c:v>
                </c:pt>
                <c:pt idx="152">
                  <c:v>13.854644766574463</c:v>
                </c:pt>
                <c:pt idx="153">
                  <c:v>14.278042304843451</c:v>
                </c:pt>
                <c:pt idx="154">
                  <c:v>14.694823529641519</c:v>
                </c:pt>
                <c:pt idx="155">
                  <c:v>15.104360593254215</c:v>
                </c:pt>
                <c:pt idx="156">
                  <c:v>15.506027027757053</c:v>
                </c:pt>
                <c:pt idx="157">
                  <c:v>15.899200351894123</c:v>
                </c:pt>
                <c:pt idx="158">
                  <c:v>16.283264851830602</c:v>
                </c:pt>
                <c:pt idx="159">
                  <c:v>16.657614541120576</c:v>
                </c:pt>
                <c:pt idx="160">
                  <c:v>17.021656305299278</c:v>
                </c:pt>
                <c:pt idx="161">
                  <c:v>17.374813236576362</c:v>
                </c:pt>
                <c:pt idx="162">
                  <c:v>17.716528164174985</c:v>
                </c:pt>
                <c:pt idx="163">
                  <c:v>18.046267385928513</c:v>
                </c:pt>
                <c:pt idx="164">
                  <c:v>18.363524606815158</c:v>
                </c:pt>
                <c:pt idx="165">
                  <c:v>18.667825090177907</c:v>
                </c:pt>
                <c:pt idx="166">
                  <c:v>18.958730027445093</c:v>
                </c:pt>
                <c:pt idx="167">
                  <c:v>19.235841132234803</c:v>
                </c:pt>
                <c:pt idx="168">
                  <c:v>19.498805464793708</c:v>
                </c:pt>
                <c:pt idx="169">
                  <c:v>19.74732049278882</c:v>
                </c:pt>
                <c:pt idx="170">
                  <c:v>19.981139394538417</c:v>
                </c:pt>
                <c:pt idx="171">
                  <c:v>20.200076610835918</c:v>
                </c:pt>
                <c:pt idx="172">
                  <c:v>20.404013651588365</c:v>
                </c:pt>
                <c:pt idx="173">
                  <c:v>20.592905163558765</c:v>
                </c:pt>
                <c:pt idx="174">
                  <c:v>20.76678526556935</c:v>
                </c:pt>
                <c:pt idx="175">
                  <c:v>20.925774157590432</c:v>
                </c:pt>
                <c:pt idx="176">
                  <c:v>21.070085010207293</c:v>
                </c:pt>
                <c:pt idx="177">
                  <c:v>21.200031141025303</c:v>
                </c:pt>
                <c:pt idx="178">
                  <c:v>21.316033484641007</c:v>
                </c:pt>
                <c:pt idx="179">
                  <c:v>21.418628362874884</c:v>
                </c:pt>
                <c:pt idx="180">
                  <c:v>21.508475562028867</c:v>
                </c:pt>
                <c:pt idx="181">
                  <c:v>21.586366723999824</c:v>
                </c:pt>
                <c:pt idx="182">
                  <c:v>21.65323405814749</c:v>
                </c:pt>
                <c:pt idx="183">
                  <c:v>21.710159380883375</c:v>
                </c:pt>
                <c:pt idx="184">
                  <c:v>21.758383490014726</c:v>
                </c:pt>
                <c:pt idx="185">
                  <c:v>21.799315880945318</c:v>
                </c:pt>
                <c:pt idx="186">
                  <c:v>21.834544811902671</c:v>
                </c:pt>
                <c:pt idx="187">
                  <c:v>21.865847725428935</c:v>
                </c:pt>
                <c:pt idx="188">
                  <c:v>21.895202033440313</c:v>
                </c:pt>
                <c:pt idx="189">
                  <c:v>21.924796273227777</c:v>
                </c:pt>
                <c:pt idx="190">
                  <c:v>21.957041641839414</c:v>
                </c:pt>
                <c:pt idx="191">
                  <c:v>21.994583916352365</c:v>
                </c:pt>
                <c:pt idx="192">
                  <c:v>22.040315767610522</c:v>
                </c:pt>
                <c:pt idx="193">
                  <c:v>22.097389475070901</c:v>
                </c:pt>
                <c:pt idx="194">
                  <c:v>22.169230050470496</c:v>
                </c:pt>
                <c:pt idx="195">
                  <c:v>22.259548778092061</c:v>
                </c:pt>
                <c:pt idx="196">
                  <c:v>22.372357179475824</c:v>
                </c:pt>
                <c:pt idx="197">
                  <c:v>22.511981410491199</c:v>
                </c:pt>
                <c:pt idx="198">
                  <c:v>22.683077098750704</c:v>
                </c:pt>
                <c:pt idx="199">
                  <c:v>22.89064462941576</c:v>
                </c:pt>
                <c:pt idx="200">
                  <c:v>23.140044887511937</c:v>
                </c:pt>
              </c:numCache>
            </c:numRef>
          </c:yVal>
          <c:smooth val="1"/>
        </c:ser>
        <c:dLbls>
          <c:showLegendKey val="0"/>
          <c:showVal val="0"/>
          <c:showCatName val="0"/>
          <c:showSerName val="0"/>
          <c:showPercent val="0"/>
          <c:showBubbleSize val="0"/>
        </c:dLbls>
        <c:axId val="555285296"/>
        <c:axId val="555290000"/>
      </c:scatterChart>
      <c:valAx>
        <c:axId val="55528529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5290000"/>
        <c:crossesAt val="-1000"/>
        <c:crossBetween val="midCat"/>
      </c:valAx>
      <c:valAx>
        <c:axId val="555290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528529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0.37492084127548114</v>
      </c>
      <c r="D59" s="55">
        <v>1</v>
      </c>
    </row>
    <row r="60" spans="1:4" s="11" customFormat="1" x14ac:dyDescent="0.25">
      <c r="A60" s="54">
        <v>2</v>
      </c>
      <c r="B60" s="56">
        <f>'Shiftfunktion bestimmen'!N2</f>
        <v>2.958423359376257E-3</v>
      </c>
      <c r="D60" s="55">
        <v>2</v>
      </c>
    </row>
    <row r="61" spans="1:4" s="11" customFormat="1" x14ac:dyDescent="0.25">
      <c r="A61" s="54">
        <v>3</v>
      </c>
      <c r="B61" s="56">
        <f>'Shiftfunktion bestimmen'!N3</f>
        <v>-9.1533433831201902E-6</v>
      </c>
      <c r="D61" s="55">
        <v>3</v>
      </c>
    </row>
    <row r="62" spans="1:4" s="11" customFormat="1" x14ac:dyDescent="0.25">
      <c r="A62" s="54">
        <v>4</v>
      </c>
      <c r="B62" s="56">
        <f>'Shiftfunktion bestimmen'!N4</f>
        <v>-7.2789192891293062E-7</v>
      </c>
      <c r="D62" s="55">
        <v>4</v>
      </c>
    </row>
    <row r="63" spans="1:4" s="11" customFormat="1" x14ac:dyDescent="0.25">
      <c r="A63" s="54">
        <v>5</v>
      </c>
      <c r="B63" s="56">
        <f>'Shiftfunktion bestimmen'!N5</f>
        <v>-5.2162324504889943E-9</v>
      </c>
      <c r="D63" s="55">
        <v>5</v>
      </c>
    </row>
    <row r="64" spans="1:4" s="11" customFormat="1" x14ac:dyDescent="0.25">
      <c r="A64" s="54">
        <v>6</v>
      </c>
      <c r="B64" s="56">
        <f>'Shiftfunktion bestimmen'!N6</f>
        <v>4.106500144807722E-11</v>
      </c>
      <c r="D64" s="55">
        <v>6</v>
      </c>
    </row>
    <row r="65" spans="1:5" s="11" customFormat="1" x14ac:dyDescent="0.25">
      <c r="A65" s="54">
        <v>7</v>
      </c>
      <c r="B65" s="56">
        <f>'Shiftfunktion bestimmen'!N7</f>
        <v>5.828672861202931E-13</v>
      </c>
      <c r="D65" s="55">
        <v>7</v>
      </c>
    </row>
    <row r="66" spans="1:5" x14ac:dyDescent="0.25">
      <c r="A66" s="54">
        <v>8</v>
      </c>
      <c r="B66" s="56">
        <f>'Shiftfunktion bestimmen'!N8</f>
        <v>1.6793174218158199E-15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1.3276936189005386E-2</v>
      </c>
      <c r="D74" s="51">
        <v>1</v>
      </c>
      <c r="E74" s="56">
        <f>'Mastercurve bestimmen'!A18</f>
        <v>1.0000000000000001E-30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3.909200422421294E-3</v>
      </c>
      <c r="D78" s="51">
        <v>5</v>
      </c>
      <c r="E78" s="56">
        <f>'Mastercurve bestimmen'!A22</f>
        <v>5.31812225239524E-11</v>
      </c>
    </row>
    <row r="79" spans="1:5" x14ac:dyDescent="0.25">
      <c r="A79" s="50">
        <f t="shared" si="0"/>
        <v>6</v>
      </c>
      <c r="B79" s="56">
        <f>'Mastercurve bestimmen'!C23</f>
        <v>2.3295496720476597E-2</v>
      </c>
      <c r="D79" s="51">
        <v>6</v>
      </c>
      <c r="E79" s="56">
        <f>'Mastercurve bestimmen'!A23</f>
        <v>5.8953789402578301E-10</v>
      </c>
    </row>
    <row r="80" spans="1:5" x14ac:dyDescent="0.25">
      <c r="A80" s="50">
        <f t="shared" si="0"/>
        <v>7</v>
      </c>
      <c r="B80" s="56">
        <f>'Mastercurve bestimmen'!C24</f>
        <v>1.9365606168399295E-2</v>
      </c>
      <c r="D80" s="51">
        <v>7</v>
      </c>
      <c r="E80" s="56">
        <f>'Mastercurve bestimmen'!A24</f>
        <v>6.5352940755699598E-9</v>
      </c>
    </row>
    <row r="81" spans="1:5" x14ac:dyDescent="0.25">
      <c r="A81" s="50">
        <f t="shared" si="0"/>
        <v>8</v>
      </c>
      <c r="B81" s="56">
        <f>'Mastercurve bestimmen'!C25</f>
        <v>2.4448597422102241E-2</v>
      </c>
      <c r="D81" s="51">
        <v>8</v>
      </c>
      <c r="E81" s="56">
        <f>'Mastercurve bestimmen'!A25</f>
        <v>7.2446689325643296E-8</v>
      </c>
    </row>
    <row r="82" spans="1:5" x14ac:dyDescent="0.25">
      <c r="A82" s="50">
        <f t="shared" si="0"/>
        <v>9</v>
      </c>
      <c r="B82" s="56">
        <f>'Mastercurve bestimmen'!C26</f>
        <v>3.2100597383085405E-2</v>
      </c>
      <c r="D82" s="51">
        <f>A82</f>
        <v>9</v>
      </c>
      <c r="E82" s="56">
        <f>'Mastercurve bestimmen'!A26</f>
        <v>8.03104303120212E-7</v>
      </c>
    </row>
    <row r="83" spans="1:5" x14ac:dyDescent="0.25">
      <c r="A83" s="50">
        <f t="shared" si="0"/>
        <v>10</v>
      </c>
      <c r="B83" s="56">
        <f>'Mastercurve bestimmen'!C27</f>
        <v>2.4137735607646905E-2</v>
      </c>
      <c r="C83" s="11"/>
      <c r="D83" s="51">
        <f t="shared" ref="D83:D104" si="1">A83</f>
        <v>10</v>
      </c>
      <c r="E83" s="56">
        <f>'Mastercurve bestimmen'!A27</f>
        <v>8.9027742702096099E-6</v>
      </c>
    </row>
    <row r="84" spans="1:5" x14ac:dyDescent="0.25">
      <c r="A84" s="50">
        <f t="shared" si="0"/>
        <v>11</v>
      </c>
      <c r="B84" s="56">
        <f>'Mastercurve bestimmen'!C28</f>
        <v>4.5517611487633891E-2</v>
      </c>
      <c r="C84" s="11"/>
      <c r="D84" s="51">
        <f t="shared" si="1"/>
        <v>11</v>
      </c>
      <c r="E84" s="56">
        <f>'Mastercurve bestimmen'!A28</f>
        <v>9.86912775817142E-5</v>
      </c>
    </row>
    <row r="85" spans="1:5" x14ac:dyDescent="0.25">
      <c r="A85" s="50">
        <f t="shared" si="0"/>
        <v>12</v>
      </c>
      <c r="B85" s="56">
        <f>'Mastercurve bestimmen'!C29</f>
        <v>3.7438549850033177E-2</v>
      </c>
      <c r="C85" s="11"/>
      <c r="D85" s="51">
        <f t="shared" si="1"/>
        <v>12</v>
      </c>
      <c r="E85" s="56">
        <f>'Mastercurve bestimmen'!A29</f>
        <v>1.0940374286813801E-3</v>
      </c>
    </row>
    <row r="86" spans="1:5" x14ac:dyDescent="0.25">
      <c r="A86" s="50">
        <f t="shared" si="0"/>
        <v>13</v>
      </c>
      <c r="B86" s="56">
        <f>'Mastercurve bestimmen'!C30</f>
        <v>4.1083418704934697E-2</v>
      </c>
      <c r="C86" s="11"/>
      <c r="D86" s="51">
        <f t="shared" si="1"/>
        <v>13</v>
      </c>
      <c r="E86" s="56">
        <f>'Mastercurve bestimmen'!A30</f>
        <v>1.2127899493091E-2</v>
      </c>
    </row>
    <row r="87" spans="1:5" x14ac:dyDescent="0.25">
      <c r="A87" s="50">
        <f t="shared" si="0"/>
        <v>14</v>
      </c>
      <c r="B87" s="56">
        <f>'Mastercurve bestimmen'!C31</f>
        <v>4.6249511553516282E-2</v>
      </c>
      <c r="C87" s="11"/>
      <c r="D87" s="51">
        <f t="shared" si="1"/>
        <v>14</v>
      </c>
      <c r="E87" s="56">
        <f>'Mastercurve bestimmen'!A31</f>
        <v>0.13444324870292301</v>
      </c>
    </row>
    <row r="88" spans="1:5" x14ac:dyDescent="0.25">
      <c r="A88" s="50">
        <f t="shared" si="0"/>
        <v>15</v>
      </c>
      <c r="B88" s="56">
        <f>'Mastercurve bestimmen'!C32</f>
        <v>4.2148935673183355E-2</v>
      </c>
      <c r="C88" s="11"/>
      <c r="D88" s="51">
        <f t="shared" si="1"/>
        <v>15</v>
      </c>
      <c r="E88" s="56">
        <f>'Mastercurve bestimmen'!A32</f>
        <v>1.49036419143257</v>
      </c>
    </row>
    <row r="89" spans="1:5" x14ac:dyDescent="0.25">
      <c r="A89" s="50">
        <f t="shared" si="0"/>
        <v>16</v>
      </c>
      <c r="B89" s="56">
        <f>'Mastercurve bestimmen'!C33</f>
        <v>0.11274262500279238</v>
      </c>
      <c r="C89" s="11"/>
      <c r="D89" s="51">
        <f t="shared" si="1"/>
        <v>16</v>
      </c>
      <c r="E89" s="56">
        <f>'Mastercurve bestimmen'!A33</f>
        <v>16.521360830937301</v>
      </c>
    </row>
    <row r="90" spans="1:5" x14ac:dyDescent="0.25">
      <c r="A90" s="50">
        <f t="shared" si="0"/>
        <v>17</v>
      </c>
      <c r="B90" s="56">
        <f>'Mastercurve bestimmen'!C34</f>
        <v>0.14424606622338945</v>
      </c>
      <c r="C90" s="11"/>
      <c r="D90" s="51">
        <f t="shared" si="1"/>
        <v>17</v>
      </c>
      <c r="E90" s="56">
        <f>'Mastercurve bestimmen'!A34</f>
        <v>183.146753843879</v>
      </c>
    </row>
    <row r="91" spans="1:5" x14ac:dyDescent="0.25">
      <c r="A91" s="50">
        <f t="shared" si="0"/>
        <v>18</v>
      </c>
      <c r="B91" s="56">
        <f>'Mastercurve bestimmen'!C35</f>
        <v>0.12974045708141974</v>
      </c>
      <c r="C91" s="11"/>
      <c r="D91" s="51">
        <f t="shared" si="1"/>
        <v>18</v>
      </c>
      <c r="E91" s="56">
        <f>'Mastercurve bestimmen'!A35</f>
        <v>2030.26456396616</v>
      </c>
    </row>
    <row r="92" spans="1:5" x14ac:dyDescent="0.25">
      <c r="A92" s="50">
        <f t="shared" si="0"/>
        <v>19</v>
      </c>
      <c r="B92" s="56">
        <f>'Mastercurve bestimmen'!C36</f>
        <v>0.10714973449748261</v>
      </c>
      <c r="C92" s="11"/>
      <c r="D92" s="51">
        <f t="shared" si="1"/>
        <v>19</v>
      </c>
      <c r="E92" s="56">
        <f>'Mastercurve bestimmen'!A36</f>
        <v>22506.400540467101</v>
      </c>
    </row>
    <row r="93" spans="1:5" x14ac:dyDescent="0.25">
      <c r="A93" s="50">
        <f t="shared" si="0"/>
        <v>20</v>
      </c>
      <c r="B93" s="56">
        <f>'Mastercurve bestimmen'!C37</f>
        <v>7.4657991153057213E-2</v>
      </c>
      <c r="C93" s="11"/>
      <c r="D93" s="51">
        <f t="shared" si="1"/>
        <v>20</v>
      </c>
      <c r="E93" s="56">
        <f>'Mastercurve bestimmen'!A37</f>
        <v>249493.62476110301</v>
      </c>
    </row>
    <row r="94" spans="1:5" x14ac:dyDescent="0.25">
      <c r="A94" s="50">
        <f t="shared" si="0"/>
        <v>21</v>
      </c>
      <c r="B94" s="56">
        <f>'Mastercurve bestimmen'!C38</f>
        <v>2.5780107678568913E-2</v>
      </c>
      <c r="C94" s="11"/>
      <c r="D94" s="51">
        <f t="shared" si="1"/>
        <v>21</v>
      </c>
      <c r="E94" s="56">
        <f>'Mastercurve bestimmen'!A38</f>
        <v>2765749.6224023802</v>
      </c>
    </row>
    <row r="95" spans="1:5" x14ac:dyDescent="0.25">
      <c r="A95" s="50">
        <f t="shared" si="0"/>
        <v>22</v>
      </c>
      <c r="B95" s="56">
        <f>'Mastercurve bestimmen'!C39</f>
        <v>2.4060337070104312E-2</v>
      </c>
      <c r="C95" s="11"/>
      <c r="D95" s="51">
        <f t="shared" si="1"/>
        <v>22</v>
      </c>
      <c r="E95" s="56">
        <f>'Mastercurve bestimmen'!A39</f>
        <v>10000000</v>
      </c>
    </row>
    <row r="96" spans="1:5" x14ac:dyDescent="0.25">
      <c r="A96" s="50">
        <f t="shared" si="0"/>
        <v>23</v>
      </c>
      <c r="B96" s="56">
        <f>'Mastercurve bestimmen'!C40</f>
        <v>1.2267955807966149E-2</v>
      </c>
      <c r="C96" s="11"/>
      <c r="D96" s="51">
        <f t="shared" si="1"/>
        <v>23</v>
      </c>
      <c r="E96" s="56">
        <f>'Mastercurve bestimmen'!A40</f>
        <v>100000000</v>
      </c>
    </row>
    <row r="97" spans="1:5" x14ac:dyDescent="0.25">
      <c r="A97" s="50">
        <f t="shared" si="0"/>
        <v>24</v>
      </c>
      <c r="B97" s="56">
        <f>'Mastercurve bestimmen'!C41</f>
        <v>7.7350329579382458E-4</v>
      </c>
      <c r="C97" s="11"/>
      <c r="D97" s="51">
        <f t="shared" si="1"/>
        <v>24</v>
      </c>
      <c r="E97" s="56">
        <f>'Mastercurve bestimmen'!A41</f>
        <v>1000000000</v>
      </c>
    </row>
    <row r="98" spans="1:5" x14ac:dyDescent="0.25">
      <c r="A98" s="50">
        <f t="shared" si="0"/>
        <v>25</v>
      </c>
      <c r="B98" s="56">
        <f>'Mastercurve bestimmen'!C42</f>
        <v>2.8862774017939779E-3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1.5898164143456024E-4</v>
      </c>
      <c r="C100" s="11"/>
      <c r="D100" s="51">
        <f t="shared" si="1"/>
        <v>27</v>
      </c>
      <c r="E100" s="56">
        <f>'Mastercurve bestimmen'!A44</f>
        <v>1000000000000</v>
      </c>
    </row>
    <row r="101" spans="1:5" x14ac:dyDescent="0.25">
      <c r="A101" s="50">
        <f t="shared" si="0"/>
        <v>28</v>
      </c>
      <c r="B101" s="56">
        <f>'Mastercurve bestimmen'!C45</f>
        <v>1.3061991748101505E-4</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8.1332295555460314E-5</v>
      </c>
      <c r="C103" s="11"/>
      <c r="D103" s="51">
        <f t="shared" si="1"/>
        <v>30</v>
      </c>
      <c r="E103" s="56">
        <f>'Mastercurve bestimmen'!A47</f>
        <v>1000000000000000</v>
      </c>
    </row>
    <row r="104" spans="1:5" x14ac:dyDescent="0.25">
      <c r="A104" s="50">
        <f t="shared" si="0"/>
        <v>31</v>
      </c>
      <c r="B104" s="56">
        <f>'Mastercurve bestimmen'!C48</f>
        <v>6.4178085162845428E-4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12">
        <f>STUTT!D8</f>
        <v>7330.9827999999998</v>
      </c>
      <c r="D113" s="112"/>
    </row>
    <row r="114" spans="1:4" s="11" customFormat="1" x14ac:dyDescent="0.25">
      <c r="A114" s="61" t="str">
        <f>STUTT!B9</f>
        <v>MP,GXY,</v>
      </c>
      <c r="B114" s="52" t="str">
        <f>STUTT!C9</f>
        <v>MatID,</v>
      </c>
      <c r="C114" s="112">
        <f>STUTT!D9</f>
        <v>9212.0444000000007</v>
      </c>
      <c r="D114" s="112"/>
    </row>
    <row r="115" spans="1:4" x14ac:dyDescent="0.25">
      <c r="A115" s="61" t="str">
        <f>STUTT!B10</f>
        <v>MP,GYZ,</v>
      </c>
      <c r="B115" s="52" t="str">
        <f>STUTT!C10</f>
        <v>MatID,</v>
      </c>
      <c r="C115" s="112">
        <f>STUTT!D10</f>
        <v>9212.0444000000007</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f>-10</f>
        <v>-10</v>
      </c>
      <c r="N3" s="2">
        <f t="shared" ref="N3:N33" si="4">A3</f>
        <v>1.0000000000000001E-15</v>
      </c>
      <c r="O3" s="2">
        <f t="shared" ref="O3:O33" si="5">$M$3/B3</f>
        <v>20154.644630369057</v>
      </c>
      <c r="P3" s="2">
        <f t="shared" ref="P3:P33" si="6">$M$3/C3</f>
        <v>19975.010006909302</v>
      </c>
      <c r="Q3" s="2">
        <f t="shared" ref="Q3:Q33" si="7">$M$3/D3</f>
        <v>19859.07298233152</v>
      </c>
      <c r="R3" s="2">
        <f>$M$3/E3</f>
        <v>19740.176191337396</v>
      </c>
      <c r="S3" s="2">
        <f t="shared" ref="S3:S33" si="8">$M$3/F3</f>
        <v>19593.41601657858</v>
      </c>
      <c r="T3" s="2">
        <f t="shared" ref="T3:T33" si="9">$M$3/G3</f>
        <v>18083.319608093752</v>
      </c>
      <c r="U3" s="2">
        <f t="shared" ref="U3:U33" si="10">$M$3/H3</f>
        <v>17085.335490576606</v>
      </c>
      <c r="W3" s="2">
        <v>18599.275035544593</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1">Z3</f>
        <v>1.0000000000000001E-15</v>
      </c>
      <c r="AM3" s="2">
        <f t="shared" ref="AM3:AM33" si="12">O3/(2*(1+AA3))</f>
        <v>7439.7100142178388</v>
      </c>
      <c r="AN3" s="2">
        <f t="shared" ref="AN3:AN33" si="13">P3/(2*(1+AB3))</f>
        <v>7373.6169222469052</v>
      </c>
      <c r="AO3" s="2">
        <f t="shared" ref="AO3:AO33" si="14">Q3/(2*(1+AC3))</f>
        <v>7330.9698900812818</v>
      </c>
      <c r="AP3" s="2">
        <f t="shared" ref="AP3:AP33" si="15">R3/(2*(1+AD3))</f>
        <v>7287.2421568641066</v>
      </c>
      <c r="AQ3" s="2">
        <f t="shared" ref="AQ3:AQ33" si="16">S3/(2*(1+AE3))</f>
        <v>7233.2784973668249</v>
      </c>
      <c r="AR3" s="2">
        <f t="shared" ref="AR3:AR33" si="17">T3/(2*(1+AF3))</f>
        <v>6585.7419229281086</v>
      </c>
      <c r="AS3" s="2">
        <f t="shared" ref="AS3:AS33" si="18">U3/(2*(1+AG3))</f>
        <v>6163.9172848230364</v>
      </c>
      <c r="AX3" s="2">
        <f>AL3</f>
        <v>1.0000000000000001E-15</v>
      </c>
      <c r="AY3" s="37">
        <f t="shared" ref="AY3:AY33" si="19">O3/(3*(1-(2*AA3)))</f>
        <v>23091.664287895361</v>
      </c>
      <c r="AZ3" s="37">
        <f t="shared" ref="AZ3:AZ33" si="20">P3/(3*(1-(2*AB3)))</f>
        <v>22879.621291278767</v>
      </c>
      <c r="BA3" s="37">
        <f t="shared" ref="BA3:BA33" si="21">Q3/(3*(1-(2*AC3)))</f>
        <v>22742.488042487119</v>
      </c>
      <c r="BB3" s="37">
        <f t="shared" ref="BB3:BB33" si="22">R3/(3*(1-(2*AD3)))</f>
        <v>22601.623842724206</v>
      </c>
      <c r="BC3" s="37">
        <f t="shared" ref="BC3:BC33" si="23">S3/(3*(1-(2*AE3)))</f>
        <v>22427.415559851273</v>
      </c>
      <c r="BD3" s="37">
        <f t="shared" ref="BD3:BD33" si="24">T3/(3*(1-(2*AF3)))</f>
        <v>23715.402700073144</v>
      </c>
      <c r="BE3" s="37">
        <f t="shared" ref="BE3:BE33" si="25">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6">M3</f>
        <v>-10</v>
      </c>
      <c r="N4" s="2">
        <f t="shared" si="4"/>
        <v>1E-14</v>
      </c>
      <c r="O4" s="2">
        <f t="shared" si="5"/>
        <v>20154.948711932353</v>
      </c>
      <c r="P4" s="2">
        <f t="shared" si="6"/>
        <v>19975.317128420094</v>
      </c>
      <c r="Q4" s="2">
        <f t="shared" si="7"/>
        <v>19859.381957876321</v>
      </c>
      <c r="R4" s="2">
        <f t="shared" ref="R4:R33" si="27">$M$3/E4</f>
        <v>19740.487045192571</v>
      </c>
      <c r="S4" s="2">
        <f t="shared" si="8"/>
        <v>19593.716342193977</v>
      </c>
      <c r="T4" s="2">
        <f t="shared" si="9"/>
        <v>17510.497368067183</v>
      </c>
      <c r="U4" s="2">
        <f t="shared" si="10"/>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1"/>
        <v>1E-14</v>
      </c>
      <c r="AM4" s="2">
        <f t="shared" si="12"/>
        <v>7439.7868081900597</v>
      </c>
      <c r="AN4" s="2">
        <f t="shared" si="13"/>
        <v>7373.6918607149901</v>
      </c>
      <c r="AO4" s="2">
        <f t="shared" si="14"/>
        <v>7331.0435342500059</v>
      </c>
      <c r="AP4" s="2">
        <f t="shared" si="15"/>
        <v>7287.3146216469959</v>
      </c>
      <c r="AQ4" s="2">
        <f t="shared" si="16"/>
        <v>7233.3436741214491</v>
      </c>
      <c r="AR4" s="2">
        <f t="shared" si="17"/>
        <v>6334.3824808152185</v>
      </c>
      <c r="AS4" s="2">
        <f t="shared" si="18"/>
        <v>5842.0148400129501</v>
      </c>
      <c r="AX4" s="2">
        <f t="shared" ref="AX4:AX32" si="28">AL4</f>
        <v>1E-14</v>
      </c>
      <c r="AY4" s="37">
        <f t="shared" si="19"/>
        <v>23093.037347630336</v>
      </c>
      <c r="AZ4" s="37">
        <f t="shared" si="20"/>
        <v>22881.083231796893</v>
      </c>
      <c r="BA4" s="37">
        <f t="shared" si="21"/>
        <v>22744.008773208971</v>
      </c>
      <c r="BB4" s="37">
        <f t="shared" si="22"/>
        <v>22603.200238586462</v>
      </c>
      <c r="BC4" s="37">
        <f t="shared" si="23"/>
        <v>22429.077271093392</v>
      </c>
      <c r="BD4" s="37">
        <f t="shared" si="24"/>
        <v>24769.857240838614</v>
      </c>
      <c r="BE4" s="37">
        <f t="shared" si="25"/>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6"/>
        <v>-10</v>
      </c>
      <c r="N5" s="2">
        <f t="shared" si="4"/>
        <v>1E-13</v>
      </c>
      <c r="O5" s="2">
        <f t="shared" si="5"/>
        <v>20154.841934154916</v>
      </c>
      <c r="P5" s="2">
        <f t="shared" si="6"/>
        <v>19975.21178946588</v>
      </c>
      <c r="Q5" s="2">
        <f t="shared" si="7"/>
        <v>19859.277612762307</v>
      </c>
      <c r="R5" s="2">
        <f t="shared" si="27"/>
        <v>19740.383500378339</v>
      </c>
      <c r="S5" s="2">
        <f t="shared" si="8"/>
        <v>19593.485338547598</v>
      </c>
      <c r="T5" s="2">
        <f t="shared" si="9"/>
        <v>16968.91372577615</v>
      </c>
      <c r="U5" s="2">
        <f t="shared" si="10"/>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1"/>
        <v>1E-13</v>
      </c>
      <c r="AM5" s="2">
        <f t="shared" si="12"/>
        <v>7439.7470193525078</v>
      </c>
      <c r="AN5" s="2">
        <f t="shared" si="13"/>
        <v>7373.6524650120191</v>
      </c>
      <c r="AO5" s="2">
        <f t="shared" si="14"/>
        <v>7331.0044701030138</v>
      </c>
      <c r="AP5" s="2">
        <f t="shared" si="15"/>
        <v>7287.2757793731034</v>
      </c>
      <c r="AQ5" s="2">
        <f t="shared" si="16"/>
        <v>7233.2477630478616</v>
      </c>
      <c r="AR5" s="2">
        <f t="shared" si="17"/>
        <v>6097.7114849761656</v>
      </c>
      <c r="AS5" s="2">
        <f t="shared" si="18"/>
        <v>5557.579467209528</v>
      </c>
      <c r="AX5" s="2">
        <f t="shared" si="28"/>
        <v>1E-13</v>
      </c>
      <c r="AY5" s="37">
        <f t="shared" si="19"/>
        <v>23092.925814714792</v>
      </c>
      <c r="AZ5" s="37">
        <f t="shared" si="20"/>
        <v>22880.977326821179</v>
      </c>
      <c r="BA5" s="37">
        <f t="shared" si="21"/>
        <v>22743.905020100996</v>
      </c>
      <c r="BB5" s="37">
        <f t="shared" si="22"/>
        <v>22603.09951783068</v>
      </c>
      <c r="BC5" s="37">
        <f t="shared" si="23"/>
        <v>22429.119528507599</v>
      </c>
      <c r="BD5" s="37">
        <f t="shared" si="24"/>
        <v>26045.894473466047</v>
      </c>
      <c r="BE5" s="37">
        <f t="shared" si="25"/>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6"/>
        <v>-10</v>
      </c>
      <c r="N6" s="2">
        <f t="shared" si="4"/>
        <v>9.9999999999999998E-13</v>
      </c>
      <c r="O6" s="2">
        <f t="shared" si="5"/>
        <v>20154.814079268603</v>
      </c>
      <c r="P6" s="2">
        <f t="shared" si="6"/>
        <v>19975.184200875749</v>
      </c>
      <c r="Q6" s="2">
        <f t="shared" si="7"/>
        <v>19859.25034348559</v>
      </c>
      <c r="R6" s="2">
        <f t="shared" si="27"/>
        <v>19740.356556637038</v>
      </c>
      <c r="S6" s="2">
        <f t="shared" si="8"/>
        <v>19592.173788627089</v>
      </c>
      <c r="T6" s="2">
        <f t="shared" si="9"/>
        <v>16342.70293177818</v>
      </c>
      <c r="U6" s="2">
        <f t="shared" si="10"/>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1"/>
        <v>9.9999999999999998E-13</v>
      </c>
      <c r="AM6" s="2">
        <f t="shared" si="12"/>
        <v>7439.7367084831149</v>
      </c>
      <c r="AN6" s="2">
        <f t="shared" si="13"/>
        <v>7373.6422743939765</v>
      </c>
      <c r="AO6" s="2">
        <f t="shared" si="14"/>
        <v>7330.9943970257091</v>
      </c>
      <c r="AP6" s="2">
        <f t="shared" si="15"/>
        <v>7287.2657654165014</v>
      </c>
      <c r="AQ6" s="2">
        <f t="shared" si="16"/>
        <v>7232.6642193149437</v>
      </c>
      <c r="AR6" s="2">
        <f t="shared" si="17"/>
        <v>5825.3419350887143</v>
      </c>
      <c r="AS6" s="2">
        <f t="shared" si="18"/>
        <v>5275.4812921063285</v>
      </c>
      <c r="AX6" s="2">
        <f t="shared" si="28"/>
        <v>9.9999999999999998E-13</v>
      </c>
      <c r="AY6" s="37">
        <f t="shared" si="19"/>
        <v>23092.894731963072</v>
      </c>
      <c r="AZ6" s="37">
        <f t="shared" si="20"/>
        <v>22880.945914516891</v>
      </c>
      <c r="BA6" s="37">
        <f t="shared" si="21"/>
        <v>22743.873983030415</v>
      </c>
      <c r="BB6" s="37">
        <f t="shared" si="22"/>
        <v>22603.070615518671</v>
      </c>
      <c r="BC6" s="37">
        <f t="shared" si="23"/>
        <v>22430.484787376045</v>
      </c>
      <c r="BD6" s="37">
        <f t="shared" si="24"/>
        <v>28000.797462711733</v>
      </c>
      <c r="BE6" s="37">
        <f t="shared" si="25"/>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6"/>
        <v>-10</v>
      </c>
      <c r="N7" s="2">
        <f t="shared" si="4"/>
        <v>9.9999999999999994E-12</v>
      </c>
      <c r="O7" s="2">
        <f t="shared" si="5"/>
        <v>20154.805722817728</v>
      </c>
      <c r="P7" s="2">
        <f t="shared" si="6"/>
        <v>19975.176220719259</v>
      </c>
      <c r="Q7" s="2">
        <f t="shared" si="7"/>
        <v>19859.242455692241</v>
      </c>
      <c r="R7" s="2">
        <f t="shared" si="27"/>
        <v>19740.348763006576</v>
      </c>
      <c r="S7" s="2">
        <f t="shared" si="8"/>
        <v>19579.551836589373</v>
      </c>
      <c r="T7" s="2">
        <f t="shared" si="9"/>
        <v>15699.206786363398</v>
      </c>
      <c r="U7" s="2">
        <f t="shared" si="10"/>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1"/>
        <v>9.9999999999999994E-12</v>
      </c>
      <c r="AM7" s="2">
        <f t="shared" si="12"/>
        <v>7439.7336721589263</v>
      </c>
      <c r="AN7" s="2">
        <f t="shared" si="13"/>
        <v>7373.6393539171686</v>
      </c>
      <c r="AO7" s="2">
        <f t="shared" si="14"/>
        <v>7330.991448813199</v>
      </c>
      <c r="AP7" s="2">
        <f t="shared" si="15"/>
        <v>7287.2629129611732</v>
      </c>
      <c r="AQ7" s="2">
        <f t="shared" si="16"/>
        <v>7227.030574444283</v>
      </c>
      <c r="AR7" s="2">
        <f t="shared" si="17"/>
        <v>5546.9331561273084</v>
      </c>
      <c r="AS7" s="2">
        <f t="shared" si="18"/>
        <v>4966.4021193857116</v>
      </c>
      <c r="AX7" s="2">
        <f t="shared" si="28"/>
        <v>9.9999999999999994E-12</v>
      </c>
      <c r="AY7" s="37">
        <f t="shared" si="19"/>
        <v>23092.8837616001</v>
      </c>
      <c r="AZ7" s="37">
        <f t="shared" si="20"/>
        <v>22880.936042096218</v>
      </c>
      <c r="BA7" s="37">
        <f t="shared" si="21"/>
        <v>22743.866002083112</v>
      </c>
      <c r="BB7" s="37">
        <f t="shared" si="22"/>
        <v>22603.06098143111</v>
      </c>
      <c r="BC7" s="37">
        <f t="shared" si="23"/>
        <v>22444.180201629541</v>
      </c>
      <c r="BD7" s="37">
        <f t="shared" si="24"/>
        <v>30828.068339661877</v>
      </c>
      <c r="BE7" s="37">
        <f t="shared" si="25"/>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6"/>
        <v>-10</v>
      </c>
      <c r="N8" s="2">
        <f t="shared" si="4"/>
        <v>1E-10</v>
      </c>
      <c r="O8" s="2">
        <f t="shared" si="5"/>
        <v>20154.803169459119</v>
      </c>
      <c r="P8" s="2">
        <f t="shared" si="6"/>
        <v>19975.173712671392</v>
      </c>
      <c r="Q8" s="2">
        <f t="shared" si="7"/>
        <v>19859.239976672769</v>
      </c>
      <c r="R8" s="2">
        <f t="shared" si="27"/>
        <v>19740.345868231114</v>
      </c>
      <c r="S8" s="2">
        <f t="shared" si="8"/>
        <v>19474.014653806546</v>
      </c>
      <c r="T8" s="2">
        <f t="shared" si="9"/>
        <v>15025.244557319804</v>
      </c>
      <c r="U8" s="2">
        <f t="shared" si="10"/>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1"/>
        <v>1E-10</v>
      </c>
      <c r="AM8" s="2">
        <f t="shared" si="12"/>
        <v>7439.732723308126</v>
      </c>
      <c r="AN8" s="2">
        <f t="shared" si="13"/>
        <v>7373.6384218505882</v>
      </c>
      <c r="AO8" s="2">
        <f t="shared" si="14"/>
        <v>7330.990588918331</v>
      </c>
      <c r="AP8" s="2">
        <f t="shared" si="15"/>
        <v>7287.2618205320641</v>
      </c>
      <c r="AQ8" s="2">
        <f t="shared" si="16"/>
        <v>7179.9574188317292</v>
      </c>
      <c r="AR8" s="2">
        <f t="shared" si="17"/>
        <v>5257.3325173232261</v>
      </c>
      <c r="AS8" s="2">
        <f t="shared" si="18"/>
        <v>4621.0156652325422</v>
      </c>
      <c r="AX8" s="2">
        <f t="shared" si="28"/>
        <v>1E-10</v>
      </c>
      <c r="AY8" s="37">
        <f t="shared" si="19"/>
        <v>23092.88101901098</v>
      </c>
      <c r="AZ8" s="37">
        <f t="shared" si="20"/>
        <v>22880.933349619339</v>
      </c>
      <c r="BA8" s="37">
        <f t="shared" si="21"/>
        <v>22743.861568225893</v>
      </c>
      <c r="BB8" s="37">
        <f t="shared" si="22"/>
        <v>22603.0583539541</v>
      </c>
      <c r="BC8" s="37">
        <f t="shared" si="23"/>
        <v>22560.863795914058</v>
      </c>
      <c r="BD8" s="37">
        <f t="shared" si="24"/>
        <v>35260.524500906417</v>
      </c>
      <c r="BE8" s="37">
        <f t="shared" si="25"/>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6"/>
        <v>-10</v>
      </c>
      <c r="N9" s="2">
        <f t="shared" si="4"/>
        <v>1.0000000000000001E-9</v>
      </c>
      <c r="O9" s="2">
        <f t="shared" si="5"/>
        <v>20154.802473088701</v>
      </c>
      <c r="P9" s="2">
        <f t="shared" si="6"/>
        <v>19975.173028658446</v>
      </c>
      <c r="Q9" s="2">
        <f t="shared" si="7"/>
        <v>19859.239075211295</v>
      </c>
      <c r="R9" s="2">
        <f t="shared" si="27"/>
        <v>19740.340078682737</v>
      </c>
      <c r="S9" s="2">
        <f t="shared" si="8"/>
        <v>19165.599243180055</v>
      </c>
      <c r="T9" s="2">
        <f t="shared" si="9"/>
        <v>14288.820500325908</v>
      </c>
      <c r="U9" s="2">
        <f t="shared" si="10"/>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1"/>
        <v>1.0000000000000001E-9</v>
      </c>
      <c r="AM9" s="2">
        <f t="shared" si="12"/>
        <v>7439.7324702812866</v>
      </c>
      <c r="AN9" s="2">
        <f t="shared" si="13"/>
        <v>7373.6381732995414</v>
      </c>
      <c r="AO9" s="2">
        <f t="shared" si="14"/>
        <v>7330.9902818130686</v>
      </c>
      <c r="AP9" s="2">
        <f t="shared" si="15"/>
        <v>7287.2593322225375</v>
      </c>
      <c r="AQ9" s="2">
        <f t="shared" si="16"/>
        <v>7042.6684859234238</v>
      </c>
      <c r="AR9" s="2">
        <f t="shared" si="17"/>
        <v>4943.4016945901922</v>
      </c>
      <c r="AS9" s="2">
        <f t="shared" si="18"/>
        <v>4155.4773315838347</v>
      </c>
      <c r="AX9" s="2">
        <f t="shared" si="28"/>
        <v>1.0000000000000001E-9</v>
      </c>
      <c r="AY9" s="37">
        <f t="shared" si="19"/>
        <v>23092.880104814758</v>
      </c>
      <c r="AZ9" s="37">
        <f t="shared" si="20"/>
        <v>22880.932452127159</v>
      </c>
      <c r="BA9" s="37">
        <f t="shared" si="21"/>
        <v>22743.859794683511</v>
      </c>
      <c r="BB9" s="37">
        <f t="shared" si="22"/>
        <v>22603.061857256907</v>
      </c>
      <c r="BC9" s="37">
        <f t="shared" si="23"/>
        <v>22927.118894522977</v>
      </c>
      <c r="BD9" s="37">
        <f t="shared" si="24"/>
        <v>43490.574374796946</v>
      </c>
      <c r="BE9" s="37">
        <f t="shared" si="25"/>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6"/>
        <v>-10</v>
      </c>
      <c r="N10" s="2">
        <f t="shared" si="4"/>
        <v>1E-8</v>
      </c>
      <c r="O10" s="2">
        <f t="shared" si="5"/>
        <v>20154.80224096524</v>
      </c>
      <c r="P10" s="2">
        <f t="shared" si="6"/>
        <v>19975.172572649844</v>
      </c>
      <c r="Q10" s="2">
        <f t="shared" si="7"/>
        <v>19859.23884984594</v>
      </c>
      <c r="R10" s="2">
        <f t="shared" si="27"/>
        <v>19740.291090332419</v>
      </c>
      <c r="S10" s="2">
        <f t="shared" si="8"/>
        <v>18836.278159388217</v>
      </c>
      <c r="T10" s="2">
        <f t="shared" si="9"/>
        <v>13410.518659089135</v>
      </c>
      <c r="U10" s="2">
        <f t="shared" si="10"/>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1"/>
        <v>1E-8</v>
      </c>
      <c r="AM10" s="2">
        <f t="shared" si="12"/>
        <v>7439.7324070245795</v>
      </c>
      <c r="AN10" s="2">
        <f t="shared" si="13"/>
        <v>7373.6380490240244</v>
      </c>
      <c r="AO10" s="2">
        <f t="shared" si="14"/>
        <v>7330.9901589709716</v>
      </c>
      <c r="AP10" s="2">
        <f t="shared" si="15"/>
        <v>7287.2374230339683</v>
      </c>
      <c r="AQ10" s="2">
        <f t="shared" si="16"/>
        <v>6896.670224560311</v>
      </c>
      <c r="AR10" s="2">
        <f t="shared" si="17"/>
        <v>4573.266252420035</v>
      </c>
      <c r="AS10" s="2">
        <f t="shared" si="18"/>
        <v>3566.7724920591822</v>
      </c>
      <c r="AX10" s="2">
        <f t="shared" si="28"/>
        <v>1E-8</v>
      </c>
      <c r="AY10" s="37">
        <f t="shared" si="19"/>
        <v>23092.879190618609</v>
      </c>
      <c r="AZ10" s="37">
        <f t="shared" si="20"/>
        <v>22880.930657143079</v>
      </c>
      <c r="BA10" s="37">
        <f t="shared" si="21"/>
        <v>22743.860681454684</v>
      </c>
      <c r="BB10" s="37">
        <f t="shared" si="22"/>
        <v>22603.11615858931</v>
      </c>
      <c r="BC10" s="37">
        <f t="shared" si="23"/>
        <v>23359.64470274073</v>
      </c>
      <c r="BD10" s="37">
        <f t="shared" si="24"/>
        <v>66099.600086088118</v>
      </c>
      <c r="BE10" s="37">
        <f t="shared" si="25"/>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6"/>
        <v>-10</v>
      </c>
      <c r="N11" s="2">
        <f t="shared" si="4"/>
        <v>9.9999999999999995E-8</v>
      </c>
      <c r="O11" s="2">
        <f t="shared" si="5"/>
        <v>20154.802008841783</v>
      </c>
      <c r="P11" s="2">
        <f t="shared" si="6"/>
        <v>19975.172572649844</v>
      </c>
      <c r="Q11" s="2">
        <f t="shared" si="7"/>
        <v>19859.238173749905</v>
      </c>
      <c r="R11" s="2">
        <f t="shared" si="27"/>
        <v>19739.803001503598</v>
      </c>
      <c r="S11" s="2">
        <f t="shared" si="8"/>
        <v>18455.411362313396</v>
      </c>
      <c r="T11" s="2">
        <f t="shared" si="9"/>
        <v>12218.132057062168</v>
      </c>
      <c r="U11" s="2">
        <f t="shared" si="10"/>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1"/>
        <v>9.9999999999999995E-8</v>
      </c>
      <c r="AM11" s="2">
        <f t="shared" si="12"/>
        <v>7439.7323437678724</v>
      </c>
      <c r="AN11" s="2">
        <f t="shared" si="13"/>
        <v>7373.6380490240244</v>
      </c>
      <c r="AO11" s="2">
        <f t="shared" si="14"/>
        <v>7330.9898518657455</v>
      </c>
      <c r="AP11" s="2">
        <f t="shared" si="15"/>
        <v>7287.0191880040384</v>
      </c>
      <c r="AQ11" s="2">
        <f t="shared" si="16"/>
        <v>6728.3118442587265</v>
      </c>
      <c r="AR11" s="2">
        <f t="shared" si="17"/>
        <v>4079.2740096930638</v>
      </c>
      <c r="AS11" s="2">
        <f t="shared" si="18"/>
        <v>2850.9447868112361</v>
      </c>
      <c r="AX11" s="2">
        <f t="shared" si="28"/>
        <v>9.9999999999999995E-8</v>
      </c>
      <c r="AY11" s="37">
        <f t="shared" si="19"/>
        <v>23092.878276422522</v>
      </c>
      <c r="AZ11" s="37">
        <f t="shared" si="20"/>
        <v>22880.930657143079</v>
      </c>
      <c r="BA11" s="37">
        <f t="shared" si="21"/>
        <v>22743.861568225911</v>
      </c>
      <c r="BB11" s="37">
        <f t="shared" si="22"/>
        <v>22603.655682775396</v>
      </c>
      <c r="BC11" s="37">
        <f t="shared" si="23"/>
        <v>23932.162957571156</v>
      </c>
      <c r="BD11" s="37">
        <f t="shared" si="24"/>
        <v>843764.67547848891</v>
      </c>
      <c r="BE11" s="37">
        <f t="shared" si="25"/>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6"/>
        <v>-10</v>
      </c>
      <c r="N12" s="2">
        <f t="shared" si="4"/>
        <v>9.9999999999999995E-7</v>
      </c>
      <c r="O12" s="2">
        <f t="shared" si="5"/>
        <v>20154.802008841783</v>
      </c>
      <c r="P12" s="2">
        <f t="shared" si="6"/>
        <v>19975.172344645551</v>
      </c>
      <c r="Q12" s="2">
        <f t="shared" si="7"/>
        <v>19859.23253961806</v>
      </c>
      <c r="R12" s="2">
        <f t="shared" si="27"/>
        <v>19734.957268460879</v>
      </c>
      <c r="S12" s="2">
        <f t="shared" si="8"/>
        <v>17983.981862609631</v>
      </c>
      <c r="T12" s="2">
        <f t="shared" si="9"/>
        <v>10678.883472084573</v>
      </c>
      <c r="U12" s="2">
        <f t="shared" si="10"/>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1"/>
        <v>9.9999999999999995E-7</v>
      </c>
      <c r="AM12" s="2">
        <f t="shared" si="12"/>
        <v>7439.7323437678724</v>
      </c>
      <c r="AN12" s="2">
        <f t="shared" si="13"/>
        <v>7373.6379247485102</v>
      </c>
      <c r="AO12" s="2">
        <f t="shared" si="14"/>
        <v>7330.9873950248675</v>
      </c>
      <c r="AP12" s="2">
        <f t="shared" si="15"/>
        <v>7284.8522944162632</v>
      </c>
      <c r="AQ12" s="2">
        <f t="shared" si="16"/>
        <v>6522.7483495061197</v>
      </c>
      <c r="AR12" s="2">
        <f t="shared" si="17"/>
        <v>3459.2497747504567</v>
      </c>
      <c r="AS12" s="2">
        <f t="shared" si="18"/>
        <v>2002.5618143914935</v>
      </c>
      <c r="AX12" s="2">
        <f t="shared" si="28"/>
        <v>9.9999999999999995E-7</v>
      </c>
      <c r="AY12" s="37">
        <f t="shared" si="19"/>
        <v>23092.878276422522</v>
      </c>
      <c r="AZ12" s="37">
        <f t="shared" si="20"/>
        <v>22880.931554635095</v>
      </c>
      <c r="BA12" s="37">
        <f t="shared" si="21"/>
        <v>22743.866002083108</v>
      </c>
      <c r="BB12" s="37">
        <f t="shared" si="22"/>
        <v>22609.026052897494</v>
      </c>
      <c r="BC12" s="37">
        <f t="shared" si="23"/>
        <v>24681.292236302077</v>
      </c>
      <c r="BD12" s="37">
        <f t="shared" si="24"/>
        <v>-40890.884800236614</v>
      </c>
      <c r="BE12" s="37">
        <f t="shared" si="25"/>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6"/>
        <v>-10</v>
      </c>
      <c r="N13" s="2">
        <f t="shared" si="4"/>
        <v>1.0000000000000001E-5</v>
      </c>
      <c r="O13" s="2">
        <f t="shared" si="5"/>
        <v>20154.802008841783</v>
      </c>
      <c r="P13" s="2">
        <f t="shared" si="6"/>
        <v>19975.171888636974</v>
      </c>
      <c r="Q13" s="2">
        <f t="shared" si="7"/>
        <v>19859.177776023109</v>
      </c>
      <c r="R13" s="2">
        <f t="shared" si="27"/>
        <v>19689.720606690018</v>
      </c>
      <c r="S13" s="2">
        <f t="shared" si="8"/>
        <v>17533.843649674167</v>
      </c>
      <c r="T13" s="2">
        <f t="shared" si="9"/>
        <v>8709.9685490501379</v>
      </c>
      <c r="U13" s="2">
        <f t="shared" si="10"/>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1"/>
        <v>1.0000000000000001E-5</v>
      </c>
      <c r="AM13" s="2">
        <f t="shared" si="12"/>
        <v>7439.7323437678724</v>
      </c>
      <c r="AN13" s="2">
        <f t="shared" si="13"/>
        <v>7373.6377383352474</v>
      </c>
      <c r="AO13" s="2">
        <f t="shared" si="14"/>
        <v>7330.962888127252</v>
      </c>
      <c r="AP13" s="2">
        <f t="shared" si="15"/>
        <v>7264.6309792458533</v>
      </c>
      <c r="AQ13" s="2">
        <f t="shared" si="16"/>
        <v>6323.7668304163335</v>
      </c>
      <c r="AR13" s="2">
        <f t="shared" si="17"/>
        <v>2702.914511015118</v>
      </c>
      <c r="AS13" s="2">
        <f t="shared" si="18"/>
        <v>1246.5264827258</v>
      </c>
      <c r="AX13" s="2">
        <f t="shared" si="28"/>
        <v>1.0000000000000001E-5</v>
      </c>
      <c r="AY13" s="37">
        <f t="shared" si="19"/>
        <v>23092.878276422522</v>
      </c>
      <c r="AZ13" s="37">
        <f t="shared" si="20"/>
        <v>22880.931554635074</v>
      </c>
      <c r="BA13" s="37">
        <f t="shared" si="21"/>
        <v>22743.927189489001</v>
      </c>
      <c r="BB13" s="37">
        <f t="shared" si="22"/>
        <v>22659.511958136605</v>
      </c>
      <c r="BC13" s="37">
        <f t="shared" si="23"/>
        <v>25712.062135152279</v>
      </c>
      <c r="BD13" s="37">
        <f t="shared" si="24"/>
        <v>-13052.406755657226</v>
      </c>
      <c r="BE13" s="37">
        <f t="shared" si="25"/>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6"/>
        <v>-10</v>
      </c>
      <c r="N14" s="2">
        <f t="shared" si="4"/>
        <v>1E-4</v>
      </c>
      <c r="O14" s="2">
        <f t="shared" si="5"/>
        <v>20154.801776718334</v>
      </c>
      <c r="P14" s="2">
        <f t="shared" si="6"/>
        <v>19975.165960527425</v>
      </c>
      <c r="Q14" s="2">
        <f t="shared" si="7"/>
        <v>19858.630832739454</v>
      </c>
      <c r="R14" s="2">
        <f t="shared" si="27"/>
        <v>19441.022824427346</v>
      </c>
      <c r="S14" s="2">
        <f t="shared" si="8"/>
        <v>16927.590153443285</v>
      </c>
      <c r="T14" s="2">
        <f t="shared" si="9"/>
        <v>6261.1865041448682</v>
      </c>
      <c r="U14" s="2">
        <f t="shared" si="10"/>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1"/>
        <v>1E-4</v>
      </c>
      <c r="AM14" s="2">
        <f t="shared" si="12"/>
        <v>7439.7322172544646</v>
      </c>
      <c r="AN14" s="2">
        <f t="shared" si="13"/>
        <v>7373.6350664128558</v>
      </c>
      <c r="AO14" s="2">
        <f t="shared" si="14"/>
        <v>7330.7179509954649</v>
      </c>
      <c r="AP14" s="2">
        <f t="shared" si="15"/>
        <v>7153.647880511483</v>
      </c>
      <c r="AQ14" s="2">
        <f t="shared" si="16"/>
        <v>6060.8557573682765</v>
      </c>
      <c r="AR14" s="2">
        <f t="shared" si="17"/>
        <v>1832.1518571214692</v>
      </c>
      <c r="AS14" s="2">
        <f t="shared" si="18"/>
        <v>721.62368462950201</v>
      </c>
      <c r="AX14" s="2">
        <f t="shared" si="28"/>
        <v>1E-4</v>
      </c>
      <c r="AY14" s="37">
        <f t="shared" si="19"/>
        <v>23092.879190618602</v>
      </c>
      <c r="AZ14" s="37">
        <f t="shared" si="20"/>
        <v>22880.93873457372</v>
      </c>
      <c r="BA14" s="37">
        <f t="shared" si="21"/>
        <v>22744.543515776928</v>
      </c>
      <c r="BB14" s="37">
        <f t="shared" si="22"/>
        <v>22950.442833384557</v>
      </c>
      <c r="BC14" s="37">
        <f t="shared" si="23"/>
        <v>27250.346032679754</v>
      </c>
      <c r="BD14" s="37">
        <f t="shared" si="24"/>
        <v>-5000.2094373438613</v>
      </c>
      <c r="BE14" s="37">
        <f t="shared" si="25"/>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6"/>
        <v>-10</v>
      </c>
      <c r="N15" s="2">
        <f t="shared" si="4"/>
        <v>1E-3</v>
      </c>
      <c r="O15" s="2">
        <f t="shared" si="5"/>
        <v>20154.800151854328</v>
      </c>
      <c r="P15" s="2">
        <f t="shared" si="6"/>
        <v>19975.106907628244</v>
      </c>
      <c r="Q15" s="2">
        <f t="shared" si="7"/>
        <v>19853.203597450407</v>
      </c>
      <c r="R15" s="2">
        <f t="shared" si="27"/>
        <v>19122.532544501544</v>
      </c>
      <c r="S15" s="2">
        <f t="shared" si="8"/>
        <v>16273.34911755207</v>
      </c>
      <c r="T15" s="2">
        <f t="shared" si="9"/>
        <v>3999.996891430987</v>
      </c>
      <c r="U15" s="2">
        <f t="shared" si="10"/>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1"/>
        <v>1E-3</v>
      </c>
      <c r="AM15" s="2">
        <f t="shared" si="12"/>
        <v>7439.7315214307937</v>
      </c>
      <c r="AN15" s="2">
        <f t="shared" si="13"/>
        <v>7373.6085958444728</v>
      </c>
      <c r="AO15" s="2">
        <f t="shared" si="14"/>
        <v>7328.2878922672335</v>
      </c>
      <c r="AP15" s="2">
        <f t="shared" si="15"/>
        <v>7011.9974153857656</v>
      </c>
      <c r="AQ15" s="2">
        <f t="shared" si="16"/>
        <v>5776.7475493188331</v>
      </c>
      <c r="AR15" s="2">
        <f t="shared" si="17"/>
        <v>1105.139847553852</v>
      </c>
      <c r="AS15" s="2">
        <f t="shared" si="18"/>
        <v>404.72633399765499</v>
      </c>
      <c r="AX15" s="2">
        <f t="shared" si="28"/>
        <v>1E-3</v>
      </c>
      <c r="AY15" s="37">
        <f t="shared" si="19"/>
        <v>23092.880104814769</v>
      </c>
      <c r="AZ15" s="37">
        <f t="shared" si="20"/>
        <v>22881.006046717706</v>
      </c>
      <c r="BA15" s="37">
        <f t="shared" si="21"/>
        <v>22750.655378129468</v>
      </c>
      <c r="BB15" s="37">
        <f t="shared" si="22"/>
        <v>23358.587704015405</v>
      </c>
      <c r="BC15" s="37">
        <f t="shared" si="23"/>
        <v>29648.848860571012</v>
      </c>
      <c r="BD15" s="37">
        <f t="shared" si="24"/>
        <v>-2152.4502004816723</v>
      </c>
      <c r="BE15" s="37">
        <f t="shared" si="25"/>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6"/>
        <v>-10</v>
      </c>
      <c r="N16" s="2">
        <f t="shared" si="4"/>
        <v>0.01</v>
      </c>
      <c r="O16" s="2">
        <f t="shared" si="5"/>
        <v>20154.783903228661</v>
      </c>
      <c r="P16" s="2">
        <f t="shared" si="6"/>
        <v>19974.517537786192</v>
      </c>
      <c r="Q16" s="2">
        <f t="shared" si="7"/>
        <v>19802.92446420019</v>
      </c>
      <c r="R16" s="2">
        <f t="shared" si="27"/>
        <v>18767.791933781053</v>
      </c>
      <c r="S16" s="2">
        <f t="shared" si="8"/>
        <v>15622.666364211846</v>
      </c>
      <c r="T16" s="2">
        <f t="shared" si="9"/>
        <v>2381.5452074981822</v>
      </c>
      <c r="U16" s="2">
        <f t="shared" si="10"/>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1"/>
        <v>0.01</v>
      </c>
      <c r="AM16" s="2">
        <f t="shared" si="12"/>
        <v>7439.7241836618095</v>
      </c>
      <c r="AN16" s="2">
        <f t="shared" si="13"/>
        <v>7373.3444598084343</v>
      </c>
      <c r="AO16" s="2">
        <f t="shared" si="14"/>
        <v>7305.7841813741479</v>
      </c>
      <c r="AP16" s="2">
        <f t="shared" si="15"/>
        <v>6854.7708758756735</v>
      </c>
      <c r="AQ16" s="2">
        <f t="shared" si="16"/>
        <v>5495.7675366958674</v>
      </c>
      <c r="AR16" s="2">
        <f t="shared" si="17"/>
        <v>630.91869332772831</v>
      </c>
      <c r="AS16" s="2">
        <f t="shared" si="18"/>
        <v>265.07180083177406</v>
      </c>
      <c r="AX16" s="2">
        <f t="shared" si="28"/>
        <v>0.01</v>
      </c>
      <c r="AY16" s="37">
        <f t="shared" si="19"/>
        <v>23092.900217148483</v>
      </c>
      <c r="AZ16" s="37">
        <f t="shared" si="20"/>
        <v>22881.676497288649</v>
      </c>
      <c r="BA16" s="37">
        <f t="shared" si="21"/>
        <v>22807.726538330313</v>
      </c>
      <c r="BB16" s="37">
        <f t="shared" si="22"/>
        <v>23870.012369440417</v>
      </c>
      <c r="BC16" s="37">
        <f t="shared" si="23"/>
        <v>33100.063003605632</v>
      </c>
      <c r="BD16" s="37">
        <f t="shared" si="24"/>
        <v>-1024.6827693397393</v>
      </c>
      <c r="BE16" s="37">
        <f t="shared" si="25"/>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6"/>
        <v>-10</v>
      </c>
      <c r="N17" s="2">
        <f t="shared" si="4"/>
        <v>0.1</v>
      </c>
      <c r="O17" s="2">
        <f t="shared" si="5"/>
        <v>20154.620489935787</v>
      </c>
      <c r="P17" s="2">
        <f t="shared" si="6"/>
        <v>19968.672006289562</v>
      </c>
      <c r="Q17" s="2">
        <f t="shared" si="7"/>
        <v>19541.4881258604</v>
      </c>
      <c r="R17" s="2">
        <f t="shared" si="27"/>
        <v>18343.605158238544</v>
      </c>
      <c r="S17" s="2">
        <f t="shared" si="8"/>
        <v>14904.786097156208</v>
      </c>
      <c r="T17" s="2">
        <f t="shared" si="9"/>
        <v>1373.307623968283</v>
      </c>
      <c r="U17" s="2">
        <f t="shared" si="10"/>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1"/>
        <v>0.1</v>
      </c>
      <c r="AM17" s="2">
        <f t="shared" si="12"/>
        <v>7439.6508067680606</v>
      </c>
      <c r="AN17" s="2">
        <f t="shared" si="13"/>
        <v>7370.7250016112393</v>
      </c>
      <c r="AO17" s="2">
        <f t="shared" si="14"/>
        <v>7188.9840707641179</v>
      </c>
      <c r="AP17" s="2">
        <f t="shared" si="15"/>
        <v>6667.3368038637464</v>
      </c>
      <c r="AQ17" s="2">
        <f t="shared" si="16"/>
        <v>5188.5996988750203</v>
      </c>
      <c r="AR17" s="2">
        <f t="shared" si="17"/>
        <v>354.28738756335468</v>
      </c>
      <c r="AS17" s="2">
        <f t="shared" si="18"/>
        <v>224.4007416662501</v>
      </c>
      <c r="AX17" s="2">
        <f t="shared" si="28"/>
        <v>0.1</v>
      </c>
      <c r="AY17" s="37">
        <f t="shared" si="19"/>
        <v>23093.090371853257</v>
      </c>
      <c r="AZ17" s="37">
        <f t="shared" si="20"/>
        <v>22888.326585920066</v>
      </c>
      <c r="BA17" s="37">
        <f t="shared" si="21"/>
        <v>23119.548715921093</v>
      </c>
      <c r="BB17" s="37">
        <f t="shared" si="22"/>
        <v>24582.450226367855</v>
      </c>
      <c r="BC17" s="37">
        <f t="shared" si="23"/>
        <v>38998.208667425417</v>
      </c>
      <c r="BD17" s="37">
        <f t="shared" si="24"/>
        <v>-522.41658208742194</v>
      </c>
      <c r="BE17" s="37">
        <f t="shared" si="25"/>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6"/>
        <v>-10</v>
      </c>
      <c r="N18" s="2">
        <f t="shared" si="4"/>
        <v>1</v>
      </c>
      <c r="O18" s="2">
        <f t="shared" si="5"/>
        <v>20152.99068020915</v>
      </c>
      <c r="P18" s="2">
        <f t="shared" si="6"/>
        <v>19914.779310788406</v>
      </c>
      <c r="Q18" s="2">
        <f t="shared" si="7"/>
        <v>19218.593723661947</v>
      </c>
      <c r="R18" s="2">
        <f t="shared" si="27"/>
        <v>17861.001927089837</v>
      </c>
      <c r="S18" s="2">
        <f t="shared" si="8"/>
        <v>14084.708819168596</v>
      </c>
      <c r="T18" s="2">
        <f t="shared" si="9"/>
        <v>970.50529052935451</v>
      </c>
      <c r="U18" s="2">
        <f t="shared" si="10"/>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1"/>
        <v>1</v>
      </c>
      <c r="AM18" s="2">
        <f t="shared" si="12"/>
        <v>7438.9188882303606</v>
      </c>
      <c r="AN18" s="2">
        <f t="shared" si="13"/>
        <v>7346.5860708392247</v>
      </c>
      <c r="AO18" s="2">
        <f t="shared" si="14"/>
        <v>7045.3278356909095</v>
      </c>
      <c r="AP18" s="2">
        <f t="shared" si="15"/>
        <v>6457.8733144157241</v>
      </c>
      <c r="AQ18" s="2">
        <f t="shared" si="16"/>
        <v>4846.1759775211867</v>
      </c>
      <c r="AR18" s="2">
        <f t="shared" si="17"/>
        <v>248.22351395532451</v>
      </c>
      <c r="AS18" s="2">
        <f t="shared" si="18"/>
        <v>202.49198438372559</v>
      </c>
      <c r="AX18" s="2">
        <f t="shared" si="28"/>
        <v>1</v>
      </c>
      <c r="AY18" s="37">
        <f t="shared" si="19"/>
        <v>23094.990262426258</v>
      </c>
      <c r="AZ18" s="37">
        <f t="shared" si="20"/>
        <v>22950.132221613188</v>
      </c>
      <c r="BA18" s="37">
        <f t="shared" si="21"/>
        <v>23539.170194751117</v>
      </c>
      <c r="BB18" s="37">
        <f t="shared" si="22"/>
        <v>25418.201308726548</v>
      </c>
      <c r="BC18" s="37">
        <f t="shared" si="23"/>
        <v>50135.230473373435</v>
      </c>
      <c r="BD18" s="37">
        <f t="shared" si="24"/>
        <v>-355.57302401162281</v>
      </c>
      <c r="BE18" s="37">
        <f t="shared" si="25"/>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6"/>
        <v>-10</v>
      </c>
      <c r="N19" s="2">
        <f t="shared" si="4"/>
        <v>10</v>
      </c>
      <c r="O19" s="2">
        <f t="shared" si="5"/>
        <v>20137.057415526051</v>
      </c>
      <c r="P19" s="2">
        <f t="shared" si="6"/>
        <v>19643.672756167805</v>
      </c>
      <c r="Q19" s="2">
        <f t="shared" si="7"/>
        <v>18846.440804960992</v>
      </c>
      <c r="R19" s="2">
        <f t="shared" si="27"/>
        <v>17248.776741394606</v>
      </c>
      <c r="S19" s="2">
        <f t="shared" si="8"/>
        <v>12688.010026283031</v>
      </c>
      <c r="T19" s="2">
        <f t="shared" si="9"/>
        <v>832.46344867058917</v>
      </c>
      <c r="U19" s="2">
        <f t="shared" si="10"/>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1"/>
        <v>10</v>
      </c>
      <c r="AM19" s="2">
        <f t="shared" si="12"/>
        <v>7431.7642795214106</v>
      </c>
      <c r="AN19" s="2">
        <f t="shared" si="13"/>
        <v>7225.4468313347925</v>
      </c>
      <c r="AO19" s="2">
        <f t="shared" si="14"/>
        <v>6881.2247214769232</v>
      </c>
      <c r="AP19" s="2">
        <f t="shared" si="15"/>
        <v>6197.1395066404111</v>
      </c>
      <c r="AQ19" s="2">
        <f t="shared" si="16"/>
        <v>4307.5308640863095</v>
      </c>
      <c r="AR19" s="2">
        <f t="shared" si="17"/>
        <v>214.57476664013214</v>
      </c>
      <c r="AS19" s="2">
        <f t="shared" si="18"/>
        <v>189.83771999127222</v>
      </c>
      <c r="AX19" s="2">
        <f t="shared" si="28"/>
        <v>10</v>
      </c>
      <c r="AY19" s="37">
        <f t="shared" si="19"/>
        <v>23113.614390393683</v>
      </c>
      <c r="AZ19" s="37">
        <f t="shared" si="20"/>
        <v>23275.539238382869</v>
      </c>
      <c r="BA19" s="37">
        <f t="shared" si="21"/>
        <v>24053.006007932338</v>
      </c>
      <c r="BB19" s="37">
        <f t="shared" si="22"/>
        <v>26537.998319158982</v>
      </c>
      <c r="BC19" s="37">
        <f t="shared" si="23"/>
        <v>77661.347885028619</v>
      </c>
      <c r="BD19" s="37">
        <f t="shared" si="24"/>
        <v>-315.47182344480592</v>
      </c>
      <c r="BE19" s="37">
        <f t="shared" si="25"/>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6"/>
        <v>-10</v>
      </c>
      <c r="N20" s="2">
        <f t="shared" si="4"/>
        <v>100</v>
      </c>
      <c r="O20" s="2">
        <f t="shared" si="5"/>
        <v>20008.715567830306</v>
      </c>
      <c r="P20" s="2">
        <f t="shared" si="6"/>
        <v>19302.010618752975</v>
      </c>
      <c r="Q20" s="2">
        <f t="shared" si="7"/>
        <v>18254.556853733873</v>
      </c>
      <c r="R20" s="2">
        <f t="shared" si="27"/>
        <v>16052.315505234246</v>
      </c>
      <c r="S20" s="2">
        <f t="shared" si="8"/>
        <v>10169.882364098989</v>
      </c>
      <c r="T20" s="2">
        <f t="shared" si="9"/>
        <v>697.97258507268759</v>
      </c>
      <c r="U20" s="2">
        <f t="shared" si="10"/>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1"/>
        <v>100</v>
      </c>
      <c r="AM20" s="2">
        <f t="shared" si="12"/>
        <v>7374.1954046997607</v>
      </c>
      <c r="AN20" s="2">
        <f t="shared" si="13"/>
        <v>7074.5614632967963</v>
      </c>
      <c r="AO20" s="2">
        <f t="shared" si="14"/>
        <v>6633.2763958157147</v>
      </c>
      <c r="AP20" s="2">
        <f t="shared" si="15"/>
        <v>5728.6851502202007</v>
      </c>
      <c r="AQ20" s="2">
        <f t="shared" si="16"/>
        <v>3424.2409160347711</v>
      </c>
      <c r="AR20" s="2">
        <f t="shared" si="17"/>
        <v>185.72591291449908</v>
      </c>
      <c r="AS20" s="2">
        <f t="shared" si="18"/>
        <v>169.86288435020435</v>
      </c>
      <c r="AX20" s="2">
        <f t="shared" si="28"/>
        <v>100</v>
      </c>
      <c r="AY20" s="37">
        <f t="shared" si="19"/>
        <v>23266.667815375284</v>
      </c>
      <c r="AZ20" s="37">
        <f t="shared" si="20"/>
        <v>23686.514422745709</v>
      </c>
      <c r="BA20" s="37">
        <f t="shared" si="21"/>
        <v>24532.417037744013</v>
      </c>
      <c r="BB20" s="37">
        <f t="shared" si="22"/>
        <v>27036.96493846388</v>
      </c>
      <c r="BC20" s="37">
        <f t="shared" si="23"/>
        <v>112874.35909938901</v>
      </c>
      <c r="BD20" s="37">
        <f t="shared" si="24"/>
        <v>-306.90421543988464</v>
      </c>
      <c r="BE20" s="37">
        <f t="shared" si="25"/>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6"/>
        <v>-10</v>
      </c>
      <c r="N21" s="2">
        <f t="shared" si="4"/>
        <v>1000</v>
      </c>
      <c r="O21" s="2">
        <f t="shared" si="5"/>
        <v>19684.098120347473</v>
      </c>
      <c r="P21" s="2">
        <f t="shared" si="6"/>
        <v>18729.765498519733</v>
      </c>
      <c r="Q21" s="2">
        <f t="shared" si="7"/>
        <v>16979.984576352294</v>
      </c>
      <c r="R21" s="2">
        <f t="shared" si="27"/>
        <v>13802.936034354956</v>
      </c>
      <c r="S21" s="2">
        <f t="shared" si="8"/>
        <v>7300.4195655416024</v>
      </c>
      <c r="T21" s="2">
        <f t="shared" si="9"/>
        <v>548.83731637118672</v>
      </c>
      <c r="U21" s="2">
        <f t="shared" si="10"/>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1"/>
        <v>1000</v>
      </c>
      <c r="AM21" s="2">
        <f t="shared" si="12"/>
        <v>7229.1163160436472</v>
      </c>
      <c r="AN21" s="2">
        <f t="shared" si="13"/>
        <v>6837.385209483964</v>
      </c>
      <c r="AO21" s="2">
        <f t="shared" si="14"/>
        <v>6142.0459094556854</v>
      </c>
      <c r="AP21" s="2">
        <f t="shared" si="15"/>
        <v>4909.4106843846976</v>
      </c>
      <c r="AQ21" s="2">
        <f t="shared" si="16"/>
        <v>2457.6306581082695</v>
      </c>
      <c r="AR21" s="2">
        <f t="shared" si="17"/>
        <v>158.09658219581334</v>
      </c>
      <c r="AS21" s="2">
        <f t="shared" si="18"/>
        <v>142.29365996368665</v>
      </c>
      <c r="AX21" s="2">
        <f t="shared" si="28"/>
        <v>1000</v>
      </c>
      <c r="AY21" s="37">
        <f t="shared" si="19"/>
        <v>23677.952674862463</v>
      </c>
      <c r="AZ21" s="37">
        <f t="shared" si="20"/>
        <v>23949.605541101169</v>
      </c>
      <c r="BA21" s="37">
        <f t="shared" si="21"/>
        <v>24038.911937855533</v>
      </c>
      <c r="BB21" s="37">
        <f t="shared" si="22"/>
        <v>24411.748696698593</v>
      </c>
      <c r="BC21" s="37">
        <f t="shared" si="23"/>
        <v>82522.140690347413</v>
      </c>
      <c r="BD21" s="37">
        <f t="shared" si="24"/>
        <v>-387.9818132749063</v>
      </c>
      <c r="BE21" s="37">
        <f t="shared" si="25"/>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6"/>
        <v>-10</v>
      </c>
      <c r="N22" s="2">
        <f t="shared" si="4"/>
        <v>10000</v>
      </c>
      <c r="O22" s="2">
        <f t="shared" si="5"/>
        <v>19310.182462245117</v>
      </c>
      <c r="P22" s="2">
        <f t="shared" si="6"/>
        <v>17308.171801111104</v>
      </c>
      <c r="Q22" s="2">
        <f t="shared" si="7"/>
        <v>14603.915117705887</v>
      </c>
      <c r="R22" s="2">
        <f t="shared" si="27"/>
        <v>11388.112671513923</v>
      </c>
      <c r="S22" s="2">
        <f t="shared" si="8"/>
        <v>4777.2365062655363</v>
      </c>
      <c r="T22" s="2">
        <f t="shared" si="9"/>
        <v>424.68993933559034</v>
      </c>
      <c r="U22" s="2">
        <f t="shared" si="10"/>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1"/>
        <v>10000</v>
      </c>
      <c r="AM22" s="2">
        <f t="shared" si="12"/>
        <v>7065.0007195804155</v>
      </c>
      <c r="AN22" s="2">
        <f t="shared" si="13"/>
        <v>6289.6718355453368</v>
      </c>
      <c r="AO22" s="2">
        <f t="shared" si="14"/>
        <v>5263.2654078154883</v>
      </c>
      <c r="AP22" s="2">
        <f t="shared" si="15"/>
        <v>4054.6855956010618</v>
      </c>
      <c r="AQ22" s="2">
        <f t="shared" si="16"/>
        <v>1610.938712030013</v>
      </c>
      <c r="AR22" s="2">
        <f t="shared" si="17"/>
        <v>132.46407229952649</v>
      </c>
      <c r="AS22" s="2">
        <f t="shared" si="18"/>
        <v>121.71619952615258</v>
      </c>
      <c r="AX22" s="2">
        <f t="shared" si="28"/>
        <v>10000</v>
      </c>
      <c r="AY22" s="37">
        <f t="shared" si="19"/>
        <v>24127.233185682937</v>
      </c>
      <c r="AZ22" s="37">
        <f t="shared" si="20"/>
        <v>23248.691357733402</v>
      </c>
      <c r="BA22" s="37">
        <f t="shared" si="21"/>
        <v>21605.392785053158</v>
      </c>
      <c r="BB22" s="37">
        <f t="shared" si="22"/>
        <v>19836.143480107861</v>
      </c>
      <c r="BC22" s="37">
        <f t="shared" si="23"/>
        <v>46155.010680269632</v>
      </c>
      <c r="BD22" s="37">
        <f t="shared" si="24"/>
        <v>-686.94569615763794</v>
      </c>
      <c r="BE22" s="37">
        <f t="shared" si="25"/>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6"/>
        <v>-10</v>
      </c>
      <c r="N23" s="2">
        <f t="shared" si="4"/>
        <v>100000</v>
      </c>
      <c r="O23" s="2">
        <f t="shared" si="5"/>
        <v>18566.934600264562</v>
      </c>
      <c r="P23" s="2">
        <f t="shared" si="6"/>
        <v>14894.920168334727</v>
      </c>
      <c r="Q23" s="2">
        <f t="shared" si="7"/>
        <v>12222.314258188637</v>
      </c>
      <c r="R23" s="2">
        <f t="shared" si="27"/>
        <v>9481.7225439927552</v>
      </c>
      <c r="S23" s="2">
        <f t="shared" si="8"/>
        <v>2781.8501856678345</v>
      </c>
      <c r="T23" s="2">
        <f t="shared" si="9"/>
        <v>351.56865009712232</v>
      </c>
      <c r="U23" s="2">
        <f t="shared" si="10"/>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1"/>
        <v>100000</v>
      </c>
      <c r="AM23" s="2">
        <f t="shared" si="12"/>
        <v>6763.2909836921517</v>
      </c>
      <c r="AN23" s="2">
        <f t="shared" si="13"/>
        <v>5393.096219252795</v>
      </c>
      <c r="AO23" s="2">
        <f t="shared" si="14"/>
        <v>4399.1328288595505</v>
      </c>
      <c r="AP23" s="2">
        <f t="shared" si="15"/>
        <v>3384.7376862720757</v>
      </c>
      <c r="AQ23" s="2">
        <f t="shared" si="16"/>
        <v>942.69111378955085</v>
      </c>
      <c r="AR23" s="2">
        <f t="shared" si="17"/>
        <v>115.64370251909122</v>
      </c>
      <c r="AS23" s="2">
        <f t="shared" si="18"/>
        <v>109.27679567564616</v>
      </c>
      <c r="AX23" s="2">
        <f t="shared" si="28"/>
        <v>100000</v>
      </c>
      <c r="AY23" s="37">
        <f t="shared" si="19"/>
        <v>24294.462096800613</v>
      </c>
      <c r="AZ23" s="37">
        <f t="shared" si="20"/>
        <v>20848.0505678878</v>
      </c>
      <c r="BA23" s="37">
        <f t="shared" si="21"/>
        <v>18380.492109422798</v>
      </c>
      <c r="BB23" s="37">
        <f t="shared" si="22"/>
        <v>15907.606584781948</v>
      </c>
      <c r="BC23" s="37">
        <f t="shared" si="23"/>
        <v>18911.340071605871</v>
      </c>
      <c r="BD23" s="37">
        <f t="shared" si="24"/>
        <v>-2922.2876870326827</v>
      </c>
      <c r="BE23" s="37">
        <f t="shared" si="25"/>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6"/>
        <v>-10</v>
      </c>
      <c r="N24" s="2">
        <f t="shared" si="4"/>
        <v>1000000</v>
      </c>
      <c r="O24" s="2">
        <f t="shared" si="5"/>
        <v>16761.540176741342</v>
      </c>
      <c r="P24" s="2">
        <f t="shared" si="6"/>
        <v>12612.199023383377</v>
      </c>
      <c r="Q24" s="2">
        <f t="shared" si="7"/>
        <v>10433.150423314644</v>
      </c>
      <c r="R24" s="2">
        <f t="shared" si="27"/>
        <v>8012.0684642696078</v>
      </c>
      <c r="S24" s="2">
        <f t="shared" si="8"/>
        <v>1491.317295053803</v>
      </c>
      <c r="T24" s="2">
        <f t="shared" si="9"/>
        <v>311.02439474519485</v>
      </c>
      <c r="U24" s="2">
        <f t="shared" si="10"/>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1"/>
        <v>1000000</v>
      </c>
      <c r="AM24" s="2">
        <f t="shared" si="12"/>
        <v>6076.274832146727</v>
      </c>
      <c r="AN24" s="2">
        <f t="shared" si="13"/>
        <v>4558.7271908643725</v>
      </c>
      <c r="AO24" s="2">
        <f t="shared" si="14"/>
        <v>3757.2475587809995</v>
      </c>
      <c r="AP24" s="2">
        <f t="shared" si="15"/>
        <v>2867.8130883318549</v>
      </c>
      <c r="AQ24" s="2">
        <f t="shared" si="16"/>
        <v>510.32470275306576</v>
      </c>
      <c r="AR24" s="2">
        <f t="shared" si="17"/>
        <v>105.70344373363407</v>
      </c>
      <c r="AS24" s="2">
        <f t="shared" si="18"/>
        <v>101.92394551670053</v>
      </c>
      <c r="AX24" s="2">
        <f t="shared" si="28"/>
        <v>1000000</v>
      </c>
      <c r="AY24" s="37">
        <f t="shared" si="19"/>
        <v>23137.466351182688</v>
      </c>
      <c r="AZ24" s="37">
        <f t="shared" si="20"/>
        <v>18012.69349364013</v>
      </c>
      <c r="BA24" s="37">
        <f t="shared" si="21"/>
        <v>15581.640468230606</v>
      </c>
      <c r="BB24" s="37">
        <f t="shared" si="22"/>
        <v>12951.329790737587</v>
      </c>
      <c r="BC24" s="37">
        <f t="shared" si="23"/>
        <v>6397.0180976393976</v>
      </c>
      <c r="BD24" s="37">
        <f t="shared" si="24"/>
        <v>1800.6732871764245</v>
      </c>
      <c r="BE24" s="37">
        <f t="shared" si="25"/>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6"/>
        <v>-10</v>
      </c>
      <c r="N25" s="2">
        <f t="shared" si="4"/>
        <v>10000000</v>
      </c>
      <c r="O25" s="2">
        <f t="shared" si="5"/>
        <v>14254.828436215996</v>
      </c>
      <c r="P25" s="2">
        <f t="shared" si="6"/>
        <v>10870.607040165401</v>
      </c>
      <c r="Q25" s="2">
        <f t="shared" si="7"/>
        <v>9125.6995761295057</v>
      </c>
      <c r="R25" s="2">
        <f t="shared" si="27"/>
        <v>6673.464448224041</v>
      </c>
      <c r="S25" s="2">
        <f t="shared" si="8"/>
        <v>785.20892524999465</v>
      </c>
      <c r="T25" s="2">
        <f t="shared" si="9"/>
        <v>287.7155458003362</v>
      </c>
      <c r="U25" s="2">
        <f t="shared" si="10"/>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1"/>
        <v>10000000</v>
      </c>
      <c r="AM25" s="2">
        <f t="shared" si="12"/>
        <v>5152.9727387836929</v>
      </c>
      <c r="AN25" s="2">
        <f t="shared" si="13"/>
        <v>3927.5350129983676</v>
      </c>
      <c r="AO25" s="2">
        <f t="shared" si="14"/>
        <v>3291.1531992809396</v>
      </c>
      <c r="AP25" s="2">
        <f t="shared" si="15"/>
        <v>2393.9219661874804</v>
      </c>
      <c r="AQ25" s="2">
        <f t="shared" si="16"/>
        <v>271.36767023207187</v>
      </c>
      <c r="AR25" s="2">
        <f t="shared" si="17"/>
        <v>99.769058005183027</v>
      </c>
      <c r="AS25" s="2">
        <f t="shared" si="18"/>
        <v>97.501289329192588</v>
      </c>
      <c r="AX25" s="2">
        <f t="shared" si="28"/>
        <v>10000000</v>
      </c>
      <c r="AY25" s="37">
        <f t="shared" si="19"/>
        <v>20334.791070595831</v>
      </c>
      <c r="AZ25" s="37">
        <f t="shared" si="20"/>
        <v>15604.81851114552</v>
      </c>
      <c r="BA25" s="37">
        <f t="shared" si="21"/>
        <v>13388.464428663197</v>
      </c>
      <c r="BB25" s="37">
        <f t="shared" si="22"/>
        <v>10476.560790543319</v>
      </c>
      <c r="BC25" s="37">
        <f t="shared" si="23"/>
        <v>2458.1768598411568</v>
      </c>
      <c r="BD25" s="37">
        <f t="shared" si="24"/>
        <v>825.45518900942818</v>
      </c>
      <c r="BE25" s="37">
        <f t="shared" si="25"/>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6"/>
        <v>-10</v>
      </c>
      <c r="N26" s="2">
        <f t="shared" si="4"/>
        <v>100000000</v>
      </c>
      <c r="O26" s="2">
        <f t="shared" si="5"/>
        <v>12048.152956189884</v>
      </c>
      <c r="P26" s="2">
        <f t="shared" si="6"/>
        <v>9599.4226742642168</v>
      </c>
      <c r="Q26" s="2">
        <f t="shared" si="7"/>
        <v>8090.5512994118853</v>
      </c>
      <c r="R26" s="2">
        <f t="shared" si="27"/>
        <v>5348.8138806549405</v>
      </c>
      <c r="S26" s="2">
        <f t="shared" si="8"/>
        <v>437.8275387817626</v>
      </c>
      <c r="T26" s="2">
        <f t="shared" si="9"/>
        <v>273.91270001555353</v>
      </c>
      <c r="U26" s="2">
        <f t="shared" si="10"/>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1"/>
        <v>100000000</v>
      </c>
      <c r="AM26" s="2">
        <f t="shared" si="12"/>
        <v>4349.4578522571974</v>
      </c>
      <c r="AN26" s="2">
        <f t="shared" si="13"/>
        <v>3470.8276794707381</v>
      </c>
      <c r="AO26" s="2">
        <f t="shared" si="14"/>
        <v>2923.3907186801598</v>
      </c>
      <c r="AP26" s="2">
        <f t="shared" si="15"/>
        <v>1923.0446750969861</v>
      </c>
      <c r="AQ26" s="2">
        <f t="shared" si="16"/>
        <v>152.45647454769647</v>
      </c>
      <c r="AR26" s="2">
        <f t="shared" si="17"/>
        <v>96.16135307969536</v>
      </c>
      <c r="AS26" s="2">
        <f t="shared" si="18"/>
        <v>94.712895608864457</v>
      </c>
      <c r="AX26" s="2">
        <f t="shared" si="28"/>
        <v>100000000</v>
      </c>
      <c r="AY26" s="37">
        <f t="shared" si="19"/>
        <v>17463.791970831018</v>
      </c>
      <c r="AZ26" s="37">
        <f t="shared" si="20"/>
        <v>13659.478596315132</v>
      </c>
      <c r="BA26" s="37">
        <f t="shared" si="21"/>
        <v>11600.508502655679</v>
      </c>
      <c r="BB26" s="37">
        <f t="shared" si="22"/>
        <v>8157.2805733477471</v>
      </c>
      <c r="BC26" s="37">
        <f t="shared" si="23"/>
        <v>1138.5739484911751</v>
      </c>
      <c r="BD26" s="37">
        <f t="shared" si="24"/>
        <v>602.54767486320873</v>
      </c>
      <c r="BE26" s="37">
        <f t="shared" si="25"/>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6"/>
        <v>-10</v>
      </c>
      <c r="N27" s="2">
        <f t="shared" si="4"/>
        <v>1000000000</v>
      </c>
      <c r="O27" s="2">
        <f t="shared" si="5"/>
        <v>10415.741029681112</v>
      </c>
      <c r="P27" s="2">
        <f t="shared" si="6"/>
        <v>8614.4897686935656</v>
      </c>
      <c r="Q27" s="2">
        <f t="shared" si="7"/>
        <v>7159.2568085964094</v>
      </c>
      <c r="R27" s="2">
        <f t="shared" si="27"/>
        <v>3978.0976400651807</v>
      </c>
      <c r="S27" s="2">
        <f t="shared" si="8"/>
        <v>325.81443601846939</v>
      </c>
      <c r="T27" s="2">
        <f t="shared" si="9"/>
        <v>265.30408912131344</v>
      </c>
      <c r="U27" s="2">
        <f t="shared" si="10"/>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1"/>
        <v>1000000000</v>
      </c>
      <c r="AM27" s="2">
        <f t="shared" si="12"/>
        <v>3760.3414331574859</v>
      </c>
      <c r="AN27" s="2">
        <f t="shared" si="13"/>
        <v>3119.1195128427248</v>
      </c>
      <c r="AO27" s="2">
        <f t="shared" si="14"/>
        <v>2591.8565821190209</v>
      </c>
      <c r="AP27" s="2">
        <f t="shared" si="15"/>
        <v>1433.0262098856042</v>
      </c>
      <c r="AQ27" s="2">
        <f t="shared" si="16"/>
        <v>114.48528241321054</v>
      </c>
      <c r="AR27" s="2">
        <f t="shared" si="17"/>
        <v>93.862812708921865</v>
      </c>
      <c r="AS27" s="2">
        <f t="shared" si="18"/>
        <v>92.92945942455529</v>
      </c>
      <c r="AX27" s="2">
        <f t="shared" si="28"/>
        <v>1000000000</v>
      </c>
      <c r="AY27" s="37">
        <f t="shared" si="19"/>
        <v>15088.2159705507</v>
      </c>
      <c r="AZ27" s="37">
        <f t="shared" si="20"/>
        <v>12056.693466284903</v>
      </c>
      <c r="BA27" s="37">
        <f t="shared" si="21"/>
        <v>10035.900998532001</v>
      </c>
      <c r="BB27" s="37">
        <f t="shared" si="22"/>
        <v>5920.0994955601627</v>
      </c>
      <c r="BC27" s="37">
        <f t="shared" si="23"/>
        <v>704.79920331109042</v>
      </c>
      <c r="BD27" s="37">
        <f t="shared" si="24"/>
        <v>509.73663975898</v>
      </c>
      <c r="BE27" s="37">
        <f t="shared" si="25"/>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6"/>
        <v>-10</v>
      </c>
      <c r="N28" s="2">
        <f t="shared" si="4"/>
        <v>10000000000</v>
      </c>
      <c r="O28" s="2">
        <f t="shared" si="5"/>
        <v>9230.6598423783071</v>
      </c>
      <c r="P28" s="2">
        <f t="shared" si="6"/>
        <v>7773.7433777145961</v>
      </c>
      <c r="Q28" s="2">
        <f t="shared" si="7"/>
        <v>6142.4304670728689</v>
      </c>
      <c r="R28" s="2">
        <f t="shared" si="27"/>
        <v>2574.4636770611592</v>
      </c>
      <c r="S28" s="2">
        <f t="shared" si="8"/>
        <v>285.60076349080902</v>
      </c>
      <c r="T28" s="2">
        <f t="shared" si="9"/>
        <v>259.87569210094318</v>
      </c>
      <c r="U28" s="2">
        <f t="shared" si="10"/>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1"/>
        <v>10000000000</v>
      </c>
      <c r="AM28" s="2">
        <f t="shared" si="12"/>
        <v>3336.4331784463179</v>
      </c>
      <c r="AN28" s="2">
        <f t="shared" si="13"/>
        <v>2819.4631556550398</v>
      </c>
      <c r="AO28" s="2">
        <f t="shared" si="14"/>
        <v>2227.1388397843657</v>
      </c>
      <c r="AP28" s="2">
        <f t="shared" si="15"/>
        <v>928.3724969127901</v>
      </c>
      <c r="AQ28" s="2">
        <f t="shared" si="16"/>
        <v>101.06517730245214</v>
      </c>
      <c r="AR28" s="2">
        <f t="shared" si="17"/>
        <v>92.381155101656375</v>
      </c>
      <c r="AS28" s="2">
        <f t="shared" si="18"/>
        <v>92.006187989209394</v>
      </c>
      <c r="AX28" s="2">
        <f t="shared" si="28"/>
        <v>10000000000</v>
      </c>
      <c r="AY28" s="37">
        <f t="shared" si="19"/>
        <v>13184.309351933493</v>
      </c>
      <c r="AZ28" s="37">
        <f t="shared" si="20"/>
        <v>10671.101161660947</v>
      </c>
      <c r="BA28" s="37">
        <f t="shared" si="21"/>
        <v>8460.358362409168</v>
      </c>
      <c r="BB28" s="37">
        <f t="shared" si="22"/>
        <v>3781.973261189708</v>
      </c>
      <c r="BC28" s="37">
        <f t="shared" si="23"/>
        <v>546.83473929231957</v>
      </c>
      <c r="BD28" s="37">
        <f t="shared" si="24"/>
        <v>463.43780280695023</v>
      </c>
      <c r="BE28" s="37">
        <f t="shared" si="25"/>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6"/>
        <v>-10</v>
      </c>
      <c r="N29" s="2">
        <f t="shared" si="4"/>
        <v>100000000000</v>
      </c>
      <c r="O29" s="2">
        <f t="shared" si="5"/>
        <v>8273.6096908081145</v>
      </c>
      <c r="P29" s="2">
        <f t="shared" si="6"/>
        <v>6953.8163676704444</v>
      </c>
      <c r="Q29" s="2">
        <f t="shared" si="7"/>
        <v>5008.1514103254858</v>
      </c>
      <c r="R29" s="2">
        <f t="shared" si="27"/>
        <v>1499.5121872638804</v>
      </c>
      <c r="S29" s="2">
        <f t="shared" si="8"/>
        <v>261.97962463200093</v>
      </c>
      <c r="T29" s="2">
        <f t="shared" si="9"/>
        <v>258.94491547675437</v>
      </c>
      <c r="U29" s="2">
        <f t="shared" si="10"/>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1"/>
        <v>100000000000</v>
      </c>
      <c r="AM29" s="2">
        <f t="shared" si="12"/>
        <v>2995.2983606085086</v>
      </c>
      <c r="AN29" s="2">
        <f t="shared" si="13"/>
        <v>2525.9157804368465</v>
      </c>
      <c r="AO29" s="2">
        <f t="shared" si="14"/>
        <v>1818.1045605438685</v>
      </c>
      <c r="AP29" s="2">
        <f t="shared" si="15"/>
        <v>540.77757065756475</v>
      </c>
      <c r="AQ29" s="2">
        <f t="shared" si="16"/>
        <v>93.059878245985715</v>
      </c>
      <c r="AR29" s="2">
        <f t="shared" si="17"/>
        <v>92.126538569786135</v>
      </c>
      <c r="AS29" s="2">
        <f t="shared" si="18"/>
        <v>91.763267256404887</v>
      </c>
      <c r="AX29" s="2">
        <f t="shared" si="28"/>
        <v>100000000000</v>
      </c>
      <c r="AY29" s="37">
        <f t="shared" si="19"/>
        <v>11597.378361592906</v>
      </c>
      <c r="AZ29" s="37">
        <f t="shared" si="20"/>
        <v>9383.9197173173034</v>
      </c>
      <c r="BA29" s="37">
        <f t="shared" si="21"/>
        <v>6802.7139485606767</v>
      </c>
      <c r="BB29" s="37">
        <f t="shared" si="22"/>
        <v>2200.7791714033719</v>
      </c>
      <c r="BC29" s="37">
        <f t="shared" si="23"/>
        <v>472.47631098271978</v>
      </c>
      <c r="BD29" s="37">
        <f t="shared" si="24"/>
        <v>456.09614590156087</v>
      </c>
      <c r="BE29" s="37">
        <f t="shared" si="25"/>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6"/>
        <v>-10</v>
      </c>
      <c r="N30" s="2">
        <f t="shared" si="4"/>
        <v>1000000000000</v>
      </c>
      <c r="O30" s="2">
        <f t="shared" si="5"/>
        <v>7446.6240878630142</v>
      </c>
      <c r="P30" s="2">
        <f t="shared" si="6"/>
        <v>6002.2356441357479</v>
      </c>
      <c r="Q30" s="2">
        <f t="shared" si="7"/>
        <v>3751.2603162874061</v>
      </c>
      <c r="R30" s="2">
        <f t="shared" si="27"/>
        <v>838.72513779055839</v>
      </c>
      <c r="S30" s="2">
        <f t="shared" si="8"/>
        <v>260.53407371062764</v>
      </c>
      <c r="T30" s="2">
        <f t="shared" si="9"/>
        <v>255.21526561798564</v>
      </c>
      <c r="U30" s="2">
        <f t="shared" si="10"/>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1"/>
        <v>1000000000000</v>
      </c>
      <c r="AM30" s="2">
        <f t="shared" si="12"/>
        <v>2700.8479980556854</v>
      </c>
      <c r="AN30" s="2">
        <f t="shared" si="13"/>
        <v>2182.665940608038</v>
      </c>
      <c r="AO30" s="2">
        <f t="shared" si="14"/>
        <v>1362.7209266527218</v>
      </c>
      <c r="AP30" s="2">
        <f t="shared" si="15"/>
        <v>302.10819766520217</v>
      </c>
      <c r="AQ30" s="2">
        <f t="shared" si="16"/>
        <v>92.631968530961771</v>
      </c>
      <c r="AR30" s="2">
        <f t="shared" si="17"/>
        <v>91.086268606556416</v>
      </c>
      <c r="AS30" s="2">
        <f t="shared" si="18"/>
        <v>90.809569282014081</v>
      </c>
      <c r="AX30" s="2">
        <f t="shared" si="28"/>
        <v>1000000000000</v>
      </c>
      <c r="AY30" s="37">
        <f t="shared" si="19"/>
        <v>10220.861605550637</v>
      </c>
      <c r="AZ30" s="37">
        <f t="shared" si="20"/>
        <v>8001.5776367701637</v>
      </c>
      <c r="BA30" s="37">
        <f t="shared" si="21"/>
        <v>5057.7654618780325</v>
      </c>
      <c r="BB30" s="37">
        <f t="shared" si="22"/>
        <v>1249.4466557746339</v>
      </c>
      <c r="BC30" s="37">
        <f t="shared" si="23"/>
        <v>463.3494184422018</v>
      </c>
      <c r="BD30" s="37">
        <f t="shared" si="24"/>
        <v>429.45390200097501</v>
      </c>
      <c r="BE30" s="37">
        <f t="shared" si="25"/>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6"/>
        <v>-10</v>
      </c>
      <c r="N31" s="2">
        <f t="shared" si="4"/>
        <v>10000000000000</v>
      </c>
      <c r="O31" s="2">
        <f t="shared" si="5"/>
        <v>6555.3004773682187</v>
      </c>
      <c r="P31" s="2">
        <f t="shared" si="6"/>
        <v>4907.4912657872592</v>
      </c>
      <c r="Q31" s="2">
        <f t="shared" si="7"/>
        <v>2430.1890357952816</v>
      </c>
      <c r="R31" s="2">
        <f t="shared" si="27"/>
        <v>467.74027403592981</v>
      </c>
      <c r="S31" s="2">
        <f t="shared" si="8"/>
        <v>255.61107200829733</v>
      </c>
      <c r="T31" s="2">
        <f t="shared" si="9"/>
        <v>254.50537781497852</v>
      </c>
      <c r="U31" s="2">
        <f t="shared" si="10"/>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1"/>
        <v>10000000000000</v>
      </c>
      <c r="AM31" s="2">
        <f t="shared" si="12"/>
        <v>2380.901782740345</v>
      </c>
      <c r="AN31" s="2">
        <f t="shared" si="13"/>
        <v>1785.8998006119411</v>
      </c>
      <c r="AO31" s="2">
        <f t="shared" si="14"/>
        <v>882.60529508909428</v>
      </c>
      <c r="AP31" s="2">
        <f t="shared" si="15"/>
        <v>167.95607666429018</v>
      </c>
      <c r="AQ31" s="2">
        <f t="shared" si="16"/>
        <v>91.23127997996707</v>
      </c>
      <c r="AR31" s="2">
        <f t="shared" si="17"/>
        <v>90.886673770022838</v>
      </c>
      <c r="AS31" s="2">
        <f t="shared" si="18"/>
        <v>90.794437108888047</v>
      </c>
      <c r="AX31" s="2">
        <f t="shared" si="28"/>
        <v>10000000000000</v>
      </c>
      <c r="AY31" s="37">
        <f t="shared" si="19"/>
        <v>8856.7683423672406</v>
      </c>
      <c r="AZ31" s="37">
        <f t="shared" si="20"/>
        <v>6489.0635917849504</v>
      </c>
      <c r="BA31" s="37">
        <f t="shared" si="21"/>
        <v>3285.2835273837663</v>
      </c>
      <c r="BB31" s="37">
        <f t="shared" si="22"/>
        <v>724.82946833551421</v>
      </c>
      <c r="BC31" s="37">
        <f t="shared" si="23"/>
        <v>429.87012763703814</v>
      </c>
      <c r="BD31" s="37">
        <f t="shared" si="24"/>
        <v>424.70580143756354</v>
      </c>
      <c r="BE31" s="37">
        <f t="shared" si="25"/>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6"/>
        <v>-10</v>
      </c>
      <c r="N32" s="2">
        <f t="shared" si="4"/>
        <v>100000000000000</v>
      </c>
      <c r="O32" s="2">
        <f t="shared" si="5"/>
        <v>5534.8397923226894</v>
      </c>
      <c r="P32" s="2">
        <f t="shared" si="6"/>
        <v>3674.7323471947598</v>
      </c>
      <c r="Q32" s="2">
        <f t="shared" si="7"/>
        <v>1416.8225576286502</v>
      </c>
      <c r="R32" s="2">
        <f t="shared" si="27"/>
        <v>322.68805120996677</v>
      </c>
      <c r="S32" s="2">
        <f t="shared" si="8"/>
        <v>255.53688935645488</v>
      </c>
      <c r="T32" s="2">
        <f t="shared" si="9"/>
        <v>252.43326191058742</v>
      </c>
      <c r="U32" s="2">
        <f t="shared" si="10"/>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1"/>
        <v>100000000000000</v>
      </c>
      <c r="AM32" s="2">
        <f t="shared" si="12"/>
        <v>2012.430565108212</v>
      </c>
      <c r="AN32" s="2">
        <f t="shared" si="13"/>
        <v>1337.7075606161161</v>
      </c>
      <c r="AO32" s="2">
        <f t="shared" si="14"/>
        <v>513.97783275284667</v>
      </c>
      <c r="AP32" s="2">
        <f t="shared" si="15"/>
        <v>115.55588342611547</v>
      </c>
      <c r="AQ32" s="2">
        <f t="shared" si="16"/>
        <v>91.209911146223277</v>
      </c>
      <c r="AR32" s="2">
        <f t="shared" si="17"/>
        <v>90.290301687552557</v>
      </c>
      <c r="AS32" s="2">
        <f t="shared" si="18"/>
        <v>90.157522811707935</v>
      </c>
      <c r="AX32" s="2">
        <f t="shared" si="28"/>
        <v>100000000000000</v>
      </c>
      <c r="AY32" s="37">
        <f t="shared" si="19"/>
        <v>7389.4175770851343</v>
      </c>
      <c r="AZ32" s="37">
        <f t="shared" si="20"/>
        <v>4842.2553687053723</v>
      </c>
      <c r="BA32" s="37">
        <f t="shared" si="21"/>
        <v>1940.1857367522732</v>
      </c>
      <c r="BB32" s="37">
        <f t="shared" si="22"/>
        <v>518.33647874718224</v>
      </c>
      <c r="BC32" s="37">
        <f t="shared" si="23"/>
        <v>429.40543909466612</v>
      </c>
      <c r="BD32" s="37">
        <f t="shared" si="24"/>
        <v>412.06053626076198</v>
      </c>
      <c r="BE32" s="37">
        <f t="shared" si="25"/>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27"/>
        <v>280.88351572812059</v>
      </c>
      <c r="S33" s="2">
        <f t="shared" si="8"/>
        <v>252.44034077426483</v>
      </c>
      <c r="T33" s="2">
        <f t="shared" si="9"/>
        <v>251.63422047097583</v>
      </c>
      <c r="U33" s="2">
        <f t="shared" si="10"/>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1"/>
        <v>1000000000000000</v>
      </c>
      <c r="AM33" s="2">
        <f t="shared" si="12"/>
        <v>1596.0920370512245</v>
      </c>
      <c r="AN33" s="2">
        <f t="shared" si="13"/>
        <v>864.52071218722244</v>
      </c>
      <c r="AO33" s="2">
        <f t="shared" si="14"/>
        <v>287.95166024173568</v>
      </c>
      <c r="AP33" s="2">
        <f t="shared" si="15"/>
        <v>100.53155340781859</v>
      </c>
      <c r="AQ33" s="2">
        <f t="shared" si="16"/>
        <v>90.301560772176387</v>
      </c>
      <c r="AR33" s="2">
        <f t="shared" si="17"/>
        <v>90.056329050223439</v>
      </c>
      <c r="AS33" s="2">
        <f t="shared" si="18"/>
        <v>89.913434838716469</v>
      </c>
      <c r="AX33" s="2">
        <f>AL33</f>
        <v>1000000000000000</v>
      </c>
      <c r="AY33" s="37">
        <f t="shared" si="19"/>
        <v>5812.4040289060513</v>
      </c>
      <c r="AZ33" s="37">
        <f t="shared" si="20"/>
        <v>3149.0996661072604</v>
      </c>
      <c r="BA33" s="37">
        <f t="shared" si="21"/>
        <v>1120.3536230398786</v>
      </c>
      <c r="BB33" s="37">
        <f t="shared" si="22"/>
        <v>454.46798250989048</v>
      </c>
      <c r="BC33" s="37">
        <f t="shared" si="23"/>
        <v>411.52756917249343</v>
      </c>
      <c r="BD33" s="37">
        <f t="shared" si="24"/>
        <v>407.54499459758341</v>
      </c>
      <c r="BE33" s="37">
        <f t="shared" si="25"/>
        <v>404.44648932589445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98" zoomScale="120" zoomScaleNormal="120" zoomScaleSheetLayoutView="110" workbookViewId="0">
      <selection activeCell="D7" sqref="D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110</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7233.2784973668249</v>
      </c>
      <c r="G16" s="26">
        <f>INDEX(Comparison!$AM$3:$AS$33,G14,$B$3)</f>
        <v>7233.3436741214491</v>
      </c>
      <c r="H16" s="26">
        <f>INDEX(Comparison!$AM$3:$AS$33,H14,$B$3)</f>
        <v>7233.2477630478616</v>
      </c>
      <c r="I16" s="26">
        <f>INDEX(Comparison!$AM$3:$AS$33,I14,$B$3)</f>
        <v>7232.6642193149437</v>
      </c>
      <c r="J16" s="26">
        <f>INDEX(Comparison!$AM$3:$AS$33,J14,$B$3)</f>
        <v>7227.030574444283</v>
      </c>
      <c r="K16" s="26">
        <f>INDEX(Comparison!$AM$3:$AS$33,K14,$B$3)</f>
        <v>7179.9574188317292</v>
      </c>
      <c r="L16" s="26">
        <f>INDEX(Comparison!$AM$3:$AS$33,L14,$B$3)</f>
        <v>7042.6684859234238</v>
      </c>
      <c r="M16" s="26">
        <f>INDEX(Comparison!$AM$3:$AS$33,M14,$B$3)</f>
        <v>6896.670224560311</v>
      </c>
      <c r="N16" s="26">
        <f>INDEX(Comparison!$AM$3:$AS$33,N14,$B$3)</f>
        <v>6728.3118442587265</v>
      </c>
      <c r="O16" s="26">
        <f>INDEX(Comparison!$AM$3:$AS$33,O14,$B$3)</f>
        <v>6522.7483495061197</v>
      </c>
      <c r="P16" s="26">
        <f>INDEX(Comparison!$AM$3:$AS$33,P14,$B$3)</f>
        <v>6323.7668304163335</v>
      </c>
      <c r="Q16" s="26">
        <f>INDEX(Comparison!$AM$3:$AS$33,Q14,$B$3)</f>
        <v>6060.8557573682765</v>
      </c>
      <c r="R16" s="26">
        <f>INDEX(Comparison!$AM$3:$AS$33,R14,$B$3)</f>
        <v>5776.7475493188331</v>
      </c>
      <c r="S16" s="26">
        <f>INDEX(Comparison!$AM$3:$AS$33,S14,$B$3)</f>
        <v>5495.7675366958674</v>
      </c>
      <c r="T16" s="26">
        <f>INDEX(Comparison!$AM$3:$AS$33,T14,$B$3)</f>
        <v>5188.5996988750203</v>
      </c>
      <c r="U16" s="26">
        <f>INDEX(Comparison!$AM$3:$AS$33,U14,$B$3)</f>
        <v>4846.1759775211867</v>
      </c>
      <c r="V16" s="26">
        <f>INDEX(Comparison!$AM$3:$AS$33,V14,$B$3)</f>
        <v>4307.5308640863095</v>
      </c>
      <c r="W16" s="26">
        <f>INDEX(Comparison!$AM$3:$AS$33,W14,$B$3)</f>
        <v>3424.2409160347711</v>
      </c>
      <c r="X16" s="26">
        <f>INDEX(Comparison!$AM$3:$AS$33,X14,$B$3)</f>
        <v>2457.6306581082695</v>
      </c>
      <c r="Y16" s="26">
        <f>INDEX(Comparison!$AM$3:$AS$33,Y14,$B$3)</f>
        <v>1610.938712030013</v>
      </c>
      <c r="Z16" s="26">
        <f>INDEX(Comparison!$AM$3:$AS$33,Z14,$B$3)</f>
        <v>942.69111378955085</v>
      </c>
      <c r="AA16" s="26">
        <f>INDEX(Comparison!$AM$3:$AS$33,AA14,$B$3)</f>
        <v>510.32470275306576</v>
      </c>
      <c r="AB16" s="26">
        <f>INDEX(Comparison!$AM$3:$AS$33,AB14,$B$3)</f>
        <v>271.36767023207187</v>
      </c>
      <c r="AC16" s="26">
        <f>INDEX(Comparison!$AM$3:$AS$33,AC14,$B$3)</f>
        <v>152.45647454769647</v>
      </c>
      <c r="AD16" s="26">
        <f>INDEX(Comparison!$AM$3:$AS$33,AD14,$B$3)</f>
        <v>114.48528241321054</v>
      </c>
      <c r="AE16" s="26">
        <f>INDEX(Comparison!$AM$3:$AS$33,AE14,$B$3)</f>
        <v>101.06517730245214</v>
      </c>
      <c r="AF16" s="26">
        <f>INDEX(Comparison!$AM$3:$AS$33,AF14,$B$3)</f>
        <v>93.059878245985715</v>
      </c>
      <c r="AG16" s="26">
        <f>INDEX(Comparison!$AM$3:$AS$33,AG14,$B$3)</f>
        <v>92.631968530961771</v>
      </c>
      <c r="AH16" s="26">
        <f>INDEX(Comparison!$AM$3:$AS$33,AH14,$B$3)</f>
        <v>91.23127997996707</v>
      </c>
      <c r="AI16" s="26">
        <f>INDEX(Comparison!$AM$3:$AS$33,AI14,$B$3)</f>
        <v>91.209911146223277</v>
      </c>
      <c r="AJ16" s="26">
        <f>INDEX(Comparison!$AM$3:$AS$33,AJ14,$B$3)</f>
        <v>90.301560772176387</v>
      </c>
    </row>
    <row r="17" spans="1:36" x14ac:dyDescent="0.25">
      <c r="A17" s="14" t="s">
        <v>20</v>
      </c>
      <c r="B17" s="105">
        <v>1.0461648342028718E-2</v>
      </c>
      <c r="C17" s="18">
        <f t="shared" ref="C17:C48" si="3">ABS(B17/$B$49)</f>
        <v>1.1710032899093699E-2</v>
      </c>
      <c r="D17" s="66"/>
      <c r="E17" s="65" t="s">
        <v>22</v>
      </c>
      <c r="F17" s="27">
        <f>($C$17+SUM(F18:F48))*$B$51</f>
        <v>7233.6489560907294</v>
      </c>
      <c r="G17" s="27">
        <f t="shared" ref="G17:M17" si="4">($C$17+SUM(G18:G48))*$B$51</f>
        <v>7233.6412789301585</v>
      </c>
      <c r="H17" s="27">
        <f t="shared" si="4"/>
        <v>7233.5645546389878</v>
      </c>
      <c r="I17" s="27">
        <f t="shared" si="4"/>
        <v>7232.8020149385047</v>
      </c>
      <c r="J17" s="27">
        <f t="shared" si="4"/>
        <v>7225.6199716255396</v>
      </c>
      <c r="K17" s="27">
        <f t="shared" si="4"/>
        <v>7180.283603972659</v>
      </c>
      <c r="L17" s="27">
        <f t="shared" si="4"/>
        <v>7042.6121356681679</v>
      </c>
      <c r="M17" s="27">
        <f t="shared" si="4"/>
        <v>6896.7246874619395</v>
      </c>
      <c r="N17" s="27">
        <f t="shared" ref="N17" si="5">($C$17+SUM(N18:N48))*$B$51</f>
        <v>6728.194025170129</v>
      </c>
      <c r="O17" s="27">
        <f t="shared" ref="O17" si="6">($C$17+SUM(O18:O48))*$B$51</f>
        <v>6522.9891517081924</v>
      </c>
      <c r="P17" s="27">
        <f t="shared" ref="P17" si="7">($C$17+SUM(P18:P48))*$B$51</f>
        <v>6323.3511858935899</v>
      </c>
      <c r="Q17" s="27">
        <f t="shared" ref="Q17" si="8">($C$17+SUM(Q18:Q48))*$B$51</f>
        <v>6061.456618964623</v>
      </c>
      <c r="R17" s="27">
        <f t="shared" ref="R17" si="9">($C$17+SUM(R18:R48))*$B$51</f>
        <v>5776.0099456976832</v>
      </c>
      <c r="S17" s="27">
        <f t="shared" ref="S17:T17" si="10">($C$17+SUM(S18:S48))*$B$51</f>
        <v>5496.5417911767963</v>
      </c>
      <c r="T17" s="27">
        <f t="shared" si="10"/>
        <v>5187.9066871761761</v>
      </c>
      <c r="U17" s="27">
        <f t="shared" ref="U17" si="11">($C$17+SUM(U18:U48))*$B$51</f>
        <v>4846.7024738878008</v>
      </c>
      <c r="V17" s="27">
        <f t="shared" ref="V17" si="12">($C$17+SUM(V18:V48))*$B$51</f>
        <v>4307.1897145932844</v>
      </c>
      <c r="W17" s="27">
        <f t="shared" ref="W17" si="13">($C$17+SUM(W18:W48))*$B$51</f>
        <v>3424.4341767327073</v>
      </c>
      <c r="X17" s="27">
        <f t="shared" ref="X17" si="14">($C$17+SUM(X18:X48))*$B$51</f>
        <v>2457.5308781659355</v>
      </c>
      <c r="Y17" s="27">
        <f t="shared" ref="Y17" si="15">($C$17+SUM(Y18:Y48))*$B$51</f>
        <v>1610.9849973113182</v>
      </c>
      <c r="Z17" s="27">
        <f t="shared" ref="Z17:AA17" si="16">($C$17+SUM(Z18:Z48))*$B$51</f>
        <v>942.67451279802947</v>
      </c>
      <c r="AA17" s="27">
        <f t="shared" si="16"/>
        <v>510.3275488058012</v>
      </c>
      <c r="AB17" s="27">
        <f t="shared" ref="AB17" si="17">($C$17+SUM(AB18:AB48))*$B$51</f>
        <v>271.37260344935805</v>
      </c>
      <c r="AC17" s="27">
        <f t="shared" ref="AC17" si="18">($C$17+SUM(AC18:AC48))*$B$51</f>
        <v>152.44342274073426</v>
      </c>
      <c r="AD17" s="27">
        <f t="shared" ref="AD17" si="19">($C$17+SUM(AD18:AD48))*$B$51</f>
        <v>114.50482120715523</v>
      </c>
      <c r="AE17" s="27">
        <f t="shared" ref="AE17" si="20">($C$17+SUM(AE18:AE48))*$B$51</f>
        <v>101.04198976888745</v>
      </c>
      <c r="AF17" s="27">
        <f t="shared" ref="AF17" si="21">($C$17+SUM(AF18:AF48))*$B$51</f>
        <v>93.150658619000509</v>
      </c>
      <c r="AG17" s="27">
        <f t="shared" ref="AG17:AH17" si="22">($C$17+SUM(AG18:AG48))*$B$51</f>
        <v>92.441321139508887</v>
      </c>
      <c r="AH17" s="27">
        <f t="shared" si="22"/>
        <v>91.488868639986578</v>
      </c>
      <c r="AI17" s="27">
        <f t="shared" ref="AI17" si="23">($C$17+SUM(AI18:AI48))*$B$51</f>
        <v>91.043668630577599</v>
      </c>
      <c r="AJ17" s="27">
        <f t="shared" ref="AJ17" si="24">($C$17+SUM(AJ18:AJ48))*$B$51</f>
        <v>90.322551729589989</v>
      </c>
    </row>
    <row r="18" spans="1:36" x14ac:dyDescent="0.25">
      <c r="A18" s="3">
        <f>0.000000000000001/10^15</f>
        <v>1.0000000000000001E-30</v>
      </c>
      <c r="B18" s="106">
        <v>1.1861507022724024E-2</v>
      </c>
      <c r="C18" s="18">
        <f t="shared" si="3"/>
        <v>1.3276936189005386E-2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3.4924479265166625E-3</v>
      </c>
      <c r="C22" s="18">
        <f t="shared" si="3"/>
        <v>3.909200422421294E-3</v>
      </c>
      <c r="D22" s="17"/>
      <c r="F22" s="3">
        <f t="shared" si="25"/>
        <v>3.9091269159563513E-3</v>
      </c>
      <c r="G22" s="3">
        <f t="shared" si="25"/>
        <v>3.9084654199666368E-3</v>
      </c>
      <c r="H22" s="3">
        <f t="shared" si="25"/>
        <v>3.9018566134942862E-3</v>
      </c>
      <c r="I22" s="3">
        <f t="shared" si="25"/>
        <v>3.8363800555959379E-3</v>
      </c>
      <c r="J22" s="3">
        <f t="shared" si="25"/>
        <v>3.2391034010082259E-3</v>
      </c>
      <c r="K22" s="3">
        <f t="shared" si="25"/>
        <v>5.9628884883319811E-4</v>
      </c>
      <c r="L22" s="3">
        <f t="shared" si="25"/>
        <v>2.6654800955641834E-11</v>
      </c>
      <c r="M22" s="3">
        <f t="shared" si="25"/>
        <v>8.4910814063877569E-85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2.0812007681154456E-2</v>
      </c>
      <c r="C23" s="18">
        <f t="shared" si="3"/>
        <v>2.3295496720476597E-2</v>
      </c>
      <c r="D23" s="17"/>
      <c r="F23" s="3">
        <f t="shared" si="25"/>
        <v>2.3295457205668137E-2</v>
      </c>
      <c r="G23" s="3">
        <f t="shared" si="25"/>
        <v>2.3295101575408175E-2</v>
      </c>
      <c r="H23" s="3">
        <f t="shared" si="25"/>
        <v>2.3291545571394217E-2</v>
      </c>
      <c r="I23" s="3">
        <f t="shared" si="25"/>
        <v>2.3256015372963981E-2</v>
      </c>
      <c r="J23" s="3">
        <f t="shared" si="25"/>
        <v>2.290368077213981E-2</v>
      </c>
      <c r="K23" s="3">
        <f t="shared" si="25"/>
        <v>1.9660974628699014E-2</v>
      </c>
      <c r="L23" s="3">
        <f t="shared" si="25"/>
        <v>4.2717187509218064E-3</v>
      </c>
      <c r="M23" s="3">
        <f t="shared" si="25"/>
        <v>1.0013334737402461E-9</v>
      </c>
      <c r="N23" s="3">
        <f t="shared" si="25"/>
        <v>5.0157925791253427E-76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1.730107536074434E-2</v>
      </c>
      <c r="C24" s="18">
        <f t="shared" si="3"/>
        <v>1.9365606168399295E-2</v>
      </c>
      <c r="D24" s="17"/>
      <c r="F24" s="3">
        <f t="shared" si="25"/>
        <v>1.9365603205165435E-2</v>
      </c>
      <c r="G24" s="3">
        <f t="shared" si="25"/>
        <v>1.9365576536081106E-2</v>
      </c>
      <c r="H24" s="3">
        <f t="shared" si="25"/>
        <v>1.9365309847257758E-2</v>
      </c>
      <c r="I24" s="3">
        <f t="shared" si="25"/>
        <v>1.9362643161011561E-2</v>
      </c>
      <c r="J24" s="3">
        <f t="shared" si="25"/>
        <v>1.9335996486985849E-2</v>
      </c>
      <c r="K24" s="3">
        <f t="shared" si="25"/>
        <v>1.9071538341303707E-2</v>
      </c>
      <c r="L24" s="3">
        <f t="shared" si="25"/>
        <v>1.6617947935648716E-2</v>
      </c>
      <c r="M24" s="3">
        <f t="shared" si="25"/>
        <v>4.1927028165698261E-3</v>
      </c>
      <c r="N24" s="3">
        <f t="shared" si="25"/>
        <v>4.3818846672842032E-9</v>
      </c>
      <c r="O24" s="3">
        <f t="shared" si="25"/>
        <v>6.8128615968531816E-69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2.1842178488299474E-2</v>
      </c>
      <c r="C25" s="18">
        <f t="shared" si="3"/>
        <v>2.4448597422102241E-2</v>
      </c>
      <c r="D25" s="17"/>
      <c r="F25" s="3">
        <f t="shared" si="25"/>
        <v>2.4448597084632061E-2</v>
      </c>
      <c r="G25" s="3">
        <f t="shared" si="25"/>
        <v>2.4448594047400657E-2</v>
      </c>
      <c r="H25" s="3">
        <f t="shared" si="25"/>
        <v>2.4448563675107348E-2</v>
      </c>
      <c r="I25" s="3">
        <f t="shared" si="25"/>
        <v>2.4448259954249461E-2</v>
      </c>
      <c r="J25" s="3">
        <f t="shared" si="25"/>
        <v>2.4445222953182213E-2</v>
      </c>
      <c r="K25" s="3">
        <f t="shared" si="25"/>
        <v>2.4414873684135203E-2</v>
      </c>
      <c r="L25" s="3">
        <f t="shared" si="25"/>
        <v>2.4113445653955613E-2</v>
      </c>
      <c r="M25" s="3">
        <f t="shared" si="25"/>
        <v>2.1296448391100519E-2</v>
      </c>
      <c r="N25" s="3">
        <f t="shared" si="25"/>
        <v>6.1487420978859758E-3</v>
      </c>
      <c r="O25" s="3">
        <f t="shared" si="25"/>
        <v>2.475011549617492E-8</v>
      </c>
      <c r="P25" s="3">
        <f t="shared" si="25"/>
        <v>2.7636736299078695E-62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2.8678413142364283E-2</v>
      </c>
      <c r="C26" s="18">
        <f t="shared" si="3"/>
        <v>3.2100597383085405E-2</v>
      </c>
      <c r="D26" s="17"/>
      <c r="F26" s="3">
        <f t="shared" si="25"/>
        <v>3.210059734311476E-2</v>
      </c>
      <c r="G26" s="3">
        <f t="shared" si="25"/>
        <v>3.210059698337895E-2</v>
      </c>
      <c r="H26" s="3">
        <f t="shared" si="25"/>
        <v>3.2100593386021108E-2</v>
      </c>
      <c r="I26" s="3">
        <f t="shared" si="25"/>
        <v>3.2100557412464807E-2</v>
      </c>
      <c r="J26" s="3">
        <f t="shared" si="25"/>
        <v>3.2100197679119105E-2</v>
      </c>
      <c r="K26" s="3">
        <f t="shared" si="25"/>
        <v>3.2096600567378022E-2</v>
      </c>
      <c r="L26" s="3">
        <f t="shared" si="25"/>
        <v>3.2060651612370247E-2</v>
      </c>
      <c r="M26" s="3">
        <f t="shared" si="25"/>
        <v>3.1703369140639447E-2</v>
      </c>
      <c r="N26" s="3">
        <f t="shared" si="25"/>
        <v>2.8342368706179143E-2</v>
      </c>
      <c r="O26" s="3">
        <f t="shared" si="25"/>
        <v>9.2415199116641575E-3</v>
      </c>
      <c r="P26" s="3">
        <f t="shared" si="25"/>
        <v>1.2554979402483244E-7</v>
      </c>
      <c r="Q26" s="3">
        <f t="shared" si="25"/>
        <v>2.6886979392774335E-56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2.156445706652205E-2</v>
      </c>
      <c r="C27" s="18">
        <f t="shared" si="3"/>
        <v>2.4137735607646905E-2</v>
      </c>
      <c r="D27" s="17"/>
      <c r="F27" s="3">
        <f t="shared" si="25"/>
        <v>2.4137735604935647E-2</v>
      </c>
      <c r="G27" s="3">
        <f t="shared" si="25"/>
        <v>2.4137735580534305E-2</v>
      </c>
      <c r="H27" s="3">
        <f t="shared" si="25"/>
        <v>2.4137735336520909E-2</v>
      </c>
      <c r="I27" s="3">
        <f t="shared" si="25"/>
        <v>2.4137732896387078E-2</v>
      </c>
      <c r="J27" s="3">
        <f t="shared" si="25"/>
        <v>2.4137708495062311E-2</v>
      </c>
      <c r="K27" s="3">
        <f t="shared" si="25"/>
        <v>2.4137464483171406E-2</v>
      </c>
      <c r="L27" s="3">
        <f t="shared" si="25"/>
        <v>2.413502449992971E-2</v>
      </c>
      <c r="M27" s="3">
        <f t="shared" si="25"/>
        <v>2.4110638229178354E-2</v>
      </c>
      <c r="N27" s="3">
        <f t="shared" si="25"/>
        <v>2.3868126629295945E-2</v>
      </c>
      <c r="O27" s="3">
        <f t="shared" si="25"/>
        <v>2.15732014657312E-2</v>
      </c>
      <c r="P27" s="3">
        <f t="shared" si="25"/>
        <v>7.8501374125895754E-3</v>
      </c>
      <c r="Q27" s="3">
        <f t="shared" si="25"/>
        <v>3.1952427318263145E-7</v>
      </c>
      <c r="R27" s="3">
        <f t="shared" si="25"/>
        <v>3.9881347424014358E-51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4.0665064637825842E-2</v>
      </c>
      <c r="C28" s="18">
        <f t="shared" si="3"/>
        <v>4.5517611487633891E-2</v>
      </c>
      <c r="D28" s="17"/>
      <c r="F28" s="3">
        <f t="shared" si="25"/>
        <v>4.5517611487172684E-2</v>
      </c>
      <c r="G28" s="3">
        <f t="shared" si="25"/>
        <v>4.5517611483021768E-2</v>
      </c>
      <c r="H28" s="3">
        <f t="shared" si="25"/>
        <v>4.551761144151268E-2</v>
      </c>
      <c r="I28" s="3">
        <f t="shared" si="25"/>
        <v>4.5517611026421795E-2</v>
      </c>
      <c r="J28" s="3">
        <f t="shared" si="25"/>
        <v>4.5517606875513116E-2</v>
      </c>
      <c r="K28" s="3">
        <f t="shared" si="25"/>
        <v>4.5517565366447153E-2</v>
      </c>
      <c r="L28" s="3">
        <f t="shared" si="25"/>
        <v>4.5517150277869484E-2</v>
      </c>
      <c r="M28" s="3">
        <f t="shared" si="25"/>
        <v>4.5512999600279679E-2</v>
      </c>
      <c r="N28" s="3">
        <f t="shared" si="25"/>
        <v>4.5471513636046408E-2</v>
      </c>
      <c r="O28" s="3">
        <f t="shared" si="25"/>
        <v>4.5058728155104304E-2</v>
      </c>
      <c r="P28" s="3">
        <f t="shared" si="25"/>
        <v>4.1131458388711711E-2</v>
      </c>
      <c r="Q28" s="3">
        <f t="shared" si="25"/>
        <v>1.6524407756709325E-2</v>
      </c>
      <c r="R28" s="3">
        <f t="shared" si="25"/>
        <v>1.8098552814312633E-6</v>
      </c>
      <c r="S28" s="3">
        <f t="shared" si="25"/>
        <v>4.4959690518091718E-46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3.3447296548319044E-2</v>
      </c>
      <c r="C29" s="18">
        <f t="shared" si="3"/>
        <v>3.7438549850033177E-2</v>
      </c>
      <c r="D29" s="17"/>
      <c r="F29" s="3">
        <f t="shared" si="25"/>
        <v>3.7438549849998955E-2</v>
      </c>
      <c r="G29" s="3">
        <f t="shared" si="25"/>
        <v>3.7438549849690972E-2</v>
      </c>
      <c r="H29" s="3">
        <f t="shared" si="25"/>
        <v>3.7438549846611123E-2</v>
      </c>
      <c r="I29" s="3">
        <f t="shared" si="25"/>
        <v>3.7438549815812641E-2</v>
      </c>
      <c r="J29" s="3">
        <f t="shared" si="25"/>
        <v>3.7438549507827795E-2</v>
      </c>
      <c r="K29" s="3">
        <f t="shared" si="25"/>
        <v>3.7438546427979495E-2</v>
      </c>
      <c r="L29" s="3">
        <f t="shared" si="25"/>
        <v>3.7438515629510408E-2</v>
      </c>
      <c r="M29" s="3">
        <f t="shared" si="25"/>
        <v>3.7438207646213029E-2</v>
      </c>
      <c r="N29" s="3">
        <f t="shared" si="25"/>
        <v>3.7435127952583074E-2</v>
      </c>
      <c r="O29" s="3">
        <f t="shared" si="25"/>
        <v>3.7404344946424049E-2</v>
      </c>
      <c r="P29" s="3">
        <f t="shared" si="25"/>
        <v>3.7097903668187014E-2</v>
      </c>
      <c r="Q29" s="3">
        <f t="shared" si="25"/>
        <v>3.4168233492355399E-2</v>
      </c>
      <c r="R29" s="3">
        <f t="shared" si="25"/>
        <v>1.5009080846973964E-2</v>
      </c>
      <c r="S29" s="3">
        <f t="shared" si="25"/>
        <v>4.0148544382195386E-6</v>
      </c>
      <c r="T29" s="3">
        <f t="shared" si="25"/>
        <v>7.5305531263037297E-42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3.6703592797985754E-2</v>
      </c>
      <c r="C30" s="18">
        <f t="shared" si="3"/>
        <v>4.1083418704934697E-2</v>
      </c>
      <c r="D30" s="17"/>
      <c r="F30" s="3">
        <f t="shared" si="25"/>
        <v>4.1083418704931311E-2</v>
      </c>
      <c r="G30" s="3">
        <f t="shared" si="25"/>
        <v>4.1083418704900822E-2</v>
      </c>
      <c r="H30" s="3">
        <f t="shared" si="25"/>
        <v>4.1083418704595948E-2</v>
      </c>
      <c r="I30" s="3">
        <f t="shared" si="25"/>
        <v>4.1083418701547185E-2</v>
      </c>
      <c r="J30" s="3">
        <f t="shared" si="25"/>
        <v>4.1083418671059566E-2</v>
      </c>
      <c r="K30" s="3">
        <f t="shared" si="25"/>
        <v>4.1083418366183386E-2</v>
      </c>
      <c r="L30" s="3">
        <f t="shared" si="25"/>
        <v>4.1083415317421712E-2</v>
      </c>
      <c r="M30" s="3">
        <f t="shared" si="25"/>
        <v>4.1083384829817417E-2</v>
      </c>
      <c r="N30" s="3">
        <f t="shared" si="25"/>
        <v>4.1083079955018822E-2</v>
      </c>
      <c r="O30" s="3">
        <f t="shared" si="25"/>
        <v>4.1080031331464269E-2</v>
      </c>
      <c r="P30" s="3">
        <f t="shared" si="25"/>
        <v>4.1049557535639054E-2</v>
      </c>
      <c r="Q30" s="3">
        <f t="shared" si="25"/>
        <v>4.0746060140574872E-2</v>
      </c>
      <c r="R30" s="3">
        <f t="shared" si="25"/>
        <v>3.7831802810623712E-2</v>
      </c>
      <c r="S30" s="3">
        <f t="shared" si="25"/>
        <v>1.8012383805508417E-2</v>
      </c>
      <c r="T30" s="3">
        <f t="shared" si="25"/>
        <v>1.0782333028072856E-5</v>
      </c>
      <c r="U30" s="3">
        <f t="shared" si="25"/>
        <v>6.3698357495004331E-38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4.1318938215872056E-2</v>
      </c>
      <c r="C31" s="18">
        <f t="shared" si="3"/>
        <v>4.6249511553516282E-2</v>
      </c>
      <c r="D31" s="17"/>
      <c r="F31" s="3">
        <f t="shared" si="25"/>
        <v>4.6249511553515935E-2</v>
      </c>
      <c r="G31" s="3">
        <f t="shared" si="25"/>
        <v>4.624951155351284E-2</v>
      </c>
      <c r="H31" s="3">
        <f t="shared" si="25"/>
        <v>4.6249511553481878E-2</v>
      </c>
      <c r="I31" s="3">
        <f t="shared" si="25"/>
        <v>4.6249511553172272E-2</v>
      </c>
      <c r="J31" s="3">
        <f t="shared" si="25"/>
        <v>4.6249511550076207E-2</v>
      </c>
      <c r="K31" s="3">
        <f t="shared" si="25"/>
        <v>4.6249511519115515E-2</v>
      </c>
      <c r="L31" s="3">
        <f t="shared" si="25"/>
        <v>4.6249511209508591E-2</v>
      </c>
      <c r="M31" s="3">
        <f t="shared" si="25"/>
        <v>4.6249508113439503E-2</v>
      </c>
      <c r="N31" s="3">
        <f t="shared" si="25"/>
        <v>4.6249477152759975E-2</v>
      </c>
      <c r="O31" s="3">
        <f t="shared" si="25"/>
        <v>4.6249167547104682E-2</v>
      </c>
      <c r="P31" s="3">
        <f t="shared" si="25"/>
        <v>4.6246071604541236E-2</v>
      </c>
      <c r="Q31" s="3">
        <f t="shared" si="25"/>
        <v>4.6215123575035537E-2</v>
      </c>
      <c r="R31" s="3">
        <f t="shared" si="25"/>
        <v>4.590678007521333E-2</v>
      </c>
      <c r="S31" s="3">
        <f t="shared" si="25"/>
        <v>4.2934258602456019E-2</v>
      </c>
      <c r="T31" s="3">
        <f t="shared" si="25"/>
        <v>2.1982411022583217E-2</v>
      </c>
      <c r="U31" s="3">
        <f t="shared" si="25"/>
        <v>2.7213780990383867E-5</v>
      </c>
      <c r="V31" s="3">
        <f t="shared" si="26"/>
        <v>2.3010417552586291E-34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3.7655517008646576E-2</v>
      </c>
      <c r="C32" s="18">
        <f t="shared" si="3"/>
        <v>4.2148935673183355E-2</v>
      </c>
      <c r="D32" s="17"/>
      <c r="F32" s="3">
        <f t="shared" si="25"/>
        <v>4.2148935673183327E-2</v>
      </c>
      <c r="G32" s="3">
        <f t="shared" si="25"/>
        <v>4.2148935673183077E-2</v>
      </c>
      <c r="H32" s="3">
        <f t="shared" si="25"/>
        <v>4.2148935673180531E-2</v>
      </c>
      <c r="I32" s="3">
        <f t="shared" si="25"/>
        <v>4.2148935673155072E-2</v>
      </c>
      <c r="J32" s="3">
        <f t="shared" si="25"/>
        <v>4.2148935672900546E-2</v>
      </c>
      <c r="K32" s="3">
        <f t="shared" si="25"/>
        <v>4.2148935670355263E-2</v>
      </c>
      <c r="L32" s="3">
        <f t="shared" si="25"/>
        <v>4.2148935644902394E-2</v>
      </c>
      <c r="M32" s="3">
        <f t="shared" si="25"/>
        <v>4.2148935390373718E-2</v>
      </c>
      <c r="N32" s="3">
        <f t="shared" si="25"/>
        <v>4.2148932845087077E-2</v>
      </c>
      <c r="O32" s="3">
        <f t="shared" si="25"/>
        <v>4.2148907392229096E-2</v>
      </c>
      <c r="P32" s="3">
        <f t="shared" si="25"/>
        <v>4.2148652864494637E-2</v>
      </c>
      <c r="Q32" s="3">
        <f t="shared" si="25"/>
        <v>4.2146107671685536E-2</v>
      </c>
      <c r="R32" s="3">
        <f t="shared" si="25"/>
        <v>4.2120664195248202E-2</v>
      </c>
      <c r="S32" s="3">
        <f t="shared" si="25"/>
        <v>4.1867072710890761E-2</v>
      </c>
      <c r="T32" s="3">
        <f t="shared" si="25"/>
        <v>3.9413631731891198E-2</v>
      </c>
      <c r="U32" s="3">
        <f t="shared" si="25"/>
        <v>2.1546911670328118E-2</v>
      </c>
      <c r="V32" s="3">
        <f t="shared" si="26"/>
        <v>5.1377243625169402E-5</v>
      </c>
      <c r="W32" s="3">
        <f t="shared" si="26"/>
        <v>3.0523089873410331E-31</v>
      </c>
      <c r="X32" s="3">
        <f t="shared" si="26"/>
        <v>1.6718813070316812E-293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0.10072334604864466</v>
      </c>
      <c r="C33" s="18">
        <f t="shared" si="3"/>
        <v>0.11274262500279238</v>
      </c>
      <c r="D33" s="17"/>
      <c r="F33" s="3">
        <f t="shared" si="25"/>
        <v>0.11274262500279236</v>
      </c>
      <c r="G33" s="3">
        <f t="shared" si="25"/>
        <v>0.11274262500279231</v>
      </c>
      <c r="H33" s="3">
        <f t="shared" si="25"/>
        <v>0.11274262500279168</v>
      </c>
      <c r="I33" s="3">
        <f t="shared" si="25"/>
        <v>0.11274262500278555</v>
      </c>
      <c r="J33" s="3">
        <f t="shared" si="25"/>
        <v>0.11274262500272414</v>
      </c>
      <c r="K33" s="3">
        <f t="shared" si="25"/>
        <v>0.11274262500210996</v>
      </c>
      <c r="L33" s="3">
        <f t="shared" si="25"/>
        <v>0.11274262499596832</v>
      </c>
      <c r="M33" s="3">
        <f t="shared" si="25"/>
        <v>0.11274262493455185</v>
      </c>
      <c r="N33" s="3">
        <f t="shared" si="25"/>
        <v>0.11274262432038717</v>
      </c>
      <c r="O33" s="3">
        <f t="shared" si="25"/>
        <v>0.11274261817874061</v>
      </c>
      <c r="P33" s="3">
        <f t="shared" si="25"/>
        <v>0.11274255676229328</v>
      </c>
      <c r="Q33" s="3">
        <f t="shared" si="25"/>
        <v>0.11274194259966012</v>
      </c>
      <c r="R33" s="3">
        <f t="shared" si="25"/>
        <v>0.11273580115733561</v>
      </c>
      <c r="S33" s="3">
        <f t="shared" si="25"/>
        <v>0.11267440513108853</v>
      </c>
      <c r="T33" s="3">
        <f t="shared" si="25"/>
        <v>0.11206228086576392</v>
      </c>
      <c r="U33" s="3">
        <f t="shared" ref="P33:AE48" si="27">$C33*EXP(-U$15/$A33)</f>
        <v>0.10612099064568313</v>
      </c>
      <c r="V33" s="3">
        <f t="shared" si="27"/>
        <v>6.1548811879214342E-2</v>
      </c>
      <c r="W33" s="3">
        <f t="shared" si="27"/>
        <v>2.650961725341998E-4</v>
      </c>
      <c r="X33" s="3">
        <f t="shared" si="27"/>
        <v>5.8242672300949236E-28</v>
      </c>
      <c r="Y33" s="3">
        <f t="shared" si="27"/>
        <v>1.5262288206411122E-264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0.12886826472254237</v>
      </c>
      <c r="C34" s="18">
        <f t="shared" si="3"/>
        <v>0.14424606622338945</v>
      </c>
      <c r="D34" s="17"/>
      <c r="F34" s="3">
        <f t="shared" ref="F34:O48" si="28">$C34*EXP(-F$15/$A34)</f>
        <v>0.14424606622338945</v>
      </c>
      <c r="G34" s="3">
        <f t="shared" si="28"/>
        <v>0.14424606622338945</v>
      </c>
      <c r="H34" s="3">
        <f t="shared" si="28"/>
        <v>0.14424606622338937</v>
      </c>
      <c r="I34" s="3">
        <f t="shared" si="28"/>
        <v>0.14424606622338867</v>
      </c>
      <c r="J34" s="3">
        <f t="shared" si="28"/>
        <v>0.14424606622338157</v>
      </c>
      <c r="K34" s="3">
        <f t="shared" si="28"/>
        <v>0.14424606622331068</v>
      </c>
      <c r="L34" s="3">
        <f t="shared" si="28"/>
        <v>0.14424606622260186</v>
      </c>
      <c r="M34" s="3">
        <f t="shared" si="28"/>
        <v>0.14424606621551347</v>
      </c>
      <c r="N34" s="3">
        <f t="shared" si="28"/>
        <v>0.14424606614462962</v>
      </c>
      <c r="O34" s="3">
        <f t="shared" si="28"/>
        <v>0.14424606543579119</v>
      </c>
      <c r="P34" s="3">
        <f t="shared" si="27"/>
        <v>0.14424605834740697</v>
      </c>
      <c r="Q34" s="3">
        <f t="shared" si="27"/>
        <v>0.14424598746358408</v>
      </c>
      <c r="R34" s="3">
        <f t="shared" si="27"/>
        <v>0.14424527862727105</v>
      </c>
      <c r="S34" s="3">
        <f t="shared" si="27"/>
        <v>0.14423819045571809</v>
      </c>
      <c r="T34" s="3">
        <f t="shared" si="27"/>
        <v>0.14416732789445397</v>
      </c>
      <c r="U34" s="3">
        <f t="shared" si="27"/>
        <v>0.14346061423027204</v>
      </c>
      <c r="V34" s="3">
        <f t="shared" si="27"/>
        <v>0.13658124132454885</v>
      </c>
      <c r="W34" s="3">
        <f t="shared" si="27"/>
        <v>8.3555443954828362E-2</v>
      </c>
      <c r="X34" s="3">
        <f t="shared" si="27"/>
        <v>6.1349595967226725E-4</v>
      </c>
      <c r="Y34" s="3">
        <f t="shared" si="27"/>
        <v>2.793709632661821E-25</v>
      </c>
      <c r="Z34" s="3">
        <f t="shared" si="27"/>
        <v>1.0712155008765425E-238</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0.11590907125674527</v>
      </c>
      <c r="C35" s="18">
        <f t="shared" si="3"/>
        <v>0.12974045708141974</v>
      </c>
      <c r="D35" s="17"/>
      <c r="F35" s="3">
        <f t="shared" si="28"/>
        <v>0.12974045708141974</v>
      </c>
      <c r="G35" s="3">
        <f t="shared" si="28"/>
        <v>0.12974045708141974</v>
      </c>
      <c r="H35" s="3">
        <f t="shared" si="28"/>
        <v>0.12974045708141974</v>
      </c>
      <c r="I35" s="3">
        <f t="shared" si="28"/>
        <v>0.12974045708141968</v>
      </c>
      <c r="J35" s="3">
        <f t="shared" si="28"/>
        <v>0.1297404570814191</v>
      </c>
      <c r="K35" s="3">
        <f t="shared" si="28"/>
        <v>0.12974045708141335</v>
      </c>
      <c r="L35" s="3">
        <f t="shared" si="28"/>
        <v>0.12974045708135584</v>
      </c>
      <c r="M35" s="3">
        <f t="shared" si="28"/>
        <v>0.12974045708078069</v>
      </c>
      <c r="N35" s="3">
        <f t="shared" si="28"/>
        <v>0.1297404570750294</v>
      </c>
      <c r="O35" s="3">
        <f t="shared" si="28"/>
        <v>0.12974045701751649</v>
      </c>
      <c r="P35" s="3">
        <f t="shared" si="27"/>
        <v>0.12974045644238746</v>
      </c>
      <c r="Q35" s="3">
        <f t="shared" si="27"/>
        <v>0.12974045069109719</v>
      </c>
      <c r="R35" s="3">
        <f t="shared" si="27"/>
        <v>0.12974039317820857</v>
      </c>
      <c r="S35" s="3">
        <f t="shared" si="27"/>
        <v>0.1297398180507246</v>
      </c>
      <c r="T35" s="3">
        <f t="shared" si="27"/>
        <v>0.12973406691610459</v>
      </c>
      <c r="U35" s="3">
        <f t="shared" si="27"/>
        <v>0.12967656958960447</v>
      </c>
      <c r="V35" s="3">
        <f t="shared" si="27"/>
        <v>0.12910299599783823</v>
      </c>
      <c r="W35" s="3">
        <f t="shared" si="27"/>
        <v>0.12350495865422408</v>
      </c>
      <c r="X35" s="3">
        <f t="shared" si="27"/>
        <v>7.9280272370087848E-2</v>
      </c>
      <c r="Y35" s="3">
        <f t="shared" si="27"/>
        <v>9.418300055379599E-4</v>
      </c>
      <c r="Z35" s="3">
        <f t="shared" si="27"/>
        <v>5.2728620747764382E-23</v>
      </c>
      <c r="AA35" s="3">
        <f t="shared" si="27"/>
        <v>1.5950903998905884E-215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9.5726703068542487E-2</v>
      </c>
      <c r="C36" s="18">
        <f t="shared" si="3"/>
        <v>0.10714973449748261</v>
      </c>
      <c r="D36" s="17"/>
      <c r="F36" s="3">
        <f t="shared" si="28"/>
        <v>0.10714973449748261</v>
      </c>
      <c r="G36" s="3">
        <f t="shared" si="28"/>
        <v>0.10714973449748261</v>
      </c>
      <c r="H36" s="3">
        <f t="shared" si="28"/>
        <v>0.10714973449748261</v>
      </c>
      <c r="I36" s="3">
        <f t="shared" si="28"/>
        <v>0.10714973449748261</v>
      </c>
      <c r="J36" s="3">
        <f t="shared" si="28"/>
        <v>0.10714973449748257</v>
      </c>
      <c r="K36" s="3">
        <f t="shared" si="28"/>
        <v>0.10714973449748214</v>
      </c>
      <c r="L36" s="3">
        <f t="shared" si="28"/>
        <v>0.10714973449747785</v>
      </c>
      <c r="M36" s="3">
        <f t="shared" si="28"/>
        <v>0.10714973449743499</v>
      </c>
      <c r="N36" s="3">
        <f t="shared" si="28"/>
        <v>0.10714973449700652</v>
      </c>
      <c r="O36" s="3">
        <f t="shared" si="28"/>
        <v>0.10714973449272175</v>
      </c>
      <c r="P36" s="3">
        <f t="shared" si="27"/>
        <v>0.10714973444987405</v>
      </c>
      <c r="Q36" s="3">
        <f t="shared" si="27"/>
        <v>0.10714973402139699</v>
      </c>
      <c r="R36" s="3">
        <f t="shared" si="27"/>
        <v>0.10714972973662661</v>
      </c>
      <c r="S36" s="3">
        <f t="shared" si="27"/>
        <v>0.1071496868889321</v>
      </c>
      <c r="T36" s="3">
        <f t="shared" si="27"/>
        <v>0.10714925841292941</v>
      </c>
      <c r="U36" s="3">
        <f t="shared" si="27"/>
        <v>0.10714497374713908</v>
      </c>
      <c r="V36" s="3">
        <f t="shared" si="27"/>
        <v>0.10710213651150102</v>
      </c>
      <c r="W36" s="3">
        <f t="shared" si="27"/>
        <v>0.1066747049890356</v>
      </c>
      <c r="X36" s="3">
        <f t="shared" si="27"/>
        <v>0.10249309588200609</v>
      </c>
      <c r="Y36" s="3">
        <f t="shared" si="27"/>
        <v>6.8710992526177475E-2</v>
      </c>
      <c r="Z36" s="3">
        <f t="shared" si="27"/>
        <v>1.2599181321283519E-3</v>
      </c>
      <c r="AA36" s="3">
        <f t="shared" si="27"/>
        <v>5.4138144637114509E-21</v>
      </c>
      <c r="AB36" s="3">
        <f t="shared" si="27"/>
        <v>1.1617529580880501E-194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6.6698843299238295E-2</v>
      </c>
      <c r="C37" s="18">
        <f t="shared" si="3"/>
        <v>7.4657991153057213E-2</v>
      </c>
      <c r="D37" s="17"/>
      <c r="F37" s="3">
        <f t="shared" si="28"/>
        <v>7.4657991153057213E-2</v>
      </c>
      <c r="G37" s="3">
        <f t="shared" si="28"/>
        <v>7.4657991153057213E-2</v>
      </c>
      <c r="H37" s="3">
        <f t="shared" si="28"/>
        <v>7.4657991153057213E-2</v>
      </c>
      <c r="I37" s="3">
        <f t="shared" si="28"/>
        <v>7.4657991153057213E-2</v>
      </c>
      <c r="J37" s="3">
        <f t="shared" si="28"/>
        <v>7.4657991153057213E-2</v>
      </c>
      <c r="K37" s="3">
        <f t="shared" si="28"/>
        <v>7.4657991153057185E-2</v>
      </c>
      <c r="L37" s="3">
        <f t="shared" si="28"/>
        <v>7.4657991153056907E-2</v>
      </c>
      <c r="M37" s="3">
        <f t="shared" si="28"/>
        <v>7.4657991153054215E-2</v>
      </c>
      <c r="N37" s="3">
        <f t="shared" si="28"/>
        <v>7.4657991153027292E-2</v>
      </c>
      <c r="O37" s="3">
        <f t="shared" si="28"/>
        <v>7.465799115275798E-2</v>
      </c>
      <c r="P37" s="3">
        <f t="shared" si="27"/>
        <v>7.4657991150064829E-2</v>
      </c>
      <c r="Q37" s="3">
        <f t="shared" si="27"/>
        <v>7.4657991123133413E-2</v>
      </c>
      <c r="R37" s="3">
        <f t="shared" si="27"/>
        <v>7.4657990853819148E-2</v>
      </c>
      <c r="S37" s="3">
        <f t="shared" si="27"/>
        <v>7.465798816067655E-2</v>
      </c>
      <c r="T37" s="3">
        <f t="shared" si="27"/>
        <v>7.4657961229256053E-2</v>
      </c>
      <c r="U37" s="3">
        <f t="shared" si="27"/>
        <v>7.4657691915585286E-2</v>
      </c>
      <c r="V37" s="3">
        <f t="shared" si="27"/>
        <v>7.4654998832309374E-2</v>
      </c>
      <c r="W37" s="3">
        <f t="shared" si="27"/>
        <v>7.4628073342003026E-2</v>
      </c>
      <c r="X37" s="3">
        <f t="shared" si="27"/>
        <v>7.4359351971854115E-2</v>
      </c>
      <c r="Y37" s="3">
        <f t="shared" si="27"/>
        <v>7.1724786272517937E-2</v>
      </c>
      <c r="Z37" s="3">
        <f t="shared" si="27"/>
        <v>5.0004135987014399E-2</v>
      </c>
      <c r="AA37" s="3">
        <f t="shared" si="27"/>
        <v>1.3563525098853049E-3</v>
      </c>
      <c r="AB37" s="3">
        <f t="shared" si="27"/>
        <v>2.9244153400665948E-19</v>
      </c>
      <c r="AC37" s="3">
        <f t="shared" si="27"/>
        <v>6.3489781575831227E-176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2.3031738943593914E-2</v>
      </c>
      <c r="C38" s="18">
        <f t="shared" si="3"/>
        <v>2.5780107678568913E-2</v>
      </c>
      <c r="D38" s="17"/>
      <c r="F38" s="3">
        <f t="shared" si="28"/>
        <v>2.5780107678568913E-2</v>
      </c>
      <c r="G38" s="3">
        <f t="shared" si="28"/>
        <v>2.5780107678568913E-2</v>
      </c>
      <c r="H38" s="3">
        <f t="shared" si="28"/>
        <v>2.5780107678568913E-2</v>
      </c>
      <c r="I38" s="3">
        <f t="shared" si="28"/>
        <v>2.5780107678568913E-2</v>
      </c>
      <c r="J38" s="3">
        <f t="shared" si="28"/>
        <v>2.5780107678568913E-2</v>
      </c>
      <c r="K38" s="3">
        <f t="shared" si="28"/>
        <v>2.5780107678568913E-2</v>
      </c>
      <c r="L38" s="3">
        <f t="shared" si="28"/>
        <v>2.5780107678568906E-2</v>
      </c>
      <c r="M38" s="3">
        <f t="shared" si="28"/>
        <v>2.5780107678568819E-2</v>
      </c>
      <c r="N38" s="3">
        <f t="shared" si="28"/>
        <v>2.578010767856798E-2</v>
      </c>
      <c r="O38" s="3">
        <f t="shared" si="28"/>
        <v>2.578010767855959E-2</v>
      </c>
      <c r="P38" s="3">
        <f t="shared" si="27"/>
        <v>2.5780107678475699E-2</v>
      </c>
      <c r="Q38" s="3">
        <f t="shared" si="27"/>
        <v>2.5780107677636794E-2</v>
      </c>
      <c r="R38" s="3">
        <f t="shared" si="27"/>
        <v>2.5780107669247709E-2</v>
      </c>
      <c r="S38" s="3">
        <f t="shared" si="27"/>
        <v>2.5780107585356902E-2</v>
      </c>
      <c r="T38" s="3">
        <f t="shared" si="27"/>
        <v>2.5780106746448848E-2</v>
      </c>
      <c r="U38" s="3">
        <f t="shared" si="27"/>
        <v>2.5780098357369767E-2</v>
      </c>
      <c r="V38" s="3">
        <f t="shared" si="27"/>
        <v>2.5780014466729114E-2</v>
      </c>
      <c r="W38" s="3">
        <f t="shared" si="27"/>
        <v>2.5779175575336741E-2</v>
      </c>
      <c r="X38" s="3">
        <f t="shared" si="27"/>
        <v>2.5770788162647794E-2</v>
      </c>
      <c r="Y38" s="3">
        <f t="shared" si="27"/>
        <v>2.5687063978641532E-2</v>
      </c>
      <c r="Z38" s="3">
        <f t="shared" si="27"/>
        <v>2.4864637454268573E-2</v>
      </c>
      <c r="AA38" s="3">
        <f t="shared" si="27"/>
        <v>1.795803318478752E-2</v>
      </c>
      <c r="AB38" s="3">
        <f t="shared" si="27"/>
        <v>6.9346597103564066E-4</v>
      </c>
      <c r="AC38" s="3">
        <f t="shared" si="27"/>
        <v>5.1131555456076435E-18</v>
      </c>
      <c r="AD38" s="3">
        <f t="shared" si="27"/>
        <v>2.4284406930970551E-159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2.1495309841323341E-2</v>
      </c>
      <c r="C39" s="18">
        <f t="shared" si="3"/>
        <v>2.4060337070104312E-2</v>
      </c>
      <c r="D39" s="17"/>
      <c r="F39" s="3">
        <f t="shared" si="28"/>
        <v>2.4060337070104312E-2</v>
      </c>
      <c r="G39" s="3">
        <f t="shared" si="28"/>
        <v>2.4060337070104312E-2</v>
      </c>
      <c r="H39" s="3">
        <f t="shared" si="28"/>
        <v>2.4060337070104312E-2</v>
      </c>
      <c r="I39" s="3">
        <f t="shared" si="28"/>
        <v>2.4060337070104312E-2</v>
      </c>
      <c r="J39" s="3">
        <f t="shared" si="28"/>
        <v>2.4060337070104312E-2</v>
      </c>
      <c r="K39" s="3">
        <f t="shared" si="28"/>
        <v>2.4060337070104312E-2</v>
      </c>
      <c r="L39" s="3">
        <f t="shared" si="28"/>
        <v>2.4060337070104309E-2</v>
      </c>
      <c r="M39" s="3">
        <f t="shared" si="28"/>
        <v>2.4060337070104288E-2</v>
      </c>
      <c r="N39" s="3">
        <f t="shared" si="28"/>
        <v>2.4060337070104073E-2</v>
      </c>
      <c r="O39" s="3">
        <f t="shared" si="28"/>
        <v>2.4060337070101905E-2</v>
      </c>
      <c r="P39" s="3">
        <f t="shared" si="27"/>
        <v>2.4060337070080252E-2</v>
      </c>
      <c r="Q39" s="3">
        <f t="shared" si="27"/>
        <v>2.406033706986371E-2</v>
      </c>
      <c r="R39" s="3">
        <f t="shared" si="27"/>
        <v>2.4060337067698279E-2</v>
      </c>
      <c r="S39" s="3">
        <f t="shared" si="27"/>
        <v>2.4060337046043975E-2</v>
      </c>
      <c r="T39" s="3">
        <f t="shared" si="27"/>
        <v>2.4060336829500942E-2</v>
      </c>
      <c r="U39" s="3">
        <f t="shared" si="27"/>
        <v>2.4060334664070728E-2</v>
      </c>
      <c r="V39" s="3">
        <f t="shared" si="27"/>
        <v>2.4060313009779274E-2</v>
      </c>
      <c r="W39" s="3">
        <f t="shared" si="27"/>
        <v>2.4060096467936623E-2</v>
      </c>
      <c r="X39" s="3">
        <f t="shared" si="27"/>
        <v>2.4057931156694978E-2</v>
      </c>
      <c r="Y39" s="3">
        <f t="shared" si="27"/>
        <v>2.403628875919369E-2</v>
      </c>
      <c r="Z39" s="3">
        <f t="shared" si="27"/>
        <v>2.3820932716205719E-2</v>
      </c>
      <c r="AA39" s="3">
        <f t="shared" si="27"/>
        <v>2.1770693271588069E-2</v>
      </c>
      <c r="AB39" s="3">
        <f t="shared" si="27"/>
        <v>8.8513033557465117E-3</v>
      </c>
      <c r="AC39" s="3">
        <f t="shared" si="27"/>
        <v>1.0923376130444464E-6</v>
      </c>
      <c r="AD39" s="3">
        <f t="shared" si="27"/>
        <v>8.9506281909458603E-46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1.0960092140170144E-2</v>
      </c>
      <c r="C40" s="18">
        <f t="shared" si="3"/>
        <v>1.2267955807966149E-2</v>
      </c>
      <c r="D40" s="17"/>
      <c r="F40" s="3">
        <f t="shared" si="28"/>
        <v>1.2267955807966149E-2</v>
      </c>
      <c r="G40" s="3">
        <f t="shared" si="28"/>
        <v>1.2267955807966149E-2</v>
      </c>
      <c r="H40" s="3">
        <f t="shared" si="28"/>
        <v>1.2267955807966149E-2</v>
      </c>
      <c r="I40" s="3">
        <f t="shared" si="28"/>
        <v>1.2267955807966149E-2</v>
      </c>
      <c r="J40" s="3">
        <f t="shared" si="28"/>
        <v>1.2267955807966149E-2</v>
      </c>
      <c r="K40" s="3">
        <f t="shared" si="28"/>
        <v>1.2267955807966149E-2</v>
      </c>
      <c r="L40" s="3">
        <f t="shared" si="28"/>
        <v>1.2267955807966149E-2</v>
      </c>
      <c r="M40" s="3">
        <f t="shared" si="28"/>
        <v>1.2267955807966148E-2</v>
      </c>
      <c r="N40" s="3">
        <f t="shared" si="28"/>
        <v>1.2267955807966137E-2</v>
      </c>
      <c r="O40" s="3">
        <f t="shared" si="28"/>
        <v>1.2267955807966026E-2</v>
      </c>
      <c r="P40" s="3">
        <f t="shared" si="27"/>
        <v>1.2267955807964923E-2</v>
      </c>
      <c r="Q40" s="3">
        <f t="shared" si="27"/>
        <v>1.2267955807953881E-2</v>
      </c>
      <c r="R40" s="3">
        <f t="shared" si="27"/>
        <v>1.226795580784347E-2</v>
      </c>
      <c r="S40" s="3">
        <f t="shared" si="27"/>
        <v>1.2267955806739353E-2</v>
      </c>
      <c r="T40" s="3">
        <f t="shared" si="27"/>
        <v>1.2267955795698194E-2</v>
      </c>
      <c r="U40" s="3">
        <f t="shared" si="27"/>
        <v>1.2267955685286592E-2</v>
      </c>
      <c r="V40" s="3">
        <f t="shared" si="27"/>
        <v>1.226795458117063E-2</v>
      </c>
      <c r="W40" s="3">
        <f t="shared" si="27"/>
        <v>1.2267943540016476E-2</v>
      </c>
      <c r="X40" s="3">
        <f t="shared" si="27"/>
        <v>1.2267833129021466E-2</v>
      </c>
      <c r="Y40" s="3">
        <f t="shared" si="27"/>
        <v>1.2266729073723087E-2</v>
      </c>
      <c r="Z40" s="3">
        <f t="shared" si="27"/>
        <v>1.225569398409194E-2</v>
      </c>
      <c r="AA40" s="3">
        <f t="shared" si="27"/>
        <v>1.2145887608119027E-2</v>
      </c>
      <c r="AB40" s="3">
        <f t="shared" si="27"/>
        <v>1.1100505457859344E-2</v>
      </c>
      <c r="AC40" s="3">
        <f t="shared" si="27"/>
        <v>4.513128726950537E-3</v>
      </c>
      <c r="AD40" s="3">
        <f t="shared" si="27"/>
        <v>5.569643320109313E-7</v>
      </c>
      <c r="AE40" s="3">
        <f t="shared" si="27"/>
        <v>4.5637727676100162E-46</v>
      </c>
      <c r="AF40" s="3">
        <f t="shared" si="29"/>
        <v>0</v>
      </c>
      <c r="AG40" s="3">
        <f t="shared" si="29"/>
        <v>0</v>
      </c>
      <c r="AH40" s="3">
        <f t="shared" si="29"/>
        <v>0</v>
      </c>
      <c r="AI40" s="3">
        <f t="shared" si="29"/>
        <v>0</v>
      </c>
      <c r="AJ40" s="3">
        <f t="shared" si="29"/>
        <v>0</v>
      </c>
    </row>
    <row r="41" spans="1:36" x14ac:dyDescent="0.25">
      <c r="A41" s="3">
        <f t="shared" si="30"/>
        <v>1000000000</v>
      </c>
      <c r="B41" s="106">
        <v>6.9104156595678782E-4</v>
      </c>
      <c r="C41" s="18">
        <f t="shared" si="3"/>
        <v>7.7350329579382458E-4</v>
      </c>
      <c r="D41" s="17"/>
      <c r="F41" s="3">
        <f t="shared" si="28"/>
        <v>7.7350329579382458E-4</v>
      </c>
      <c r="G41" s="3">
        <f t="shared" si="28"/>
        <v>7.7350329579382458E-4</v>
      </c>
      <c r="H41" s="3">
        <f t="shared" si="28"/>
        <v>7.7350329579382458E-4</v>
      </c>
      <c r="I41" s="3">
        <f t="shared" si="28"/>
        <v>7.7350329579382458E-4</v>
      </c>
      <c r="J41" s="3">
        <f t="shared" si="28"/>
        <v>7.7350329579382458E-4</v>
      </c>
      <c r="K41" s="3">
        <f t="shared" si="28"/>
        <v>7.7350329579382458E-4</v>
      </c>
      <c r="L41" s="3">
        <f t="shared" si="28"/>
        <v>7.7350329579382458E-4</v>
      </c>
      <c r="M41" s="3">
        <f t="shared" si="28"/>
        <v>7.7350329579382458E-4</v>
      </c>
      <c r="N41" s="3">
        <f t="shared" si="28"/>
        <v>7.7350329579382448E-4</v>
      </c>
      <c r="O41" s="3">
        <f t="shared" si="28"/>
        <v>7.7350329579382383E-4</v>
      </c>
      <c r="P41" s="3">
        <f t="shared" si="27"/>
        <v>7.7350329579381689E-4</v>
      </c>
      <c r="Q41" s="3">
        <f t="shared" si="27"/>
        <v>7.7350329579374717E-4</v>
      </c>
      <c r="R41" s="3">
        <f t="shared" si="27"/>
        <v>7.7350329579305111E-4</v>
      </c>
      <c r="S41" s="3">
        <f t="shared" si="27"/>
        <v>7.7350329578608956E-4</v>
      </c>
      <c r="T41" s="3">
        <f t="shared" si="27"/>
        <v>7.7350329571647424E-4</v>
      </c>
      <c r="U41" s="3">
        <f t="shared" si="27"/>
        <v>7.7350329502032136E-4</v>
      </c>
      <c r="V41" s="3">
        <f t="shared" si="27"/>
        <v>7.735032880587917E-4</v>
      </c>
      <c r="W41" s="3">
        <f t="shared" si="27"/>
        <v>7.735032184434989E-4</v>
      </c>
      <c r="X41" s="3">
        <f t="shared" si="27"/>
        <v>7.7350252229091551E-4</v>
      </c>
      <c r="Y41" s="3">
        <f t="shared" si="27"/>
        <v>7.734955607995417E-4</v>
      </c>
      <c r="Z41" s="3">
        <f t="shared" si="27"/>
        <v>7.7342594933163273E-4</v>
      </c>
      <c r="AA41" s="3">
        <f t="shared" si="27"/>
        <v>7.7273017912079373E-4</v>
      </c>
      <c r="AB41" s="3">
        <f t="shared" si="27"/>
        <v>7.6580680940510962E-4</v>
      </c>
      <c r="AC41" s="3">
        <f t="shared" si="27"/>
        <v>6.9989472500838932E-4</v>
      </c>
      <c r="AD41" s="3">
        <f t="shared" si="27"/>
        <v>2.8455596020090102E-4</v>
      </c>
      <c r="AE41" s="3">
        <f t="shared" si="27"/>
        <v>3.5116995300090185E-8</v>
      </c>
      <c r="AF41" s="3">
        <f t="shared" si="29"/>
        <v>2.8774910280555455E-47</v>
      </c>
      <c r="AG41" s="3">
        <f t="shared" si="29"/>
        <v>0</v>
      </c>
      <c r="AH41" s="3">
        <f t="shared" si="29"/>
        <v>0</v>
      </c>
      <c r="AI41" s="3">
        <f t="shared" si="29"/>
        <v>0</v>
      </c>
      <c r="AJ41" s="3">
        <f t="shared" si="29"/>
        <v>0</v>
      </c>
    </row>
    <row r="42" spans="1:36" x14ac:dyDescent="0.25">
      <c r="A42" s="3">
        <f t="shared" si="30"/>
        <v>10000000000</v>
      </c>
      <c r="B42" s="106">
        <v>2.5785768029268213E-3</v>
      </c>
      <c r="C42" s="18">
        <f t="shared" si="3"/>
        <v>2.8862774017939779E-3</v>
      </c>
      <c r="D42" s="17"/>
      <c r="F42" s="3">
        <f t="shared" si="28"/>
        <v>2.8862774017939779E-3</v>
      </c>
      <c r="G42" s="3">
        <f t="shared" si="28"/>
        <v>2.8862774017939779E-3</v>
      </c>
      <c r="H42" s="3">
        <f t="shared" si="28"/>
        <v>2.8862774017939779E-3</v>
      </c>
      <c r="I42" s="3">
        <f t="shared" si="28"/>
        <v>2.8862774017939779E-3</v>
      </c>
      <c r="J42" s="3">
        <f t="shared" si="28"/>
        <v>2.8862774017939779E-3</v>
      </c>
      <c r="K42" s="3">
        <f t="shared" si="28"/>
        <v>2.8862774017939779E-3</v>
      </c>
      <c r="L42" s="3">
        <f t="shared" si="28"/>
        <v>2.8862774017939779E-3</v>
      </c>
      <c r="M42" s="3">
        <f t="shared" si="28"/>
        <v>2.8862774017939779E-3</v>
      </c>
      <c r="N42" s="3">
        <f t="shared" si="28"/>
        <v>2.8862774017939779E-3</v>
      </c>
      <c r="O42" s="3">
        <f t="shared" si="28"/>
        <v>2.8862774017939775E-3</v>
      </c>
      <c r="P42" s="3">
        <f t="shared" si="27"/>
        <v>2.8862774017939749E-3</v>
      </c>
      <c r="Q42" s="3">
        <f t="shared" si="27"/>
        <v>2.8862774017939493E-3</v>
      </c>
      <c r="R42" s="3">
        <f t="shared" si="27"/>
        <v>2.8862774017936891E-3</v>
      </c>
      <c r="S42" s="3">
        <f t="shared" si="27"/>
        <v>2.8862774017910917E-3</v>
      </c>
      <c r="T42" s="3">
        <f t="shared" si="27"/>
        <v>2.8862774017651151E-3</v>
      </c>
      <c r="U42" s="3">
        <f t="shared" si="27"/>
        <v>2.8862774015053503E-3</v>
      </c>
      <c r="V42" s="3">
        <f t="shared" si="27"/>
        <v>2.8862773989077007E-3</v>
      </c>
      <c r="W42" s="3">
        <f t="shared" si="27"/>
        <v>2.8862773729312042E-3</v>
      </c>
      <c r="X42" s="3">
        <f t="shared" si="27"/>
        <v>2.8862771131662524E-3</v>
      </c>
      <c r="Y42" s="3">
        <f t="shared" si="27"/>
        <v>2.8862745155180192E-3</v>
      </c>
      <c r="Z42" s="3">
        <f t="shared" si="27"/>
        <v>2.8862485391642732E-3</v>
      </c>
      <c r="AA42" s="3">
        <f t="shared" si="27"/>
        <v>2.8859887884847045E-3</v>
      </c>
      <c r="AB42" s="3">
        <f t="shared" si="27"/>
        <v>2.8833925670499589E-3</v>
      </c>
      <c r="AC42" s="3">
        <f t="shared" si="27"/>
        <v>2.8575584618001086E-3</v>
      </c>
      <c r="AD42" s="3">
        <f t="shared" si="27"/>
        <v>2.6116117919748006E-3</v>
      </c>
      <c r="AE42" s="3">
        <f t="shared" si="27"/>
        <v>1.0618021176377311E-3</v>
      </c>
      <c r="AF42" s="3">
        <f t="shared" si="29"/>
        <v>1.3103679131649388E-7</v>
      </c>
      <c r="AG42" s="3">
        <f t="shared" si="29"/>
        <v>1.0737171222545615E-46</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1.420329080079353E-4</v>
      </c>
      <c r="C44" s="18">
        <f t="shared" si="3"/>
        <v>1.5898164143456024E-4</v>
      </c>
      <c r="D44" s="17"/>
      <c r="F44" s="3">
        <f t="shared" si="28"/>
        <v>1.5898164143456024E-4</v>
      </c>
      <c r="G44" s="3">
        <f t="shared" si="28"/>
        <v>1.5898164143456024E-4</v>
      </c>
      <c r="H44" s="3">
        <f t="shared" si="28"/>
        <v>1.5898164143456024E-4</v>
      </c>
      <c r="I44" s="3">
        <f t="shared" si="28"/>
        <v>1.5898164143456024E-4</v>
      </c>
      <c r="J44" s="3">
        <f t="shared" si="28"/>
        <v>1.5898164143456024E-4</v>
      </c>
      <c r="K44" s="3">
        <f t="shared" si="28"/>
        <v>1.5898164143456024E-4</v>
      </c>
      <c r="L44" s="3">
        <f t="shared" si="28"/>
        <v>1.5898164143456024E-4</v>
      </c>
      <c r="M44" s="3">
        <f t="shared" si="28"/>
        <v>1.5898164143456024E-4</v>
      </c>
      <c r="N44" s="3">
        <f t="shared" si="28"/>
        <v>1.5898164143456024E-4</v>
      </c>
      <c r="O44" s="3">
        <f t="shared" si="28"/>
        <v>1.5898164143456024E-4</v>
      </c>
      <c r="P44" s="3">
        <f t="shared" si="27"/>
        <v>1.5898164143456024E-4</v>
      </c>
      <c r="Q44" s="3">
        <f t="shared" si="27"/>
        <v>1.5898164143456021E-4</v>
      </c>
      <c r="R44" s="3">
        <f t="shared" si="27"/>
        <v>1.5898164143456008E-4</v>
      </c>
      <c r="S44" s="3">
        <f t="shared" si="27"/>
        <v>1.5898164143455864E-4</v>
      </c>
      <c r="T44" s="3">
        <f t="shared" si="27"/>
        <v>1.5898164143454433E-4</v>
      </c>
      <c r="U44" s="3">
        <f t="shared" si="27"/>
        <v>1.5898164143440127E-4</v>
      </c>
      <c r="V44" s="3">
        <f t="shared" si="27"/>
        <v>1.5898164143297042E-4</v>
      </c>
      <c r="W44" s="3">
        <f t="shared" si="27"/>
        <v>1.5898164141866207E-4</v>
      </c>
      <c r="X44" s="3">
        <f t="shared" si="27"/>
        <v>1.5898164127557861E-4</v>
      </c>
      <c r="Y44" s="3">
        <f t="shared" si="27"/>
        <v>1.5898163984474383E-4</v>
      </c>
      <c r="Z44" s="3">
        <f t="shared" si="27"/>
        <v>1.5898162553639689E-4</v>
      </c>
      <c r="AA44" s="3">
        <f t="shared" si="27"/>
        <v>1.589814824529983E-4</v>
      </c>
      <c r="AB44" s="3">
        <f t="shared" si="27"/>
        <v>1.5898005162609495E-4</v>
      </c>
      <c r="AC44" s="3">
        <f t="shared" si="27"/>
        <v>1.589657440652985E-4</v>
      </c>
      <c r="AD44" s="3">
        <f t="shared" si="27"/>
        <v>1.5882273925745609E-4</v>
      </c>
      <c r="AE44" s="3">
        <f t="shared" si="27"/>
        <v>1.5739974767145623E-4</v>
      </c>
      <c r="AF44" s="3">
        <f t="shared" si="29"/>
        <v>1.4385253795076621E-4</v>
      </c>
      <c r="AG44" s="3">
        <f t="shared" si="29"/>
        <v>5.8486077407464643E-5</v>
      </c>
      <c r="AH44" s="3">
        <f t="shared" si="29"/>
        <v>7.2177553546535869E-9</v>
      </c>
      <c r="AI44" s="3">
        <f t="shared" si="29"/>
        <v>5.9142378492906629E-48</v>
      </c>
      <c r="AJ44" s="3">
        <f t="shared" si="29"/>
        <v>0</v>
      </c>
    </row>
    <row r="45" spans="1:36" x14ac:dyDescent="0.25">
      <c r="A45" s="3">
        <f t="shared" si="30"/>
        <v>10000000000000</v>
      </c>
      <c r="B45" s="106">
        <v>1.1669477403918734E-4</v>
      </c>
      <c r="C45" s="18">
        <f t="shared" si="3"/>
        <v>1.3061991748101505E-4</v>
      </c>
      <c r="D45" s="17"/>
      <c r="F45" s="3">
        <f t="shared" si="28"/>
        <v>1.3061991748101505E-4</v>
      </c>
      <c r="G45" s="3">
        <f t="shared" si="28"/>
        <v>1.3061991748101505E-4</v>
      </c>
      <c r="H45" s="3">
        <f t="shared" si="28"/>
        <v>1.3061991748101505E-4</v>
      </c>
      <c r="I45" s="3">
        <f t="shared" si="28"/>
        <v>1.3061991748101505E-4</v>
      </c>
      <c r="J45" s="3">
        <f t="shared" si="28"/>
        <v>1.3061991748101505E-4</v>
      </c>
      <c r="K45" s="3">
        <f t="shared" si="28"/>
        <v>1.3061991748101505E-4</v>
      </c>
      <c r="L45" s="3">
        <f t="shared" si="28"/>
        <v>1.3061991748101505E-4</v>
      </c>
      <c r="M45" s="3">
        <f t="shared" si="28"/>
        <v>1.3061991748101505E-4</v>
      </c>
      <c r="N45" s="3">
        <f t="shared" si="28"/>
        <v>1.3061991748101505E-4</v>
      </c>
      <c r="O45" s="3">
        <f t="shared" si="28"/>
        <v>1.3061991748101505E-4</v>
      </c>
      <c r="P45" s="3">
        <f t="shared" si="27"/>
        <v>1.3061991748101505E-4</v>
      </c>
      <c r="Q45" s="3">
        <f t="shared" si="27"/>
        <v>1.3061991748101505E-4</v>
      </c>
      <c r="R45" s="3">
        <f t="shared" si="27"/>
        <v>1.3061991748101502E-4</v>
      </c>
      <c r="S45" s="3">
        <f t="shared" si="27"/>
        <v>1.3061991748101491E-4</v>
      </c>
      <c r="T45" s="3">
        <f t="shared" si="27"/>
        <v>1.3061991748101375E-4</v>
      </c>
      <c r="U45" s="3">
        <f t="shared" si="27"/>
        <v>1.3061991748100198E-4</v>
      </c>
      <c r="V45" s="3">
        <f t="shared" si="27"/>
        <v>1.3061991748088443E-4</v>
      </c>
      <c r="W45" s="3">
        <f t="shared" si="27"/>
        <v>1.3061991747970886E-4</v>
      </c>
      <c r="X45" s="3">
        <f t="shared" si="27"/>
        <v>1.3061991746795307E-4</v>
      </c>
      <c r="Y45" s="3">
        <f t="shared" si="27"/>
        <v>1.3061991735039514E-4</v>
      </c>
      <c r="Z45" s="3">
        <f t="shared" si="27"/>
        <v>1.3061991617481589E-4</v>
      </c>
      <c r="AA45" s="3">
        <f t="shared" si="27"/>
        <v>1.3061990441902397E-4</v>
      </c>
      <c r="AB45" s="3">
        <f t="shared" si="27"/>
        <v>1.3061978686116287E-4</v>
      </c>
      <c r="AC45" s="3">
        <f t="shared" si="27"/>
        <v>1.306186112883712E-4</v>
      </c>
      <c r="AD45" s="3">
        <f t="shared" si="27"/>
        <v>1.3060685614234475E-4</v>
      </c>
      <c r="AE45" s="3">
        <f t="shared" si="27"/>
        <v>1.3048936285172823E-4</v>
      </c>
      <c r="AF45" s="3">
        <f t="shared" si="29"/>
        <v>1.2932022758640902E-4</v>
      </c>
      <c r="AG45" s="3">
        <f t="shared" si="29"/>
        <v>1.1818978887759175E-4</v>
      </c>
      <c r="AH45" s="3">
        <f t="shared" si="29"/>
        <v>4.805238224877573E-5</v>
      </c>
      <c r="AI45" s="3">
        <f t="shared" si="29"/>
        <v>5.9301350792196506E-9</v>
      </c>
      <c r="AJ45" s="3">
        <f t="shared" si="29"/>
        <v>4.8591601701094811E-48</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7.2661612677196182E-5</v>
      </c>
      <c r="C47" s="18">
        <f t="shared" si="3"/>
        <v>8.1332295555460314E-5</v>
      </c>
      <c r="D47" s="17"/>
      <c r="F47" s="3">
        <f t="shared" si="28"/>
        <v>8.1332295555460314E-5</v>
      </c>
      <c r="G47" s="3">
        <f t="shared" si="28"/>
        <v>8.1332295555460314E-5</v>
      </c>
      <c r="H47" s="3">
        <f t="shared" si="28"/>
        <v>8.1332295555460314E-5</v>
      </c>
      <c r="I47" s="3">
        <f t="shared" si="28"/>
        <v>8.1332295555460314E-5</v>
      </c>
      <c r="J47" s="3">
        <f t="shared" si="28"/>
        <v>8.1332295555460314E-5</v>
      </c>
      <c r="K47" s="3">
        <f t="shared" si="28"/>
        <v>8.1332295555460314E-5</v>
      </c>
      <c r="L47" s="3">
        <f t="shared" si="28"/>
        <v>8.1332295555460314E-5</v>
      </c>
      <c r="M47" s="3">
        <f t="shared" si="28"/>
        <v>8.1332295555460314E-5</v>
      </c>
      <c r="N47" s="3">
        <f t="shared" si="28"/>
        <v>8.1332295555460314E-5</v>
      </c>
      <c r="O47" s="3">
        <f t="shared" si="28"/>
        <v>8.1332295555460314E-5</v>
      </c>
      <c r="P47" s="3">
        <f t="shared" si="27"/>
        <v>8.1332295555460314E-5</v>
      </c>
      <c r="Q47" s="3">
        <f t="shared" si="27"/>
        <v>8.1332295555460314E-5</v>
      </c>
      <c r="R47" s="3">
        <f t="shared" si="27"/>
        <v>8.1332295555460314E-5</v>
      </c>
      <c r="S47" s="3">
        <f t="shared" si="27"/>
        <v>8.1332295555460314E-5</v>
      </c>
      <c r="T47" s="3">
        <f t="shared" si="27"/>
        <v>8.13322955554603E-5</v>
      </c>
      <c r="U47" s="3">
        <f t="shared" si="27"/>
        <v>8.1332295555460233E-5</v>
      </c>
      <c r="V47" s="3">
        <f t="shared" si="27"/>
        <v>8.1332295555459501E-5</v>
      </c>
      <c r="W47" s="3">
        <f t="shared" si="27"/>
        <v>8.1332295555452182E-5</v>
      </c>
      <c r="X47" s="3">
        <f t="shared" si="27"/>
        <v>8.1332295555378985E-5</v>
      </c>
      <c r="Y47" s="3">
        <f t="shared" si="27"/>
        <v>8.1332295554646986E-5</v>
      </c>
      <c r="Z47" s="3">
        <f t="shared" si="27"/>
        <v>8.133229554732709E-5</v>
      </c>
      <c r="AA47" s="3">
        <f t="shared" si="27"/>
        <v>8.1332295474128021E-5</v>
      </c>
      <c r="AB47" s="3">
        <f t="shared" si="27"/>
        <v>8.1332294742137367E-5</v>
      </c>
      <c r="AC47" s="3">
        <f t="shared" si="27"/>
        <v>8.1332287422231171E-5</v>
      </c>
      <c r="AD47" s="3">
        <f t="shared" si="27"/>
        <v>8.1332214223205432E-5</v>
      </c>
      <c r="AE47" s="3">
        <f t="shared" si="27"/>
        <v>8.1331482236571365E-5</v>
      </c>
      <c r="AF47" s="3">
        <f t="shared" si="29"/>
        <v>8.1324162732552689E-5</v>
      </c>
      <c r="AG47" s="3">
        <f t="shared" si="29"/>
        <v>8.1251003912500639E-5</v>
      </c>
      <c r="AH47" s="3">
        <f t="shared" si="29"/>
        <v>8.052302569312169E-5</v>
      </c>
      <c r="AI47" s="3">
        <f t="shared" si="29"/>
        <v>7.3592504313340257E-5</v>
      </c>
      <c r="AJ47" s="3">
        <f t="shared" si="29"/>
        <v>2.9920479438133323E-5</v>
      </c>
    </row>
    <row r="48" spans="1:36" x14ac:dyDescent="0.25">
      <c r="A48" s="3">
        <f t="shared" si="30"/>
        <v>1E+16</v>
      </c>
      <c r="B48" s="106">
        <v>5.7336180352697693E-4</v>
      </c>
      <c r="C48" s="18">
        <f t="shared" si="3"/>
        <v>6.4178085162845428E-4</v>
      </c>
      <c r="D48" s="17"/>
      <c r="F48" s="3">
        <f t="shared" si="28"/>
        <v>6.4178085162845428E-4</v>
      </c>
      <c r="G48" s="3">
        <f t="shared" si="28"/>
        <v>6.4178085162845428E-4</v>
      </c>
      <c r="H48" s="3">
        <f t="shared" si="28"/>
        <v>6.4178085162845428E-4</v>
      </c>
      <c r="I48" s="3">
        <f t="shared" si="28"/>
        <v>6.4178085162845428E-4</v>
      </c>
      <c r="J48" s="3">
        <f t="shared" si="28"/>
        <v>6.4178085162845428E-4</v>
      </c>
      <c r="K48" s="3">
        <f t="shared" si="28"/>
        <v>6.4178085162845428E-4</v>
      </c>
      <c r="L48" s="3">
        <f t="shared" si="28"/>
        <v>6.4178085162845428E-4</v>
      </c>
      <c r="M48" s="3">
        <f t="shared" si="28"/>
        <v>6.4178085162845428E-4</v>
      </c>
      <c r="N48" s="3">
        <f t="shared" si="28"/>
        <v>6.4178085162845428E-4</v>
      </c>
      <c r="O48" s="3">
        <f t="shared" si="28"/>
        <v>6.4178085162845428E-4</v>
      </c>
      <c r="P48" s="3">
        <f t="shared" si="27"/>
        <v>6.4178085162845428E-4</v>
      </c>
      <c r="Q48" s="3">
        <f t="shared" si="27"/>
        <v>6.4178085162845428E-4</v>
      </c>
      <c r="R48" s="3">
        <f t="shared" si="27"/>
        <v>6.4178085162845428E-4</v>
      </c>
      <c r="S48" s="3">
        <f t="shared" si="27"/>
        <v>6.4178085162845428E-4</v>
      </c>
      <c r="T48" s="3">
        <f t="shared" si="27"/>
        <v>6.4178085162845428E-4</v>
      </c>
      <c r="U48" s="3">
        <f t="shared" si="27"/>
        <v>6.4178085162845417E-4</v>
      </c>
      <c r="V48" s="3">
        <f t="shared" si="27"/>
        <v>6.4178085162845363E-4</v>
      </c>
      <c r="W48" s="3">
        <f t="shared" si="27"/>
        <v>6.4178085162844788E-4</v>
      </c>
      <c r="X48" s="3">
        <f t="shared" si="27"/>
        <v>6.4178085162839009E-4</v>
      </c>
      <c r="Y48" s="3">
        <f t="shared" si="27"/>
        <v>6.4178085162781254E-4</v>
      </c>
      <c r="Z48" s="3">
        <f t="shared" si="27"/>
        <v>6.4178085162203645E-4</v>
      </c>
      <c r="AA48" s="3">
        <f t="shared" si="27"/>
        <v>6.4178085156427623E-4</v>
      </c>
      <c r="AB48" s="3">
        <f t="shared" si="27"/>
        <v>6.4178085098667349E-4</v>
      </c>
      <c r="AC48" s="3">
        <f t="shared" si="27"/>
        <v>6.4178084521064583E-4</v>
      </c>
      <c r="AD48" s="3">
        <f t="shared" si="27"/>
        <v>6.4178078745037238E-4</v>
      </c>
      <c r="AE48" s="3">
        <f t="shared" si="27"/>
        <v>6.4178020984792354E-4</v>
      </c>
      <c r="AF48" s="3">
        <f t="shared" si="29"/>
        <v>6.4177443385202691E-4</v>
      </c>
      <c r="AG48" s="3">
        <f t="shared" si="29"/>
        <v>6.4171667675208869E-4</v>
      </c>
      <c r="AH48" s="3">
        <f t="shared" si="29"/>
        <v>6.4113939156031487E-4</v>
      </c>
      <c r="AI48" s="3">
        <f t="shared" si="29"/>
        <v>6.3539502545815064E-4</v>
      </c>
      <c r="AJ48" s="3">
        <f t="shared" si="29"/>
        <v>5.8070732873240975E-4</v>
      </c>
    </row>
    <row r="49" spans="1:36" x14ac:dyDescent="0.25">
      <c r="B49" s="16">
        <f>SUM(B17:B48)</f>
        <v>0.89339188302693839</v>
      </c>
      <c r="C49" s="18">
        <f>SUM(C17:C48)</f>
        <v>1.0000000000000002</v>
      </c>
      <c r="F49" s="3">
        <f t="shared" ref="F49:AJ49" si="31">F16-F17</f>
        <v>-0.37045872390444856</v>
      </c>
      <c r="G49" s="3">
        <f t="shared" si="31"/>
        <v>-0.2976048087093659</v>
      </c>
      <c r="H49" s="3">
        <f t="shared" si="31"/>
        <v>-0.31679159112627531</v>
      </c>
      <c r="I49" s="3">
        <f t="shared" si="31"/>
        <v>-0.1377956235610327</v>
      </c>
      <c r="J49" s="3">
        <f t="shared" si="31"/>
        <v>1.4106028187434276</v>
      </c>
      <c r="K49" s="3">
        <f t="shared" si="31"/>
        <v>-0.32618514092973783</v>
      </c>
      <c r="L49" s="3">
        <f t="shared" si="31"/>
        <v>5.6350255255892989E-2</v>
      </c>
      <c r="M49" s="3">
        <f t="shared" si="31"/>
        <v>-5.4462901628539839E-2</v>
      </c>
      <c r="N49" s="3">
        <f t="shared" si="31"/>
        <v>0.11781908859757095</v>
      </c>
      <c r="O49" s="3">
        <f t="shared" si="31"/>
        <v>-0.24080220207270031</v>
      </c>
      <c r="P49" s="3">
        <f t="shared" si="31"/>
        <v>0.41564452274360519</v>
      </c>
      <c r="Q49" s="3">
        <f t="shared" si="31"/>
        <v>-0.60086159634647629</v>
      </c>
      <c r="R49" s="3">
        <f t="shared" si="31"/>
        <v>0.7376036211499013</v>
      </c>
      <c r="S49" s="3">
        <f t="shared" si="31"/>
        <v>-0.77425448092890292</v>
      </c>
      <c r="T49" s="3">
        <f t="shared" si="31"/>
        <v>0.69301169884420233</v>
      </c>
      <c r="U49" s="3">
        <f t="shared" si="31"/>
        <v>-0.52649636661408294</v>
      </c>
      <c r="V49" s="3">
        <f t="shared" si="31"/>
        <v>0.34114949302511377</v>
      </c>
      <c r="W49" s="3">
        <f t="shared" si="31"/>
        <v>-0.19326069793623901</v>
      </c>
      <c r="X49" s="3">
        <f t="shared" si="31"/>
        <v>9.9779942333952931E-2</v>
      </c>
      <c r="Y49" s="3">
        <f t="shared" si="31"/>
        <v>-4.6285281305245007E-2</v>
      </c>
      <c r="Z49" s="3">
        <f t="shared" si="31"/>
        <v>1.6600991521386277E-2</v>
      </c>
      <c r="AA49" s="3">
        <f t="shared" si="31"/>
        <v>-2.8460527354354781E-3</v>
      </c>
      <c r="AB49" s="3">
        <f t="shared" si="31"/>
        <v>-4.9332172861795698E-3</v>
      </c>
      <c r="AC49" s="3">
        <f t="shared" si="31"/>
        <v>1.3051806962209866E-2</v>
      </c>
      <c r="AD49" s="3">
        <f t="shared" si="31"/>
        <v>-1.9538793944690269E-2</v>
      </c>
      <c r="AE49" s="3">
        <f t="shared" si="31"/>
        <v>2.3187533564694718E-2</v>
      </c>
      <c r="AF49" s="3">
        <f t="shared" si="31"/>
        <v>-9.0780373014794691E-2</v>
      </c>
      <c r="AG49" s="3">
        <f t="shared" si="31"/>
        <v>0.19064739145288456</v>
      </c>
      <c r="AH49" s="3">
        <f t="shared" si="31"/>
        <v>-0.25758866001950764</v>
      </c>
      <c r="AI49" s="3">
        <f t="shared" si="31"/>
        <v>0.16624251564567771</v>
      </c>
      <c r="AJ49" s="3">
        <f t="shared" si="31"/>
        <v>-2.0990957413602018E-2</v>
      </c>
    </row>
    <row r="50" spans="1:36" x14ac:dyDescent="0.25">
      <c r="F50" s="57">
        <f t="shared" ref="F50:AJ50" si="32">F49/F17</f>
        <v>-5.1213257120048999E-5</v>
      </c>
      <c r="G50" s="57">
        <f t="shared" si="32"/>
        <v>-4.1141770407694458E-5</v>
      </c>
      <c r="H50" s="57">
        <f t="shared" si="32"/>
        <v>-4.3794672561968406E-5</v>
      </c>
      <c r="I50" s="57">
        <f t="shared" si="32"/>
        <v>-1.9051485617390326E-5</v>
      </c>
      <c r="J50" s="57">
        <f t="shared" si="32"/>
        <v>1.9522239258122593E-4</v>
      </c>
      <c r="K50" s="57">
        <f t="shared" si="32"/>
        <v>-4.5427891002699156E-5</v>
      </c>
      <c r="L50" s="57">
        <f t="shared" si="32"/>
        <v>8.0013287925513111E-6</v>
      </c>
      <c r="M50" s="57">
        <f t="shared" si="32"/>
        <v>-7.8969226838287353E-6</v>
      </c>
      <c r="N50" s="57">
        <f t="shared" si="32"/>
        <v>1.7511250144810111E-5</v>
      </c>
      <c r="O50" s="57">
        <f t="shared" si="32"/>
        <v>-3.6915928644406959E-5</v>
      </c>
      <c r="P50" s="57">
        <f t="shared" si="32"/>
        <v>6.5731684121995827E-5</v>
      </c>
      <c r="Q50" s="57">
        <f t="shared" si="32"/>
        <v>-9.9128251527289059E-5</v>
      </c>
      <c r="R50" s="57">
        <f t="shared" si="32"/>
        <v>1.2770123806648092E-4</v>
      </c>
      <c r="S50" s="57">
        <f t="shared" si="32"/>
        <v>-1.4086211118630228E-4</v>
      </c>
      <c r="T50" s="57">
        <f t="shared" si="32"/>
        <v>1.3358214413478875E-4</v>
      </c>
      <c r="U50" s="57">
        <f t="shared" si="32"/>
        <v>-1.0862980953558552E-4</v>
      </c>
      <c r="V50" s="57">
        <f t="shared" si="32"/>
        <v>7.9204659100400813E-5</v>
      </c>
      <c r="W50" s="57">
        <f t="shared" si="32"/>
        <v>-5.6435804562793874E-5</v>
      </c>
      <c r="X50" s="57">
        <f t="shared" si="32"/>
        <v>4.060170442636272E-5</v>
      </c>
      <c r="Y50" s="57">
        <f t="shared" si="32"/>
        <v>-2.8731044288117918E-5</v>
      </c>
      <c r="Z50" s="57">
        <f t="shared" si="32"/>
        <v>1.761052335244698E-5</v>
      </c>
      <c r="AA50" s="57">
        <f t="shared" si="32"/>
        <v>-5.5769137725279026E-6</v>
      </c>
      <c r="AB50" s="57">
        <f t="shared" si="32"/>
        <v>-1.8178759474886261E-5</v>
      </c>
      <c r="AC50" s="57">
        <f t="shared" si="32"/>
        <v>8.5617383338391185E-5</v>
      </c>
      <c r="AD50" s="57">
        <f t="shared" si="32"/>
        <v>-1.7063730364105681E-4</v>
      </c>
      <c r="AE50" s="57">
        <f t="shared" si="32"/>
        <v>2.2948413444481231E-4</v>
      </c>
      <c r="AF50" s="57">
        <f t="shared" si="32"/>
        <v>-9.7455427970830966E-4</v>
      </c>
      <c r="AG50" s="57">
        <f t="shared" si="32"/>
        <v>2.0623611725017091E-3</v>
      </c>
      <c r="AH50" s="57">
        <f t="shared" si="32"/>
        <v>-2.815519131984595E-3</v>
      </c>
      <c r="AI50" s="57">
        <f t="shared" si="32"/>
        <v>1.8259645963985694E-3</v>
      </c>
      <c r="AJ50" s="57">
        <f t="shared" si="32"/>
        <v>-2.3239996005034594E-4</v>
      </c>
    </row>
    <row r="51" spans="1:36" x14ac:dyDescent="0.25">
      <c r="A51" s="13" t="s">
        <v>21</v>
      </c>
      <c r="B51" s="3">
        <f>STUTT!D8</f>
        <v>7330.9827999999998</v>
      </c>
      <c r="E51" s="11" t="s">
        <v>24</v>
      </c>
      <c r="F51" s="20">
        <f t="shared" ref="F51:AJ51" si="33">(F16-F17)^2</f>
        <v>0.13723966611691243</v>
      </c>
      <c r="G51" s="20">
        <f t="shared" si="33"/>
        <v>8.8568622166938268E-2</v>
      </c>
      <c r="H51" s="20">
        <f t="shared" si="33"/>
        <v>0.10035691220831719</v>
      </c>
      <c r="I51" s="20">
        <f t="shared" si="33"/>
        <v>1.8987633872573829E-2</v>
      </c>
      <c r="J51" s="20">
        <f t="shared" si="33"/>
        <v>1.9898003122469035</v>
      </c>
      <c r="K51" s="20">
        <f t="shared" si="33"/>
        <v>0.10639674616335293</v>
      </c>
      <c r="L51" s="20">
        <f t="shared" si="33"/>
        <v>3.1753512674042956E-3</v>
      </c>
      <c r="M51" s="20">
        <f t="shared" si="33"/>
        <v>2.9662076538000074E-3</v>
      </c>
      <c r="N51" s="20">
        <f t="shared" si="33"/>
        <v>1.3881337637962274E-2</v>
      </c>
      <c r="O51" s="20">
        <f t="shared" si="33"/>
        <v>5.7985700523061595E-2</v>
      </c>
      <c r="P51" s="20">
        <f t="shared" si="33"/>
        <v>0.17276036928675934</v>
      </c>
      <c r="Q51" s="20">
        <f t="shared" si="33"/>
        <v>0.36103465796403583</v>
      </c>
      <c r="R51" s="20">
        <f t="shared" si="33"/>
        <v>0.54405910193344709</v>
      </c>
      <c r="S51" s="20">
        <f t="shared" si="33"/>
        <v>0.59947000123848493</v>
      </c>
      <c r="T51" s="20">
        <f t="shared" si="33"/>
        <v>0.48026521473492739</v>
      </c>
      <c r="U51" s="20">
        <f t="shared" si="33"/>
        <v>0.27719842405783085</v>
      </c>
      <c r="V51" s="20">
        <f t="shared" si="33"/>
        <v>0.11638297659129215</v>
      </c>
      <c r="W51" s="20">
        <f t="shared" si="33"/>
        <v>3.7349697366802215E-2</v>
      </c>
      <c r="X51" s="20">
        <f t="shared" si="33"/>
        <v>9.9560368921669719E-3</v>
      </c>
      <c r="Y51" s="20">
        <f t="shared" si="33"/>
        <v>2.1423272655056629E-3</v>
      </c>
      <c r="Z51" s="20">
        <f t="shared" si="33"/>
        <v>2.7559291949313903E-4</v>
      </c>
      <c r="AA51" s="20">
        <f t="shared" si="33"/>
        <v>8.1000161728797676E-6</v>
      </c>
      <c r="AB51" s="20">
        <f t="shared" si="33"/>
        <v>2.4336632792660921E-5</v>
      </c>
      <c r="AC51" s="20">
        <f t="shared" si="33"/>
        <v>1.7034966497878995E-4</v>
      </c>
      <c r="AD51" s="20">
        <f t="shared" si="33"/>
        <v>3.8176446881306512E-4</v>
      </c>
      <c r="AE51" s="20">
        <f t="shared" si="33"/>
        <v>5.3766171281384412E-4</v>
      </c>
      <c r="AF51" s="20">
        <f t="shared" si="33"/>
        <v>8.2410761247052634E-3</v>
      </c>
      <c r="AG51" s="20">
        <f t="shared" si="33"/>
        <v>3.6346427867789403E-2</v>
      </c>
      <c r="AH51" s="20">
        <f t="shared" si="33"/>
        <v>6.6351917770645488E-2</v>
      </c>
      <c r="AI51" s="20">
        <f t="shared" si="33"/>
        <v>2.76365740082034E-2</v>
      </c>
      <c r="AJ51" s="20">
        <f t="shared" si="33"/>
        <v>4.4062029313965352E-4</v>
      </c>
    </row>
    <row r="52" spans="1:36" x14ac:dyDescent="0.25">
      <c r="A52" s="13"/>
    </row>
    <row r="53" spans="1:36" x14ac:dyDescent="0.25">
      <c r="E53" s="118" t="s">
        <v>25</v>
      </c>
      <c r="F53" s="118"/>
      <c r="G53" s="104">
        <f>SUM(F51:AJ51)</f>
        <v>5.2603917186680258</v>
      </c>
      <c r="I53" s="3">
        <f>G53+C123</f>
        <v>5.2603917186680258</v>
      </c>
      <c r="K53" s="3">
        <f>SUM(Z51:AJ51)</f>
        <v>0.14041442147954758</v>
      </c>
    </row>
    <row r="55" spans="1:36" x14ac:dyDescent="0.25">
      <c r="E55" s="30" t="s">
        <v>30</v>
      </c>
      <c r="F55" s="31">
        <f t="shared" ref="F55:AJ55" si="34">ABS(F17-F16)/F16</f>
        <v>5.1215880052082739E-5</v>
      </c>
      <c r="G55" s="31">
        <f t="shared" si="34"/>
        <v>4.1143463122608028E-5</v>
      </c>
      <c r="H55" s="31">
        <f t="shared" si="34"/>
        <v>4.3796590619313912E-5</v>
      </c>
      <c r="I55" s="31">
        <f t="shared" si="34"/>
        <v>1.90518485834096E-5</v>
      </c>
      <c r="J55" s="31">
        <f t="shared" si="34"/>
        <v>1.9518428823748194E-4</v>
      </c>
      <c r="K55" s="31">
        <f t="shared" si="34"/>
        <v>4.5429954789733599E-5</v>
      </c>
      <c r="L55" s="31">
        <f t="shared" si="34"/>
        <v>8.0012647718011146E-6</v>
      </c>
      <c r="M55" s="31">
        <f t="shared" si="34"/>
        <v>7.8969850457090773E-6</v>
      </c>
      <c r="N55" s="31">
        <f t="shared" si="34"/>
        <v>1.7510943506298101E-5</v>
      </c>
      <c r="O55" s="31">
        <f t="shared" si="34"/>
        <v>3.6917291480505001E-5</v>
      </c>
      <c r="P55" s="31">
        <f t="shared" si="34"/>
        <v>6.5727363751683535E-5</v>
      </c>
      <c r="Q55" s="31">
        <f t="shared" si="34"/>
        <v>9.9138078911711352E-5</v>
      </c>
      <c r="R55" s="31">
        <f t="shared" si="34"/>
        <v>1.2768493254251281E-4</v>
      </c>
      <c r="S55" s="31">
        <f t="shared" si="34"/>
        <v>1.4088195611606884E-4</v>
      </c>
      <c r="T55" s="31">
        <f t="shared" si="34"/>
        <v>1.3356430232890377E-4</v>
      </c>
      <c r="U55" s="31">
        <f t="shared" si="34"/>
        <v>1.0864161125312359E-4</v>
      </c>
      <c r="V55" s="31">
        <f t="shared" si="34"/>
        <v>7.9198386219219024E-5</v>
      </c>
      <c r="W55" s="31">
        <f t="shared" si="34"/>
        <v>5.6438989742588712E-5</v>
      </c>
      <c r="X55" s="31">
        <f t="shared" si="34"/>
        <v>4.0600055994889522E-5</v>
      </c>
      <c r="Y55" s="31">
        <f t="shared" si="34"/>
        <v>2.8731869784741182E-5</v>
      </c>
      <c r="Z55" s="31">
        <f t="shared" si="34"/>
        <v>1.7610213227375697E-5</v>
      </c>
      <c r="AA55" s="31">
        <f t="shared" si="34"/>
        <v>5.5769448746685824E-6</v>
      </c>
      <c r="AB55" s="31">
        <f t="shared" si="34"/>
        <v>1.8179089948189901E-5</v>
      </c>
      <c r="AC55" s="31">
        <f t="shared" si="34"/>
        <v>8.561005362961197E-5</v>
      </c>
      <c r="AD55" s="31">
        <f t="shared" si="34"/>
        <v>1.7066642569976028E-4</v>
      </c>
      <c r="AE55" s="31">
        <f t="shared" si="34"/>
        <v>2.2943148355939331E-4</v>
      </c>
      <c r="AF55" s="31">
        <f t="shared" si="34"/>
        <v>9.7550496224414144E-4</v>
      </c>
      <c r="AG55" s="31">
        <f t="shared" si="34"/>
        <v>2.0581165927523351E-3</v>
      </c>
      <c r="AH55" s="31">
        <f t="shared" si="34"/>
        <v>2.8234686620210742E-3</v>
      </c>
      <c r="AI55" s="31">
        <f t="shared" si="34"/>
        <v>1.8226365266288422E-3</v>
      </c>
      <c r="AJ55" s="31">
        <f t="shared" si="34"/>
        <v>2.3245398234655683E-4</v>
      </c>
    </row>
    <row r="56" spans="1:36" x14ac:dyDescent="0.25">
      <c r="E56" s="13" t="s">
        <v>31</v>
      </c>
      <c r="F56" s="32">
        <f>AVERAGE(F55:AJ55)</f>
        <v>3.1567777399310761E-4</v>
      </c>
    </row>
    <row r="57" spans="1:36" x14ac:dyDescent="0.25">
      <c r="A57" s="42"/>
      <c r="B57" s="15"/>
      <c r="C57" s="15"/>
      <c r="D57" s="15"/>
      <c r="F57" s="60">
        <f>AVERAGE(S55:X55)</f>
        <v>9.3220883609132239E-5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-21.592748433065772</v>
      </c>
    </row>
    <row r="119" spans="1:14" x14ac:dyDescent="0.25">
      <c r="L119" s="11">
        <f>L118+1</f>
        <v>2</v>
      </c>
      <c r="M119" s="11">
        <f t="shared" ref="M119:M124" si="35">INDEX($B$125:$K$126,1,L119)</f>
        <v>0</v>
      </c>
      <c r="N119" s="11">
        <f t="shared" ref="N119:N124" si="36">IF(L119=$B$3,0,INDEX($B$125:$K$126,2,L119))</f>
        <v>-17.596432358829645</v>
      </c>
    </row>
    <row r="120" spans="1:14" x14ac:dyDescent="0.25">
      <c r="L120" s="11">
        <f t="shared" ref="L120:L124" si="37">L119+1</f>
        <v>3</v>
      </c>
      <c r="M120" s="11">
        <f t="shared" si="35"/>
        <v>25</v>
      </c>
      <c r="N120" s="11">
        <f t="shared" si="36"/>
        <v>-13.968667918642728</v>
      </c>
    </row>
    <row r="121" spans="1:14" x14ac:dyDescent="0.25">
      <c r="A121" s="103">
        <f>(A165+A204+A243+A282+A321+A360+A399)*10^9</f>
        <v>2.9523725227973532E+16</v>
      </c>
      <c r="L121" s="11">
        <f t="shared" si="37"/>
        <v>4</v>
      </c>
      <c r="M121" s="11">
        <f t="shared" si="35"/>
        <v>50</v>
      </c>
      <c r="N121" s="11">
        <f t="shared" si="36"/>
        <v>-8.5553786635158335</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8"/>
      <c r="B123" s="118"/>
      <c r="C123" s="3"/>
      <c r="D123" s="3"/>
      <c r="E123" s="3"/>
      <c r="F123" s="3"/>
      <c r="G123" s="3"/>
      <c r="H123" s="3"/>
      <c r="I123" s="3"/>
      <c r="J123" s="3"/>
      <c r="K123" s="3"/>
      <c r="L123" s="11">
        <f t="shared" si="37"/>
        <v>6</v>
      </c>
      <c r="M123" s="11">
        <f t="shared" si="35"/>
        <v>125</v>
      </c>
      <c r="N123" s="11">
        <f t="shared" si="36"/>
        <v>18.564422951866018</v>
      </c>
    </row>
    <row r="124" spans="1:14" x14ac:dyDescent="0.25">
      <c r="B124" s="3"/>
      <c r="C124" s="3"/>
      <c r="D124" s="3"/>
      <c r="E124" s="3"/>
      <c r="F124" s="3"/>
      <c r="G124" s="3"/>
      <c r="H124" s="3"/>
      <c r="I124" s="3"/>
      <c r="J124" s="3"/>
      <c r="K124" s="3"/>
      <c r="L124" s="11">
        <f t="shared" si="37"/>
        <v>7</v>
      </c>
      <c r="M124" s="11">
        <f t="shared" si="35"/>
        <v>160</v>
      </c>
      <c r="N124" s="11">
        <f t="shared" si="36"/>
        <v>22.636340120272525</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-21.592748433065772</v>
      </c>
      <c r="C126" s="107">
        <v>-17.596432358829645</v>
      </c>
      <c r="D126" s="107">
        <v>-13.968667918642728</v>
      </c>
      <c r="E126" s="107">
        <v>-8.5553786635158335</v>
      </c>
      <c r="F126" s="107">
        <v>-5.3449517125918099E-6</v>
      </c>
      <c r="G126" s="107">
        <v>18.564422951866018</v>
      </c>
      <c r="H126" s="107">
        <v>22.636340120272525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7233.6498091617041</v>
      </c>
      <c r="C131" s="27">
        <f t="shared" ref="C131:AF131" si="40">($C$17+SUM(C132:C162))*$B$51</f>
        <v>7233.6498091617004</v>
      </c>
      <c r="D131" s="27">
        <f t="shared" si="40"/>
        <v>7233.6498091616695</v>
      </c>
      <c r="E131" s="27">
        <f t="shared" si="40"/>
        <v>7233.6498091613475</v>
      </c>
      <c r="F131" s="27">
        <f t="shared" si="40"/>
        <v>7233.6498091581288</v>
      </c>
      <c r="G131" s="27">
        <f t="shared" si="40"/>
        <v>7233.6498091259455</v>
      </c>
      <c r="H131" s="27">
        <f t="shared" si="40"/>
        <v>7233.6498088041226</v>
      </c>
      <c r="I131" s="27">
        <f t="shared" si="40"/>
        <v>7233.6498055858783</v>
      </c>
      <c r="J131" s="27">
        <f t="shared" si="40"/>
        <v>7233.6497734034538</v>
      </c>
      <c r="K131" s="27">
        <f t="shared" si="40"/>
        <v>7233.6494515800387</v>
      </c>
      <c r="L131" s="27">
        <f t="shared" si="40"/>
        <v>7233.6462334290682</v>
      </c>
      <c r="M131" s="27">
        <f t="shared" si="40"/>
        <v>7233.6140602358446</v>
      </c>
      <c r="N131" s="27">
        <f t="shared" si="40"/>
        <v>7233.2931578655034</v>
      </c>
      <c r="O131" s="27">
        <f t="shared" si="40"/>
        <v>7230.1650443455046</v>
      </c>
      <c r="P131" s="27">
        <f t="shared" si="40"/>
        <v>7205.2759610738085</v>
      </c>
      <c r="Q131" s="27">
        <f t="shared" si="40"/>
        <v>7108.1144242595974</v>
      </c>
      <c r="R131" s="27">
        <f t="shared" si="40"/>
        <v>6955.7386596443994</v>
      </c>
      <c r="S131" s="27">
        <f t="shared" si="40"/>
        <v>6800.7854951517784</v>
      </c>
      <c r="T131" s="27">
        <f t="shared" si="40"/>
        <v>6608.2009343501022</v>
      </c>
      <c r="U131" s="27">
        <f t="shared" si="40"/>
        <v>6397.4659223473509</v>
      </c>
      <c r="V131" s="27">
        <f t="shared" si="40"/>
        <v>6175.3791235136769</v>
      </c>
      <c r="W131" s="27">
        <f t="shared" si="40"/>
        <v>5873.0594904099444</v>
      </c>
      <c r="X131" s="27">
        <f t="shared" si="40"/>
        <v>5599.0057819025114</v>
      </c>
      <c r="Y131" s="27">
        <f t="shared" si="40"/>
        <v>5299.1536079865864</v>
      </c>
      <c r="Z131" s="27">
        <f t="shared" si="40"/>
        <v>4968.2585694334748</v>
      </c>
      <c r="AA131" s="27">
        <f t="shared" si="40"/>
        <v>4550.6509764182956</v>
      </c>
      <c r="AB131" s="27">
        <f t="shared" si="40"/>
        <v>3744.8903708203202</v>
      </c>
      <c r="AC131" s="27">
        <f t="shared" si="40"/>
        <v>2773.7213840939567</v>
      </c>
      <c r="AD131" s="27">
        <f t="shared" si="40"/>
        <v>1885.9494037106792</v>
      </c>
      <c r="AE131" s="27">
        <f t="shared" si="40"/>
        <v>1156.4543730677485</v>
      </c>
      <c r="AF131" s="27">
        <f t="shared" si="40"/>
        <v>643.21486460438211</v>
      </c>
    </row>
    <row r="132" spans="1:33" x14ac:dyDescent="0.25">
      <c r="B132" s="3">
        <f t="shared" ref="B132:Z133" si="41">$C18*EXP(-B$129/$A18/EXP(-$B$126))</f>
        <v>0</v>
      </c>
      <c r="C132" s="3">
        <f t="shared" ref="C132:AF132" si="42">$C18*EXP(-C$129/$A18/EXP(-$B$126))</f>
        <v>0</v>
      </c>
      <c r="D132" s="3">
        <f t="shared" si="42"/>
        <v>0</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3.9092004224212627E-3</v>
      </c>
      <c r="C136" s="3">
        <f t="shared" si="49"/>
        <v>3.909200422420986E-3</v>
      </c>
      <c r="D136" s="3">
        <f t="shared" si="49"/>
        <v>3.9092004224182131E-3</v>
      </c>
      <c r="E136" s="3">
        <f t="shared" si="49"/>
        <v>3.9092004223904818E-3</v>
      </c>
      <c r="F136" s="3">
        <f t="shared" si="49"/>
        <v>3.909200422113175E-3</v>
      </c>
      <c r="G136" s="3">
        <f t="shared" si="49"/>
        <v>3.9092004193401067E-3</v>
      </c>
      <c r="H136" s="3">
        <f t="shared" si="49"/>
        <v>3.9092003916094192E-3</v>
      </c>
      <c r="I136" s="3">
        <f t="shared" si="49"/>
        <v>3.9092001143025568E-3</v>
      </c>
      <c r="J136" s="3">
        <f t="shared" si="49"/>
        <v>3.9091973412350121E-3</v>
      </c>
      <c r="K136" s="3">
        <f t="shared" si="49"/>
        <v>3.9091696106677582E-3</v>
      </c>
      <c r="L136" s="3">
        <f t="shared" si="49"/>
        <v>3.9088923158141255E-3</v>
      </c>
      <c r="M136" s="3">
        <f t="shared" si="49"/>
        <v>3.9061204488845223E-3</v>
      </c>
      <c r="N136" s="3">
        <f t="shared" si="49"/>
        <v>3.8785096569128822E-3</v>
      </c>
      <c r="O136" s="3">
        <f t="shared" si="49"/>
        <v>3.6129116198778963E-3</v>
      </c>
      <c r="P136" s="3">
        <f t="shared" si="49"/>
        <v>1.7773867788127241E-3</v>
      </c>
      <c r="Q136" s="3">
        <f t="shared" si="49"/>
        <v>1.4758017465121073E-6</v>
      </c>
      <c r="R136" s="3">
        <f t="shared" si="49"/>
        <v>2.2987342488544758E-37</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2.3295496720476584E-2</v>
      </c>
      <c r="C137" s="3">
        <f t="shared" si="51"/>
        <v>2.3295496720476431E-2</v>
      </c>
      <c r="D137" s="3">
        <f t="shared" si="51"/>
        <v>2.3295496720474942E-2</v>
      </c>
      <c r="E137" s="3">
        <f t="shared" si="51"/>
        <v>2.3295496720460034E-2</v>
      </c>
      <c r="F137" s="3">
        <f t="shared" si="51"/>
        <v>2.3295496720310966E-2</v>
      </c>
      <c r="G137" s="3">
        <f t="shared" si="51"/>
        <v>2.3295496718820263E-2</v>
      </c>
      <c r="H137" s="3">
        <f t="shared" si="51"/>
        <v>2.3295496703913225E-2</v>
      </c>
      <c r="I137" s="3">
        <f t="shared" si="51"/>
        <v>2.3295496554842879E-2</v>
      </c>
      <c r="J137" s="3">
        <f t="shared" si="51"/>
        <v>2.3295495064139457E-2</v>
      </c>
      <c r="K137" s="3">
        <f t="shared" si="51"/>
        <v>2.3295480157110488E-2</v>
      </c>
      <c r="L137" s="3">
        <f t="shared" si="51"/>
        <v>2.3295331087345435E-2</v>
      </c>
      <c r="M137" s="3">
        <f t="shared" si="51"/>
        <v>2.3293840442158979E-2</v>
      </c>
      <c r="N137" s="3">
        <f t="shared" si="51"/>
        <v>2.3278939235457562E-2</v>
      </c>
      <c r="O137" s="3">
        <f t="shared" si="51"/>
        <v>2.3130450444996908E-2</v>
      </c>
      <c r="P137" s="3">
        <f t="shared" si="51"/>
        <v>2.1696672171252759E-2</v>
      </c>
      <c r="Q137" s="3">
        <f t="shared" si="51"/>
        <v>1.1441513926101368E-2</v>
      </c>
      <c r="R137" s="3">
        <f t="shared" si="51"/>
        <v>1.9027737824803173E-5</v>
      </c>
      <c r="S137" s="3">
        <f t="shared" si="51"/>
        <v>3.0791001278747324E-33</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1.9365606168399292E-2</v>
      </c>
      <c r="C138" s="3">
        <f t="shared" si="53"/>
        <v>1.9365606168399281E-2</v>
      </c>
      <c r="D138" s="3">
        <f t="shared" si="53"/>
        <v>1.936560616839917E-2</v>
      </c>
      <c r="E138" s="3">
        <f t="shared" si="53"/>
        <v>1.9365606168398053E-2</v>
      </c>
      <c r="F138" s="3">
        <f t="shared" si="53"/>
        <v>1.9365606168386874E-2</v>
      </c>
      <c r="G138" s="3">
        <f t="shared" si="53"/>
        <v>1.9365606168275085E-2</v>
      </c>
      <c r="H138" s="3">
        <f t="shared" si="53"/>
        <v>1.9365606167157202E-2</v>
      </c>
      <c r="I138" s="3">
        <f t="shared" si="53"/>
        <v>1.9365606155978356E-2</v>
      </c>
      <c r="J138" s="3">
        <f t="shared" si="53"/>
        <v>1.9365606044189895E-2</v>
      </c>
      <c r="K138" s="3">
        <f t="shared" si="53"/>
        <v>1.9365604926305326E-2</v>
      </c>
      <c r="L138" s="3">
        <f t="shared" si="53"/>
        <v>1.9365593747463185E-2</v>
      </c>
      <c r="M138" s="3">
        <f t="shared" si="53"/>
        <v>1.9365481959396701E-2</v>
      </c>
      <c r="N138" s="3">
        <f t="shared" si="53"/>
        <v>1.9364364114222637E-2</v>
      </c>
      <c r="O138" s="3">
        <f t="shared" si="53"/>
        <v>1.9353189210799589E-2</v>
      </c>
      <c r="P138" s="3">
        <f t="shared" si="53"/>
        <v>1.9241794251637315E-2</v>
      </c>
      <c r="Q138" s="3">
        <f t="shared" si="53"/>
        <v>1.8162507456171043E-2</v>
      </c>
      <c r="R138" s="3">
        <f t="shared" si="53"/>
        <v>1.0197135642856802E-2</v>
      </c>
      <c r="S138" s="3">
        <f t="shared" si="53"/>
        <v>3.1732340362491996E-5</v>
      </c>
      <c r="T138" s="3">
        <f t="shared" si="53"/>
        <v>2.7023474028078899E-30</v>
      </c>
      <c r="U138" s="3">
        <f t="shared" si="53"/>
        <v>5.4216557008779961E-281</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2.4448597422102241E-2</v>
      </c>
      <c r="C139" s="3">
        <f t="shared" si="55"/>
        <v>2.4448597422102238E-2</v>
      </c>
      <c r="D139" s="3">
        <f t="shared" si="55"/>
        <v>2.4448597422102227E-2</v>
      </c>
      <c r="E139" s="3">
        <f t="shared" si="55"/>
        <v>2.4448597422102099E-2</v>
      </c>
      <c r="F139" s="3">
        <f t="shared" si="55"/>
        <v>2.4448597422100826E-2</v>
      </c>
      <c r="G139" s="3">
        <f t="shared" si="55"/>
        <v>2.4448597422088096E-2</v>
      </c>
      <c r="H139" s="3">
        <f t="shared" si="55"/>
        <v>2.4448597421960785E-2</v>
      </c>
      <c r="I139" s="3">
        <f t="shared" si="55"/>
        <v>2.4448597420687675E-2</v>
      </c>
      <c r="J139" s="3">
        <f t="shared" si="55"/>
        <v>2.4448597407956556E-2</v>
      </c>
      <c r="K139" s="3">
        <f t="shared" si="55"/>
        <v>2.4448597280645412E-2</v>
      </c>
      <c r="L139" s="3">
        <f t="shared" si="55"/>
        <v>2.4448596007534011E-2</v>
      </c>
      <c r="M139" s="3">
        <f t="shared" si="55"/>
        <v>2.4448583276423644E-2</v>
      </c>
      <c r="N139" s="3">
        <f t="shared" si="55"/>
        <v>2.4448455965684568E-2</v>
      </c>
      <c r="O139" s="3">
        <f t="shared" si="55"/>
        <v>2.444718289475515E-2</v>
      </c>
      <c r="P139" s="3">
        <f t="shared" si="55"/>
        <v>2.4434455830889691E-2</v>
      </c>
      <c r="Q139" s="3">
        <f t="shared" si="55"/>
        <v>2.4307549033721888E-2</v>
      </c>
      <c r="R139" s="3">
        <f t="shared" si="55"/>
        <v>2.3074173854372222E-2</v>
      </c>
      <c r="S139" s="3">
        <f t="shared" si="55"/>
        <v>1.3708062029622632E-2</v>
      </c>
      <c r="T139" s="3">
        <f t="shared" si="55"/>
        <v>7.5071495105654269E-5</v>
      </c>
      <c r="U139" s="3">
        <f t="shared" si="55"/>
        <v>1.8216507132018819E-27</v>
      </c>
      <c r="V139" s="3">
        <f t="shared" si="55"/>
        <v>1.289334302783274E-253</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3.2100597383085405E-2</v>
      </c>
      <c r="C140" s="3">
        <f t="shared" si="57"/>
        <v>3.2100597383085405E-2</v>
      </c>
      <c r="D140" s="3">
        <f t="shared" si="57"/>
        <v>3.2100597383085405E-2</v>
      </c>
      <c r="E140" s="3">
        <f t="shared" si="57"/>
        <v>3.2100597383085384E-2</v>
      </c>
      <c r="F140" s="3">
        <f t="shared" si="57"/>
        <v>3.2100597383085239E-2</v>
      </c>
      <c r="G140" s="3">
        <f t="shared" si="57"/>
        <v>3.2100597383083733E-2</v>
      </c>
      <c r="H140" s="3">
        <f t="shared" si="57"/>
        <v>3.2100597383068655E-2</v>
      </c>
      <c r="I140" s="3">
        <f t="shared" si="57"/>
        <v>3.2100597382917859E-2</v>
      </c>
      <c r="J140" s="3">
        <f t="shared" si="57"/>
        <v>3.2100597381409961E-2</v>
      </c>
      <c r="K140" s="3">
        <f t="shared" si="57"/>
        <v>3.2100597366330974E-2</v>
      </c>
      <c r="L140" s="3">
        <f t="shared" si="57"/>
        <v>3.21005972155411E-2</v>
      </c>
      <c r="M140" s="3">
        <f t="shared" si="57"/>
        <v>3.2100595707642406E-2</v>
      </c>
      <c r="N140" s="3">
        <f t="shared" si="57"/>
        <v>3.2100580628659364E-2</v>
      </c>
      <c r="O140" s="3">
        <f t="shared" si="57"/>
        <v>3.2100429839218507E-2</v>
      </c>
      <c r="P140" s="3">
        <f t="shared" si="57"/>
        <v>3.2098921983766966E-2</v>
      </c>
      <c r="Q140" s="3">
        <f t="shared" si="57"/>
        <v>3.2083847324274828E-2</v>
      </c>
      <c r="R140" s="3">
        <f t="shared" si="57"/>
        <v>3.1933489555564402E-2</v>
      </c>
      <c r="S140" s="3">
        <f t="shared" si="57"/>
        <v>3.0468127099770474E-2</v>
      </c>
      <c r="T140" s="3">
        <f t="shared" si="57"/>
        <v>1.9047568975441492E-2</v>
      </c>
      <c r="U140" s="3">
        <f t="shared" si="57"/>
        <v>1.7369108097768556E-4</v>
      </c>
      <c r="V140" s="3">
        <f t="shared" si="57"/>
        <v>6.9048961180713206E-25</v>
      </c>
      <c r="W140" s="3">
        <f t="shared" si="57"/>
        <v>6.8069641015243923E-229</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2.4137735607646905E-2</v>
      </c>
      <c r="C141" s="3">
        <f t="shared" si="59"/>
        <v>2.4137735607646905E-2</v>
      </c>
      <c r="D141" s="3">
        <f t="shared" si="59"/>
        <v>2.4137735607646905E-2</v>
      </c>
      <c r="E141" s="3">
        <f t="shared" si="59"/>
        <v>2.4137735607646905E-2</v>
      </c>
      <c r="F141" s="3">
        <f t="shared" si="59"/>
        <v>2.4137735607646895E-2</v>
      </c>
      <c r="G141" s="3">
        <f t="shared" si="59"/>
        <v>2.4137735607646794E-2</v>
      </c>
      <c r="H141" s="3">
        <f t="shared" si="59"/>
        <v>2.4137735607645767E-2</v>
      </c>
      <c r="I141" s="3">
        <f t="shared" si="59"/>
        <v>2.413773560763554E-2</v>
      </c>
      <c r="J141" s="3">
        <f t="shared" si="59"/>
        <v>2.413773560753326E-2</v>
      </c>
      <c r="K141" s="3">
        <f t="shared" si="59"/>
        <v>2.4137735606510433E-2</v>
      </c>
      <c r="L141" s="3">
        <f t="shared" si="59"/>
        <v>2.413773559628216E-2</v>
      </c>
      <c r="M141" s="3">
        <f t="shared" si="59"/>
        <v>2.4137735493999463E-2</v>
      </c>
      <c r="N141" s="3">
        <f t="shared" si="59"/>
        <v>2.4137734471172498E-2</v>
      </c>
      <c r="O141" s="3">
        <f t="shared" si="59"/>
        <v>2.413772424290524E-2</v>
      </c>
      <c r="P141" s="3">
        <f t="shared" si="59"/>
        <v>2.4137621960471041E-2</v>
      </c>
      <c r="Q141" s="3">
        <f t="shared" si="59"/>
        <v>2.4136599159966673E-2</v>
      </c>
      <c r="R141" s="3">
        <f t="shared" si="59"/>
        <v>2.412637353831168E-2</v>
      </c>
      <c r="S141" s="3">
        <f t="shared" si="59"/>
        <v>2.4024355287368789E-2</v>
      </c>
      <c r="T141" s="3">
        <f t="shared" si="59"/>
        <v>2.3027600432953849E-2</v>
      </c>
      <c r="U141" s="3">
        <f t="shared" si="59"/>
        <v>1.5073639264118456E-2</v>
      </c>
      <c r="V141" s="3">
        <f t="shared" si="59"/>
        <v>2.1772707772369017E-4</v>
      </c>
      <c r="W141" s="3">
        <f t="shared" si="59"/>
        <v>8.6070772878131553E-23</v>
      </c>
      <c r="X141" s="3">
        <f t="shared" si="59"/>
        <v>8.0221041136636836E-207</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4.5517611487633891E-2</v>
      </c>
      <c r="C142" s="3">
        <f t="shared" si="61"/>
        <v>4.5517611487633891E-2</v>
      </c>
      <c r="D142" s="3">
        <f t="shared" si="61"/>
        <v>4.5517611487633891E-2</v>
      </c>
      <c r="E142" s="3">
        <f t="shared" si="61"/>
        <v>4.5517611487633891E-2</v>
      </c>
      <c r="F142" s="3">
        <f t="shared" si="61"/>
        <v>4.5517611487633891E-2</v>
      </c>
      <c r="G142" s="3">
        <f t="shared" si="61"/>
        <v>4.551761148763387E-2</v>
      </c>
      <c r="H142" s="3">
        <f t="shared" si="61"/>
        <v>4.5517611487633697E-2</v>
      </c>
      <c r="I142" s="3">
        <f t="shared" si="61"/>
        <v>4.5517611487631955E-2</v>
      </c>
      <c r="J142" s="3">
        <f t="shared" si="61"/>
        <v>4.5517611487614559E-2</v>
      </c>
      <c r="K142" s="3">
        <f t="shared" si="61"/>
        <v>4.5517611487440567E-2</v>
      </c>
      <c r="L142" s="3">
        <f t="shared" si="61"/>
        <v>4.5517611485700639E-2</v>
      </c>
      <c r="M142" s="3">
        <f t="shared" si="61"/>
        <v>4.5517611468301335E-2</v>
      </c>
      <c r="N142" s="3">
        <f t="shared" si="61"/>
        <v>4.5517611294308369E-2</v>
      </c>
      <c r="O142" s="3">
        <f t="shared" si="61"/>
        <v>4.5517609554378675E-2</v>
      </c>
      <c r="P142" s="3">
        <f t="shared" si="61"/>
        <v>4.5517592155085419E-2</v>
      </c>
      <c r="Q142" s="3">
        <f t="shared" si="61"/>
        <v>4.5517418162518676E-2</v>
      </c>
      <c r="R142" s="3">
        <f t="shared" si="61"/>
        <v>4.5515678273430921E-2</v>
      </c>
      <c r="S142" s="3">
        <f t="shared" si="61"/>
        <v>4.5498283040003334E-2</v>
      </c>
      <c r="T142" s="3">
        <f t="shared" si="61"/>
        <v>4.5324695933967235E-2</v>
      </c>
      <c r="U142" s="3">
        <f t="shared" si="61"/>
        <v>4.3624836379623819E-2</v>
      </c>
      <c r="V142" s="3">
        <f t="shared" si="61"/>
        <v>2.9766168057756521E-2</v>
      </c>
      <c r="W142" s="3">
        <f t="shared" si="61"/>
        <v>6.5104965442121438E-4</v>
      </c>
      <c r="X142" s="3">
        <f t="shared" si="61"/>
        <v>1.6312703616422551E-20</v>
      </c>
      <c r="Y142" s="3">
        <f t="shared" si="61"/>
        <v>1.5909051019828702E-186</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3.7438549850033177E-2</v>
      </c>
      <c r="C143" s="3">
        <f t="shared" si="63"/>
        <v>3.7438549850033177E-2</v>
      </c>
      <c r="D143" s="3">
        <f t="shared" si="63"/>
        <v>3.7438549850033177E-2</v>
      </c>
      <c r="E143" s="3">
        <f t="shared" si="63"/>
        <v>3.7438549850033177E-2</v>
      </c>
      <c r="F143" s="3">
        <f t="shared" si="63"/>
        <v>3.7438549850033177E-2</v>
      </c>
      <c r="G143" s="3">
        <f t="shared" si="63"/>
        <v>3.7438549850033177E-2</v>
      </c>
      <c r="H143" s="3">
        <f t="shared" si="63"/>
        <v>3.7438549850033163E-2</v>
      </c>
      <c r="I143" s="3">
        <f t="shared" si="63"/>
        <v>3.7438549850033032E-2</v>
      </c>
      <c r="J143" s="3">
        <f t="shared" si="63"/>
        <v>3.7438549850031741E-2</v>
      </c>
      <c r="K143" s="3">
        <f t="shared" si="63"/>
        <v>3.7438549850018835E-2</v>
      </c>
      <c r="L143" s="3">
        <f t="shared" si="63"/>
        <v>3.7438549849889736E-2</v>
      </c>
      <c r="M143" s="3">
        <f t="shared" si="63"/>
        <v>3.7438549848598762E-2</v>
      </c>
      <c r="N143" s="3">
        <f t="shared" si="63"/>
        <v>3.7438549835689013E-2</v>
      </c>
      <c r="O143" s="3">
        <f t="shared" si="63"/>
        <v>3.7438549706591502E-2</v>
      </c>
      <c r="P143" s="3">
        <f t="shared" si="63"/>
        <v>3.7438548415616467E-2</v>
      </c>
      <c r="Q143" s="3">
        <f t="shared" si="63"/>
        <v>3.7438535505868537E-2</v>
      </c>
      <c r="R143" s="3">
        <f t="shared" si="63"/>
        <v>3.7438406408634058E-2</v>
      </c>
      <c r="S143" s="3">
        <f t="shared" si="63"/>
        <v>3.7437115460772767E-2</v>
      </c>
      <c r="T143" s="3">
        <f t="shared" si="63"/>
        <v>3.7424208430195928E-2</v>
      </c>
      <c r="U143" s="3">
        <f t="shared" si="63"/>
        <v>3.7295382615990275E-2</v>
      </c>
      <c r="V143" s="3">
        <f t="shared" si="63"/>
        <v>3.6031264551225593E-2</v>
      </c>
      <c r="W143" s="3">
        <f t="shared" si="63"/>
        <v>2.5522539129636413E-2</v>
      </c>
      <c r="X143" s="3">
        <f t="shared" si="63"/>
        <v>8.1164780388929972E-4</v>
      </c>
      <c r="Y143" s="3">
        <f t="shared" si="63"/>
        <v>8.5862793454232101E-19</v>
      </c>
      <c r="Z143" s="3">
        <f t="shared" si="63"/>
        <v>1.5072280624699663E-168</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4.1083418704934697E-2</v>
      </c>
      <c r="C144" s="3">
        <f t="shared" si="65"/>
        <v>4.1083418704934697E-2</v>
      </c>
      <c r="D144" s="3">
        <f t="shared" si="65"/>
        <v>4.1083418704934697E-2</v>
      </c>
      <c r="E144" s="3">
        <f t="shared" si="65"/>
        <v>4.1083418704934697E-2</v>
      </c>
      <c r="F144" s="3">
        <f t="shared" si="65"/>
        <v>4.1083418704934697E-2</v>
      </c>
      <c r="G144" s="3">
        <f t="shared" si="65"/>
        <v>4.1083418704934697E-2</v>
      </c>
      <c r="H144" s="3">
        <f t="shared" si="65"/>
        <v>4.1083418704934697E-2</v>
      </c>
      <c r="I144" s="3">
        <f t="shared" si="65"/>
        <v>4.1083418704934684E-2</v>
      </c>
      <c r="J144" s="3">
        <f t="shared" si="65"/>
        <v>4.1083418704934559E-2</v>
      </c>
      <c r="K144" s="3">
        <f t="shared" si="65"/>
        <v>4.1083418704933282E-2</v>
      </c>
      <c r="L144" s="3">
        <f t="shared" si="65"/>
        <v>4.10834187049205E-2</v>
      </c>
      <c r="M144" s="3">
        <f t="shared" si="65"/>
        <v>4.1083418704792707E-2</v>
      </c>
      <c r="N144" s="3">
        <f t="shared" si="65"/>
        <v>4.1083418703514757E-2</v>
      </c>
      <c r="O144" s="3">
        <f t="shared" si="65"/>
        <v>4.1083418690735313E-2</v>
      </c>
      <c r="P144" s="3">
        <f t="shared" si="65"/>
        <v>4.1083418562940864E-2</v>
      </c>
      <c r="Q144" s="3">
        <f t="shared" si="65"/>
        <v>4.1083417284996357E-2</v>
      </c>
      <c r="R144" s="3">
        <f t="shared" si="65"/>
        <v>4.108340450555352E-2</v>
      </c>
      <c r="S144" s="3">
        <f t="shared" si="65"/>
        <v>4.1083276711343757E-2</v>
      </c>
      <c r="T144" s="3">
        <f t="shared" si="65"/>
        <v>4.1081998791109423E-2</v>
      </c>
      <c r="U144" s="3">
        <f t="shared" si="65"/>
        <v>4.1069221774838641E-2</v>
      </c>
      <c r="V144" s="3">
        <f t="shared" si="65"/>
        <v>4.0941669967999875E-2</v>
      </c>
      <c r="W144" s="3">
        <f t="shared" si="65"/>
        <v>3.9687738252538261E-2</v>
      </c>
      <c r="X144" s="3">
        <f t="shared" si="65"/>
        <v>2.9077985565896629E-2</v>
      </c>
      <c r="Y144" s="3">
        <f t="shared" si="65"/>
        <v>1.2961163378972806E-3</v>
      </c>
      <c r="Z144" s="3">
        <f t="shared" si="65"/>
        <v>4.0127367487605384E-17</v>
      </c>
      <c r="AA144" s="3">
        <f t="shared" ref="AA144" si="66">$C30*EXP(-AA$129/$A30/EXP(-$B$126))</f>
        <v>3.2464409753713391E-152</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4.6249511553516282E-2</v>
      </c>
      <c r="C145" s="3">
        <f t="shared" si="68"/>
        <v>4.6249511553516282E-2</v>
      </c>
      <c r="D145" s="3">
        <f t="shared" si="68"/>
        <v>4.6249511553516282E-2</v>
      </c>
      <c r="E145" s="3">
        <f t="shared" si="68"/>
        <v>4.6249511553516282E-2</v>
      </c>
      <c r="F145" s="3">
        <f t="shared" si="68"/>
        <v>4.6249511553516282E-2</v>
      </c>
      <c r="G145" s="3">
        <f t="shared" si="68"/>
        <v>4.6249511553516282E-2</v>
      </c>
      <c r="H145" s="3">
        <f t="shared" si="68"/>
        <v>4.6249511553516282E-2</v>
      </c>
      <c r="I145" s="3">
        <f t="shared" si="68"/>
        <v>4.6249511553516282E-2</v>
      </c>
      <c r="J145" s="3">
        <f t="shared" si="68"/>
        <v>4.6249511553516268E-2</v>
      </c>
      <c r="K145" s="3">
        <f t="shared" si="68"/>
        <v>4.6249511553516136E-2</v>
      </c>
      <c r="L145" s="3">
        <f t="shared" si="68"/>
        <v>4.6249511553514838E-2</v>
      </c>
      <c r="M145" s="3">
        <f t="shared" si="68"/>
        <v>4.6249511553501862E-2</v>
      </c>
      <c r="N145" s="3">
        <f t="shared" si="68"/>
        <v>4.6249511553372084E-2</v>
      </c>
      <c r="O145" s="3">
        <f t="shared" si="68"/>
        <v>4.624951155207431E-2</v>
      </c>
      <c r="P145" s="3">
        <f t="shared" si="68"/>
        <v>4.6249511539096566E-2</v>
      </c>
      <c r="Q145" s="3">
        <f t="shared" si="68"/>
        <v>4.6249511409319134E-2</v>
      </c>
      <c r="R145" s="3">
        <f t="shared" si="68"/>
        <v>4.6249510111544864E-2</v>
      </c>
      <c r="S145" s="3">
        <f t="shared" si="68"/>
        <v>4.6249497133804135E-2</v>
      </c>
      <c r="T145" s="3">
        <f t="shared" si="68"/>
        <v>4.6249367356597119E-2</v>
      </c>
      <c r="U145" s="3">
        <f t="shared" si="68"/>
        <v>4.6248069604555492E-2</v>
      </c>
      <c r="V145" s="3">
        <f t="shared" si="68"/>
        <v>4.6235094086783342E-2</v>
      </c>
      <c r="W145" s="3">
        <f t="shared" si="68"/>
        <v>4.610553896570764E-2</v>
      </c>
      <c r="X145" s="3">
        <f t="shared" si="68"/>
        <v>4.4829787264402017E-2</v>
      </c>
      <c r="Y145" s="3">
        <f t="shared" si="68"/>
        <v>3.3861206281615194E-2</v>
      </c>
      <c r="Z145" s="3">
        <f t="shared" si="68"/>
        <v>2.0467269148299059E-3</v>
      </c>
      <c r="AA145" s="3">
        <f t="shared" ref="AA145" si="69">$C31*EXP(-AA$129/$A31/EXP(-$B$126))</f>
        <v>1.3324000869024437E-15</v>
      </c>
      <c r="AB145" s="3">
        <f t="shared" si="67"/>
        <v>1.8213028587411985E-137</v>
      </c>
      <c r="AC145" s="3">
        <f t="shared" si="67"/>
        <v>0</v>
      </c>
      <c r="AD145" s="3">
        <f t="shared" si="67"/>
        <v>0</v>
      </c>
      <c r="AE145" s="3">
        <f t="shared" si="67"/>
        <v>0</v>
      </c>
      <c r="AF145" s="3">
        <f t="shared" si="67"/>
        <v>0</v>
      </c>
    </row>
    <row r="146" spans="1:32" x14ac:dyDescent="0.25">
      <c r="B146" s="3">
        <f t="shared" ref="B146:Z146" si="70">$C32*EXP(-B$129/$A32/EXP(-$B$126))</f>
        <v>4.2148935673183355E-2</v>
      </c>
      <c r="C146" s="3">
        <f t="shared" si="70"/>
        <v>4.2148935673183355E-2</v>
      </c>
      <c r="D146" s="3">
        <f t="shared" si="70"/>
        <v>4.2148935673183355E-2</v>
      </c>
      <c r="E146" s="3">
        <f t="shared" si="70"/>
        <v>4.2148935673183355E-2</v>
      </c>
      <c r="F146" s="3">
        <f t="shared" si="70"/>
        <v>4.2148935673183355E-2</v>
      </c>
      <c r="G146" s="3">
        <f t="shared" si="70"/>
        <v>4.2148935673183355E-2</v>
      </c>
      <c r="H146" s="3">
        <f t="shared" si="70"/>
        <v>4.2148935673183355E-2</v>
      </c>
      <c r="I146" s="3">
        <f t="shared" si="70"/>
        <v>4.2148935673183355E-2</v>
      </c>
      <c r="J146" s="3">
        <f t="shared" si="70"/>
        <v>4.2148935673183355E-2</v>
      </c>
      <c r="K146" s="3">
        <f t="shared" si="70"/>
        <v>4.2148935673183341E-2</v>
      </c>
      <c r="L146" s="3">
        <f t="shared" si="70"/>
        <v>4.2148935673183237E-2</v>
      </c>
      <c r="M146" s="3">
        <f t="shared" si="70"/>
        <v>4.2148935673182168E-2</v>
      </c>
      <c r="N146" s="3">
        <f t="shared" si="70"/>
        <v>4.2148935673171503E-2</v>
      </c>
      <c r="O146" s="3">
        <f t="shared" si="70"/>
        <v>4.2148935673064811E-2</v>
      </c>
      <c r="P146" s="3">
        <f t="shared" si="70"/>
        <v>4.2148935671997907E-2</v>
      </c>
      <c r="Q146" s="3">
        <f t="shared" si="70"/>
        <v>4.2148935661328865E-2</v>
      </c>
      <c r="R146" s="3">
        <f t="shared" si="70"/>
        <v>4.21489355546385E-2</v>
      </c>
      <c r="S146" s="3">
        <f t="shared" si="70"/>
        <v>4.2148934487734817E-2</v>
      </c>
      <c r="T146" s="3">
        <f t="shared" si="70"/>
        <v>4.2148923818699474E-2</v>
      </c>
      <c r="U146" s="3">
        <f t="shared" si="70"/>
        <v>4.2148817128494581E-2</v>
      </c>
      <c r="V146" s="3">
        <f t="shared" si="70"/>
        <v>4.2147750241298916E-2</v>
      </c>
      <c r="W146" s="3">
        <f t="shared" si="70"/>
        <v>4.2137082854529911E-2</v>
      </c>
      <c r="X146" s="3">
        <f t="shared" si="70"/>
        <v>4.2030557366599559E-2</v>
      </c>
      <c r="Y146" s="3">
        <f t="shared" si="70"/>
        <v>4.0980002431113563E-2</v>
      </c>
      <c r="Z146" s="3">
        <f t="shared" si="70"/>
        <v>3.1815612314207216E-2</v>
      </c>
      <c r="AA146" s="3">
        <f t="shared" ref="AA146" si="71">$C32*EXP(-AA$129/$A32/EXP(-$B$126))</f>
        <v>2.5311818475438198E-3</v>
      </c>
      <c r="AB146" s="3">
        <f t="shared" si="67"/>
        <v>2.5713071672730143E-14</v>
      </c>
      <c r="AC146" s="3">
        <f t="shared" si="67"/>
        <v>3.0092626264833863E-124</v>
      </c>
      <c r="AD146" s="3">
        <f t="shared" si="67"/>
        <v>0</v>
      </c>
      <c r="AE146" s="3">
        <f t="shared" si="67"/>
        <v>0</v>
      </c>
      <c r="AF146" s="3">
        <f t="shared" si="67"/>
        <v>0</v>
      </c>
    </row>
    <row r="147" spans="1:32" x14ac:dyDescent="0.25">
      <c r="B147" s="3">
        <f t="shared" ref="B147:Z147" si="72">$C33*EXP(-B$129/$A33/EXP(-$B$126))</f>
        <v>0.11274262500279238</v>
      </c>
      <c r="C147" s="3">
        <f t="shared" si="72"/>
        <v>0.11274262500279238</v>
      </c>
      <c r="D147" s="3">
        <f t="shared" si="72"/>
        <v>0.11274262500279238</v>
      </c>
      <c r="E147" s="3">
        <f t="shared" si="72"/>
        <v>0.11274262500279238</v>
      </c>
      <c r="F147" s="3">
        <f t="shared" si="72"/>
        <v>0.11274262500279238</v>
      </c>
      <c r="G147" s="3">
        <f t="shared" si="72"/>
        <v>0.11274262500279238</v>
      </c>
      <c r="H147" s="3">
        <f t="shared" si="72"/>
        <v>0.11274262500279238</v>
      </c>
      <c r="I147" s="3">
        <f t="shared" si="72"/>
        <v>0.11274262500279238</v>
      </c>
      <c r="J147" s="3">
        <f t="shared" si="72"/>
        <v>0.11274262500279238</v>
      </c>
      <c r="K147" s="3">
        <f t="shared" si="72"/>
        <v>0.11274262500279238</v>
      </c>
      <c r="L147" s="3">
        <f t="shared" si="72"/>
        <v>0.11274262500279235</v>
      </c>
      <c r="M147" s="3">
        <f t="shared" si="72"/>
        <v>0.11274262500279209</v>
      </c>
      <c r="N147" s="3">
        <f t="shared" si="72"/>
        <v>0.1127426250027895</v>
      </c>
      <c r="O147" s="3">
        <f t="shared" si="72"/>
        <v>0.11274262500276377</v>
      </c>
      <c r="P147" s="3">
        <f t="shared" si="72"/>
        <v>0.11274262500250634</v>
      </c>
      <c r="Q147" s="3">
        <f t="shared" si="72"/>
        <v>0.11274262499993196</v>
      </c>
      <c r="R147" s="3">
        <f t="shared" si="72"/>
        <v>0.11274262497418812</v>
      </c>
      <c r="S147" s="3">
        <f t="shared" si="72"/>
        <v>0.1127426247167497</v>
      </c>
      <c r="T147" s="3">
        <f t="shared" si="72"/>
        <v>0.11274262214236566</v>
      </c>
      <c r="U147" s="3">
        <f t="shared" si="72"/>
        <v>0.11274259639852841</v>
      </c>
      <c r="V147" s="3">
        <f t="shared" si="72"/>
        <v>0.11274233896047924</v>
      </c>
      <c r="W147" s="3">
        <f t="shared" si="72"/>
        <v>0.1127397646123184</v>
      </c>
      <c r="X147" s="3">
        <f t="shared" si="72"/>
        <v>0.11271402436352221</v>
      </c>
      <c r="Y147" s="3">
        <f t="shared" si="72"/>
        <v>0.11245694488380782</v>
      </c>
      <c r="Z147" s="3">
        <f t="shared" si="72"/>
        <v>0.10991817967212347</v>
      </c>
      <c r="AA147" s="3">
        <f t="shared" ref="AA147" si="73">$C33*EXP(-AA$129/$A33/EXP(-$B$126))</f>
        <v>8.7478634286055484E-2</v>
      </c>
      <c r="AB147" s="3">
        <f t="shared" si="67"/>
        <v>8.9171620930830441E-3</v>
      </c>
      <c r="AC147" s="3">
        <f t="shared" si="67"/>
        <v>1.0801232900165721E-12</v>
      </c>
      <c r="AD147" s="3">
        <f t="shared" si="67"/>
        <v>7.3441244038966759E-112</v>
      </c>
      <c r="AE147" s="3">
        <f t="shared" si="67"/>
        <v>0</v>
      </c>
      <c r="AF147" s="3">
        <f t="shared" si="67"/>
        <v>0</v>
      </c>
    </row>
    <row r="148" spans="1:32" x14ac:dyDescent="0.25">
      <c r="B148" s="3">
        <f t="shared" ref="B148:Z148" si="74">$C34*EXP(-B$129/$A34/EXP(-$B$126))</f>
        <v>0.14424606622338945</v>
      </c>
      <c r="C148" s="3">
        <f t="shared" si="74"/>
        <v>0.14424606622338945</v>
      </c>
      <c r="D148" s="3">
        <f t="shared" si="74"/>
        <v>0.14424606622338945</v>
      </c>
      <c r="E148" s="3">
        <f t="shared" si="74"/>
        <v>0.14424606622338945</v>
      </c>
      <c r="F148" s="3">
        <f t="shared" si="74"/>
        <v>0.14424606622338945</v>
      </c>
      <c r="G148" s="3">
        <f t="shared" si="74"/>
        <v>0.14424606622338945</v>
      </c>
      <c r="H148" s="3">
        <f t="shared" si="74"/>
        <v>0.14424606622338945</v>
      </c>
      <c r="I148" s="3">
        <f t="shared" si="74"/>
        <v>0.14424606622338945</v>
      </c>
      <c r="J148" s="3">
        <f t="shared" si="74"/>
        <v>0.14424606622338945</v>
      </c>
      <c r="K148" s="3">
        <f t="shared" si="74"/>
        <v>0.14424606622338945</v>
      </c>
      <c r="L148" s="3">
        <f t="shared" si="74"/>
        <v>0.14424606622338945</v>
      </c>
      <c r="M148" s="3">
        <f t="shared" si="74"/>
        <v>0.14424606622338942</v>
      </c>
      <c r="N148" s="3">
        <f t="shared" si="74"/>
        <v>0.14424606622338912</v>
      </c>
      <c r="O148" s="3">
        <f t="shared" si="74"/>
        <v>0.14424606622338615</v>
      </c>
      <c r="P148" s="3">
        <f t="shared" si="74"/>
        <v>0.14424606622335645</v>
      </c>
      <c r="Q148" s="3">
        <f t="shared" si="74"/>
        <v>0.1442460662230593</v>
      </c>
      <c r="R148" s="3">
        <f t="shared" si="74"/>
        <v>0.14424606622008809</v>
      </c>
      <c r="S148" s="3">
        <f t="shared" si="74"/>
        <v>0.1442460661903758</v>
      </c>
      <c r="T148" s="3">
        <f t="shared" si="74"/>
        <v>0.14424606589325317</v>
      </c>
      <c r="U148" s="3">
        <f t="shared" si="74"/>
        <v>0.14424606292202666</v>
      </c>
      <c r="V148" s="3">
        <f t="shared" si="74"/>
        <v>0.14424603320976478</v>
      </c>
      <c r="W148" s="3">
        <f t="shared" si="74"/>
        <v>0.14424573608748281</v>
      </c>
      <c r="X148" s="3">
        <f t="shared" si="74"/>
        <v>0.14424276489832416</v>
      </c>
      <c r="Y148" s="3">
        <f t="shared" si="74"/>
        <v>0.14421305637257753</v>
      </c>
      <c r="Z148" s="3">
        <f t="shared" si="74"/>
        <v>0.14391630744273293</v>
      </c>
      <c r="AA148" s="3">
        <f>$C34*EXP(-AA$129/$A34/EXP(-$B$126))</f>
        <v>0.14098219598463196</v>
      </c>
      <c r="AB148" s="3">
        <f t="shared" si="67"/>
        <v>0.11473790240495482</v>
      </c>
      <c r="AC148" s="3">
        <f t="shared" si="67"/>
        <v>1.4626258884257989E-2</v>
      </c>
      <c r="AD148" s="3">
        <f t="shared" si="67"/>
        <v>1.657283313209627E-11</v>
      </c>
      <c r="AE148" s="3">
        <f t="shared" si="67"/>
        <v>5.7813834083265498E-101</v>
      </c>
      <c r="AF148" s="3">
        <f t="shared" si="67"/>
        <v>0</v>
      </c>
    </row>
    <row r="149" spans="1:32" x14ac:dyDescent="0.25">
      <c r="B149" s="3">
        <f t="shared" ref="B149:Z149" si="75">$C35*EXP(-B$129/$A35/EXP(-$B$126))</f>
        <v>0.12974045708141974</v>
      </c>
      <c r="C149" s="3">
        <f t="shared" si="75"/>
        <v>0.12974045708141974</v>
      </c>
      <c r="D149" s="3">
        <f t="shared" si="75"/>
        <v>0.12974045708141974</v>
      </c>
      <c r="E149" s="3">
        <f t="shared" si="75"/>
        <v>0.12974045708141974</v>
      </c>
      <c r="F149" s="3">
        <f t="shared" si="75"/>
        <v>0.12974045708141974</v>
      </c>
      <c r="G149" s="3">
        <f t="shared" si="75"/>
        <v>0.12974045708141974</v>
      </c>
      <c r="H149" s="3">
        <f t="shared" si="75"/>
        <v>0.12974045708141974</v>
      </c>
      <c r="I149" s="3">
        <f t="shared" si="75"/>
        <v>0.12974045708141974</v>
      </c>
      <c r="J149" s="3">
        <f t="shared" si="75"/>
        <v>0.12974045708141974</v>
      </c>
      <c r="K149" s="3">
        <f t="shared" si="75"/>
        <v>0.12974045708141974</v>
      </c>
      <c r="L149" s="3">
        <f t="shared" si="75"/>
        <v>0.12974045708141974</v>
      </c>
      <c r="M149" s="3">
        <f t="shared" si="75"/>
        <v>0.12974045708141974</v>
      </c>
      <c r="N149" s="3">
        <f t="shared" si="75"/>
        <v>0.12974045708141971</v>
      </c>
      <c r="O149" s="3">
        <f t="shared" si="75"/>
        <v>0.12974045708141946</v>
      </c>
      <c r="P149" s="3">
        <f t="shared" si="75"/>
        <v>0.12974045708141704</v>
      </c>
      <c r="Q149" s="3">
        <f t="shared" si="75"/>
        <v>0.12974045708139295</v>
      </c>
      <c r="R149" s="3">
        <f t="shared" si="75"/>
        <v>0.12974045708115187</v>
      </c>
      <c r="S149" s="3">
        <f t="shared" si="75"/>
        <v>0.1297404570787411</v>
      </c>
      <c r="T149" s="3">
        <f t="shared" si="75"/>
        <v>0.12974045705463352</v>
      </c>
      <c r="U149" s="3">
        <f t="shared" si="75"/>
        <v>0.12974045681355761</v>
      </c>
      <c r="V149" s="3">
        <f t="shared" si="75"/>
        <v>0.12974045440279861</v>
      </c>
      <c r="W149" s="3">
        <f t="shared" si="75"/>
        <v>0.1297404302952109</v>
      </c>
      <c r="X149" s="3">
        <f t="shared" si="75"/>
        <v>0.12974018921958011</v>
      </c>
      <c r="Y149" s="3">
        <f t="shared" si="75"/>
        <v>0.12973777848790963</v>
      </c>
      <c r="Z149" s="3">
        <f t="shared" si="75"/>
        <v>0.1297136736347565</v>
      </c>
      <c r="AA149" s="3">
        <f t="shared" ref="AA149" si="76">$C35*EXP(-AA$129/$A35/EXP(-$B$126))</f>
        <v>0.12947287128911836</v>
      </c>
      <c r="AB149" s="3">
        <f t="shared" si="67"/>
        <v>0.12708929800432769</v>
      </c>
      <c r="AC149" s="3">
        <f t="shared" si="67"/>
        <v>0.1055385189867777</v>
      </c>
      <c r="AD149" s="3">
        <f t="shared" si="67"/>
        <v>1.6460049689925576E-2</v>
      </c>
      <c r="AE149" s="3">
        <f t="shared" si="67"/>
        <v>1.4016274898090269E-10</v>
      </c>
      <c r="AF149" s="3">
        <f t="shared" si="67"/>
        <v>2.809617851180151E-91</v>
      </c>
    </row>
    <row r="150" spans="1:32" x14ac:dyDescent="0.25">
      <c r="B150" s="3">
        <f t="shared" ref="B150:Z150" si="77">$C36*EXP(-B$129/$A36/EXP(-$B$126))</f>
        <v>0.10714973449748261</v>
      </c>
      <c r="C150" s="3">
        <f t="shared" si="77"/>
        <v>0.10714973449748261</v>
      </c>
      <c r="D150" s="3">
        <f t="shared" si="77"/>
        <v>0.10714973449748261</v>
      </c>
      <c r="E150" s="3">
        <f t="shared" si="77"/>
        <v>0.10714973449748261</v>
      </c>
      <c r="F150" s="3">
        <f t="shared" si="77"/>
        <v>0.10714973449748261</v>
      </c>
      <c r="G150" s="3">
        <f t="shared" si="77"/>
        <v>0.10714973449748261</v>
      </c>
      <c r="H150" s="3">
        <f t="shared" si="77"/>
        <v>0.10714973449748261</v>
      </c>
      <c r="I150" s="3">
        <f t="shared" si="77"/>
        <v>0.10714973449748261</v>
      </c>
      <c r="J150" s="3">
        <f t="shared" si="77"/>
        <v>0.10714973449748261</v>
      </c>
      <c r="K150" s="3">
        <f t="shared" si="77"/>
        <v>0.10714973449748261</v>
      </c>
      <c r="L150" s="3">
        <f t="shared" si="77"/>
        <v>0.10714973449748261</v>
      </c>
      <c r="M150" s="3">
        <f t="shared" si="77"/>
        <v>0.10714973449748261</v>
      </c>
      <c r="N150" s="3">
        <f t="shared" si="77"/>
        <v>0.10714973449748261</v>
      </c>
      <c r="O150" s="3">
        <f t="shared" si="77"/>
        <v>0.10714973449748258</v>
      </c>
      <c r="P150" s="3">
        <f t="shared" si="77"/>
        <v>0.1071497344974824</v>
      </c>
      <c r="Q150" s="3">
        <f t="shared" si="77"/>
        <v>0.10714973449748061</v>
      </c>
      <c r="R150" s="3">
        <f t="shared" si="77"/>
        <v>0.10714973449746265</v>
      </c>
      <c r="S150" s="3">
        <f t="shared" si="77"/>
        <v>0.10714973449728306</v>
      </c>
      <c r="T150" s="3">
        <f t="shared" si="77"/>
        <v>0.10714973449548701</v>
      </c>
      <c r="U150" s="3">
        <f t="shared" si="77"/>
        <v>0.10714973447752661</v>
      </c>
      <c r="V150" s="3">
        <f t="shared" si="77"/>
        <v>0.10714973429792257</v>
      </c>
      <c r="W150" s="3">
        <f t="shared" si="77"/>
        <v>0.10714973250188231</v>
      </c>
      <c r="X150" s="3">
        <f t="shared" si="77"/>
        <v>0.10714971454148139</v>
      </c>
      <c r="Y150" s="3">
        <f t="shared" si="77"/>
        <v>0.10714953493763776</v>
      </c>
      <c r="Z150" s="3">
        <f t="shared" si="77"/>
        <v>0.10714773891575918</v>
      </c>
      <c r="AA150" s="3">
        <f t="shared" ref="AA150" si="78">$C36*EXP(-AA$129/$A36/EXP(-$B$126))</f>
        <v>0.10712978035264342</v>
      </c>
      <c r="AB150" s="3">
        <f t="shared" si="67"/>
        <v>0.10695036018585852</v>
      </c>
      <c r="AC150" s="3">
        <f t="shared" si="67"/>
        <v>0.10517260279395783</v>
      </c>
      <c r="AD150" s="3">
        <f t="shared" si="67"/>
        <v>8.8941884222777129E-2</v>
      </c>
      <c r="AE150" s="3">
        <f t="shared" si="67"/>
        <v>1.6639618447698484E-2</v>
      </c>
      <c r="AF150" s="3">
        <f t="shared" si="67"/>
        <v>8.7400464777878236E-10</v>
      </c>
    </row>
    <row r="151" spans="1:32" x14ac:dyDescent="0.25">
      <c r="B151" s="3">
        <f t="shared" ref="B151:Z151" si="79">$C37*EXP(-B$129/$A37/EXP(-$B$126))</f>
        <v>7.4657991153057213E-2</v>
      </c>
      <c r="C151" s="3">
        <f t="shared" si="79"/>
        <v>7.4657991153057213E-2</v>
      </c>
      <c r="D151" s="3">
        <f t="shared" si="79"/>
        <v>7.4657991153057213E-2</v>
      </c>
      <c r="E151" s="3">
        <f t="shared" si="79"/>
        <v>7.4657991153057213E-2</v>
      </c>
      <c r="F151" s="3">
        <f t="shared" si="79"/>
        <v>7.4657991153057213E-2</v>
      </c>
      <c r="G151" s="3">
        <f t="shared" si="79"/>
        <v>7.4657991153057213E-2</v>
      </c>
      <c r="H151" s="3">
        <f t="shared" si="79"/>
        <v>7.4657991153057213E-2</v>
      </c>
      <c r="I151" s="3">
        <f t="shared" si="79"/>
        <v>7.4657991153057213E-2</v>
      </c>
      <c r="J151" s="3">
        <f t="shared" si="79"/>
        <v>7.4657991153057213E-2</v>
      </c>
      <c r="K151" s="3">
        <f t="shared" si="79"/>
        <v>7.4657991153057213E-2</v>
      </c>
      <c r="L151" s="3">
        <f t="shared" si="79"/>
        <v>7.4657991153057213E-2</v>
      </c>
      <c r="M151" s="3">
        <f t="shared" si="79"/>
        <v>7.4657991153057213E-2</v>
      </c>
      <c r="N151" s="3">
        <f t="shared" si="79"/>
        <v>7.4657991153057213E-2</v>
      </c>
      <c r="O151" s="3">
        <f t="shared" si="79"/>
        <v>7.4657991153057213E-2</v>
      </c>
      <c r="P151" s="3">
        <f t="shared" si="79"/>
        <v>7.4657991153057199E-2</v>
      </c>
      <c r="Q151" s="3">
        <f t="shared" si="79"/>
        <v>7.4657991153057088E-2</v>
      </c>
      <c r="R151" s="3">
        <f t="shared" si="79"/>
        <v>7.4657991153055964E-2</v>
      </c>
      <c r="S151" s="3">
        <f t="shared" si="79"/>
        <v>7.4657991153044667E-2</v>
      </c>
      <c r="T151" s="3">
        <f t="shared" si="79"/>
        <v>7.4657991152931785E-2</v>
      </c>
      <c r="U151" s="3">
        <f t="shared" si="79"/>
        <v>7.4657991151802897E-2</v>
      </c>
      <c r="V151" s="3">
        <f t="shared" si="79"/>
        <v>7.4657991140514107E-2</v>
      </c>
      <c r="W151" s="3">
        <f t="shared" si="79"/>
        <v>7.4657991027626075E-2</v>
      </c>
      <c r="X151" s="3">
        <f t="shared" si="79"/>
        <v>7.4657989898745877E-2</v>
      </c>
      <c r="Y151" s="3">
        <f t="shared" si="79"/>
        <v>7.465797860994472E-2</v>
      </c>
      <c r="Z151" s="3">
        <f t="shared" si="79"/>
        <v>7.4657865722027109E-2</v>
      </c>
      <c r="AA151" s="3">
        <f t="shared" ref="AA151" si="80">$C37*EXP(-AA$129/$A37/EXP(-$B$126))</f>
        <v>7.4656736852239183E-2</v>
      </c>
      <c r="AB151" s="3">
        <f t="shared" si="67"/>
        <v>7.4645449093121152E-2</v>
      </c>
      <c r="AC151" s="3">
        <f t="shared" si="67"/>
        <v>7.4532665325558925E-2</v>
      </c>
      <c r="AD151" s="3">
        <f t="shared" si="67"/>
        <v>7.3414157732306404E-2</v>
      </c>
      <c r="AE151" s="3">
        <f t="shared" si="67"/>
        <v>6.3111936388132062E-2</v>
      </c>
      <c r="AF151" s="3">
        <f t="shared" si="67"/>
        <v>1.3913242438394416E-2</v>
      </c>
    </row>
    <row r="152" spans="1:32" x14ac:dyDescent="0.25">
      <c r="B152" s="3">
        <f t="shared" ref="B152:Z152" si="81">$C38*EXP(-B$129/$A38/EXP(-$B$126))</f>
        <v>2.5780107678568913E-2</v>
      </c>
      <c r="C152" s="3">
        <f t="shared" si="81"/>
        <v>2.5780107678568913E-2</v>
      </c>
      <c r="D152" s="3">
        <f t="shared" si="81"/>
        <v>2.5780107678568913E-2</v>
      </c>
      <c r="E152" s="3">
        <f t="shared" si="81"/>
        <v>2.5780107678568913E-2</v>
      </c>
      <c r="F152" s="3">
        <f t="shared" si="81"/>
        <v>2.5780107678568913E-2</v>
      </c>
      <c r="G152" s="3">
        <f t="shared" si="81"/>
        <v>2.5780107678568913E-2</v>
      </c>
      <c r="H152" s="3">
        <f t="shared" si="81"/>
        <v>2.5780107678568913E-2</v>
      </c>
      <c r="I152" s="3">
        <f t="shared" si="81"/>
        <v>2.5780107678568913E-2</v>
      </c>
      <c r="J152" s="3">
        <f t="shared" si="81"/>
        <v>2.5780107678568913E-2</v>
      </c>
      <c r="K152" s="3">
        <f t="shared" si="81"/>
        <v>2.5780107678568913E-2</v>
      </c>
      <c r="L152" s="3">
        <f t="shared" si="81"/>
        <v>2.5780107678568913E-2</v>
      </c>
      <c r="M152" s="3">
        <f t="shared" si="81"/>
        <v>2.5780107678568913E-2</v>
      </c>
      <c r="N152" s="3">
        <f t="shared" si="81"/>
        <v>2.5780107678568913E-2</v>
      </c>
      <c r="O152" s="3">
        <f t="shared" si="81"/>
        <v>2.5780107678568913E-2</v>
      </c>
      <c r="P152" s="3">
        <f t="shared" si="81"/>
        <v>2.5780107678568913E-2</v>
      </c>
      <c r="Q152" s="3">
        <f t="shared" si="81"/>
        <v>2.5780107678568909E-2</v>
      </c>
      <c r="R152" s="3">
        <f t="shared" si="81"/>
        <v>2.5780107678568871E-2</v>
      </c>
      <c r="S152" s="3">
        <f t="shared" si="81"/>
        <v>2.5780107678568521E-2</v>
      </c>
      <c r="T152" s="3">
        <f t="shared" si="81"/>
        <v>2.5780107678565006E-2</v>
      </c>
      <c r="U152" s="3">
        <f t="shared" si="81"/>
        <v>2.578010767852984E-2</v>
      </c>
      <c r="V152" s="3">
        <f t="shared" si="81"/>
        <v>2.5780107678178198E-2</v>
      </c>
      <c r="W152" s="3">
        <f t="shared" si="81"/>
        <v>2.5780107674661761E-2</v>
      </c>
      <c r="X152" s="3">
        <f t="shared" si="81"/>
        <v>2.5780107639497386E-2</v>
      </c>
      <c r="Y152" s="3">
        <f t="shared" si="81"/>
        <v>2.5780107287853658E-2</v>
      </c>
      <c r="Z152" s="3">
        <f t="shared" si="81"/>
        <v>2.5780103771416627E-2</v>
      </c>
      <c r="AA152" s="3">
        <f t="shared" ref="AA152" si="82">$C38*EXP(-AA$129/$A38/EXP(-$B$126))</f>
        <v>2.5780068607072701E-2</v>
      </c>
      <c r="AB152" s="3">
        <f t="shared" si="67"/>
        <v>2.5779716966271477E-2</v>
      </c>
      <c r="AC152" s="3">
        <f t="shared" si="67"/>
        <v>2.5776200822049886E-2</v>
      </c>
      <c r="AD152" s="3">
        <f t="shared" si="67"/>
        <v>2.5741065745589067E-2</v>
      </c>
      <c r="AE152" s="3">
        <f t="shared" si="67"/>
        <v>2.539233829851948E-2</v>
      </c>
      <c r="AF152" s="3">
        <f t="shared" si="67"/>
        <v>2.2154625444186997E-2</v>
      </c>
    </row>
    <row r="153" spans="1:32" x14ac:dyDescent="0.25">
      <c r="B153" s="3">
        <f t="shared" ref="B153:Z153" si="83">$C39*EXP(-B$129/$A39/EXP(-$B$126))</f>
        <v>2.4060337070104312E-2</v>
      </c>
      <c r="C153" s="3">
        <f t="shared" si="83"/>
        <v>2.4060337070104312E-2</v>
      </c>
      <c r="D153" s="3">
        <f t="shared" si="83"/>
        <v>2.4060337070104312E-2</v>
      </c>
      <c r="E153" s="3">
        <f t="shared" si="83"/>
        <v>2.4060337070104312E-2</v>
      </c>
      <c r="F153" s="3">
        <f t="shared" si="83"/>
        <v>2.4060337070104312E-2</v>
      </c>
      <c r="G153" s="3">
        <f t="shared" si="83"/>
        <v>2.4060337070104312E-2</v>
      </c>
      <c r="H153" s="3">
        <f t="shared" si="83"/>
        <v>2.4060337070104312E-2</v>
      </c>
      <c r="I153" s="3">
        <f t="shared" si="83"/>
        <v>2.4060337070104312E-2</v>
      </c>
      <c r="J153" s="3">
        <f t="shared" si="83"/>
        <v>2.4060337070104312E-2</v>
      </c>
      <c r="K153" s="3">
        <f t="shared" si="83"/>
        <v>2.4060337070104312E-2</v>
      </c>
      <c r="L153" s="3">
        <f t="shared" si="83"/>
        <v>2.4060337070104312E-2</v>
      </c>
      <c r="M153" s="3">
        <f t="shared" si="83"/>
        <v>2.4060337070104312E-2</v>
      </c>
      <c r="N153" s="3">
        <f t="shared" si="83"/>
        <v>2.4060337070104312E-2</v>
      </c>
      <c r="O153" s="3">
        <f t="shared" si="83"/>
        <v>2.4060337070104312E-2</v>
      </c>
      <c r="P153" s="3">
        <f t="shared" si="83"/>
        <v>2.4060337070104312E-2</v>
      </c>
      <c r="Q153" s="3">
        <f t="shared" si="83"/>
        <v>2.4060337070104312E-2</v>
      </c>
      <c r="R153" s="3">
        <f t="shared" si="83"/>
        <v>2.4060337070104302E-2</v>
      </c>
      <c r="S153" s="3">
        <f t="shared" si="83"/>
        <v>2.4060337070104212E-2</v>
      </c>
      <c r="T153" s="3">
        <f t="shared" si="83"/>
        <v>2.4060337070103303E-2</v>
      </c>
      <c r="U153" s="3">
        <f t="shared" si="83"/>
        <v>2.4060337070094227E-2</v>
      </c>
      <c r="V153" s="3">
        <f t="shared" si="83"/>
        <v>2.4060337070003459E-2</v>
      </c>
      <c r="W153" s="3">
        <f t="shared" si="83"/>
        <v>2.4060337069095779E-2</v>
      </c>
      <c r="X153" s="3">
        <f t="shared" si="83"/>
        <v>2.406033706001898E-2</v>
      </c>
      <c r="Y153" s="3">
        <f t="shared" si="83"/>
        <v>2.406033696925099E-2</v>
      </c>
      <c r="Z153" s="3">
        <f t="shared" si="83"/>
        <v>2.4060336061571101E-2</v>
      </c>
      <c r="AA153" s="3">
        <f t="shared" ref="AA153" si="84">$C39*EXP(-AA$129/$A39/EXP(-$B$126))</f>
        <v>2.4060326984774096E-2</v>
      </c>
      <c r="AB153" s="3">
        <f t="shared" si="67"/>
        <v>2.4060236216992371E-2</v>
      </c>
      <c r="AC153" s="3">
        <f t="shared" si="67"/>
        <v>2.4059328558008148E-2</v>
      </c>
      <c r="AD153" s="3">
        <f t="shared" si="67"/>
        <v>2.4050253851203875E-2</v>
      </c>
      <c r="AE153" s="3">
        <f t="shared" si="67"/>
        <v>2.3959694824381757E-2</v>
      </c>
      <c r="AF153" s="3">
        <f t="shared" si="67"/>
        <v>2.3072648832070757E-2</v>
      </c>
    </row>
    <row r="154" spans="1:32" x14ac:dyDescent="0.25">
      <c r="B154" s="3">
        <f t="shared" ref="B154:Z154" si="85">$C40*EXP(-B$129/$A40/EXP(-$B$126))</f>
        <v>1.2267955807966149E-2</v>
      </c>
      <c r="C154" s="3">
        <f t="shared" si="85"/>
        <v>1.2267955807966149E-2</v>
      </c>
      <c r="D154" s="3">
        <f t="shared" si="85"/>
        <v>1.2267955807966149E-2</v>
      </c>
      <c r="E154" s="3">
        <f t="shared" si="85"/>
        <v>1.2267955807966149E-2</v>
      </c>
      <c r="F154" s="3">
        <f t="shared" si="85"/>
        <v>1.2267955807966149E-2</v>
      </c>
      <c r="G154" s="3">
        <f t="shared" si="85"/>
        <v>1.2267955807966149E-2</v>
      </c>
      <c r="H154" s="3">
        <f t="shared" si="85"/>
        <v>1.2267955807966149E-2</v>
      </c>
      <c r="I154" s="3">
        <f t="shared" si="85"/>
        <v>1.2267955807966149E-2</v>
      </c>
      <c r="J154" s="3">
        <f t="shared" si="85"/>
        <v>1.2267955807966149E-2</v>
      </c>
      <c r="K154" s="3">
        <f t="shared" si="85"/>
        <v>1.2267955807966149E-2</v>
      </c>
      <c r="L154" s="3">
        <f t="shared" si="85"/>
        <v>1.2267955807966149E-2</v>
      </c>
      <c r="M154" s="3">
        <f t="shared" si="85"/>
        <v>1.2267955807966149E-2</v>
      </c>
      <c r="N154" s="3">
        <f t="shared" si="85"/>
        <v>1.2267955807966149E-2</v>
      </c>
      <c r="O154" s="3">
        <f t="shared" si="85"/>
        <v>1.2267955807966149E-2</v>
      </c>
      <c r="P154" s="3">
        <f t="shared" si="85"/>
        <v>1.2267955807966149E-2</v>
      </c>
      <c r="Q154" s="3">
        <f t="shared" si="85"/>
        <v>1.2267955807966149E-2</v>
      </c>
      <c r="R154" s="3">
        <f t="shared" si="85"/>
        <v>1.2267955807966149E-2</v>
      </c>
      <c r="S154" s="3">
        <f t="shared" si="85"/>
        <v>1.2267955807966144E-2</v>
      </c>
      <c r="T154" s="3">
        <f t="shared" si="85"/>
        <v>1.2267955807966097E-2</v>
      </c>
      <c r="U154" s="3">
        <f t="shared" si="85"/>
        <v>1.2267955807965634E-2</v>
      </c>
      <c r="V154" s="3">
        <f t="shared" si="85"/>
        <v>1.2267955807961006E-2</v>
      </c>
      <c r="W154" s="3">
        <f t="shared" si="85"/>
        <v>1.2267955807914727E-2</v>
      </c>
      <c r="X154" s="3">
        <f t="shared" si="85"/>
        <v>1.2267955807451917E-2</v>
      </c>
      <c r="Y154" s="3">
        <f t="shared" si="85"/>
        <v>1.226795580282381E-2</v>
      </c>
      <c r="Z154" s="3">
        <f t="shared" si="85"/>
        <v>1.226795575654276E-2</v>
      </c>
      <c r="AA154" s="3">
        <f t="shared" ref="AA154:AF154" si="86">$C40*EXP(-AA$129/$A40/EXP(-$B$126))</f>
        <v>1.2267955293732254E-2</v>
      </c>
      <c r="AB154" s="3">
        <f t="shared" si="86"/>
        <v>1.2267950665628158E-2</v>
      </c>
      <c r="AC154" s="3">
        <f t="shared" si="86"/>
        <v>1.2267904384683226E-2</v>
      </c>
      <c r="AD154" s="3">
        <f t="shared" si="86"/>
        <v>1.2267441584836544E-2</v>
      </c>
      <c r="AE154" s="3">
        <f t="shared" si="86"/>
        <v>1.226281454649869E-2</v>
      </c>
      <c r="AF154" s="3">
        <f t="shared" si="86"/>
        <v>1.2216640042133721E-2</v>
      </c>
    </row>
    <row r="155" spans="1:32" x14ac:dyDescent="0.25">
      <c r="B155" s="3">
        <f t="shared" ref="B155:Z155" si="87">$C41*EXP(-B$129/$A41/EXP(-$B$126))</f>
        <v>7.7350329579382458E-4</v>
      </c>
      <c r="C155" s="3">
        <f t="shared" si="87"/>
        <v>7.7350329579382458E-4</v>
      </c>
      <c r="D155" s="3">
        <f t="shared" si="87"/>
        <v>7.7350329579382458E-4</v>
      </c>
      <c r="E155" s="3">
        <f t="shared" si="87"/>
        <v>7.7350329579382458E-4</v>
      </c>
      <c r="F155" s="3">
        <f t="shared" si="87"/>
        <v>7.7350329579382458E-4</v>
      </c>
      <c r="G155" s="3">
        <f t="shared" si="87"/>
        <v>7.7350329579382458E-4</v>
      </c>
      <c r="H155" s="3">
        <f t="shared" si="87"/>
        <v>7.7350329579382458E-4</v>
      </c>
      <c r="I155" s="3">
        <f t="shared" si="87"/>
        <v>7.7350329579382458E-4</v>
      </c>
      <c r="J155" s="3">
        <f t="shared" si="87"/>
        <v>7.7350329579382458E-4</v>
      </c>
      <c r="K155" s="3">
        <f t="shared" si="87"/>
        <v>7.7350329579382458E-4</v>
      </c>
      <c r="L155" s="3">
        <f t="shared" si="87"/>
        <v>7.7350329579382458E-4</v>
      </c>
      <c r="M155" s="3">
        <f t="shared" si="87"/>
        <v>7.7350329579382458E-4</v>
      </c>
      <c r="N155" s="3">
        <f t="shared" si="87"/>
        <v>7.7350329579382458E-4</v>
      </c>
      <c r="O155" s="3">
        <f t="shared" si="87"/>
        <v>7.7350329579382458E-4</v>
      </c>
      <c r="P155" s="3">
        <f t="shared" si="87"/>
        <v>7.7350329579382458E-4</v>
      </c>
      <c r="Q155" s="3">
        <f t="shared" si="87"/>
        <v>7.7350329579382458E-4</v>
      </c>
      <c r="R155" s="3">
        <f t="shared" si="87"/>
        <v>7.7350329579382458E-4</v>
      </c>
      <c r="S155" s="3">
        <f t="shared" si="87"/>
        <v>7.7350329579382458E-4</v>
      </c>
      <c r="T155" s="3">
        <f t="shared" si="87"/>
        <v>7.7350329579382426E-4</v>
      </c>
      <c r="U155" s="3">
        <f t="shared" si="87"/>
        <v>7.7350329579382133E-4</v>
      </c>
      <c r="V155" s="3">
        <f t="shared" si="87"/>
        <v>7.7350329579379217E-4</v>
      </c>
      <c r="W155" s="3">
        <f t="shared" si="87"/>
        <v>7.735032957935003E-4</v>
      </c>
      <c r="X155" s="3">
        <f t="shared" si="87"/>
        <v>7.7350329579058228E-4</v>
      </c>
      <c r="Y155" s="3">
        <f t="shared" si="87"/>
        <v>7.7350329576140184E-4</v>
      </c>
      <c r="Z155" s="3">
        <f t="shared" si="87"/>
        <v>7.7350329546959642E-4</v>
      </c>
      <c r="AA155" s="3">
        <f t="shared" ref="AA155:AF155" si="88">$C41*EXP(-AA$129/$A41/EXP(-$B$126))</f>
        <v>7.7350329255154347E-4</v>
      </c>
      <c r="AB155" s="3">
        <f t="shared" si="88"/>
        <v>7.7350326337101351E-4</v>
      </c>
      <c r="AC155" s="3">
        <f t="shared" si="88"/>
        <v>7.735029715657749E-4</v>
      </c>
      <c r="AD155" s="3">
        <f t="shared" si="88"/>
        <v>7.7350005351944375E-4</v>
      </c>
      <c r="AE155" s="3">
        <f t="shared" si="88"/>
        <v>7.7347087366158444E-4</v>
      </c>
      <c r="AF155" s="3">
        <f t="shared" si="88"/>
        <v>7.7317913561980155E-4</v>
      </c>
    </row>
    <row r="156" spans="1:32" x14ac:dyDescent="0.25">
      <c r="B156" s="3">
        <f t="shared" ref="B156:Z156" si="89">$C42*EXP(-B$129/$A42/EXP(-$B$126))</f>
        <v>2.8862774017939779E-3</v>
      </c>
      <c r="C156" s="3">
        <f t="shared" si="89"/>
        <v>2.8862774017939779E-3</v>
      </c>
      <c r="D156" s="3">
        <f t="shared" si="89"/>
        <v>2.8862774017939779E-3</v>
      </c>
      <c r="E156" s="3">
        <f t="shared" si="89"/>
        <v>2.8862774017939779E-3</v>
      </c>
      <c r="F156" s="3">
        <f t="shared" si="89"/>
        <v>2.8862774017939779E-3</v>
      </c>
      <c r="G156" s="3">
        <f t="shared" si="89"/>
        <v>2.8862774017939779E-3</v>
      </c>
      <c r="H156" s="3">
        <f t="shared" si="89"/>
        <v>2.8862774017939779E-3</v>
      </c>
      <c r="I156" s="3">
        <f t="shared" si="89"/>
        <v>2.8862774017939779E-3</v>
      </c>
      <c r="J156" s="3">
        <f t="shared" si="89"/>
        <v>2.8862774017939779E-3</v>
      </c>
      <c r="K156" s="3">
        <f t="shared" si="89"/>
        <v>2.8862774017939779E-3</v>
      </c>
      <c r="L156" s="3">
        <f t="shared" si="89"/>
        <v>2.8862774017939779E-3</v>
      </c>
      <c r="M156" s="3">
        <f t="shared" si="89"/>
        <v>2.8862774017939779E-3</v>
      </c>
      <c r="N156" s="3">
        <f t="shared" si="89"/>
        <v>2.8862774017939779E-3</v>
      </c>
      <c r="O156" s="3">
        <f t="shared" si="89"/>
        <v>2.8862774017939779E-3</v>
      </c>
      <c r="P156" s="3">
        <f t="shared" si="89"/>
        <v>2.8862774017939779E-3</v>
      </c>
      <c r="Q156" s="3">
        <f t="shared" si="89"/>
        <v>2.8862774017939779E-3</v>
      </c>
      <c r="R156" s="3">
        <f t="shared" si="89"/>
        <v>2.8862774017939779E-3</v>
      </c>
      <c r="S156" s="3">
        <f t="shared" si="89"/>
        <v>2.8862774017939779E-3</v>
      </c>
      <c r="T156" s="3">
        <f t="shared" si="89"/>
        <v>2.8862774017939779E-3</v>
      </c>
      <c r="U156" s="3">
        <f t="shared" si="89"/>
        <v>2.8862774017939766E-3</v>
      </c>
      <c r="V156" s="3">
        <f t="shared" si="89"/>
        <v>2.8862774017939657E-3</v>
      </c>
      <c r="W156" s="3">
        <f t="shared" si="89"/>
        <v>2.8862774017938569E-3</v>
      </c>
      <c r="X156" s="3">
        <f t="shared" si="89"/>
        <v>2.8862774017927679E-3</v>
      </c>
      <c r="Y156" s="3">
        <f t="shared" si="89"/>
        <v>2.8862774017818795E-3</v>
      </c>
      <c r="Z156" s="3">
        <f t="shared" si="89"/>
        <v>2.8862774016729944E-3</v>
      </c>
      <c r="AA156" s="3">
        <f t="shared" ref="AA156:AF156" si="90">$C42*EXP(-AA$129/$A42/EXP(-$B$126))</f>
        <v>2.8862774005841418E-3</v>
      </c>
      <c r="AB156" s="3">
        <f t="shared" si="90"/>
        <v>2.8862773896956161E-3</v>
      </c>
      <c r="AC156" s="3">
        <f t="shared" si="90"/>
        <v>2.8862772808103602E-3</v>
      </c>
      <c r="AD156" s="3">
        <f t="shared" si="90"/>
        <v>2.8862761919580303E-3</v>
      </c>
      <c r="AE156" s="3">
        <f t="shared" si="90"/>
        <v>2.8862653034573233E-3</v>
      </c>
      <c r="AF156" s="3">
        <f t="shared" si="90"/>
        <v>2.8861564207094607E-3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1.5898164143456024E-4</v>
      </c>
      <c r="C158" s="3">
        <f t="shared" si="93"/>
        <v>1.5898164143456024E-4</v>
      </c>
      <c r="D158" s="3">
        <f t="shared" si="93"/>
        <v>1.5898164143456024E-4</v>
      </c>
      <c r="E158" s="3">
        <f t="shared" si="93"/>
        <v>1.5898164143456024E-4</v>
      </c>
      <c r="F158" s="3">
        <f t="shared" si="93"/>
        <v>1.5898164143456024E-4</v>
      </c>
      <c r="G158" s="3">
        <f t="shared" si="93"/>
        <v>1.5898164143456024E-4</v>
      </c>
      <c r="H158" s="3">
        <f t="shared" si="93"/>
        <v>1.5898164143456024E-4</v>
      </c>
      <c r="I158" s="3">
        <f t="shared" si="93"/>
        <v>1.5898164143456024E-4</v>
      </c>
      <c r="J158" s="3">
        <f t="shared" si="93"/>
        <v>1.5898164143456024E-4</v>
      </c>
      <c r="K158" s="3">
        <f t="shared" si="93"/>
        <v>1.5898164143456024E-4</v>
      </c>
      <c r="L158" s="3">
        <f t="shared" si="93"/>
        <v>1.5898164143456024E-4</v>
      </c>
      <c r="M158" s="3">
        <f t="shared" si="93"/>
        <v>1.5898164143456024E-4</v>
      </c>
      <c r="N158" s="3">
        <f t="shared" si="93"/>
        <v>1.5898164143456024E-4</v>
      </c>
      <c r="O158" s="3">
        <f t="shared" si="93"/>
        <v>1.5898164143456024E-4</v>
      </c>
      <c r="P158" s="3">
        <f t="shared" si="93"/>
        <v>1.5898164143456024E-4</v>
      </c>
      <c r="Q158" s="3">
        <f t="shared" si="93"/>
        <v>1.5898164143456024E-4</v>
      </c>
      <c r="R158" s="3">
        <f t="shared" si="93"/>
        <v>1.5898164143456024E-4</v>
      </c>
      <c r="S158" s="3">
        <f t="shared" si="93"/>
        <v>1.5898164143456024E-4</v>
      </c>
      <c r="T158" s="3">
        <f t="shared" si="93"/>
        <v>1.5898164143456024E-4</v>
      </c>
      <c r="U158" s="3">
        <f t="shared" si="93"/>
        <v>1.5898164143456024E-4</v>
      </c>
      <c r="V158" s="3">
        <f t="shared" si="93"/>
        <v>1.5898164143456024E-4</v>
      </c>
      <c r="W158" s="3">
        <f t="shared" si="93"/>
        <v>1.5898164143456016E-4</v>
      </c>
      <c r="X158" s="3">
        <f t="shared" si="93"/>
        <v>1.5898164143455956E-4</v>
      </c>
      <c r="Y158" s="3">
        <f t="shared" si="93"/>
        <v>1.5898164143455357E-4</v>
      </c>
      <c r="Z158" s="3">
        <f t="shared" si="93"/>
        <v>1.5898164143449359E-4</v>
      </c>
      <c r="AA158" s="3">
        <f t="shared" ref="AA158:AF158" si="94">$C44*EXP(-AA$129/$A44/EXP(-$B$126))</f>
        <v>1.5898164143389383E-4</v>
      </c>
      <c r="AB158" s="3">
        <f t="shared" si="94"/>
        <v>1.5898164142789625E-4</v>
      </c>
      <c r="AC158" s="3">
        <f t="shared" si="94"/>
        <v>1.5898164136792016E-4</v>
      </c>
      <c r="AD158" s="3">
        <f t="shared" si="94"/>
        <v>1.5898164076815949E-4</v>
      </c>
      <c r="AE158" s="3">
        <f t="shared" si="94"/>
        <v>1.5898163477055279E-4</v>
      </c>
      <c r="AF158" s="3">
        <f t="shared" si="94"/>
        <v>1.5898157479449831E-4</v>
      </c>
    </row>
    <row r="159" spans="1:32" x14ac:dyDescent="0.25">
      <c r="A159" s="11" t="s">
        <v>75</v>
      </c>
      <c r="B159" s="3">
        <f t="shared" ref="B159:Z159" si="95">$C45*EXP(-B$129/$A45/EXP(-$B$126))</f>
        <v>1.3061991748101505E-4</v>
      </c>
      <c r="C159" s="3">
        <f t="shared" si="95"/>
        <v>1.3061991748101505E-4</v>
      </c>
      <c r="D159" s="3">
        <f t="shared" si="95"/>
        <v>1.3061991748101505E-4</v>
      </c>
      <c r="E159" s="3">
        <f t="shared" si="95"/>
        <v>1.3061991748101505E-4</v>
      </c>
      <c r="F159" s="3">
        <f t="shared" si="95"/>
        <v>1.3061991748101505E-4</v>
      </c>
      <c r="G159" s="3">
        <f t="shared" si="95"/>
        <v>1.3061991748101505E-4</v>
      </c>
      <c r="H159" s="3">
        <f t="shared" si="95"/>
        <v>1.3061991748101505E-4</v>
      </c>
      <c r="I159" s="3">
        <f t="shared" si="95"/>
        <v>1.3061991748101505E-4</v>
      </c>
      <c r="J159" s="3">
        <f t="shared" si="95"/>
        <v>1.3061991748101505E-4</v>
      </c>
      <c r="K159" s="3">
        <f t="shared" si="95"/>
        <v>1.3061991748101505E-4</v>
      </c>
      <c r="L159" s="3">
        <f t="shared" si="95"/>
        <v>1.3061991748101505E-4</v>
      </c>
      <c r="M159" s="3">
        <f t="shared" si="95"/>
        <v>1.3061991748101505E-4</v>
      </c>
      <c r="N159" s="3">
        <f t="shared" si="95"/>
        <v>1.3061991748101505E-4</v>
      </c>
      <c r="O159" s="3">
        <f t="shared" si="95"/>
        <v>1.3061991748101505E-4</v>
      </c>
      <c r="P159" s="3">
        <f t="shared" si="95"/>
        <v>1.3061991748101505E-4</v>
      </c>
      <c r="Q159" s="3">
        <f t="shared" si="95"/>
        <v>1.3061991748101505E-4</v>
      </c>
      <c r="R159" s="3">
        <f t="shared" si="95"/>
        <v>1.3061991748101505E-4</v>
      </c>
      <c r="S159" s="3">
        <f t="shared" si="95"/>
        <v>1.3061991748101505E-4</v>
      </c>
      <c r="T159" s="3">
        <f t="shared" si="95"/>
        <v>1.3061991748101505E-4</v>
      </c>
      <c r="U159" s="3">
        <f t="shared" si="95"/>
        <v>1.3061991748101505E-4</v>
      </c>
      <c r="V159" s="3">
        <f t="shared" si="95"/>
        <v>1.3061991748101505E-4</v>
      </c>
      <c r="W159" s="3">
        <f t="shared" si="95"/>
        <v>1.3061991748101505E-4</v>
      </c>
      <c r="X159" s="3">
        <f t="shared" si="95"/>
        <v>1.3061991748101499E-4</v>
      </c>
      <c r="Y159" s="3">
        <f t="shared" si="95"/>
        <v>1.3061991748101451E-4</v>
      </c>
      <c r="Z159" s="3">
        <f t="shared" si="95"/>
        <v>1.3061991748100957E-4</v>
      </c>
      <c r="AA159" s="3">
        <f t="shared" ref="AA159:AF159" si="96">$C45*EXP(-AA$129/$A45/EXP(-$B$126))</f>
        <v>1.306199174809603E-4</v>
      </c>
      <c r="AB159" s="3">
        <f t="shared" si="96"/>
        <v>1.3061991748046753E-4</v>
      </c>
      <c r="AC159" s="3">
        <f t="shared" si="96"/>
        <v>1.3061991747553988E-4</v>
      </c>
      <c r="AD159" s="3">
        <f t="shared" si="96"/>
        <v>1.306199174262633E-4</v>
      </c>
      <c r="AE159" s="3">
        <f t="shared" si="96"/>
        <v>1.3061991693349767E-4</v>
      </c>
      <c r="AF159" s="3">
        <f t="shared" si="96"/>
        <v>1.3061991200584135E-4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8.1332295555460314E-5</v>
      </c>
      <c r="C161" s="3">
        <f t="shared" si="99"/>
        <v>8.1332295555460314E-5</v>
      </c>
      <c r="D161" s="3">
        <f t="shared" si="99"/>
        <v>8.1332295555460314E-5</v>
      </c>
      <c r="E161" s="3">
        <f t="shared" si="99"/>
        <v>8.1332295555460314E-5</v>
      </c>
      <c r="F161" s="3">
        <f t="shared" si="99"/>
        <v>8.1332295555460314E-5</v>
      </c>
      <c r="G161" s="3">
        <f t="shared" si="99"/>
        <v>8.1332295555460314E-5</v>
      </c>
      <c r="H161" s="3">
        <f t="shared" si="99"/>
        <v>8.1332295555460314E-5</v>
      </c>
      <c r="I161" s="3">
        <f t="shared" si="99"/>
        <v>8.1332295555460314E-5</v>
      </c>
      <c r="J161" s="3">
        <f t="shared" si="99"/>
        <v>8.1332295555460314E-5</v>
      </c>
      <c r="K161" s="3">
        <f t="shared" si="99"/>
        <v>8.1332295555460314E-5</v>
      </c>
      <c r="L161" s="3">
        <f t="shared" si="99"/>
        <v>8.1332295555460314E-5</v>
      </c>
      <c r="M161" s="3">
        <f t="shared" si="99"/>
        <v>8.1332295555460314E-5</v>
      </c>
      <c r="N161" s="3">
        <f t="shared" si="99"/>
        <v>8.1332295555460314E-5</v>
      </c>
      <c r="O161" s="3">
        <f t="shared" si="99"/>
        <v>8.1332295555460314E-5</v>
      </c>
      <c r="P161" s="3">
        <f t="shared" si="99"/>
        <v>8.1332295555460314E-5</v>
      </c>
      <c r="Q161" s="3">
        <f t="shared" si="99"/>
        <v>8.1332295555460314E-5</v>
      </c>
      <c r="R161" s="3">
        <f t="shared" si="99"/>
        <v>8.1332295555460314E-5</v>
      </c>
      <c r="S161" s="3">
        <f t="shared" si="99"/>
        <v>8.1332295555460314E-5</v>
      </c>
      <c r="T161" s="3">
        <f t="shared" si="99"/>
        <v>8.1332295555460314E-5</v>
      </c>
      <c r="U161" s="3">
        <f t="shared" si="99"/>
        <v>8.1332295555460314E-5</v>
      </c>
      <c r="V161" s="3">
        <f t="shared" si="99"/>
        <v>8.1332295555460314E-5</v>
      </c>
      <c r="W161" s="3">
        <f t="shared" si="99"/>
        <v>8.1332295555460314E-5</v>
      </c>
      <c r="X161" s="3">
        <f t="shared" si="99"/>
        <v>8.1332295555460314E-5</v>
      </c>
      <c r="Y161" s="3">
        <f t="shared" si="99"/>
        <v>8.1332295555460314E-5</v>
      </c>
      <c r="Z161" s="3">
        <f t="shared" si="99"/>
        <v>8.1332295555460273E-5</v>
      </c>
      <c r="AA161" s="3">
        <f t="shared" ref="AA161:AF161" si="100">$C47*EXP(-AA$129/$A47/EXP(-$B$126))</f>
        <v>8.1332295555459975E-5</v>
      </c>
      <c r="AB161" s="3">
        <f t="shared" si="100"/>
        <v>8.1332295555456899E-5</v>
      </c>
      <c r="AC161" s="3">
        <f t="shared" si="100"/>
        <v>8.1332295555426216E-5</v>
      </c>
      <c r="AD161" s="3">
        <f t="shared" si="100"/>
        <v>8.13322955551194E-5</v>
      </c>
      <c r="AE161" s="3">
        <f t="shared" si="100"/>
        <v>8.1332295552051121E-5</v>
      </c>
      <c r="AF161" s="3">
        <f t="shared" si="100"/>
        <v>8.133229552136839E-5</v>
      </c>
    </row>
    <row r="162" spans="1:34" x14ac:dyDescent="0.25">
      <c r="B162" s="3">
        <f t="shared" ref="B162:Z162" si="101">$C48*EXP(-B$129/$A48/EXP(-$B$126))</f>
        <v>6.4178085162845428E-4</v>
      </c>
      <c r="C162" s="3">
        <f t="shared" si="101"/>
        <v>6.4178085162845428E-4</v>
      </c>
      <c r="D162" s="3">
        <f t="shared" si="101"/>
        <v>6.4178085162845428E-4</v>
      </c>
      <c r="E162" s="3">
        <f t="shared" si="101"/>
        <v>6.4178085162845428E-4</v>
      </c>
      <c r="F162" s="3">
        <f t="shared" si="101"/>
        <v>6.4178085162845428E-4</v>
      </c>
      <c r="G162" s="3">
        <f t="shared" si="101"/>
        <v>6.4178085162845428E-4</v>
      </c>
      <c r="H162" s="3">
        <f t="shared" si="101"/>
        <v>6.4178085162845428E-4</v>
      </c>
      <c r="I162" s="3">
        <f t="shared" si="101"/>
        <v>6.4178085162845428E-4</v>
      </c>
      <c r="J162" s="3">
        <f t="shared" si="101"/>
        <v>6.4178085162845428E-4</v>
      </c>
      <c r="K162" s="3">
        <f t="shared" si="101"/>
        <v>6.4178085162845428E-4</v>
      </c>
      <c r="L162" s="3">
        <f t="shared" si="101"/>
        <v>6.4178085162845428E-4</v>
      </c>
      <c r="M162" s="3">
        <f t="shared" si="101"/>
        <v>6.4178085162845428E-4</v>
      </c>
      <c r="N162" s="3">
        <f t="shared" si="101"/>
        <v>6.4178085162845428E-4</v>
      </c>
      <c r="O162" s="3">
        <f t="shared" si="101"/>
        <v>6.4178085162845428E-4</v>
      </c>
      <c r="P162" s="3">
        <f t="shared" si="101"/>
        <v>6.4178085162845428E-4</v>
      </c>
      <c r="Q162" s="3">
        <f t="shared" si="101"/>
        <v>6.4178085162845428E-4</v>
      </c>
      <c r="R162" s="3">
        <f t="shared" si="101"/>
        <v>6.4178085162845428E-4</v>
      </c>
      <c r="S162" s="3">
        <f t="shared" si="101"/>
        <v>6.4178085162845428E-4</v>
      </c>
      <c r="T162" s="3">
        <f t="shared" si="101"/>
        <v>6.4178085162845428E-4</v>
      </c>
      <c r="U162" s="3">
        <f t="shared" si="101"/>
        <v>6.4178085162845428E-4</v>
      </c>
      <c r="V162" s="3">
        <f t="shared" si="101"/>
        <v>6.4178085162845428E-4</v>
      </c>
      <c r="W162" s="3">
        <f t="shared" si="101"/>
        <v>6.4178085162845428E-4</v>
      </c>
      <c r="X162" s="3">
        <f t="shared" si="101"/>
        <v>6.4178085162845428E-4</v>
      </c>
      <c r="Y162" s="3">
        <f t="shared" si="101"/>
        <v>6.4178085162845428E-4</v>
      </c>
      <c r="Z162" s="3">
        <f t="shared" si="101"/>
        <v>6.4178085162845428E-4</v>
      </c>
      <c r="AA162" s="3">
        <f t="shared" ref="AA162:AF162" si="102">$C48*EXP(-AA$129/$A48/EXP(-$B$126))</f>
        <v>6.4178085162845395E-4</v>
      </c>
      <c r="AB162" s="3">
        <f t="shared" si="102"/>
        <v>6.4178085162845157E-4</v>
      </c>
      <c r="AC162" s="3">
        <f t="shared" si="102"/>
        <v>6.4178085162842739E-4</v>
      </c>
      <c r="AD162" s="3">
        <f t="shared" si="102"/>
        <v>6.4178085162818518E-4</v>
      </c>
      <c r="AE162" s="3">
        <f t="shared" si="102"/>
        <v>6.4178085162576416E-4</v>
      </c>
      <c r="AF162" s="3">
        <f t="shared" si="102"/>
        <v>6.4178085160155284E-4</v>
      </c>
    </row>
    <row r="163" spans="1:34" x14ac:dyDescent="0.25">
      <c r="A163" s="79">
        <f>AVERAGE(B163:AF163)</f>
        <v>0.10981917260686436</v>
      </c>
      <c r="B163" s="80">
        <f>IF($A$64&lt;=B129,IF($B$64&gt;=B129,ABS((B131-B130)/B130),0),0)</f>
        <v>2.7697343668279854E-2</v>
      </c>
      <c r="C163" s="80">
        <f t="shared" ref="C163:AF163" si="103">IF($A$64&lt;=C129,IF($B$64&gt;=C129,ABS((C131-C130)/C130),0),0)</f>
        <v>2.77073798407011E-2</v>
      </c>
      <c r="D163" s="80">
        <f t="shared" si="103"/>
        <v>2.7702179879871131E-2</v>
      </c>
      <c r="E163" s="80">
        <f t="shared" si="103"/>
        <v>2.7700832354292586E-2</v>
      </c>
      <c r="F163" s="80">
        <f t="shared" si="103"/>
        <v>2.7700435537364374E-2</v>
      </c>
      <c r="G163" s="80">
        <f t="shared" si="103"/>
        <v>2.7700311536265027E-2</v>
      </c>
      <c r="H163" s="80">
        <f t="shared" si="103"/>
        <v>2.7700278511408934E-2</v>
      </c>
      <c r="I163" s="80">
        <f t="shared" si="103"/>
        <v>2.7700270676955862E-2</v>
      </c>
      <c r="J163" s="80">
        <f t="shared" si="103"/>
        <v>2.7700266735677694E-2</v>
      </c>
      <c r="K163" s="80">
        <f t="shared" si="103"/>
        <v>2.7700309993069255E-2</v>
      </c>
      <c r="L163" s="80">
        <f t="shared" si="103"/>
        <v>2.7700742555804285E-2</v>
      </c>
      <c r="M163" s="80">
        <f t="shared" si="103"/>
        <v>2.7705050531332855E-2</v>
      </c>
      <c r="N163" s="80">
        <f t="shared" si="103"/>
        <v>2.774809319000647E-2</v>
      </c>
      <c r="O163" s="80">
        <f t="shared" si="103"/>
        <v>2.8167595214956015E-2</v>
      </c>
      <c r="P163" s="80">
        <f t="shared" si="103"/>
        <v>3.1503473991149521E-2</v>
      </c>
      <c r="Q163" s="80">
        <f t="shared" si="103"/>
        <v>4.4469427472068869E-2</v>
      </c>
      <c r="R163" s="80">
        <f t="shared" si="103"/>
        <v>6.4052841555903892E-2</v>
      </c>
      <c r="S163" s="80">
        <f t="shared" si="103"/>
        <v>7.7758979533215755E-2</v>
      </c>
      <c r="T163" s="80">
        <f t="shared" si="103"/>
        <v>8.5890910389080546E-2</v>
      </c>
      <c r="U163" s="80">
        <f t="shared" si="103"/>
        <v>9.4484745823594049E-2</v>
      </c>
      <c r="V163" s="80">
        <f t="shared" si="103"/>
        <v>8.6926891301300713E-2</v>
      </c>
      <c r="W163" s="80">
        <f t="shared" si="103"/>
        <v>3.3444066858474765E-2</v>
      </c>
      <c r="X163" s="80">
        <f t="shared" si="103"/>
        <v>8.6558393713547996E-2</v>
      </c>
      <c r="Y163" s="80">
        <f t="shared" si="103"/>
        <v>0.21834807647038915</v>
      </c>
      <c r="Z163" s="80">
        <f t="shared" si="103"/>
        <v>0.32122538810570833</v>
      </c>
      <c r="AA163" s="80">
        <f t="shared" si="103"/>
        <v>0.36392690428087771</v>
      </c>
      <c r="AB163" s="80">
        <f t="shared" si="103"/>
        <v>0.25025620821944716</v>
      </c>
      <c r="AC163" s="80">
        <f t="shared" si="103"/>
        <v>2.6981668753936594E-2</v>
      </c>
      <c r="AD163" s="80">
        <f t="shared" si="103"/>
        <v>0.20788441699597987</v>
      </c>
      <c r="AE163" s="80">
        <f t="shared" si="103"/>
        <v>0.42534446001839377</v>
      </c>
      <c r="AF163" s="80">
        <f t="shared" si="103"/>
        <v>0.59700640710374087</v>
      </c>
    </row>
    <row r="164" spans="1:34" x14ac:dyDescent="0.25">
      <c r="B164" s="21">
        <f>(B131-B130)^2</f>
        <v>42460.808107776276</v>
      </c>
      <c r="C164" s="21">
        <f t="shared" ref="C164:AF164" si="104">(C131-C130)^2</f>
        <v>42492.462368417779</v>
      </c>
      <c r="D164" s="21">
        <f t="shared" si="104"/>
        <v>42476.060048446569</v>
      </c>
      <c r="E164" s="21">
        <f t="shared" si="104"/>
        <v>42471.810072060252</v>
      </c>
      <c r="F164" s="21">
        <f t="shared" si="104"/>
        <v>42470.558589331456</v>
      </c>
      <c r="G164" s="21">
        <f t="shared" si="104"/>
        <v>42470.167517819973</v>
      </c>
      <c r="H164" s="21">
        <f t="shared" si="104"/>
        <v>42470.063361511391</v>
      </c>
      <c r="I164" s="21">
        <f t="shared" si="104"/>
        <v>42470.038615742575</v>
      </c>
      <c r="J164" s="21">
        <f t="shared" si="104"/>
        <v>42470.025808005565</v>
      </c>
      <c r="K164" s="21">
        <f t="shared" si="104"/>
        <v>42470.158452502306</v>
      </c>
      <c r="L164" s="21">
        <f t="shared" si="104"/>
        <v>42471.4848745778</v>
      </c>
      <c r="M164" s="21">
        <f t="shared" si="104"/>
        <v>42484.694652752478</v>
      </c>
      <c r="N164" s="21">
        <f t="shared" si="104"/>
        <v>42616.797951514964</v>
      </c>
      <c r="O164" s="21">
        <f t="shared" si="104"/>
        <v>43915.032870990501</v>
      </c>
      <c r="P164" s="21">
        <f t="shared" si="104"/>
        <v>54931.568294204502</v>
      </c>
      <c r="Q164" s="21">
        <f t="shared" si="104"/>
        <v>109431.59338298398</v>
      </c>
      <c r="R164" s="21">
        <f t="shared" si="104"/>
        <v>226600.39077929276</v>
      </c>
      <c r="S164" s="21">
        <f t="shared" si="104"/>
        <v>328798.92436782533</v>
      </c>
      <c r="T164" s="21">
        <f t="shared" si="104"/>
        <v>385535.91122364067</v>
      </c>
      <c r="U164" s="21">
        <f t="shared" si="104"/>
        <v>445602.7055169887</v>
      </c>
      <c r="V164" s="21">
        <f t="shared" si="104"/>
        <v>345640.35533851455</v>
      </c>
      <c r="W164" s="21">
        <f t="shared" si="104"/>
        <v>41296.475117197355</v>
      </c>
      <c r="X164" s="21">
        <f t="shared" si="104"/>
        <v>198945.47555383385</v>
      </c>
      <c r="Y164" s="21">
        <f t="shared" si="104"/>
        <v>901922.02845041535</v>
      </c>
      <c r="Z164" s="21">
        <f t="shared" si="104"/>
        <v>1459063.8081091859</v>
      </c>
      <c r="AA164" s="21">
        <f t="shared" si="104"/>
        <v>1474324.8609119183</v>
      </c>
      <c r="AB164" s="21">
        <f t="shared" si="104"/>
        <v>561888.18177338468</v>
      </c>
      <c r="AC164" s="21">
        <f t="shared" si="104"/>
        <v>5310.5303926829129</v>
      </c>
      <c r="AD164" s="21">
        <f t="shared" si="104"/>
        <v>244977.85750712588</v>
      </c>
      <c r="AE164" s="21">
        <f t="shared" si="104"/>
        <v>732695.2413400925</v>
      </c>
      <c r="AF164" s="21">
        <f t="shared" si="104"/>
        <v>907974.90577028936</v>
      </c>
    </row>
    <row r="165" spans="1:34" x14ac:dyDescent="0.25">
      <c r="A165" s="71">
        <f>SUM(B165:AF165)</f>
        <v>9021150.9771210272</v>
      </c>
      <c r="B165" s="60">
        <f>IF($A$64&lt;=B129,IF($B$64&gt;=B129,ABS(B164),0),0)</f>
        <v>42460.808107776276</v>
      </c>
      <c r="C165" s="60">
        <f t="shared" ref="C165:AF165" si="105">IF($A$64&lt;=C129,IF($B$64&gt;=C129,ABS(C164),0),0)</f>
        <v>42492.462368417779</v>
      </c>
      <c r="D165" s="60">
        <f t="shared" si="105"/>
        <v>42476.060048446569</v>
      </c>
      <c r="E165" s="60">
        <f t="shared" si="105"/>
        <v>42471.810072060252</v>
      </c>
      <c r="F165" s="60">
        <f t="shared" si="105"/>
        <v>42470.558589331456</v>
      </c>
      <c r="G165" s="60">
        <f t="shared" si="105"/>
        <v>42470.167517819973</v>
      </c>
      <c r="H165" s="60">
        <f t="shared" si="105"/>
        <v>42470.063361511391</v>
      </c>
      <c r="I165" s="60">
        <f t="shared" si="105"/>
        <v>42470.038615742575</v>
      </c>
      <c r="J165" s="60">
        <f t="shared" si="105"/>
        <v>42470.025808005565</v>
      </c>
      <c r="K165" s="60">
        <f t="shared" si="105"/>
        <v>42470.158452502306</v>
      </c>
      <c r="L165" s="60">
        <f t="shared" si="105"/>
        <v>42471.4848745778</v>
      </c>
      <c r="M165" s="60">
        <f t="shared" si="105"/>
        <v>42484.694652752478</v>
      </c>
      <c r="N165" s="60">
        <f t="shared" si="105"/>
        <v>42616.797951514964</v>
      </c>
      <c r="O165" s="60">
        <f t="shared" si="105"/>
        <v>43915.032870990501</v>
      </c>
      <c r="P165" s="60">
        <f t="shared" si="105"/>
        <v>54931.568294204502</v>
      </c>
      <c r="Q165" s="60">
        <f t="shared" si="105"/>
        <v>109431.59338298398</v>
      </c>
      <c r="R165" s="60">
        <f t="shared" si="105"/>
        <v>226600.39077929276</v>
      </c>
      <c r="S165" s="60">
        <f t="shared" si="105"/>
        <v>328798.92436782533</v>
      </c>
      <c r="T165" s="60">
        <f t="shared" si="105"/>
        <v>385535.91122364067</v>
      </c>
      <c r="U165" s="60">
        <f t="shared" si="105"/>
        <v>445602.7055169887</v>
      </c>
      <c r="V165" s="60">
        <f t="shared" si="105"/>
        <v>345640.35533851455</v>
      </c>
      <c r="W165" s="60">
        <f t="shared" si="105"/>
        <v>41296.475117197355</v>
      </c>
      <c r="X165" s="60">
        <f t="shared" si="105"/>
        <v>198945.47555383385</v>
      </c>
      <c r="Y165" s="60">
        <f t="shared" si="105"/>
        <v>901922.02845041535</v>
      </c>
      <c r="Z165" s="60">
        <f t="shared" si="105"/>
        <v>1459063.8081091859</v>
      </c>
      <c r="AA165" s="60">
        <f t="shared" si="105"/>
        <v>1474324.8609119183</v>
      </c>
      <c r="AB165" s="60">
        <f t="shared" si="105"/>
        <v>561888.18177338468</v>
      </c>
      <c r="AC165" s="60">
        <f t="shared" si="105"/>
        <v>5310.5303926829129</v>
      </c>
      <c r="AD165" s="60">
        <f t="shared" si="105"/>
        <v>244977.85750712588</v>
      </c>
      <c r="AE165" s="60">
        <f t="shared" si="105"/>
        <v>732695.2413400925</v>
      </c>
      <c r="AF165" s="60">
        <f t="shared" si="105"/>
        <v>907974.90577028936</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7233.6498091616859</v>
      </c>
      <c r="C170" s="27">
        <f t="shared" ref="C170:AF170" si="106">($C$17+SUM(C171:C201))*$B$51</f>
        <v>7233.6498091615103</v>
      </c>
      <c r="D170" s="27">
        <f t="shared" si="106"/>
        <v>7233.6498091597605</v>
      </c>
      <c r="E170" s="27">
        <f t="shared" si="106"/>
        <v>7233.6498091422527</v>
      </c>
      <c r="F170" s="27">
        <f t="shared" si="106"/>
        <v>7233.6498089671895</v>
      </c>
      <c r="G170" s="27">
        <f t="shared" si="106"/>
        <v>7233.6498072165477</v>
      </c>
      <c r="H170" s="27">
        <f t="shared" si="106"/>
        <v>7233.6497897101481</v>
      </c>
      <c r="I170" s="27">
        <f t="shared" si="106"/>
        <v>7233.6496146463996</v>
      </c>
      <c r="J170" s="27">
        <f t="shared" si="106"/>
        <v>7233.6478640335126</v>
      </c>
      <c r="K170" s="27">
        <f t="shared" si="106"/>
        <v>7233.6303603658725</v>
      </c>
      <c r="L170" s="27">
        <f t="shared" si="106"/>
        <v>7233.4555694756245</v>
      </c>
      <c r="M170" s="27">
        <f t="shared" si="106"/>
        <v>7231.7319065863139</v>
      </c>
      <c r="N170" s="27">
        <f t="shared" si="106"/>
        <v>7216.6200154384524</v>
      </c>
      <c r="O170" s="27">
        <f t="shared" si="106"/>
        <v>7145.1039768514402</v>
      </c>
      <c r="P170" s="27">
        <f t="shared" si="106"/>
        <v>6989.693798865479</v>
      </c>
      <c r="Q170" s="27">
        <f t="shared" si="106"/>
        <v>6841.0585050295094</v>
      </c>
      <c r="R170" s="27">
        <f t="shared" si="106"/>
        <v>6657.2372256843155</v>
      </c>
      <c r="S170" s="27">
        <f t="shared" si="106"/>
        <v>6443.2047643153555</v>
      </c>
      <c r="T170" s="27">
        <f t="shared" si="106"/>
        <v>6239.2645299943752</v>
      </c>
      <c r="U170" s="27">
        <f t="shared" si="106"/>
        <v>5942.2701518031772</v>
      </c>
      <c r="V170" s="27">
        <f t="shared" si="106"/>
        <v>5668.8013730947596</v>
      </c>
      <c r="W170" s="27">
        <f t="shared" si="106"/>
        <v>5378.4835777761573</v>
      </c>
      <c r="X170" s="27">
        <f t="shared" si="106"/>
        <v>5057.9353440688765</v>
      </c>
      <c r="Y170" s="27">
        <f t="shared" si="106"/>
        <v>4689.4773879416534</v>
      </c>
      <c r="Z170" s="27">
        <f t="shared" si="106"/>
        <v>3989.4834556692185</v>
      </c>
      <c r="AA170" s="27">
        <f t="shared" si="106"/>
        <v>3054.3826860162912</v>
      </c>
      <c r="AB170" s="27">
        <f t="shared" si="106"/>
        <v>2136.7645416441328</v>
      </c>
      <c r="AC170" s="27">
        <f t="shared" si="106"/>
        <v>1358.1757395730151</v>
      </c>
      <c r="AD170" s="27">
        <f t="shared" si="106"/>
        <v>775.75445163110055</v>
      </c>
      <c r="AE170" s="27">
        <f t="shared" si="106"/>
        <v>431.34333234993858</v>
      </c>
      <c r="AF170" s="27">
        <f t="shared" si="106"/>
        <v>209.61130823672016</v>
      </c>
      <c r="AG170" s="27"/>
      <c r="AH170" s="27"/>
    </row>
    <row r="171" spans="1:34" x14ac:dyDescent="0.25">
      <c r="B171" s="3">
        <f t="shared" ref="B171:AF171" si="107">$C18*EXP(-B$168/$A18/EXP(-$C$126))</f>
        <v>0</v>
      </c>
      <c r="C171" s="3">
        <f t="shared" si="107"/>
        <v>0</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3.9092004224196182E-3</v>
      </c>
      <c r="C175" s="3">
        <f t="shared" si="111"/>
        <v>3.9092004224045331E-3</v>
      </c>
      <c r="D175" s="3">
        <f t="shared" si="111"/>
        <v>3.9092004222536858E-3</v>
      </c>
      <c r="E175" s="3">
        <f t="shared" si="111"/>
        <v>3.9092004207452085E-3</v>
      </c>
      <c r="F175" s="3">
        <f t="shared" si="111"/>
        <v>3.90920040566044E-3</v>
      </c>
      <c r="G175" s="3">
        <f t="shared" si="111"/>
        <v>3.9092002548127567E-3</v>
      </c>
      <c r="H175" s="3">
        <f t="shared" si="111"/>
        <v>3.9091987463362428E-3</v>
      </c>
      <c r="I175" s="3">
        <f t="shared" si="111"/>
        <v>3.9091836616031196E-3</v>
      </c>
      <c r="J175" s="3">
        <f t="shared" si="111"/>
        <v>3.9090328174733327E-3</v>
      </c>
      <c r="K175" s="3">
        <f t="shared" si="111"/>
        <v>3.9075246962736107E-3</v>
      </c>
      <c r="L175" s="3">
        <f t="shared" si="111"/>
        <v>3.8924754484368326E-3</v>
      </c>
      <c r="M175" s="3">
        <f t="shared" si="111"/>
        <v>3.7451342164743044E-3</v>
      </c>
      <c r="N175" s="3">
        <f t="shared" si="111"/>
        <v>2.5461408835412815E-3</v>
      </c>
      <c r="O175" s="3">
        <f t="shared" si="111"/>
        <v>5.370724451780499E-5</v>
      </c>
      <c r="P175" s="3">
        <f t="shared" si="111"/>
        <v>9.3656360893662874E-22</v>
      </c>
      <c r="Q175" s="3">
        <f t="shared" si="111"/>
        <v>2.4354619860680231E-189</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2.3295496720475699E-2</v>
      </c>
      <c r="C176" s="3">
        <f t="shared" si="112"/>
        <v>2.3295496720467587E-2</v>
      </c>
      <c r="D176" s="3">
        <f t="shared" si="112"/>
        <v>2.3295496720386499E-2</v>
      </c>
      <c r="E176" s="3">
        <f t="shared" si="112"/>
        <v>2.3295496719575592E-2</v>
      </c>
      <c r="F176" s="3">
        <f t="shared" si="112"/>
        <v>2.3295496711466555E-2</v>
      </c>
      <c r="G176" s="3">
        <f t="shared" si="112"/>
        <v>2.3295496630376188E-2</v>
      </c>
      <c r="H176" s="3">
        <f t="shared" si="112"/>
        <v>2.3295495819472496E-2</v>
      </c>
      <c r="I176" s="3">
        <f t="shared" si="112"/>
        <v>2.3295487710437181E-2</v>
      </c>
      <c r="J176" s="3">
        <f t="shared" si="112"/>
        <v>2.3295406620239257E-2</v>
      </c>
      <c r="K176" s="3">
        <f t="shared" si="112"/>
        <v>2.3294595733784715E-2</v>
      </c>
      <c r="L176" s="3">
        <f t="shared" si="112"/>
        <v>2.3286488421508818E-2</v>
      </c>
      <c r="M176" s="3">
        <f t="shared" si="112"/>
        <v>2.3205570325964969E-2</v>
      </c>
      <c r="N176" s="3">
        <f t="shared" si="112"/>
        <v>2.2411694270198294E-2</v>
      </c>
      <c r="O176" s="3">
        <f t="shared" si="112"/>
        <v>1.5823374884379193E-2</v>
      </c>
      <c r="P176" s="3">
        <f t="shared" si="112"/>
        <v>4.8701618879857009E-4</v>
      </c>
      <c r="Q176" s="3">
        <f t="shared" si="112"/>
        <v>3.7152342427528298E-19</v>
      </c>
      <c r="R176" s="3">
        <f t="shared" si="112"/>
        <v>2.479786163970112E-170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1.9365606168399229E-2</v>
      </c>
      <c r="C177" s="3">
        <f t="shared" si="113"/>
        <v>1.9365606168398618E-2</v>
      </c>
      <c r="D177" s="3">
        <f t="shared" si="113"/>
        <v>1.9365606168392537E-2</v>
      </c>
      <c r="E177" s="3">
        <f t="shared" si="113"/>
        <v>1.9365606168331728E-2</v>
      </c>
      <c r="F177" s="3">
        <f t="shared" si="113"/>
        <v>1.9365606167723631E-2</v>
      </c>
      <c r="G177" s="3">
        <f t="shared" si="113"/>
        <v>1.9365606161642627E-2</v>
      </c>
      <c r="H177" s="3">
        <f t="shared" si="113"/>
        <v>1.9365606100832627E-2</v>
      </c>
      <c r="I177" s="3">
        <f t="shared" si="113"/>
        <v>1.9365605492732654E-2</v>
      </c>
      <c r="J177" s="3">
        <f t="shared" si="113"/>
        <v>1.9365599411733929E-2</v>
      </c>
      <c r="K177" s="3">
        <f t="shared" si="113"/>
        <v>1.9365538601851719E-2</v>
      </c>
      <c r="L177" s="3">
        <f t="shared" si="113"/>
        <v>1.9364930513531723E-2</v>
      </c>
      <c r="M177" s="3">
        <f t="shared" si="113"/>
        <v>1.9358850680419343E-2</v>
      </c>
      <c r="N177" s="3">
        <f t="shared" si="113"/>
        <v>1.9298157236152781E-2</v>
      </c>
      <c r="O177" s="3">
        <f t="shared" si="113"/>
        <v>1.8701590634448172E-2</v>
      </c>
      <c r="P177" s="3">
        <f t="shared" si="113"/>
        <v>1.3661727037117856E-2</v>
      </c>
      <c r="Q177" s="3">
        <f t="shared" si="113"/>
        <v>5.9125684105115533E-4</v>
      </c>
      <c r="R177" s="3">
        <f t="shared" si="113"/>
        <v>1.3629562878751952E-17</v>
      </c>
      <c r="S177" s="3">
        <f t="shared" si="113"/>
        <v>5.7748328195762452E-154</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2.4448597422102234E-2</v>
      </c>
      <c r="C178" s="3">
        <f t="shared" si="114"/>
        <v>2.4448597422102165E-2</v>
      </c>
      <c r="D178" s="3">
        <f t="shared" si="114"/>
        <v>2.4448597422101474E-2</v>
      </c>
      <c r="E178" s="3">
        <f t="shared" si="114"/>
        <v>2.4448597422094546E-2</v>
      </c>
      <c r="F178" s="3">
        <f t="shared" si="114"/>
        <v>2.4448597422025292E-2</v>
      </c>
      <c r="G178" s="3">
        <f t="shared" si="114"/>
        <v>2.4448597421332752E-2</v>
      </c>
      <c r="H178" s="3">
        <f t="shared" si="114"/>
        <v>2.4448597414407358E-2</v>
      </c>
      <c r="I178" s="3">
        <f t="shared" si="114"/>
        <v>2.4448597345153429E-2</v>
      </c>
      <c r="J178" s="3">
        <f t="shared" si="114"/>
        <v>2.4448596652614112E-2</v>
      </c>
      <c r="K178" s="3">
        <f t="shared" si="114"/>
        <v>2.4448589727222043E-2</v>
      </c>
      <c r="L178" s="3">
        <f t="shared" si="114"/>
        <v>2.4448520473409261E-2</v>
      </c>
      <c r="M178" s="3">
        <f t="shared" si="114"/>
        <v>2.4447827946070713E-2</v>
      </c>
      <c r="N178" s="3">
        <f t="shared" si="114"/>
        <v>2.4440903751500407E-2</v>
      </c>
      <c r="O178" s="3">
        <f t="shared" si="114"/>
        <v>2.4371769574332666E-2</v>
      </c>
      <c r="P178" s="3">
        <f t="shared" si="114"/>
        <v>2.3691092557419274E-2</v>
      </c>
      <c r="Q178" s="3">
        <f t="shared" si="114"/>
        <v>1.78470051997013E-2</v>
      </c>
      <c r="R178" s="3">
        <f t="shared" si="114"/>
        <v>1.0504320335743352E-3</v>
      </c>
      <c r="S178" s="3">
        <f t="shared" si="114"/>
        <v>5.2407570740840646E-16</v>
      </c>
      <c r="T178" s="3">
        <f t="shared" si="114"/>
        <v>5.0078896192282363E-139</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3.2100597383085405E-2</v>
      </c>
      <c r="C179" s="3">
        <f t="shared" si="115"/>
        <v>3.2100597383085391E-2</v>
      </c>
      <c r="D179" s="3">
        <f t="shared" si="115"/>
        <v>3.2100597383085315E-2</v>
      </c>
      <c r="E179" s="3">
        <f t="shared" si="115"/>
        <v>3.2100597383084496E-2</v>
      </c>
      <c r="F179" s="3">
        <f t="shared" si="115"/>
        <v>3.2100597383076294E-2</v>
      </c>
      <c r="G179" s="3">
        <f t="shared" si="115"/>
        <v>3.2100597382994263E-2</v>
      </c>
      <c r="H179" s="3">
        <f t="shared" si="115"/>
        <v>3.2100597382174009E-2</v>
      </c>
      <c r="I179" s="3">
        <f t="shared" si="115"/>
        <v>3.2100597373971432E-2</v>
      </c>
      <c r="J179" s="3">
        <f t="shared" si="115"/>
        <v>3.2100597291945684E-2</v>
      </c>
      <c r="K179" s="3">
        <f t="shared" si="115"/>
        <v>3.2100596471688225E-2</v>
      </c>
      <c r="L179" s="3">
        <f t="shared" si="115"/>
        <v>3.2100588269114758E-2</v>
      </c>
      <c r="M179" s="3">
        <f t="shared" si="115"/>
        <v>3.2100506243495412E-2</v>
      </c>
      <c r="N179" s="3">
        <f t="shared" si="115"/>
        <v>3.2099685998829647E-2</v>
      </c>
      <c r="O179" s="3">
        <f t="shared" si="115"/>
        <v>3.2091484704840363E-2</v>
      </c>
      <c r="P179" s="3">
        <f t="shared" si="115"/>
        <v>3.2009586922871924E-2</v>
      </c>
      <c r="Q179" s="3">
        <f t="shared" si="115"/>
        <v>3.1202016759675259E-2</v>
      </c>
      <c r="R179" s="3">
        <f t="shared" si="115"/>
        <v>2.4166214540430459E-2</v>
      </c>
      <c r="S179" s="3">
        <f t="shared" si="115"/>
        <v>1.8770171288337819E-3</v>
      </c>
      <c r="T179" s="3">
        <f t="shared" si="115"/>
        <v>1.4999069828497312E-14</v>
      </c>
      <c r="U179" s="3">
        <f t="shared" si="115"/>
        <v>1.5923012600145471E-125</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2.4137735607646905E-2</v>
      </c>
      <c r="C180" s="3">
        <f t="shared" si="116"/>
        <v>2.4137735607646905E-2</v>
      </c>
      <c r="D180" s="3">
        <f t="shared" si="116"/>
        <v>2.4137735607646899E-2</v>
      </c>
      <c r="E180" s="3">
        <f t="shared" si="116"/>
        <v>2.4137735607646843E-2</v>
      </c>
      <c r="F180" s="3">
        <f t="shared" si="116"/>
        <v>2.4137735607646288E-2</v>
      </c>
      <c r="G180" s="3">
        <f t="shared" si="116"/>
        <v>2.4137735607640723E-2</v>
      </c>
      <c r="H180" s="3">
        <f t="shared" si="116"/>
        <v>2.4137735607585083E-2</v>
      </c>
      <c r="I180" s="3">
        <f t="shared" si="116"/>
        <v>2.4137735607028695E-2</v>
      </c>
      <c r="J180" s="3">
        <f t="shared" si="116"/>
        <v>2.4137735601464785E-2</v>
      </c>
      <c r="K180" s="3">
        <f t="shared" si="116"/>
        <v>2.413773554582567E-2</v>
      </c>
      <c r="L180" s="3">
        <f t="shared" si="116"/>
        <v>2.4137734989434546E-2</v>
      </c>
      <c r="M180" s="3">
        <f t="shared" si="116"/>
        <v>2.4137729425524019E-2</v>
      </c>
      <c r="N180" s="3">
        <f t="shared" si="116"/>
        <v>2.4137673786489275E-2</v>
      </c>
      <c r="O180" s="3">
        <f t="shared" si="116"/>
        <v>2.4137117403195626E-2</v>
      </c>
      <c r="P180" s="3">
        <f t="shared" si="116"/>
        <v>2.4131554275577876E-2</v>
      </c>
      <c r="Q180" s="3">
        <f t="shared" si="116"/>
        <v>2.4075993471153852E-2</v>
      </c>
      <c r="R180" s="3">
        <f t="shared" si="116"/>
        <v>2.3527372867450744E-2</v>
      </c>
      <c r="S180" s="3">
        <f t="shared" si="116"/>
        <v>1.8683817646406704E-2</v>
      </c>
      <c r="T180" s="3">
        <f t="shared" si="116"/>
        <v>1.8637491820045027E-3</v>
      </c>
      <c r="U180" s="3">
        <f t="shared" si="116"/>
        <v>1.8180504270199536E-13</v>
      </c>
      <c r="V180" s="3">
        <f t="shared" si="116"/>
        <v>1.4183731999969218E-113</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4.5517611487633891E-2</v>
      </c>
      <c r="C181" s="3">
        <f t="shared" si="117"/>
        <v>4.5517611487633891E-2</v>
      </c>
      <c r="D181" s="3">
        <f t="shared" si="117"/>
        <v>4.5517611487633891E-2</v>
      </c>
      <c r="E181" s="3">
        <f t="shared" si="117"/>
        <v>4.5517611487633884E-2</v>
      </c>
      <c r="F181" s="3">
        <f t="shared" si="117"/>
        <v>4.5517611487633787E-2</v>
      </c>
      <c r="G181" s="3">
        <f t="shared" si="117"/>
        <v>4.5517611487632843E-2</v>
      </c>
      <c r="H181" s="3">
        <f t="shared" si="117"/>
        <v>4.5517611487623372E-2</v>
      </c>
      <c r="I181" s="3">
        <f t="shared" si="117"/>
        <v>4.5517611487528725E-2</v>
      </c>
      <c r="J181" s="3">
        <f t="shared" si="117"/>
        <v>4.5517611486582246E-2</v>
      </c>
      <c r="K181" s="3">
        <f t="shared" si="117"/>
        <v>4.5517611477117491E-2</v>
      </c>
      <c r="L181" s="3">
        <f t="shared" si="117"/>
        <v>4.5517611382469861E-2</v>
      </c>
      <c r="M181" s="3">
        <f t="shared" si="117"/>
        <v>4.5517610435993609E-2</v>
      </c>
      <c r="N181" s="3">
        <f t="shared" si="117"/>
        <v>4.5517600971232142E-2</v>
      </c>
      <c r="O181" s="3">
        <f t="shared" si="117"/>
        <v>4.5517506323725726E-2</v>
      </c>
      <c r="P181" s="3">
        <f t="shared" si="117"/>
        <v>4.5516559859485876E-2</v>
      </c>
      <c r="Q181" s="3">
        <f t="shared" si="117"/>
        <v>4.5507096299432011E-2</v>
      </c>
      <c r="R181" s="3">
        <f t="shared" si="117"/>
        <v>4.5412568850128378E-2</v>
      </c>
      <c r="S181" s="3">
        <f t="shared" si="117"/>
        <v>4.4478026733683333E-2</v>
      </c>
      <c r="T181" s="3">
        <f t="shared" si="117"/>
        <v>3.6127668384081088E-2</v>
      </c>
      <c r="U181" s="3">
        <f t="shared" si="117"/>
        <v>4.5163142939850963E-3</v>
      </c>
      <c r="V181" s="3">
        <f t="shared" si="117"/>
        <v>4.2094600344251206E-12</v>
      </c>
      <c r="W181" s="3">
        <f t="shared" si="117"/>
        <v>2.0828055406828269E-102</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3.7438549850033177E-2</v>
      </c>
      <c r="C182" s="3">
        <f t="shared" si="118"/>
        <v>3.7438549850033177E-2</v>
      </c>
      <c r="D182" s="3">
        <f t="shared" si="118"/>
        <v>3.7438549850033177E-2</v>
      </c>
      <c r="E182" s="3">
        <f t="shared" si="118"/>
        <v>3.7438549850033177E-2</v>
      </c>
      <c r="F182" s="3">
        <f t="shared" si="118"/>
        <v>3.743854985003317E-2</v>
      </c>
      <c r="G182" s="3">
        <f t="shared" si="118"/>
        <v>3.7438549850033101E-2</v>
      </c>
      <c r="H182" s="3">
        <f t="shared" si="118"/>
        <v>3.7438549850032393E-2</v>
      </c>
      <c r="I182" s="3">
        <f t="shared" si="118"/>
        <v>3.7438549850025378E-2</v>
      </c>
      <c r="J182" s="3">
        <f t="shared" si="118"/>
        <v>3.7438549849955149E-2</v>
      </c>
      <c r="K182" s="3">
        <f t="shared" si="118"/>
        <v>3.7438549849252892E-2</v>
      </c>
      <c r="L182" s="3">
        <f t="shared" si="118"/>
        <v>3.7438549842230322E-2</v>
      </c>
      <c r="M182" s="3">
        <f t="shared" si="118"/>
        <v>3.7438549772004656E-2</v>
      </c>
      <c r="N182" s="3">
        <f t="shared" si="118"/>
        <v>3.7438549069747994E-2</v>
      </c>
      <c r="O182" s="3">
        <f t="shared" si="118"/>
        <v>3.7438542047182097E-2</v>
      </c>
      <c r="P182" s="3">
        <f t="shared" si="118"/>
        <v>3.7438471821595556E-2</v>
      </c>
      <c r="Q182" s="3">
        <f t="shared" si="118"/>
        <v>3.7437769572975024E-2</v>
      </c>
      <c r="R182" s="3">
        <f t="shared" si="118"/>
        <v>3.7430747811208899E-2</v>
      </c>
      <c r="S182" s="3">
        <f t="shared" si="118"/>
        <v>3.7360602587212084E-2</v>
      </c>
      <c r="T182" s="3">
        <f t="shared" si="118"/>
        <v>3.6666339721370372E-2</v>
      </c>
      <c r="U182" s="3">
        <f t="shared" si="118"/>
        <v>3.0395158624457099E-2</v>
      </c>
      <c r="V182" s="3">
        <f t="shared" si="118"/>
        <v>4.6577157034466592E-3</v>
      </c>
      <c r="W182" s="3">
        <f t="shared" si="118"/>
        <v>3.3255126263633112E-11</v>
      </c>
      <c r="X182" s="3">
        <f t="shared" si="118"/>
        <v>1.144761053835809E-92</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4.1083418704934697E-2</v>
      </c>
      <c r="C183" s="3">
        <f t="shared" si="119"/>
        <v>4.1083418704934697E-2</v>
      </c>
      <c r="D183" s="3">
        <f t="shared" si="119"/>
        <v>4.1083418704934697E-2</v>
      </c>
      <c r="E183" s="3">
        <f t="shared" si="119"/>
        <v>4.1083418704934697E-2</v>
      </c>
      <c r="F183" s="3">
        <f t="shared" si="119"/>
        <v>4.1083418704934697E-2</v>
      </c>
      <c r="G183" s="3">
        <f t="shared" si="119"/>
        <v>4.1083418704934691E-2</v>
      </c>
      <c r="H183" s="3">
        <f t="shared" si="119"/>
        <v>4.1083418704934621E-2</v>
      </c>
      <c r="I183" s="3">
        <f t="shared" si="119"/>
        <v>4.1083418704933927E-2</v>
      </c>
      <c r="J183" s="3">
        <f t="shared" si="119"/>
        <v>4.1083418704926974E-2</v>
      </c>
      <c r="K183" s="3">
        <f t="shared" si="119"/>
        <v>4.1083418704857461E-2</v>
      </c>
      <c r="L183" s="3">
        <f t="shared" si="119"/>
        <v>4.1083418704162288E-2</v>
      </c>
      <c r="M183" s="3">
        <f t="shared" si="119"/>
        <v>4.1083418697210605E-2</v>
      </c>
      <c r="N183" s="3">
        <f t="shared" si="119"/>
        <v>4.1083418627693762E-2</v>
      </c>
      <c r="O183" s="3">
        <f t="shared" si="119"/>
        <v>4.1083417932525373E-2</v>
      </c>
      <c r="P183" s="3">
        <f t="shared" si="119"/>
        <v>4.108341098084211E-2</v>
      </c>
      <c r="Q183" s="3">
        <f t="shared" si="119"/>
        <v>4.1083341464074156E-2</v>
      </c>
      <c r="R183" s="3">
        <f t="shared" si="119"/>
        <v>4.1082646302864165E-2</v>
      </c>
      <c r="S183" s="3">
        <f t="shared" si="119"/>
        <v>4.1075695337677326E-2</v>
      </c>
      <c r="T183" s="3">
        <f t="shared" si="119"/>
        <v>4.1006250336635824E-2</v>
      </c>
      <c r="U183" s="3">
        <f t="shared" si="119"/>
        <v>4.0318225115296619E-2</v>
      </c>
      <c r="V183" s="3">
        <f t="shared" si="119"/>
        <v>3.4041984735879292E-2</v>
      </c>
      <c r="W183" s="3">
        <f t="shared" si="119"/>
        <v>6.2682967033456617E-3</v>
      </c>
      <c r="X183" s="3">
        <f t="shared" si="119"/>
        <v>2.8086412525793107E-10</v>
      </c>
      <c r="Y183" s="3">
        <f t="shared" si="119"/>
        <v>9.1614353729880648E-84</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4.6249511553516282E-2</v>
      </c>
      <c r="C184" s="3">
        <f t="shared" si="120"/>
        <v>4.6249511553516282E-2</v>
      </c>
      <c r="D184" s="3">
        <f t="shared" si="120"/>
        <v>4.6249511553516282E-2</v>
      </c>
      <c r="E184" s="3">
        <f t="shared" si="120"/>
        <v>4.6249511553516282E-2</v>
      </c>
      <c r="F184" s="3">
        <f t="shared" si="120"/>
        <v>4.6249511553516282E-2</v>
      </c>
      <c r="G184" s="3">
        <f t="shared" si="120"/>
        <v>4.6249511553516282E-2</v>
      </c>
      <c r="H184" s="3">
        <f t="shared" si="120"/>
        <v>4.6249511553516275E-2</v>
      </c>
      <c r="I184" s="3">
        <f t="shared" si="120"/>
        <v>4.6249511553516205E-2</v>
      </c>
      <c r="J184" s="3">
        <f t="shared" si="120"/>
        <v>4.6249511553515497E-2</v>
      </c>
      <c r="K184" s="3">
        <f t="shared" si="120"/>
        <v>4.6249511553508434E-2</v>
      </c>
      <c r="L184" s="3">
        <f t="shared" si="120"/>
        <v>4.6249511553437844E-2</v>
      </c>
      <c r="M184" s="3">
        <f t="shared" si="120"/>
        <v>4.6249511552731888E-2</v>
      </c>
      <c r="N184" s="3">
        <f t="shared" si="120"/>
        <v>4.6249511545672334E-2</v>
      </c>
      <c r="O184" s="3">
        <f t="shared" si="120"/>
        <v>4.6249511475076804E-2</v>
      </c>
      <c r="P184" s="3">
        <f t="shared" si="120"/>
        <v>4.6249510769121538E-2</v>
      </c>
      <c r="Q184" s="3">
        <f t="shared" si="120"/>
        <v>4.6249503709569456E-2</v>
      </c>
      <c r="R184" s="3">
        <f t="shared" si="120"/>
        <v>4.6249433114107917E-2</v>
      </c>
      <c r="S184" s="3">
        <f t="shared" si="120"/>
        <v>4.6248727165419154E-2</v>
      </c>
      <c r="T184" s="3">
        <f t="shared" si="120"/>
        <v>4.6241668271160184E-2</v>
      </c>
      <c r="U184" s="3">
        <f t="shared" si="120"/>
        <v>4.6171138557981564E-2</v>
      </c>
      <c r="V184" s="3">
        <f t="shared" si="120"/>
        <v>4.5471731052442614E-2</v>
      </c>
      <c r="W184" s="3">
        <f t="shared" si="120"/>
        <v>3.9034670841504658E-2</v>
      </c>
      <c r="X184" s="3">
        <f t="shared" si="120"/>
        <v>8.4828319069828462E-3</v>
      </c>
      <c r="Y184" s="3">
        <f t="shared" si="120"/>
        <v>1.9927107253893234E-9</v>
      </c>
      <c r="Z184" s="3">
        <f t="shared" si="120"/>
        <v>1.0197136409069203E-75</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4.2148935673183355E-2</v>
      </c>
      <c r="C185" s="3">
        <f t="shared" si="121"/>
        <v>4.2148935673183355E-2</v>
      </c>
      <c r="D185" s="3">
        <f t="shared" si="121"/>
        <v>4.2148935673183355E-2</v>
      </c>
      <c r="E185" s="3">
        <f t="shared" si="121"/>
        <v>4.2148935673183355E-2</v>
      </c>
      <c r="F185" s="3">
        <f t="shared" si="121"/>
        <v>4.2148935673183355E-2</v>
      </c>
      <c r="G185" s="3">
        <f t="shared" si="121"/>
        <v>4.2148935673183355E-2</v>
      </c>
      <c r="H185" s="3">
        <f t="shared" si="121"/>
        <v>4.2148935673183355E-2</v>
      </c>
      <c r="I185" s="3">
        <f t="shared" si="121"/>
        <v>4.2148935673183348E-2</v>
      </c>
      <c r="J185" s="3">
        <f t="shared" si="121"/>
        <v>4.2148935673183292E-2</v>
      </c>
      <c r="K185" s="3">
        <f t="shared" si="121"/>
        <v>4.2148935673182709E-2</v>
      </c>
      <c r="L185" s="3">
        <f t="shared" si="121"/>
        <v>4.2148935673176909E-2</v>
      </c>
      <c r="M185" s="3">
        <f t="shared" si="121"/>
        <v>4.2148935673118872E-2</v>
      </c>
      <c r="N185" s="3">
        <f t="shared" si="121"/>
        <v>4.2148935672538503E-2</v>
      </c>
      <c r="O185" s="3">
        <f t="shared" si="121"/>
        <v>4.2148935666734826E-2</v>
      </c>
      <c r="P185" s="3">
        <f t="shared" si="121"/>
        <v>4.2148935608698056E-2</v>
      </c>
      <c r="Q185" s="3">
        <f t="shared" si="121"/>
        <v>4.214893502833035E-2</v>
      </c>
      <c r="R185" s="3">
        <f t="shared" si="121"/>
        <v>4.2148929224653763E-2</v>
      </c>
      <c r="S185" s="3">
        <f t="shared" si="121"/>
        <v>4.2148871187931806E-2</v>
      </c>
      <c r="T185" s="3">
        <f t="shared" si="121"/>
        <v>4.2148290825107487E-2</v>
      </c>
      <c r="U185" s="3">
        <f t="shared" si="121"/>
        <v>4.2142487636363399E-2</v>
      </c>
      <c r="V185" s="3">
        <f t="shared" si="121"/>
        <v>4.2084499676447847E-2</v>
      </c>
      <c r="W185" s="3">
        <f t="shared" si="121"/>
        <v>4.1508990532274352E-2</v>
      </c>
      <c r="X185" s="3">
        <f t="shared" si="121"/>
        <v>3.6169475044222757E-2</v>
      </c>
      <c r="Y185" s="3">
        <f t="shared" si="121"/>
        <v>9.1273045785422308E-3</v>
      </c>
      <c r="Z185" s="3">
        <f t="shared" si="121"/>
        <v>9.5575354961457034E-9</v>
      </c>
      <c r="AA185" s="3">
        <f t="shared" si="121"/>
        <v>1.5148850652936416E-68</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0.11274262500279238</v>
      </c>
      <c r="C186" s="3">
        <f t="shared" si="122"/>
        <v>0.11274262500279238</v>
      </c>
      <c r="D186" s="3">
        <f t="shared" si="122"/>
        <v>0.11274262500279238</v>
      </c>
      <c r="E186" s="3">
        <f t="shared" si="122"/>
        <v>0.11274262500279238</v>
      </c>
      <c r="F186" s="3">
        <f t="shared" si="122"/>
        <v>0.11274262500279238</v>
      </c>
      <c r="G186" s="3">
        <f t="shared" si="122"/>
        <v>0.11274262500279238</v>
      </c>
      <c r="H186" s="3">
        <f t="shared" si="122"/>
        <v>0.11274262500279238</v>
      </c>
      <c r="I186" s="3">
        <f t="shared" si="122"/>
        <v>0.11274262500279238</v>
      </c>
      <c r="J186" s="3">
        <f t="shared" si="122"/>
        <v>0.11274262500279236</v>
      </c>
      <c r="K186" s="3">
        <f t="shared" si="122"/>
        <v>0.11274262500279222</v>
      </c>
      <c r="L186" s="3">
        <f t="shared" si="122"/>
        <v>0.11274262500279082</v>
      </c>
      <c r="M186" s="3">
        <f t="shared" si="122"/>
        <v>0.11274262500277682</v>
      </c>
      <c r="N186" s="3">
        <f t="shared" si="122"/>
        <v>0.11274262500263678</v>
      </c>
      <c r="O186" s="3">
        <f t="shared" si="122"/>
        <v>0.11274262500123639</v>
      </c>
      <c r="P186" s="3">
        <f t="shared" si="122"/>
        <v>0.11274262498723239</v>
      </c>
      <c r="Q186" s="3">
        <f t="shared" si="122"/>
        <v>0.11274262484719265</v>
      </c>
      <c r="R186" s="3">
        <f t="shared" si="122"/>
        <v>0.11274262344679505</v>
      </c>
      <c r="S186" s="3">
        <f t="shared" si="122"/>
        <v>0.11274260944282001</v>
      </c>
      <c r="T186" s="3">
        <f t="shared" si="122"/>
        <v>0.11274246940316536</v>
      </c>
      <c r="U186" s="3">
        <f t="shared" si="122"/>
        <v>0.11274106901618584</v>
      </c>
      <c r="V186" s="3">
        <f t="shared" si="122"/>
        <v>0.11272706610304516</v>
      </c>
      <c r="W186" s="3">
        <f t="shared" si="122"/>
        <v>0.11258713259313054</v>
      </c>
      <c r="X186" s="3">
        <f t="shared" si="122"/>
        <v>0.11119731584273701</v>
      </c>
      <c r="Y186" s="3">
        <f t="shared" si="122"/>
        <v>9.8208654180147514E-2</v>
      </c>
      <c r="Z186" s="3">
        <f t="shared" si="122"/>
        <v>2.8359875203963443E-2</v>
      </c>
      <c r="AA186" s="3">
        <f t="shared" si="122"/>
        <v>1.143536083912845E-7</v>
      </c>
      <c r="AB186" s="3">
        <f t="shared" si="122"/>
        <v>1.2992880697955977E-61</v>
      </c>
      <c r="AC186" s="3">
        <f t="shared" si="122"/>
        <v>0</v>
      </c>
      <c r="AD186" s="3">
        <f t="shared" si="122"/>
        <v>0</v>
      </c>
      <c r="AE186" s="3">
        <f t="shared" si="122"/>
        <v>0</v>
      </c>
      <c r="AF186" s="3">
        <f t="shared" si="122"/>
        <v>0</v>
      </c>
      <c r="AG186" s="3"/>
      <c r="AH186" s="3"/>
    </row>
    <row r="187" spans="2:34" x14ac:dyDescent="0.25">
      <c r="B187" s="3">
        <f t="shared" ref="B187:AF187" si="123">$C34*EXP(-B$168/$A34/EXP(-$C$126))</f>
        <v>0.14424606622338945</v>
      </c>
      <c r="C187" s="3">
        <f t="shared" si="123"/>
        <v>0.14424606622338945</v>
      </c>
      <c r="D187" s="3">
        <f t="shared" si="123"/>
        <v>0.14424606622338945</v>
      </c>
      <c r="E187" s="3">
        <f t="shared" si="123"/>
        <v>0.14424606622338945</v>
      </c>
      <c r="F187" s="3">
        <f t="shared" si="123"/>
        <v>0.14424606622338945</v>
      </c>
      <c r="G187" s="3">
        <f t="shared" si="123"/>
        <v>0.14424606622338945</v>
      </c>
      <c r="H187" s="3">
        <f t="shared" si="123"/>
        <v>0.14424606622338945</v>
      </c>
      <c r="I187" s="3">
        <f t="shared" si="123"/>
        <v>0.14424606622338945</v>
      </c>
      <c r="J187" s="3">
        <f t="shared" si="123"/>
        <v>0.14424606622338945</v>
      </c>
      <c r="K187" s="3">
        <f t="shared" si="123"/>
        <v>0.14424606622338942</v>
      </c>
      <c r="L187" s="3">
        <f t="shared" si="123"/>
        <v>0.14424606622338929</v>
      </c>
      <c r="M187" s="3">
        <f t="shared" si="123"/>
        <v>0.14424606622338765</v>
      </c>
      <c r="N187" s="3">
        <f t="shared" si="123"/>
        <v>0.14424606622337149</v>
      </c>
      <c r="O187" s="3">
        <f t="shared" si="123"/>
        <v>0.14424606622320987</v>
      </c>
      <c r="P187" s="3">
        <f t="shared" si="123"/>
        <v>0.14424606622159361</v>
      </c>
      <c r="Q187" s="3">
        <f t="shared" si="123"/>
        <v>0.1442460662054309</v>
      </c>
      <c r="R187" s="3">
        <f t="shared" si="123"/>
        <v>0.14424606604380394</v>
      </c>
      <c r="S187" s="3">
        <f t="shared" si="123"/>
        <v>0.14424606442753443</v>
      </c>
      <c r="T187" s="3">
        <f t="shared" si="123"/>
        <v>0.14424604826484017</v>
      </c>
      <c r="U187" s="3">
        <f t="shared" si="123"/>
        <v>0.14424588663799712</v>
      </c>
      <c r="V187" s="3">
        <f t="shared" si="123"/>
        <v>0.14424427037952742</v>
      </c>
      <c r="W187" s="3">
        <f t="shared" si="123"/>
        <v>0.14422810879084633</v>
      </c>
      <c r="X187" s="3">
        <f t="shared" si="123"/>
        <v>0.14406659246434658</v>
      </c>
      <c r="Y187" s="3">
        <f t="shared" si="123"/>
        <v>0.14246134407789632</v>
      </c>
      <c r="Z187" s="3">
        <f t="shared" si="123"/>
        <v>0.12736044582305725</v>
      </c>
      <c r="AA187" s="3">
        <f t="shared" si="123"/>
        <v>4.1534587573956915E-2</v>
      </c>
      <c r="AB187" s="3">
        <f t="shared" si="123"/>
        <v>5.651493339754709E-7</v>
      </c>
      <c r="AC187" s="3">
        <f t="shared" si="123"/>
        <v>1.2294090260296189E-55</v>
      </c>
      <c r="AD187" s="3">
        <f t="shared" si="123"/>
        <v>0</v>
      </c>
      <c r="AE187" s="3">
        <f t="shared" si="123"/>
        <v>0</v>
      </c>
      <c r="AF187" s="3">
        <f t="shared" si="123"/>
        <v>0</v>
      </c>
      <c r="AG187" s="3"/>
      <c r="AH187" s="3"/>
    </row>
    <row r="188" spans="2:34" x14ac:dyDescent="0.25">
      <c r="B188" s="3">
        <f t="shared" ref="B188:AF188" si="124">$C35*EXP(-B$168/$A35/EXP(-$C$126))</f>
        <v>0.12974045708141974</v>
      </c>
      <c r="C188" s="3">
        <f t="shared" si="124"/>
        <v>0.12974045708141974</v>
      </c>
      <c r="D188" s="3">
        <f t="shared" si="124"/>
        <v>0.12974045708141974</v>
      </c>
      <c r="E188" s="3">
        <f t="shared" si="124"/>
        <v>0.12974045708141974</v>
      </c>
      <c r="F188" s="3">
        <f t="shared" si="124"/>
        <v>0.12974045708141974</v>
      </c>
      <c r="G188" s="3">
        <f t="shared" si="124"/>
        <v>0.12974045708141974</v>
      </c>
      <c r="H188" s="3">
        <f t="shared" si="124"/>
        <v>0.12974045708141974</v>
      </c>
      <c r="I188" s="3">
        <f t="shared" si="124"/>
        <v>0.12974045708141974</v>
      </c>
      <c r="J188" s="3">
        <f t="shared" si="124"/>
        <v>0.12974045708141974</v>
      </c>
      <c r="K188" s="3">
        <f t="shared" si="124"/>
        <v>0.12974045708141974</v>
      </c>
      <c r="L188" s="3">
        <f t="shared" si="124"/>
        <v>0.12974045708141971</v>
      </c>
      <c r="M188" s="3">
        <f t="shared" si="124"/>
        <v>0.1297404570814196</v>
      </c>
      <c r="N188" s="3">
        <f t="shared" si="124"/>
        <v>0.12974045708141829</v>
      </c>
      <c r="O188" s="3">
        <f t="shared" si="124"/>
        <v>0.12974045708140516</v>
      </c>
      <c r="P188" s="3">
        <f t="shared" si="124"/>
        <v>0.12974045708127402</v>
      </c>
      <c r="Q188" s="3">
        <f t="shared" si="124"/>
        <v>0.12974045707996262</v>
      </c>
      <c r="R188" s="3">
        <f t="shared" si="124"/>
        <v>0.12974045706684872</v>
      </c>
      <c r="S188" s="3">
        <f t="shared" si="124"/>
        <v>0.12974045693570974</v>
      </c>
      <c r="T188" s="3">
        <f t="shared" si="124"/>
        <v>0.12974045562431988</v>
      </c>
      <c r="U188" s="3">
        <f t="shared" si="124"/>
        <v>0.12974044251042202</v>
      </c>
      <c r="V188" s="3">
        <f t="shared" si="124"/>
        <v>0.12974031137151623</v>
      </c>
      <c r="W188" s="3">
        <f t="shared" si="124"/>
        <v>0.12973899998974869</v>
      </c>
      <c r="X188" s="3">
        <f t="shared" si="124"/>
        <v>0.12972588690108236</v>
      </c>
      <c r="Y188" s="3">
        <f t="shared" si="124"/>
        <v>0.12959482888805846</v>
      </c>
      <c r="Z188" s="3">
        <f t="shared" si="124"/>
        <v>0.12829150894139829</v>
      </c>
      <c r="AA188" s="3">
        <f t="shared" si="124"/>
        <v>0.11595789417515301</v>
      </c>
      <c r="AB188" s="3">
        <f t="shared" si="124"/>
        <v>4.2201159717377361E-2</v>
      </c>
      <c r="AC188" s="3">
        <f t="shared" si="124"/>
        <v>1.7201449536434089E-6</v>
      </c>
      <c r="AD188" s="3">
        <f t="shared" si="124"/>
        <v>2.1775675909043655E-50</v>
      </c>
      <c r="AE188" s="3">
        <f t="shared" si="124"/>
        <v>0</v>
      </c>
      <c r="AF188" s="3">
        <f t="shared" si="124"/>
        <v>0</v>
      </c>
      <c r="AG188" s="3"/>
      <c r="AH188" s="3"/>
    </row>
    <row r="189" spans="2:34" x14ac:dyDescent="0.25">
      <c r="B189" s="3">
        <f t="shared" ref="B189:AF189" si="125">$C36*EXP(-B$168/$A36/EXP(-$C$126))</f>
        <v>0.10714973449748261</v>
      </c>
      <c r="C189" s="3">
        <f t="shared" si="125"/>
        <v>0.10714973449748261</v>
      </c>
      <c r="D189" s="3">
        <f t="shared" si="125"/>
        <v>0.10714973449748261</v>
      </c>
      <c r="E189" s="3">
        <f t="shared" si="125"/>
        <v>0.10714973449748261</v>
      </c>
      <c r="F189" s="3">
        <f t="shared" si="125"/>
        <v>0.10714973449748261</v>
      </c>
      <c r="G189" s="3">
        <f t="shared" si="125"/>
        <v>0.10714973449748261</v>
      </c>
      <c r="H189" s="3">
        <f t="shared" si="125"/>
        <v>0.10714973449748261</v>
      </c>
      <c r="I189" s="3">
        <f t="shared" si="125"/>
        <v>0.10714973449748261</v>
      </c>
      <c r="J189" s="3">
        <f t="shared" si="125"/>
        <v>0.10714973449748261</v>
      </c>
      <c r="K189" s="3">
        <f t="shared" si="125"/>
        <v>0.10714973449748261</v>
      </c>
      <c r="L189" s="3">
        <f t="shared" si="125"/>
        <v>0.10714973449748261</v>
      </c>
      <c r="M189" s="3">
        <f t="shared" si="125"/>
        <v>0.10714973449748259</v>
      </c>
      <c r="N189" s="3">
        <f t="shared" si="125"/>
        <v>0.1071497344974825</v>
      </c>
      <c r="O189" s="3">
        <f t="shared" si="125"/>
        <v>0.10714973449748152</v>
      </c>
      <c r="P189" s="3">
        <f t="shared" si="125"/>
        <v>0.10714973449747174</v>
      </c>
      <c r="Q189" s="3">
        <f t="shared" si="125"/>
        <v>0.10714973449737406</v>
      </c>
      <c r="R189" s="3">
        <f t="shared" si="125"/>
        <v>0.10714973449639704</v>
      </c>
      <c r="S189" s="3">
        <f t="shared" si="125"/>
        <v>0.10714973448662705</v>
      </c>
      <c r="T189" s="3">
        <f t="shared" si="125"/>
        <v>0.10714973438892718</v>
      </c>
      <c r="U189" s="3">
        <f t="shared" si="125"/>
        <v>0.10714973341192824</v>
      </c>
      <c r="V189" s="3">
        <f t="shared" si="125"/>
        <v>0.10714972364193943</v>
      </c>
      <c r="W189" s="3">
        <f t="shared" si="125"/>
        <v>0.10714962594210034</v>
      </c>
      <c r="X189" s="3">
        <f t="shared" si="125"/>
        <v>0.107148648948609</v>
      </c>
      <c r="Y189" s="3">
        <f t="shared" si="125"/>
        <v>0.10713887950363626</v>
      </c>
      <c r="Z189" s="3">
        <f t="shared" si="125"/>
        <v>0.10704123403145085</v>
      </c>
      <c r="AA189" s="3">
        <f t="shared" si="125"/>
        <v>0.10606966058052804</v>
      </c>
      <c r="AB189" s="3">
        <f t="shared" si="125"/>
        <v>9.68259792566699E-2</v>
      </c>
      <c r="AC189" s="3">
        <f t="shared" si="125"/>
        <v>3.8904432639412165E-2</v>
      </c>
      <c r="AD189" s="3">
        <f t="shared" si="125"/>
        <v>4.2664923236474118E-6</v>
      </c>
      <c r="AE189" s="3">
        <f t="shared" si="125"/>
        <v>1.0734697050149847E-45</v>
      </c>
      <c r="AF189" s="3">
        <f t="shared" si="125"/>
        <v>0</v>
      </c>
      <c r="AG189" s="3"/>
      <c r="AH189" s="3"/>
    </row>
    <row r="190" spans="2:34" x14ac:dyDescent="0.25">
      <c r="B190" s="3">
        <f t="shared" ref="B190:AF190" si="126">$C37*EXP(-B$168/$A37/EXP(-$C$126))</f>
        <v>7.4657991153057213E-2</v>
      </c>
      <c r="C190" s="3">
        <f t="shared" si="126"/>
        <v>7.4657991153057213E-2</v>
      </c>
      <c r="D190" s="3">
        <f t="shared" si="126"/>
        <v>7.4657991153057213E-2</v>
      </c>
      <c r="E190" s="3">
        <f t="shared" si="126"/>
        <v>7.4657991153057213E-2</v>
      </c>
      <c r="F190" s="3">
        <f t="shared" si="126"/>
        <v>7.4657991153057213E-2</v>
      </c>
      <c r="G190" s="3">
        <f t="shared" si="126"/>
        <v>7.4657991153057213E-2</v>
      </c>
      <c r="H190" s="3">
        <f t="shared" si="126"/>
        <v>7.4657991153057213E-2</v>
      </c>
      <c r="I190" s="3">
        <f t="shared" si="126"/>
        <v>7.4657991153057213E-2</v>
      </c>
      <c r="J190" s="3">
        <f t="shared" si="126"/>
        <v>7.4657991153057213E-2</v>
      </c>
      <c r="K190" s="3">
        <f t="shared" si="126"/>
        <v>7.4657991153057213E-2</v>
      </c>
      <c r="L190" s="3">
        <f t="shared" si="126"/>
        <v>7.4657991153057213E-2</v>
      </c>
      <c r="M190" s="3">
        <f t="shared" si="126"/>
        <v>7.4657991153057213E-2</v>
      </c>
      <c r="N190" s="3">
        <f t="shared" si="126"/>
        <v>7.4657991153057199E-2</v>
      </c>
      <c r="O190" s="3">
        <f t="shared" si="126"/>
        <v>7.4657991153057143E-2</v>
      </c>
      <c r="P190" s="3">
        <f t="shared" si="126"/>
        <v>7.4657991153056533E-2</v>
      </c>
      <c r="Q190" s="3">
        <f t="shared" si="126"/>
        <v>7.4657991153050385E-2</v>
      </c>
      <c r="R190" s="3">
        <f t="shared" si="126"/>
        <v>7.4657991152988976E-2</v>
      </c>
      <c r="S190" s="3">
        <f t="shared" si="126"/>
        <v>7.4657991152374897E-2</v>
      </c>
      <c r="T190" s="3">
        <f t="shared" si="126"/>
        <v>7.4657991146234087E-2</v>
      </c>
      <c r="U190" s="3">
        <f t="shared" si="126"/>
        <v>7.4657991084825945E-2</v>
      </c>
      <c r="V190" s="3">
        <f t="shared" si="126"/>
        <v>7.4657990470744645E-2</v>
      </c>
      <c r="W190" s="3">
        <f t="shared" si="126"/>
        <v>7.4657984329931815E-2</v>
      </c>
      <c r="X190" s="3">
        <f t="shared" si="126"/>
        <v>7.4657922921831307E-2</v>
      </c>
      <c r="Y190" s="3">
        <f t="shared" si="126"/>
        <v>7.4657308843604275E-2</v>
      </c>
      <c r="Z190" s="3">
        <f t="shared" si="126"/>
        <v>7.4651168339128368E-2</v>
      </c>
      <c r="AA190" s="3">
        <f t="shared" si="126"/>
        <v>7.4589791065355612E-2</v>
      </c>
      <c r="AB190" s="3">
        <f t="shared" si="126"/>
        <v>7.3978786993163501E-2</v>
      </c>
      <c r="AC190" s="3">
        <f t="shared" si="126"/>
        <v>6.8137369002615411E-2</v>
      </c>
      <c r="AD190" s="3">
        <f t="shared" si="126"/>
        <v>2.9934147923260268E-2</v>
      </c>
      <c r="AE190" s="3">
        <f t="shared" si="126"/>
        <v>8.0164539858627315E-6</v>
      </c>
      <c r="AF190" s="3">
        <f t="shared" si="126"/>
        <v>1.5210249582860746E-41</v>
      </c>
      <c r="AG190" s="3"/>
      <c r="AH190" s="3"/>
    </row>
    <row r="191" spans="2:34" x14ac:dyDescent="0.25">
      <c r="B191" s="3">
        <f t="shared" ref="B191:AF191" si="127">$C38*EXP(-B$168/$A38/EXP(-$C$126))</f>
        <v>2.5780107678568913E-2</v>
      </c>
      <c r="C191" s="3">
        <f t="shared" si="127"/>
        <v>2.5780107678568913E-2</v>
      </c>
      <c r="D191" s="3">
        <f t="shared" si="127"/>
        <v>2.5780107678568913E-2</v>
      </c>
      <c r="E191" s="3">
        <f t="shared" si="127"/>
        <v>2.5780107678568913E-2</v>
      </c>
      <c r="F191" s="3">
        <f t="shared" si="127"/>
        <v>2.5780107678568913E-2</v>
      </c>
      <c r="G191" s="3">
        <f t="shared" si="127"/>
        <v>2.5780107678568913E-2</v>
      </c>
      <c r="H191" s="3">
        <f t="shared" si="127"/>
        <v>2.5780107678568913E-2</v>
      </c>
      <c r="I191" s="3">
        <f t="shared" si="127"/>
        <v>2.5780107678568913E-2</v>
      </c>
      <c r="J191" s="3">
        <f t="shared" si="127"/>
        <v>2.5780107678568913E-2</v>
      </c>
      <c r="K191" s="3">
        <f t="shared" si="127"/>
        <v>2.5780107678568913E-2</v>
      </c>
      <c r="L191" s="3">
        <f t="shared" si="127"/>
        <v>2.5780107678568913E-2</v>
      </c>
      <c r="M191" s="3">
        <f t="shared" si="127"/>
        <v>2.5780107678568913E-2</v>
      </c>
      <c r="N191" s="3">
        <f t="shared" si="127"/>
        <v>2.5780107678568913E-2</v>
      </c>
      <c r="O191" s="3">
        <f t="shared" si="127"/>
        <v>2.5780107678568909E-2</v>
      </c>
      <c r="P191" s="3">
        <f t="shared" si="127"/>
        <v>2.5780107678568892E-2</v>
      </c>
      <c r="Q191" s="3">
        <f t="shared" si="127"/>
        <v>2.5780107678568701E-2</v>
      </c>
      <c r="R191" s="3">
        <f t="shared" si="127"/>
        <v>2.5780107678566786E-2</v>
      </c>
      <c r="S191" s="3">
        <f t="shared" si="127"/>
        <v>2.5780107678547659E-2</v>
      </c>
      <c r="T191" s="3">
        <f t="shared" si="127"/>
        <v>2.5780107678356375E-2</v>
      </c>
      <c r="U191" s="3">
        <f t="shared" si="127"/>
        <v>2.5780107676443526E-2</v>
      </c>
      <c r="V191" s="3">
        <f t="shared" si="127"/>
        <v>2.5780107657315025E-2</v>
      </c>
      <c r="W191" s="3">
        <f t="shared" si="127"/>
        <v>2.5780107466030034E-2</v>
      </c>
      <c r="X191" s="3">
        <f t="shared" si="127"/>
        <v>2.5780105553180187E-2</v>
      </c>
      <c r="Y191" s="3">
        <f t="shared" si="127"/>
        <v>2.5780086424689534E-2</v>
      </c>
      <c r="Z191" s="3">
        <f t="shared" si="127"/>
        <v>2.5779895140563603E-2</v>
      </c>
      <c r="AA191" s="3">
        <f t="shared" si="127"/>
        <v>2.5777982377363947E-2</v>
      </c>
      <c r="AB191" s="3">
        <f t="shared" si="127"/>
        <v>2.5758862549188282E-2</v>
      </c>
      <c r="AC191" s="3">
        <f t="shared" si="127"/>
        <v>2.5568442511343537E-2</v>
      </c>
      <c r="AD191" s="3">
        <f t="shared" si="127"/>
        <v>2.3739971714766654E-2</v>
      </c>
      <c r="AE191" s="3">
        <f t="shared" si="127"/>
        <v>1.130418948923231E-2</v>
      </c>
      <c r="AF191" s="3">
        <f t="shared" si="127"/>
        <v>6.7737902686830627E-6</v>
      </c>
      <c r="AG191" s="3"/>
      <c r="AH191" s="3"/>
    </row>
    <row r="192" spans="2:34" x14ac:dyDescent="0.25">
      <c r="B192" s="3">
        <f t="shared" ref="B192:AF192" si="128">$C39*EXP(-B$168/$A39/EXP(-$C$126))</f>
        <v>2.4060337070104312E-2</v>
      </c>
      <c r="C192" s="3">
        <f t="shared" si="128"/>
        <v>2.4060337070104312E-2</v>
      </c>
      <c r="D192" s="3">
        <f t="shared" si="128"/>
        <v>2.4060337070104312E-2</v>
      </c>
      <c r="E192" s="3">
        <f t="shared" si="128"/>
        <v>2.4060337070104312E-2</v>
      </c>
      <c r="F192" s="3">
        <f t="shared" si="128"/>
        <v>2.4060337070104312E-2</v>
      </c>
      <c r="G192" s="3">
        <f t="shared" si="128"/>
        <v>2.4060337070104312E-2</v>
      </c>
      <c r="H192" s="3">
        <f t="shared" si="128"/>
        <v>2.4060337070104312E-2</v>
      </c>
      <c r="I192" s="3">
        <f t="shared" si="128"/>
        <v>2.4060337070104312E-2</v>
      </c>
      <c r="J192" s="3">
        <f t="shared" si="128"/>
        <v>2.4060337070104312E-2</v>
      </c>
      <c r="K192" s="3">
        <f t="shared" si="128"/>
        <v>2.4060337070104312E-2</v>
      </c>
      <c r="L192" s="3">
        <f t="shared" si="128"/>
        <v>2.4060337070104312E-2</v>
      </c>
      <c r="M192" s="3">
        <f t="shared" si="128"/>
        <v>2.4060337070104312E-2</v>
      </c>
      <c r="N192" s="3">
        <f t="shared" si="128"/>
        <v>2.4060337070104312E-2</v>
      </c>
      <c r="O192" s="3">
        <f t="shared" si="128"/>
        <v>2.4060337070104312E-2</v>
      </c>
      <c r="P192" s="3">
        <f t="shared" si="128"/>
        <v>2.4060337070104305E-2</v>
      </c>
      <c r="Q192" s="3">
        <f t="shared" si="128"/>
        <v>2.4060337070104257E-2</v>
      </c>
      <c r="R192" s="3">
        <f t="shared" si="128"/>
        <v>2.4060337070103764E-2</v>
      </c>
      <c r="S192" s="3">
        <f t="shared" si="128"/>
        <v>2.4060337070098827E-2</v>
      </c>
      <c r="T192" s="3">
        <f t="shared" si="128"/>
        <v>2.406033707004945E-2</v>
      </c>
      <c r="U192" s="3">
        <f t="shared" si="128"/>
        <v>2.4060337069555696E-2</v>
      </c>
      <c r="V192" s="3">
        <f t="shared" si="128"/>
        <v>2.4060337064618156E-2</v>
      </c>
      <c r="W192" s="3">
        <f t="shared" si="128"/>
        <v>2.4060337015242742E-2</v>
      </c>
      <c r="X192" s="3">
        <f t="shared" si="128"/>
        <v>2.4060336521488618E-2</v>
      </c>
      <c r="Y192" s="3">
        <f t="shared" si="128"/>
        <v>2.4060331583947929E-2</v>
      </c>
      <c r="Z192" s="3">
        <f t="shared" si="128"/>
        <v>2.4060282208596764E-2</v>
      </c>
      <c r="AA192" s="3">
        <f t="shared" si="128"/>
        <v>2.405978846065799E-2</v>
      </c>
      <c r="AB192" s="3">
        <f t="shared" si="128"/>
        <v>2.4054851538514783E-2</v>
      </c>
      <c r="AC192" s="3">
        <f t="shared" si="128"/>
        <v>2.4005537999249319E-2</v>
      </c>
      <c r="AD192" s="3">
        <f t="shared" si="128"/>
        <v>2.3517928775118734E-2</v>
      </c>
      <c r="AE192" s="3">
        <f t="shared" si="128"/>
        <v>1.9154699468861607E-2</v>
      </c>
      <c r="AF192" s="3">
        <f t="shared" si="128"/>
        <v>2.4605832266049593E-3</v>
      </c>
      <c r="AG192" s="3"/>
      <c r="AH192" s="3"/>
    </row>
    <row r="193" spans="1:34" x14ac:dyDescent="0.25">
      <c r="B193" s="3">
        <f t="shared" ref="B193:AF193" si="129">$C40*EXP(-B$168/$A40/EXP(-$C$126))</f>
        <v>1.2267955807966149E-2</v>
      </c>
      <c r="C193" s="3">
        <f t="shared" si="129"/>
        <v>1.2267955807966149E-2</v>
      </c>
      <c r="D193" s="3">
        <f t="shared" si="129"/>
        <v>1.2267955807966149E-2</v>
      </c>
      <c r="E193" s="3">
        <f t="shared" si="129"/>
        <v>1.2267955807966149E-2</v>
      </c>
      <c r="F193" s="3">
        <f t="shared" si="129"/>
        <v>1.2267955807966149E-2</v>
      </c>
      <c r="G193" s="3">
        <f t="shared" si="129"/>
        <v>1.2267955807966149E-2</v>
      </c>
      <c r="H193" s="3">
        <f t="shared" si="129"/>
        <v>1.2267955807966149E-2</v>
      </c>
      <c r="I193" s="3">
        <f t="shared" si="129"/>
        <v>1.2267955807966149E-2</v>
      </c>
      <c r="J193" s="3">
        <f t="shared" si="129"/>
        <v>1.2267955807966149E-2</v>
      </c>
      <c r="K193" s="3">
        <f t="shared" si="129"/>
        <v>1.2267955807966149E-2</v>
      </c>
      <c r="L193" s="3">
        <f t="shared" si="129"/>
        <v>1.2267955807966149E-2</v>
      </c>
      <c r="M193" s="3">
        <f t="shared" si="129"/>
        <v>1.2267955807966149E-2</v>
      </c>
      <c r="N193" s="3">
        <f t="shared" si="129"/>
        <v>1.2267955807966149E-2</v>
      </c>
      <c r="O193" s="3">
        <f t="shared" si="129"/>
        <v>1.2267955807966149E-2</v>
      </c>
      <c r="P193" s="3">
        <f t="shared" si="129"/>
        <v>1.2267955807966149E-2</v>
      </c>
      <c r="Q193" s="3">
        <f t="shared" si="129"/>
        <v>1.2267955807966146E-2</v>
      </c>
      <c r="R193" s="3">
        <f t="shared" si="129"/>
        <v>1.2267955807966122E-2</v>
      </c>
      <c r="S193" s="3">
        <f t="shared" si="129"/>
        <v>1.226795580796587E-2</v>
      </c>
      <c r="T193" s="3">
        <f t="shared" si="129"/>
        <v>1.2267955807963351E-2</v>
      </c>
      <c r="U193" s="3">
        <f t="shared" si="129"/>
        <v>1.2267955807938177E-2</v>
      </c>
      <c r="V193" s="3">
        <f t="shared" si="129"/>
        <v>1.226795580768642E-2</v>
      </c>
      <c r="W193" s="3">
        <f t="shared" si="129"/>
        <v>1.2267955805168852E-2</v>
      </c>
      <c r="X193" s="3">
        <f t="shared" si="129"/>
        <v>1.226795577999317E-2</v>
      </c>
      <c r="Y193" s="3">
        <f t="shared" si="129"/>
        <v>1.2267955528236356E-2</v>
      </c>
      <c r="Z193" s="3">
        <f t="shared" si="129"/>
        <v>1.2267953010668511E-2</v>
      </c>
      <c r="AA193" s="3">
        <f t="shared" si="129"/>
        <v>1.2267927835018464E-2</v>
      </c>
      <c r="AB193" s="3">
        <f t="shared" si="129"/>
        <v>1.2267676081359506E-2</v>
      </c>
      <c r="AC193" s="3">
        <f t="shared" si="129"/>
        <v>1.226515882889942E-2</v>
      </c>
      <c r="AD193" s="3">
        <f t="shared" si="129"/>
        <v>1.2240014695686306E-2</v>
      </c>
      <c r="AE193" s="3">
        <f t="shared" si="129"/>
        <v>1.1991391062702233E-2</v>
      </c>
      <c r="AF193" s="3">
        <f t="shared" si="129"/>
        <v>9.7666548026398067E-3</v>
      </c>
      <c r="AG193" s="3"/>
      <c r="AH193" s="3"/>
    </row>
    <row r="194" spans="1:34" x14ac:dyDescent="0.25">
      <c r="B194" s="3">
        <f t="shared" ref="B194:AF194" si="130">$C41*EXP(-B$168/$A41/EXP(-$C$126))</f>
        <v>7.7350329579382458E-4</v>
      </c>
      <c r="C194" s="3">
        <f t="shared" si="130"/>
        <v>7.7350329579382458E-4</v>
      </c>
      <c r="D194" s="3">
        <f t="shared" si="130"/>
        <v>7.7350329579382458E-4</v>
      </c>
      <c r="E194" s="3">
        <f t="shared" si="130"/>
        <v>7.7350329579382458E-4</v>
      </c>
      <c r="F194" s="3">
        <f t="shared" si="130"/>
        <v>7.7350329579382458E-4</v>
      </c>
      <c r="G194" s="3">
        <f t="shared" si="130"/>
        <v>7.7350329579382458E-4</v>
      </c>
      <c r="H194" s="3">
        <f t="shared" si="130"/>
        <v>7.7350329579382458E-4</v>
      </c>
      <c r="I194" s="3">
        <f t="shared" si="130"/>
        <v>7.7350329579382458E-4</v>
      </c>
      <c r="J194" s="3">
        <f t="shared" si="130"/>
        <v>7.7350329579382458E-4</v>
      </c>
      <c r="K194" s="3">
        <f t="shared" si="130"/>
        <v>7.7350329579382458E-4</v>
      </c>
      <c r="L194" s="3">
        <f t="shared" si="130"/>
        <v>7.7350329579382458E-4</v>
      </c>
      <c r="M194" s="3">
        <f t="shared" si="130"/>
        <v>7.7350329579382458E-4</v>
      </c>
      <c r="N194" s="3">
        <f t="shared" si="130"/>
        <v>7.7350329579382458E-4</v>
      </c>
      <c r="O194" s="3">
        <f t="shared" si="130"/>
        <v>7.7350329579382458E-4</v>
      </c>
      <c r="P194" s="3">
        <f t="shared" si="130"/>
        <v>7.7350329579382458E-4</v>
      </c>
      <c r="Q194" s="3">
        <f t="shared" si="130"/>
        <v>7.7350329579382458E-4</v>
      </c>
      <c r="R194" s="3">
        <f t="shared" si="130"/>
        <v>7.7350329579382437E-4</v>
      </c>
      <c r="S194" s="3">
        <f t="shared" si="130"/>
        <v>7.7350329579382274E-4</v>
      </c>
      <c r="T194" s="3">
        <f t="shared" si="130"/>
        <v>7.7350329579380702E-4</v>
      </c>
      <c r="U194" s="3">
        <f t="shared" si="130"/>
        <v>7.7350329579364818E-4</v>
      </c>
      <c r="V194" s="3">
        <f t="shared" si="130"/>
        <v>7.7350329579206091E-4</v>
      </c>
      <c r="W194" s="3">
        <f t="shared" si="130"/>
        <v>7.7350329577618743E-4</v>
      </c>
      <c r="X194" s="3">
        <f t="shared" si="130"/>
        <v>7.7350329561745297E-4</v>
      </c>
      <c r="Y194" s="3">
        <f t="shared" si="130"/>
        <v>7.7350329403010846E-4</v>
      </c>
      <c r="Z194" s="3">
        <f t="shared" si="130"/>
        <v>7.7350327815666321E-4</v>
      </c>
      <c r="AA194" s="3">
        <f t="shared" si="130"/>
        <v>7.7350311942222887E-4</v>
      </c>
      <c r="AB194" s="3">
        <f t="shared" si="130"/>
        <v>7.7350153207967633E-4</v>
      </c>
      <c r="AC194" s="3">
        <f t="shared" si="130"/>
        <v>7.7348565883331155E-4</v>
      </c>
      <c r="AD194" s="3">
        <f t="shared" si="130"/>
        <v>7.7332694428422944E-4</v>
      </c>
      <c r="AE194" s="3">
        <f t="shared" si="130"/>
        <v>7.7174158889049761E-4</v>
      </c>
      <c r="AF194" s="3">
        <f t="shared" si="130"/>
        <v>7.560656928785037E-4</v>
      </c>
      <c r="AG194" s="3"/>
      <c r="AH194" s="3"/>
    </row>
    <row r="195" spans="1:34" x14ac:dyDescent="0.25">
      <c r="B195" s="3">
        <f t="shared" ref="B195:AF195" si="131">$C42*EXP(-B$168/$A42/EXP(-$C$126))</f>
        <v>2.8862774017939779E-3</v>
      </c>
      <c r="C195" s="3">
        <f t="shared" si="131"/>
        <v>2.8862774017939779E-3</v>
      </c>
      <c r="D195" s="3">
        <f t="shared" si="131"/>
        <v>2.8862774017939779E-3</v>
      </c>
      <c r="E195" s="3">
        <f t="shared" si="131"/>
        <v>2.8862774017939779E-3</v>
      </c>
      <c r="F195" s="3">
        <f t="shared" si="131"/>
        <v>2.8862774017939779E-3</v>
      </c>
      <c r="G195" s="3">
        <f t="shared" si="131"/>
        <v>2.8862774017939779E-3</v>
      </c>
      <c r="H195" s="3">
        <f t="shared" si="131"/>
        <v>2.8862774017939779E-3</v>
      </c>
      <c r="I195" s="3">
        <f t="shared" si="131"/>
        <v>2.8862774017939779E-3</v>
      </c>
      <c r="J195" s="3">
        <f t="shared" si="131"/>
        <v>2.8862774017939779E-3</v>
      </c>
      <c r="K195" s="3">
        <f t="shared" si="131"/>
        <v>2.8862774017939779E-3</v>
      </c>
      <c r="L195" s="3">
        <f t="shared" si="131"/>
        <v>2.8862774017939779E-3</v>
      </c>
      <c r="M195" s="3">
        <f t="shared" si="131"/>
        <v>2.8862774017939779E-3</v>
      </c>
      <c r="N195" s="3">
        <f t="shared" si="131"/>
        <v>2.8862774017939779E-3</v>
      </c>
      <c r="O195" s="3">
        <f t="shared" si="131"/>
        <v>2.8862774017939779E-3</v>
      </c>
      <c r="P195" s="3">
        <f t="shared" si="131"/>
        <v>2.8862774017939779E-3</v>
      </c>
      <c r="Q195" s="3">
        <f t="shared" si="131"/>
        <v>2.8862774017939779E-3</v>
      </c>
      <c r="R195" s="3">
        <f t="shared" si="131"/>
        <v>2.8862774017939779E-3</v>
      </c>
      <c r="S195" s="3">
        <f t="shared" si="131"/>
        <v>2.8862774017939775E-3</v>
      </c>
      <c r="T195" s="3">
        <f t="shared" si="131"/>
        <v>2.886277401793971E-3</v>
      </c>
      <c r="U195" s="3">
        <f t="shared" si="131"/>
        <v>2.8862774017939124E-3</v>
      </c>
      <c r="V195" s="3">
        <f t="shared" si="131"/>
        <v>2.8862774017933196E-3</v>
      </c>
      <c r="W195" s="3">
        <f t="shared" si="131"/>
        <v>2.8862774017873968E-3</v>
      </c>
      <c r="X195" s="3">
        <f t="shared" si="131"/>
        <v>2.886277401728166E-3</v>
      </c>
      <c r="Y195" s="3">
        <f t="shared" si="131"/>
        <v>2.8862774011358585E-3</v>
      </c>
      <c r="Z195" s="3">
        <f t="shared" si="131"/>
        <v>2.8862773952127857E-3</v>
      </c>
      <c r="AA195" s="3">
        <f t="shared" si="131"/>
        <v>2.8862773359820534E-3</v>
      </c>
      <c r="AB195" s="3">
        <f t="shared" si="131"/>
        <v>2.8862767436748024E-3</v>
      </c>
      <c r="AC195" s="3">
        <f t="shared" si="131"/>
        <v>2.886270820608976E-3</v>
      </c>
      <c r="AD195" s="3">
        <f t="shared" si="131"/>
        <v>2.8862115906192333E-3</v>
      </c>
      <c r="AE195" s="3">
        <f t="shared" si="131"/>
        <v>2.8856193575688472E-3</v>
      </c>
      <c r="AF195" s="3">
        <f t="shared" si="131"/>
        <v>2.8797037066962232E-3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1.5898164143456024E-4</v>
      </c>
      <c r="C197" s="3">
        <f t="shared" si="133"/>
        <v>1.5898164143456024E-4</v>
      </c>
      <c r="D197" s="3">
        <f t="shared" si="133"/>
        <v>1.5898164143456024E-4</v>
      </c>
      <c r="E197" s="3">
        <f t="shared" si="133"/>
        <v>1.5898164143456024E-4</v>
      </c>
      <c r="F197" s="3">
        <f t="shared" si="133"/>
        <v>1.5898164143456024E-4</v>
      </c>
      <c r="G197" s="3">
        <f t="shared" si="133"/>
        <v>1.5898164143456024E-4</v>
      </c>
      <c r="H197" s="3">
        <f t="shared" si="133"/>
        <v>1.5898164143456024E-4</v>
      </c>
      <c r="I197" s="3">
        <f t="shared" si="133"/>
        <v>1.5898164143456024E-4</v>
      </c>
      <c r="J197" s="3">
        <f t="shared" si="133"/>
        <v>1.5898164143456024E-4</v>
      </c>
      <c r="K197" s="3">
        <f t="shared" si="133"/>
        <v>1.5898164143456024E-4</v>
      </c>
      <c r="L197" s="3">
        <f t="shared" si="133"/>
        <v>1.5898164143456024E-4</v>
      </c>
      <c r="M197" s="3">
        <f t="shared" si="133"/>
        <v>1.5898164143456024E-4</v>
      </c>
      <c r="N197" s="3">
        <f t="shared" si="133"/>
        <v>1.5898164143456024E-4</v>
      </c>
      <c r="O197" s="3">
        <f t="shared" si="133"/>
        <v>1.5898164143456024E-4</v>
      </c>
      <c r="P197" s="3">
        <f t="shared" si="133"/>
        <v>1.5898164143456024E-4</v>
      </c>
      <c r="Q197" s="3">
        <f t="shared" si="133"/>
        <v>1.5898164143456024E-4</v>
      </c>
      <c r="R197" s="3">
        <f t="shared" si="133"/>
        <v>1.5898164143456024E-4</v>
      </c>
      <c r="S197" s="3">
        <f t="shared" si="133"/>
        <v>1.5898164143456024E-4</v>
      </c>
      <c r="T197" s="3">
        <f t="shared" si="133"/>
        <v>1.5898164143456024E-4</v>
      </c>
      <c r="U197" s="3">
        <f t="shared" si="133"/>
        <v>1.5898164143456021E-4</v>
      </c>
      <c r="V197" s="3">
        <f t="shared" si="133"/>
        <v>1.5898164143455986E-4</v>
      </c>
      <c r="W197" s="3">
        <f t="shared" si="133"/>
        <v>1.5898164143455663E-4</v>
      </c>
      <c r="X197" s="3">
        <f t="shared" si="133"/>
        <v>1.5898164143452397E-4</v>
      </c>
      <c r="Y197" s="3">
        <f t="shared" si="133"/>
        <v>1.5898164143419774E-4</v>
      </c>
      <c r="Z197" s="3">
        <f t="shared" si="133"/>
        <v>1.5898164143093518E-4</v>
      </c>
      <c r="AA197" s="3">
        <f t="shared" si="133"/>
        <v>1.5898164139830978E-4</v>
      </c>
      <c r="AB197" s="3">
        <f t="shared" si="133"/>
        <v>1.5898164107205567E-4</v>
      </c>
      <c r="AC197" s="3">
        <f t="shared" si="133"/>
        <v>1.5898163780951445E-4</v>
      </c>
      <c r="AD197" s="3">
        <f t="shared" si="133"/>
        <v>1.5898160518410605E-4</v>
      </c>
      <c r="AE197" s="3">
        <f t="shared" si="133"/>
        <v>1.5898127893039014E-4</v>
      </c>
      <c r="AF197" s="3">
        <f t="shared" si="133"/>
        <v>1.5897801643005474E-4</v>
      </c>
      <c r="AG197" s="3"/>
      <c r="AH197" s="3"/>
    </row>
    <row r="198" spans="1:34" x14ac:dyDescent="0.25">
      <c r="B198" s="3">
        <f t="shared" ref="B198:AF198" si="134">$C45*EXP(-B$168/$A45/EXP(-$C$126))</f>
        <v>1.3061991748101505E-4</v>
      </c>
      <c r="C198" s="3">
        <f t="shared" si="134"/>
        <v>1.3061991748101505E-4</v>
      </c>
      <c r="D198" s="3">
        <f t="shared" si="134"/>
        <v>1.3061991748101505E-4</v>
      </c>
      <c r="E198" s="3">
        <f t="shared" si="134"/>
        <v>1.3061991748101505E-4</v>
      </c>
      <c r="F198" s="3">
        <f t="shared" si="134"/>
        <v>1.3061991748101505E-4</v>
      </c>
      <c r="G198" s="3">
        <f t="shared" si="134"/>
        <v>1.3061991748101505E-4</v>
      </c>
      <c r="H198" s="3">
        <f t="shared" si="134"/>
        <v>1.3061991748101505E-4</v>
      </c>
      <c r="I198" s="3">
        <f t="shared" si="134"/>
        <v>1.3061991748101505E-4</v>
      </c>
      <c r="J198" s="3">
        <f t="shared" si="134"/>
        <v>1.3061991748101505E-4</v>
      </c>
      <c r="K198" s="3">
        <f t="shared" si="134"/>
        <v>1.3061991748101505E-4</v>
      </c>
      <c r="L198" s="3">
        <f t="shared" si="134"/>
        <v>1.3061991748101505E-4</v>
      </c>
      <c r="M198" s="3">
        <f t="shared" si="134"/>
        <v>1.3061991748101505E-4</v>
      </c>
      <c r="N198" s="3">
        <f t="shared" si="134"/>
        <v>1.3061991748101505E-4</v>
      </c>
      <c r="O198" s="3">
        <f t="shared" si="134"/>
        <v>1.3061991748101505E-4</v>
      </c>
      <c r="P198" s="3">
        <f t="shared" si="134"/>
        <v>1.3061991748101505E-4</v>
      </c>
      <c r="Q198" s="3">
        <f t="shared" si="134"/>
        <v>1.3061991748101505E-4</v>
      </c>
      <c r="R198" s="3">
        <f t="shared" si="134"/>
        <v>1.3061991748101505E-4</v>
      </c>
      <c r="S198" s="3">
        <f t="shared" si="134"/>
        <v>1.3061991748101505E-4</v>
      </c>
      <c r="T198" s="3">
        <f t="shared" si="134"/>
        <v>1.3061991748101505E-4</v>
      </c>
      <c r="U198" s="3">
        <f t="shared" si="134"/>
        <v>1.3061991748101505E-4</v>
      </c>
      <c r="V198" s="3">
        <f t="shared" si="134"/>
        <v>1.3061991748101502E-4</v>
      </c>
      <c r="W198" s="3">
        <f t="shared" si="134"/>
        <v>1.3061991748101475E-4</v>
      </c>
      <c r="X198" s="3">
        <f t="shared" si="134"/>
        <v>1.3061991748101207E-4</v>
      </c>
      <c r="Y198" s="3">
        <f t="shared" si="134"/>
        <v>1.3061991748098526E-4</v>
      </c>
      <c r="Z198" s="3">
        <f t="shared" si="134"/>
        <v>1.3061991748071722E-4</v>
      </c>
      <c r="AA198" s="3">
        <f t="shared" si="134"/>
        <v>1.3061991747803669E-4</v>
      </c>
      <c r="AB198" s="3">
        <f t="shared" si="134"/>
        <v>1.3061991745123153E-4</v>
      </c>
      <c r="AC198" s="3">
        <f t="shared" si="134"/>
        <v>1.3061991718317991E-4</v>
      </c>
      <c r="AD198" s="3">
        <f t="shared" si="134"/>
        <v>1.3061991450266373E-4</v>
      </c>
      <c r="AE198" s="3">
        <f t="shared" si="134"/>
        <v>1.3061988769750486E-4</v>
      </c>
      <c r="AF198" s="3">
        <f t="shared" si="134"/>
        <v>1.3061961964621881E-4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8.1332295555460314E-5</v>
      </c>
      <c r="C200" s="3">
        <f t="shared" si="136"/>
        <v>8.1332295555460314E-5</v>
      </c>
      <c r="D200" s="3">
        <f t="shared" si="136"/>
        <v>8.1332295555460314E-5</v>
      </c>
      <c r="E200" s="3">
        <f t="shared" si="136"/>
        <v>8.1332295555460314E-5</v>
      </c>
      <c r="F200" s="3">
        <f t="shared" si="136"/>
        <v>8.1332295555460314E-5</v>
      </c>
      <c r="G200" s="3">
        <f t="shared" si="136"/>
        <v>8.1332295555460314E-5</v>
      </c>
      <c r="H200" s="3">
        <f t="shared" si="136"/>
        <v>8.1332295555460314E-5</v>
      </c>
      <c r="I200" s="3">
        <f t="shared" si="136"/>
        <v>8.1332295555460314E-5</v>
      </c>
      <c r="J200" s="3">
        <f t="shared" si="136"/>
        <v>8.1332295555460314E-5</v>
      </c>
      <c r="K200" s="3">
        <f t="shared" si="136"/>
        <v>8.1332295555460314E-5</v>
      </c>
      <c r="L200" s="3">
        <f t="shared" si="136"/>
        <v>8.1332295555460314E-5</v>
      </c>
      <c r="M200" s="3">
        <f t="shared" si="136"/>
        <v>8.1332295555460314E-5</v>
      </c>
      <c r="N200" s="3">
        <f t="shared" si="136"/>
        <v>8.1332295555460314E-5</v>
      </c>
      <c r="O200" s="3">
        <f t="shared" si="136"/>
        <v>8.1332295555460314E-5</v>
      </c>
      <c r="P200" s="3">
        <f t="shared" si="136"/>
        <v>8.1332295555460314E-5</v>
      </c>
      <c r="Q200" s="3">
        <f t="shared" si="136"/>
        <v>8.1332295555460314E-5</v>
      </c>
      <c r="R200" s="3">
        <f t="shared" si="136"/>
        <v>8.1332295555460314E-5</v>
      </c>
      <c r="S200" s="3">
        <f t="shared" si="136"/>
        <v>8.1332295555460314E-5</v>
      </c>
      <c r="T200" s="3">
        <f t="shared" si="136"/>
        <v>8.1332295555460314E-5</v>
      </c>
      <c r="U200" s="3">
        <f t="shared" si="136"/>
        <v>8.1332295555460314E-5</v>
      </c>
      <c r="V200" s="3">
        <f t="shared" si="136"/>
        <v>8.1332295555460314E-5</v>
      </c>
      <c r="W200" s="3">
        <f t="shared" si="136"/>
        <v>8.1332295555460314E-5</v>
      </c>
      <c r="X200" s="3">
        <f t="shared" si="136"/>
        <v>8.13322955554603E-5</v>
      </c>
      <c r="Y200" s="3">
        <f t="shared" si="136"/>
        <v>8.1332295555460124E-5</v>
      </c>
      <c r="Z200" s="3">
        <f t="shared" si="136"/>
        <v>8.1332295555458457E-5</v>
      </c>
      <c r="AA200" s="3">
        <f t="shared" si="136"/>
        <v>8.133229555544176E-5</v>
      </c>
      <c r="AB200" s="3">
        <f t="shared" si="136"/>
        <v>8.1332295555274861E-5</v>
      </c>
      <c r="AC200" s="3">
        <f t="shared" si="136"/>
        <v>8.13322955536058E-5</v>
      </c>
      <c r="AD200" s="3">
        <f t="shared" si="136"/>
        <v>8.1332295536915198E-5</v>
      </c>
      <c r="AE200" s="3">
        <f t="shared" si="136"/>
        <v>8.1332295370009159E-5</v>
      </c>
      <c r="AF200" s="3">
        <f t="shared" si="136"/>
        <v>8.1332293700948734E-5</v>
      </c>
      <c r="AG200" s="3"/>
      <c r="AH200" s="3"/>
    </row>
    <row r="201" spans="1:34" x14ac:dyDescent="0.25">
      <c r="B201" s="3">
        <f t="shared" ref="B201:AF201" si="137">$C48*EXP(-B$168/$A48/EXP(-$C$126))</f>
        <v>6.4178085162845428E-4</v>
      </c>
      <c r="C201" s="3">
        <f t="shared" si="137"/>
        <v>6.4178085162845428E-4</v>
      </c>
      <c r="D201" s="3">
        <f t="shared" si="137"/>
        <v>6.4178085162845428E-4</v>
      </c>
      <c r="E201" s="3">
        <f t="shared" si="137"/>
        <v>6.4178085162845428E-4</v>
      </c>
      <c r="F201" s="3">
        <f t="shared" si="137"/>
        <v>6.4178085162845428E-4</v>
      </c>
      <c r="G201" s="3">
        <f t="shared" si="137"/>
        <v>6.4178085162845428E-4</v>
      </c>
      <c r="H201" s="3">
        <f t="shared" si="137"/>
        <v>6.4178085162845428E-4</v>
      </c>
      <c r="I201" s="3">
        <f t="shared" si="137"/>
        <v>6.4178085162845428E-4</v>
      </c>
      <c r="J201" s="3">
        <f t="shared" si="137"/>
        <v>6.4178085162845428E-4</v>
      </c>
      <c r="K201" s="3">
        <f t="shared" si="137"/>
        <v>6.4178085162845428E-4</v>
      </c>
      <c r="L201" s="3">
        <f t="shared" si="137"/>
        <v>6.4178085162845428E-4</v>
      </c>
      <c r="M201" s="3">
        <f t="shared" si="137"/>
        <v>6.4178085162845428E-4</v>
      </c>
      <c r="N201" s="3">
        <f t="shared" si="137"/>
        <v>6.4178085162845428E-4</v>
      </c>
      <c r="O201" s="3">
        <f t="shared" si="137"/>
        <v>6.4178085162845428E-4</v>
      </c>
      <c r="P201" s="3">
        <f t="shared" si="137"/>
        <v>6.4178085162845428E-4</v>
      </c>
      <c r="Q201" s="3">
        <f t="shared" si="137"/>
        <v>6.4178085162845428E-4</v>
      </c>
      <c r="R201" s="3">
        <f t="shared" si="137"/>
        <v>6.4178085162845428E-4</v>
      </c>
      <c r="S201" s="3">
        <f t="shared" si="137"/>
        <v>6.4178085162845428E-4</v>
      </c>
      <c r="T201" s="3">
        <f t="shared" si="137"/>
        <v>6.4178085162845428E-4</v>
      </c>
      <c r="U201" s="3">
        <f t="shared" si="137"/>
        <v>6.4178085162845428E-4</v>
      </c>
      <c r="V201" s="3">
        <f t="shared" si="137"/>
        <v>6.4178085162845428E-4</v>
      </c>
      <c r="W201" s="3">
        <f t="shared" si="137"/>
        <v>6.4178085162845428E-4</v>
      </c>
      <c r="X201" s="3">
        <f t="shared" si="137"/>
        <v>6.4178085162845428E-4</v>
      </c>
      <c r="Y201" s="3">
        <f t="shared" si="137"/>
        <v>6.4178085162845417E-4</v>
      </c>
      <c r="Z201" s="3">
        <f t="shared" si="137"/>
        <v>6.4178085162845276E-4</v>
      </c>
      <c r="AA201" s="3">
        <f t="shared" si="137"/>
        <v>6.4178085162843964E-4</v>
      </c>
      <c r="AB201" s="3">
        <f t="shared" si="137"/>
        <v>6.4178085162830791E-4</v>
      </c>
      <c r="AC201" s="3">
        <f t="shared" si="137"/>
        <v>6.4178085162699093E-4</v>
      </c>
      <c r="AD201" s="3">
        <f t="shared" si="137"/>
        <v>6.4178085161382058E-4</v>
      </c>
      <c r="AE201" s="3">
        <f t="shared" si="137"/>
        <v>6.4178085148211756E-4</v>
      </c>
      <c r="AF201" s="3">
        <f t="shared" si="137"/>
        <v>6.417808501650872E-4</v>
      </c>
      <c r="AG201" s="3"/>
      <c r="AH201" s="3"/>
    </row>
    <row r="202" spans="1:34" x14ac:dyDescent="0.25">
      <c r="A202" s="79">
        <f>AVERAGE(B202:AF202)</f>
        <v>0.14439404827090044</v>
      </c>
      <c r="B202" s="80">
        <f>IF($A$64&lt;=B168,IF($B$64&gt;=B168,ABS((B170-B169)/B169),0),0)</f>
        <v>1.8982151440892627E-2</v>
      </c>
      <c r="C202" s="80">
        <f t="shared" ref="C202:AF202" si="138">IF($A$64&lt;=C168,IF($B$64&gt;=C168,ABS((C170-C169)/C169),0),0)</f>
        <v>1.8992121477110456E-2</v>
      </c>
      <c r="D202" s="80">
        <f t="shared" si="138"/>
        <v>1.898688018137161E-2</v>
      </c>
      <c r="E202" s="80">
        <f t="shared" si="138"/>
        <v>1.8985524391096055E-2</v>
      </c>
      <c r="F202" s="80">
        <f t="shared" si="138"/>
        <v>1.8985135864505103E-2</v>
      </c>
      <c r="G202" s="80">
        <f t="shared" si="138"/>
        <v>1.8985012096498628E-2</v>
      </c>
      <c r="H202" s="80">
        <f t="shared" si="138"/>
        <v>1.8984981402572897E-2</v>
      </c>
      <c r="I202" s="80">
        <f t="shared" si="138"/>
        <v>1.8984988610358178E-2</v>
      </c>
      <c r="J202" s="80">
        <f t="shared" si="138"/>
        <v>1.8985226025440852E-2</v>
      </c>
      <c r="K202" s="80">
        <f t="shared" si="138"/>
        <v>1.8987583308467483E-2</v>
      </c>
      <c r="L202" s="80">
        <f t="shared" si="138"/>
        <v>1.9011263345746068E-2</v>
      </c>
      <c r="M202" s="80">
        <f t="shared" si="138"/>
        <v>1.9244668138367109E-2</v>
      </c>
      <c r="N202" s="80">
        <f t="shared" si="138"/>
        <v>2.129060396486113E-2</v>
      </c>
      <c r="O202" s="80">
        <f t="shared" si="138"/>
        <v>3.0954810832603364E-2</v>
      </c>
      <c r="P202" s="80">
        <f t="shared" si="138"/>
        <v>5.1695213518679228E-2</v>
      </c>
      <c r="Q202" s="80">
        <f t="shared" si="138"/>
        <v>6.8811222101692091E-2</v>
      </c>
      <c r="R202" s="80">
        <f t="shared" si="138"/>
        <v>7.8640064609749372E-2</v>
      </c>
      <c r="S202" s="80">
        <f t="shared" si="138"/>
        <v>8.924322762010807E-2</v>
      </c>
      <c r="T202" s="80">
        <f t="shared" si="138"/>
        <v>8.7477984809156403E-2</v>
      </c>
      <c r="U202" s="80">
        <f t="shared" si="138"/>
        <v>5.5233674001695925E-2</v>
      </c>
      <c r="V202" s="80">
        <f t="shared" si="138"/>
        <v>5.1121868150196495E-2</v>
      </c>
      <c r="W202" s="80">
        <f t="shared" si="138"/>
        <v>0.17982133007532575</v>
      </c>
      <c r="X202" s="80">
        <f t="shared" si="138"/>
        <v>0.28781419575621708</v>
      </c>
      <c r="Y202" s="80">
        <f t="shared" si="138"/>
        <v>0.35111213261291774</v>
      </c>
      <c r="Z202" s="80">
        <f t="shared" si="138"/>
        <v>0.27904154978443113</v>
      </c>
      <c r="AA202" s="80">
        <f t="shared" si="138"/>
        <v>8.3320659782366649E-2</v>
      </c>
      <c r="AB202" s="80">
        <f t="shared" si="138"/>
        <v>0.15406342594898853</v>
      </c>
      <c r="AC202" s="80">
        <f t="shared" si="138"/>
        <v>0.37774456718069271</v>
      </c>
      <c r="AD202" s="80">
        <f t="shared" si="138"/>
        <v>0.56562263383125577</v>
      </c>
      <c r="AE202" s="80">
        <f t="shared" si="138"/>
        <v>0.67755035177399148</v>
      </c>
      <c r="AF202" s="80">
        <f t="shared" si="138"/>
        <v>0.75754044376055829</v>
      </c>
    </row>
    <row r="203" spans="1:34" x14ac:dyDescent="0.25">
      <c r="B203" s="21">
        <f>(B170-B169)^2</f>
        <v>19590.792745410581</v>
      </c>
      <c r="C203" s="21">
        <f t="shared" ref="C203:AF203" si="139">(C170-C169)^2</f>
        <v>19611.776203307472</v>
      </c>
      <c r="D203" s="21">
        <f t="shared" si="139"/>
        <v>19600.743645685961</v>
      </c>
      <c r="E203" s="21">
        <f t="shared" si="139"/>
        <v>19597.890327255107</v>
      </c>
      <c r="F203" s="21">
        <f t="shared" si="139"/>
        <v>19597.072695302209</v>
      </c>
      <c r="G203" s="21">
        <f t="shared" si="139"/>
        <v>19596.812227157887</v>
      </c>
      <c r="H203" s="21">
        <f t="shared" si="139"/>
        <v>19596.74753997114</v>
      </c>
      <c r="I203" s="21">
        <f t="shared" si="139"/>
        <v>19596.761759498564</v>
      </c>
      <c r="J203" s="21">
        <f t="shared" si="139"/>
        <v>19597.251893677716</v>
      </c>
      <c r="K203" s="21">
        <f t="shared" si="139"/>
        <v>19602.118084358415</v>
      </c>
      <c r="L203" s="21">
        <f t="shared" si="139"/>
        <v>19651.040466187809</v>
      </c>
      <c r="M203" s="21">
        <f t="shared" si="139"/>
        <v>20136.506768757103</v>
      </c>
      <c r="N203" s="21">
        <f t="shared" si="139"/>
        <v>24645.414377897549</v>
      </c>
      <c r="O203" s="21">
        <f t="shared" si="139"/>
        <v>52093.718060441926</v>
      </c>
      <c r="P203" s="21">
        <f t="shared" si="139"/>
        <v>145184.7774658807</v>
      </c>
      <c r="Q203" s="21">
        <f t="shared" si="139"/>
        <v>255558.11979349601</v>
      </c>
      <c r="R203" s="21">
        <f t="shared" si="139"/>
        <v>322862.15595347056</v>
      </c>
      <c r="S203" s="21">
        <f t="shared" si="139"/>
        <v>398611.28134874161</v>
      </c>
      <c r="T203" s="21">
        <f t="shared" si="139"/>
        <v>357748.34723308746</v>
      </c>
      <c r="U203" s="21">
        <f t="shared" si="139"/>
        <v>120687.92986688744</v>
      </c>
      <c r="V203" s="21">
        <f t="shared" si="139"/>
        <v>76013.331855021373</v>
      </c>
      <c r="W203" s="21">
        <f t="shared" si="139"/>
        <v>672000.53388266382</v>
      </c>
      <c r="X203" s="21">
        <f t="shared" si="139"/>
        <v>1277804.908484316</v>
      </c>
      <c r="Y203" s="21">
        <f t="shared" si="139"/>
        <v>1485107.1119562469</v>
      </c>
      <c r="Z203" s="21">
        <f t="shared" si="139"/>
        <v>757533.39297248004</v>
      </c>
      <c r="AA203" s="21">
        <f t="shared" si="139"/>
        <v>55187.185745150928</v>
      </c>
      <c r="AB203" s="21">
        <f t="shared" si="139"/>
        <v>151438.68665390366</v>
      </c>
      <c r="AC203" s="21">
        <f t="shared" si="139"/>
        <v>679784.09160277247</v>
      </c>
      <c r="AD203" s="21">
        <f t="shared" si="139"/>
        <v>1020393.6260676242</v>
      </c>
      <c r="AE203" s="21">
        <f t="shared" si="139"/>
        <v>821496.11428054352</v>
      </c>
      <c r="AF203" s="21">
        <f t="shared" si="139"/>
        <v>428906.32738280226</v>
      </c>
      <c r="AG203" s="3"/>
      <c r="AH203" s="3"/>
    </row>
    <row r="204" spans="1:34" x14ac:dyDescent="0.25">
      <c r="A204" s="71">
        <f>SUM(B204:AF204)</f>
        <v>9338832.5693399981</v>
      </c>
      <c r="B204" s="60">
        <f>IF($A$64&lt;=B168,IF($B$64&gt;=B168,ABS(B203),0),0)</f>
        <v>19590.792745410581</v>
      </c>
      <c r="C204" s="60">
        <f t="shared" ref="C204" si="140">IF($A$64&lt;=C168,IF($B$64&gt;=C168,ABS(C203),0),0)</f>
        <v>19611.776203307472</v>
      </c>
      <c r="D204" s="60">
        <f t="shared" ref="D204" si="141">IF($A$64&lt;=D168,IF($B$64&gt;=D168,ABS(D203),0),0)</f>
        <v>19600.743645685961</v>
      </c>
      <c r="E204" s="60">
        <f t="shared" ref="E204" si="142">IF($A$64&lt;=E168,IF($B$64&gt;=E168,ABS(E203),0),0)</f>
        <v>19597.890327255107</v>
      </c>
      <c r="F204" s="60">
        <f t="shared" ref="F204" si="143">IF($A$64&lt;=F168,IF($B$64&gt;=F168,ABS(F203),0),0)</f>
        <v>19597.072695302209</v>
      </c>
      <c r="G204" s="60">
        <f t="shared" ref="G204" si="144">IF($A$64&lt;=G168,IF($B$64&gt;=G168,ABS(G203),0),0)</f>
        <v>19596.812227157887</v>
      </c>
      <c r="H204" s="60">
        <f t="shared" ref="H204" si="145">IF($A$64&lt;=H168,IF($B$64&gt;=H168,ABS(H203),0),0)</f>
        <v>19596.74753997114</v>
      </c>
      <c r="I204" s="60">
        <f t="shared" ref="I204" si="146">IF($A$64&lt;=I168,IF($B$64&gt;=I168,ABS(I203),0),0)</f>
        <v>19596.761759498564</v>
      </c>
      <c r="J204" s="60">
        <f t="shared" ref="J204" si="147">IF($A$64&lt;=J168,IF($B$64&gt;=J168,ABS(J203),0),0)</f>
        <v>19597.251893677716</v>
      </c>
      <c r="K204" s="60">
        <f t="shared" ref="K204" si="148">IF($A$64&lt;=K168,IF($B$64&gt;=K168,ABS(K203),0),0)</f>
        <v>19602.118084358415</v>
      </c>
      <c r="L204" s="60">
        <f t="shared" ref="L204" si="149">IF($A$64&lt;=L168,IF($B$64&gt;=L168,ABS(L203),0),0)</f>
        <v>19651.040466187809</v>
      </c>
      <c r="M204" s="60">
        <f t="shared" ref="M204" si="150">IF($A$64&lt;=M168,IF($B$64&gt;=M168,ABS(M203),0),0)</f>
        <v>20136.506768757103</v>
      </c>
      <c r="N204" s="60">
        <f t="shared" ref="N204" si="151">IF($A$64&lt;=N168,IF($B$64&gt;=N168,ABS(N203),0),0)</f>
        <v>24645.414377897549</v>
      </c>
      <c r="O204" s="60">
        <f t="shared" ref="O204" si="152">IF($A$64&lt;=O168,IF($B$64&gt;=O168,ABS(O203),0),0)</f>
        <v>52093.718060441926</v>
      </c>
      <c r="P204" s="60">
        <f t="shared" ref="P204" si="153">IF($A$64&lt;=P168,IF($B$64&gt;=P168,ABS(P203),0),0)</f>
        <v>145184.7774658807</v>
      </c>
      <c r="Q204" s="60">
        <f t="shared" ref="Q204" si="154">IF($A$64&lt;=Q168,IF($B$64&gt;=Q168,ABS(Q203),0),0)</f>
        <v>255558.11979349601</v>
      </c>
      <c r="R204" s="60">
        <f t="shared" ref="R204" si="155">IF($A$64&lt;=R168,IF($B$64&gt;=R168,ABS(R203),0),0)</f>
        <v>322862.15595347056</v>
      </c>
      <c r="S204" s="60">
        <f t="shared" ref="S204" si="156">IF($A$64&lt;=S168,IF($B$64&gt;=S168,ABS(S203),0),0)</f>
        <v>398611.28134874161</v>
      </c>
      <c r="T204" s="60">
        <f t="shared" ref="T204" si="157">IF($A$64&lt;=T168,IF($B$64&gt;=T168,ABS(T203),0),0)</f>
        <v>357748.34723308746</v>
      </c>
      <c r="U204" s="60">
        <f t="shared" ref="U204" si="158">IF($A$64&lt;=U168,IF($B$64&gt;=U168,ABS(U203),0),0)</f>
        <v>120687.92986688744</v>
      </c>
      <c r="V204" s="60">
        <f t="shared" ref="V204" si="159">IF($A$64&lt;=V168,IF($B$64&gt;=V168,ABS(V203),0),0)</f>
        <v>76013.331855021373</v>
      </c>
      <c r="W204" s="60">
        <f t="shared" ref="W204" si="160">IF($A$64&lt;=W168,IF($B$64&gt;=W168,ABS(W203),0),0)</f>
        <v>672000.53388266382</v>
      </c>
      <c r="X204" s="60">
        <f t="shared" ref="X204" si="161">IF($A$64&lt;=X168,IF($B$64&gt;=X168,ABS(X203),0),0)</f>
        <v>1277804.908484316</v>
      </c>
      <c r="Y204" s="60">
        <f t="shared" ref="Y204" si="162">IF($A$64&lt;=Y168,IF($B$64&gt;=Y168,ABS(Y203),0),0)</f>
        <v>1485107.1119562469</v>
      </c>
      <c r="Z204" s="60">
        <f t="shared" ref="Z204" si="163">IF($A$64&lt;=Z168,IF($B$64&gt;=Z168,ABS(Z203),0),0)</f>
        <v>757533.39297248004</v>
      </c>
      <c r="AA204" s="60">
        <f t="shared" ref="AA204" si="164">IF($A$64&lt;=AA168,IF($B$64&gt;=AA168,ABS(AA203),0),0)</f>
        <v>55187.185745150928</v>
      </c>
      <c r="AB204" s="60">
        <f t="shared" ref="AB204" si="165">IF($A$64&lt;=AB168,IF($B$64&gt;=AB168,ABS(AB203),0),0)</f>
        <v>151438.68665390366</v>
      </c>
      <c r="AC204" s="60">
        <f t="shared" ref="AC204" si="166">IF($A$64&lt;=AC168,IF($B$64&gt;=AC168,ABS(AC203),0),0)</f>
        <v>679784.09160277247</v>
      </c>
      <c r="AD204" s="60">
        <f t="shared" ref="AD204" si="167">IF($A$64&lt;=AD168,IF($B$64&gt;=AD168,ABS(AD203),0),0)</f>
        <v>1020393.6260676242</v>
      </c>
      <c r="AE204" s="60">
        <f t="shared" ref="AE204" si="168">IF($A$64&lt;=AE168,IF($B$64&gt;=AE168,ABS(AE203),0),0)</f>
        <v>821496.11428054352</v>
      </c>
      <c r="AF204" s="60">
        <f t="shared" ref="AF204" si="169">IF($A$64&lt;=AF168,IF($B$64&gt;=AF168,ABS(AF203),0),0)</f>
        <v>428906.32738280226</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7233.6498091609728</v>
      </c>
      <c r="C209" s="27">
        <f t="shared" ref="C209:AF209" si="170">($C$17+SUM(C210:C240))*$B$51</f>
        <v>7233.6498091543854</v>
      </c>
      <c r="D209" s="27">
        <f t="shared" si="170"/>
        <v>7233.6498090885116</v>
      </c>
      <c r="E209" s="27">
        <f t="shared" si="170"/>
        <v>7233.6498084297691</v>
      </c>
      <c r="F209" s="27">
        <f t="shared" si="170"/>
        <v>7233.6498018423563</v>
      </c>
      <c r="G209" s="27">
        <f t="shared" si="170"/>
        <v>7233.6497359682517</v>
      </c>
      <c r="H209" s="27">
        <f t="shared" si="170"/>
        <v>7233.6490772306852</v>
      </c>
      <c r="I209" s="27">
        <f t="shared" si="170"/>
        <v>7233.6424902035405</v>
      </c>
      <c r="J209" s="27">
        <f t="shared" si="170"/>
        <v>7233.5766547662324</v>
      </c>
      <c r="K209" s="27">
        <f t="shared" si="170"/>
        <v>7232.9217659538908</v>
      </c>
      <c r="L209" s="27">
        <f t="shared" si="170"/>
        <v>7226.7022773042545</v>
      </c>
      <c r="M209" s="27">
        <f t="shared" si="170"/>
        <v>7185.4792535564638</v>
      </c>
      <c r="N209" s="27">
        <f t="shared" si="170"/>
        <v>7054.209292772829</v>
      </c>
      <c r="O209" s="27">
        <f t="shared" si="170"/>
        <v>6907.7198179169691</v>
      </c>
      <c r="P209" s="27">
        <f t="shared" si="170"/>
        <v>6741.9931031329425</v>
      </c>
      <c r="Q209" s="27">
        <f t="shared" si="170"/>
        <v>6539.1521670924658</v>
      </c>
      <c r="R209" s="27">
        <f t="shared" si="170"/>
        <v>6338.070295219316</v>
      </c>
      <c r="S209" s="27">
        <f t="shared" si="170"/>
        <v>6083.8748801428674</v>
      </c>
      <c r="T209" s="27">
        <f t="shared" si="170"/>
        <v>5794.9625219058007</v>
      </c>
      <c r="U209" s="27">
        <f t="shared" si="170"/>
        <v>5516.7379130194822</v>
      </c>
      <c r="V209" s="27">
        <f t="shared" si="170"/>
        <v>5209.597528334426</v>
      </c>
      <c r="W209" s="27">
        <f t="shared" si="170"/>
        <v>4870.4710389791799</v>
      </c>
      <c r="X209" s="27">
        <f t="shared" si="170"/>
        <v>4356.7968870197137</v>
      </c>
      <c r="Y209" s="27">
        <f t="shared" si="170"/>
        <v>3483.3463639066576</v>
      </c>
      <c r="Z209" s="27">
        <f t="shared" si="170"/>
        <v>2509.9848843117661</v>
      </c>
      <c r="AA209" s="27">
        <f t="shared" si="170"/>
        <v>1653.9075991284976</v>
      </c>
      <c r="AB209" s="27">
        <f t="shared" si="170"/>
        <v>973.46639843333674</v>
      </c>
      <c r="AC209" s="27">
        <f t="shared" si="170"/>
        <v>527.29844568913381</v>
      </c>
      <c r="AD209" s="27">
        <f t="shared" si="170"/>
        <v>285.85973165277869</v>
      </c>
      <c r="AE209" s="27">
        <f t="shared" si="170"/>
        <v>157.62001787690969</v>
      </c>
      <c r="AF209" s="27">
        <f t="shared" si="170"/>
        <v>115.10992783567333</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3.9092004223582255E-3</v>
      </c>
      <c r="C214" s="3">
        <f t="shared" si="175"/>
        <v>3.9092004217906066E-3</v>
      </c>
      <c r="D214" s="3">
        <f t="shared" si="175"/>
        <v>3.9092004161144188E-3</v>
      </c>
      <c r="E214" s="3">
        <f t="shared" si="175"/>
        <v>3.9092003593525441E-3</v>
      </c>
      <c r="F214" s="3">
        <f t="shared" si="175"/>
        <v>3.9091997917338446E-3</v>
      </c>
      <c r="G214" s="3">
        <f t="shared" si="175"/>
        <v>3.909194115551377E-3</v>
      </c>
      <c r="H214" s="3">
        <f t="shared" si="175"/>
        <v>3.9091373541800074E-3</v>
      </c>
      <c r="I214" s="3">
        <f t="shared" si="175"/>
        <v>3.9085697857938638E-3</v>
      </c>
      <c r="J214" s="3">
        <f t="shared" si="175"/>
        <v>3.9028986322536905E-3</v>
      </c>
      <c r="K214" s="3">
        <f t="shared" si="175"/>
        <v>3.8466377045208908E-3</v>
      </c>
      <c r="L214" s="3">
        <f t="shared" si="175"/>
        <v>3.326759524452591E-3</v>
      </c>
      <c r="M214" s="3">
        <f t="shared" si="175"/>
        <v>7.7879410598215629E-4</v>
      </c>
      <c r="N214" s="3">
        <f t="shared" si="175"/>
        <v>3.8497730449585305E-10</v>
      </c>
      <c r="O214" s="3">
        <f t="shared" si="175"/>
        <v>3.353975149430042E-73</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2.3295496720442694E-2</v>
      </c>
      <c r="C215" s="3">
        <f t="shared" si="176"/>
        <v>2.3295496720137563E-2</v>
      </c>
      <c r="D215" s="3">
        <f t="shared" si="176"/>
        <v>2.3295496717086247E-2</v>
      </c>
      <c r="E215" s="3">
        <f t="shared" si="176"/>
        <v>2.3295496686573072E-2</v>
      </c>
      <c r="F215" s="3">
        <f t="shared" si="176"/>
        <v>2.329549638144135E-2</v>
      </c>
      <c r="G215" s="3">
        <f t="shared" si="176"/>
        <v>2.3295493330124359E-2</v>
      </c>
      <c r="H215" s="3">
        <f t="shared" si="176"/>
        <v>2.329546281697642E-2</v>
      </c>
      <c r="I215" s="3">
        <f t="shared" si="176"/>
        <v>2.3295157687695196E-2</v>
      </c>
      <c r="J215" s="3">
        <f t="shared" si="176"/>
        <v>2.3292106614690222E-2</v>
      </c>
      <c r="K215" s="3">
        <f t="shared" si="176"/>
        <v>2.3261617854718586E-2</v>
      </c>
      <c r="L215" s="3">
        <f t="shared" si="176"/>
        <v>2.2958916652486554E-2</v>
      </c>
      <c r="M215" s="3">
        <f t="shared" si="176"/>
        <v>2.0140309393186652E-2</v>
      </c>
      <c r="N215" s="3">
        <f t="shared" si="176"/>
        <v>5.4351758770674148E-3</v>
      </c>
      <c r="O215" s="3">
        <f t="shared" si="176"/>
        <v>1.1134949288850188E-8</v>
      </c>
      <c r="P215" s="3">
        <f t="shared" si="176"/>
        <v>1.4502225653888304E-65</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1.9365606168396752E-2</v>
      </c>
      <c r="C216" s="3">
        <f t="shared" si="177"/>
        <v>1.9365606168373871E-2</v>
      </c>
      <c r="D216" s="3">
        <f t="shared" si="177"/>
        <v>1.936560616814505E-2</v>
      </c>
      <c r="E216" s="3">
        <f t="shared" si="177"/>
        <v>1.9365606165856857E-2</v>
      </c>
      <c r="F216" s="3">
        <f t="shared" si="177"/>
        <v>1.9365606142974903E-2</v>
      </c>
      <c r="G216" s="3">
        <f t="shared" si="177"/>
        <v>1.9365605914155384E-2</v>
      </c>
      <c r="H216" s="3">
        <f t="shared" si="177"/>
        <v>1.9365603625960331E-2</v>
      </c>
      <c r="I216" s="3">
        <f t="shared" si="177"/>
        <v>1.9365580744024675E-2</v>
      </c>
      <c r="J216" s="3">
        <f t="shared" si="177"/>
        <v>1.9365351926155159E-2</v>
      </c>
      <c r="K216" s="3">
        <f t="shared" si="177"/>
        <v>1.9363063896155056E-2</v>
      </c>
      <c r="L216" s="3">
        <f t="shared" si="177"/>
        <v>1.934019845916499E-2</v>
      </c>
      <c r="M216" s="3">
        <f t="shared" si="177"/>
        <v>1.9113023912981471E-2</v>
      </c>
      <c r="N216" s="3">
        <f t="shared" si="177"/>
        <v>1.6982990709798761E-2</v>
      </c>
      <c r="O216" s="3">
        <f t="shared" si="177"/>
        <v>5.2102895718821231E-3</v>
      </c>
      <c r="P216" s="3">
        <f t="shared" si="177"/>
        <v>3.8489187882659495E-8</v>
      </c>
      <c r="Q216" s="3">
        <f t="shared" si="177"/>
        <v>1.862548612659924E-59</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2.444859742210195E-2</v>
      </c>
      <c r="C217" s="3">
        <f t="shared" si="178"/>
        <v>2.4448597422099344E-2</v>
      </c>
      <c r="D217" s="3">
        <f t="shared" si="178"/>
        <v>2.4448597422073289E-2</v>
      </c>
      <c r="E217" s="3">
        <f t="shared" si="178"/>
        <v>2.4448597421812695E-2</v>
      </c>
      <c r="F217" s="3">
        <f t="shared" si="178"/>
        <v>2.4448597419206766E-2</v>
      </c>
      <c r="G217" s="3">
        <f t="shared" si="178"/>
        <v>2.4448597393147479E-2</v>
      </c>
      <c r="H217" s="3">
        <f t="shared" si="178"/>
        <v>2.4448597132554616E-2</v>
      </c>
      <c r="I217" s="3">
        <f t="shared" si="178"/>
        <v>2.444859452662615E-2</v>
      </c>
      <c r="J217" s="3">
        <f t="shared" si="178"/>
        <v>2.4448568467356758E-2</v>
      </c>
      <c r="K217" s="3">
        <f t="shared" si="178"/>
        <v>2.4448307876190522E-2</v>
      </c>
      <c r="L217" s="3">
        <f t="shared" si="178"/>
        <v>2.4445702117289952E-2</v>
      </c>
      <c r="M217" s="3">
        <f t="shared" si="178"/>
        <v>2.4419659798440685E-2</v>
      </c>
      <c r="N217" s="3">
        <f t="shared" si="178"/>
        <v>2.4160757620542622E-2</v>
      </c>
      <c r="O217" s="3">
        <f t="shared" si="178"/>
        <v>2.1718005613674631E-2</v>
      </c>
      <c r="P217" s="3">
        <f t="shared" si="178"/>
        <v>7.4802113027138276E-3</v>
      </c>
      <c r="Q217" s="3">
        <f t="shared" si="178"/>
        <v>1.7573291639610949E-7</v>
      </c>
      <c r="R217" s="3">
        <f t="shared" si="178"/>
        <v>9.0000644689596576E-54</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3.2100597383085371E-2</v>
      </c>
      <c r="C218" s="3">
        <f t="shared" si="179"/>
        <v>3.2100597383085065E-2</v>
      </c>
      <c r="D218" s="3">
        <f t="shared" si="179"/>
        <v>3.2100597383081977E-2</v>
      </c>
      <c r="E218" s="3">
        <f t="shared" si="179"/>
        <v>3.2100597383051113E-2</v>
      </c>
      <c r="F218" s="3">
        <f t="shared" si="179"/>
        <v>3.2100597382742457E-2</v>
      </c>
      <c r="G218" s="3">
        <f t="shared" si="179"/>
        <v>3.2100597379655947E-2</v>
      </c>
      <c r="H218" s="3">
        <f t="shared" si="179"/>
        <v>3.2100597348790803E-2</v>
      </c>
      <c r="I218" s="3">
        <f t="shared" si="179"/>
        <v>3.2100597040139393E-2</v>
      </c>
      <c r="J218" s="3">
        <f t="shared" si="179"/>
        <v>3.2100593953625405E-2</v>
      </c>
      <c r="K218" s="3">
        <f t="shared" si="179"/>
        <v>3.2100563088501885E-2</v>
      </c>
      <c r="L218" s="3">
        <f t="shared" si="179"/>
        <v>3.2100254438898933E-2</v>
      </c>
      <c r="M218" s="3">
        <f t="shared" si="179"/>
        <v>3.2097168106087738E-2</v>
      </c>
      <c r="N218" s="3">
        <f t="shared" si="179"/>
        <v>3.206632109400466E-2</v>
      </c>
      <c r="O218" s="3">
        <f t="shared" si="179"/>
        <v>3.1759476786370811E-2</v>
      </c>
      <c r="P218" s="3">
        <f t="shared" si="179"/>
        <v>2.8847976803730451E-2</v>
      </c>
      <c r="Q218" s="3">
        <f t="shared" si="179"/>
        <v>1.1028985620108062E-2</v>
      </c>
      <c r="R218" s="3">
        <f t="shared" si="179"/>
        <v>7.3576254139009178E-7</v>
      </c>
      <c r="S218" s="3">
        <f t="shared" si="179"/>
        <v>1.2845727486595842E-48</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2.4137735607646902E-2</v>
      </c>
      <c r="C219" s="3">
        <f t="shared" si="180"/>
        <v>2.4137735607646881E-2</v>
      </c>
      <c r="D219" s="3">
        <f t="shared" si="180"/>
        <v>2.4137735607646673E-2</v>
      </c>
      <c r="E219" s="3">
        <f t="shared" si="180"/>
        <v>2.4137735607644581E-2</v>
      </c>
      <c r="F219" s="3">
        <f t="shared" si="180"/>
        <v>2.4137735607623643E-2</v>
      </c>
      <c r="G219" s="3">
        <f t="shared" si="180"/>
        <v>2.4137735607414279E-2</v>
      </c>
      <c r="H219" s="3">
        <f t="shared" si="180"/>
        <v>2.4137735605320659E-2</v>
      </c>
      <c r="I219" s="3">
        <f t="shared" si="180"/>
        <v>2.4137735584384441E-2</v>
      </c>
      <c r="J219" s="3">
        <f t="shared" si="180"/>
        <v>2.4137735375022239E-2</v>
      </c>
      <c r="K219" s="3">
        <f t="shared" si="180"/>
        <v>2.4137733281400332E-2</v>
      </c>
      <c r="L219" s="3">
        <f t="shared" si="180"/>
        <v>2.413771234519126E-2</v>
      </c>
      <c r="M219" s="3">
        <f t="shared" si="180"/>
        <v>2.4137502984099293E-2</v>
      </c>
      <c r="N219" s="3">
        <f t="shared" si="180"/>
        <v>2.4135409473052431E-2</v>
      </c>
      <c r="O219" s="3">
        <f t="shared" si="180"/>
        <v>2.4114484346659505E-2</v>
      </c>
      <c r="P219" s="3">
        <f t="shared" si="180"/>
        <v>2.3906228293581494E-2</v>
      </c>
      <c r="Q219" s="3">
        <f t="shared" si="180"/>
        <v>2.192006772083455E-2</v>
      </c>
      <c r="R219" s="3">
        <f t="shared" si="180"/>
        <v>9.207679244413295E-3</v>
      </c>
      <c r="S219" s="3">
        <f t="shared" si="180"/>
        <v>1.5748278484248683E-6</v>
      </c>
      <c r="T219" s="3">
        <f t="shared" si="180"/>
        <v>3.3733556175795911E-44</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4.5517611487633891E-2</v>
      </c>
      <c r="C220" s="3">
        <f t="shared" si="181"/>
        <v>4.5517611487633884E-2</v>
      </c>
      <c r="D220" s="3">
        <f t="shared" si="181"/>
        <v>4.5517611487633849E-2</v>
      </c>
      <c r="E220" s="3">
        <f t="shared" si="181"/>
        <v>4.5517611487633496E-2</v>
      </c>
      <c r="F220" s="3">
        <f t="shared" si="181"/>
        <v>4.5517611487629936E-2</v>
      </c>
      <c r="G220" s="3">
        <f t="shared" si="181"/>
        <v>4.5517611487594319E-2</v>
      </c>
      <c r="H220" s="3">
        <f t="shared" si="181"/>
        <v>4.5517611487238173E-2</v>
      </c>
      <c r="I220" s="3">
        <f t="shared" si="181"/>
        <v>4.5517611483676716E-2</v>
      </c>
      <c r="J220" s="3">
        <f t="shared" si="181"/>
        <v>4.5517611448062135E-2</v>
      </c>
      <c r="K220" s="3">
        <f t="shared" si="181"/>
        <v>4.5517611091916356E-2</v>
      </c>
      <c r="L220" s="3">
        <f t="shared" si="181"/>
        <v>4.5517607530458699E-2</v>
      </c>
      <c r="M220" s="3">
        <f t="shared" si="181"/>
        <v>4.5517571915897427E-2</v>
      </c>
      <c r="N220" s="3">
        <f t="shared" si="181"/>
        <v>4.5517215771817332E-2</v>
      </c>
      <c r="O220" s="3">
        <f t="shared" si="181"/>
        <v>4.5513654484275051E-2</v>
      </c>
      <c r="P220" s="3">
        <f t="shared" si="181"/>
        <v>4.547805693027674E-2</v>
      </c>
      <c r="Q220" s="3">
        <f t="shared" si="181"/>
        <v>4.5123609106450871E-2</v>
      </c>
      <c r="R220" s="3">
        <f t="shared" si="181"/>
        <v>4.1727570773854743E-2</v>
      </c>
      <c r="S220" s="3">
        <f t="shared" si="181"/>
        <v>1.9081646352087984E-2</v>
      </c>
      <c r="T220" s="3">
        <f t="shared" si="181"/>
        <v>7.6303286622745128E-6</v>
      </c>
      <c r="U220" s="3">
        <f t="shared" si="181"/>
        <v>7.9765899384223948E-40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3.7438549850033177E-2</v>
      </c>
      <c r="C221" s="3">
        <f t="shared" si="182"/>
        <v>3.7438549850033177E-2</v>
      </c>
      <c r="D221" s="3">
        <f t="shared" si="182"/>
        <v>3.743854985003317E-2</v>
      </c>
      <c r="E221" s="3">
        <f t="shared" si="182"/>
        <v>3.743854985003315E-2</v>
      </c>
      <c r="F221" s="3">
        <f t="shared" si="182"/>
        <v>3.7438549850032879E-2</v>
      </c>
      <c r="G221" s="3">
        <f t="shared" si="182"/>
        <v>3.7438549850030242E-2</v>
      </c>
      <c r="H221" s="3">
        <f t="shared" si="182"/>
        <v>3.7438549850003819E-2</v>
      </c>
      <c r="I221" s="3">
        <f t="shared" si="182"/>
        <v>3.7438549849739565E-2</v>
      </c>
      <c r="J221" s="3">
        <f t="shared" si="182"/>
        <v>3.7438549847097075E-2</v>
      </c>
      <c r="K221" s="3">
        <f t="shared" si="182"/>
        <v>3.7438549820672136E-2</v>
      </c>
      <c r="L221" s="3">
        <f t="shared" si="182"/>
        <v>3.743854955642277E-2</v>
      </c>
      <c r="M221" s="3">
        <f t="shared" si="182"/>
        <v>3.7438546913929248E-2</v>
      </c>
      <c r="N221" s="3">
        <f t="shared" si="182"/>
        <v>3.7438520489004222E-2</v>
      </c>
      <c r="O221" s="3">
        <f t="shared" si="182"/>
        <v>3.7438256240779795E-2</v>
      </c>
      <c r="P221" s="3">
        <f t="shared" si="182"/>
        <v>3.7435613861114679E-2</v>
      </c>
      <c r="Q221" s="3">
        <f t="shared" si="182"/>
        <v>3.7409200319697154E-2</v>
      </c>
      <c r="R221" s="3">
        <f t="shared" si="182"/>
        <v>3.7146087755742449E-2</v>
      </c>
      <c r="S221" s="3">
        <f t="shared" si="182"/>
        <v>3.4614625607891393E-2</v>
      </c>
      <c r="T221" s="3">
        <f t="shared" si="182"/>
        <v>1.7089337274170311E-2</v>
      </c>
      <c r="U221" s="3">
        <f t="shared" si="182"/>
        <v>1.4702156636747957E-5</v>
      </c>
      <c r="V221" s="3">
        <f t="shared" si="182"/>
        <v>3.265421807549478E-36</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4.1083418704934697E-2</v>
      </c>
      <c r="C222" s="3">
        <f t="shared" si="183"/>
        <v>4.1083418704934697E-2</v>
      </c>
      <c r="D222" s="3">
        <f t="shared" si="183"/>
        <v>4.1083418704934697E-2</v>
      </c>
      <c r="E222" s="3">
        <f t="shared" si="183"/>
        <v>4.1083418704934691E-2</v>
      </c>
      <c r="F222" s="3">
        <f t="shared" si="183"/>
        <v>4.108341870493467E-2</v>
      </c>
      <c r="G222" s="3">
        <f t="shared" si="183"/>
        <v>4.1083418704934406E-2</v>
      </c>
      <c r="H222" s="3">
        <f t="shared" si="183"/>
        <v>4.108341870493179E-2</v>
      </c>
      <c r="I222" s="3">
        <f t="shared" si="183"/>
        <v>4.108341870490563E-2</v>
      </c>
      <c r="J222" s="3">
        <f t="shared" si="183"/>
        <v>4.1083418704644048E-2</v>
      </c>
      <c r="K222" s="3">
        <f t="shared" si="183"/>
        <v>4.1083418702028231E-2</v>
      </c>
      <c r="L222" s="3">
        <f t="shared" si="183"/>
        <v>4.1083418675870016E-2</v>
      </c>
      <c r="M222" s="3">
        <f t="shared" si="183"/>
        <v>4.1083418414287864E-2</v>
      </c>
      <c r="N222" s="3">
        <f t="shared" si="183"/>
        <v>4.1083415798466506E-2</v>
      </c>
      <c r="O222" s="3">
        <f t="shared" si="183"/>
        <v>4.1083389640262029E-2</v>
      </c>
      <c r="P222" s="3">
        <f t="shared" si="183"/>
        <v>4.1083128059133264E-2</v>
      </c>
      <c r="Q222" s="3">
        <f t="shared" si="183"/>
        <v>4.1080512339446783E-2</v>
      </c>
      <c r="R222" s="3">
        <f t="shared" si="183"/>
        <v>4.105436430053979E-2</v>
      </c>
      <c r="S222" s="3">
        <f t="shared" si="183"/>
        <v>4.079379755346306E-2</v>
      </c>
      <c r="T222" s="3">
        <f t="shared" si="183"/>
        <v>3.8277378066768036E-2</v>
      </c>
      <c r="U222" s="3">
        <f t="shared" si="183"/>
        <v>2.0249888482201075E-2</v>
      </c>
      <c r="V222" s="3">
        <f t="shared" si="183"/>
        <v>3.4771800348552416E-5</v>
      </c>
      <c r="W222" s="3">
        <f t="shared" si="183"/>
        <v>7.749480542400913E-33</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4.6249511553516282E-2</v>
      </c>
      <c r="C223" s="3">
        <f t="shared" si="184"/>
        <v>4.6249511553516282E-2</v>
      </c>
      <c r="D223" s="3">
        <f t="shared" si="184"/>
        <v>4.6249511553516282E-2</v>
      </c>
      <c r="E223" s="3">
        <f t="shared" si="184"/>
        <v>4.6249511553516282E-2</v>
      </c>
      <c r="F223" s="3">
        <f t="shared" si="184"/>
        <v>4.6249511553516275E-2</v>
      </c>
      <c r="G223" s="3">
        <f t="shared" si="184"/>
        <v>4.6249511553516254E-2</v>
      </c>
      <c r="H223" s="3">
        <f t="shared" si="184"/>
        <v>4.624951155351599E-2</v>
      </c>
      <c r="I223" s="3">
        <f t="shared" si="184"/>
        <v>4.6249511553513332E-2</v>
      </c>
      <c r="J223" s="3">
        <f t="shared" si="184"/>
        <v>4.624951155348677E-2</v>
      </c>
      <c r="K223" s="3">
        <f t="shared" si="184"/>
        <v>4.6249511553221129E-2</v>
      </c>
      <c r="L223" s="3">
        <f t="shared" si="184"/>
        <v>4.6249511550564712E-2</v>
      </c>
      <c r="M223" s="3">
        <f t="shared" si="184"/>
        <v>4.6249511524000607E-2</v>
      </c>
      <c r="N223" s="3">
        <f t="shared" si="184"/>
        <v>4.6249511258359507E-2</v>
      </c>
      <c r="O223" s="3">
        <f t="shared" si="184"/>
        <v>4.6249508601948632E-2</v>
      </c>
      <c r="P223" s="3">
        <f t="shared" si="184"/>
        <v>4.6249482037848254E-2</v>
      </c>
      <c r="Q223" s="3">
        <f t="shared" si="184"/>
        <v>4.6249216397683666E-2</v>
      </c>
      <c r="R223" s="3">
        <f t="shared" si="184"/>
        <v>4.6246560079952051E-2</v>
      </c>
      <c r="S223" s="3">
        <f t="shared" si="184"/>
        <v>4.6220005292279702E-2</v>
      </c>
      <c r="T223" s="3">
        <f t="shared" si="184"/>
        <v>4.5955294599750146E-2</v>
      </c>
      <c r="U223" s="3">
        <f t="shared" si="184"/>
        <v>4.3390153954195432E-2</v>
      </c>
      <c r="V223" s="3">
        <f t="shared" si="184"/>
        <v>2.4431355125314504E-2</v>
      </c>
      <c r="W223" s="3">
        <f t="shared" si="184"/>
        <v>7.8254840539654588E-5</v>
      </c>
      <c r="X223" s="3">
        <f t="shared" si="184"/>
        <v>8.8950368983918713E-30</v>
      </c>
      <c r="Y223" s="3">
        <f t="shared" si="184"/>
        <v>3.2026773284898758E-279</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4.2148935673183355E-2</v>
      </c>
      <c r="C224" s="3">
        <f t="shared" si="185"/>
        <v>4.2148935673183355E-2</v>
      </c>
      <c r="D224" s="3">
        <f t="shared" si="185"/>
        <v>4.2148935673183355E-2</v>
      </c>
      <c r="E224" s="3">
        <f t="shared" si="185"/>
        <v>4.2148935673183355E-2</v>
      </c>
      <c r="F224" s="3">
        <f t="shared" si="185"/>
        <v>4.2148935673183355E-2</v>
      </c>
      <c r="G224" s="3">
        <f t="shared" si="185"/>
        <v>4.2148935673183348E-2</v>
      </c>
      <c r="H224" s="3">
        <f t="shared" si="185"/>
        <v>4.2148935673183334E-2</v>
      </c>
      <c r="I224" s="3">
        <f t="shared" si="185"/>
        <v>4.2148935673183112E-2</v>
      </c>
      <c r="J224" s="3">
        <f t="shared" si="185"/>
        <v>4.2148935673180926E-2</v>
      </c>
      <c r="K224" s="3">
        <f t="shared" si="185"/>
        <v>4.2148935673159089E-2</v>
      </c>
      <c r="L224" s="3">
        <f t="shared" si="185"/>
        <v>4.2148935672940709E-2</v>
      </c>
      <c r="M224" s="3">
        <f t="shared" si="185"/>
        <v>4.2148935670756858E-2</v>
      </c>
      <c r="N224" s="3">
        <f t="shared" si="185"/>
        <v>4.2148935648918438E-2</v>
      </c>
      <c r="O224" s="3">
        <f t="shared" si="185"/>
        <v>4.214893543053419E-2</v>
      </c>
      <c r="P224" s="3">
        <f t="shared" si="185"/>
        <v>4.2148933246691736E-2</v>
      </c>
      <c r="Q224" s="3">
        <f t="shared" si="185"/>
        <v>4.2148911408273426E-2</v>
      </c>
      <c r="R224" s="3">
        <f t="shared" si="185"/>
        <v>4.2148693024712691E-2</v>
      </c>
      <c r="S224" s="3">
        <f t="shared" si="185"/>
        <v>4.2146509251336763E-2</v>
      </c>
      <c r="T224" s="3">
        <f t="shared" si="185"/>
        <v>4.2124677739523005E-2</v>
      </c>
      <c r="U224" s="3">
        <f t="shared" si="185"/>
        <v>4.1906983624809262E-2</v>
      </c>
      <c r="V224" s="3">
        <f t="shared" si="185"/>
        <v>3.9790968636546686E-2</v>
      </c>
      <c r="W224" s="3">
        <f t="shared" si="185"/>
        <v>2.3700941659988508E-2</v>
      </c>
      <c r="X224" s="3">
        <f t="shared" si="185"/>
        <v>1.3322216905747294E-4</v>
      </c>
      <c r="Y224" s="3">
        <f t="shared" si="185"/>
        <v>4.1945511153081489E-27</v>
      </c>
      <c r="Z224" s="3">
        <f t="shared" si="185"/>
        <v>4.0158307323275621E-252</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0.11274262500279238</v>
      </c>
      <c r="C225" s="3">
        <f t="shared" si="186"/>
        <v>0.11274262500279238</v>
      </c>
      <c r="D225" s="3">
        <f t="shared" si="186"/>
        <v>0.11274262500279238</v>
      </c>
      <c r="E225" s="3">
        <f t="shared" si="186"/>
        <v>0.11274262500279238</v>
      </c>
      <c r="F225" s="3">
        <f t="shared" si="186"/>
        <v>0.11274262500279238</v>
      </c>
      <c r="G225" s="3">
        <f t="shared" si="186"/>
        <v>0.11274262500279238</v>
      </c>
      <c r="H225" s="3">
        <f t="shared" si="186"/>
        <v>0.11274262500279238</v>
      </c>
      <c r="I225" s="3">
        <f t="shared" si="186"/>
        <v>0.11274262500279231</v>
      </c>
      <c r="J225" s="3">
        <f t="shared" si="186"/>
        <v>0.11274262500279179</v>
      </c>
      <c r="K225" s="3">
        <f t="shared" si="186"/>
        <v>0.11274262500278652</v>
      </c>
      <c r="L225" s="3">
        <f t="shared" si="186"/>
        <v>0.11274262500273383</v>
      </c>
      <c r="M225" s="3">
        <f t="shared" si="186"/>
        <v>0.11274262500220687</v>
      </c>
      <c r="N225" s="3">
        <f t="shared" si="186"/>
        <v>0.11274262499693738</v>
      </c>
      <c r="O225" s="3">
        <f t="shared" si="186"/>
        <v>0.11274262494424238</v>
      </c>
      <c r="P225" s="3">
        <f t="shared" si="186"/>
        <v>0.11274262441729234</v>
      </c>
      <c r="Q225" s="3">
        <f t="shared" si="186"/>
        <v>0.11274261914779213</v>
      </c>
      <c r="R225" s="3">
        <f t="shared" si="186"/>
        <v>0.11274256645280355</v>
      </c>
      <c r="S225" s="3">
        <f t="shared" si="186"/>
        <v>0.11274203950427236</v>
      </c>
      <c r="T225" s="3">
        <f t="shared" si="186"/>
        <v>0.11273677015441867</v>
      </c>
      <c r="U225" s="3">
        <f t="shared" si="186"/>
        <v>0.11268409019935255</v>
      </c>
      <c r="V225" s="3">
        <f t="shared" si="186"/>
        <v>0.11215864265656274</v>
      </c>
      <c r="W225" s="3">
        <f t="shared" si="186"/>
        <v>0.10703705886356961</v>
      </c>
      <c r="X225" s="3">
        <f t="shared" si="186"/>
        <v>6.7073101753966788E-2</v>
      </c>
      <c r="Y225" s="3">
        <f t="shared" si="186"/>
        <v>6.2616764575544322E-4</v>
      </c>
      <c r="Z225" s="3">
        <f t="shared" si="186"/>
        <v>3.1485671241182056E-24</v>
      </c>
      <c r="AA225" s="3">
        <f t="shared" si="186"/>
        <v>3.2533911673634012E-227</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0.14424606622338945</v>
      </c>
      <c r="C226" s="3">
        <f t="shared" si="187"/>
        <v>0.14424606622338945</v>
      </c>
      <c r="D226" s="3">
        <f t="shared" si="187"/>
        <v>0.14424606622338945</v>
      </c>
      <c r="E226" s="3">
        <f t="shared" si="187"/>
        <v>0.14424606622338945</v>
      </c>
      <c r="F226" s="3">
        <f t="shared" si="187"/>
        <v>0.14424606622338945</v>
      </c>
      <c r="G226" s="3">
        <f t="shared" si="187"/>
        <v>0.14424606622338945</v>
      </c>
      <c r="H226" s="3">
        <f t="shared" si="187"/>
        <v>0.14424606622338945</v>
      </c>
      <c r="I226" s="3">
        <f t="shared" si="187"/>
        <v>0.14424606622338945</v>
      </c>
      <c r="J226" s="3">
        <f t="shared" si="187"/>
        <v>0.1442460662233894</v>
      </c>
      <c r="K226" s="3">
        <f t="shared" si="187"/>
        <v>0.14424606622338879</v>
      </c>
      <c r="L226" s="3">
        <f t="shared" si="187"/>
        <v>0.14424606622338271</v>
      </c>
      <c r="M226" s="3">
        <f t="shared" si="187"/>
        <v>0.14424606622332187</v>
      </c>
      <c r="N226" s="3">
        <f t="shared" si="187"/>
        <v>0.14424606622271371</v>
      </c>
      <c r="O226" s="3">
        <f t="shared" si="187"/>
        <v>0.14424606621663189</v>
      </c>
      <c r="P226" s="3">
        <f t="shared" si="187"/>
        <v>0.14424606615581392</v>
      </c>
      <c r="Q226" s="3">
        <f t="shared" si="187"/>
        <v>0.14424606554763433</v>
      </c>
      <c r="R226" s="3">
        <f t="shared" si="187"/>
        <v>0.14424605946583824</v>
      </c>
      <c r="S226" s="3">
        <f t="shared" si="187"/>
        <v>0.14424599864789153</v>
      </c>
      <c r="T226" s="3">
        <f t="shared" si="187"/>
        <v>0.14424539046983487</v>
      </c>
      <c r="U226" s="3">
        <f t="shared" si="187"/>
        <v>0.14423930883029917</v>
      </c>
      <c r="V226" s="3">
        <f t="shared" si="187"/>
        <v>0.14417850653585326</v>
      </c>
      <c r="W226" s="3">
        <f t="shared" si="187"/>
        <v>0.14357189148518831</v>
      </c>
      <c r="X226" s="3">
        <f t="shared" si="187"/>
        <v>0.13764435856835661</v>
      </c>
      <c r="Y226" s="3">
        <f t="shared" si="187"/>
        <v>9.0291809981951549E-2</v>
      </c>
      <c r="Z226" s="3">
        <f t="shared" si="187"/>
        <v>1.3321336089963179E-3</v>
      </c>
      <c r="AA226" s="3">
        <f t="shared" si="187"/>
        <v>6.5094163517757366E-22</v>
      </c>
      <c r="AB226" s="3">
        <f t="shared" si="187"/>
        <v>5.0522484745386266E-205</v>
      </c>
      <c r="AC226" s="3">
        <f t="shared" si="187"/>
        <v>0</v>
      </c>
      <c r="AD226" s="3">
        <f t="shared" si="187"/>
        <v>0</v>
      </c>
      <c r="AE226" s="3">
        <f t="shared" si="187"/>
        <v>0</v>
      </c>
      <c r="AF226" s="3">
        <f t="shared" si="187"/>
        <v>0</v>
      </c>
      <c r="AG226" s="3"/>
      <c r="AH226" s="3"/>
    </row>
    <row r="227" spans="2:34" x14ac:dyDescent="0.25">
      <c r="B227" s="3">
        <f t="shared" ref="B227:AF227" si="188">$C35*EXP(-B$207/$A35/EXP(-$D$126))</f>
        <v>0.12974045708141974</v>
      </c>
      <c r="C227" s="3">
        <f t="shared" si="188"/>
        <v>0.12974045708141974</v>
      </c>
      <c r="D227" s="3">
        <f t="shared" si="188"/>
        <v>0.12974045708141974</v>
      </c>
      <c r="E227" s="3">
        <f t="shared" si="188"/>
        <v>0.12974045708141974</v>
      </c>
      <c r="F227" s="3">
        <f t="shared" si="188"/>
        <v>0.12974045708141974</v>
      </c>
      <c r="G227" s="3">
        <f t="shared" si="188"/>
        <v>0.12974045708141974</v>
      </c>
      <c r="H227" s="3">
        <f t="shared" si="188"/>
        <v>0.12974045708141974</v>
      </c>
      <c r="I227" s="3">
        <f t="shared" si="188"/>
        <v>0.12974045708141974</v>
      </c>
      <c r="J227" s="3">
        <f t="shared" si="188"/>
        <v>0.12974045708141974</v>
      </c>
      <c r="K227" s="3">
        <f t="shared" si="188"/>
        <v>0.12974045708141968</v>
      </c>
      <c r="L227" s="3">
        <f t="shared" si="188"/>
        <v>0.12974045708141918</v>
      </c>
      <c r="M227" s="3">
        <f t="shared" si="188"/>
        <v>0.12974045708141424</v>
      </c>
      <c r="N227" s="3">
        <f t="shared" si="188"/>
        <v>0.12974045708136492</v>
      </c>
      <c r="O227" s="3">
        <f t="shared" si="188"/>
        <v>0.12974045708087145</v>
      </c>
      <c r="P227" s="3">
        <f t="shared" si="188"/>
        <v>0.12974045707593687</v>
      </c>
      <c r="Q227" s="3">
        <f t="shared" si="188"/>
        <v>0.12974045702659109</v>
      </c>
      <c r="R227" s="3">
        <f t="shared" si="188"/>
        <v>0.12974045653313343</v>
      </c>
      <c r="S227" s="3">
        <f t="shared" si="188"/>
        <v>0.12974045159855688</v>
      </c>
      <c r="T227" s="3">
        <f t="shared" si="188"/>
        <v>0.12974040225280156</v>
      </c>
      <c r="U227" s="3">
        <f t="shared" si="188"/>
        <v>0.12973990879628061</v>
      </c>
      <c r="V227" s="3">
        <f t="shared" si="188"/>
        <v>0.12973497433429504</v>
      </c>
      <c r="W227" s="3">
        <f t="shared" si="188"/>
        <v>0.12968564003537722</v>
      </c>
      <c r="X227" s="3">
        <f t="shared" si="188"/>
        <v>0.12919332768903297</v>
      </c>
      <c r="Y227" s="3">
        <f t="shared" si="188"/>
        <v>0.12437183275777396</v>
      </c>
      <c r="Z227" s="3">
        <f t="shared" si="188"/>
        <v>8.5023999303209294E-2</v>
      </c>
      <c r="AA227" s="3">
        <f t="shared" si="188"/>
        <v>1.895555387936954E-3</v>
      </c>
      <c r="AB227" s="3">
        <f t="shared" si="188"/>
        <v>5.7502400765353652E-20</v>
      </c>
      <c r="AC227" s="3">
        <f t="shared" si="188"/>
        <v>3.7947306835115484E-185</v>
      </c>
      <c r="AD227" s="3">
        <f t="shared" si="188"/>
        <v>0</v>
      </c>
      <c r="AE227" s="3">
        <f t="shared" si="188"/>
        <v>0</v>
      </c>
      <c r="AF227" s="3">
        <f t="shared" si="188"/>
        <v>0</v>
      </c>
      <c r="AG227" s="3"/>
      <c r="AH227" s="3"/>
    </row>
    <row r="228" spans="2:34" x14ac:dyDescent="0.25">
      <c r="B228" s="3">
        <f t="shared" ref="B228:AF228" si="189">$C36*EXP(-B$207/$A36/EXP(-$D$126))</f>
        <v>0.10714973449748261</v>
      </c>
      <c r="C228" s="3">
        <f t="shared" si="189"/>
        <v>0.10714973449748261</v>
      </c>
      <c r="D228" s="3">
        <f t="shared" si="189"/>
        <v>0.10714973449748261</v>
      </c>
      <c r="E228" s="3">
        <f t="shared" si="189"/>
        <v>0.10714973449748261</v>
      </c>
      <c r="F228" s="3">
        <f t="shared" si="189"/>
        <v>0.10714973449748261</v>
      </c>
      <c r="G228" s="3">
        <f t="shared" si="189"/>
        <v>0.10714973449748261</v>
      </c>
      <c r="H228" s="3">
        <f t="shared" si="189"/>
        <v>0.10714973449748261</v>
      </c>
      <c r="I228" s="3">
        <f t="shared" si="189"/>
        <v>0.10714973449748261</v>
      </c>
      <c r="J228" s="3">
        <f t="shared" si="189"/>
        <v>0.10714973449748261</v>
      </c>
      <c r="K228" s="3">
        <f t="shared" si="189"/>
        <v>0.10714973449748261</v>
      </c>
      <c r="L228" s="3">
        <f t="shared" si="189"/>
        <v>0.10714973449748257</v>
      </c>
      <c r="M228" s="3">
        <f t="shared" si="189"/>
        <v>0.1071497344974822</v>
      </c>
      <c r="N228" s="3">
        <f t="shared" si="189"/>
        <v>0.10714973449747853</v>
      </c>
      <c r="O228" s="3">
        <f t="shared" si="189"/>
        <v>0.10714973449744175</v>
      </c>
      <c r="P228" s="3">
        <f t="shared" si="189"/>
        <v>0.10714973449707413</v>
      </c>
      <c r="Q228" s="3">
        <f t="shared" si="189"/>
        <v>0.10714973449339782</v>
      </c>
      <c r="R228" s="3">
        <f t="shared" si="189"/>
        <v>0.10714973445663471</v>
      </c>
      <c r="S228" s="3">
        <f t="shared" si="189"/>
        <v>0.10714973408900368</v>
      </c>
      <c r="T228" s="3">
        <f t="shared" si="189"/>
        <v>0.10714973041269339</v>
      </c>
      <c r="U228" s="3">
        <f t="shared" si="189"/>
        <v>0.10714969364959746</v>
      </c>
      <c r="V228" s="3">
        <f t="shared" si="189"/>
        <v>0.10714932601933197</v>
      </c>
      <c r="W228" s="3">
        <f t="shared" si="189"/>
        <v>0.10714564978604997</v>
      </c>
      <c r="X228" s="3">
        <f t="shared" si="189"/>
        <v>0.10710889438963851</v>
      </c>
      <c r="Y228" s="3">
        <f t="shared" si="189"/>
        <v>0.1067420331866384</v>
      </c>
      <c r="Z228" s="3">
        <f t="shared" si="189"/>
        <v>0.10314182584059435</v>
      </c>
      <c r="AA228" s="3">
        <f t="shared" si="189"/>
        <v>7.3186041551553199E-2</v>
      </c>
      <c r="AB228" s="3">
        <f t="shared" si="189"/>
        <v>2.3678963369779572E-3</v>
      </c>
      <c r="AC228" s="3">
        <f t="shared" si="189"/>
        <v>2.9765073795576435E-18</v>
      </c>
      <c r="AD228" s="3">
        <f t="shared" si="189"/>
        <v>2.9319039791174454E-167</v>
      </c>
      <c r="AE228" s="3">
        <f t="shared" si="189"/>
        <v>0</v>
      </c>
      <c r="AF228" s="3">
        <f t="shared" si="189"/>
        <v>0</v>
      </c>
      <c r="AG228" s="3"/>
      <c r="AH228" s="3"/>
    </row>
    <row r="229" spans="2:34" x14ac:dyDescent="0.25">
      <c r="B229" s="3">
        <f t="shared" ref="B229:AF229" si="190">$C37*EXP(-B$207/$A37/EXP(-$D$126))</f>
        <v>7.4657991153057213E-2</v>
      </c>
      <c r="C229" s="3">
        <f t="shared" si="190"/>
        <v>7.4657991153057213E-2</v>
      </c>
      <c r="D229" s="3">
        <f t="shared" si="190"/>
        <v>7.4657991153057213E-2</v>
      </c>
      <c r="E229" s="3">
        <f t="shared" si="190"/>
        <v>7.4657991153057213E-2</v>
      </c>
      <c r="F229" s="3">
        <f t="shared" si="190"/>
        <v>7.4657991153057213E-2</v>
      </c>
      <c r="G229" s="3">
        <f t="shared" si="190"/>
        <v>7.4657991153057213E-2</v>
      </c>
      <c r="H229" s="3">
        <f t="shared" si="190"/>
        <v>7.4657991153057213E-2</v>
      </c>
      <c r="I229" s="3">
        <f t="shared" si="190"/>
        <v>7.4657991153057213E-2</v>
      </c>
      <c r="J229" s="3">
        <f t="shared" si="190"/>
        <v>7.4657991153057213E-2</v>
      </c>
      <c r="K229" s="3">
        <f t="shared" si="190"/>
        <v>7.4657991153057213E-2</v>
      </c>
      <c r="L229" s="3">
        <f t="shared" si="190"/>
        <v>7.4657991153057213E-2</v>
      </c>
      <c r="M229" s="3">
        <f t="shared" si="190"/>
        <v>7.4657991153057185E-2</v>
      </c>
      <c r="N229" s="3">
        <f t="shared" si="190"/>
        <v>7.4657991153056949E-2</v>
      </c>
      <c r="O229" s="3">
        <f t="shared" si="190"/>
        <v>7.4657991153054645E-2</v>
      </c>
      <c r="P229" s="3">
        <f t="shared" si="190"/>
        <v>7.4657991153031539E-2</v>
      </c>
      <c r="Q229" s="3">
        <f t="shared" si="190"/>
        <v>7.4657991152800474E-2</v>
      </c>
      <c r="R229" s="3">
        <f t="shared" si="190"/>
        <v>7.4657991150489766E-2</v>
      </c>
      <c r="S229" s="3">
        <f t="shared" si="190"/>
        <v>7.4657991127382736E-2</v>
      </c>
      <c r="T229" s="3">
        <f t="shared" si="190"/>
        <v>7.4657990896312532E-2</v>
      </c>
      <c r="U229" s="3">
        <f t="shared" si="190"/>
        <v>7.4657988585610471E-2</v>
      </c>
      <c r="V229" s="3">
        <f t="shared" si="190"/>
        <v>7.4657965478593782E-2</v>
      </c>
      <c r="W229" s="3">
        <f t="shared" si="190"/>
        <v>7.4657734408820217E-2</v>
      </c>
      <c r="X229" s="3">
        <f t="shared" si="190"/>
        <v>7.4655423750418712E-2</v>
      </c>
      <c r="Y229" s="3">
        <f t="shared" si="190"/>
        <v>7.4632321099359314E-2</v>
      </c>
      <c r="Z229" s="3">
        <f t="shared" si="190"/>
        <v>7.4401687434314953E-2</v>
      </c>
      <c r="AA229" s="3">
        <f t="shared" si="190"/>
        <v>7.2134189164647713E-2</v>
      </c>
      <c r="AB229" s="3">
        <f t="shared" si="190"/>
        <v>5.2932797081252689E-2</v>
      </c>
      <c r="AC229" s="3">
        <f t="shared" si="190"/>
        <v>2.3964133813979128E-3</v>
      </c>
      <c r="AD229" s="3">
        <f t="shared" si="190"/>
        <v>8.6682346567664038E-17</v>
      </c>
      <c r="AE229" s="3">
        <f t="shared" si="190"/>
        <v>3.3236852902596138E-151</v>
      </c>
      <c r="AF229" s="3">
        <f t="shared" si="190"/>
        <v>0</v>
      </c>
      <c r="AG229" s="3"/>
      <c r="AH229" s="3"/>
    </row>
    <row r="230" spans="2:34" x14ac:dyDescent="0.25">
      <c r="B230" s="3">
        <f t="shared" ref="B230:AF230" si="191">$C38*EXP(-B$207/$A38/EXP(-$D$126))</f>
        <v>2.5780107678568913E-2</v>
      </c>
      <c r="C230" s="3">
        <f t="shared" si="191"/>
        <v>2.5780107678568913E-2</v>
      </c>
      <c r="D230" s="3">
        <f t="shared" si="191"/>
        <v>2.5780107678568913E-2</v>
      </c>
      <c r="E230" s="3">
        <f t="shared" si="191"/>
        <v>2.5780107678568913E-2</v>
      </c>
      <c r="F230" s="3">
        <f t="shared" si="191"/>
        <v>2.5780107678568913E-2</v>
      </c>
      <c r="G230" s="3">
        <f t="shared" si="191"/>
        <v>2.5780107678568913E-2</v>
      </c>
      <c r="H230" s="3">
        <f t="shared" si="191"/>
        <v>2.5780107678568913E-2</v>
      </c>
      <c r="I230" s="3">
        <f t="shared" si="191"/>
        <v>2.5780107678568913E-2</v>
      </c>
      <c r="J230" s="3">
        <f t="shared" si="191"/>
        <v>2.5780107678568913E-2</v>
      </c>
      <c r="K230" s="3">
        <f t="shared" si="191"/>
        <v>2.5780107678568913E-2</v>
      </c>
      <c r="L230" s="3">
        <f t="shared" si="191"/>
        <v>2.5780107678568913E-2</v>
      </c>
      <c r="M230" s="3">
        <f t="shared" si="191"/>
        <v>2.5780107678568913E-2</v>
      </c>
      <c r="N230" s="3">
        <f t="shared" si="191"/>
        <v>2.5780107678568906E-2</v>
      </c>
      <c r="O230" s="3">
        <f t="shared" si="191"/>
        <v>2.5780107678568833E-2</v>
      </c>
      <c r="P230" s="3">
        <f t="shared" si="191"/>
        <v>2.5780107678568115E-2</v>
      </c>
      <c r="Q230" s="3">
        <f t="shared" si="191"/>
        <v>2.5780107678560916E-2</v>
      </c>
      <c r="R230" s="3">
        <f t="shared" si="191"/>
        <v>2.5780107678488939E-2</v>
      </c>
      <c r="S230" s="3">
        <f t="shared" si="191"/>
        <v>2.5780107677769157E-2</v>
      </c>
      <c r="T230" s="3">
        <f t="shared" si="191"/>
        <v>2.5780107670571373E-2</v>
      </c>
      <c r="U230" s="3">
        <f t="shared" si="191"/>
        <v>2.5780107598593505E-2</v>
      </c>
      <c r="V230" s="3">
        <f t="shared" si="191"/>
        <v>2.5780106878814837E-2</v>
      </c>
      <c r="W230" s="3">
        <f t="shared" si="191"/>
        <v>2.5780099681029275E-2</v>
      </c>
      <c r="X230" s="3">
        <f t="shared" si="191"/>
        <v>2.5780027703284178E-2</v>
      </c>
      <c r="Y230" s="3">
        <f t="shared" si="191"/>
        <v>2.5779307936885973E-2</v>
      </c>
      <c r="Z230" s="3">
        <f t="shared" si="191"/>
        <v>2.5772111378066238E-2</v>
      </c>
      <c r="AA230" s="3">
        <f t="shared" si="191"/>
        <v>2.5700256192018999E-2</v>
      </c>
      <c r="AB230" s="3">
        <f t="shared" si="191"/>
        <v>2.4992631343760233E-2</v>
      </c>
      <c r="AC230" s="3">
        <f t="shared" si="191"/>
        <v>1.8904155824166182E-2</v>
      </c>
      <c r="AD230" s="3">
        <f t="shared" si="191"/>
        <v>1.1588049502230882E-3</v>
      </c>
      <c r="AE230" s="3">
        <f t="shared" si="191"/>
        <v>8.6804227164430136E-16</v>
      </c>
      <c r="AF230" s="3">
        <f t="shared" si="191"/>
        <v>4.8288776902546389E-137</v>
      </c>
      <c r="AG230" s="3"/>
      <c r="AH230" s="3"/>
    </row>
    <row r="231" spans="2:34" x14ac:dyDescent="0.25">
      <c r="B231" s="3">
        <f t="shared" ref="B231:AF231" si="192">$C39*EXP(-B$207/$A39/EXP(-$D$126))</f>
        <v>2.4060337070104312E-2</v>
      </c>
      <c r="C231" s="3">
        <f t="shared" si="192"/>
        <v>2.4060337070104312E-2</v>
      </c>
      <c r="D231" s="3">
        <f t="shared" si="192"/>
        <v>2.4060337070104312E-2</v>
      </c>
      <c r="E231" s="3">
        <f t="shared" si="192"/>
        <v>2.4060337070104312E-2</v>
      </c>
      <c r="F231" s="3">
        <f t="shared" si="192"/>
        <v>2.4060337070104312E-2</v>
      </c>
      <c r="G231" s="3">
        <f t="shared" si="192"/>
        <v>2.4060337070104312E-2</v>
      </c>
      <c r="H231" s="3">
        <f t="shared" si="192"/>
        <v>2.4060337070104312E-2</v>
      </c>
      <c r="I231" s="3">
        <f t="shared" si="192"/>
        <v>2.4060337070104312E-2</v>
      </c>
      <c r="J231" s="3">
        <f t="shared" si="192"/>
        <v>2.4060337070104312E-2</v>
      </c>
      <c r="K231" s="3">
        <f t="shared" si="192"/>
        <v>2.4060337070104312E-2</v>
      </c>
      <c r="L231" s="3">
        <f t="shared" si="192"/>
        <v>2.4060337070104312E-2</v>
      </c>
      <c r="M231" s="3">
        <f t="shared" si="192"/>
        <v>2.4060337070104312E-2</v>
      </c>
      <c r="N231" s="3">
        <f t="shared" si="192"/>
        <v>2.4060337070104309E-2</v>
      </c>
      <c r="O231" s="3">
        <f t="shared" si="192"/>
        <v>2.4060337070104292E-2</v>
      </c>
      <c r="P231" s="3">
        <f t="shared" si="192"/>
        <v>2.4060337070104108E-2</v>
      </c>
      <c r="Q231" s="3">
        <f t="shared" si="192"/>
        <v>2.4060337070102248E-2</v>
      </c>
      <c r="R231" s="3">
        <f t="shared" si="192"/>
        <v>2.4060337070083669E-2</v>
      </c>
      <c r="S231" s="3">
        <f t="shared" si="192"/>
        <v>2.4060337069897877E-2</v>
      </c>
      <c r="T231" s="3">
        <f t="shared" si="192"/>
        <v>2.4060337068039946E-2</v>
      </c>
      <c r="U231" s="3">
        <f t="shared" si="192"/>
        <v>2.4060337049460673E-2</v>
      </c>
      <c r="V231" s="3">
        <f t="shared" si="192"/>
        <v>2.4060336863667896E-2</v>
      </c>
      <c r="W231" s="3">
        <f t="shared" si="192"/>
        <v>2.406033500574024E-2</v>
      </c>
      <c r="X231" s="3">
        <f t="shared" si="192"/>
        <v>2.4060316426471565E-2</v>
      </c>
      <c r="Y231" s="3">
        <f t="shared" si="192"/>
        <v>2.4060130634573879E-2</v>
      </c>
      <c r="Z231" s="3">
        <f t="shared" si="192"/>
        <v>2.4058272794502095E-2</v>
      </c>
      <c r="AA231" s="3">
        <f t="shared" si="192"/>
        <v>2.4039702282035939E-2</v>
      </c>
      <c r="AB231" s="3">
        <f t="shared" si="192"/>
        <v>2.3854783733422875E-2</v>
      </c>
      <c r="AC231" s="3">
        <f t="shared" si="192"/>
        <v>2.20820541747026E-2</v>
      </c>
      <c r="AD231" s="3">
        <f t="shared" si="192"/>
        <v>1.0201859661754947E-2</v>
      </c>
      <c r="AE231" s="3">
        <f t="shared" si="192"/>
        <v>4.5193719423927314E-6</v>
      </c>
      <c r="AF231" s="3">
        <f t="shared" si="192"/>
        <v>1.3154231642463953E-39</v>
      </c>
      <c r="AG231" s="3"/>
      <c r="AH231" s="3"/>
    </row>
    <row r="232" spans="2:34" x14ac:dyDescent="0.25">
      <c r="B232" s="3">
        <f t="shared" ref="B232:AF232" si="193">$C40*EXP(-B$207/$A40/EXP(-$D$126))</f>
        <v>1.2267955807966149E-2</v>
      </c>
      <c r="C232" s="3">
        <f t="shared" si="193"/>
        <v>1.2267955807966149E-2</v>
      </c>
      <c r="D232" s="3">
        <f t="shared" si="193"/>
        <v>1.2267955807966149E-2</v>
      </c>
      <c r="E232" s="3">
        <f t="shared" si="193"/>
        <v>1.2267955807966149E-2</v>
      </c>
      <c r="F232" s="3">
        <f t="shared" si="193"/>
        <v>1.2267955807966149E-2</v>
      </c>
      <c r="G232" s="3">
        <f t="shared" si="193"/>
        <v>1.2267955807966149E-2</v>
      </c>
      <c r="H232" s="3">
        <f t="shared" si="193"/>
        <v>1.2267955807966149E-2</v>
      </c>
      <c r="I232" s="3">
        <f t="shared" si="193"/>
        <v>1.2267955807966149E-2</v>
      </c>
      <c r="J232" s="3">
        <f t="shared" si="193"/>
        <v>1.2267955807966149E-2</v>
      </c>
      <c r="K232" s="3">
        <f t="shared" si="193"/>
        <v>1.2267955807966149E-2</v>
      </c>
      <c r="L232" s="3">
        <f t="shared" si="193"/>
        <v>1.2267955807966149E-2</v>
      </c>
      <c r="M232" s="3">
        <f t="shared" si="193"/>
        <v>1.2267955807966149E-2</v>
      </c>
      <c r="N232" s="3">
        <f t="shared" si="193"/>
        <v>1.2267955807966149E-2</v>
      </c>
      <c r="O232" s="3">
        <f t="shared" si="193"/>
        <v>1.2267955807966148E-2</v>
      </c>
      <c r="P232" s="3">
        <f t="shared" si="193"/>
        <v>1.2267955807966139E-2</v>
      </c>
      <c r="Q232" s="3">
        <f t="shared" si="193"/>
        <v>1.2267955807966045E-2</v>
      </c>
      <c r="R232" s="3">
        <f t="shared" si="193"/>
        <v>1.2267955807965096E-2</v>
      </c>
      <c r="S232" s="3">
        <f t="shared" si="193"/>
        <v>1.2267955807955623E-2</v>
      </c>
      <c r="T232" s="3">
        <f t="shared" si="193"/>
        <v>1.2267955807860892E-2</v>
      </c>
      <c r="U232" s="3">
        <f t="shared" si="193"/>
        <v>1.2267955806913566E-2</v>
      </c>
      <c r="V232" s="3">
        <f t="shared" si="193"/>
        <v>1.2267955797440309E-2</v>
      </c>
      <c r="W232" s="3">
        <f t="shared" si="193"/>
        <v>1.226795570270774E-2</v>
      </c>
      <c r="X232" s="3">
        <f t="shared" si="193"/>
        <v>1.2267954755382093E-2</v>
      </c>
      <c r="Y232" s="3">
        <f t="shared" si="193"/>
        <v>1.2267945282129645E-2</v>
      </c>
      <c r="Z232" s="3">
        <f t="shared" si="193"/>
        <v>1.2267850550007495E-2</v>
      </c>
      <c r="AA232" s="3">
        <f t="shared" si="193"/>
        <v>1.226690326901835E-2</v>
      </c>
      <c r="AB232" s="3">
        <f t="shared" si="193"/>
        <v>1.2257434481212E-2</v>
      </c>
      <c r="AC232" s="3">
        <f t="shared" si="193"/>
        <v>1.2163147664869884E-2</v>
      </c>
      <c r="AD232" s="3">
        <f t="shared" si="193"/>
        <v>1.1259263075784974E-2</v>
      </c>
      <c r="AE232" s="3">
        <f t="shared" si="193"/>
        <v>5.2017543696423188E-3</v>
      </c>
      <c r="AF232" s="3">
        <f t="shared" si="193"/>
        <v>2.304350729064653E-6</v>
      </c>
      <c r="AG232" s="3"/>
      <c r="AH232" s="3"/>
    </row>
    <row r="233" spans="2:34" x14ac:dyDescent="0.25">
      <c r="B233" s="3">
        <f t="shared" ref="B233:AF233" si="194">$C41*EXP(-B$207/$A41/EXP(-$D$126))</f>
        <v>7.7350329579382458E-4</v>
      </c>
      <c r="C233" s="3">
        <f t="shared" si="194"/>
        <v>7.7350329579382458E-4</v>
      </c>
      <c r="D233" s="3">
        <f t="shared" si="194"/>
        <v>7.7350329579382458E-4</v>
      </c>
      <c r="E233" s="3">
        <f t="shared" si="194"/>
        <v>7.7350329579382458E-4</v>
      </c>
      <c r="F233" s="3">
        <f t="shared" si="194"/>
        <v>7.7350329579382458E-4</v>
      </c>
      <c r="G233" s="3">
        <f t="shared" si="194"/>
        <v>7.7350329579382458E-4</v>
      </c>
      <c r="H233" s="3">
        <f t="shared" si="194"/>
        <v>7.7350329579382458E-4</v>
      </c>
      <c r="I233" s="3">
        <f t="shared" si="194"/>
        <v>7.7350329579382458E-4</v>
      </c>
      <c r="J233" s="3">
        <f t="shared" si="194"/>
        <v>7.7350329579382458E-4</v>
      </c>
      <c r="K233" s="3">
        <f t="shared" si="194"/>
        <v>7.7350329579382458E-4</v>
      </c>
      <c r="L233" s="3">
        <f t="shared" si="194"/>
        <v>7.7350329579382458E-4</v>
      </c>
      <c r="M233" s="3">
        <f t="shared" si="194"/>
        <v>7.7350329579382458E-4</v>
      </c>
      <c r="N233" s="3">
        <f t="shared" si="194"/>
        <v>7.7350329579382458E-4</v>
      </c>
      <c r="O233" s="3">
        <f t="shared" si="194"/>
        <v>7.7350329579382458E-4</v>
      </c>
      <c r="P233" s="3">
        <f t="shared" si="194"/>
        <v>7.7350329579382448E-4</v>
      </c>
      <c r="Q233" s="3">
        <f t="shared" si="194"/>
        <v>7.7350329579382393E-4</v>
      </c>
      <c r="R233" s="3">
        <f t="shared" si="194"/>
        <v>7.7350329579381797E-4</v>
      </c>
      <c r="S233" s="3">
        <f t="shared" si="194"/>
        <v>7.7350329579375823E-4</v>
      </c>
      <c r="T233" s="3">
        <f t="shared" si="194"/>
        <v>7.7350329579316094E-4</v>
      </c>
      <c r="U233" s="3">
        <f t="shared" si="194"/>
        <v>7.7350329578718797E-4</v>
      </c>
      <c r="V233" s="3">
        <f t="shared" si="194"/>
        <v>7.735032957274584E-4</v>
      </c>
      <c r="W233" s="3">
        <f t="shared" si="194"/>
        <v>7.7350329513016286E-4</v>
      </c>
      <c r="X233" s="3">
        <f t="shared" si="194"/>
        <v>7.7350328915720733E-4</v>
      </c>
      <c r="Y233" s="3">
        <f t="shared" si="194"/>
        <v>7.7350322942765486E-4</v>
      </c>
      <c r="Z233" s="3">
        <f t="shared" si="194"/>
        <v>7.7350263213238379E-4</v>
      </c>
      <c r="AA233" s="3">
        <f t="shared" si="194"/>
        <v>7.7349665920503977E-4</v>
      </c>
      <c r="AB233" s="3">
        <f t="shared" si="194"/>
        <v>7.7343693246827801E-4</v>
      </c>
      <c r="AC233" s="3">
        <f t="shared" si="194"/>
        <v>7.7283991869597313E-4</v>
      </c>
      <c r="AD233" s="3">
        <f t="shared" si="194"/>
        <v>7.6689506819829073E-4</v>
      </c>
      <c r="AE233" s="3">
        <f t="shared" si="194"/>
        <v>7.0990450517226245E-4</v>
      </c>
      <c r="AF233" s="3">
        <f t="shared" si="194"/>
        <v>3.2797429431687147E-4</v>
      </c>
      <c r="AG233" s="3"/>
      <c r="AH233" s="3"/>
    </row>
    <row r="234" spans="2:34" x14ac:dyDescent="0.25">
      <c r="B234" s="3">
        <f t="shared" ref="B234:AF234" si="195">$C42*EXP(-B$207/$A42/EXP(-$D$126))</f>
        <v>2.8862774017939779E-3</v>
      </c>
      <c r="C234" s="3">
        <f t="shared" si="195"/>
        <v>2.8862774017939779E-3</v>
      </c>
      <c r="D234" s="3">
        <f t="shared" si="195"/>
        <v>2.8862774017939779E-3</v>
      </c>
      <c r="E234" s="3">
        <f t="shared" si="195"/>
        <v>2.8862774017939779E-3</v>
      </c>
      <c r="F234" s="3">
        <f t="shared" si="195"/>
        <v>2.8862774017939779E-3</v>
      </c>
      <c r="G234" s="3">
        <f t="shared" si="195"/>
        <v>2.8862774017939779E-3</v>
      </c>
      <c r="H234" s="3">
        <f t="shared" si="195"/>
        <v>2.8862774017939779E-3</v>
      </c>
      <c r="I234" s="3">
        <f t="shared" si="195"/>
        <v>2.8862774017939779E-3</v>
      </c>
      <c r="J234" s="3">
        <f t="shared" si="195"/>
        <v>2.8862774017939779E-3</v>
      </c>
      <c r="K234" s="3">
        <f t="shared" si="195"/>
        <v>2.8862774017939779E-3</v>
      </c>
      <c r="L234" s="3">
        <f t="shared" si="195"/>
        <v>2.8862774017939779E-3</v>
      </c>
      <c r="M234" s="3">
        <f t="shared" si="195"/>
        <v>2.8862774017939779E-3</v>
      </c>
      <c r="N234" s="3">
        <f t="shared" si="195"/>
        <v>2.8862774017939779E-3</v>
      </c>
      <c r="O234" s="3">
        <f t="shared" si="195"/>
        <v>2.8862774017939779E-3</v>
      </c>
      <c r="P234" s="3">
        <f t="shared" si="195"/>
        <v>2.8862774017939779E-3</v>
      </c>
      <c r="Q234" s="3">
        <f t="shared" si="195"/>
        <v>2.8862774017939775E-3</v>
      </c>
      <c r="R234" s="3">
        <f t="shared" si="195"/>
        <v>2.8862774017939753E-3</v>
      </c>
      <c r="S234" s="3">
        <f t="shared" si="195"/>
        <v>2.8862774017939532E-3</v>
      </c>
      <c r="T234" s="3">
        <f t="shared" si="195"/>
        <v>2.8862774017937303E-3</v>
      </c>
      <c r="U234" s="3">
        <f t="shared" si="195"/>
        <v>2.8862774017915016E-3</v>
      </c>
      <c r="V234" s="3">
        <f t="shared" si="195"/>
        <v>2.8862774017692138E-3</v>
      </c>
      <c r="W234" s="3">
        <f t="shared" si="195"/>
        <v>2.886277401546337E-3</v>
      </c>
      <c r="X234" s="3">
        <f t="shared" si="195"/>
        <v>2.8862773993175673E-3</v>
      </c>
      <c r="Y234" s="3">
        <f t="shared" si="195"/>
        <v>2.8862773770298709E-3</v>
      </c>
      <c r="Z234" s="3">
        <f t="shared" si="195"/>
        <v>2.8862771541529183E-3</v>
      </c>
      <c r="AA234" s="3">
        <f t="shared" si="195"/>
        <v>2.8862749253843367E-3</v>
      </c>
      <c r="AB234" s="3">
        <f t="shared" si="195"/>
        <v>2.8862526377931796E-3</v>
      </c>
      <c r="AC234" s="3">
        <f t="shared" si="195"/>
        <v>2.8860297713470561E-3</v>
      </c>
      <c r="AD234" s="3">
        <f t="shared" si="195"/>
        <v>2.8838020531602904E-3</v>
      </c>
      <c r="AE234" s="3">
        <f t="shared" si="195"/>
        <v>2.861619228934706E-3</v>
      </c>
      <c r="AF234" s="3">
        <f t="shared" si="195"/>
        <v>2.6489626377191136E-3</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1.5898164143456024E-4</v>
      </c>
      <c r="C236" s="3">
        <f t="shared" si="197"/>
        <v>1.5898164143456024E-4</v>
      </c>
      <c r="D236" s="3">
        <f t="shared" si="197"/>
        <v>1.5898164143456024E-4</v>
      </c>
      <c r="E236" s="3">
        <f t="shared" si="197"/>
        <v>1.5898164143456024E-4</v>
      </c>
      <c r="F236" s="3">
        <f t="shared" si="197"/>
        <v>1.5898164143456024E-4</v>
      </c>
      <c r="G236" s="3">
        <f t="shared" si="197"/>
        <v>1.5898164143456024E-4</v>
      </c>
      <c r="H236" s="3">
        <f t="shared" si="197"/>
        <v>1.5898164143456024E-4</v>
      </c>
      <c r="I236" s="3">
        <f t="shared" si="197"/>
        <v>1.5898164143456024E-4</v>
      </c>
      <c r="J236" s="3">
        <f t="shared" si="197"/>
        <v>1.5898164143456024E-4</v>
      </c>
      <c r="K236" s="3">
        <f t="shared" si="197"/>
        <v>1.5898164143456024E-4</v>
      </c>
      <c r="L236" s="3">
        <f t="shared" si="197"/>
        <v>1.5898164143456024E-4</v>
      </c>
      <c r="M236" s="3">
        <f t="shared" si="197"/>
        <v>1.5898164143456024E-4</v>
      </c>
      <c r="N236" s="3">
        <f t="shared" si="197"/>
        <v>1.5898164143456024E-4</v>
      </c>
      <c r="O236" s="3">
        <f t="shared" si="197"/>
        <v>1.5898164143456024E-4</v>
      </c>
      <c r="P236" s="3">
        <f t="shared" si="197"/>
        <v>1.5898164143456024E-4</v>
      </c>
      <c r="Q236" s="3">
        <f t="shared" si="197"/>
        <v>1.5898164143456024E-4</v>
      </c>
      <c r="R236" s="3">
        <f t="shared" si="197"/>
        <v>1.5898164143456024E-4</v>
      </c>
      <c r="S236" s="3">
        <f t="shared" si="197"/>
        <v>1.5898164143456021E-4</v>
      </c>
      <c r="T236" s="3">
        <f t="shared" si="197"/>
        <v>1.589816414345601E-4</v>
      </c>
      <c r="U236" s="3">
        <f t="shared" si="197"/>
        <v>1.5898164143455888E-4</v>
      </c>
      <c r="V236" s="3">
        <f t="shared" si="197"/>
        <v>1.5898164143454661E-4</v>
      </c>
      <c r="W236" s="3">
        <f t="shared" si="197"/>
        <v>1.5898164143442385E-4</v>
      </c>
      <c r="X236" s="3">
        <f t="shared" si="197"/>
        <v>1.5898164143319618E-4</v>
      </c>
      <c r="Y236" s="3">
        <f t="shared" si="197"/>
        <v>1.589816414209197E-4</v>
      </c>
      <c r="Z236" s="3">
        <f t="shared" si="197"/>
        <v>1.5898164129815484E-4</v>
      </c>
      <c r="AA236" s="3">
        <f t="shared" si="197"/>
        <v>1.5898164007050619E-4</v>
      </c>
      <c r="AB236" s="3">
        <f t="shared" si="197"/>
        <v>1.5898162779402032E-4</v>
      </c>
      <c r="AC236" s="3">
        <f t="shared" si="197"/>
        <v>1.5898150502921356E-4</v>
      </c>
      <c r="AD236" s="3">
        <f t="shared" si="197"/>
        <v>1.5898027738635995E-4</v>
      </c>
      <c r="AE236" s="3">
        <f t="shared" si="197"/>
        <v>1.5896800147919895E-4</v>
      </c>
      <c r="AF236" s="3">
        <f t="shared" si="197"/>
        <v>1.5884529453018373E-4</v>
      </c>
      <c r="AG236" s="3"/>
      <c r="AH236" s="3"/>
    </row>
    <row r="237" spans="2:34" x14ac:dyDescent="0.25">
      <c r="B237" s="3">
        <f t="shared" ref="B237:AF237" si="198">$C45*EXP(-B$207/$A45/EXP(-$D$126))</f>
        <v>1.3061991748101505E-4</v>
      </c>
      <c r="C237" s="3">
        <f t="shared" si="198"/>
        <v>1.3061991748101505E-4</v>
      </c>
      <c r="D237" s="3">
        <f t="shared" si="198"/>
        <v>1.3061991748101505E-4</v>
      </c>
      <c r="E237" s="3">
        <f t="shared" si="198"/>
        <v>1.3061991748101505E-4</v>
      </c>
      <c r="F237" s="3">
        <f t="shared" si="198"/>
        <v>1.3061991748101505E-4</v>
      </c>
      <c r="G237" s="3">
        <f t="shared" si="198"/>
        <v>1.3061991748101505E-4</v>
      </c>
      <c r="H237" s="3">
        <f t="shared" si="198"/>
        <v>1.3061991748101505E-4</v>
      </c>
      <c r="I237" s="3">
        <f t="shared" si="198"/>
        <v>1.3061991748101505E-4</v>
      </c>
      <c r="J237" s="3">
        <f t="shared" si="198"/>
        <v>1.3061991748101505E-4</v>
      </c>
      <c r="K237" s="3">
        <f t="shared" si="198"/>
        <v>1.3061991748101505E-4</v>
      </c>
      <c r="L237" s="3">
        <f t="shared" si="198"/>
        <v>1.3061991748101505E-4</v>
      </c>
      <c r="M237" s="3">
        <f t="shared" si="198"/>
        <v>1.3061991748101505E-4</v>
      </c>
      <c r="N237" s="3">
        <f t="shared" si="198"/>
        <v>1.3061991748101505E-4</v>
      </c>
      <c r="O237" s="3">
        <f t="shared" si="198"/>
        <v>1.3061991748101505E-4</v>
      </c>
      <c r="P237" s="3">
        <f t="shared" si="198"/>
        <v>1.3061991748101505E-4</v>
      </c>
      <c r="Q237" s="3">
        <f t="shared" si="198"/>
        <v>1.3061991748101505E-4</v>
      </c>
      <c r="R237" s="3">
        <f t="shared" si="198"/>
        <v>1.3061991748101505E-4</v>
      </c>
      <c r="S237" s="3">
        <f t="shared" si="198"/>
        <v>1.3061991748101505E-4</v>
      </c>
      <c r="T237" s="3">
        <f t="shared" si="198"/>
        <v>1.3061991748101502E-4</v>
      </c>
      <c r="U237" s="3">
        <f t="shared" si="198"/>
        <v>1.3061991748101494E-4</v>
      </c>
      <c r="V237" s="3">
        <f t="shared" si="198"/>
        <v>1.3061991748101394E-4</v>
      </c>
      <c r="W237" s="3">
        <f t="shared" si="198"/>
        <v>1.3061991748100383E-4</v>
      </c>
      <c r="X237" s="3">
        <f t="shared" si="198"/>
        <v>1.3061991748090297E-4</v>
      </c>
      <c r="Y237" s="3">
        <f t="shared" si="198"/>
        <v>1.3061991747989434E-4</v>
      </c>
      <c r="Z237" s="3">
        <f t="shared" si="198"/>
        <v>1.3061991746980792E-4</v>
      </c>
      <c r="AA237" s="3">
        <f t="shared" si="198"/>
        <v>1.3061991736894386E-4</v>
      </c>
      <c r="AB237" s="3">
        <f t="shared" si="198"/>
        <v>1.3061991636030307E-4</v>
      </c>
      <c r="AC237" s="3">
        <f t="shared" si="198"/>
        <v>1.3061990627389589E-4</v>
      </c>
      <c r="AD237" s="3">
        <f t="shared" si="198"/>
        <v>1.3061980540986665E-4</v>
      </c>
      <c r="AE237" s="3">
        <f t="shared" si="198"/>
        <v>1.3061879677385822E-4</v>
      </c>
      <c r="AF237" s="3">
        <f t="shared" si="198"/>
        <v>1.3060871084213737E-4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8.1332295555460314E-5</v>
      </c>
      <c r="C239" s="3">
        <f t="shared" si="200"/>
        <v>8.1332295555460314E-5</v>
      </c>
      <c r="D239" s="3">
        <f t="shared" si="200"/>
        <v>8.1332295555460314E-5</v>
      </c>
      <c r="E239" s="3">
        <f t="shared" si="200"/>
        <v>8.1332295555460314E-5</v>
      </c>
      <c r="F239" s="3">
        <f t="shared" si="200"/>
        <v>8.1332295555460314E-5</v>
      </c>
      <c r="G239" s="3">
        <f t="shared" si="200"/>
        <v>8.1332295555460314E-5</v>
      </c>
      <c r="H239" s="3">
        <f t="shared" si="200"/>
        <v>8.1332295555460314E-5</v>
      </c>
      <c r="I239" s="3">
        <f t="shared" si="200"/>
        <v>8.1332295555460314E-5</v>
      </c>
      <c r="J239" s="3">
        <f t="shared" si="200"/>
        <v>8.1332295555460314E-5</v>
      </c>
      <c r="K239" s="3">
        <f t="shared" si="200"/>
        <v>8.1332295555460314E-5</v>
      </c>
      <c r="L239" s="3">
        <f t="shared" si="200"/>
        <v>8.1332295555460314E-5</v>
      </c>
      <c r="M239" s="3">
        <f t="shared" si="200"/>
        <v>8.1332295555460314E-5</v>
      </c>
      <c r="N239" s="3">
        <f t="shared" si="200"/>
        <v>8.1332295555460314E-5</v>
      </c>
      <c r="O239" s="3">
        <f t="shared" si="200"/>
        <v>8.1332295555460314E-5</v>
      </c>
      <c r="P239" s="3">
        <f t="shared" si="200"/>
        <v>8.1332295555460314E-5</v>
      </c>
      <c r="Q239" s="3">
        <f t="shared" si="200"/>
        <v>8.1332295555460314E-5</v>
      </c>
      <c r="R239" s="3">
        <f t="shared" si="200"/>
        <v>8.1332295555460314E-5</v>
      </c>
      <c r="S239" s="3">
        <f t="shared" si="200"/>
        <v>8.1332295555460314E-5</v>
      </c>
      <c r="T239" s="3">
        <f t="shared" si="200"/>
        <v>8.1332295555460314E-5</v>
      </c>
      <c r="U239" s="3">
        <f t="shared" si="200"/>
        <v>8.1332295555460314E-5</v>
      </c>
      <c r="V239" s="3">
        <f t="shared" si="200"/>
        <v>8.13322955554603E-5</v>
      </c>
      <c r="W239" s="3">
        <f t="shared" si="200"/>
        <v>8.1332295555460246E-5</v>
      </c>
      <c r="X239" s="3">
        <f t="shared" si="200"/>
        <v>8.1332295555459623E-5</v>
      </c>
      <c r="Y239" s="3">
        <f t="shared" si="200"/>
        <v>8.1332295555453334E-5</v>
      </c>
      <c r="Z239" s="3">
        <f t="shared" si="200"/>
        <v>8.1332295555390532E-5</v>
      </c>
      <c r="AA239" s="3">
        <f t="shared" si="200"/>
        <v>8.1332295554762494E-5</v>
      </c>
      <c r="AB239" s="3">
        <f t="shared" si="200"/>
        <v>8.133229554848205E-5</v>
      </c>
      <c r="AC239" s="3">
        <f t="shared" si="200"/>
        <v>8.1332295485677633E-5</v>
      </c>
      <c r="AD239" s="3">
        <f t="shared" si="200"/>
        <v>8.1332294857633535E-5</v>
      </c>
      <c r="AE239" s="3">
        <f t="shared" si="200"/>
        <v>8.1332288577192795E-5</v>
      </c>
      <c r="AF239" s="3">
        <f t="shared" si="200"/>
        <v>8.1332225772811999E-5</v>
      </c>
      <c r="AG239" s="3"/>
      <c r="AH239" s="3"/>
    </row>
    <row r="240" spans="2:34" x14ac:dyDescent="0.25">
      <c r="B240" s="3">
        <f t="shared" ref="B240:AF240" si="201">$C48*EXP(-B$207/$A48/EXP(-$D$126))</f>
        <v>6.4178085162845428E-4</v>
      </c>
      <c r="C240" s="3">
        <f t="shared" si="201"/>
        <v>6.4178085162845428E-4</v>
      </c>
      <c r="D240" s="3">
        <f t="shared" si="201"/>
        <v>6.4178085162845428E-4</v>
      </c>
      <c r="E240" s="3">
        <f t="shared" si="201"/>
        <v>6.4178085162845428E-4</v>
      </c>
      <c r="F240" s="3">
        <f t="shared" si="201"/>
        <v>6.4178085162845428E-4</v>
      </c>
      <c r="G240" s="3">
        <f t="shared" si="201"/>
        <v>6.4178085162845428E-4</v>
      </c>
      <c r="H240" s="3">
        <f t="shared" si="201"/>
        <v>6.4178085162845428E-4</v>
      </c>
      <c r="I240" s="3">
        <f t="shared" si="201"/>
        <v>6.4178085162845428E-4</v>
      </c>
      <c r="J240" s="3">
        <f t="shared" si="201"/>
        <v>6.4178085162845428E-4</v>
      </c>
      <c r="K240" s="3">
        <f t="shared" si="201"/>
        <v>6.4178085162845428E-4</v>
      </c>
      <c r="L240" s="3">
        <f t="shared" si="201"/>
        <v>6.4178085162845428E-4</v>
      </c>
      <c r="M240" s="3">
        <f t="shared" si="201"/>
        <v>6.4178085162845428E-4</v>
      </c>
      <c r="N240" s="3">
        <f t="shared" si="201"/>
        <v>6.4178085162845428E-4</v>
      </c>
      <c r="O240" s="3">
        <f t="shared" si="201"/>
        <v>6.4178085162845428E-4</v>
      </c>
      <c r="P240" s="3">
        <f t="shared" si="201"/>
        <v>6.4178085162845428E-4</v>
      </c>
      <c r="Q240" s="3">
        <f t="shared" si="201"/>
        <v>6.4178085162845428E-4</v>
      </c>
      <c r="R240" s="3">
        <f t="shared" si="201"/>
        <v>6.4178085162845428E-4</v>
      </c>
      <c r="S240" s="3">
        <f t="shared" si="201"/>
        <v>6.4178085162845428E-4</v>
      </c>
      <c r="T240" s="3">
        <f t="shared" si="201"/>
        <v>6.4178085162845428E-4</v>
      </c>
      <c r="U240" s="3">
        <f t="shared" si="201"/>
        <v>6.4178085162845428E-4</v>
      </c>
      <c r="V240" s="3">
        <f t="shared" si="201"/>
        <v>6.4178085162845428E-4</v>
      </c>
      <c r="W240" s="3">
        <f t="shared" si="201"/>
        <v>6.4178085162845417E-4</v>
      </c>
      <c r="X240" s="3">
        <f t="shared" si="201"/>
        <v>6.4178085162845374E-4</v>
      </c>
      <c r="Y240" s="3">
        <f t="shared" si="201"/>
        <v>6.4178085162844875E-4</v>
      </c>
      <c r="Z240" s="3">
        <f t="shared" si="201"/>
        <v>6.417808516283992E-4</v>
      </c>
      <c r="AA240" s="3">
        <f t="shared" si="201"/>
        <v>6.4178085162790361E-4</v>
      </c>
      <c r="AB240" s="3">
        <f t="shared" si="201"/>
        <v>6.4178085162294783E-4</v>
      </c>
      <c r="AC240" s="3">
        <f t="shared" si="201"/>
        <v>6.4178085157338982E-4</v>
      </c>
      <c r="AD240" s="3">
        <f t="shared" si="201"/>
        <v>6.4178085107780968E-4</v>
      </c>
      <c r="AE240" s="3">
        <f t="shared" si="201"/>
        <v>6.4178084612200861E-4</v>
      </c>
      <c r="AF240" s="3">
        <f t="shared" si="201"/>
        <v>6.4178079656399998E-4</v>
      </c>
      <c r="AG240" s="3"/>
      <c r="AH240" s="3"/>
    </row>
    <row r="241" spans="1:34" x14ac:dyDescent="0.25">
      <c r="A241" s="79">
        <f>AVERAGE(B241:AF241)</f>
        <v>0.16101336510770997</v>
      </c>
      <c r="B241" s="80">
        <f>IF($A$64&lt;=B207,IF($B$64&gt;=B207,ABS((B209-B208)/B208),0),0)</f>
        <v>1.3275198558922192E-2</v>
      </c>
      <c r="C241" s="80">
        <f t="shared" ref="C241:AF241" si="202">IF($A$64&lt;=C207,IF($B$64&gt;=C207,ABS((C209-C208)/C208),0),0)</f>
        <v>1.3285110726816096E-2</v>
      </c>
      <c r="D241" s="80">
        <f t="shared" si="202"/>
        <v>1.3279852905768885E-2</v>
      </c>
      <c r="E241" s="80">
        <f t="shared" si="202"/>
        <v>1.3278497202976186E-2</v>
      </c>
      <c r="F241" s="80">
        <f t="shared" si="202"/>
        <v>1.3278101284185943E-2</v>
      </c>
      <c r="G241" s="80">
        <f t="shared" si="202"/>
        <v>1.3277994531492332E-2</v>
      </c>
      <c r="H241" s="80">
        <f t="shared" si="202"/>
        <v>1.3278043052910636E-2</v>
      </c>
      <c r="I241" s="80">
        <f t="shared" si="202"/>
        <v>1.3278925036927815E-2</v>
      </c>
      <c r="J241" s="80">
        <f t="shared" si="202"/>
        <v>1.3287864131297542E-2</v>
      </c>
      <c r="K241" s="80">
        <f t="shared" si="202"/>
        <v>1.337686505061083E-2</v>
      </c>
      <c r="L241" s="80">
        <f t="shared" si="202"/>
        <v>1.4221953161412282E-2</v>
      </c>
      <c r="M241" s="80">
        <f t="shared" si="202"/>
        <v>1.9812342857806791E-2</v>
      </c>
      <c r="N241" s="80">
        <f t="shared" si="202"/>
        <v>3.740008628531237E-2</v>
      </c>
      <c r="O241" s="80">
        <f t="shared" si="202"/>
        <v>5.4486192525647091E-2</v>
      </c>
      <c r="P241" s="80">
        <f t="shared" si="202"/>
        <v>6.2177209356879919E-2</v>
      </c>
      <c r="Q241" s="80">
        <f t="shared" si="202"/>
        <v>7.184558056109322E-2</v>
      </c>
      <c r="R241" s="80">
        <f t="shared" si="202"/>
        <v>7.8932813306092614E-2</v>
      </c>
      <c r="S241" s="80">
        <f t="shared" si="202"/>
        <v>8.2825060029069655E-2</v>
      </c>
      <c r="T241" s="80">
        <f t="shared" si="202"/>
        <v>5.6509409513782617E-2</v>
      </c>
      <c r="U241" s="80">
        <f t="shared" si="202"/>
        <v>4.8158792225755795E-2</v>
      </c>
      <c r="V241" s="80">
        <f t="shared" si="202"/>
        <v>0.18423283201589158</v>
      </c>
      <c r="W241" s="80">
        <f t="shared" si="202"/>
        <v>0.29628696613202521</v>
      </c>
      <c r="X241" s="80">
        <f t="shared" si="202"/>
        <v>0.32379036259132482</v>
      </c>
      <c r="Y241" s="80">
        <f t="shared" si="202"/>
        <v>0.19154321098731006</v>
      </c>
      <c r="Z241" s="80">
        <f t="shared" si="202"/>
        <v>3.1588050963961542E-2</v>
      </c>
      <c r="AA241" s="80">
        <f t="shared" si="202"/>
        <v>0.25738460055385187</v>
      </c>
      <c r="AB241" s="80">
        <f t="shared" si="202"/>
        <v>0.46457072956126705</v>
      </c>
      <c r="AC241" s="80">
        <f t="shared" si="202"/>
        <v>0.61305470887252955</v>
      </c>
      <c r="AD241" s="80">
        <f t="shared" si="202"/>
        <v>0.6761182679921236</v>
      </c>
      <c r="AE241" s="80">
        <f t="shared" si="202"/>
        <v>0.69333304311452004</v>
      </c>
      <c r="AF241" s="80">
        <f t="shared" si="202"/>
        <v>0.60024565324944323</v>
      </c>
    </row>
    <row r="242" spans="1:34" x14ac:dyDescent="0.25">
      <c r="B242" s="21">
        <f>(B209-B208)^2</f>
        <v>9471.1981503354946</v>
      </c>
      <c r="C242" s="21">
        <f t="shared" ref="C242:AF242" si="203">(C209-C208)^2</f>
        <v>9485.5376880013064</v>
      </c>
      <c r="D242" s="21">
        <f t="shared" si="203"/>
        <v>9477.9300212486341</v>
      </c>
      <c r="E242" s="21">
        <f t="shared" si="203"/>
        <v>9475.9689289128055</v>
      </c>
      <c r="F242" s="21">
        <f t="shared" si="203"/>
        <v>9475.3962349961712</v>
      </c>
      <c r="G242" s="21">
        <f t="shared" si="203"/>
        <v>9475.2416530489718</v>
      </c>
      <c r="H242" s="21">
        <f t="shared" si="203"/>
        <v>9475.3101095494185</v>
      </c>
      <c r="I242" s="21">
        <f t="shared" si="203"/>
        <v>9476.568614453472</v>
      </c>
      <c r="J242" s="21">
        <f t="shared" si="203"/>
        <v>9489.330969148592</v>
      </c>
      <c r="K242" s="21">
        <f t="shared" si="203"/>
        <v>9616.8676050863869</v>
      </c>
      <c r="L242" s="21">
        <f t="shared" si="203"/>
        <v>10870.274969184538</v>
      </c>
      <c r="M242" s="21">
        <f t="shared" si="203"/>
        <v>21094.279233777688</v>
      </c>
      <c r="N242" s="21">
        <f t="shared" si="203"/>
        <v>75119.078700814149</v>
      </c>
      <c r="O242" s="21">
        <f t="shared" si="203"/>
        <v>158455.23745456897</v>
      </c>
      <c r="P242" s="21">
        <f t="shared" si="203"/>
        <v>199800.92514385449</v>
      </c>
      <c r="Q242" s="21">
        <f t="shared" si="203"/>
        <v>256213.80748108155</v>
      </c>
      <c r="R242" s="21">
        <f t="shared" si="203"/>
        <v>295016.73076323041</v>
      </c>
      <c r="S242" s="21">
        <f t="shared" si="203"/>
        <v>301842.02542362199</v>
      </c>
      <c r="T242" s="21">
        <f t="shared" si="203"/>
        <v>120466.87791310347</v>
      </c>
      <c r="U242" s="21">
        <f t="shared" si="203"/>
        <v>64248.310894388735</v>
      </c>
      <c r="V242" s="21">
        <f t="shared" si="203"/>
        <v>656853.02909490024</v>
      </c>
      <c r="W242" s="21">
        <f t="shared" si="203"/>
        <v>1239266.5168645484</v>
      </c>
      <c r="X242" s="21">
        <f t="shared" si="203"/>
        <v>1135596.4692174939</v>
      </c>
      <c r="Y242" s="21">
        <f t="shared" si="203"/>
        <v>313550.32462102349</v>
      </c>
      <c r="Z242" s="21">
        <f t="shared" si="203"/>
        <v>6702.9749018424509</v>
      </c>
      <c r="AA242" s="21">
        <f t="shared" si="203"/>
        <v>328594.05526386574</v>
      </c>
      <c r="AB242" s="21">
        <f t="shared" si="203"/>
        <v>713413.62489345693</v>
      </c>
      <c r="AC242" s="21">
        <f t="shared" si="203"/>
        <v>697930.72169935657</v>
      </c>
      <c r="AD242" s="21">
        <f t="shared" si="203"/>
        <v>356105.26748092577</v>
      </c>
      <c r="AE242" s="21">
        <f t="shared" si="203"/>
        <v>126990.89222315258</v>
      </c>
      <c r="AF242" s="21">
        <f t="shared" si="203"/>
        <v>29874.264461128867</v>
      </c>
      <c r="AG242" s="3"/>
      <c r="AH242" s="3"/>
    </row>
    <row r="243" spans="1:34" x14ac:dyDescent="0.25">
      <c r="A243" s="71">
        <f>SUM(B243:AF243)</f>
        <v>7202925.0386741022</v>
      </c>
      <c r="B243" s="60">
        <f>IF($A$64&lt;=B207,IF($B$64&gt;=B207,ABS(B242),0),0)</f>
        <v>9471.1981503354946</v>
      </c>
      <c r="C243" s="60">
        <f t="shared" ref="C243" si="204">IF($A$64&lt;=C207,IF($B$64&gt;=C207,ABS(C242),0),0)</f>
        <v>9485.5376880013064</v>
      </c>
      <c r="D243" s="60">
        <f t="shared" ref="D243" si="205">IF($A$64&lt;=D207,IF($B$64&gt;=D207,ABS(D242),0),0)</f>
        <v>9477.9300212486341</v>
      </c>
      <c r="E243" s="60">
        <f t="shared" ref="E243" si="206">IF($A$64&lt;=E207,IF($B$64&gt;=E207,ABS(E242),0),0)</f>
        <v>9475.9689289128055</v>
      </c>
      <c r="F243" s="60">
        <f t="shared" ref="F243" si="207">IF($A$64&lt;=F207,IF($B$64&gt;=F207,ABS(F242),0),0)</f>
        <v>9475.3962349961712</v>
      </c>
      <c r="G243" s="60">
        <f t="shared" ref="G243" si="208">IF($A$64&lt;=G207,IF($B$64&gt;=G207,ABS(G242),0),0)</f>
        <v>9475.2416530489718</v>
      </c>
      <c r="H243" s="60">
        <f t="shared" ref="H243" si="209">IF($A$64&lt;=H207,IF($B$64&gt;=H207,ABS(H242),0),0)</f>
        <v>9475.3101095494185</v>
      </c>
      <c r="I243" s="60">
        <f t="shared" ref="I243" si="210">IF($A$64&lt;=I207,IF($B$64&gt;=I207,ABS(I242),0),0)</f>
        <v>9476.568614453472</v>
      </c>
      <c r="J243" s="60">
        <f t="shared" ref="J243" si="211">IF($A$64&lt;=J207,IF($B$64&gt;=J207,ABS(J242),0),0)</f>
        <v>9489.330969148592</v>
      </c>
      <c r="K243" s="60">
        <f t="shared" ref="K243" si="212">IF($A$64&lt;=K207,IF($B$64&gt;=K207,ABS(K242),0),0)</f>
        <v>9616.8676050863869</v>
      </c>
      <c r="L243" s="60">
        <f t="shared" ref="L243" si="213">IF($A$64&lt;=L207,IF($B$64&gt;=L207,ABS(L242),0),0)</f>
        <v>10870.274969184538</v>
      </c>
      <c r="M243" s="60">
        <f t="shared" ref="M243" si="214">IF($A$64&lt;=M207,IF($B$64&gt;=M207,ABS(M242),0),0)</f>
        <v>21094.279233777688</v>
      </c>
      <c r="N243" s="60">
        <f t="shared" ref="N243" si="215">IF($A$64&lt;=N207,IF($B$64&gt;=N207,ABS(N242),0),0)</f>
        <v>75119.078700814149</v>
      </c>
      <c r="O243" s="60">
        <f t="shared" ref="O243" si="216">IF($A$64&lt;=O207,IF($B$64&gt;=O207,ABS(O242),0),0)</f>
        <v>158455.23745456897</v>
      </c>
      <c r="P243" s="60">
        <f t="shared" ref="P243" si="217">IF($A$64&lt;=P207,IF($B$64&gt;=P207,ABS(P242),0),0)</f>
        <v>199800.92514385449</v>
      </c>
      <c r="Q243" s="60">
        <f t="shared" ref="Q243" si="218">IF($A$64&lt;=Q207,IF($B$64&gt;=Q207,ABS(Q242),0),0)</f>
        <v>256213.80748108155</v>
      </c>
      <c r="R243" s="60">
        <f t="shared" ref="R243" si="219">IF($A$64&lt;=R207,IF($B$64&gt;=R207,ABS(R242),0),0)</f>
        <v>295016.73076323041</v>
      </c>
      <c r="S243" s="60">
        <f t="shared" ref="S243" si="220">IF($A$64&lt;=S207,IF($B$64&gt;=S207,ABS(S242),0),0)</f>
        <v>301842.02542362199</v>
      </c>
      <c r="T243" s="60">
        <f t="shared" ref="T243" si="221">IF($A$64&lt;=T207,IF($B$64&gt;=T207,ABS(T242),0),0)</f>
        <v>120466.87791310347</v>
      </c>
      <c r="U243" s="60">
        <f t="shared" ref="U243" si="222">IF($A$64&lt;=U207,IF($B$64&gt;=U207,ABS(U242),0),0)</f>
        <v>64248.310894388735</v>
      </c>
      <c r="V243" s="60">
        <f t="shared" ref="V243" si="223">IF($A$64&lt;=V207,IF($B$64&gt;=V207,ABS(V242),0),0)</f>
        <v>656853.02909490024</v>
      </c>
      <c r="W243" s="60">
        <f t="shared" ref="W243" si="224">IF($A$64&lt;=W207,IF($B$64&gt;=W207,ABS(W242),0),0)</f>
        <v>1239266.5168645484</v>
      </c>
      <c r="X243" s="60">
        <f t="shared" ref="X243" si="225">IF($A$64&lt;=X207,IF($B$64&gt;=X207,ABS(X242),0),0)</f>
        <v>1135596.4692174939</v>
      </c>
      <c r="Y243" s="60">
        <f t="shared" ref="Y243" si="226">IF($A$64&lt;=Y207,IF($B$64&gt;=Y207,ABS(Y242),0),0)</f>
        <v>313550.32462102349</v>
      </c>
      <c r="Z243" s="60">
        <f t="shared" ref="Z243" si="227">IF($A$64&lt;=Z207,IF($B$64&gt;=Z207,ABS(Z242),0),0)</f>
        <v>6702.9749018424509</v>
      </c>
      <c r="AA243" s="60">
        <f t="shared" ref="AA243" si="228">IF($A$64&lt;=AA207,IF($B$64&gt;=AA207,ABS(AA242),0),0)</f>
        <v>328594.05526386574</v>
      </c>
      <c r="AB243" s="60">
        <f t="shared" ref="AB243" si="229">IF($A$64&lt;=AB207,IF($B$64&gt;=AB207,ABS(AB242),0),0)</f>
        <v>713413.62489345693</v>
      </c>
      <c r="AC243" s="60">
        <f t="shared" ref="AC243" si="230">IF($A$64&lt;=AC207,IF($B$64&gt;=AC207,ABS(AC242),0),0)</f>
        <v>697930.72169935657</v>
      </c>
      <c r="AD243" s="60">
        <f t="shared" ref="AD243" si="231">IF($A$64&lt;=AD207,IF($B$64&gt;=AD207,ABS(AD242),0),0)</f>
        <v>356105.26748092577</v>
      </c>
      <c r="AE243" s="60">
        <f t="shared" ref="AE243" si="232">IF($A$64&lt;=AE207,IF($B$64&gt;=AE207,ABS(AE242),0),0)</f>
        <v>126990.89222315258</v>
      </c>
      <c r="AF243" s="60">
        <f t="shared" ref="AF243" si="233">IF($A$64&lt;=AF207,IF($B$64&gt;=AF207,ABS(AF242),0),0)</f>
        <v>29874.264461128867</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7233.6498089974812</v>
      </c>
      <c r="C248" s="27">
        <f t="shared" ref="C248:AF248" si="234">($C$17+SUM(C249:C279))*$B$51</f>
        <v>7233.649807519475</v>
      </c>
      <c r="D248" s="27">
        <f t="shared" si="234"/>
        <v>7233.6497927394012</v>
      </c>
      <c r="E248" s="27">
        <f t="shared" si="234"/>
        <v>7233.649644938846</v>
      </c>
      <c r="F248" s="27">
        <f t="shared" si="234"/>
        <v>7233.6481669508457</v>
      </c>
      <c r="G248" s="27">
        <f t="shared" si="234"/>
        <v>7233.6333888252075</v>
      </c>
      <c r="H248" s="27">
        <f t="shared" si="234"/>
        <v>7233.4857828033109</v>
      </c>
      <c r="I248" s="27">
        <f t="shared" si="234"/>
        <v>7232.0270455100808</v>
      </c>
      <c r="J248" s="27">
        <f t="shared" si="234"/>
        <v>7218.9883137684319</v>
      </c>
      <c r="K248" s="27">
        <f t="shared" si="234"/>
        <v>7153.5255539576365</v>
      </c>
      <c r="L248" s="27">
        <f t="shared" si="234"/>
        <v>6999.2021721916781</v>
      </c>
      <c r="M248" s="27">
        <f t="shared" si="234"/>
        <v>6851.8567541090661</v>
      </c>
      <c r="N248" s="27">
        <f t="shared" si="234"/>
        <v>6670.9365001869828</v>
      </c>
      <c r="O248" s="27">
        <f t="shared" si="234"/>
        <v>6457.7040418941388</v>
      </c>
      <c r="P248" s="27">
        <f t="shared" si="234"/>
        <v>6256.636027912893</v>
      </c>
      <c r="Q248" s="27">
        <f t="shared" si="234"/>
        <v>5964.9245831391117</v>
      </c>
      <c r="R248" s="27">
        <f t="shared" si="234"/>
        <v>5690.2844398058232</v>
      </c>
      <c r="S248" s="27">
        <f t="shared" si="234"/>
        <v>5402.6997492557994</v>
      </c>
      <c r="T248" s="27">
        <f t="shared" si="234"/>
        <v>5085.1043588892462</v>
      </c>
      <c r="U248" s="27">
        <f t="shared" si="234"/>
        <v>4725.327903895798</v>
      </c>
      <c r="V248" s="27">
        <f t="shared" si="234"/>
        <v>4059.3931052791877</v>
      </c>
      <c r="W248" s="27">
        <f t="shared" si="234"/>
        <v>3135.8449589132852</v>
      </c>
      <c r="X248" s="27">
        <f t="shared" si="234"/>
        <v>2208.0116136329007</v>
      </c>
      <c r="Y248" s="27">
        <f t="shared" si="234"/>
        <v>1414.4456280780516</v>
      </c>
      <c r="Z248" s="27">
        <f t="shared" si="234"/>
        <v>812.33427128931157</v>
      </c>
      <c r="AA248" s="27">
        <f t="shared" si="234"/>
        <v>448.27303685541347</v>
      </c>
      <c r="AB248" s="27">
        <f t="shared" si="234"/>
        <v>220.04648761275442</v>
      </c>
      <c r="AC248" s="27">
        <f t="shared" si="234"/>
        <v>131.82198537492587</v>
      </c>
      <c r="AD248" s="27">
        <f t="shared" si="234"/>
        <v>111.54897870104017</v>
      </c>
      <c r="AE248" s="27">
        <f t="shared" si="234"/>
        <v>96.332569043537504</v>
      </c>
      <c r="AF248" s="27">
        <f t="shared" si="234"/>
        <v>93.047690156078005</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3.909200408270661E-3</v>
      </c>
      <c r="C253" s="3">
        <f t="shared" si="239"/>
        <v>3.9092002809149639E-3</v>
      </c>
      <c r="D253" s="3">
        <f t="shared" si="239"/>
        <v>3.909199007358222E-3</v>
      </c>
      <c r="E253" s="3">
        <f t="shared" si="239"/>
        <v>3.9091862718136231E-3</v>
      </c>
      <c r="F253" s="3">
        <f t="shared" si="239"/>
        <v>3.9090589186495826E-3</v>
      </c>
      <c r="G253" s="3">
        <f t="shared" si="239"/>
        <v>3.9077856151764562E-3</v>
      </c>
      <c r="H253" s="3">
        <f t="shared" si="239"/>
        <v>3.8950753696934512E-3</v>
      </c>
      <c r="I253" s="3">
        <f t="shared" si="239"/>
        <v>3.7702246072072805E-3</v>
      </c>
      <c r="J253" s="3">
        <f t="shared" si="239"/>
        <v>2.7219541342558052E-3</v>
      </c>
      <c r="K253" s="3">
        <f t="shared" si="239"/>
        <v>1.0471685637626303E-4</v>
      </c>
      <c r="L253" s="3">
        <f t="shared" si="239"/>
        <v>7.4366018095361103E-19</v>
      </c>
      <c r="M253" s="3">
        <f t="shared" si="239"/>
        <v>2.4263522258802639E-160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2.329549671286972E-2</v>
      </c>
      <c r="C254" s="3">
        <f t="shared" si="240"/>
        <v>2.3295496644407807E-2</v>
      </c>
      <c r="D254" s="3">
        <f t="shared" si="240"/>
        <v>2.3295495959788717E-2</v>
      </c>
      <c r="E254" s="3">
        <f t="shared" si="240"/>
        <v>2.3295489113598886E-2</v>
      </c>
      <c r="F254" s="3">
        <f t="shared" si="240"/>
        <v>2.329542065181129E-2</v>
      </c>
      <c r="G254" s="3">
        <f t="shared" si="240"/>
        <v>2.32947360450011E-2</v>
      </c>
      <c r="H254" s="3">
        <f t="shared" si="240"/>
        <v>2.3287891083360646E-2</v>
      </c>
      <c r="I254" s="3">
        <f t="shared" si="240"/>
        <v>2.3219551992878493E-2</v>
      </c>
      <c r="J254" s="3">
        <f t="shared" si="240"/>
        <v>2.2547094436242018E-2</v>
      </c>
      <c r="K254" s="3">
        <f t="shared" si="240"/>
        <v>1.6805756311212845E-2</v>
      </c>
      <c r="L254" s="3">
        <f t="shared" si="240"/>
        <v>8.8947314816917821E-4</v>
      </c>
      <c r="M254" s="3">
        <f t="shared" si="240"/>
        <v>1.5341952818359974E-16</v>
      </c>
      <c r="N254" s="3">
        <f t="shared" si="240"/>
        <v>3.5756800514304264E-144</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1.9365606167828852E-2</v>
      </c>
      <c r="C255" s="3">
        <f t="shared" si="241"/>
        <v>1.9365606162694865E-2</v>
      </c>
      <c r="D255" s="3">
        <f t="shared" si="241"/>
        <v>1.9365606111355002E-2</v>
      </c>
      <c r="E255" s="3">
        <f t="shared" si="241"/>
        <v>1.9365605597956352E-2</v>
      </c>
      <c r="F255" s="3">
        <f t="shared" si="241"/>
        <v>1.9365600463970643E-2</v>
      </c>
      <c r="G255" s="3">
        <f t="shared" si="241"/>
        <v>1.9365549124188385E-2</v>
      </c>
      <c r="H255" s="3">
        <f t="shared" si="241"/>
        <v>1.9365035733851555E-2</v>
      </c>
      <c r="I255" s="3">
        <f t="shared" si="241"/>
        <v>1.9359902578986593E-2</v>
      </c>
      <c r="J255" s="3">
        <f t="shared" si="241"/>
        <v>1.9308645807297187E-2</v>
      </c>
      <c r="K255" s="3">
        <f t="shared" si="241"/>
        <v>1.8803482954836789E-2</v>
      </c>
      <c r="L255" s="3">
        <f t="shared" si="241"/>
        <v>1.4424579044697721E-2</v>
      </c>
      <c r="M255" s="3">
        <f t="shared" si="241"/>
        <v>1.0180090046858371E-3</v>
      </c>
      <c r="N255" s="3">
        <f t="shared" si="241"/>
        <v>3.1205872922442625E-15</v>
      </c>
      <c r="O255" s="3">
        <f t="shared" si="241"/>
        <v>2.2860382700252158E-130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2.4448597422037276E-2</v>
      </c>
      <c r="C256" s="3">
        <f t="shared" si="242"/>
        <v>2.4448597421452587E-2</v>
      </c>
      <c r="D256" s="3">
        <f t="shared" si="242"/>
        <v>2.4448597415605709E-2</v>
      </c>
      <c r="E256" s="3">
        <f t="shared" si="242"/>
        <v>2.4448597357136909E-2</v>
      </c>
      <c r="F256" s="3">
        <f t="shared" si="242"/>
        <v>2.4448596772448931E-2</v>
      </c>
      <c r="G256" s="3">
        <f t="shared" si="242"/>
        <v>2.4448590925569919E-2</v>
      </c>
      <c r="H256" s="3">
        <f t="shared" si="242"/>
        <v>2.4448532456856679E-2</v>
      </c>
      <c r="I256" s="3">
        <f t="shared" si="242"/>
        <v>2.444794777741478E-2</v>
      </c>
      <c r="J256" s="3">
        <f t="shared" si="242"/>
        <v>2.4442101751974595E-2</v>
      </c>
      <c r="K256" s="3">
        <f t="shared" si="242"/>
        <v>2.4383718327455828E-2</v>
      </c>
      <c r="L256" s="3">
        <f t="shared" si="242"/>
        <v>2.3807499519989849E-2</v>
      </c>
      <c r="M256" s="3">
        <f t="shared" si="242"/>
        <v>1.8743569378369962E-2</v>
      </c>
      <c r="N256" s="3">
        <f t="shared" si="242"/>
        <v>1.7148946135317545E-3</v>
      </c>
      <c r="O256" s="3">
        <f t="shared" si="242"/>
        <v>7.0483720110465927E-14</v>
      </c>
      <c r="P256" s="3">
        <f t="shared" si="242"/>
        <v>9.6962238919255752E-118</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3.210059738307771E-2</v>
      </c>
      <c r="C257" s="3">
        <f t="shared" si="243"/>
        <v>3.210059738300846E-2</v>
      </c>
      <c r="D257" s="3">
        <f t="shared" si="243"/>
        <v>3.2100597382315944E-2</v>
      </c>
      <c r="E257" s="3">
        <f t="shared" si="243"/>
        <v>3.2100597375390783E-2</v>
      </c>
      <c r="F257" s="3">
        <f t="shared" si="243"/>
        <v>3.2100597306139164E-2</v>
      </c>
      <c r="G257" s="3">
        <f t="shared" si="243"/>
        <v>3.2100596613622988E-2</v>
      </c>
      <c r="H257" s="3">
        <f t="shared" si="243"/>
        <v>3.2100589688462064E-2</v>
      </c>
      <c r="I257" s="3">
        <f t="shared" si="243"/>
        <v>3.2100520436935009E-2</v>
      </c>
      <c r="J257" s="3">
        <f t="shared" si="243"/>
        <v>3.2099827929881343E-2</v>
      </c>
      <c r="K257" s="3">
        <f t="shared" si="243"/>
        <v>3.2092903680964444E-2</v>
      </c>
      <c r="L257" s="3">
        <f t="shared" si="243"/>
        <v>3.2023743288233458E-2</v>
      </c>
      <c r="M257" s="3">
        <f t="shared" si="243"/>
        <v>3.1340283850745977E-2</v>
      </c>
      <c r="N257" s="3">
        <f t="shared" si="243"/>
        <v>2.5258713366407316E-2</v>
      </c>
      <c r="O257" s="3">
        <f t="shared" si="243"/>
        <v>2.9207488528829066E-3</v>
      </c>
      <c r="P257" s="3">
        <f t="shared" si="243"/>
        <v>1.2483147920651705E-12</v>
      </c>
      <c r="Q257" s="3">
        <f t="shared" si="243"/>
        <v>2.5387687068102513E-106</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2.4137735607646382E-2</v>
      </c>
      <c r="C258" s="3">
        <f t="shared" si="244"/>
        <v>2.4137735607641684E-2</v>
      </c>
      <c r="D258" s="3">
        <f t="shared" si="244"/>
        <v>2.4137735607594715E-2</v>
      </c>
      <c r="E258" s="3">
        <f t="shared" si="244"/>
        <v>2.4137735607124969E-2</v>
      </c>
      <c r="F258" s="3">
        <f t="shared" si="244"/>
        <v>2.4137735602427542E-2</v>
      </c>
      <c r="G258" s="3">
        <f t="shared" si="244"/>
        <v>2.4137735555453285E-2</v>
      </c>
      <c r="H258" s="3">
        <f t="shared" si="244"/>
        <v>2.413773508571071E-2</v>
      </c>
      <c r="I258" s="3">
        <f t="shared" si="244"/>
        <v>2.4137730388285466E-2</v>
      </c>
      <c r="J258" s="3">
        <f t="shared" si="244"/>
        <v>2.4137683414083278E-2</v>
      </c>
      <c r="K258" s="3">
        <f t="shared" si="244"/>
        <v>2.4137213677089264E-2</v>
      </c>
      <c r="L258" s="3">
        <f t="shared" si="244"/>
        <v>2.4132516809898197E-2</v>
      </c>
      <c r="M258" s="3">
        <f t="shared" si="244"/>
        <v>2.4085598376712775E-2</v>
      </c>
      <c r="N258" s="3">
        <f t="shared" si="244"/>
        <v>2.3621401930320186E-2</v>
      </c>
      <c r="O258" s="3">
        <f t="shared" si="244"/>
        <v>1.9444105138755358E-2</v>
      </c>
      <c r="P258" s="3">
        <f t="shared" si="244"/>
        <v>2.7772237714313044E-3</v>
      </c>
      <c r="Q258" s="3">
        <f t="shared" si="244"/>
        <v>9.8138633303327085E-12</v>
      </c>
      <c r="R258" s="3">
        <f t="shared" si="244"/>
        <v>2.9794172147220836E-96</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4.5517611487633801E-2</v>
      </c>
      <c r="C259" s="3">
        <f t="shared" si="245"/>
        <v>4.5517611487633003E-2</v>
      </c>
      <c r="D259" s="3">
        <f t="shared" si="245"/>
        <v>4.5517611487625009E-2</v>
      </c>
      <c r="E259" s="3">
        <f t="shared" si="245"/>
        <v>4.5517611487545108E-2</v>
      </c>
      <c r="F259" s="3">
        <f t="shared" si="245"/>
        <v>4.5517611486746025E-2</v>
      </c>
      <c r="G259" s="3">
        <f t="shared" si="245"/>
        <v>4.5517611478755243E-2</v>
      </c>
      <c r="H259" s="3">
        <f t="shared" si="245"/>
        <v>4.5517611398847392E-2</v>
      </c>
      <c r="I259" s="3">
        <f t="shared" si="245"/>
        <v>4.5517610599768873E-2</v>
      </c>
      <c r="J259" s="3">
        <f t="shared" si="245"/>
        <v>4.5517602608984492E-2</v>
      </c>
      <c r="K259" s="3">
        <f t="shared" si="245"/>
        <v>4.5517522701217797E-2</v>
      </c>
      <c r="L259" s="3">
        <f t="shared" si="245"/>
        <v>4.5516723631266305E-2</v>
      </c>
      <c r="M259" s="3">
        <f t="shared" si="245"/>
        <v>4.5508733703242203E-2</v>
      </c>
      <c r="N259" s="3">
        <f t="shared" si="245"/>
        <v>4.5428911522001167E-2</v>
      </c>
      <c r="O259" s="3">
        <f t="shared" si="245"/>
        <v>4.4638349764321586E-2</v>
      </c>
      <c r="P259" s="3">
        <f t="shared" si="245"/>
        <v>3.7451233508172893E-2</v>
      </c>
      <c r="Q259" s="3">
        <f t="shared" si="245"/>
        <v>6.4721128634314482E-3</v>
      </c>
      <c r="R259" s="3">
        <f t="shared" si="245"/>
        <v>1.5376080331559649E-10</v>
      </c>
      <c r="S259" s="3">
        <f t="shared" si="245"/>
        <v>8.8072679879574575E-87</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3.743854985003317E-2</v>
      </c>
      <c r="C260" s="3">
        <f t="shared" si="246"/>
        <v>3.7438549850033108E-2</v>
      </c>
      <c r="D260" s="3">
        <f t="shared" si="246"/>
        <v>3.7438549850032518E-2</v>
      </c>
      <c r="E260" s="3">
        <f t="shared" si="246"/>
        <v>3.7438549850026592E-2</v>
      </c>
      <c r="F260" s="3">
        <f t="shared" si="246"/>
        <v>3.7438549849967299E-2</v>
      </c>
      <c r="G260" s="3">
        <f t="shared" si="246"/>
        <v>3.7438549849374406E-2</v>
      </c>
      <c r="H260" s="3">
        <f t="shared" si="246"/>
        <v>3.7438549843445489E-2</v>
      </c>
      <c r="I260" s="3">
        <f t="shared" si="246"/>
        <v>3.743854978415629E-2</v>
      </c>
      <c r="J260" s="3">
        <f t="shared" si="246"/>
        <v>3.7438549191264277E-2</v>
      </c>
      <c r="K260" s="3">
        <f t="shared" si="246"/>
        <v>3.7438543262344672E-2</v>
      </c>
      <c r="L260" s="3">
        <f t="shared" si="246"/>
        <v>3.7438483973200251E-2</v>
      </c>
      <c r="M260" s="3">
        <f t="shared" si="246"/>
        <v>3.7437891086920146E-2</v>
      </c>
      <c r="N260" s="3">
        <f t="shared" si="246"/>
        <v>3.7431962740495782E-2</v>
      </c>
      <c r="O260" s="3">
        <f t="shared" si="246"/>
        <v>3.7372730883673974E-2</v>
      </c>
      <c r="P260" s="3">
        <f t="shared" si="246"/>
        <v>3.6785542946094867E-2</v>
      </c>
      <c r="Q260" s="3">
        <f t="shared" si="246"/>
        <v>3.1397895507824874E-2</v>
      </c>
      <c r="R260" s="3">
        <f t="shared" si="246"/>
        <v>6.4436839742534058E-3</v>
      </c>
      <c r="S260" s="3">
        <f t="shared" si="246"/>
        <v>8.5402613424031044E-10</v>
      </c>
      <c r="T260" s="3">
        <f t="shared" si="246"/>
        <v>1.4283690884906618E-78</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4.1083418704934697E-2</v>
      </c>
      <c r="C261" s="3">
        <f t="shared" si="247"/>
        <v>4.1083418704934691E-2</v>
      </c>
      <c r="D261" s="3">
        <f t="shared" si="247"/>
        <v>4.1083418704934635E-2</v>
      </c>
      <c r="E261" s="3">
        <f t="shared" si="247"/>
        <v>4.1083418704934045E-2</v>
      </c>
      <c r="F261" s="3">
        <f t="shared" si="247"/>
        <v>4.1083418704928175E-2</v>
      </c>
      <c r="G261" s="3">
        <f t="shared" si="247"/>
        <v>4.1083418704869486E-2</v>
      </c>
      <c r="H261" s="3">
        <f t="shared" si="247"/>
        <v>4.108341870428258E-2</v>
      </c>
      <c r="I261" s="3">
        <f t="shared" si="247"/>
        <v>4.1083418698413504E-2</v>
      </c>
      <c r="J261" s="3">
        <f t="shared" si="247"/>
        <v>4.1083418639722737E-2</v>
      </c>
      <c r="K261" s="3">
        <f t="shared" si="247"/>
        <v>4.1083418052815117E-2</v>
      </c>
      <c r="L261" s="3">
        <f t="shared" si="247"/>
        <v>4.1083412183739385E-2</v>
      </c>
      <c r="M261" s="3">
        <f t="shared" si="247"/>
        <v>4.1083353493028128E-2</v>
      </c>
      <c r="N261" s="3">
        <f t="shared" si="247"/>
        <v>4.1082766590526967E-2</v>
      </c>
      <c r="O261" s="3">
        <f t="shared" si="247"/>
        <v>4.1076898026631337E-2</v>
      </c>
      <c r="P261" s="3">
        <f t="shared" si="247"/>
        <v>4.1018258474902418E-2</v>
      </c>
      <c r="Q261" s="3">
        <f t="shared" si="247"/>
        <v>4.0436447412705426E-2</v>
      </c>
      <c r="R261" s="3">
        <f t="shared" si="247"/>
        <v>3.5053448584224912E-2</v>
      </c>
      <c r="S261" s="3">
        <f t="shared" si="247"/>
        <v>8.4005616796509006E-3</v>
      </c>
      <c r="T261" s="3">
        <f t="shared" si="247"/>
        <v>5.2490905865283739E-9</v>
      </c>
      <c r="U261" s="3">
        <f t="shared" si="247"/>
        <v>4.7625713569981345E-71</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4.6249511553516282E-2</v>
      </c>
      <c r="C262" s="3">
        <f t="shared" si="248"/>
        <v>4.6249511553516282E-2</v>
      </c>
      <c r="D262" s="3">
        <f t="shared" si="248"/>
        <v>4.6249511553516275E-2</v>
      </c>
      <c r="E262" s="3">
        <f t="shared" si="248"/>
        <v>4.6249511553516212E-2</v>
      </c>
      <c r="F262" s="3">
        <f t="shared" si="248"/>
        <v>4.6249511553515622E-2</v>
      </c>
      <c r="G262" s="3">
        <f t="shared" si="248"/>
        <v>4.6249511553509655E-2</v>
      </c>
      <c r="H262" s="3">
        <f t="shared" si="248"/>
        <v>4.6249511553450057E-2</v>
      </c>
      <c r="I262" s="3">
        <f t="shared" si="248"/>
        <v>4.6249511552854047E-2</v>
      </c>
      <c r="J262" s="3">
        <f t="shared" si="248"/>
        <v>4.6249511546893898E-2</v>
      </c>
      <c r="K262" s="3">
        <f t="shared" si="248"/>
        <v>4.6249511487292436E-2</v>
      </c>
      <c r="L262" s="3">
        <f t="shared" si="248"/>
        <v>4.6249510891277816E-2</v>
      </c>
      <c r="M262" s="3">
        <f t="shared" si="248"/>
        <v>4.6249504931132022E-2</v>
      </c>
      <c r="N262" s="3">
        <f t="shared" si="248"/>
        <v>4.6249445329716331E-2</v>
      </c>
      <c r="O262" s="3">
        <f t="shared" si="248"/>
        <v>4.6248849319783916E-2</v>
      </c>
      <c r="P262" s="3">
        <f t="shared" si="248"/>
        <v>4.6242889642881507E-2</v>
      </c>
      <c r="Q262" s="3">
        <f t="shared" si="248"/>
        <v>4.6183335095906809E-2</v>
      </c>
      <c r="R262" s="3">
        <f t="shared" si="248"/>
        <v>4.5591991768120912E-2</v>
      </c>
      <c r="S262" s="3">
        <f t="shared" si="248"/>
        <v>4.0079408300052702E-2</v>
      </c>
      <c r="T262" s="3">
        <f t="shared" si="248"/>
        <v>1.1047109509236501E-2</v>
      </c>
      <c r="U262" s="3">
        <f t="shared" si="248"/>
        <v>2.7959038841887462E-8</v>
      </c>
      <c r="V262" s="3">
        <f t="shared" si="248"/>
        <v>3.0147966229220427E-64</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4.2148935673183355E-2</v>
      </c>
      <c r="C263" s="3">
        <f t="shared" si="249"/>
        <v>4.2148935673183355E-2</v>
      </c>
      <c r="D263" s="3">
        <f t="shared" si="249"/>
        <v>4.2148935673183355E-2</v>
      </c>
      <c r="E263" s="3">
        <f t="shared" si="249"/>
        <v>4.2148935673183348E-2</v>
      </c>
      <c r="F263" s="3">
        <f t="shared" si="249"/>
        <v>4.2148935673183299E-2</v>
      </c>
      <c r="G263" s="3">
        <f t="shared" si="249"/>
        <v>4.2148935673182814E-2</v>
      </c>
      <c r="H263" s="3">
        <f t="shared" si="249"/>
        <v>4.2148935673177915E-2</v>
      </c>
      <c r="I263" s="3">
        <f t="shared" si="249"/>
        <v>4.2148935673128912E-2</v>
      </c>
      <c r="J263" s="3">
        <f t="shared" si="249"/>
        <v>4.2148935672638929E-2</v>
      </c>
      <c r="K263" s="3">
        <f t="shared" si="249"/>
        <v>4.2148935667739078E-2</v>
      </c>
      <c r="L263" s="3">
        <f t="shared" si="249"/>
        <v>4.2148935618740557E-2</v>
      </c>
      <c r="M263" s="3">
        <f t="shared" si="249"/>
        <v>4.2148935128755352E-2</v>
      </c>
      <c r="N263" s="3">
        <f t="shared" si="249"/>
        <v>4.2148930228903606E-2</v>
      </c>
      <c r="O263" s="3">
        <f t="shared" si="249"/>
        <v>4.2148881230417504E-2</v>
      </c>
      <c r="P263" s="3">
        <f t="shared" si="249"/>
        <v>4.2148391248689361E-2</v>
      </c>
      <c r="Q263" s="3">
        <f t="shared" si="249"/>
        <v>4.2143491744679705E-2</v>
      </c>
      <c r="R263" s="3">
        <f t="shared" si="249"/>
        <v>4.2094528018289695E-2</v>
      </c>
      <c r="S263" s="3">
        <f t="shared" si="249"/>
        <v>4.1608008697914825E-2</v>
      </c>
      <c r="T263" s="3">
        <f t="shared" si="249"/>
        <v>3.7041605593082373E-2</v>
      </c>
      <c r="U263" s="3">
        <f t="shared" si="249"/>
        <v>1.1582932345313844E-2</v>
      </c>
      <c r="V263" s="3">
        <f t="shared" si="249"/>
        <v>1.0353940966334403E-7</v>
      </c>
      <c r="W263" s="3">
        <f t="shared" si="249"/>
        <v>3.3726970488421949E-58</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0.11274262500279238</v>
      </c>
      <c r="C264" s="3">
        <f t="shared" si="250"/>
        <v>0.11274262500279238</v>
      </c>
      <c r="D264" s="3">
        <f t="shared" si="250"/>
        <v>0.11274262500279238</v>
      </c>
      <c r="E264" s="3">
        <f t="shared" si="250"/>
        <v>0.11274262500279238</v>
      </c>
      <c r="F264" s="3">
        <f t="shared" si="250"/>
        <v>0.11274262500279236</v>
      </c>
      <c r="G264" s="3">
        <f t="shared" si="250"/>
        <v>0.11274262500279225</v>
      </c>
      <c r="H264" s="3">
        <f t="shared" si="250"/>
        <v>0.11274262500279106</v>
      </c>
      <c r="I264" s="3">
        <f t="shared" si="250"/>
        <v>0.11274262500277923</v>
      </c>
      <c r="J264" s="3">
        <f t="shared" si="250"/>
        <v>0.11274262500266101</v>
      </c>
      <c r="K264" s="3">
        <f t="shared" si="250"/>
        <v>0.11274262500147869</v>
      </c>
      <c r="L264" s="3">
        <f t="shared" si="250"/>
        <v>0.11274262498965561</v>
      </c>
      <c r="M264" s="3">
        <f t="shared" si="250"/>
        <v>0.11274262487142468</v>
      </c>
      <c r="N264" s="3">
        <f t="shared" si="250"/>
        <v>0.11274262368911543</v>
      </c>
      <c r="O264" s="3">
        <f t="shared" si="250"/>
        <v>0.11274261186602358</v>
      </c>
      <c r="P264" s="3">
        <f t="shared" si="250"/>
        <v>0.11274249363517332</v>
      </c>
      <c r="Q264" s="3">
        <f t="shared" si="250"/>
        <v>0.11274131133348979</v>
      </c>
      <c r="R264" s="3">
        <f t="shared" si="250"/>
        <v>0.1127294889985503</v>
      </c>
      <c r="S264" s="3">
        <f t="shared" si="250"/>
        <v>0.11261133381228311</v>
      </c>
      <c r="T264" s="3">
        <f t="shared" si="250"/>
        <v>0.11143657188831822</v>
      </c>
      <c r="U264" s="3">
        <f t="shared" si="250"/>
        <v>0.10034232358144317</v>
      </c>
      <c r="V264" s="3">
        <f t="shared" si="250"/>
        <v>3.5159950468333555E-2</v>
      </c>
      <c r="W264" s="3">
        <f t="shared" si="250"/>
        <v>9.8104575925906003E-7</v>
      </c>
      <c r="X264" s="3">
        <f t="shared" si="250"/>
        <v>2.8060755968537352E-52</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0.14424606622338945</v>
      </c>
      <c r="C265" s="3">
        <f t="shared" si="251"/>
        <v>0.14424606622338945</v>
      </c>
      <c r="D265" s="3">
        <f t="shared" si="251"/>
        <v>0.14424606622338945</v>
      </c>
      <c r="E265" s="3">
        <f t="shared" si="251"/>
        <v>0.14424606622338945</v>
      </c>
      <c r="F265" s="3">
        <f t="shared" si="251"/>
        <v>0.14424606622338945</v>
      </c>
      <c r="G265" s="3">
        <f t="shared" si="251"/>
        <v>0.14424606622338942</v>
      </c>
      <c r="H265" s="3">
        <f t="shared" si="251"/>
        <v>0.14424606622338931</v>
      </c>
      <c r="I265" s="3">
        <f t="shared" si="251"/>
        <v>0.14424606622338793</v>
      </c>
      <c r="J265" s="3">
        <f t="shared" si="251"/>
        <v>0.1442460662233743</v>
      </c>
      <c r="K265" s="3">
        <f t="shared" si="251"/>
        <v>0.14424606622323782</v>
      </c>
      <c r="L265" s="3">
        <f t="shared" si="251"/>
        <v>0.14424606622187328</v>
      </c>
      <c r="M265" s="3">
        <f t="shared" si="251"/>
        <v>0.14424606620822764</v>
      </c>
      <c r="N265" s="3">
        <f t="shared" si="251"/>
        <v>0.14424606607177137</v>
      </c>
      <c r="O265" s="3">
        <f t="shared" si="251"/>
        <v>0.1442460647072086</v>
      </c>
      <c r="P265" s="3">
        <f t="shared" si="251"/>
        <v>0.1442460510615817</v>
      </c>
      <c r="Q265" s="3">
        <f t="shared" si="251"/>
        <v>0.14424591460538361</v>
      </c>
      <c r="R265" s="3">
        <f t="shared" si="251"/>
        <v>0.14424455005050232</v>
      </c>
      <c r="S265" s="3">
        <f t="shared" si="251"/>
        <v>0.14423090521164145</v>
      </c>
      <c r="T265" s="3">
        <f t="shared" si="251"/>
        <v>0.14409452779336807</v>
      </c>
      <c r="U265" s="3">
        <f t="shared" si="251"/>
        <v>0.14273782586596781</v>
      </c>
      <c r="V265" s="3">
        <f t="shared" si="251"/>
        <v>0.12985389187955435</v>
      </c>
      <c r="W265" s="3">
        <f t="shared" si="251"/>
        <v>5.042128400235369E-2</v>
      </c>
      <c r="X265" s="3">
        <f t="shared" si="251"/>
        <v>3.9282869663950236E-6</v>
      </c>
      <c r="Y265" s="3">
        <f t="shared" si="251"/>
        <v>3.2366538575384975E-47</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0.12974045708141974</v>
      </c>
      <c r="C266" s="3">
        <f t="shared" si="252"/>
        <v>0.12974045708141974</v>
      </c>
      <c r="D266" s="3">
        <f t="shared" si="252"/>
        <v>0.12974045708141974</v>
      </c>
      <c r="E266" s="3">
        <f t="shared" si="252"/>
        <v>0.12974045708141974</v>
      </c>
      <c r="F266" s="3">
        <f t="shared" si="252"/>
        <v>0.12974045708141974</v>
      </c>
      <c r="G266" s="3">
        <f t="shared" si="252"/>
        <v>0.12974045708141974</v>
      </c>
      <c r="H266" s="3">
        <f t="shared" si="252"/>
        <v>0.12974045708141971</v>
      </c>
      <c r="I266" s="3">
        <f t="shared" si="252"/>
        <v>0.1297404570814196</v>
      </c>
      <c r="J266" s="3">
        <f t="shared" si="252"/>
        <v>0.12974045708141851</v>
      </c>
      <c r="K266" s="3">
        <f t="shared" si="252"/>
        <v>0.12974045708140744</v>
      </c>
      <c r="L266" s="3">
        <f t="shared" si="252"/>
        <v>0.12974045708129672</v>
      </c>
      <c r="M266" s="3">
        <f t="shared" si="252"/>
        <v>0.12974045708018955</v>
      </c>
      <c r="N266" s="3">
        <f t="shared" si="252"/>
        <v>0.12974045706911794</v>
      </c>
      <c r="O266" s="3">
        <f t="shared" si="252"/>
        <v>0.12974045695840161</v>
      </c>
      <c r="P266" s="3">
        <f t="shared" si="252"/>
        <v>0.12974045585123867</v>
      </c>
      <c r="Q266" s="3">
        <f t="shared" si="252"/>
        <v>0.12974044477960947</v>
      </c>
      <c r="R266" s="3">
        <f t="shared" si="252"/>
        <v>0.12974033406336963</v>
      </c>
      <c r="S266" s="3">
        <f t="shared" si="252"/>
        <v>0.12973922690616749</v>
      </c>
      <c r="T266" s="3">
        <f t="shared" si="252"/>
        <v>0.12972815585377726</v>
      </c>
      <c r="U266" s="3">
        <f t="shared" si="252"/>
        <v>0.12961749727658201</v>
      </c>
      <c r="V266" s="3">
        <f t="shared" si="252"/>
        <v>0.1285160898107294</v>
      </c>
      <c r="W266" s="3">
        <f t="shared" si="252"/>
        <v>0.11800386200609964</v>
      </c>
      <c r="X266" s="3">
        <f t="shared" si="252"/>
        <v>5.0267049877367166E-2</v>
      </c>
      <c r="Y266" s="3">
        <f t="shared" si="252"/>
        <v>9.8890634627622735E-6</v>
      </c>
      <c r="Z266" s="3">
        <f t="shared" si="252"/>
        <v>8.5876201627132641E-43</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0.10714973449748261</v>
      </c>
      <c r="C267" s="3">
        <f t="shared" si="253"/>
        <v>0.10714973449748261</v>
      </c>
      <c r="D267" s="3">
        <f t="shared" si="253"/>
        <v>0.10714973449748261</v>
      </c>
      <c r="E267" s="3">
        <f t="shared" si="253"/>
        <v>0.10714973449748261</v>
      </c>
      <c r="F267" s="3">
        <f t="shared" si="253"/>
        <v>0.10714973449748261</v>
      </c>
      <c r="G267" s="3">
        <f t="shared" si="253"/>
        <v>0.10714973449748261</v>
      </c>
      <c r="H267" s="3">
        <f t="shared" si="253"/>
        <v>0.10714973449748261</v>
      </c>
      <c r="I267" s="3">
        <f t="shared" si="253"/>
        <v>0.10714973449748259</v>
      </c>
      <c r="J267" s="3">
        <f t="shared" si="253"/>
        <v>0.10714973449748251</v>
      </c>
      <c r="K267" s="3">
        <f t="shared" si="253"/>
        <v>0.10714973449748169</v>
      </c>
      <c r="L267" s="3">
        <f t="shared" si="253"/>
        <v>0.10714973449747345</v>
      </c>
      <c r="M267" s="3">
        <f t="shared" si="253"/>
        <v>0.10714973449739096</v>
      </c>
      <c r="N267" s="3">
        <f t="shared" si="253"/>
        <v>0.10714973449656612</v>
      </c>
      <c r="O267" s="3">
        <f t="shared" si="253"/>
        <v>0.10714973448831763</v>
      </c>
      <c r="P267" s="3">
        <f t="shared" si="253"/>
        <v>0.10714973440583285</v>
      </c>
      <c r="Q267" s="3">
        <f t="shared" si="253"/>
        <v>0.10714973358098506</v>
      </c>
      <c r="R267" s="3">
        <f t="shared" si="253"/>
        <v>0.10714972533250743</v>
      </c>
      <c r="S267" s="3">
        <f t="shared" si="253"/>
        <v>0.10714964284776614</v>
      </c>
      <c r="T267" s="3">
        <f t="shared" si="253"/>
        <v>0.10714881800384558</v>
      </c>
      <c r="U267" s="3">
        <f t="shared" si="253"/>
        <v>0.10714056991386504</v>
      </c>
      <c r="V267" s="3">
        <f t="shared" si="253"/>
        <v>0.10705812392662785</v>
      </c>
      <c r="W267" s="3">
        <f t="shared" si="253"/>
        <v>0.10623714538739233</v>
      </c>
      <c r="X267" s="3">
        <f t="shared" si="253"/>
        <v>9.8365778336640133E-2</v>
      </c>
      <c r="Y267" s="3">
        <f t="shared" si="253"/>
        <v>4.5553361902469044E-2</v>
      </c>
      <c r="Z267" s="3">
        <f t="shared" si="253"/>
        <v>2.0667333477175978E-5</v>
      </c>
      <c r="AA267" s="3">
        <f t="shared" si="253"/>
        <v>7.6370314213199822E-39</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7.4657991153057213E-2</v>
      </c>
      <c r="C268" s="3">
        <f t="shared" si="254"/>
        <v>7.4657991153057213E-2</v>
      </c>
      <c r="D268" s="3">
        <f t="shared" si="254"/>
        <v>7.4657991153057213E-2</v>
      </c>
      <c r="E268" s="3">
        <f t="shared" si="254"/>
        <v>7.4657991153057213E-2</v>
      </c>
      <c r="F268" s="3">
        <f t="shared" si="254"/>
        <v>7.4657991153057213E-2</v>
      </c>
      <c r="G268" s="3">
        <f t="shared" si="254"/>
        <v>7.4657991153057213E-2</v>
      </c>
      <c r="H268" s="3">
        <f t="shared" si="254"/>
        <v>7.4657991153057213E-2</v>
      </c>
      <c r="I268" s="3">
        <f t="shared" si="254"/>
        <v>7.4657991153057213E-2</v>
      </c>
      <c r="J268" s="3">
        <f t="shared" si="254"/>
        <v>7.4657991153057199E-2</v>
      </c>
      <c r="K268" s="3">
        <f t="shared" si="254"/>
        <v>7.4657991153057157E-2</v>
      </c>
      <c r="L268" s="3">
        <f t="shared" si="254"/>
        <v>7.4657991153056644E-2</v>
      </c>
      <c r="M268" s="3">
        <f t="shared" si="254"/>
        <v>7.4657991153051453E-2</v>
      </c>
      <c r="N268" s="3">
        <f t="shared" si="254"/>
        <v>7.4657991152999606E-2</v>
      </c>
      <c r="O268" s="3">
        <f t="shared" si="254"/>
        <v>7.465799115248116E-2</v>
      </c>
      <c r="P268" s="3">
        <f t="shared" si="254"/>
        <v>7.4657991147296668E-2</v>
      </c>
      <c r="Q268" s="3">
        <f t="shared" si="254"/>
        <v>7.4657991095451834E-2</v>
      </c>
      <c r="R268" s="3">
        <f t="shared" si="254"/>
        <v>7.4657990577003341E-2</v>
      </c>
      <c r="S268" s="3">
        <f t="shared" si="254"/>
        <v>7.4657985392518667E-2</v>
      </c>
      <c r="T268" s="3">
        <f t="shared" si="254"/>
        <v>7.4657933547691832E-2</v>
      </c>
      <c r="U268" s="3">
        <f t="shared" si="254"/>
        <v>7.4657415101403529E-2</v>
      </c>
      <c r="V268" s="3">
        <f t="shared" si="254"/>
        <v>7.4652230836529651E-2</v>
      </c>
      <c r="W268" s="3">
        <f t="shared" si="254"/>
        <v>7.4600407983617167E-2</v>
      </c>
      <c r="X268" s="3">
        <f t="shared" si="254"/>
        <v>7.408415396022841E-2</v>
      </c>
      <c r="Y268" s="3">
        <f t="shared" si="254"/>
        <v>6.9114083874042331E-2</v>
      </c>
      <c r="Z268" s="3">
        <f t="shared" si="254"/>
        <v>3.4512693662993914E-2</v>
      </c>
      <c r="AA268" s="3">
        <f t="shared" si="254"/>
        <v>3.3273758941470045E-5</v>
      </c>
      <c r="AB268" s="3">
        <f t="shared" si="254"/>
        <v>2.3085110575682549E-35</v>
      </c>
      <c r="AC268" s="3">
        <f t="shared" si="254"/>
        <v>0</v>
      </c>
      <c r="AD268" s="3">
        <f t="shared" si="254"/>
        <v>0</v>
      </c>
      <c r="AE268" s="3">
        <f t="shared" si="254"/>
        <v>0</v>
      </c>
      <c r="AF268" s="3">
        <f t="shared" si="254"/>
        <v>0</v>
      </c>
      <c r="AG268" s="3"/>
      <c r="AH268" s="3"/>
    </row>
    <row r="269" spans="2:34" x14ac:dyDescent="0.25">
      <c r="B269" s="3">
        <f t="shared" ref="B269:AF269" si="255">$C38*EXP(-B$246/$A38/EXP(-$E$126))</f>
        <v>2.5780107678568913E-2</v>
      </c>
      <c r="C269" s="3">
        <f t="shared" si="255"/>
        <v>2.5780107678568913E-2</v>
      </c>
      <c r="D269" s="3">
        <f t="shared" si="255"/>
        <v>2.5780107678568913E-2</v>
      </c>
      <c r="E269" s="3">
        <f t="shared" si="255"/>
        <v>2.5780107678568913E-2</v>
      </c>
      <c r="F269" s="3">
        <f t="shared" si="255"/>
        <v>2.5780107678568913E-2</v>
      </c>
      <c r="G269" s="3">
        <f t="shared" si="255"/>
        <v>2.5780107678568913E-2</v>
      </c>
      <c r="H269" s="3">
        <f t="shared" si="255"/>
        <v>2.5780107678568913E-2</v>
      </c>
      <c r="I269" s="3">
        <f t="shared" si="255"/>
        <v>2.5780107678568913E-2</v>
      </c>
      <c r="J269" s="3">
        <f t="shared" si="255"/>
        <v>2.5780107678568913E-2</v>
      </c>
      <c r="K269" s="3">
        <f t="shared" si="255"/>
        <v>2.5780107678568909E-2</v>
      </c>
      <c r="L269" s="3">
        <f t="shared" si="255"/>
        <v>2.5780107678568896E-2</v>
      </c>
      <c r="M269" s="3">
        <f t="shared" si="255"/>
        <v>2.5780107678568732E-2</v>
      </c>
      <c r="N269" s="3">
        <f t="shared" si="255"/>
        <v>2.5780107678567119E-2</v>
      </c>
      <c r="O269" s="3">
        <f t="shared" si="255"/>
        <v>2.5780107678550969E-2</v>
      </c>
      <c r="P269" s="3">
        <f t="shared" si="255"/>
        <v>2.5780107678389473E-2</v>
      </c>
      <c r="Q269" s="3">
        <f t="shared" si="255"/>
        <v>2.5780107676774518E-2</v>
      </c>
      <c r="R269" s="3">
        <f t="shared" si="255"/>
        <v>2.5780107660624961E-2</v>
      </c>
      <c r="S269" s="3">
        <f t="shared" si="255"/>
        <v>2.5780107499129384E-2</v>
      </c>
      <c r="T269" s="3">
        <f t="shared" si="255"/>
        <v>2.5780105884173683E-2</v>
      </c>
      <c r="U269" s="3">
        <f t="shared" si="255"/>
        <v>2.5780089734622241E-2</v>
      </c>
      <c r="V269" s="3">
        <f t="shared" si="255"/>
        <v>2.5779928239664216E-2</v>
      </c>
      <c r="W269" s="3">
        <f t="shared" si="255"/>
        <v>2.5778313345724099E-2</v>
      </c>
      <c r="X269" s="3">
        <f t="shared" si="255"/>
        <v>2.5762169969045262E-2</v>
      </c>
      <c r="Y269" s="3">
        <f t="shared" si="255"/>
        <v>2.5601291187315942E-2</v>
      </c>
      <c r="Z269" s="3">
        <f t="shared" si="255"/>
        <v>2.4046736796976262E-2</v>
      </c>
      <c r="AA269" s="3">
        <f t="shared" si="255"/>
        <v>1.2852835690912251E-2</v>
      </c>
      <c r="AB269" s="3">
        <f t="shared" si="255"/>
        <v>2.4458341988226965E-5</v>
      </c>
      <c r="AC269" s="3">
        <f t="shared" si="255"/>
        <v>1.5230269536353974E-32</v>
      </c>
      <c r="AD269" s="3">
        <f t="shared" si="255"/>
        <v>1.3350986293646784E-304</v>
      </c>
      <c r="AE269" s="3">
        <f t="shared" si="255"/>
        <v>0</v>
      </c>
      <c r="AF269" s="3">
        <f t="shared" si="255"/>
        <v>0</v>
      </c>
      <c r="AG269" s="3"/>
      <c r="AH269" s="3"/>
    </row>
    <row r="270" spans="2:34" x14ac:dyDescent="0.25">
      <c r="B270" s="3">
        <f t="shared" ref="B270:AF270" si="256">$C39*EXP(-B$246/$A39/EXP(-$E$126))</f>
        <v>2.4060337070104312E-2</v>
      </c>
      <c r="C270" s="3">
        <f t="shared" si="256"/>
        <v>2.4060337070104312E-2</v>
      </c>
      <c r="D270" s="3">
        <f t="shared" si="256"/>
        <v>2.4060337070104312E-2</v>
      </c>
      <c r="E270" s="3">
        <f t="shared" si="256"/>
        <v>2.4060337070104312E-2</v>
      </c>
      <c r="F270" s="3">
        <f t="shared" si="256"/>
        <v>2.4060337070104312E-2</v>
      </c>
      <c r="G270" s="3">
        <f t="shared" si="256"/>
        <v>2.4060337070104312E-2</v>
      </c>
      <c r="H270" s="3">
        <f t="shared" si="256"/>
        <v>2.4060337070104312E-2</v>
      </c>
      <c r="I270" s="3">
        <f t="shared" si="256"/>
        <v>2.4060337070104312E-2</v>
      </c>
      <c r="J270" s="3">
        <f t="shared" si="256"/>
        <v>2.4060337070104312E-2</v>
      </c>
      <c r="K270" s="3">
        <f t="shared" si="256"/>
        <v>2.4060337070104312E-2</v>
      </c>
      <c r="L270" s="3">
        <f t="shared" si="256"/>
        <v>2.4060337070104305E-2</v>
      </c>
      <c r="M270" s="3">
        <f t="shared" si="256"/>
        <v>2.4060337070104267E-2</v>
      </c>
      <c r="N270" s="3">
        <f t="shared" si="256"/>
        <v>2.4060337070103851E-2</v>
      </c>
      <c r="O270" s="3">
        <f t="shared" si="256"/>
        <v>2.4060337070099681E-2</v>
      </c>
      <c r="P270" s="3">
        <f t="shared" si="256"/>
        <v>2.4060337070057995E-2</v>
      </c>
      <c r="Q270" s="3">
        <f t="shared" si="256"/>
        <v>2.4060337069641134E-2</v>
      </c>
      <c r="R270" s="3">
        <f t="shared" si="256"/>
        <v>2.4060337065472531E-2</v>
      </c>
      <c r="S270" s="3">
        <f t="shared" si="256"/>
        <v>2.4060337023786509E-2</v>
      </c>
      <c r="T270" s="3">
        <f t="shared" si="256"/>
        <v>2.4060336606926275E-2</v>
      </c>
      <c r="U270" s="3">
        <f t="shared" si="256"/>
        <v>2.4060332438324332E-2</v>
      </c>
      <c r="V270" s="3">
        <f t="shared" si="256"/>
        <v>2.4060290752344633E-2</v>
      </c>
      <c r="W270" s="3">
        <f t="shared" si="256"/>
        <v>2.4059873896519909E-2</v>
      </c>
      <c r="X270" s="3">
        <f t="shared" si="256"/>
        <v>2.40557057354743E-2</v>
      </c>
      <c r="Y270" s="3">
        <f t="shared" si="256"/>
        <v>2.4014063819727875E-2</v>
      </c>
      <c r="Z270" s="3">
        <f t="shared" si="256"/>
        <v>2.360158880452129E-2</v>
      </c>
      <c r="AA270" s="3">
        <f t="shared" si="256"/>
        <v>1.9847098790482173E-2</v>
      </c>
      <c r="AB270" s="3">
        <f t="shared" si="256"/>
        <v>3.5095784055875975E-3</v>
      </c>
      <c r="AC270" s="3">
        <f t="shared" si="256"/>
        <v>1.049141645951057E-10</v>
      </c>
      <c r="AD270" s="3">
        <f t="shared" si="256"/>
        <v>5.978963509988801E-86</v>
      </c>
      <c r="AE270" s="3">
        <f t="shared" si="256"/>
        <v>0</v>
      </c>
      <c r="AF270" s="3">
        <f t="shared" si="256"/>
        <v>0</v>
      </c>
      <c r="AG270" s="3"/>
      <c r="AH270" s="3"/>
    </row>
    <row r="271" spans="2:34" x14ac:dyDescent="0.25">
      <c r="B271" s="3">
        <f t="shared" ref="B271:AF271" si="257">$C40*EXP(-B$246/$A40/EXP(-$E$126))</f>
        <v>1.2267955807966149E-2</v>
      </c>
      <c r="C271" s="3">
        <f t="shared" si="257"/>
        <v>1.2267955807966149E-2</v>
      </c>
      <c r="D271" s="3">
        <f t="shared" si="257"/>
        <v>1.2267955807966149E-2</v>
      </c>
      <c r="E271" s="3">
        <f t="shared" si="257"/>
        <v>1.2267955807966149E-2</v>
      </c>
      <c r="F271" s="3">
        <f t="shared" si="257"/>
        <v>1.2267955807966149E-2</v>
      </c>
      <c r="G271" s="3">
        <f t="shared" si="257"/>
        <v>1.2267955807966149E-2</v>
      </c>
      <c r="H271" s="3">
        <f t="shared" si="257"/>
        <v>1.2267955807966149E-2</v>
      </c>
      <c r="I271" s="3">
        <f t="shared" si="257"/>
        <v>1.2267955807966149E-2</v>
      </c>
      <c r="J271" s="3">
        <f t="shared" si="257"/>
        <v>1.2267955807966149E-2</v>
      </c>
      <c r="K271" s="3">
        <f t="shared" si="257"/>
        <v>1.2267955807966149E-2</v>
      </c>
      <c r="L271" s="3">
        <f t="shared" si="257"/>
        <v>1.2267955807966149E-2</v>
      </c>
      <c r="M271" s="3">
        <f t="shared" si="257"/>
        <v>1.2267955807966146E-2</v>
      </c>
      <c r="N271" s="3">
        <f t="shared" si="257"/>
        <v>1.2267955807966127E-2</v>
      </c>
      <c r="O271" s="3">
        <f t="shared" si="257"/>
        <v>1.2267955807965913E-2</v>
      </c>
      <c r="P271" s="3">
        <f t="shared" si="257"/>
        <v>1.2267955807963788E-2</v>
      </c>
      <c r="Q271" s="3">
        <f t="shared" si="257"/>
        <v>1.2267955807942533E-2</v>
      </c>
      <c r="R271" s="3">
        <f t="shared" si="257"/>
        <v>1.2267955807729982E-2</v>
      </c>
      <c r="S271" s="3">
        <f t="shared" si="257"/>
        <v>1.2267955805604483E-2</v>
      </c>
      <c r="T271" s="3">
        <f t="shared" si="257"/>
        <v>1.226795578434949E-2</v>
      </c>
      <c r="U271" s="3">
        <f t="shared" si="257"/>
        <v>1.2267955571799561E-2</v>
      </c>
      <c r="V271" s="3">
        <f t="shared" si="257"/>
        <v>1.2267953446300477E-2</v>
      </c>
      <c r="W271" s="3">
        <f t="shared" si="257"/>
        <v>1.226793219132989E-2</v>
      </c>
      <c r="X271" s="3">
        <f t="shared" si="257"/>
        <v>1.2267719643649403E-2</v>
      </c>
      <c r="Y271" s="3">
        <f t="shared" si="257"/>
        <v>1.2265594369370863E-2</v>
      </c>
      <c r="Z271" s="3">
        <f t="shared" si="257"/>
        <v>1.2244361866241433E-2</v>
      </c>
      <c r="AA271" s="3">
        <f t="shared" si="257"/>
        <v>1.2034047885863658E-2</v>
      </c>
      <c r="AB271" s="3">
        <f t="shared" si="257"/>
        <v>1.0119697416064425E-2</v>
      </c>
      <c r="AC271" s="3">
        <f t="shared" si="257"/>
        <v>1.7894742147165723E-3</v>
      </c>
      <c r="AD271" s="3">
        <f t="shared" si="257"/>
        <v>5.3493944458562129E-11</v>
      </c>
      <c r="AE271" s="3">
        <f t="shared" si="257"/>
        <v>3.0485715933349883E-86</v>
      </c>
      <c r="AF271" s="3">
        <f t="shared" si="257"/>
        <v>0</v>
      </c>
      <c r="AG271" s="3"/>
      <c r="AH271" s="3"/>
    </row>
    <row r="272" spans="2:34" x14ac:dyDescent="0.25">
      <c r="B272" s="3">
        <f t="shared" ref="B272:AF272" si="258">$C41*EXP(-B$246/$A41/EXP(-$E$126))</f>
        <v>7.7350329579382458E-4</v>
      </c>
      <c r="C272" s="3">
        <f t="shared" si="258"/>
        <v>7.7350329579382458E-4</v>
      </c>
      <c r="D272" s="3">
        <f t="shared" si="258"/>
        <v>7.7350329579382458E-4</v>
      </c>
      <c r="E272" s="3">
        <f t="shared" si="258"/>
        <v>7.7350329579382458E-4</v>
      </c>
      <c r="F272" s="3">
        <f t="shared" si="258"/>
        <v>7.7350329579382458E-4</v>
      </c>
      <c r="G272" s="3">
        <f t="shared" si="258"/>
        <v>7.7350329579382458E-4</v>
      </c>
      <c r="H272" s="3">
        <f t="shared" si="258"/>
        <v>7.7350329579382458E-4</v>
      </c>
      <c r="I272" s="3">
        <f t="shared" si="258"/>
        <v>7.7350329579382458E-4</v>
      </c>
      <c r="J272" s="3">
        <f t="shared" si="258"/>
        <v>7.7350329579382458E-4</v>
      </c>
      <c r="K272" s="3">
        <f t="shared" si="258"/>
        <v>7.7350329579382458E-4</v>
      </c>
      <c r="L272" s="3">
        <f t="shared" si="258"/>
        <v>7.7350329579382458E-4</v>
      </c>
      <c r="M272" s="3">
        <f t="shared" si="258"/>
        <v>7.7350329579382458E-4</v>
      </c>
      <c r="N272" s="3">
        <f t="shared" si="258"/>
        <v>7.7350329579382437E-4</v>
      </c>
      <c r="O272" s="3">
        <f t="shared" si="258"/>
        <v>7.7350329579382318E-4</v>
      </c>
      <c r="P272" s="3">
        <f t="shared" si="258"/>
        <v>7.7350329579380973E-4</v>
      </c>
      <c r="Q272" s="3">
        <f t="shared" si="258"/>
        <v>7.7350329579367572E-4</v>
      </c>
      <c r="R272" s="3">
        <f t="shared" si="258"/>
        <v>7.7350329579233554E-4</v>
      </c>
      <c r="S272" s="3">
        <f t="shared" si="258"/>
        <v>7.7350329577893404E-4</v>
      </c>
      <c r="T272" s="3">
        <f t="shared" si="258"/>
        <v>7.7350329564491982E-4</v>
      </c>
      <c r="U272" s="3">
        <f t="shared" si="258"/>
        <v>7.7350329430477753E-4</v>
      </c>
      <c r="V272" s="3">
        <f t="shared" si="258"/>
        <v>7.7350328090335411E-4</v>
      </c>
      <c r="W272" s="3">
        <f t="shared" si="258"/>
        <v>7.7350314688913262E-4</v>
      </c>
      <c r="X272" s="3">
        <f t="shared" si="258"/>
        <v>7.7350180674819473E-4</v>
      </c>
      <c r="Y272" s="3">
        <f t="shared" si="258"/>
        <v>7.7348840546651889E-4</v>
      </c>
      <c r="Z272" s="3">
        <f t="shared" si="258"/>
        <v>7.7335440541918842E-4</v>
      </c>
      <c r="AA272" s="3">
        <f t="shared" si="258"/>
        <v>7.7201568107051555E-4</v>
      </c>
      <c r="AB272" s="3">
        <f t="shared" si="258"/>
        <v>7.5875523576730592E-4</v>
      </c>
      <c r="AC272" s="3">
        <f t="shared" si="258"/>
        <v>6.3805408384983331E-4</v>
      </c>
      <c r="AD272" s="3">
        <f t="shared" si="258"/>
        <v>1.1282761565888044E-4</v>
      </c>
      <c r="AE272" s="3">
        <f t="shared" si="258"/>
        <v>3.3728310560787258E-12</v>
      </c>
      <c r="AF272" s="3">
        <f t="shared" si="258"/>
        <v>1.9221459645109208E-87</v>
      </c>
      <c r="AG272" s="3"/>
      <c r="AH272" s="3"/>
    </row>
    <row r="273" spans="1:34" x14ac:dyDescent="0.25">
      <c r="B273" s="3">
        <f t="shared" ref="B273:AF273" si="259">$C42*EXP(-B$246/$A42/EXP(-$E$126))</f>
        <v>2.8862774017939779E-3</v>
      </c>
      <c r="C273" s="3">
        <f t="shared" si="259"/>
        <v>2.8862774017939779E-3</v>
      </c>
      <c r="D273" s="3">
        <f t="shared" si="259"/>
        <v>2.8862774017939779E-3</v>
      </c>
      <c r="E273" s="3">
        <f t="shared" si="259"/>
        <v>2.8862774017939779E-3</v>
      </c>
      <c r="F273" s="3">
        <f t="shared" si="259"/>
        <v>2.8862774017939779E-3</v>
      </c>
      <c r="G273" s="3">
        <f t="shared" si="259"/>
        <v>2.8862774017939779E-3</v>
      </c>
      <c r="H273" s="3">
        <f t="shared" si="259"/>
        <v>2.8862774017939779E-3</v>
      </c>
      <c r="I273" s="3">
        <f t="shared" si="259"/>
        <v>2.8862774017939779E-3</v>
      </c>
      <c r="J273" s="3">
        <f t="shared" si="259"/>
        <v>2.8862774017939779E-3</v>
      </c>
      <c r="K273" s="3">
        <f t="shared" si="259"/>
        <v>2.8862774017939779E-3</v>
      </c>
      <c r="L273" s="3">
        <f t="shared" si="259"/>
        <v>2.8862774017939779E-3</v>
      </c>
      <c r="M273" s="3">
        <f t="shared" si="259"/>
        <v>2.8862774017939779E-3</v>
      </c>
      <c r="N273" s="3">
        <f t="shared" si="259"/>
        <v>2.8862774017939779E-3</v>
      </c>
      <c r="O273" s="3">
        <f t="shared" si="259"/>
        <v>2.8862774017939775E-3</v>
      </c>
      <c r="P273" s="3">
        <f t="shared" si="259"/>
        <v>2.8862774017939723E-3</v>
      </c>
      <c r="Q273" s="3">
        <f t="shared" si="259"/>
        <v>2.8862774017939224E-3</v>
      </c>
      <c r="R273" s="3">
        <f t="shared" si="259"/>
        <v>2.8862774017934223E-3</v>
      </c>
      <c r="S273" s="3">
        <f t="shared" si="259"/>
        <v>2.8862774017884216E-3</v>
      </c>
      <c r="T273" s="3">
        <f t="shared" si="259"/>
        <v>2.8862774017384151E-3</v>
      </c>
      <c r="U273" s="3">
        <f t="shared" si="259"/>
        <v>2.8862774012383494E-3</v>
      </c>
      <c r="V273" s="3">
        <f t="shared" si="259"/>
        <v>2.8862773962376955E-3</v>
      </c>
      <c r="W273" s="3">
        <f t="shared" si="259"/>
        <v>2.8862773462311527E-3</v>
      </c>
      <c r="X273" s="3">
        <f t="shared" si="259"/>
        <v>2.8862768461657734E-3</v>
      </c>
      <c r="Y273" s="3">
        <f t="shared" si="259"/>
        <v>2.8862718455167453E-3</v>
      </c>
      <c r="Z273" s="3">
        <f t="shared" si="259"/>
        <v>2.886221839502981E-3</v>
      </c>
      <c r="AA273" s="3">
        <f t="shared" si="259"/>
        <v>2.8857218270136324E-3</v>
      </c>
      <c r="AB273" s="3">
        <f t="shared" si="259"/>
        <v>2.8807264638964782E-3</v>
      </c>
      <c r="AC273" s="3">
        <f t="shared" si="259"/>
        <v>2.8312459719263693E-3</v>
      </c>
      <c r="AD273" s="3">
        <f t="shared" si="259"/>
        <v>2.3808574486397639E-3</v>
      </c>
      <c r="AE273" s="3">
        <f t="shared" si="259"/>
        <v>4.2100893318148793E-4</v>
      </c>
      <c r="AF273" s="3">
        <f t="shared" si="259"/>
        <v>1.2585500424065115E-11</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1.5898164143456024E-4</v>
      </c>
      <c r="C275" s="3">
        <f t="shared" si="261"/>
        <v>1.5898164143456024E-4</v>
      </c>
      <c r="D275" s="3">
        <f t="shared" si="261"/>
        <v>1.5898164143456024E-4</v>
      </c>
      <c r="E275" s="3">
        <f t="shared" si="261"/>
        <v>1.5898164143456024E-4</v>
      </c>
      <c r="F275" s="3">
        <f t="shared" si="261"/>
        <v>1.5898164143456024E-4</v>
      </c>
      <c r="G275" s="3">
        <f t="shared" si="261"/>
        <v>1.5898164143456024E-4</v>
      </c>
      <c r="H275" s="3">
        <f t="shared" si="261"/>
        <v>1.5898164143456024E-4</v>
      </c>
      <c r="I275" s="3">
        <f t="shared" si="261"/>
        <v>1.5898164143456024E-4</v>
      </c>
      <c r="J275" s="3">
        <f t="shared" si="261"/>
        <v>1.5898164143456024E-4</v>
      </c>
      <c r="K275" s="3">
        <f t="shared" si="261"/>
        <v>1.5898164143456024E-4</v>
      </c>
      <c r="L275" s="3">
        <f t="shared" si="261"/>
        <v>1.5898164143456024E-4</v>
      </c>
      <c r="M275" s="3">
        <f t="shared" si="261"/>
        <v>1.5898164143456024E-4</v>
      </c>
      <c r="N275" s="3">
        <f t="shared" si="261"/>
        <v>1.5898164143456024E-4</v>
      </c>
      <c r="O275" s="3">
        <f t="shared" si="261"/>
        <v>1.5898164143456024E-4</v>
      </c>
      <c r="P275" s="3">
        <f t="shared" si="261"/>
        <v>1.5898164143456024E-4</v>
      </c>
      <c r="Q275" s="3">
        <f t="shared" si="261"/>
        <v>1.5898164143456021E-4</v>
      </c>
      <c r="R275" s="3">
        <f t="shared" si="261"/>
        <v>1.5898164143455994E-4</v>
      </c>
      <c r="S275" s="3">
        <f t="shared" si="261"/>
        <v>1.5898164143455718E-4</v>
      </c>
      <c r="T275" s="3">
        <f t="shared" si="261"/>
        <v>1.5898164143452964E-4</v>
      </c>
      <c r="U275" s="3">
        <f t="shared" si="261"/>
        <v>1.589816414342542E-4</v>
      </c>
      <c r="V275" s="3">
        <f t="shared" si="261"/>
        <v>1.5898164143149973E-4</v>
      </c>
      <c r="W275" s="3">
        <f t="shared" si="261"/>
        <v>1.5898164140395516E-4</v>
      </c>
      <c r="X275" s="3">
        <f t="shared" si="261"/>
        <v>1.5898164112850964E-4</v>
      </c>
      <c r="Y275" s="3">
        <f t="shared" si="261"/>
        <v>1.5898163837405429E-4</v>
      </c>
      <c r="Z275" s="3">
        <f t="shared" si="261"/>
        <v>1.5898161082950339E-4</v>
      </c>
      <c r="AA275" s="3">
        <f t="shared" si="261"/>
        <v>1.5898133538425679E-4</v>
      </c>
      <c r="AB275" s="3">
        <f t="shared" si="261"/>
        <v>1.5897858095803813E-4</v>
      </c>
      <c r="AC275" s="3">
        <f t="shared" si="261"/>
        <v>1.5895103932041E-4</v>
      </c>
      <c r="AD275" s="3">
        <f t="shared" si="261"/>
        <v>1.5867588523181365E-4</v>
      </c>
      <c r="AE275" s="3">
        <f t="shared" si="261"/>
        <v>1.5595040575173733E-4</v>
      </c>
      <c r="AF275" s="3">
        <f t="shared" si="261"/>
        <v>1.3114215042919392E-4</v>
      </c>
      <c r="AG275" s="3"/>
      <c r="AH275" s="3"/>
    </row>
    <row r="276" spans="1:34" x14ac:dyDescent="0.25">
      <c r="B276" s="3">
        <f t="shared" ref="B276:AF276" si="262">$C45*EXP(-B$246/$A45/EXP(-$E$126))</f>
        <v>1.3061991748101505E-4</v>
      </c>
      <c r="C276" s="3">
        <f t="shared" si="262"/>
        <v>1.3061991748101505E-4</v>
      </c>
      <c r="D276" s="3">
        <f t="shared" si="262"/>
        <v>1.3061991748101505E-4</v>
      </c>
      <c r="E276" s="3">
        <f t="shared" si="262"/>
        <v>1.3061991748101505E-4</v>
      </c>
      <c r="F276" s="3">
        <f t="shared" si="262"/>
        <v>1.3061991748101505E-4</v>
      </c>
      <c r="G276" s="3">
        <f t="shared" si="262"/>
        <v>1.3061991748101505E-4</v>
      </c>
      <c r="H276" s="3">
        <f t="shared" si="262"/>
        <v>1.3061991748101505E-4</v>
      </c>
      <c r="I276" s="3">
        <f t="shared" si="262"/>
        <v>1.3061991748101505E-4</v>
      </c>
      <c r="J276" s="3">
        <f t="shared" si="262"/>
        <v>1.3061991748101505E-4</v>
      </c>
      <c r="K276" s="3">
        <f t="shared" si="262"/>
        <v>1.3061991748101505E-4</v>
      </c>
      <c r="L276" s="3">
        <f t="shared" si="262"/>
        <v>1.3061991748101505E-4</v>
      </c>
      <c r="M276" s="3">
        <f t="shared" si="262"/>
        <v>1.3061991748101505E-4</v>
      </c>
      <c r="N276" s="3">
        <f t="shared" si="262"/>
        <v>1.3061991748101505E-4</v>
      </c>
      <c r="O276" s="3">
        <f t="shared" si="262"/>
        <v>1.3061991748101505E-4</v>
      </c>
      <c r="P276" s="3">
        <f t="shared" si="262"/>
        <v>1.3061991748101505E-4</v>
      </c>
      <c r="Q276" s="3">
        <f t="shared" si="262"/>
        <v>1.3061991748101505E-4</v>
      </c>
      <c r="R276" s="3">
        <f t="shared" si="262"/>
        <v>1.3061991748101502E-4</v>
      </c>
      <c r="S276" s="3">
        <f t="shared" si="262"/>
        <v>1.306199174810148E-4</v>
      </c>
      <c r="T276" s="3">
        <f t="shared" si="262"/>
        <v>1.3061991748101253E-4</v>
      </c>
      <c r="U276" s="3">
        <f t="shared" si="262"/>
        <v>1.3061991748098989E-4</v>
      </c>
      <c r="V276" s="3">
        <f t="shared" si="262"/>
        <v>1.3061991748076359E-4</v>
      </c>
      <c r="W276" s="3">
        <f t="shared" si="262"/>
        <v>1.3061991747850051E-4</v>
      </c>
      <c r="X276" s="3">
        <f t="shared" si="262"/>
        <v>1.3061991745586982E-4</v>
      </c>
      <c r="Y276" s="3">
        <f t="shared" si="262"/>
        <v>1.3061991722956273E-4</v>
      </c>
      <c r="Z276" s="3">
        <f t="shared" si="262"/>
        <v>1.3061991496649179E-4</v>
      </c>
      <c r="AA276" s="3">
        <f t="shared" si="262"/>
        <v>1.3061989233578467E-4</v>
      </c>
      <c r="AB276" s="3">
        <f t="shared" si="262"/>
        <v>1.3061966602892901E-4</v>
      </c>
      <c r="AC276" s="3">
        <f t="shared" si="262"/>
        <v>1.3061740298193726E-4</v>
      </c>
      <c r="AD276" s="3">
        <f t="shared" si="262"/>
        <v>1.3059477466836712E-4</v>
      </c>
      <c r="AE276" s="3">
        <f t="shared" si="262"/>
        <v>1.303687070292189E-4</v>
      </c>
      <c r="AF276" s="3">
        <f t="shared" si="262"/>
        <v>1.2812944278731394E-4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8.1332295555460314E-5</v>
      </c>
      <c r="C278" s="3">
        <f t="shared" si="264"/>
        <v>8.1332295555460314E-5</v>
      </c>
      <c r="D278" s="3">
        <f t="shared" si="264"/>
        <v>8.1332295555460314E-5</v>
      </c>
      <c r="E278" s="3">
        <f t="shared" si="264"/>
        <v>8.1332295555460314E-5</v>
      </c>
      <c r="F278" s="3">
        <f t="shared" si="264"/>
        <v>8.1332295555460314E-5</v>
      </c>
      <c r="G278" s="3">
        <f t="shared" si="264"/>
        <v>8.1332295555460314E-5</v>
      </c>
      <c r="H278" s="3">
        <f t="shared" si="264"/>
        <v>8.1332295555460314E-5</v>
      </c>
      <c r="I278" s="3">
        <f t="shared" si="264"/>
        <v>8.1332295555460314E-5</v>
      </c>
      <c r="J278" s="3">
        <f t="shared" si="264"/>
        <v>8.1332295555460314E-5</v>
      </c>
      <c r="K278" s="3">
        <f t="shared" si="264"/>
        <v>8.1332295555460314E-5</v>
      </c>
      <c r="L278" s="3">
        <f t="shared" si="264"/>
        <v>8.1332295555460314E-5</v>
      </c>
      <c r="M278" s="3">
        <f t="shared" si="264"/>
        <v>8.1332295555460314E-5</v>
      </c>
      <c r="N278" s="3">
        <f t="shared" si="264"/>
        <v>8.1332295555460314E-5</v>
      </c>
      <c r="O278" s="3">
        <f t="shared" si="264"/>
        <v>8.1332295555460314E-5</v>
      </c>
      <c r="P278" s="3">
        <f t="shared" si="264"/>
        <v>8.1332295555460314E-5</v>
      </c>
      <c r="Q278" s="3">
        <f t="shared" si="264"/>
        <v>8.1332295555460314E-5</v>
      </c>
      <c r="R278" s="3">
        <f t="shared" si="264"/>
        <v>8.1332295555460314E-5</v>
      </c>
      <c r="S278" s="3">
        <f t="shared" si="264"/>
        <v>8.1332295555460314E-5</v>
      </c>
      <c r="T278" s="3">
        <f t="shared" si="264"/>
        <v>8.13322955554603E-5</v>
      </c>
      <c r="U278" s="3">
        <f t="shared" si="264"/>
        <v>8.1332295555460165E-5</v>
      </c>
      <c r="V278" s="3">
        <f t="shared" si="264"/>
        <v>8.1332295555458755E-5</v>
      </c>
      <c r="W278" s="3">
        <f t="shared" si="264"/>
        <v>8.1332295555444661E-5</v>
      </c>
      <c r="X278" s="3">
        <f t="shared" si="264"/>
        <v>8.1332295555303742E-5</v>
      </c>
      <c r="Y278" s="3">
        <f t="shared" si="264"/>
        <v>8.1332295553894604E-5</v>
      </c>
      <c r="Z278" s="3">
        <f t="shared" si="264"/>
        <v>8.1332295539803283E-5</v>
      </c>
      <c r="AA278" s="3">
        <f t="shared" si="264"/>
        <v>8.1332295398890055E-5</v>
      </c>
      <c r="AB278" s="3">
        <f t="shared" si="264"/>
        <v>8.1332293989757682E-5</v>
      </c>
      <c r="AC278" s="3">
        <f t="shared" si="264"/>
        <v>8.1332279898435348E-5</v>
      </c>
      <c r="AD278" s="3">
        <f t="shared" si="264"/>
        <v>8.1332138985346235E-5</v>
      </c>
      <c r="AE278" s="3">
        <f t="shared" si="264"/>
        <v>8.1330729867882856E-5</v>
      </c>
      <c r="AF278" s="3">
        <f t="shared" si="264"/>
        <v>8.1316640035928437E-5</v>
      </c>
      <c r="AG278" s="3"/>
      <c r="AH278" s="3"/>
    </row>
    <row r="279" spans="1:34" x14ac:dyDescent="0.25">
      <c r="B279" s="3">
        <f t="shared" ref="B279:AF279" si="265">$C48*EXP(-B$246/$A48/EXP(-$E$126))</f>
        <v>6.4178085162845428E-4</v>
      </c>
      <c r="C279" s="3">
        <f t="shared" si="265"/>
        <v>6.4178085162845428E-4</v>
      </c>
      <c r="D279" s="3">
        <f t="shared" si="265"/>
        <v>6.4178085162845428E-4</v>
      </c>
      <c r="E279" s="3">
        <f t="shared" si="265"/>
        <v>6.4178085162845428E-4</v>
      </c>
      <c r="F279" s="3">
        <f t="shared" si="265"/>
        <v>6.4178085162845428E-4</v>
      </c>
      <c r="G279" s="3">
        <f t="shared" si="265"/>
        <v>6.4178085162845428E-4</v>
      </c>
      <c r="H279" s="3">
        <f t="shared" si="265"/>
        <v>6.4178085162845428E-4</v>
      </c>
      <c r="I279" s="3">
        <f t="shared" si="265"/>
        <v>6.4178085162845428E-4</v>
      </c>
      <c r="J279" s="3">
        <f t="shared" si="265"/>
        <v>6.4178085162845428E-4</v>
      </c>
      <c r="K279" s="3">
        <f t="shared" si="265"/>
        <v>6.4178085162845428E-4</v>
      </c>
      <c r="L279" s="3">
        <f t="shared" si="265"/>
        <v>6.4178085162845428E-4</v>
      </c>
      <c r="M279" s="3">
        <f t="shared" si="265"/>
        <v>6.4178085162845428E-4</v>
      </c>
      <c r="N279" s="3">
        <f t="shared" si="265"/>
        <v>6.4178085162845428E-4</v>
      </c>
      <c r="O279" s="3">
        <f t="shared" si="265"/>
        <v>6.4178085162845428E-4</v>
      </c>
      <c r="P279" s="3">
        <f t="shared" si="265"/>
        <v>6.4178085162845428E-4</v>
      </c>
      <c r="Q279" s="3">
        <f t="shared" si="265"/>
        <v>6.4178085162845428E-4</v>
      </c>
      <c r="R279" s="3">
        <f t="shared" si="265"/>
        <v>6.4178085162845428E-4</v>
      </c>
      <c r="S279" s="3">
        <f t="shared" si="265"/>
        <v>6.4178085162845428E-4</v>
      </c>
      <c r="T279" s="3">
        <f t="shared" si="265"/>
        <v>6.4178085162845428E-4</v>
      </c>
      <c r="U279" s="3">
        <f t="shared" si="265"/>
        <v>6.4178085162845417E-4</v>
      </c>
      <c r="V279" s="3">
        <f t="shared" si="265"/>
        <v>6.4178085162845309E-4</v>
      </c>
      <c r="W279" s="3">
        <f t="shared" si="265"/>
        <v>6.4178085162844192E-4</v>
      </c>
      <c r="X279" s="3">
        <f t="shared" si="265"/>
        <v>6.4178085162833068E-4</v>
      </c>
      <c r="Y279" s="3">
        <f t="shared" si="265"/>
        <v>6.4178085162721883E-4</v>
      </c>
      <c r="Z279" s="3">
        <f t="shared" si="265"/>
        <v>6.4178085161609958E-4</v>
      </c>
      <c r="AA279" s="3">
        <f t="shared" si="265"/>
        <v>6.4178085150490706E-4</v>
      </c>
      <c r="AB279" s="3">
        <f t="shared" si="265"/>
        <v>6.4178085039298205E-4</v>
      </c>
      <c r="AC279" s="3">
        <f t="shared" si="265"/>
        <v>6.4178083927373146E-4</v>
      </c>
      <c r="AD279" s="3">
        <f t="shared" si="265"/>
        <v>6.4178072808123668E-4</v>
      </c>
      <c r="AE279" s="3">
        <f t="shared" si="265"/>
        <v>6.4177961615734822E-4</v>
      </c>
      <c r="AF279" s="3">
        <f t="shared" si="265"/>
        <v>6.4176849702441926E-4</v>
      </c>
      <c r="AG279" s="3"/>
      <c r="AH279" s="3"/>
    </row>
    <row r="280" spans="1:34" x14ac:dyDescent="0.25">
      <c r="A280" s="79">
        <f>AVERAGE(B280:AF280)</f>
        <v>4.4660985454574073E-2</v>
      </c>
      <c r="B280" s="80">
        <f>IF($D$61&lt;=B246,IF($E$61&gt;=B246,ABS((B248-B247)/B247),0),0)</f>
        <v>7.3542702044208817E-3</v>
      </c>
      <c r="C280" s="80">
        <f t="shared" ref="C280:AF280" si="266">IF($D$61&lt;=C246,IF($E$61&gt;=C246,ABS((C248-C247)/C247),0),0)</f>
        <v>7.3641412390936679E-3</v>
      </c>
      <c r="D280" s="80">
        <f t="shared" si="266"/>
        <v>7.3588523691517967E-3</v>
      </c>
      <c r="E280" s="80">
        <f t="shared" si="266"/>
        <v>7.3575085915081858E-3</v>
      </c>
      <c r="F280" s="80">
        <f t="shared" si="266"/>
        <v>7.3573228591722649E-3</v>
      </c>
      <c r="G280" s="80">
        <f t="shared" si="266"/>
        <v>7.3592019921333192E-3</v>
      </c>
      <c r="H280" s="80">
        <f t="shared" si="266"/>
        <v>7.379118399348389E-3</v>
      </c>
      <c r="I280" s="80">
        <f t="shared" si="266"/>
        <v>7.5763110653393785E-3</v>
      </c>
      <c r="J280" s="80">
        <f t="shared" si="266"/>
        <v>9.33589887448074E-3</v>
      </c>
      <c r="K280" s="80">
        <f t="shared" si="266"/>
        <v>1.8027371750459081E-2</v>
      </c>
      <c r="L280" s="80">
        <f t="shared" si="266"/>
        <v>3.6537135583689283E-2</v>
      </c>
      <c r="M280" s="80">
        <f t="shared" si="266"/>
        <v>4.2187025618716782E-2</v>
      </c>
      <c r="N280" s="80">
        <f t="shared" si="266"/>
        <v>4.8639623632836054E-2</v>
      </c>
      <c r="O280" s="80">
        <f t="shared" si="266"/>
        <v>5.7925617233823411E-2</v>
      </c>
      <c r="P280" s="80">
        <f t="shared" si="266"/>
        <v>6.1598924433043593E-2</v>
      </c>
      <c r="Q280" s="80">
        <f t="shared" si="266"/>
        <v>7.6332982589828305E-2</v>
      </c>
      <c r="R280" s="80">
        <f t="shared" si="266"/>
        <v>8.1788552007176579E-2</v>
      </c>
      <c r="S280" s="80">
        <f t="shared" si="266"/>
        <v>5.6904052573367739E-2</v>
      </c>
      <c r="T280" s="80">
        <f t="shared" si="266"/>
        <v>3.5787121061877217E-2</v>
      </c>
      <c r="U280" s="80">
        <f t="shared" si="266"/>
        <v>0.16539933676295832</v>
      </c>
      <c r="V280" s="80">
        <f t="shared" si="266"/>
        <v>0.19932280771517402</v>
      </c>
      <c r="W280" s="80">
        <f t="shared" si="266"/>
        <v>9.3462112880354623E-2</v>
      </c>
      <c r="X280" s="80">
        <f t="shared" si="266"/>
        <v>7.765932022030668E-2</v>
      </c>
      <c r="Y280" s="80">
        <f t="shared" si="266"/>
        <v>0.26447593943353603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2872.1397498573942</v>
      </c>
      <c r="C281" s="21">
        <f t="shared" ref="C281:AF281" si="267">(C248-C247)^2</f>
        <v>2879.9122753413681</v>
      </c>
      <c r="D281" s="21">
        <f t="shared" si="267"/>
        <v>2875.7464424380146</v>
      </c>
      <c r="E281" s="21">
        <f t="shared" si="267"/>
        <v>2874.6883750744573</v>
      </c>
      <c r="F281" s="21">
        <f t="shared" si="267"/>
        <v>2874.5409897519294</v>
      </c>
      <c r="G281" s="21">
        <f t="shared" si="267"/>
        <v>2876.0086873369874</v>
      </c>
      <c r="H281" s="21">
        <f t="shared" si="267"/>
        <v>2891.5946171420037</v>
      </c>
      <c r="I281" s="21">
        <f t="shared" si="267"/>
        <v>3048.1857863301789</v>
      </c>
      <c r="J281" s="21">
        <f t="shared" si="267"/>
        <v>4628.1998492609027</v>
      </c>
      <c r="K281" s="21">
        <f t="shared" si="267"/>
        <v>17246.712759487516</v>
      </c>
      <c r="L281" s="21">
        <f t="shared" si="267"/>
        <v>70452.451614202568</v>
      </c>
      <c r="M281" s="21">
        <f t="shared" si="267"/>
        <v>91077.883975239587</v>
      </c>
      <c r="N281" s="21">
        <f t="shared" si="267"/>
        <v>116322.54787623133</v>
      </c>
      <c r="O281" s="21">
        <f t="shared" si="267"/>
        <v>157662.07064811967</v>
      </c>
      <c r="P281" s="21">
        <f t="shared" si="267"/>
        <v>168675.12736663301</v>
      </c>
      <c r="Q281" s="21">
        <f t="shared" si="267"/>
        <v>242998.45166722173</v>
      </c>
      <c r="R281" s="21">
        <f t="shared" si="267"/>
        <v>256902.05877589455</v>
      </c>
      <c r="S281" s="21">
        <f t="shared" si="267"/>
        <v>106266.48164192153</v>
      </c>
      <c r="T281" s="21">
        <f t="shared" si="267"/>
        <v>30868.267260910288</v>
      </c>
      <c r="U281" s="21">
        <f t="shared" si="267"/>
        <v>449761.10567489208</v>
      </c>
      <c r="V281" s="21">
        <f t="shared" si="267"/>
        <v>455159.93439566181</v>
      </c>
      <c r="W281" s="21">
        <f t="shared" si="267"/>
        <v>71841.083647380554</v>
      </c>
      <c r="X281" s="21">
        <f t="shared" si="267"/>
        <v>34562.659186968129</v>
      </c>
      <c r="Y281" s="21">
        <f t="shared" si="267"/>
        <v>258672.99062856831</v>
      </c>
      <c r="Z281" s="21">
        <f t="shared" si="267"/>
        <v>385258.48263842391</v>
      </c>
      <c r="AA281" s="21">
        <f t="shared" si="267"/>
        <v>230495.49154738459</v>
      </c>
      <c r="AB281" s="21">
        <f t="shared" si="267"/>
        <v>102868.42763109705</v>
      </c>
      <c r="AC281" s="21">
        <f t="shared" si="267"/>
        <v>28997.394096169046</v>
      </c>
      <c r="AD281" s="21">
        <f t="shared" si="267"/>
        <v>3181.7607006356834</v>
      </c>
      <c r="AE281" s="21">
        <f t="shared" si="267"/>
        <v>369.53581585142894</v>
      </c>
      <c r="AF281" s="21">
        <f t="shared" si="267"/>
        <v>56.00820917075319</v>
      </c>
      <c r="AG281" s="3"/>
      <c r="AH281" s="3"/>
    </row>
    <row r="282" spans="1:34" s="3" customFormat="1" x14ac:dyDescent="0.25">
      <c r="A282" s="71">
        <f>SUM(B282:AF282)</f>
        <v>2556290.843891866</v>
      </c>
      <c r="B282" s="21">
        <f>IF($D$61&lt;=B246,IF($E$61&gt;=B246,ABS(B281),0),0)</f>
        <v>2872.1397498573942</v>
      </c>
      <c r="C282" s="21">
        <f t="shared" ref="C282:AF282" si="268">IF($D$61&lt;=C246,IF($E$61&gt;=C246,ABS(C281),0),0)</f>
        <v>2879.9122753413681</v>
      </c>
      <c r="D282" s="21">
        <f t="shared" si="268"/>
        <v>2875.7464424380146</v>
      </c>
      <c r="E282" s="21">
        <f t="shared" si="268"/>
        <v>2874.6883750744573</v>
      </c>
      <c r="F282" s="21">
        <f t="shared" si="268"/>
        <v>2874.5409897519294</v>
      </c>
      <c r="G282" s="21">
        <f t="shared" si="268"/>
        <v>2876.0086873369874</v>
      </c>
      <c r="H282" s="21">
        <f t="shared" si="268"/>
        <v>2891.5946171420037</v>
      </c>
      <c r="I282" s="21">
        <f t="shared" si="268"/>
        <v>3048.1857863301789</v>
      </c>
      <c r="J282" s="21">
        <f t="shared" si="268"/>
        <v>4628.1998492609027</v>
      </c>
      <c r="K282" s="21">
        <f t="shared" si="268"/>
        <v>17246.712759487516</v>
      </c>
      <c r="L282" s="21">
        <f t="shared" si="268"/>
        <v>70452.451614202568</v>
      </c>
      <c r="M282" s="21">
        <f t="shared" si="268"/>
        <v>91077.883975239587</v>
      </c>
      <c r="N282" s="21">
        <f t="shared" si="268"/>
        <v>116322.54787623133</v>
      </c>
      <c r="O282" s="21">
        <f t="shared" si="268"/>
        <v>157662.07064811967</v>
      </c>
      <c r="P282" s="21">
        <f t="shared" si="268"/>
        <v>168675.12736663301</v>
      </c>
      <c r="Q282" s="21">
        <f t="shared" si="268"/>
        <v>242998.45166722173</v>
      </c>
      <c r="R282" s="21">
        <f t="shared" si="268"/>
        <v>256902.05877589455</v>
      </c>
      <c r="S282" s="21">
        <f t="shared" si="268"/>
        <v>106266.48164192153</v>
      </c>
      <c r="T282" s="21">
        <f t="shared" si="268"/>
        <v>30868.267260910288</v>
      </c>
      <c r="U282" s="21">
        <f t="shared" si="268"/>
        <v>449761.10567489208</v>
      </c>
      <c r="V282" s="21">
        <f t="shared" si="268"/>
        <v>455159.93439566181</v>
      </c>
      <c r="W282" s="21">
        <f t="shared" si="268"/>
        <v>71841.083647380554</v>
      </c>
      <c r="X282" s="21">
        <f t="shared" si="268"/>
        <v>34562.659186968129</v>
      </c>
      <c r="Y282" s="21">
        <f t="shared" si="268"/>
        <v>258672.99062856831</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7233.6489560952887</v>
      </c>
      <c r="C287" s="27">
        <f t="shared" ref="C287:AF287" si="269">($C$17+SUM(C288:C318))*$B$51</f>
        <v>7233.6412789757487</v>
      </c>
      <c r="D287" s="27">
        <f t="shared" si="269"/>
        <v>7233.5645550943836</v>
      </c>
      <c r="E287" s="27">
        <f t="shared" si="269"/>
        <v>7232.8020194418468</v>
      </c>
      <c r="F287" s="27">
        <f t="shared" si="269"/>
        <v>7225.6200120224921</v>
      </c>
      <c r="G287" s="27">
        <f t="shared" si="269"/>
        <v>7180.2837915082864</v>
      </c>
      <c r="H287" s="27">
        <f t="shared" si="269"/>
        <v>7042.6125339576183</v>
      </c>
      <c r="I287" s="27">
        <f t="shared" si="269"/>
        <v>6896.7250707547</v>
      </c>
      <c r="J287" s="27">
        <f t="shared" si="269"/>
        <v>6728.1945084783001</v>
      </c>
      <c r="K287" s="27">
        <f t="shared" si="269"/>
        <v>6522.9897169458536</v>
      </c>
      <c r="L287" s="27">
        <f t="shared" si="269"/>
        <v>6323.3517095300685</v>
      </c>
      <c r="M287" s="27">
        <f t="shared" si="269"/>
        <v>6061.457412207812</v>
      </c>
      <c r="N287" s="27">
        <f t="shared" si="269"/>
        <v>5776.0106209948626</v>
      </c>
      <c r="O287" s="27">
        <f t="shared" si="269"/>
        <v>5496.5425137201855</v>
      </c>
      <c r="P287" s="27">
        <f t="shared" si="269"/>
        <v>5187.9074648972355</v>
      </c>
      <c r="Q287" s="27">
        <f t="shared" si="269"/>
        <v>4846.7033333983964</v>
      </c>
      <c r="R287" s="27">
        <f t="shared" si="269"/>
        <v>4307.1915069685456</v>
      </c>
      <c r="S287" s="27">
        <f t="shared" si="269"/>
        <v>3424.4362854026176</v>
      </c>
      <c r="T287" s="27">
        <f t="shared" si="269"/>
        <v>2457.532730099595</v>
      </c>
      <c r="U287" s="27">
        <f t="shared" si="269"/>
        <v>1610.9864926198236</v>
      </c>
      <c r="V287" s="27">
        <f t="shared" si="269"/>
        <v>942.67556252679469</v>
      </c>
      <c r="W287" s="27">
        <f t="shared" si="269"/>
        <v>510.32810635316292</v>
      </c>
      <c r="X287" s="27">
        <f t="shared" si="269"/>
        <v>271.3730924330219</v>
      </c>
      <c r="Y287" s="27">
        <f t="shared" si="269"/>
        <v>152.44360387288049</v>
      </c>
      <c r="Z287" s="27">
        <f t="shared" si="269"/>
        <v>114.50484281535955</v>
      </c>
      <c r="AA287" s="27">
        <f t="shared" si="269"/>
        <v>101.0420314548807</v>
      </c>
      <c r="AB287" s="27">
        <f t="shared" si="269"/>
        <v>93.150659285256197</v>
      </c>
      <c r="AC287" s="27">
        <f t="shared" si="269"/>
        <v>92.441323900021658</v>
      </c>
      <c r="AD287" s="27">
        <f t="shared" si="269"/>
        <v>91.488870582361344</v>
      </c>
      <c r="AE287" s="27">
        <f t="shared" si="269"/>
        <v>91.043669170234566</v>
      </c>
      <c r="AF287" s="27">
        <f t="shared" si="269"/>
        <v>90.322555177410095</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3.909126916349235E-3</v>
      </c>
      <c r="C292" s="3">
        <f t="shared" si="274"/>
        <v>3.9084654238948097E-3</v>
      </c>
      <c r="D292" s="3">
        <f t="shared" si="274"/>
        <v>3.9018566527095934E-3</v>
      </c>
      <c r="E292" s="3">
        <f t="shared" si="274"/>
        <v>3.8363804411683531E-3</v>
      </c>
      <c r="F292" s="3">
        <f t="shared" si="274"/>
        <v>3.2391066564455553E-3</v>
      </c>
      <c r="G292" s="3">
        <f t="shared" si="274"/>
        <v>5.9629484181803578E-4</v>
      </c>
      <c r="H292" s="3">
        <f t="shared" si="274"/>
        <v>2.6657480010317224E-11</v>
      </c>
      <c r="I292" s="3">
        <f t="shared" si="274"/>
        <v>8.4996195916479905E-85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2.329545720587934E-2</v>
      </c>
      <c r="C293" s="3">
        <f t="shared" si="275"/>
        <v>2.329510157752018E-2</v>
      </c>
      <c r="D293" s="3">
        <f t="shared" si="275"/>
        <v>2.3291545592511072E-2</v>
      </c>
      <c r="E293" s="3">
        <f t="shared" si="275"/>
        <v>2.3256015583810387E-2</v>
      </c>
      <c r="F293" s="3">
        <f t="shared" si="275"/>
        <v>2.2903682848660206E-2</v>
      </c>
      <c r="G293" s="3">
        <f t="shared" si="275"/>
        <v>1.9660992453969937E-2</v>
      </c>
      <c r="H293" s="3">
        <f t="shared" si="275"/>
        <v>4.2717574798536847E-3</v>
      </c>
      <c r="I293" s="3">
        <f t="shared" si="275"/>
        <v>1.0014242619226723E-9</v>
      </c>
      <c r="J293" s="3">
        <f t="shared" si="275"/>
        <v>5.0203421177424871E-76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1.9365603205181273E-2</v>
      </c>
      <c r="C294" s="3">
        <f t="shared" si="276"/>
        <v>1.9365576536239486E-2</v>
      </c>
      <c r="D294" s="3">
        <f t="shared" si="276"/>
        <v>1.9365309848841564E-2</v>
      </c>
      <c r="E294" s="3">
        <f t="shared" si="276"/>
        <v>1.9362643176847438E-2</v>
      </c>
      <c r="F294" s="3">
        <f t="shared" si="276"/>
        <v>1.9335996645126693E-2</v>
      </c>
      <c r="G294" s="3">
        <f t="shared" si="276"/>
        <v>1.9071539901083297E-2</v>
      </c>
      <c r="H294" s="3">
        <f t="shared" si="276"/>
        <v>1.6617961526762932E-2</v>
      </c>
      <c r="I294" s="3">
        <f t="shared" si="276"/>
        <v>4.1927371070326442E-3</v>
      </c>
      <c r="J294" s="3">
        <f t="shared" si="276"/>
        <v>4.3822430575397634E-9</v>
      </c>
      <c r="K294" s="3">
        <f t="shared" si="276"/>
        <v>6.8184358240324336E-69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2.4448597084633865E-2</v>
      </c>
      <c r="C295" s="3">
        <f t="shared" si="277"/>
        <v>2.4448594047418691E-2</v>
      </c>
      <c r="D295" s="3">
        <f t="shared" si="277"/>
        <v>2.4448563675287721E-2</v>
      </c>
      <c r="E295" s="3">
        <f t="shared" si="277"/>
        <v>2.4448259956053191E-2</v>
      </c>
      <c r="F295" s="3">
        <f t="shared" si="277"/>
        <v>2.4445222971217293E-2</v>
      </c>
      <c r="G295" s="3">
        <f t="shared" si="277"/>
        <v>2.44148738642621E-2</v>
      </c>
      <c r="H295" s="3">
        <f t="shared" si="277"/>
        <v>2.4113447432986018E-2</v>
      </c>
      <c r="I295" s="3">
        <f t="shared" si="277"/>
        <v>2.1296464103098836E-2</v>
      </c>
      <c r="J295" s="3">
        <f t="shared" si="277"/>
        <v>6.1487874619506637E-3</v>
      </c>
      <c r="K295" s="3">
        <f t="shared" si="277"/>
        <v>2.4751941565798759E-8</v>
      </c>
      <c r="L295" s="3">
        <f t="shared" si="277"/>
        <v>2.7657133522451782E-62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3.2100597343114975E-2</v>
      </c>
      <c r="C296" s="3">
        <f t="shared" si="278"/>
        <v>3.2100596983381094E-2</v>
      </c>
      <c r="D296" s="3">
        <f t="shared" si="278"/>
        <v>3.2100593386042472E-2</v>
      </c>
      <c r="E296" s="3">
        <f t="shared" si="278"/>
        <v>3.2100557412678449E-2</v>
      </c>
      <c r="F296" s="3">
        <f t="shared" si="278"/>
        <v>3.2100197681255487E-2</v>
      </c>
      <c r="G296" s="3">
        <f t="shared" si="278"/>
        <v>3.2096600588739421E-2</v>
      </c>
      <c r="H296" s="3">
        <f t="shared" si="278"/>
        <v>3.2060651825744996E-2</v>
      </c>
      <c r="I296" s="3">
        <f t="shared" si="278"/>
        <v>3.170337125060859E-2</v>
      </c>
      <c r="J296" s="3">
        <f t="shared" si="278"/>
        <v>2.8342387569013913E-2</v>
      </c>
      <c r="K296" s="3">
        <f t="shared" si="278"/>
        <v>9.2415814173862059E-3</v>
      </c>
      <c r="L296" s="3">
        <f t="shared" si="278"/>
        <v>1.2555815007673799E-7</v>
      </c>
      <c r="M296" s="3">
        <f t="shared" si="278"/>
        <v>2.6904879565177727E-56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2.4137735604935661E-2</v>
      </c>
      <c r="C297" s="3">
        <f t="shared" si="279"/>
        <v>2.4137735580534451E-2</v>
      </c>
      <c r="D297" s="3">
        <f t="shared" si="279"/>
        <v>2.4137735336522359E-2</v>
      </c>
      <c r="E297" s="3">
        <f t="shared" si="279"/>
        <v>2.4137732896401566E-2</v>
      </c>
      <c r="F297" s="3">
        <f t="shared" si="279"/>
        <v>2.4137708495207227E-2</v>
      </c>
      <c r="G297" s="3">
        <f t="shared" si="279"/>
        <v>2.4137464484620539E-2</v>
      </c>
      <c r="H297" s="3">
        <f t="shared" si="279"/>
        <v>2.4135024514419599E-2</v>
      </c>
      <c r="I297" s="3">
        <f t="shared" si="279"/>
        <v>2.4110638373930821E-2</v>
      </c>
      <c r="J297" s="3">
        <f t="shared" si="279"/>
        <v>2.3868128062261032E-2</v>
      </c>
      <c r="K297" s="3">
        <f t="shared" si="279"/>
        <v>2.1573214417586778E-2</v>
      </c>
      <c r="L297" s="3">
        <f t="shared" si="279"/>
        <v>7.8501845424144515E-3</v>
      </c>
      <c r="M297" s="3">
        <f t="shared" si="279"/>
        <v>3.1954345696133587E-7</v>
      </c>
      <c r="N297" s="3">
        <f t="shared" si="279"/>
        <v>3.9905298082657636E-51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4.5517611487172684E-2</v>
      </c>
      <c r="C298" s="3">
        <f t="shared" si="280"/>
        <v>4.5517611483021796E-2</v>
      </c>
      <c r="D298" s="3">
        <f t="shared" si="280"/>
        <v>4.551761144151293E-2</v>
      </c>
      <c r="E298" s="3">
        <f t="shared" si="280"/>
        <v>4.5517611026424258E-2</v>
      </c>
      <c r="F298" s="3">
        <f t="shared" si="280"/>
        <v>4.5517606875537762E-2</v>
      </c>
      <c r="G298" s="3">
        <f t="shared" si="280"/>
        <v>4.5517565366693671E-2</v>
      </c>
      <c r="H298" s="3">
        <f t="shared" si="280"/>
        <v>4.5517150280334609E-2</v>
      </c>
      <c r="I298" s="3">
        <f t="shared" si="280"/>
        <v>4.5512999624928677E-2</v>
      </c>
      <c r="J298" s="3">
        <f t="shared" si="280"/>
        <v>4.5471513882311729E-2</v>
      </c>
      <c r="K298" s="3">
        <f t="shared" si="280"/>
        <v>4.505873059540192E-2</v>
      </c>
      <c r="L298" s="3">
        <f t="shared" si="280"/>
        <v>4.1131480664756401E-2</v>
      </c>
      <c r="M298" s="3">
        <f t="shared" si="280"/>
        <v>1.6524497250093983E-2</v>
      </c>
      <c r="N298" s="3">
        <f t="shared" si="280"/>
        <v>1.8099533025069512E-6</v>
      </c>
      <c r="O298" s="3">
        <f t="shared" si="280"/>
        <v>4.4984046451372292E-46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3.7438549849998955E-2</v>
      </c>
      <c r="C299" s="3">
        <f t="shared" si="281"/>
        <v>3.7438549849690979E-2</v>
      </c>
      <c r="D299" s="3">
        <f t="shared" si="281"/>
        <v>3.7438549846611137E-2</v>
      </c>
      <c r="E299" s="3">
        <f t="shared" si="281"/>
        <v>3.7438549815812822E-2</v>
      </c>
      <c r="F299" s="3">
        <f t="shared" si="281"/>
        <v>3.7438549507829627E-2</v>
      </c>
      <c r="G299" s="3">
        <f t="shared" si="281"/>
        <v>3.7438546427997786E-2</v>
      </c>
      <c r="H299" s="3">
        <f t="shared" si="281"/>
        <v>3.7438515629693317E-2</v>
      </c>
      <c r="I299" s="3">
        <f t="shared" si="281"/>
        <v>3.7438207648042079E-2</v>
      </c>
      <c r="J299" s="3">
        <f t="shared" si="281"/>
        <v>3.7435127970872062E-2</v>
      </c>
      <c r="K299" s="3">
        <f t="shared" si="281"/>
        <v>3.7404345129163574E-2</v>
      </c>
      <c r="L299" s="3">
        <f t="shared" si="281"/>
        <v>3.70979054806111E-2</v>
      </c>
      <c r="M299" s="3">
        <f t="shared" si="281"/>
        <v>3.4168250185304831E-2</v>
      </c>
      <c r="N299" s="3">
        <f t="shared" si="281"/>
        <v>1.5009154174258615E-2</v>
      </c>
      <c r="O299" s="3">
        <f t="shared" si="281"/>
        <v>4.0150505893693751E-6</v>
      </c>
      <c r="P299" s="3">
        <f t="shared" si="281"/>
        <v>7.5342330889804884E-42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4.1083418704931311E-2</v>
      </c>
      <c r="C300" s="3">
        <f t="shared" si="282"/>
        <v>4.1083418704900822E-2</v>
      </c>
      <c r="D300" s="3">
        <f t="shared" si="282"/>
        <v>4.1083418704595948E-2</v>
      </c>
      <c r="E300" s="3">
        <f t="shared" si="282"/>
        <v>4.1083418701547206E-2</v>
      </c>
      <c r="F300" s="3">
        <f t="shared" si="282"/>
        <v>4.1083418671059746E-2</v>
      </c>
      <c r="G300" s="3">
        <f t="shared" si="282"/>
        <v>4.1083418366185197E-2</v>
      </c>
      <c r="H300" s="3">
        <f t="shared" si="282"/>
        <v>4.1083415317439823E-2</v>
      </c>
      <c r="I300" s="3">
        <f t="shared" si="282"/>
        <v>4.108338482999848E-2</v>
      </c>
      <c r="J300" s="3">
        <f t="shared" si="282"/>
        <v>4.1083079956829416E-2</v>
      </c>
      <c r="K300" s="3">
        <f t="shared" si="282"/>
        <v>4.1080031349568821E-2</v>
      </c>
      <c r="L300" s="3">
        <f t="shared" si="282"/>
        <v>4.1049557716550278E-2</v>
      </c>
      <c r="M300" s="3">
        <f t="shared" si="282"/>
        <v>4.0746061936311612E-2</v>
      </c>
      <c r="N300" s="3">
        <f t="shared" si="282"/>
        <v>3.7831819483639798E-2</v>
      </c>
      <c r="O300" s="3">
        <f t="shared" si="282"/>
        <v>1.801246318881513E-2</v>
      </c>
      <c r="P300" s="3">
        <f t="shared" si="282"/>
        <v>1.0782808231263286E-5</v>
      </c>
      <c r="Q300" s="3">
        <f t="shared" si="282"/>
        <v>6.3726436452116644E-38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4.6249511553515935E-2</v>
      </c>
      <c r="C301" s="3">
        <f t="shared" si="283"/>
        <v>4.624951155351284E-2</v>
      </c>
      <c r="D301" s="3">
        <f t="shared" si="283"/>
        <v>4.6249511553481878E-2</v>
      </c>
      <c r="E301" s="3">
        <f t="shared" si="283"/>
        <v>4.6249511553172272E-2</v>
      </c>
      <c r="F301" s="3">
        <f t="shared" si="283"/>
        <v>4.6249511550076228E-2</v>
      </c>
      <c r="G301" s="3">
        <f t="shared" si="283"/>
        <v>4.6249511519115702E-2</v>
      </c>
      <c r="H301" s="3">
        <f t="shared" si="283"/>
        <v>4.624951120951043E-2</v>
      </c>
      <c r="I301" s="3">
        <f t="shared" si="283"/>
        <v>4.6249508113457891E-2</v>
      </c>
      <c r="J301" s="3">
        <f t="shared" si="283"/>
        <v>4.6249477152943849E-2</v>
      </c>
      <c r="K301" s="3">
        <f t="shared" si="283"/>
        <v>4.6249167548943364E-2</v>
      </c>
      <c r="L301" s="3">
        <f t="shared" si="283"/>
        <v>4.624607162292687E-2</v>
      </c>
      <c r="M301" s="3">
        <f t="shared" si="283"/>
        <v>4.6215123758768788E-2</v>
      </c>
      <c r="N301" s="3">
        <f t="shared" si="283"/>
        <v>4.5906781900287283E-2</v>
      </c>
      <c r="O301" s="3">
        <f t="shared" si="283"/>
        <v>4.2934275671440411E-2</v>
      </c>
      <c r="P301" s="3">
        <f t="shared" si="283"/>
        <v>2.1982498416220408E-2</v>
      </c>
      <c r="Q301" s="3">
        <f t="shared" si="283"/>
        <v>2.7214862925322253E-5</v>
      </c>
      <c r="R301" s="3">
        <f t="shared" si="283"/>
        <v>2.30195674127913E-34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4.2148935673183327E-2</v>
      </c>
      <c r="C302" s="3">
        <f t="shared" si="284"/>
        <v>4.2148935673183077E-2</v>
      </c>
      <c r="D302" s="3">
        <f t="shared" si="284"/>
        <v>4.2148935673180531E-2</v>
      </c>
      <c r="E302" s="3">
        <f t="shared" si="284"/>
        <v>4.2148935673155072E-2</v>
      </c>
      <c r="F302" s="3">
        <f t="shared" si="284"/>
        <v>4.2148935672900546E-2</v>
      </c>
      <c r="G302" s="3">
        <f t="shared" si="284"/>
        <v>4.2148935670355277E-2</v>
      </c>
      <c r="H302" s="3">
        <f t="shared" si="284"/>
        <v>4.214893564490254E-2</v>
      </c>
      <c r="I302" s="3">
        <f t="shared" si="284"/>
        <v>4.2148935390375231E-2</v>
      </c>
      <c r="J302" s="3">
        <f t="shared" si="284"/>
        <v>4.214893284510219E-2</v>
      </c>
      <c r="K302" s="3">
        <f t="shared" si="284"/>
        <v>4.2148907392380253E-2</v>
      </c>
      <c r="L302" s="3">
        <f t="shared" si="284"/>
        <v>4.2148652866006227E-2</v>
      </c>
      <c r="M302" s="3">
        <f t="shared" si="284"/>
        <v>4.2146107686800521E-2</v>
      </c>
      <c r="N302" s="3">
        <f t="shared" si="284"/>
        <v>4.2120664346306791E-2</v>
      </c>
      <c r="O302" s="3">
        <f t="shared" si="284"/>
        <v>4.1867074212382067E-2</v>
      </c>
      <c r="P302" s="3">
        <f t="shared" si="284"/>
        <v>3.9413645866921712E-2</v>
      </c>
      <c r="Q302" s="3">
        <f t="shared" si="284"/>
        <v>2.1546988944796886E-2</v>
      </c>
      <c r="R302" s="3">
        <f t="shared" si="284"/>
        <v>5.1379086215579398E-5</v>
      </c>
      <c r="S302" s="3">
        <f t="shared" si="284"/>
        <v>3.0534038423056227E-31</v>
      </c>
      <c r="T302" s="3">
        <f t="shared" si="284"/>
        <v>1.6778879892241267E-293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0.11274262500279236</v>
      </c>
      <c r="C303" s="3">
        <f t="shared" si="285"/>
        <v>0.11274262500279231</v>
      </c>
      <c r="D303" s="3">
        <f t="shared" si="285"/>
        <v>0.11274262500279168</v>
      </c>
      <c r="E303" s="3">
        <f t="shared" si="285"/>
        <v>0.11274262500278555</v>
      </c>
      <c r="F303" s="3">
        <f t="shared" si="285"/>
        <v>0.11274262500272414</v>
      </c>
      <c r="G303" s="3">
        <f t="shared" si="285"/>
        <v>0.11274262500210998</v>
      </c>
      <c r="H303" s="3">
        <f t="shared" si="285"/>
        <v>0.11274262499596836</v>
      </c>
      <c r="I303" s="3">
        <f t="shared" si="285"/>
        <v>0.11274262493455221</v>
      </c>
      <c r="J303" s="3">
        <f t="shared" si="285"/>
        <v>0.11274262432039084</v>
      </c>
      <c r="K303" s="3">
        <f t="shared" si="285"/>
        <v>0.11274261817877708</v>
      </c>
      <c r="L303" s="3">
        <f t="shared" si="285"/>
        <v>0.11274255676265803</v>
      </c>
      <c r="M303" s="3">
        <f t="shared" si="285"/>
        <v>0.11274194260330751</v>
      </c>
      <c r="N303" s="3">
        <f t="shared" si="285"/>
        <v>0.11273580119380754</v>
      </c>
      <c r="O303" s="3">
        <f t="shared" si="285"/>
        <v>0.11267440549560914</v>
      </c>
      <c r="P303" s="3">
        <f t="shared" si="285"/>
        <v>0.11206228449116679</v>
      </c>
      <c r="Q303" s="3">
        <f t="shared" si="285"/>
        <v>0.10612102497760967</v>
      </c>
      <c r="R303" s="3">
        <f t="shared" si="285"/>
        <v>6.1549011000269688E-2</v>
      </c>
      <c r="S303" s="3">
        <f t="shared" si="285"/>
        <v>2.6510474897889686E-4</v>
      </c>
      <c r="T303" s="3">
        <f t="shared" si="285"/>
        <v>5.8261517830907028E-28</v>
      </c>
      <c r="U303" s="3">
        <f t="shared" si="285"/>
        <v>1.5311744225629766E-264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0.14424606622338945</v>
      </c>
      <c r="C304" s="3">
        <f t="shared" si="286"/>
        <v>0.14424606622338945</v>
      </c>
      <c r="D304" s="3">
        <f t="shared" si="286"/>
        <v>0.14424606622338937</v>
      </c>
      <c r="E304" s="3">
        <f t="shared" si="286"/>
        <v>0.14424606622338867</v>
      </c>
      <c r="F304" s="3">
        <f t="shared" si="286"/>
        <v>0.14424606622338157</v>
      </c>
      <c r="G304" s="3">
        <f t="shared" si="286"/>
        <v>0.14424606622331068</v>
      </c>
      <c r="H304" s="3">
        <f t="shared" si="286"/>
        <v>0.14424606622260186</v>
      </c>
      <c r="I304" s="3">
        <f t="shared" si="286"/>
        <v>0.1442460662155135</v>
      </c>
      <c r="J304" s="3">
        <f t="shared" si="286"/>
        <v>0.14424606614463004</v>
      </c>
      <c r="K304" s="3">
        <f t="shared" si="286"/>
        <v>0.14424606543579538</v>
      </c>
      <c r="L304" s="3">
        <f t="shared" si="286"/>
        <v>0.14424605834744908</v>
      </c>
      <c r="M304" s="3">
        <f t="shared" si="286"/>
        <v>0.14424598746400508</v>
      </c>
      <c r="N304" s="3">
        <f t="shared" si="286"/>
        <v>0.14424527863148071</v>
      </c>
      <c r="O304" s="3">
        <f t="shared" si="286"/>
        <v>0.14423819049781242</v>
      </c>
      <c r="P304" s="3">
        <f t="shared" si="286"/>
        <v>0.14416732831519052</v>
      </c>
      <c r="Q304" s="3">
        <f t="shared" si="286"/>
        <v>0.14346061841701299</v>
      </c>
      <c r="R304" s="3">
        <f t="shared" si="286"/>
        <v>0.13658128118429411</v>
      </c>
      <c r="S304" s="3">
        <f t="shared" si="286"/>
        <v>8.3555687802596354E-2</v>
      </c>
      <c r="T304" s="3">
        <f t="shared" si="286"/>
        <v>6.1351386414120845E-4</v>
      </c>
      <c r="U304" s="3">
        <f t="shared" si="286"/>
        <v>2.7945250652031157E-25</v>
      </c>
      <c r="V304" s="3">
        <f t="shared" si="286"/>
        <v>1.0743462922099135E-238</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0.12974045708141974</v>
      </c>
      <c r="C305" s="3">
        <f t="shared" si="287"/>
        <v>0.12974045708141974</v>
      </c>
      <c r="D305" s="3">
        <f t="shared" si="287"/>
        <v>0.12974045708141974</v>
      </c>
      <c r="E305" s="3">
        <f t="shared" si="287"/>
        <v>0.12974045708141968</v>
      </c>
      <c r="F305" s="3">
        <f t="shared" si="287"/>
        <v>0.1297404570814191</v>
      </c>
      <c r="G305" s="3">
        <f t="shared" si="287"/>
        <v>0.12974045708141335</v>
      </c>
      <c r="H305" s="3">
        <f t="shared" si="287"/>
        <v>0.12974045708135584</v>
      </c>
      <c r="I305" s="3">
        <f t="shared" si="287"/>
        <v>0.12974045708078072</v>
      </c>
      <c r="J305" s="3">
        <f t="shared" si="287"/>
        <v>0.12974045707502946</v>
      </c>
      <c r="K305" s="3">
        <f t="shared" si="287"/>
        <v>0.12974045701751685</v>
      </c>
      <c r="L305" s="3">
        <f t="shared" si="287"/>
        <v>0.12974045644239088</v>
      </c>
      <c r="M305" s="3">
        <f t="shared" si="287"/>
        <v>0.12974045069113135</v>
      </c>
      <c r="N305" s="3">
        <f t="shared" si="287"/>
        <v>0.12974039317855013</v>
      </c>
      <c r="O305" s="3">
        <f t="shared" si="287"/>
        <v>0.12973981805414014</v>
      </c>
      <c r="P305" s="3">
        <f t="shared" si="287"/>
        <v>0.12973406695025877</v>
      </c>
      <c r="Q305" s="3">
        <f t="shared" si="287"/>
        <v>0.12967656993099502</v>
      </c>
      <c r="R305" s="3">
        <f t="shared" si="287"/>
        <v>0.12910299939664374</v>
      </c>
      <c r="S305" s="3">
        <f t="shared" si="287"/>
        <v>0.12350499116852663</v>
      </c>
      <c r="T305" s="3">
        <f t="shared" si="287"/>
        <v>7.928048108606528E-2</v>
      </c>
      <c r="U305" s="3">
        <f t="shared" si="287"/>
        <v>9.4185480077303132E-4</v>
      </c>
      <c r="V305" s="3">
        <f t="shared" si="287"/>
        <v>5.2742504075322414E-23</v>
      </c>
      <c r="W305" s="3">
        <f t="shared" si="287"/>
        <v>1.5992952167615593E-215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0.10714973449748261</v>
      </c>
      <c r="C306" s="3">
        <f t="shared" si="288"/>
        <v>0.10714973449748261</v>
      </c>
      <c r="D306" s="3">
        <f t="shared" si="288"/>
        <v>0.10714973449748261</v>
      </c>
      <c r="E306" s="3">
        <f t="shared" si="288"/>
        <v>0.10714973449748261</v>
      </c>
      <c r="F306" s="3">
        <f t="shared" si="288"/>
        <v>0.10714973449748257</v>
      </c>
      <c r="G306" s="3">
        <f t="shared" si="288"/>
        <v>0.10714973449748214</v>
      </c>
      <c r="H306" s="3">
        <f t="shared" si="288"/>
        <v>0.10714973449747785</v>
      </c>
      <c r="I306" s="3">
        <f t="shared" si="288"/>
        <v>0.10714973449743499</v>
      </c>
      <c r="J306" s="3">
        <f t="shared" si="288"/>
        <v>0.10714973449700653</v>
      </c>
      <c r="K306" s="3">
        <f t="shared" si="288"/>
        <v>0.10714973449272178</v>
      </c>
      <c r="L306" s="3">
        <f t="shared" si="288"/>
        <v>0.1071497344498743</v>
      </c>
      <c r="M306" s="3">
        <f t="shared" si="288"/>
        <v>0.10714973402139955</v>
      </c>
      <c r="N306" s="3">
        <f t="shared" si="288"/>
        <v>0.10714972973665204</v>
      </c>
      <c r="O306" s="3">
        <f t="shared" si="288"/>
        <v>0.10714968688918655</v>
      </c>
      <c r="P306" s="3">
        <f t="shared" si="288"/>
        <v>0.10714925841547404</v>
      </c>
      <c r="Q306" s="3">
        <f t="shared" si="288"/>
        <v>0.10714497377258443</v>
      </c>
      <c r="R306" s="3">
        <f t="shared" si="288"/>
        <v>0.10710213676585277</v>
      </c>
      <c r="S306" s="3">
        <f t="shared" si="288"/>
        <v>0.10667470752240218</v>
      </c>
      <c r="T306" s="3">
        <f t="shared" si="288"/>
        <v>0.10249312022260414</v>
      </c>
      <c r="U306" s="3">
        <f t="shared" si="288"/>
        <v>6.8711155704821322E-2</v>
      </c>
      <c r="V306" s="3">
        <f t="shared" si="288"/>
        <v>1.2599480536768166E-3</v>
      </c>
      <c r="W306" s="3">
        <f t="shared" si="288"/>
        <v>5.4151003172966484E-21</v>
      </c>
      <c r="X306" s="3">
        <f t="shared" si="288"/>
        <v>1.1645152283213549E-194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7.4657991153057213E-2</v>
      </c>
      <c r="C307" s="3">
        <f t="shared" si="289"/>
        <v>7.4657991153057213E-2</v>
      </c>
      <c r="D307" s="3">
        <f t="shared" si="289"/>
        <v>7.4657991153057213E-2</v>
      </c>
      <c r="E307" s="3">
        <f t="shared" si="289"/>
        <v>7.4657991153057213E-2</v>
      </c>
      <c r="F307" s="3">
        <f t="shared" si="289"/>
        <v>7.4657991153057213E-2</v>
      </c>
      <c r="G307" s="3">
        <f t="shared" si="289"/>
        <v>7.4657991153057185E-2</v>
      </c>
      <c r="H307" s="3">
        <f t="shared" si="289"/>
        <v>7.4657991153056907E-2</v>
      </c>
      <c r="I307" s="3">
        <f t="shared" si="289"/>
        <v>7.4657991153054215E-2</v>
      </c>
      <c r="J307" s="3">
        <f t="shared" si="289"/>
        <v>7.4657991153027292E-2</v>
      </c>
      <c r="K307" s="3">
        <f t="shared" si="289"/>
        <v>7.465799115275798E-2</v>
      </c>
      <c r="L307" s="3">
        <f t="shared" si="289"/>
        <v>7.4657991150064856E-2</v>
      </c>
      <c r="M307" s="3">
        <f t="shared" si="289"/>
        <v>7.4657991123133566E-2</v>
      </c>
      <c r="N307" s="3">
        <f t="shared" si="289"/>
        <v>7.4657990853820744E-2</v>
      </c>
      <c r="O307" s="3">
        <f t="shared" si="289"/>
        <v>7.4657988160692551E-2</v>
      </c>
      <c r="P307" s="3">
        <f t="shared" si="289"/>
        <v>7.4657961229415981E-2</v>
      </c>
      <c r="Q307" s="3">
        <f t="shared" si="289"/>
        <v>7.4657691917184701E-2</v>
      </c>
      <c r="R307" s="3">
        <f t="shared" si="289"/>
        <v>7.4654998848302817E-2</v>
      </c>
      <c r="S307" s="3">
        <f t="shared" si="289"/>
        <v>7.4628073501879819E-2</v>
      </c>
      <c r="T307" s="3">
        <f t="shared" si="289"/>
        <v>7.4359353564865116E-2</v>
      </c>
      <c r="U307" s="3">
        <f t="shared" si="289"/>
        <v>7.1724801638222618E-2</v>
      </c>
      <c r="V307" s="3">
        <f t="shared" si="289"/>
        <v>5.000424311170127E-2</v>
      </c>
      <c r="W307" s="3">
        <f t="shared" si="289"/>
        <v>1.3563815675293972E-3</v>
      </c>
      <c r="X307" s="3">
        <f t="shared" si="289"/>
        <v>2.925041908839558E-19</v>
      </c>
      <c r="Y307" s="3">
        <f t="shared" si="289"/>
        <v>6.3625942436013978E-176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2.5780107678568913E-2</v>
      </c>
      <c r="C308" s="3">
        <f t="shared" si="290"/>
        <v>2.5780107678568913E-2</v>
      </c>
      <c r="D308" s="3">
        <f t="shared" si="290"/>
        <v>2.5780107678568913E-2</v>
      </c>
      <c r="E308" s="3">
        <f t="shared" si="290"/>
        <v>2.5780107678568913E-2</v>
      </c>
      <c r="F308" s="3">
        <f t="shared" si="290"/>
        <v>2.5780107678568913E-2</v>
      </c>
      <c r="G308" s="3">
        <f t="shared" si="290"/>
        <v>2.5780107678568913E-2</v>
      </c>
      <c r="H308" s="3">
        <f t="shared" si="290"/>
        <v>2.5780107678568906E-2</v>
      </c>
      <c r="I308" s="3">
        <f t="shared" si="290"/>
        <v>2.5780107678568819E-2</v>
      </c>
      <c r="J308" s="3">
        <f t="shared" si="290"/>
        <v>2.578010767856798E-2</v>
      </c>
      <c r="K308" s="3">
        <f t="shared" si="290"/>
        <v>2.578010767855959E-2</v>
      </c>
      <c r="L308" s="3">
        <f t="shared" si="290"/>
        <v>2.5780107678475699E-2</v>
      </c>
      <c r="M308" s="3">
        <f t="shared" si="290"/>
        <v>2.5780107677636797E-2</v>
      </c>
      <c r="N308" s="3">
        <f t="shared" si="290"/>
        <v>2.5780107669247761E-2</v>
      </c>
      <c r="O308" s="3">
        <f t="shared" si="290"/>
        <v>2.5780107585357405E-2</v>
      </c>
      <c r="P308" s="3">
        <f t="shared" si="290"/>
        <v>2.578010674645383E-2</v>
      </c>
      <c r="Q308" s="3">
        <f t="shared" si="290"/>
        <v>2.5780098357419588E-2</v>
      </c>
      <c r="R308" s="3">
        <f t="shared" si="290"/>
        <v>2.5780014467227327E-2</v>
      </c>
      <c r="S308" s="3">
        <f t="shared" si="290"/>
        <v>2.5779175580318683E-2</v>
      </c>
      <c r="T308" s="3">
        <f t="shared" si="290"/>
        <v>2.5770788212451018E-2</v>
      </c>
      <c r="U308" s="3">
        <f t="shared" si="290"/>
        <v>2.5687064475055775E-2</v>
      </c>
      <c r="V308" s="3">
        <f t="shared" si="290"/>
        <v>2.4864642259473758E-2</v>
      </c>
      <c r="W308" s="3">
        <f t="shared" si="290"/>
        <v>1.7958067889540141E-2</v>
      </c>
      <c r="X308" s="3">
        <f t="shared" si="290"/>
        <v>6.9347937271166122E-4</v>
      </c>
      <c r="Y308" s="3">
        <f t="shared" si="290"/>
        <v>5.114143781750815E-18</v>
      </c>
      <c r="Z308" s="3">
        <f t="shared" si="290"/>
        <v>2.4331383033293382E-159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2.4060337070104312E-2</v>
      </c>
      <c r="C309" s="3">
        <f t="shared" si="291"/>
        <v>2.4060337070104312E-2</v>
      </c>
      <c r="D309" s="3">
        <f t="shared" si="291"/>
        <v>2.4060337070104312E-2</v>
      </c>
      <c r="E309" s="3">
        <f t="shared" si="291"/>
        <v>2.4060337070104312E-2</v>
      </c>
      <c r="F309" s="3">
        <f t="shared" si="291"/>
        <v>2.4060337070104312E-2</v>
      </c>
      <c r="G309" s="3">
        <f t="shared" si="291"/>
        <v>2.4060337070104312E-2</v>
      </c>
      <c r="H309" s="3">
        <f t="shared" si="291"/>
        <v>2.4060337070104309E-2</v>
      </c>
      <c r="I309" s="3">
        <f t="shared" si="291"/>
        <v>2.4060337070104288E-2</v>
      </c>
      <c r="J309" s="3">
        <f t="shared" si="291"/>
        <v>2.4060337070104073E-2</v>
      </c>
      <c r="K309" s="3">
        <f t="shared" si="291"/>
        <v>2.4060337070101905E-2</v>
      </c>
      <c r="L309" s="3">
        <f t="shared" si="291"/>
        <v>2.4060337070080252E-2</v>
      </c>
      <c r="M309" s="3">
        <f t="shared" si="291"/>
        <v>2.406033706986371E-2</v>
      </c>
      <c r="N309" s="3">
        <f t="shared" si="291"/>
        <v>2.4060337067698293E-2</v>
      </c>
      <c r="O309" s="3">
        <f t="shared" si="291"/>
        <v>2.4060337046044104E-2</v>
      </c>
      <c r="P309" s="3">
        <f t="shared" si="291"/>
        <v>2.4060336829502229E-2</v>
      </c>
      <c r="Q309" s="3">
        <f t="shared" si="291"/>
        <v>2.4060334664083586E-2</v>
      </c>
      <c r="R309" s="3">
        <f t="shared" si="291"/>
        <v>2.4060313009907873E-2</v>
      </c>
      <c r="S309" s="3">
        <f t="shared" si="291"/>
        <v>2.4060096469222619E-2</v>
      </c>
      <c r="T309" s="3">
        <f t="shared" si="291"/>
        <v>2.4057931169553789E-2</v>
      </c>
      <c r="U309" s="3">
        <f t="shared" si="291"/>
        <v>2.4036288887666148E-2</v>
      </c>
      <c r="V309" s="3">
        <f t="shared" si="291"/>
        <v>2.3820933989419701E-2</v>
      </c>
      <c r="W309" s="3">
        <f t="shared" si="291"/>
        <v>2.1770704907890511E-2</v>
      </c>
      <c r="X309" s="3">
        <f t="shared" si="291"/>
        <v>8.8513506655355425E-3</v>
      </c>
      <c r="Y309" s="3">
        <f t="shared" si="291"/>
        <v>1.0923959993667135E-6</v>
      </c>
      <c r="Z309" s="3">
        <f t="shared" si="291"/>
        <v>8.9554135244598344E-46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1.2267955807966149E-2</v>
      </c>
      <c r="C310" s="3">
        <f t="shared" si="292"/>
        <v>1.2267955807966149E-2</v>
      </c>
      <c r="D310" s="3">
        <f t="shared" si="292"/>
        <v>1.2267955807966149E-2</v>
      </c>
      <c r="E310" s="3">
        <f t="shared" si="292"/>
        <v>1.2267955807966149E-2</v>
      </c>
      <c r="F310" s="3">
        <f t="shared" si="292"/>
        <v>1.2267955807966149E-2</v>
      </c>
      <c r="G310" s="3">
        <f t="shared" si="292"/>
        <v>1.2267955807966149E-2</v>
      </c>
      <c r="H310" s="3">
        <f t="shared" si="292"/>
        <v>1.2267955807966149E-2</v>
      </c>
      <c r="I310" s="3">
        <f t="shared" si="292"/>
        <v>1.2267955807966148E-2</v>
      </c>
      <c r="J310" s="3">
        <f t="shared" si="292"/>
        <v>1.2267955807966137E-2</v>
      </c>
      <c r="K310" s="3">
        <f t="shared" si="292"/>
        <v>1.2267955807966026E-2</v>
      </c>
      <c r="L310" s="3">
        <f t="shared" si="292"/>
        <v>1.2267955807964923E-2</v>
      </c>
      <c r="M310" s="3">
        <f t="shared" si="292"/>
        <v>1.2267955807953881E-2</v>
      </c>
      <c r="N310" s="3">
        <f t="shared" si="292"/>
        <v>1.226795580784347E-2</v>
      </c>
      <c r="O310" s="3">
        <f t="shared" si="292"/>
        <v>1.226795580673936E-2</v>
      </c>
      <c r="P310" s="3">
        <f t="shared" si="292"/>
        <v>1.226795579569826E-2</v>
      </c>
      <c r="Q310" s="3">
        <f t="shared" si="292"/>
        <v>1.2267955685287248E-2</v>
      </c>
      <c r="R310" s="3">
        <f t="shared" si="292"/>
        <v>1.2267954581177187E-2</v>
      </c>
      <c r="S310" s="3">
        <f t="shared" si="292"/>
        <v>1.2267943540082047E-2</v>
      </c>
      <c r="T310" s="3">
        <f t="shared" si="292"/>
        <v>1.2267833129677172E-2</v>
      </c>
      <c r="U310" s="3">
        <f t="shared" si="292"/>
        <v>1.2266729080279577E-2</v>
      </c>
      <c r="V310" s="3">
        <f t="shared" si="292"/>
        <v>1.2255694049597856E-2</v>
      </c>
      <c r="W310" s="3">
        <f t="shared" si="292"/>
        <v>1.2145888257309136E-2</v>
      </c>
      <c r="X310" s="3">
        <f t="shared" si="292"/>
        <v>1.110051139101164E-2</v>
      </c>
      <c r="Y310" s="3">
        <f t="shared" si="292"/>
        <v>4.5131528494056555E-3</v>
      </c>
      <c r="Z310" s="3">
        <f t="shared" si="292"/>
        <v>5.5699410220156813E-7</v>
      </c>
      <c r="AA310" s="3">
        <f t="shared" si="292"/>
        <v>4.5662127276116053E-46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7.7350329579382458E-4</v>
      </c>
      <c r="C311" s="3">
        <f t="shared" si="293"/>
        <v>7.7350329579382458E-4</v>
      </c>
      <c r="D311" s="3">
        <f t="shared" si="293"/>
        <v>7.7350329579382458E-4</v>
      </c>
      <c r="E311" s="3">
        <f t="shared" si="293"/>
        <v>7.7350329579382458E-4</v>
      </c>
      <c r="F311" s="3">
        <f t="shared" si="293"/>
        <v>7.7350329579382458E-4</v>
      </c>
      <c r="G311" s="3">
        <f t="shared" si="293"/>
        <v>7.7350329579382458E-4</v>
      </c>
      <c r="H311" s="3">
        <f t="shared" si="293"/>
        <v>7.7350329579382458E-4</v>
      </c>
      <c r="I311" s="3">
        <f t="shared" si="293"/>
        <v>7.7350329579382458E-4</v>
      </c>
      <c r="J311" s="3">
        <f t="shared" si="293"/>
        <v>7.7350329579382448E-4</v>
      </c>
      <c r="K311" s="3">
        <f t="shared" si="293"/>
        <v>7.7350329579382383E-4</v>
      </c>
      <c r="L311" s="3">
        <f t="shared" si="293"/>
        <v>7.7350329579381689E-4</v>
      </c>
      <c r="M311" s="3">
        <f t="shared" si="293"/>
        <v>7.7350329579374717E-4</v>
      </c>
      <c r="N311" s="3">
        <f t="shared" si="293"/>
        <v>7.7350329579305111E-4</v>
      </c>
      <c r="O311" s="3">
        <f t="shared" si="293"/>
        <v>7.7350329578608956E-4</v>
      </c>
      <c r="P311" s="3">
        <f t="shared" si="293"/>
        <v>7.7350329571647467E-4</v>
      </c>
      <c r="Q311" s="3">
        <f t="shared" si="293"/>
        <v>7.7350329502032548E-4</v>
      </c>
      <c r="R311" s="3">
        <f t="shared" si="293"/>
        <v>7.7350328805883301E-4</v>
      </c>
      <c r="S311" s="3">
        <f t="shared" si="293"/>
        <v>7.735032184439123E-4</v>
      </c>
      <c r="T311" s="3">
        <f t="shared" si="293"/>
        <v>7.735025222950499E-4</v>
      </c>
      <c r="U311" s="3">
        <f t="shared" si="293"/>
        <v>7.734955608408845E-4</v>
      </c>
      <c r="V311" s="3">
        <f t="shared" si="293"/>
        <v>7.7342594974502406E-4</v>
      </c>
      <c r="W311" s="3">
        <f t="shared" si="293"/>
        <v>7.7273018325098807E-4</v>
      </c>
      <c r="X311" s="3">
        <f t="shared" si="293"/>
        <v>7.6580685033700541E-4</v>
      </c>
      <c r="Y311" s="3">
        <f t="shared" si="293"/>
        <v>6.9989509909784047E-4</v>
      </c>
      <c r="Z311" s="3">
        <f t="shared" si="293"/>
        <v>2.8455748113876783E-4</v>
      </c>
      <c r="AA311" s="3">
        <f t="shared" si="293"/>
        <v>3.5118872331678366E-8</v>
      </c>
      <c r="AB311" s="3">
        <f t="shared" si="293"/>
        <v>2.8790294401042823E-47</v>
      </c>
      <c r="AC311" s="3">
        <f t="shared" si="293"/>
        <v>0</v>
      </c>
      <c r="AD311" s="3">
        <f t="shared" si="293"/>
        <v>0</v>
      </c>
      <c r="AE311" s="3">
        <f t="shared" si="293"/>
        <v>0</v>
      </c>
      <c r="AF311" s="3">
        <f t="shared" si="293"/>
        <v>0</v>
      </c>
      <c r="AG311" s="3"/>
      <c r="AH311" s="3"/>
    </row>
    <row r="312" spans="1:34" x14ac:dyDescent="0.25">
      <c r="B312" s="3">
        <f t="shared" ref="B312:AF312" si="294">$C42*EXP(-B$285/$A42/EXP(-$F$126))</f>
        <v>2.8862774017939779E-3</v>
      </c>
      <c r="C312" s="3">
        <f t="shared" si="294"/>
        <v>2.8862774017939779E-3</v>
      </c>
      <c r="D312" s="3">
        <f t="shared" si="294"/>
        <v>2.8862774017939779E-3</v>
      </c>
      <c r="E312" s="3">
        <f t="shared" si="294"/>
        <v>2.8862774017939779E-3</v>
      </c>
      <c r="F312" s="3">
        <f t="shared" si="294"/>
        <v>2.8862774017939779E-3</v>
      </c>
      <c r="G312" s="3">
        <f t="shared" si="294"/>
        <v>2.8862774017939779E-3</v>
      </c>
      <c r="H312" s="3">
        <f t="shared" si="294"/>
        <v>2.8862774017939779E-3</v>
      </c>
      <c r="I312" s="3">
        <f t="shared" si="294"/>
        <v>2.8862774017939779E-3</v>
      </c>
      <c r="J312" s="3">
        <f t="shared" si="294"/>
        <v>2.8862774017939779E-3</v>
      </c>
      <c r="K312" s="3">
        <f t="shared" si="294"/>
        <v>2.8862774017939775E-3</v>
      </c>
      <c r="L312" s="3">
        <f t="shared" si="294"/>
        <v>2.8862774017939749E-3</v>
      </c>
      <c r="M312" s="3">
        <f t="shared" si="294"/>
        <v>2.8862774017939493E-3</v>
      </c>
      <c r="N312" s="3">
        <f t="shared" si="294"/>
        <v>2.8862774017936891E-3</v>
      </c>
      <c r="O312" s="3">
        <f t="shared" si="294"/>
        <v>2.8862774017910917E-3</v>
      </c>
      <c r="P312" s="3">
        <f t="shared" si="294"/>
        <v>2.8862774017651151E-3</v>
      </c>
      <c r="Q312" s="3">
        <f t="shared" si="294"/>
        <v>2.8862774015053516E-3</v>
      </c>
      <c r="R312" s="3">
        <f t="shared" si="294"/>
        <v>2.8862773989077159E-3</v>
      </c>
      <c r="S312" s="3">
        <f t="shared" si="294"/>
        <v>2.8862773729313581E-3</v>
      </c>
      <c r="T312" s="3">
        <f t="shared" si="294"/>
        <v>2.886277113167795E-3</v>
      </c>
      <c r="U312" s="3">
        <f t="shared" si="294"/>
        <v>2.8862745155334461E-3</v>
      </c>
      <c r="V312" s="3">
        <f t="shared" si="294"/>
        <v>2.8862485393185413E-3</v>
      </c>
      <c r="W312" s="3">
        <f t="shared" si="294"/>
        <v>2.8859887900272475E-3</v>
      </c>
      <c r="X312" s="3">
        <f t="shared" si="294"/>
        <v>2.8833925824615116E-3</v>
      </c>
      <c r="Y312" s="3">
        <f t="shared" si="294"/>
        <v>2.8575586145348241E-3</v>
      </c>
      <c r="Z312" s="3">
        <f t="shared" si="294"/>
        <v>2.6116131878653353E-3</v>
      </c>
      <c r="AA312" s="3">
        <f t="shared" si="294"/>
        <v>1.0618077929187781E-3</v>
      </c>
      <c r="AB312" s="3">
        <f t="shared" si="294"/>
        <v>1.3104379533817665E-7</v>
      </c>
      <c r="AC312" s="3">
        <f t="shared" si="294"/>
        <v>1.0742911707369742E-46</v>
      </c>
      <c r="AD312" s="3">
        <f t="shared" si="294"/>
        <v>0</v>
      </c>
      <c r="AE312" s="3">
        <f t="shared" si="294"/>
        <v>0</v>
      </c>
      <c r="AF312" s="3">
        <f t="shared" si="294"/>
        <v>0</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1.5898164143456024E-4</v>
      </c>
      <c r="C314" s="3">
        <f t="shared" si="296"/>
        <v>1.5898164143456024E-4</v>
      </c>
      <c r="D314" s="3">
        <f t="shared" si="296"/>
        <v>1.5898164143456024E-4</v>
      </c>
      <c r="E314" s="3">
        <f t="shared" si="296"/>
        <v>1.5898164143456024E-4</v>
      </c>
      <c r="F314" s="3">
        <f t="shared" si="296"/>
        <v>1.5898164143456024E-4</v>
      </c>
      <c r="G314" s="3">
        <f t="shared" si="296"/>
        <v>1.5898164143456024E-4</v>
      </c>
      <c r="H314" s="3">
        <f t="shared" si="296"/>
        <v>1.5898164143456024E-4</v>
      </c>
      <c r="I314" s="3">
        <f t="shared" si="296"/>
        <v>1.5898164143456024E-4</v>
      </c>
      <c r="J314" s="3">
        <f t="shared" si="296"/>
        <v>1.5898164143456024E-4</v>
      </c>
      <c r="K314" s="3">
        <f t="shared" si="296"/>
        <v>1.5898164143456024E-4</v>
      </c>
      <c r="L314" s="3">
        <f t="shared" si="296"/>
        <v>1.5898164143456024E-4</v>
      </c>
      <c r="M314" s="3">
        <f t="shared" si="296"/>
        <v>1.5898164143456021E-4</v>
      </c>
      <c r="N314" s="3">
        <f t="shared" si="296"/>
        <v>1.5898164143456008E-4</v>
      </c>
      <c r="O314" s="3">
        <f t="shared" si="296"/>
        <v>1.5898164143455864E-4</v>
      </c>
      <c r="P314" s="3">
        <f t="shared" si="296"/>
        <v>1.5898164143454433E-4</v>
      </c>
      <c r="Q314" s="3">
        <f t="shared" si="296"/>
        <v>1.5898164143440127E-4</v>
      </c>
      <c r="R314" s="3">
        <f t="shared" si="296"/>
        <v>1.5898164143297042E-4</v>
      </c>
      <c r="S314" s="3">
        <f t="shared" si="296"/>
        <v>1.5898164141866215E-4</v>
      </c>
      <c r="T314" s="3">
        <f t="shared" si="296"/>
        <v>1.5898164127557945E-4</v>
      </c>
      <c r="U314" s="3">
        <f t="shared" si="296"/>
        <v>1.5898163984475234E-4</v>
      </c>
      <c r="V314" s="3">
        <f t="shared" si="296"/>
        <v>1.5898162553648187E-4</v>
      </c>
      <c r="W314" s="3">
        <f t="shared" si="296"/>
        <v>1.5898148245384805E-4</v>
      </c>
      <c r="X314" s="3">
        <f t="shared" si="296"/>
        <v>1.5898005163459233E-4</v>
      </c>
      <c r="Y314" s="3">
        <f t="shared" si="296"/>
        <v>1.5896574415026469E-4</v>
      </c>
      <c r="Z314" s="3">
        <f t="shared" si="296"/>
        <v>1.5882274010635368E-4</v>
      </c>
      <c r="AA314" s="3">
        <f t="shared" si="296"/>
        <v>1.5739975608437446E-4</v>
      </c>
      <c r="AB314" s="3">
        <f t="shared" si="296"/>
        <v>1.438526148390682E-4</v>
      </c>
      <c r="AC314" s="3">
        <f t="shared" si="296"/>
        <v>5.848639001272424E-5</v>
      </c>
      <c r="AD314" s="3">
        <f t="shared" si="296"/>
        <v>7.2181411494711868E-9</v>
      </c>
      <c r="AE314" s="3">
        <f t="shared" si="296"/>
        <v>5.9173998173655349E-48</v>
      </c>
      <c r="AF314" s="3">
        <f t="shared" si="296"/>
        <v>0</v>
      </c>
      <c r="AG314" s="3"/>
      <c r="AH314" s="3"/>
    </row>
    <row r="315" spans="1:34" x14ac:dyDescent="0.25">
      <c r="B315" s="3">
        <f t="shared" ref="B315:AF315" si="297">$C45*EXP(-B$285/$A45/EXP(-$F$126))</f>
        <v>1.3061991748101505E-4</v>
      </c>
      <c r="C315" s="3">
        <f t="shared" si="297"/>
        <v>1.3061991748101505E-4</v>
      </c>
      <c r="D315" s="3">
        <f t="shared" si="297"/>
        <v>1.3061991748101505E-4</v>
      </c>
      <c r="E315" s="3">
        <f t="shared" si="297"/>
        <v>1.3061991748101505E-4</v>
      </c>
      <c r="F315" s="3">
        <f t="shared" si="297"/>
        <v>1.3061991748101505E-4</v>
      </c>
      <c r="G315" s="3">
        <f t="shared" si="297"/>
        <v>1.3061991748101505E-4</v>
      </c>
      <c r="H315" s="3">
        <f t="shared" si="297"/>
        <v>1.3061991748101505E-4</v>
      </c>
      <c r="I315" s="3">
        <f t="shared" si="297"/>
        <v>1.3061991748101505E-4</v>
      </c>
      <c r="J315" s="3">
        <f t="shared" si="297"/>
        <v>1.3061991748101505E-4</v>
      </c>
      <c r="K315" s="3">
        <f t="shared" si="297"/>
        <v>1.3061991748101505E-4</v>
      </c>
      <c r="L315" s="3">
        <f t="shared" si="297"/>
        <v>1.3061991748101505E-4</v>
      </c>
      <c r="M315" s="3">
        <f t="shared" si="297"/>
        <v>1.3061991748101505E-4</v>
      </c>
      <c r="N315" s="3">
        <f t="shared" si="297"/>
        <v>1.3061991748101502E-4</v>
      </c>
      <c r="O315" s="3">
        <f t="shared" si="297"/>
        <v>1.3061991748101491E-4</v>
      </c>
      <c r="P315" s="3">
        <f t="shared" si="297"/>
        <v>1.3061991748101375E-4</v>
      </c>
      <c r="Q315" s="3">
        <f t="shared" si="297"/>
        <v>1.3061991748100198E-4</v>
      </c>
      <c r="R315" s="3">
        <f t="shared" si="297"/>
        <v>1.3061991748088443E-4</v>
      </c>
      <c r="S315" s="3">
        <f t="shared" si="297"/>
        <v>1.3061991747970886E-4</v>
      </c>
      <c r="T315" s="3">
        <f t="shared" si="297"/>
        <v>1.3061991746795312E-4</v>
      </c>
      <c r="U315" s="3">
        <f t="shared" si="297"/>
        <v>1.3061991735039582E-4</v>
      </c>
      <c r="V315" s="3">
        <f t="shared" si="297"/>
        <v>1.3061991617482286E-4</v>
      </c>
      <c r="W315" s="3">
        <f t="shared" si="297"/>
        <v>1.3061990441909377E-4</v>
      </c>
      <c r="X315" s="3">
        <f t="shared" si="297"/>
        <v>1.3061978686186105E-4</v>
      </c>
      <c r="Y315" s="3">
        <f t="shared" si="297"/>
        <v>1.3061861129535268E-4</v>
      </c>
      <c r="Z315" s="3">
        <f t="shared" si="297"/>
        <v>1.306068562121533E-4</v>
      </c>
      <c r="AA315" s="3">
        <f t="shared" si="297"/>
        <v>1.304893635491857E-4</v>
      </c>
      <c r="AB315" s="3">
        <f t="shared" si="297"/>
        <v>1.2932023449849442E-4</v>
      </c>
      <c r="AC315" s="3">
        <f t="shared" si="297"/>
        <v>1.1818985204931126E-4</v>
      </c>
      <c r="AD315" s="3">
        <f t="shared" si="297"/>
        <v>4.8052639086438521E-5</v>
      </c>
      <c r="AE315" s="3">
        <f t="shared" si="297"/>
        <v>5.9304520496999205E-9</v>
      </c>
      <c r="AF315" s="3">
        <f t="shared" si="297"/>
        <v>4.8617580550305993E-48</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8.1332295555460314E-5</v>
      </c>
      <c r="C317" s="3">
        <f t="shared" si="299"/>
        <v>8.1332295555460314E-5</v>
      </c>
      <c r="D317" s="3">
        <f t="shared" si="299"/>
        <v>8.1332295555460314E-5</v>
      </c>
      <c r="E317" s="3">
        <f t="shared" si="299"/>
        <v>8.1332295555460314E-5</v>
      </c>
      <c r="F317" s="3">
        <f t="shared" si="299"/>
        <v>8.1332295555460314E-5</v>
      </c>
      <c r="G317" s="3">
        <f t="shared" si="299"/>
        <v>8.1332295555460314E-5</v>
      </c>
      <c r="H317" s="3">
        <f t="shared" si="299"/>
        <v>8.1332295555460314E-5</v>
      </c>
      <c r="I317" s="3">
        <f t="shared" si="299"/>
        <v>8.1332295555460314E-5</v>
      </c>
      <c r="J317" s="3">
        <f t="shared" si="299"/>
        <v>8.1332295555460314E-5</v>
      </c>
      <c r="K317" s="3">
        <f t="shared" si="299"/>
        <v>8.1332295555460314E-5</v>
      </c>
      <c r="L317" s="3">
        <f t="shared" si="299"/>
        <v>8.1332295555460314E-5</v>
      </c>
      <c r="M317" s="3">
        <f t="shared" si="299"/>
        <v>8.1332295555460314E-5</v>
      </c>
      <c r="N317" s="3">
        <f t="shared" si="299"/>
        <v>8.1332295555460314E-5</v>
      </c>
      <c r="O317" s="3">
        <f t="shared" si="299"/>
        <v>8.1332295555460314E-5</v>
      </c>
      <c r="P317" s="3">
        <f t="shared" si="299"/>
        <v>8.13322955554603E-5</v>
      </c>
      <c r="Q317" s="3">
        <f t="shared" si="299"/>
        <v>8.1332295555460233E-5</v>
      </c>
      <c r="R317" s="3">
        <f t="shared" si="299"/>
        <v>8.1332295555459501E-5</v>
      </c>
      <c r="S317" s="3">
        <f t="shared" si="299"/>
        <v>8.1332295555452182E-5</v>
      </c>
      <c r="T317" s="3">
        <f t="shared" si="299"/>
        <v>8.1332295555378985E-5</v>
      </c>
      <c r="U317" s="3">
        <f t="shared" si="299"/>
        <v>8.1332295554646986E-5</v>
      </c>
      <c r="V317" s="3">
        <f t="shared" si="299"/>
        <v>8.1332295547327131E-5</v>
      </c>
      <c r="W317" s="3">
        <f t="shared" si="299"/>
        <v>8.1332295474128454E-5</v>
      </c>
      <c r="X317" s="3">
        <f t="shared" si="299"/>
        <v>8.1332294742141704E-5</v>
      </c>
      <c r="Y317" s="3">
        <f t="shared" si="299"/>
        <v>8.1332287422274634E-5</v>
      </c>
      <c r="Z317" s="3">
        <f t="shared" si="299"/>
        <v>8.1332214223640143E-5</v>
      </c>
      <c r="AA317" s="3">
        <f t="shared" si="299"/>
        <v>8.1331482240918474E-5</v>
      </c>
      <c r="AB317" s="3">
        <f t="shared" si="299"/>
        <v>8.132416277601994E-5</v>
      </c>
      <c r="AC317" s="3">
        <f t="shared" si="299"/>
        <v>8.1251004346782169E-5</v>
      </c>
      <c r="AD317" s="3">
        <f t="shared" si="299"/>
        <v>8.0523029997027135E-5</v>
      </c>
      <c r="AE317" s="3">
        <f t="shared" si="299"/>
        <v>7.3592543648083849E-5</v>
      </c>
      <c r="AF317" s="3">
        <f t="shared" si="299"/>
        <v>2.9920639361651135E-5</v>
      </c>
      <c r="AG317" s="3"/>
      <c r="AH317" s="3"/>
    </row>
    <row r="318" spans="1:34" x14ac:dyDescent="0.25">
      <c r="B318" s="3">
        <f t="shared" ref="B318:AF318" si="300">$C48*EXP(-B$285/$A48/EXP(-$F$126))</f>
        <v>6.4178085162845428E-4</v>
      </c>
      <c r="C318" s="3">
        <f t="shared" si="300"/>
        <v>6.4178085162845428E-4</v>
      </c>
      <c r="D318" s="3">
        <f t="shared" si="300"/>
        <v>6.4178085162845428E-4</v>
      </c>
      <c r="E318" s="3">
        <f t="shared" si="300"/>
        <v>6.4178085162845428E-4</v>
      </c>
      <c r="F318" s="3">
        <f t="shared" si="300"/>
        <v>6.4178085162845428E-4</v>
      </c>
      <c r="G318" s="3">
        <f t="shared" si="300"/>
        <v>6.4178085162845428E-4</v>
      </c>
      <c r="H318" s="3">
        <f t="shared" si="300"/>
        <v>6.4178085162845428E-4</v>
      </c>
      <c r="I318" s="3">
        <f t="shared" si="300"/>
        <v>6.4178085162845428E-4</v>
      </c>
      <c r="J318" s="3">
        <f t="shared" si="300"/>
        <v>6.4178085162845428E-4</v>
      </c>
      <c r="K318" s="3">
        <f t="shared" si="300"/>
        <v>6.4178085162845428E-4</v>
      </c>
      <c r="L318" s="3">
        <f t="shared" si="300"/>
        <v>6.4178085162845428E-4</v>
      </c>
      <c r="M318" s="3">
        <f t="shared" si="300"/>
        <v>6.4178085162845428E-4</v>
      </c>
      <c r="N318" s="3">
        <f t="shared" si="300"/>
        <v>6.4178085162845428E-4</v>
      </c>
      <c r="O318" s="3">
        <f t="shared" si="300"/>
        <v>6.4178085162845428E-4</v>
      </c>
      <c r="P318" s="3">
        <f t="shared" si="300"/>
        <v>6.4178085162845428E-4</v>
      </c>
      <c r="Q318" s="3">
        <f t="shared" si="300"/>
        <v>6.4178085162845417E-4</v>
      </c>
      <c r="R318" s="3">
        <f t="shared" si="300"/>
        <v>6.4178085162845363E-4</v>
      </c>
      <c r="S318" s="3">
        <f t="shared" si="300"/>
        <v>6.4178085162844788E-4</v>
      </c>
      <c r="T318" s="3">
        <f t="shared" si="300"/>
        <v>6.4178085162839009E-4</v>
      </c>
      <c r="U318" s="3">
        <f t="shared" si="300"/>
        <v>6.4178085162781254E-4</v>
      </c>
      <c r="V318" s="3">
        <f t="shared" si="300"/>
        <v>6.4178085162203645E-4</v>
      </c>
      <c r="W318" s="3">
        <f t="shared" si="300"/>
        <v>6.4178085156427656E-4</v>
      </c>
      <c r="X318" s="3">
        <f t="shared" si="300"/>
        <v>6.4178085098667685E-4</v>
      </c>
      <c r="Y318" s="3">
        <f t="shared" si="300"/>
        <v>6.4178084521068009E-4</v>
      </c>
      <c r="Z318" s="3">
        <f t="shared" si="300"/>
        <v>6.4178078745071531E-4</v>
      </c>
      <c r="AA318" s="3">
        <f t="shared" si="300"/>
        <v>6.4178020985135385E-4</v>
      </c>
      <c r="AB318" s="3">
        <f t="shared" si="300"/>
        <v>6.4177443388632933E-4</v>
      </c>
      <c r="AC318" s="3">
        <f t="shared" si="300"/>
        <v>6.4171667709508223E-4</v>
      </c>
      <c r="AD318" s="3">
        <f t="shared" si="300"/>
        <v>6.4113939498716482E-4</v>
      </c>
      <c r="AE318" s="3">
        <f t="shared" si="300"/>
        <v>6.3539505941961807E-4</v>
      </c>
      <c r="AF318" s="3">
        <f t="shared" si="300"/>
        <v>5.8070763911692645E-4</v>
      </c>
      <c r="AG318" s="3"/>
      <c r="AH318" s="3"/>
    </row>
    <row r="319" spans="1:34" x14ac:dyDescent="0.25">
      <c r="A319" s="79">
        <f>AVERAGE(B319:AF319)</f>
        <v>3.1570679266776001E-4</v>
      </c>
      <c r="B319" s="80">
        <f>IF($A$64&lt;=B285,IF($B$64&gt;=B285,ABS((B287-B286)/B286),0),0)</f>
        <v>5.1215880682405064E-5</v>
      </c>
      <c r="C319" s="80">
        <f t="shared" ref="C319:AF319" si="301">IF($A$64&lt;=C285,IF($B$64&gt;=C285,ABS((C287-C286)/C286),0),0)</f>
        <v>4.1143469425397299E-5</v>
      </c>
      <c r="D319" s="80">
        <f t="shared" si="301"/>
        <v>4.3796653578006262E-5</v>
      </c>
      <c r="E319" s="80">
        <f t="shared" si="301"/>
        <v>1.9052471222863179E-5</v>
      </c>
      <c r="F319" s="80">
        <f t="shared" si="301"/>
        <v>1.9517869853475639E-4</v>
      </c>
      <c r="G319" s="80">
        <f t="shared" si="301"/>
        <v>4.5456074112802971E-5</v>
      </c>
      <c r="H319" s="80">
        <f t="shared" si="301"/>
        <v>7.9447110022668944E-6</v>
      </c>
      <c r="I319" s="80">
        <f t="shared" si="301"/>
        <v>7.952561541033446E-6</v>
      </c>
      <c r="J319" s="80">
        <f t="shared" si="301"/>
        <v>1.7439111495184958E-5</v>
      </c>
      <c r="K319" s="80">
        <f t="shared" si="301"/>
        <v>3.7003947845423878E-5</v>
      </c>
      <c r="L319" s="80">
        <f t="shared" si="301"/>
        <v>6.5644559231420649E-5</v>
      </c>
      <c r="M319" s="80">
        <f t="shared" si="301"/>
        <v>9.9268958645661861E-5</v>
      </c>
      <c r="N319" s="80">
        <f t="shared" si="301"/>
        <v>1.2756803334037942E-4</v>
      </c>
      <c r="O319" s="80">
        <f t="shared" si="301"/>
        <v>1.4101342881471871E-4</v>
      </c>
      <c r="P319" s="80">
        <f t="shared" si="301"/>
        <v>1.3341441197224551E-4</v>
      </c>
      <c r="Q319" s="80">
        <f t="shared" si="301"/>
        <v>1.088189697724042E-4</v>
      </c>
      <c r="R319" s="80">
        <f t="shared" si="301"/>
        <v>7.878228351032869E-5</v>
      </c>
      <c r="S319" s="80">
        <f t="shared" si="301"/>
        <v>5.7054796270806662E-5</v>
      </c>
      <c r="T319" s="80">
        <f t="shared" si="301"/>
        <v>3.9846511660064785E-5</v>
      </c>
      <c r="U319" s="80">
        <f t="shared" si="301"/>
        <v>2.9660091630915912E-5</v>
      </c>
      <c r="V319" s="80">
        <f t="shared" si="301"/>
        <v>1.6496668451288427E-5</v>
      </c>
      <c r="W319" s="80">
        <f t="shared" si="301"/>
        <v>6.6694794094754129E-6</v>
      </c>
      <c r="X319" s="80">
        <f t="shared" si="301"/>
        <v>1.9981013012291349E-5</v>
      </c>
      <c r="Y319" s="80">
        <f t="shared" si="301"/>
        <v>8.4421962754747192E-5</v>
      </c>
      <c r="Z319" s="80">
        <f t="shared" si="301"/>
        <v>1.7085516790194978E-4</v>
      </c>
      <c r="AA319" s="80">
        <f t="shared" si="301"/>
        <v>2.29019017125697E-4</v>
      </c>
      <c r="AB319" s="80">
        <f t="shared" si="301"/>
        <v>9.7551212167417312E-4</v>
      </c>
      <c r="AC319" s="80">
        <f t="shared" si="301"/>
        <v>2.0580867918875254E-3</v>
      </c>
      <c r="AD319" s="80">
        <f t="shared" si="301"/>
        <v>2.8234899526876785E-3</v>
      </c>
      <c r="AE319" s="80">
        <f t="shared" si="301"/>
        <v>1.8226306099805368E-3</v>
      </c>
      <c r="AF319" s="80">
        <f t="shared" si="301"/>
        <v>2.3249216352611097E-4</v>
      </c>
    </row>
    <row r="320" spans="1:34" x14ac:dyDescent="0.25">
      <c r="B320" s="21">
        <f>(B287-B286)^2</f>
        <v>0.13723966949497513</v>
      </c>
      <c r="C320" s="21">
        <f t="shared" ref="C320:AF320" si="302">(C287-C286)^2</f>
        <v>8.8568649302690206E-2</v>
      </c>
      <c r="D320" s="21">
        <f t="shared" si="302"/>
        <v>0.10035720073965779</v>
      </c>
      <c r="E320" s="21">
        <f t="shared" si="302"/>
        <v>1.8988874974518774E-2</v>
      </c>
      <c r="F320" s="21">
        <f t="shared" si="302"/>
        <v>1.989686345768688</v>
      </c>
      <c r="G320" s="21">
        <f t="shared" si="302"/>
        <v>0.10651912400310064</v>
      </c>
      <c r="H320" s="21">
        <f t="shared" si="302"/>
        <v>3.1306224774924731E-3</v>
      </c>
      <c r="I320" s="21">
        <f t="shared" si="302"/>
        <v>3.0081050389591368E-3</v>
      </c>
      <c r="J320" s="21">
        <f t="shared" si="302"/>
        <v>1.3767685368272699E-2</v>
      </c>
      <c r="K320" s="21">
        <f t="shared" si="302"/>
        <v>5.8258240963721571E-2</v>
      </c>
      <c r="L320" s="21">
        <f t="shared" si="302"/>
        <v>0.17232535021340439</v>
      </c>
      <c r="M320" s="21">
        <f t="shared" si="302"/>
        <v>0.36198854593650392</v>
      </c>
      <c r="N320" s="21">
        <f t="shared" si="302"/>
        <v>0.54306335466991129</v>
      </c>
      <c r="O320" s="21">
        <f t="shared" si="302"/>
        <v>0.60058938822094421</v>
      </c>
      <c r="P320" s="21">
        <f t="shared" si="302"/>
        <v>0.47918787999974072</v>
      </c>
      <c r="Q320" s="21">
        <f t="shared" si="302"/>
        <v>0.2781042212275377</v>
      </c>
      <c r="R320" s="21">
        <f t="shared" si="302"/>
        <v>0.11516325337704778</v>
      </c>
      <c r="S320" s="21">
        <f t="shared" si="302"/>
        <v>3.8169189892750505E-2</v>
      </c>
      <c r="T320" s="21">
        <f t="shared" si="302"/>
        <v>9.5898948829419486E-3</v>
      </c>
      <c r="U320" s="21">
        <f t="shared" si="302"/>
        <v>2.2829847626487983E-3</v>
      </c>
      <c r="V320" s="21">
        <f t="shared" si="302"/>
        <v>2.4184177331119231E-4</v>
      </c>
      <c r="W320" s="21">
        <f t="shared" si="302"/>
        <v>1.158449362137553E-5</v>
      </c>
      <c r="X320" s="21">
        <f t="shared" si="302"/>
        <v>2.940026314242182E-5</v>
      </c>
      <c r="Y320" s="21">
        <f t="shared" si="302"/>
        <v>1.6565427021884838E-4</v>
      </c>
      <c r="Z320" s="21">
        <f t="shared" si="302"/>
        <v>3.8260933223104292E-4</v>
      </c>
      <c r="AA320" s="21">
        <f t="shared" si="302"/>
        <v>5.3573025980042249E-4</v>
      </c>
      <c r="AB320" s="21">
        <f t="shared" si="302"/>
        <v>8.241197091028751E-3</v>
      </c>
      <c r="AC320" s="21">
        <f t="shared" si="302"/>
        <v>3.6345375306292005E-2</v>
      </c>
      <c r="AD320" s="21">
        <f t="shared" si="302"/>
        <v>6.6352918441844738E-2</v>
      </c>
      <c r="AE320" s="21">
        <f t="shared" si="302"/>
        <v>2.7636394580631326E-2</v>
      </c>
      <c r="AF320" s="21">
        <f t="shared" si="302"/>
        <v>4.4076505111714082E-4</v>
      </c>
      <c r="AG320" s="3"/>
      <c r="AH320" s="3"/>
    </row>
    <row r="321" spans="1:34" x14ac:dyDescent="0.25">
      <c r="A321" s="71">
        <f>SUM(B321:AF321)</f>
        <v>5.260372052178746</v>
      </c>
      <c r="B321" s="60">
        <f>IF($A$64&lt;=B285,IF($B$64&gt;=B285,ABS(B320),0),0)</f>
        <v>0.13723966949497513</v>
      </c>
      <c r="C321" s="60">
        <f t="shared" ref="C321" si="303">IF($A$64&lt;=C285,IF($B$64&gt;=C285,ABS(C320),0),0)</f>
        <v>8.8568649302690206E-2</v>
      </c>
      <c r="D321" s="60">
        <f t="shared" ref="D321" si="304">IF($A$64&lt;=D285,IF($B$64&gt;=D285,ABS(D320),0),0)</f>
        <v>0.10035720073965779</v>
      </c>
      <c r="E321" s="60">
        <f t="shared" ref="E321" si="305">IF($A$64&lt;=E285,IF($B$64&gt;=E285,ABS(E320),0),0)</f>
        <v>1.8988874974518774E-2</v>
      </c>
      <c r="F321" s="60">
        <f t="shared" ref="F321" si="306">IF($A$64&lt;=F285,IF($B$64&gt;=F285,ABS(F320),0),0)</f>
        <v>1.989686345768688</v>
      </c>
      <c r="G321" s="60">
        <f t="shared" ref="G321" si="307">IF($A$64&lt;=G285,IF($B$64&gt;=G285,ABS(G320),0),0)</f>
        <v>0.10651912400310064</v>
      </c>
      <c r="H321" s="60">
        <f t="shared" ref="H321" si="308">IF($A$64&lt;=H285,IF($B$64&gt;=H285,ABS(H320),0),0)</f>
        <v>3.1306224774924731E-3</v>
      </c>
      <c r="I321" s="60">
        <f t="shared" ref="I321" si="309">IF($A$64&lt;=I285,IF($B$64&gt;=I285,ABS(I320),0),0)</f>
        <v>3.0081050389591368E-3</v>
      </c>
      <c r="J321" s="60">
        <f t="shared" ref="J321" si="310">IF($A$64&lt;=J285,IF($B$64&gt;=J285,ABS(J320),0),0)</f>
        <v>1.3767685368272699E-2</v>
      </c>
      <c r="K321" s="60">
        <f t="shared" ref="K321" si="311">IF($A$64&lt;=K285,IF($B$64&gt;=K285,ABS(K320),0),0)</f>
        <v>5.8258240963721571E-2</v>
      </c>
      <c r="L321" s="60">
        <f t="shared" ref="L321" si="312">IF($A$64&lt;=L285,IF($B$64&gt;=L285,ABS(L320),0),0)</f>
        <v>0.17232535021340439</v>
      </c>
      <c r="M321" s="60">
        <f t="shared" ref="M321" si="313">IF($A$64&lt;=M285,IF($B$64&gt;=M285,ABS(M320),0),0)</f>
        <v>0.36198854593650392</v>
      </c>
      <c r="N321" s="60">
        <f t="shared" ref="N321" si="314">IF($A$64&lt;=N285,IF($B$64&gt;=N285,ABS(N320),0),0)</f>
        <v>0.54306335466991129</v>
      </c>
      <c r="O321" s="60">
        <f t="shared" ref="O321" si="315">IF($A$64&lt;=O285,IF($B$64&gt;=O285,ABS(O320),0),0)</f>
        <v>0.60058938822094421</v>
      </c>
      <c r="P321" s="60">
        <f t="shared" ref="P321" si="316">IF($A$64&lt;=P285,IF($B$64&gt;=P285,ABS(P320),0),0)</f>
        <v>0.47918787999974072</v>
      </c>
      <c r="Q321" s="60">
        <f t="shared" ref="Q321" si="317">IF($A$64&lt;=Q285,IF($B$64&gt;=Q285,ABS(Q320),0),0)</f>
        <v>0.2781042212275377</v>
      </c>
      <c r="R321" s="60">
        <f t="shared" ref="R321" si="318">IF($A$64&lt;=R285,IF($B$64&gt;=R285,ABS(R320),0),0)</f>
        <v>0.11516325337704778</v>
      </c>
      <c r="S321" s="60">
        <f t="shared" ref="S321" si="319">IF($A$64&lt;=S285,IF($B$64&gt;=S285,ABS(S320),0),0)</f>
        <v>3.8169189892750505E-2</v>
      </c>
      <c r="T321" s="60">
        <f t="shared" ref="T321" si="320">IF($A$64&lt;=T285,IF($B$64&gt;=T285,ABS(T320),0),0)</f>
        <v>9.5898948829419486E-3</v>
      </c>
      <c r="U321" s="60">
        <f t="shared" ref="U321" si="321">IF($A$64&lt;=U285,IF($B$64&gt;=U285,ABS(U320),0),0)</f>
        <v>2.2829847626487983E-3</v>
      </c>
      <c r="V321" s="60">
        <f t="shared" ref="V321" si="322">IF($A$64&lt;=V285,IF($B$64&gt;=V285,ABS(V320),0),0)</f>
        <v>2.4184177331119231E-4</v>
      </c>
      <c r="W321" s="60">
        <f t="shared" ref="W321" si="323">IF($A$64&lt;=W285,IF($B$64&gt;=W285,ABS(W320),0),0)</f>
        <v>1.158449362137553E-5</v>
      </c>
      <c r="X321" s="60">
        <f t="shared" ref="X321" si="324">IF($A$64&lt;=X285,IF($B$64&gt;=X285,ABS(X320),0),0)</f>
        <v>2.940026314242182E-5</v>
      </c>
      <c r="Y321" s="60">
        <f t="shared" ref="Y321" si="325">IF($A$64&lt;=Y285,IF($B$64&gt;=Y285,ABS(Y320),0),0)</f>
        <v>1.6565427021884838E-4</v>
      </c>
      <c r="Z321" s="60">
        <f t="shared" ref="Z321" si="326">IF($A$64&lt;=Z285,IF($B$64&gt;=Z285,ABS(Z320),0),0)</f>
        <v>3.8260933223104292E-4</v>
      </c>
      <c r="AA321" s="60">
        <f t="shared" ref="AA321" si="327">IF($A$64&lt;=AA285,IF($B$64&gt;=AA285,ABS(AA320),0),0)</f>
        <v>5.3573025980042249E-4</v>
      </c>
      <c r="AB321" s="60">
        <f t="shared" ref="AB321" si="328">IF($A$64&lt;=AB285,IF($B$64&gt;=AB285,ABS(AB320),0),0)</f>
        <v>8.241197091028751E-3</v>
      </c>
      <c r="AC321" s="60">
        <f t="shared" ref="AC321" si="329">IF($A$64&lt;=AC285,IF($B$64&gt;=AC285,ABS(AC320),0),0)</f>
        <v>3.6345375306292005E-2</v>
      </c>
      <c r="AD321" s="60">
        <f t="shared" ref="AD321" si="330">IF($A$64&lt;=AD285,IF($B$64&gt;=AD285,ABS(AD320),0),0)</f>
        <v>6.6352918441844738E-2</v>
      </c>
      <c r="AE321" s="60">
        <f t="shared" ref="AE321" si="331">IF($A$64&lt;=AE285,IF($B$64&gt;=AE285,ABS(AE320),0),0)</f>
        <v>2.7636394580631326E-2</v>
      </c>
      <c r="AF321" s="60">
        <f t="shared" ref="AF321" si="332">IF($A$64&lt;=AF285,IF($B$64&gt;=AF285,ABS(AF320),0),0)</f>
        <v>4.4076505111714082E-4</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6715.2112961538614</v>
      </c>
      <c r="C326" s="27">
        <f t="shared" ref="C326:AF326" si="333">($C$17+SUM(C327:C357))*$B$51</f>
        <v>6507.8440065055102</v>
      </c>
      <c r="D326" s="27">
        <f t="shared" si="333"/>
        <v>6309.0641022140626</v>
      </c>
      <c r="E326" s="27">
        <f t="shared" si="333"/>
        <v>6039.9531782883478</v>
      </c>
      <c r="F326" s="27">
        <f t="shared" si="333"/>
        <v>5757.5604177833729</v>
      </c>
      <c r="G326" s="27">
        <f t="shared" si="333"/>
        <v>5476.7131573947945</v>
      </c>
      <c r="H326" s="27">
        <f t="shared" si="333"/>
        <v>5166.4987316233482</v>
      </c>
      <c r="I326" s="27">
        <f t="shared" si="333"/>
        <v>4822.7922050137331</v>
      </c>
      <c r="J326" s="27">
        <f t="shared" si="333"/>
        <v>4257.4490027755282</v>
      </c>
      <c r="K326" s="27">
        <f t="shared" si="333"/>
        <v>3366.2329372435574</v>
      </c>
      <c r="L326" s="27">
        <f t="shared" si="333"/>
        <v>2406.8623069816827</v>
      </c>
      <c r="M326" s="27">
        <f t="shared" si="333"/>
        <v>1570.486432091225</v>
      </c>
      <c r="N326" s="27">
        <f t="shared" si="333"/>
        <v>914.76175474681759</v>
      </c>
      <c r="O326" s="27">
        <f t="shared" si="333"/>
        <v>495.99183283978425</v>
      </c>
      <c r="P326" s="27">
        <f t="shared" si="333"/>
        <v>258.64151880637849</v>
      </c>
      <c r="Q326" s="27">
        <f t="shared" si="333"/>
        <v>147.58715722310251</v>
      </c>
      <c r="R326" s="27">
        <f t="shared" si="333"/>
        <v>113.90893335565657</v>
      </c>
      <c r="S326" s="27">
        <f t="shared" si="333"/>
        <v>99.924941019462935</v>
      </c>
      <c r="T326" s="27">
        <f t="shared" si="333"/>
        <v>93.132244798765527</v>
      </c>
      <c r="U326" s="27">
        <f t="shared" si="333"/>
        <v>92.366453644788052</v>
      </c>
      <c r="V326" s="27">
        <f t="shared" si="333"/>
        <v>91.436732638040937</v>
      </c>
      <c r="W326" s="27">
        <f t="shared" si="333"/>
        <v>91.028163352009514</v>
      </c>
      <c r="X326" s="27">
        <f t="shared" si="333"/>
        <v>90.225830814533268</v>
      </c>
      <c r="Y326" s="27">
        <f t="shared" si="333"/>
        <v>87.328977995609421</v>
      </c>
      <c r="Z326" s="27">
        <f t="shared" si="333"/>
        <v>85.846095295046467</v>
      </c>
      <c r="AA326" s="27">
        <f t="shared" si="333"/>
        <v>85.846049770690044</v>
      </c>
      <c r="AB326" s="27">
        <f t="shared" si="333"/>
        <v>85.846049770690044</v>
      </c>
      <c r="AC326" s="27">
        <f t="shared" si="333"/>
        <v>85.846049770690044</v>
      </c>
      <c r="AD326" s="27">
        <f t="shared" si="333"/>
        <v>85.846049770690044</v>
      </c>
      <c r="AE326" s="27">
        <f t="shared" si="333"/>
        <v>85.846049770690044</v>
      </c>
      <c r="AF326" s="27">
        <f t="shared" si="333"/>
        <v>85.846049770690044</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2.0532021304119749E-87</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4.1150670427778154E-10</v>
      </c>
      <c r="C333" s="3">
        <f t="shared" si="340"/>
        <v>3.6348734211770883E-79</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4.9672579323295487E-3</v>
      </c>
      <c r="C334" s="3">
        <f t="shared" si="341"/>
        <v>2.930094149897872E-9</v>
      </c>
      <c r="D334" s="3">
        <f t="shared" si="341"/>
        <v>1.4946180027728272E-71</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2.7802034487980271E-2</v>
      </c>
      <c r="C335" s="3">
        <f t="shared" si="342"/>
        <v>7.623383119813803E-3</v>
      </c>
      <c r="D335" s="3">
        <f t="shared" si="342"/>
        <v>1.8317214471503785E-8</v>
      </c>
      <c r="E335" s="3">
        <f t="shared" si="342"/>
        <v>1.1748333698093039E-64</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2.3826718335717787E-2</v>
      </c>
      <c r="C336" s="3">
        <f t="shared" si="343"/>
        <v>2.1201841108969829E-2</v>
      </c>
      <c r="D336" s="3">
        <f t="shared" si="343"/>
        <v>6.5988312351880898E-3</v>
      </c>
      <c r="E336" s="3">
        <f t="shared" si="343"/>
        <v>5.6286141863402554E-8</v>
      </c>
      <c r="F336" s="3">
        <f t="shared" si="343"/>
        <v>1.1474825132295923E-58</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4.5464391701362863E-2</v>
      </c>
      <c r="C337" s="3">
        <f t="shared" si="344"/>
        <v>4.4988205049346863E-2</v>
      </c>
      <c r="D337" s="3">
        <f t="shared" si="344"/>
        <v>4.049220973678655E-2</v>
      </c>
      <c r="E337" s="3">
        <f t="shared" si="344"/>
        <v>1.4128615145159704E-2</v>
      </c>
      <c r="F337" s="3">
        <f t="shared" si="344"/>
        <v>3.7790337644222037E-7</v>
      </c>
      <c r="G337" s="3">
        <f t="shared" si="344"/>
        <v>7.0825971544356571E-53</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3.7434599001595188E-2</v>
      </c>
      <c r="C338" s="3">
        <f t="shared" si="345"/>
        <v>3.7399060122162986E-2</v>
      </c>
      <c r="D338" s="3">
        <f t="shared" si="345"/>
        <v>3.7045521706654753E-2</v>
      </c>
      <c r="E338" s="3">
        <f t="shared" si="345"/>
        <v>3.3688834575349894E-2</v>
      </c>
      <c r="F338" s="3">
        <f t="shared" si="345"/>
        <v>1.3031328959499962E-2</v>
      </c>
      <c r="G338" s="3">
        <f t="shared" si="345"/>
        <v>9.7727303554827708E-7</v>
      </c>
      <c r="H338" s="3">
        <f t="shared" si="345"/>
        <v>5.4990541411861034E-48</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4.1083027589128983E-2</v>
      </c>
      <c r="C339" s="3">
        <f t="shared" si="346"/>
        <v>4.107950771442799E-2</v>
      </c>
      <c r="D339" s="3">
        <f t="shared" si="346"/>
        <v>4.1044325549651865E-2</v>
      </c>
      <c r="E339" s="3">
        <f t="shared" si="346"/>
        <v>4.0694156880414577E-2</v>
      </c>
      <c r="F339" s="3">
        <f t="shared" si="346"/>
        <v>3.7352645727003968E-2</v>
      </c>
      <c r="G339" s="3">
        <f t="shared" si="346"/>
        <v>1.5856761952838343E-2</v>
      </c>
      <c r="H339" s="3">
        <f t="shared" si="346"/>
        <v>3.0140182895294786E-6</v>
      </c>
      <c r="I339" s="3">
        <f t="shared" si="346"/>
        <v>1.855494418346835E-43</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4.6249471834872262E-2</v>
      </c>
      <c r="C340" s="3">
        <f t="shared" si="347"/>
        <v>4.6249114368611025E-2</v>
      </c>
      <c r="D340" s="3">
        <f t="shared" si="347"/>
        <v>4.6245539857953995E-2</v>
      </c>
      <c r="E340" s="3">
        <f t="shared" si="347"/>
        <v>4.6209809942572684E-2</v>
      </c>
      <c r="F340" s="3">
        <f t="shared" si="347"/>
        <v>4.5854025572292192E-2</v>
      </c>
      <c r="G340" s="3">
        <f t="shared" si="347"/>
        <v>4.2443416390855568E-2</v>
      </c>
      <c r="H340" s="3">
        <f t="shared" si="347"/>
        <v>1.95947166673924E-2</v>
      </c>
      <c r="I340" s="3">
        <f t="shared" si="347"/>
        <v>8.6183777769427267E-6</v>
      </c>
      <c r="J340" s="3">
        <f t="shared" si="347"/>
        <v>2.3350216715041587E-39</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4.2148932407901789E-2</v>
      </c>
      <c r="C341" s="3">
        <f t="shared" si="348"/>
        <v>4.2148903020379117E-2</v>
      </c>
      <c r="D341" s="3">
        <f t="shared" si="348"/>
        <v>4.2148609146279291E-2</v>
      </c>
      <c r="E341" s="3">
        <f t="shared" si="348"/>
        <v>4.2145670517972265E-2</v>
      </c>
      <c r="F341" s="3">
        <f t="shared" si="348"/>
        <v>4.2116295501114037E-2</v>
      </c>
      <c r="G341" s="3">
        <f t="shared" si="348"/>
        <v>4.1823669052746745E-2</v>
      </c>
      <c r="H341" s="3">
        <f t="shared" si="348"/>
        <v>3.9006930941442794E-2</v>
      </c>
      <c r="I341" s="3">
        <f t="shared" si="348"/>
        <v>1.9423983571740199E-2</v>
      </c>
      <c r="J341" s="3">
        <f t="shared" si="348"/>
        <v>1.8209730084847939E-5</v>
      </c>
      <c r="K341" s="3">
        <f t="shared" si="348"/>
        <v>9.5489489698713032E-36</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0.1127426242148966</v>
      </c>
      <c r="C342" s="3">
        <f t="shared" si="349"/>
        <v>0.11274261712383486</v>
      </c>
      <c r="D342" s="3">
        <f t="shared" si="349"/>
        <v>0.11274254621324203</v>
      </c>
      <c r="E342" s="3">
        <f t="shared" si="349"/>
        <v>0.1127418371097668</v>
      </c>
      <c r="F342" s="3">
        <f t="shared" si="349"/>
        <v>0.11273474632030782</v>
      </c>
      <c r="G342" s="3">
        <f t="shared" si="349"/>
        <v>0.11266386294935173</v>
      </c>
      <c r="H342" s="3">
        <f t="shared" si="349"/>
        <v>0.11195747590573374</v>
      </c>
      <c r="I342" s="3">
        <f t="shared" si="349"/>
        <v>0.10513267282225702</v>
      </c>
      <c r="J342" s="3">
        <f t="shared" si="349"/>
        <v>5.6051053090584314E-2</v>
      </c>
      <c r="K342" s="3">
        <f t="shared" si="349"/>
        <v>1.0400266896293879E-4</v>
      </c>
      <c r="L342" s="3">
        <f t="shared" si="349"/>
        <v>5.030968103820009E-32</v>
      </c>
      <c r="M342" s="3">
        <f t="shared" si="349"/>
        <v>3.5295745405219773E-305</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0.14424606613245444</v>
      </c>
      <c r="C343" s="3">
        <f t="shared" si="350"/>
        <v>0.14424606531403919</v>
      </c>
      <c r="D343" s="3">
        <f t="shared" si="350"/>
        <v>0.14424605712988703</v>
      </c>
      <c r="E343" s="3">
        <f t="shared" si="350"/>
        <v>0.14424597528839103</v>
      </c>
      <c r="F343" s="3">
        <f t="shared" si="350"/>
        <v>0.14424515687598502</v>
      </c>
      <c r="G343" s="3">
        <f t="shared" si="350"/>
        <v>0.14423697300731028</v>
      </c>
      <c r="H343" s="3">
        <f t="shared" si="350"/>
        <v>0.14415515985373861</v>
      </c>
      <c r="I343" s="3">
        <f t="shared" si="350"/>
        <v>0.14333957628357971</v>
      </c>
      <c r="J343" s="3">
        <f t="shared" si="350"/>
        <v>0.13543326843928083</v>
      </c>
      <c r="K343" s="3">
        <f t="shared" si="350"/>
        <v>7.679232048405378E-2</v>
      </c>
      <c r="L343" s="3">
        <f t="shared" si="350"/>
        <v>2.6378014796481111E-4</v>
      </c>
      <c r="M343" s="3">
        <f t="shared" si="350"/>
        <v>6.0323324959276885E-29</v>
      </c>
      <c r="N343" s="3">
        <f t="shared" si="350"/>
        <v>2.360026664808264E-275</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0.12974045707404155</v>
      </c>
      <c r="C344" s="3">
        <f t="shared" si="351"/>
        <v>0.12974045700763795</v>
      </c>
      <c r="D344" s="3">
        <f t="shared" si="351"/>
        <v>0.12974045634360173</v>
      </c>
      <c r="E344" s="3">
        <f t="shared" si="351"/>
        <v>0.12974044970324011</v>
      </c>
      <c r="F344" s="3">
        <f t="shared" si="351"/>
        <v>0.12974038329964233</v>
      </c>
      <c r="G344" s="3">
        <f t="shared" si="351"/>
        <v>0.12973971926553363</v>
      </c>
      <c r="H344" s="3">
        <f t="shared" si="351"/>
        <v>0.12973307911136925</v>
      </c>
      <c r="I344" s="3">
        <f t="shared" si="351"/>
        <v>0.12966669625843782</v>
      </c>
      <c r="J344" s="3">
        <f t="shared" si="351"/>
        <v>0.12900473306606308</v>
      </c>
      <c r="K344" s="3">
        <f t="shared" si="351"/>
        <v>0.12256815023130024</v>
      </c>
      <c r="L344" s="3">
        <f t="shared" si="351"/>
        <v>7.3467879682643525E-2</v>
      </c>
      <c r="M344" s="3">
        <f t="shared" si="351"/>
        <v>4.3984154509668774E-4</v>
      </c>
      <c r="N344" s="3">
        <f t="shared" si="351"/>
        <v>2.601858465835347E-26</v>
      </c>
      <c r="O344" s="3">
        <f t="shared" si="351"/>
        <v>1.3650792693633489E-248</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0.10714973449693292</v>
      </c>
      <c r="C345" s="3">
        <f t="shared" si="352"/>
        <v>0.10714973449198578</v>
      </c>
      <c r="D345" s="3">
        <f t="shared" si="352"/>
        <v>0.1071497344425144</v>
      </c>
      <c r="E345" s="3">
        <f t="shared" si="352"/>
        <v>0.10714973394780063</v>
      </c>
      <c r="F345" s="3">
        <f t="shared" si="352"/>
        <v>0.10714972900066291</v>
      </c>
      <c r="G345" s="3">
        <f t="shared" si="352"/>
        <v>0.10714967952929827</v>
      </c>
      <c r="H345" s="3">
        <f t="shared" si="352"/>
        <v>0.10714918481690819</v>
      </c>
      <c r="I345" s="3">
        <f t="shared" si="352"/>
        <v>0.10714423781863104</v>
      </c>
      <c r="J345" s="3">
        <f t="shared" si="352"/>
        <v>0.1070947803960778</v>
      </c>
      <c r="K345" s="3">
        <f t="shared" si="352"/>
        <v>0.10660146004934949</v>
      </c>
      <c r="L345" s="3">
        <f t="shared" si="352"/>
        <v>0.10179152865513136</v>
      </c>
      <c r="M345" s="3">
        <f t="shared" si="352"/>
        <v>6.4149971983652243E-2</v>
      </c>
      <c r="N345" s="3">
        <f t="shared" si="352"/>
        <v>6.339351269349058E-4</v>
      </c>
      <c r="O345" s="3">
        <f t="shared" si="352"/>
        <v>5.6302577581725615E-24</v>
      </c>
      <c r="P345" s="3">
        <f t="shared" si="352"/>
        <v>1.7193444203987556E-224</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7.4657991153022671E-2</v>
      </c>
      <c r="C346" s="3">
        <f t="shared" si="353"/>
        <v>7.4657991152711711E-2</v>
      </c>
      <c r="D346" s="3">
        <f t="shared" si="353"/>
        <v>7.4657991149602254E-2</v>
      </c>
      <c r="E346" s="3">
        <f t="shared" si="353"/>
        <v>7.4657991118507586E-2</v>
      </c>
      <c r="F346" s="3">
        <f t="shared" si="353"/>
        <v>7.4657990807560998E-2</v>
      </c>
      <c r="G346" s="3">
        <f t="shared" si="353"/>
        <v>7.4657987698095132E-2</v>
      </c>
      <c r="H346" s="3">
        <f t="shared" si="353"/>
        <v>7.4657956603443612E-2</v>
      </c>
      <c r="I346" s="3">
        <f t="shared" si="353"/>
        <v>7.4657645657640742E-2</v>
      </c>
      <c r="J346" s="3">
        <f t="shared" si="353"/>
        <v>7.4654536270839969E-2</v>
      </c>
      <c r="K346" s="3">
        <f t="shared" si="353"/>
        <v>7.4623449524531565E-2</v>
      </c>
      <c r="L346" s="3">
        <f t="shared" si="353"/>
        <v>7.4313293135133351E-2</v>
      </c>
      <c r="M346" s="3">
        <f t="shared" si="353"/>
        <v>7.1281752924140504E-2</v>
      </c>
      <c r="N346" s="3">
        <f t="shared" si="353"/>
        <v>4.699990830728587E-2</v>
      </c>
      <c r="O346" s="3">
        <f t="shared" si="353"/>
        <v>7.2993368553124797E-4</v>
      </c>
      <c r="P346" s="3">
        <f t="shared" si="353"/>
        <v>5.9586429437453122E-22</v>
      </c>
      <c r="Q346" s="3">
        <f t="shared" si="353"/>
        <v>7.8304536263842429E-203</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2.5780107678567837E-2</v>
      </c>
      <c r="C347" s="3">
        <f t="shared" si="354"/>
        <v>2.5780107678558151E-2</v>
      </c>
      <c r="D347" s="3">
        <f t="shared" si="354"/>
        <v>2.5780107678461294E-2</v>
      </c>
      <c r="E347" s="3">
        <f t="shared" si="354"/>
        <v>2.5780107677492701E-2</v>
      </c>
      <c r="F347" s="3">
        <f t="shared" si="354"/>
        <v>2.5780107667806782E-2</v>
      </c>
      <c r="G347" s="3">
        <f t="shared" si="354"/>
        <v>2.5780107570947595E-2</v>
      </c>
      <c r="H347" s="3">
        <f t="shared" si="354"/>
        <v>2.5780106602355739E-2</v>
      </c>
      <c r="I347" s="3">
        <f t="shared" si="354"/>
        <v>2.5780096916439198E-2</v>
      </c>
      <c r="J347" s="3">
        <f t="shared" si="354"/>
        <v>2.5780000057473929E-2</v>
      </c>
      <c r="K347" s="3">
        <f t="shared" si="354"/>
        <v>2.5779031487836137E-2</v>
      </c>
      <c r="L347" s="3">
        <f t="shared" si="354"/>
        <v>2.5769347792667568E-2</v>
      </c>
      <c r="M347" s="3">
        <f t="shared" si="354"/>
        <v>2.5672710684002824E-2</v>
      </c>
      <c r="N347" s="3">
        <f t="shared" si="354"/>
        <v>2.4726048859952537E-2</v>
      </c>
      <c r="O347" s="3">
        <f t="shared" si="354"/>
        <v>1.6981837786237842E-2</v>
      </c>
      <c r="P347" s="3">
        <f t="shared" si="354"/>
        <v>3.9653756748606869E-4</v>
      </c>
      <c r="Q347" s="3">
        <f t="shared" si="354"/>
        <v>1.91108867305534E-20</v>
      </c>
      <c r="R347" s="3">
        <f t="shared" si="354"/>
        <v>1.2919504028011524E-183</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2.4060337070104035E-2</v>
      </c>
      <c r="C348" s="3">
        <f t="shared" si="355"/>
        <v>2.4060337070101533E-2</v>
      </c>
      <c r="D348" s="3">
        <f t="shared" si="355"/>
        <v>2.4060337070076532E-2</v>
      </c>
      <c r="E348" s="3">
        <f t="shared" si="355"/>
        <v>2.4060337069826514E-2</v>
      </c>
      <c r="F348" s="3">
        <f t="shared" si="355"/>
        <v>2.406033706732634E-2</v>
      </c>
      <c r="G348" s="3">
        <f t="shared" si="355"/>
        <v>2.4060337042324572E-2</v>
      </c>
      <c r="H348" s="3">
        <f t="shared" si="355"/>
        <v>2.406033679230693E-2</v>
      </c>
      <c r="I348" s="3">
        <f t="shared" si="355"/>
        <v>2.4060334292130614E-2</v>
      </c>
      <c r="J348" s="3">
        <f t="shared" si="355"/>
        <v>2.4060309290381741E-2</v>
      </c>
      <c r="K348" s="3">
        <f t="shared" si="355"/>
        <v>2.4060059274321931E-2</v>
      </c>
      <c r="L348" s="3">
        <f t="shared" si="355"/>
        <v>2.405755925660788E-2</v>
      </c>
      <c r="M348" s="3">
        <f t="shared" si="355"/>
        <v>2.4032573362380519E-2</v>
      </c>
      <c r="N348" s="3">
        <f t="shared" si="355"/>
        <v>2.3784137235199634E-2</v>
      </c>
      <c r="O348" s="3">
        <f t="shared" si="355"/>
        <v>2.143673581808294E-2</v>
      </c>
      <c r="P348" s="3">
        <f t="shared" si="355"/>
        <v>7.5835262282636694E-3</v>
      </c>
      <c r="Q348" s="3">
        <f t="shared" si="355"/>
        <v>2.3280728512252078E-7</v>
      </c>
      <c r="R348" s="3">
        <f t="shared" si="355"/>
        <v>1.730813597356816E-52</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1.2267955807966135E-2</v>
      </c>
      <c r="C349" s="3">
        <f t="shared" si="356"/>
        <v>1.2267955807966007E-2</v>
      </c>
      <c r="D349" s="3">
        <f t="shared" si="356"/>
        <v>1.2267955807964732E-2</v>
      </c>
      <c r="E349" s="3">
        <f t="shared" si="356"/>
        <v>1.2267955807951984E-2</v>
      </c>
      <c r="F349" s="3">
        <f t="shared" si="356"/>
        <v>1.2267955807824506E-2</v>
      </c>
      <c r="G349" s="3">
        <f t="shared" si="356"/>
        <v>1.2267955806549708E-2</v>
      </c>
      <c r="H349" s="3">
        <f t="shared" si="356"/>
        <v>1.2267955793801735E-2</v>
      </c>
      <c r="I349" s="3">
        <f t="shared" si="356"/>
        <v>1.2267955666321998E-2</v>
      </c>
      <c r="J349" s="3">
        <f t="shared" si="356"/>
        <v>1.2267954391524706E-2</v>
      </c>
      <c r="K349" s="3">
        <f t="shared" si="356"/>
        <v>1.2267941643559065E-2</v>
      </c>
      <c r="L349" s="3">
        <f t="shared" si="356"/>
        <v>1.2267814164631231E-2</v>
      </c>
      <c r="M349" s="3">
        <f t="shared" si="356"/>
        <v>1.2266539448207027E-2</v>
      </c>
      <c r="N349" s="3">
        <f t="shared" si="356"/>
        <v>1.2253799566578991E-2</v>
      </c>
      <c r="O349" s="3">
        <f t="shared" si="356"/>
        <v>1.2127126219465149E-2</v>
      </c>
      <c r="P349" s="3">
        <f t="shared" si="356"/>
        <v>1.0930226244006084E-2</v>
      </c>
      <c r="Q349" s="3">
        <f t="shared" si="356"/>
        <v>3.8667107765704947E-3</v>
      </c>
      <c r="R349" s="3">
        <f t="shared" si="356"/>
        <v>1.1870446691307628E-7</v>
      </c>
      <c r="S349" s="3">
        <f t="shared" si="356"/>
        <v>8.825123547659542E-53</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7.7350329579382448E-4</v>
      </c>
      <c r="C350" s="3">
        <f t="shared" si="357"/>
        <v>7.7350329579382372E-4</v>
      </c>
      <c r="D350" s="3">
        <f t="shared" si="357"/>
        <v>7.7350329579381569E-4</v>
      </c>
      <c r="E350" s="3">
        <f t="shared" si="357"/>
        <v>7.7350329579373525E-4</v>
      </c>
      <c r="F350" s="3">
        <f t="shared" si="357"/>
        <v>7.7350329579293142E-4</v>
      </c>
      <c r="G350" s="3">
        <f t="shared" si="357"/>
        <v>7.7350329578489379E-4</v>
      </c>
      <c r="H350" s="3">
        <f t="shared" si="357"/>
        <v>7.735032957045169E-4</v>
      </c>
      <c r="I350" s="3">
        <f t="shared" si="357"/>
        <v>7.7350329490074817E-4</v>
      </c>
      <c r="J350" s="3">
        <f t="shared" si="357"/>
        <v>7.7350328686306058E-4</v>
      </c>
      <c r="K350" s="3">
        <f t="shared" si="357"/>
        <v>7.7350320648618908E-4</v>
      </c>
      <c r="L350" s="3">
        <f t="shared" si="357"/>
        <v>7.7350240271793368E-4</v>
      </c>
      <c r="M350" s="3">
        <f t="shared" si="357"/>
        <v>7.7349436508131609E-4</v>
      </c>
      <c r="N350" s="3">
        <f t="shared" si="357"/>
        <v>7.7341399330864609E-4</v>
      </c>
      <c r="O350" s="3">
        <f t="shared" si="357"/>
        <v>7.7261073475591243E-4</v>
      </c>
      <c r="P350" s="3">
        <f t="shared" si="357"/>
        <v>7.6462389057294197E-4</v>
      </c>
      <c r="Q350" s="3">
        <f t="shared" si="357"/>
        <v>6.8915850006738056E-4</v>
      </c>
      <c r="R350" s="3">
        <f t="shared" si="357"/>
        <v>2.4379885095580787E-4</v>
      </c>
      <c r="S350" s="3">
        <f t="shared" si="357"/>
        <v>7.4844006466905965E-9</v>
      </c>
      <c r="T350" s="3">
        <f t="shared" si="357"/>
        <v>5.5643028526967287E-54</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2.8862774017939779E-3</v>
      </c>
      <c r="C351" s="3">
        <f t="shared" si="358"/>
        <v>2.8862774017939775E-3</v>
      </c>
      <c r="D351" s="3">
        <f t="shared" si="358"/>
        <v>2.8862774017939749E-3</v>
      </c>
      <c r="E351" s="3">
        <f t="shared" si="358"/>
        <v>2.8862774017939445E-3</v>
      </c>
      <c r="F351" s="3">
        <f t="shared" si="358"/>
        <v>2.8862774017936448E-3</v>
      </c>
      <c r="G351" s="3">
        <f t="shared" si="358"/>
        <v>2.8862774017906455E-3</v>
      </c>
      <c r="H351" s="3">
        <f t="shared" si="358"/>
        <v>2.8862774017606534E-3</v>
      </c>
      <c r="I351" s="3">
        <f t="shared" si="358"/>
        <v>2.8862774014607323E-3</v>
      </c>
      <c r="J351" s="3">
        <f t="shared" si="358"/>
        <v>2.8862773984615212E-3</v>
      </c>
      <c r="K351" s="3">
        <f t="shared" si="358"/>
        <v>2.8862773684694113E-3</v>
      </c>
      <c r="L351" s="3">
        <f t="shared" si="358"/>
        <v>2.8862770685483259E-3</v>
      </c>
      <c r="M351" s="3">
        <f t="shared" si="358"/>
        <v>2.8862740693391892E-3</v>
      </c>
      <c r="N351" s="3">
        <f t="shared" si="358"/>
        <v>2.8862440774192334E-3</v>
      </c>
      <c r="O351" s="3">
        <f t="shared" si="358"/>
        <v>2.8859441753600426E-3</v>
      </c>
      <c r="P351" s="3">
        <f t="shared" si="358"/>
        <v>2.8829468681460199E-3</v>
      </c>
      <c r="Q351" s="3">
        <f t="shared" si="358"/>
        <v>2.853144476866873E-3</v>
      </c>
      <c r="R351" s="3">
        <f t="shared" si="358"/>
        <v>2.5715502646402487E-3</v>
      </c>
      <c r="S351" s="3">
        <f t="shared" si="358"/>
        <v>9.0971960678581021E-4</v>
      </c>
      <c r="T351" s="3">
        <f t="shared" si="358"/>
        <v>2.792755579709033E-8</v>
      </c>
      <c r="U351" s="3">
        <f t="shared" si="358"/>
        <v>2.0762835359342955E-53</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1.5898164143456024E-4</v>
      </c>
      <c r="C353" s="3">
        <f t="shared" si="360"/>
        <v>1.5898164143456024E-4</v>
      </c>
      <c r="D353" s="3">
        <f t="shared" si="360"/>
        <v>1.5898164143456024E-4</v>
      </c>
      <c r="E353" s="3">
        <f t="shared" si="360"/>
        <v>1.5898164143456021E-4</v>
      </c>
      <c r="F353" s="3">
        <f t="shared" si="360"/>
        <v>1.5898164143456005E-4</v>
      </c>
      <c r="G353" s="3">
        <f t="shared" si="360"/>
        <v>1.589816414345584E-4</v>
      </c>
      <c r="H353" s="3">
        <f t="shared" si="360"/>
        <v>1.5898164143454189E-4</v>
      </c>
      <c r="I353" s="3">
        <f t="shared" si="360"/>
        <v>1.5898164143437668E-4</v>
      </c>
      <c r="J353" s="3">
        <f t="shared" si="360"/>
        <v>1.5898164143272466E-4</v>
      </c>
      <c r="K353" s="3">
        <f t="shared" si="360"/>
        <v>1.5898164141620443E-4</v>
      </c>
      <c r="L353" s="3">
        <f t="shared" si="360"/>
        <v>1.5898164125100218E-4</v>
      </c>
      <c r="M353" s="3">
        <f t="shared" si="360"/>
        <v>1.5898163959897981E-4</v>
      </c>
      <c r="N353" s="3">
        <f t="shared" si="360"/>
        <v>1.5898162307875676E-4</v>
      </c>
      <c r="O353" s="3">
        <f t="shared" si="360"/>
        <v>1.5898145787662088E-4</v>
      </c>
      <c r="P353" s="3">
        <f t="shared" si="360"/>
        <v>1.5897980586470359E-4</v>
      </c>
      <c r="Q353" s="3">
        <f t="shared" si="360"/>
        <v>1.5896328668965474E-4</v>
      </c>
      <c r="R353" s="3">
        <f t="shared" si="360"/>
        <v>1.5879818931527459E-4</v>
      </c>
      <c r="S353" s="3">
        <f t="shared" si="360"/>
        <v>1.5715661699748946E-4</v>
      </c>
      <c r="T353" s="3">
        <f t="shared" si="360"/>
        <v>1.4164587293302958E-4</v>
      </c>
      <c r="U353" s="3">
        <f t="shared" si="360"/>
        <v>5.0109083846935929E-5</v>
      </c>
      <c r="V353" s="3">
        <f t="shared" si="360"/>
        <v>1.5383028184044291E-9</v>
      </c>
      <c r="W353" s="3">
        <f t="shared" si="360"/>
        <v>1.1436564081512664E-54</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1.3061991748101505E-4</v>
      </c>
      <c r="C354" s="3">
        <f t="shared" si="361"/>
        <v>1.3061991748101505E-4</v>
      </c>
      <c r="D354" s="3">
        <f t="shared" si="361"/>
        <v>1.3061991748101505E-4</v>
      </c>
      <c r="E354" s="3">
        <f t="shared" si="361"/>
        <v>1.3061991748101505E-4</v>
      </c>
      <c r="F354" s="3">
        <f t="shared" si="361"/>
        <v>1.3061991748101502E-4</v>
      </c>
      <c r="G354" s="3">
        <f t="shared" si="361"/>
        <v>1.3061991748101491E-4</v>
      </c>
      <c r="H354" s="3">
        <f t="shared" si="361"/>
        <v>1.3061991748101353E-4</v>
      </c>
      <c r="I354" s="3">
        <f t="shared" si="361"/>
        <v>1.3061991748099998E-4</v>
      </c>
      <c r="J354" s="3">
        <f t="shared" si="361"/>
        <v>1.3061991748086424E-4</v>
      </c>
      <c r="K354" s="3">
        <f t="shared" si="361"/>
        <v>1.3061991747950692E-4</v>
      </c>
      <c r="L354" s="3">
        <f t="shared" si="361"/>
        <v>1.3061991746593385E-4</v>
      </c>
      <c r="M354" s="3">
        <f t="shared" si="361"/>
        <v>1.3061991733020307E-4</v>
      </c>
      <c r="N354" s="3">
        <f t="shared" si="361"/>
        <v>1.3061991597289522E-4</v>
      </c>
      <c r="O354" s="3">
        <f t="shared" si="361"/>
        <v>1.3061990239981755E-4</v>
      </c>
      <c r="P354" s="3">
        <f t="shared" si="361"/>
        <v>1.306197666691183E-4</v>
      </c>
      <c r="Q354" s="3">
        <f t="shared" si="361"/>
        <v>1.3061840936988322E-4</v>
      </c>
      <c r="R354" s="3">
        <f t="shared" si="361"/>
        <v>1.306048371532281E-4</v>
      </c>
      <c r="S354" s="3">
        <f t="shared" si="361"/>
        <v>1.3046919252644428E-4</v>
      </c>
      <c r="T354" s="3">
        <f t="shared" si="361"/>
        <v>1.291204705057544E-4</v>
      </c>
      <c r="U354" s="3">
        <f t="shared" si="361"/>
        <v>1.1637678455882803E-4</v>
      </c>
      <c r="V354" s="3">
        <f t="shared" si="361"/>
        <v>4.1169812678215289E-5</v>
      </c>
      <c r="W354" s="3">
        <f t="shared" si="361"/>
        <v>1.2638754096868921E-9</v>
      </c>
      <c r="X354" s="3">
        <f t="shared" si="361"/>
        <v>9.3963242743874807E-55</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8.1332295555460314E-5</v>
      </c>
      <c r="C356" s="3">
        <f t="shared" si="363"/>
        <v>8.1332295555460314E-5</v>
      </c>
      <c r="D356" s="3">
        <f t="shared" si="363"/>
        <v>8.1332295555460314E-5</v>
      </c>
      <c r="E356" s="3">
        <f t="shared" si="363"/>
        <v>8.1332295555460314E-5</v>
      </c>
      <c r="F356" s="3">
        <f t="shared" si="363"/>
        <v>8.1332295555460314E-5</v>
      </c>
      <c r="G356" s="3">
        <f t="shared" si="363"/>
        <v>8.1332295555460314E-5</v>
      </c>
      <c r="H356" s="3">
        <f t="shared" si="363"/>
        <v>8.13322955554603E-5</v>
      </c>
      <c r="I356" s="3">
        <f t="shared" si="363"/>
        <v>8.1332295555460219E-5</v>
      </c>
      <c r="J356" s="3">
        <f t="shared" si="363"/>
        <v>8.1332295555459379E-5</v>
      </c>
      <c r="K356" s="3">
        <f t="shared" si="363"/>
        <v>8.1332295555450922E-5</v>
      </c>
      <c r="L356" s="3">
        <f t="shared" si="363"/>
        <v>8.1332295555366408E-5</v>
      </c>
      <c r="M356" s="3">
        <f t="shared" si="363"/>
        <v>8.1332295554521259E-5</v>
      </c>
      <c r="N356" s="3">
        <f t="shared" si="363"/>
        <v>8.1332295546069795E-5</v>
      </c>
      <c r="O356" s="3">
        <f t="shared" si="363"/>
        <v>8.1332295461555151E-5</v>
      </c>
      <c r="P356" s="3">
        <f t="shared" si="363"/>
        <v>8.1332294616408675E-5</v>
      </c>
      <c r="Q356" s="3">
        <f t="shared" si="363"/>
        <v>8.1332286164944402E-5</v>
      </c>
      <c r="R356" s="3">
        <f t="shared" si="363"/>
        <v>8.1332201650350009E-5</v>
      </c>
      <c r="S356" s="3">
        <f t="shared" si="363"/>
        <v>8.1331356509236193E-5</v>
      </c>
      <c r="T356" s="3">
        <f t="shared" si="363"/>
        <v>8.1322905581095794E-5</v>
      </c>
      <c r="U356" s="3">
        <f t="shared" si="363"/>
        <v>8.1238444580898839E-5</v>
      </c>
      <c r="V356" s="3">
        <f t="shared" si="363"/>
        <v>8.0398644188092367E-5</v>
      </c>
      <c r="W356" s="3">
        <f t="shared" si="363"/>
        <v>7.2463612135633524E-5</v>
      </c>
      <c r="X356" s="3">
        <f t="shared" si="363"/>
        <v>2.5634952442794347E-5</v>
      </c>
      <c r="Y356" s="3">
        <f t="shared" si="363"/>
        <v>7.8696947868515824E-10</v>
      </c>
      <c r="Z356" s="3">
        <f t="shared" si="363"/>
        <v>5.8507510780697363E-55</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6.4178085162845428E-4</v>
      </c>
      <c r="C357" s="3">
        <f t="shared" si="364"/>
        <v>6.4178085162845428E-4</v>
      </c>
      <c r="D357" s="3">
        <f t="shared" si="364"/>
        <v>6.4178085162845428E-4</v>
      </c>
      <c r="E357" s="3">
        <f t="shared" si="364"/>
        <v>6.4178085162845428E-4</v>
      </c>
      <c r="F357" s="3">
        <f t="shared" si="364"/>
        <v>6.4178085162845428E-4</v>
      </c>
      <c r="G357" s="3">
        <f t="shared" si="364"/>
        <v>6.4178085162845428E-4</v>
      </c>
      <c r="H357" s="3">
        <f t="shared" si="364"/>
        <v>6.4178085162845428E-4</v>
      </c>
      <c r="I357" s="3">
        <f t="shared" si="364"/>
        <v>6.4178085162845417E-4</v>
      </c>
      <c r="J357" s="3">
        <f t="shared" si="364"/>
        <v>6.4178085162845352E-4</v>
      </c>
      <c r="K357" s="3">
        <f t="shared" si="364"/>
        <v>6.4178085162844691E-4</v>
      </c>
      <c r="L357" s="3">
        <f t="shared" si="364"/>
        <v>6.4178085162838023E-4</v>
      </c>
      <c r="M357" s="3">
        <f t="shared" si="364"/>
        <v>6.4178085162771323E-4</v>
      </c>
      <c r="N357" s="3">
        <f t="shared" si="364"/>
        <v>6.4178085162104441E-4</v>
      </c>
      <c r="O357" s="3">
        <f t="shared" si="364"/>
        <v>6.4178085155435513E-4</v>
      </c>
      <c r="P357" s="3">
        <f t="shared" si="364"/>
        <v>6.4178085088746281E-4</v>
      </c>
      <c r="Q357" s="3">
        <f t="shared" si="364"/>
        <v>6.417808442185398E-4</v>
      </c>
      <c r="R357" s="3">
        <f t="shared" si="364"/>
        <v>6.4178077752931253E-4</v>
      </c>
      <c r="S357" s="3">
        <f t="shared" si="364"/>
        <v>6.4178011063742175E-4</v>
      </c>
      <c r="T357" s="3">
        <f t="shared" si="364"/>
        <v>6.4177344175662769E-4</v>
      </c>
      <c r="U357" s="3">
        <f t="shared" si="364"/>
        <v>6.4170675675994879E-4</v>
      </c>
      <c r="V357" s="3">
        <f t="shared" si="364"/>
        <v>6.4104028777286809E-4</v>
      </c>
      <c r="W357" s="3">
        <f t="shared" si="364"/>
        <v>6.3441354980104086E-4</v>
      </c>
      <c r="X357" s="3">
        <f t="shared" si="364"/>
        <v>5.7179941117939674E-4</v>
      </c>
      <c r="Y357" s="3">
        <f t="shared" si="364"/>
        <v>2.0228153524786329E-4</v>
      </c>
      <c r="Z357" s="3">
        <f t="shared" si="364"/>
        <v>6.2098572133840849E-9</v>
      </c>
      <c r="AA357" s="3">
        <f t="shared" si="364"/>
        <v>4.6167392471902312E-54</v>
      </c>
      <c r="AB357" s="3">
        <f t="shared" si="364"/>
        <v>0</v>
      </c>
      <c r="AC357" s="3">
        <f t="shared" si="364"/>
        <v>0</v>
      </c>
      <c r="AD357" s="3">
        <f t="shared" si="364"/>
        <v>0</v>
      </c>
      <c r="AE357" s="3">
        <f t="shared" si="364"/>
        <v>0</v>
      </c>
      <c r="AF357" s="3">
        <f t="shared" si="364"/>
        <v>0</v>
      </c>
      <c r="AG357" s="3"/>
      <c r="AH357" s="3"/>
    </row>
    <row r="358" spans="1:34" x14ac:dyDescent="0.25">
      <c r="A358" s="79">
        <f>AVERAGE(B358:AF358)</f>
        <v>0.13858248626511122</v>
      </c>
      <c r="B358" s="80">
        <f>IF($A$64&lt;=B324,IF($B$64&gt;=B324,ABS((B326-B325)/B325),0),0)</f>
        <v>1.9659041417187672E-2</v>
      </c>
      <c r="C358" s="80">
        <f t="shared" ref="C358:AF358" si="365">IF($A$64&lt;=C324,IF($B$64&gt;=C324,ABS((C326-C325)/C325),0),0)</f>
        <v>2.7384125637447708E-2</v>
      </c>
      <c r="D358" s="80">
        <f t="shared" si="365"/>
        <v>3.4660973671620528E-2</v>
      </c>
      <c r="E358" s="80">
        <f t="shared" si="365"/>
        <v>3.6840969266873629E-2</v>
      </c>
      <c r="F358" s="80">
        <f t="shared" si="365"/>
        <v>3.7971840605902987E-2</v>
      </c>
      <c r="G358" s="80">
        <f t="shared" si="365"/>
        <v>4.1728507631711723E-2</v>
      </c>
      <c r="H358" s="80">
        <f t="shared" si="365"/>
        <v>4.5130266730559677E-2</v>
      </c>
      <c r="I358" s="80">
        <f t="shared" si="365"/>
        <v>5.4561868656052219E-2</v>
      </c>
      <c r="J358" s="80">
        <f t="shared" si="365"/>
        <v>4.3678113472909563E-2</v>
      </c>
      <c r="K358" s="80">
        <f t="shared" si="365"/>
        <v>2.6889309406288624E-2</v>
      </c>
      <c r="L358" s="80">
        <f t="shared" si="365"/>
        <v>0.109530731670181</v>
      </c>
      <c r="M358" s="80">
        <f t="shared" si="365"/>
        <v>0.14281863373560752</v>
      </c>
      <c r="N358" s="80">
        <f t="shared" si="365"/>
        <v>0.17226606499478112</v>
      </c>
      <c r="O358" s="80">
        <f t="shared" si="365"/>
        <v>0.21385776315531804</v>
      </c>
      <c r="P358" s="80">
        <f t="shared" si="365"/>
        <v>0.26996690289990222</v>
      </c>
      <c r="Q358" s="80">
        <f t="shared" si="365"/>
        <v>0.40542636404033272</v>
      </c>
      <c r="R358" s="80">
        <f t="shared" si="365"/>
        <v>0.46914105913163756</v>
      </c>
      <c r="S358" s="80">
        <f t="shared" si="365"/>
        <v>0.46197630986762489</v>
      </c>
      <c r="T358" s="80">
        <f t="shared" si="365"/>
        <v>0.41091550806952343</v>
      </c>
      <c r="U358" s="80">
        <f t="shared" si="365"/>
        <v>0.30270561638834481</v>
      </c>
      <c r="V358" s="80">
        <f t="shared" si="365"/>
        <v>0.20932371892065665</v>
      </c>
      <c r="W358" s="80">
        <f t="shared" si="365"/>
        <v>0.1388344585877952</v>
      </c>
      <c r="X358" s="80">
        <f t="shared" si="365"/>
        <v>9.5653175257543133E-2</v>
      </c>
      <c r="Y358" s="80">
        <f t="shared" si="365"/>
        <v>9.1849529995339782E-2</v>
      </c>
      <c r="Z358" s="80">
        <f t="shared" si="365"/>
        <v>8.5408876875829987E-2</v>
      </c>
      <c r="AA358" s="80">
        <f t="shared" si="365"/>
        <v>7.0740675668918521E-2</v>
      </c>
      <c r="AB358" s="80">
        <f t="shared" si="365"/>
        <v>6.8172416945184597E-2</v>
      </c>
      <c r="AC358" s="80">
        <f t="shared" si="365"/>
        <v>5.7530283280142841E-2</v>
      </c>
      <c r="AD358" s="80">
        <f t="shared" si="365"/>
        <v>5.546053992566008E-2</v>
      </c>
      <c r="AE358" s="80">
        <f t="shared" si="365"/>
        <v>4.9221808254022018E-2</v>
      </c>
      <c r="AF358" s="80">
        <f t="shared" si="365"/>
        <v>4.6751620057546073E-2</v>
      </c>
    </row>
    <row r="359" spans="1:34" x14ac:dyDescent="0.25">
      <c r="B359" s="21">
        <f>(B326-B325)^2</f>
        <v>16762.318603469292</v>
      </c>
      <c r="C359" s="21">
        <f t="shared" ref="C359:AF359" si="366">(C326-C325)^2</f>
        <v>30088.900894803704</v>
      </c>
      <c r="D359" s="21">
        <f t="shared" si="366"/>
        <v>44669.928813308994</v>
      </c>
      <c r="E359" s="21">
        <f t="shared" si="366"/>
        <v>46057.98570769222</v>
      </c>
      <c r="F359" s="21">
        <f t="shared" si="366"/>
        <v>44363.843352732278</v>
      </c>
      <c r="G359" s="21">
        <f t="shared" si="366"/>
        <v>48127.865238211067</v>
      </c>
      <c r="H359" s="21">
        <f t="shared" si="366"/>
        <v>49772.287932973421</v>
      </c>
      <c r="I359" s="21">
        <f t="shared" si="366"/>
        <v>62263.201017792468</v>
      </c>
      <c r="J359" s="21">
        <f t="shared" si="366"/>
        <v>31746.328159936245</v>
      </c>
      <c r="K359" s="21">
        <f t="shared" si="366"/>
        <v>8652.1320597849026</v>
      </c>
      <c r="L359" s="21">
        <f t="shared" si="366"/>
        <v>87646.907513054844</v>
      </c>
      <c r="M359" s="21">
        <f t="shared" si="366"/>
        <v>68468.794656258367</v>
      </c>
      <c r="N359" s="21">
        <f t="shared" si="366"/>
        <v>36243.818220843787</v>
      </c>
      <c r="O359" s="21">
        <f t="shared" si="366"/>
        <v>18205.25768113312</v>
      </c>
      <c r="P359" s="21">
        <f t="shared" si="366"/>
        <v>9148.1322102767153</v>
      </c>
      <c r="Q359" s="21">
        <f t="shared" si="366"/>
        <v>10127.676296335043</v>
      </c>
      <c r="R359" s="21">
        <f t="shared" si="366"/>
        <v>10133.609990857829</v>
      </c>
      <c r="S359" s="21">
        <f t="shared" si="366"/>
        <v>7361.8067781327818</v>
      </c>
      <c r="T359" s="21">
        <f t="shared" si="366"/>
        <v>4220.3651334374654</v>
      </c>
      <c r="U359" s="21">
        <f t="shared" si="366"/>
        <v>1607.8190217808281</v>
      </c>
      <c r="V359" s="21">
        <f t="shared" si="366"/>
        <v>585.97739082207556</v>
      </c>
      <c r="W359" s="21">
        <f t="shared" si="366"/>
        <v>215.36385427929471</v>
      </c>
      <c r="X359" s="21">
        <f t="shared" si="366"/>
        <v>91.07318521235689</v>
      </c>
      <c r="Y359" s="21">
        <f t="shared" si="366"/>
        <v>78.010849625982104</v>
      </c>
      <c r="Z359" s="21">
        <f t="shared" si="366"/>
        <v>64.26775809393304</v>
      </c>
      <c r="AA359" s="21">
        <f t="shared" si="366"/>
        <v>42.70760168682456</v>
      </c>
      <c r="AB359" s="21">
        <f t="shared" si="366"/>
        <v>39.444539555571453</v>
      </c>
      <c r="AC359" s="21">
        <f t="shared" si="366"/>
        <v>27.459893447768717</v>
      </c>
      <c r="AD359" s="21">
        <f t="shared" si="366"/>
        <v>25.407890302649733</v>
      </c>
      <c r="AE359" s="21">
        <f t="shared" si="366"/>
        <v>19.751375100536116</v>
      </c>
      <c r="AF359" s="21">
        <f t="shared" si="366"/>
        <v>17.726451611668246</v>
      </c>
      <c r="AG359" s="3"/>
      <c r="AH359" s="3"/>
    </row>
    <row r="360" spans="1:34" x14ac:dyDescent="0.25">
      <c r="A360" s="71">
        <f>SUM(B360:AF360)</f>
        <v>636876.1700725538</v>
      </c>
      <c r="B360" s="60">
        <f>IF($A$64&lt;=B324,IF($B$64&gt;=B324,ABS(B359),0),0)</f>
        <v>16762.318603469292</v>
      </c>
      <c r="C360" s="60">
        <f t="shared" ref="C360:AF360" si="367">IF($A$64&lt;=C324,IF($B$64&gt;=C324,ABS(C359),0),0)</f>
        <v>30088.900894803704</v>
      </c>
      <c r="D360" s="60">
        <f t="shared" si="367"/>
        <v>44669.928813308994</v>
      </c>
      <c r="E360" s="60">
        <f t="shared" si="367"/>
        <v>46057.98570769222</v>
      </c>
      <c r="F360" s="60">
        <f t="shared" si="367"/>
        <v>44363.843352732278</v>
      </c>
      <c r="G360" s="60">
        <f t="shared" si="367"/>
        <v>48127.865238211067</v>
      </c>
      <c r="H360" s="60">
        <f t="shared" si="367"/>
        <v>49772.287932973421</v>
      </c>
      <c r="I360" s="60">
        <f t="shared" si="367"/>
        <v>62263.201017792468</v>
      </c>
      <c r="J360" s="60">
        <f t="shared" si="367"/>
        <v>31746.328159936245</v>
      </c>
      <c r="K360" s="60">
        <f t="shared" si="367"/>
        <v>8652.1320597849026</v>
      </c>
      <c r="L360" s="60">
        <f t="shared" si="367"/>
        <v>87646.907513054844</v>
      </c>
      <c r="M360" s="60">
        <f t="shared" si="367"/>
        <v>68468.794656258367</v>
      </c>
      <c r="N360" s="60">
        <f t="shared" si="367"/>
        <v>36243.818220843787</v>
      </c>
      <c r="O360" s="60">
        <f t="shared" si="367"/>
        <v>18205.25768113312</v>
      </c>
      <c r="P360" s="60">
        <f t="shared" si="367"/>
        <v>9148.1322102767153</v>
      </c>
      <c r="Q360" s="60">
        <f t="shared" si="367"/>
        <v>10127.676296335043</v>
      </c>
      <c r="R360" s="60">
        <f t="shared" si="367"/>
        <v>10133.609990857829</v>
      </c>
      <c r="S360" s="60">
        <f t="shared" si="367"/>
        <v>7361.8067781327818</v>
      </c>
      <c r="T360" s="60">
        <f t="shared" si="367"/>
        <v>4220.3651334374654</v>
      </c>
      <c r="U360" s="60">
        <f t="shared" si="367"/>
        <v>1607.8190217808281</v>
      </c>
      <c r="V360" s="60">
        <f t="shared" si="367"/>
        <v>585.97739082207556</v>
      </c>
      <c r="W360" s="60">
        <f t="shared" si="367"/>
        <v>215.36385427929471</v>
      </c>
      <c r="X360" s="60">
        <f t="shared" si="367"/>
        <v>91.07318521235689</v>
      </c>
      <c r="Y360" s="60">
        <f t="shared" si="367"/>
        <v>78.010849625982104</v>
      </c>
      <c r="Z360" s="60">
        <f t="shared" si="367"/>
        <v>64.26775809393304</v>
      </c>
      <c r="AA360" s="60">
        <f t="shared" si="367"/>
        <v>42.70760168682456</v>
      </c>
      <c r="AB360" s="60">
        <f t="shared" si="367"/>
        <v>39.444539555571453</v>
      </c>
      <c r="AC360" s="60">
        <f t="shared" si="367"/>
        <v>27.459893447768717</v>
      </c>
      <c r="AD360" s="60">
        <f t="shared" si="367"/>
        <v>25.407890302649733</v>
      </c>
      <c r="AE360" s="60">
        <f t="shared" si="367"/>
        <v>19.751375100536116</v>
      </c>
      <c r="AF360" s="60">
        <f t="shared" si="367"/>
        <v>17.726451611668246</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6359.4469871675828</v>
      </c>
      <c r="C365" s="27">
        <f t="shared" ref="C365:AF365" si="368">($C$17+SUM(C366:C396))*$B$51</f>
        <v>6116.7626043354721</v>
      </c>
      <c r="D365" s="27">
        <f t="shared" si="368"/>
        <v>5822.4527181041503</v>
      </c>
      <c r="E365" s="27">
        <f t="shared" si="368"/>
        <v>5545.8060329037098</v>
      </c>
      <c r="F365" s="27">
        <f t="shared" si="368"/>
        <v>5240.7933930952768</v>
      </c>
      <c r="G365" s="27">
        <f t="shared" si="368"/>
        <v>4904.2350015035972</v>
      </c>
      <c r="H365" s="27">
        <f t="shared" si="368"/>
        <v>4426.8119177594117</v>
      </c>
      <c r="I365" s="27">
        <f t="shared" si="368"/>
        <v>3569.8704600112756</v>
      </c>
      <c r="J365" s="27">
        <f t="shared" si="368"/>
        <v>2590.8913504497532</v>
      </c>
      <c r="K365" s="27">
        <f t="shared" si="368"/>
        <v>1722.6636198347071</v>
      </c>
      <c r="L365" s="27">
        <f t="shared" si="368"/>
        <v>1025.5011937454726</v>
      </c>
      <c r="M365" s="27">
        <f t="shared" si="368"/>
        <v>558.42827025259305</v>
      </c>
      <c r="N365" s="27">
        <f t="shared" si="368"/>
        <v>310.00891282736075</v>
      </c>
      <c r="O365" s="27">
        <f t="shared" si="368"/>
        <v>165.46971256999012</v>
      </c>
      <c r="P365" s="27">
        <f t="shared" si="368"/>
        <v>116.0259278225257</v>
      </c>
      <c r="Q365" s="27">
        <f t="shared" si="368"/>
        <v>104.01587292123605</v>
      </c>
      <c r="R365" s="27">
        <f t="shared" si="368"/>
        <v>93.211562881522184</v>
      </c>
      <c r="S365" s="27">
        <f t="shared" si="368"/>
        <v>92.633315158190285</v>
      </c>
      <c r="T365" s="27">
        <f t="shared" si="368"/>
        <v>91.627692207907586</v>
      </c>
      <c r="U365" s="27">
        <f t="shared" si="368"/>
        <v>91.077460531386237</v>
      </c>
      <c r="V365" s="27">
        <f t="shared" si="368"/>
        <v>90.545643655084177</v>
      </c>
      <c r="W365" s="27">
        <f t="shared" si="368"/>
        <v>88.236539443507894</v>
      </c>
      <c r="X365" s="27">
        <f t="shared" si="368"/>
        <v>85.851428621928051</v>
      </c>
      <c r="Y365" s="27">
        <f t="shared" si="368"/>
        <v>85.846049770690044</v>
      </c>
      <c r="Z365" s="27">
        <f t="shared" si="368"/>
        <v>85.846049770690044</v>
      </c>
      <c r="AA365" s="27">
        <f t="shared" si="368"/>
        <v>85.846049770690044</v>
      </c>
      <c r="AB365" s="27">
        <f t="shared" si="368"/>
        <v>85.846049770690044</v>
      </c>
      <c r="AC365" s="27">
        <f t="shared" si="368"/>
        <v>85.846049770690044</v>
      </c>
      <c r="AD365" s="27">
        <f t="shared" si="368"/>
        <v>85.846049770690044</v>
      </c>
      <c r="AE365" s="27">
        <f t="shared" si="368"/>
        <v>85.846049770690044</v>
      </c>
      <c r="AF365" s="27">
        <f t="shared" si="368"/>
        <v>85.846049770690044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6.0398104560740756E-43</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6.9727338949731812E-6</v>
      </c>
      <c r="C374" s="3">
        <f t="shared" si="377"/>
        <v>7.5060746858175545E-39</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1.1278556713241749E-2</v>
      </c>
      <c r="C375" s="3">
        <f t="shared" si="378"/>
        <v>1.1974752432090095E-5</v>
      </c>
      <c r="D375" s="3">
        <f t="shared" si="378"/>
        <v>2.1796998865432632E-35</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4.2498221639738418E-2</v>
      </c>
      <c r="C376" s="3">
        <f t="shared" si="379"/>
        <v>2.2913550541979463E-2</v>
      </c>
      <c r="D376" s="3">
        <f t="shared" si="379"/>
        <v>4.7567323825620446E-5</v>
      </c>
      <c r="E376" s="3">
        <f t="shared" si="379"/>
        <v>7.0708561516562573E-32</v>
      </c>
      <c r="F376" s="3">
        <f t="shared" si="379"/>
        <v>3.7248161329191501E-300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3.7207460122787944E-2</v>
      </c>
      <c r="C377" s="3">
        <f t="shared" si="380"/>
        <v>3.5190795505732092E-2</v>
      </c>
      <c r="D377" s="3">
        <f t="shared" si="380"/>
        <v>2.0156711441520602E-2</v>
      </c>
      <c r="E377" s="3">
        <f t="shared" si="380"/>
        <v>7.6617084303258359E-5</v>
      </c>
      <c r="F377" s="3">
        <f t="shared" si="380"/>
        <v>4.823752777243353E-29</v>
      </c>
      <c r="G377" s="3">
        <f t="shared" si="380"/>
        <v>4.7204048824212244E-271</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4.1060478499009269E-2</v>
      </c>
      <c r="C378" s="3">
        <f t="shared" si="381"/>
        <v>4.085459221023572E-2</v>
      </c>
      <c r="D378" s="3">
        <f t="shared" si="381"/>
        <v>3.8851663467061967E-2</v>
      </c>
      <c r="E378" s="3">
        <f t="shared" si="381"/>
        <v>2.3501576768989334E-2</v>
      </c>
      <c r="F378" s="3">
        <f t="shared" si="381"/>
        <v>1.5415968998883751E-4</v>
      </c>
      <c r="G378" s="3">
        <f t="shared" si="381"/>
        <v>2.2735740393924025E-26</v>
      </c>
      <c r="H378" s="3">
        <f t="shared" si="381"/>
        <v>1.1068578138395489E-244</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4.6247181344834153E-2</v>
      </c>
      <c r="C379" s="3">
        <f t="shared" si="382"/>
        <v>4.6226214749160187E-2</v>
      </c>
      <c r="D379" s="3">
        <f t="shared" si="382"/>
        <v>4.6017070879229766E-2</v>
      </c>
      <c r="E379" s="3">
        <f t="shared" si="382"/>
        <v>4.397697542171411E-2</v>
      </c>
      <c r="F379" s="3">
        <f t="shared" si="382"/>
        <v>2.7944041281139833E-2</v>
      </c>
      <c r="G379" s="3">
        <f t="shared" si="382"/>
        <v>2.9986638759012929E-4</v>
      </c>
      <c r="H379" s="3">
        <f t="shared" si="382"/>
        <v>6.0717450078304843E-24</v>
      </c>
      <c r="I379" s="3">
        <f t="shared" si="382"/>
        <v>7.0334902529484559E-221</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4.2148744101717261E-2</v>
      </c>
      <c r="C380" s="3">
        <f t="shared" si="383"/>
        <v>4.2147019997704024E-2</v>
      </c>
      <c r="D380" s="3">
        <f t="shared" si="383"/>
        <v>4.2129782835963504E-2</v>
      </c>
      <c r="E380" s="3">
        <f t="shared" si="383"/>
        <v>4.195779847137858E-2</v>
      </c>
      <c r="F380" s="3">
        <f t="shared" si="383"/>
        <v>4.0276100348847037E-2</v>
      </c>
      <c r="G380" s="3">
        <f t="shared" si="383"/>
        <v>2.6754363914636665E-2</v>
      </c>
      <c r="H380" s="3">
        <f t="shared" si="383"/>
        <v>4.4757599769152219E-4</v>
      </c>
      <c r="I380" s="3">
        <f t="shared" si="383"/>
        <v>7.6840179712674685E-22</v>
      </c>
      <c r="J380" s="3">
        <f t="shared" si="383"/>
        <v>1.7092445617365266E-199</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0.11274257877748139</v>
      </c>
      <c r="C381" s="3">
        <f t="shared" si="384"/>
        <v>0.11274216275053538</v>
      </c>
      <c r="D381" s="3">
        <f t="shared" si="384"/>
        <v>0.11273800256550835</v>
      </c>
      <c r="E381" s="3">
        <f t="shared" si="384"/>
        <v>0.1126964091573975</v>
      </c>
      <c r="F381" s="3">
        <f t="shared" si="384"/>
        <v>0.11228131814073172</v>
      </c>
      <c r="G381" s="3">
        <f t="shared" si="384"/>
        <v>0.10821357463451546</v>
      </c>
      <c r="H381" s="3">
        <f t="shared" si="384"/>
        <v>7.482111102438159E-2</v>
      </c>
      <c r="I381" s="3">
        <f t="shared" si="384"/>
        <v>1.8683070247525568E-3</v>
      </c>
      <c r="J381" s="3">
        <f t="shared" si="384"/>
        <v>1.7607154951184781E-19</v>
      </c>
      <c r="K381" s="3">
        <f t="shared" si="384"/>
        <v>9.7296805464009934E-180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0.14424606088829209</v>
      </c>
      <c r="C382" s="3">
        <f t="shared" si="385"/>
        <v>0.14424601287242469</v>
      </c>
      <c r="D382" s="3">
        <f t="shared" si="385"/>
        <v>0.14424553271463</v>
      </c>
      <c r="E382" s="3">
        <f t="shared" si="385"/>
        <v>0.14424073122458975</v>
      </c>
      <c r="F382" s="3">
        <f t="shared" si="385"/>
        <v>0.14419272511378511</v>
      </c>
      <c r="G382" s="3">
        <f t="shared" si="385"/>
        <v>0.14371354188394558</v>
      </c>
      <c r="H382" s="3">
        <f t="shared" si="385"/>
        <v>0.13900842573887753</v>
      </c>
      <c r="I382" s="3">
        <f t="shared" si="385"/>
        <v>9.9649573930397597E-2</v>
      </c>
      <c r="J382" s="3">
        <f t="shared" si="385"/>
        <v>3.5712368760875191E-3</v>
      </c>
      <c r="K382" s="3">
        <f t="shared" si="385"/>
        <v>1.248103985853043E-17</v>
      </c>
      <c r="L382" s="3">
        <f t="shared" si="385"/>
        <v>3.3929065431756214E-162</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0.12974045664854683</v>
      </c>
      <c r="C383" s="3">
        <f t="shared" si="386"/>
        <v>0.12974045275269086</v>
      </c>
      <c r="D383" s="3">
        <f t="shared" si="386"/>
        <v>0.12974041379413734</v>
      </c>
      <c r="E383" s="3">
        <f t="shared" si="386"/>
        <v>0.12974002420924571</v>
      </c>
      <c r="F383" s="3">
        <f t="shared" si="386"/>
        <v>0.12973612842467047</v>
      </c>
      <c r="G383" s="3">
        <f t="shared" si="386"/>
        <v>0.12969717701230174</v>
      </c>
      <c r="H383" s="3">
        <f t="shared" si="386"/>
        <v>0.12930830551279335</v>
      </c>
      <c r="I383" s="3">
        <f t="shared" si="386"/>
        <v>0.12548314465371371</v>
      </c>
      <c r="J383" s="3">
        <f t="shared" si="386"/>
        <v>9.293410582624631E-2</v>
      </c>
      <c r="K383" s="3">
        <f t="shared" si="386"/>
        <v>4.6139452224770701E-3</v>
      </c>
      <c r="L383" s="3">
        <f t="shared" si="386"/>
        <v>4.1980299174235239E-16</v>
      </c>
      <c r="M383" s="3">
        <f t="shared" si="386"/>
        <v>1.6322116751281082E-146</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0.10714973446523313</v>
      </c>
      <c r="C384" s="3">
        <f t="shared" si="387"/>
        <v>0.10714973417498785</v>
      </c>
      <c r="D384" s="3">
        <f t="shared" si="387"/>
        <v>0.10714973127253508</v>
      </c>
      <c r="E384" s="3">
        <f t="shared" si="387"/>
        <v>0.10714970224801162</v>
      </c>
      <c r="F384" s="3">
        <f t="shared" si="387"/>
        <v>0.1071494120032095</v>
      </c>
      <c r="G384" s="3">
        <f t="shared" si="387"/>
        <v>0.10714650959842943</v>
      </c>
      <c r="H384" s="3">
        <f t="shared" si="387"/>
        <v>0.10711748987430901</v>
      </c>
      <c r="I384" s="3">
        <f t="shared" si="387"/>
        <v>0.10682772456810141</v>
      </c>
      <c r="J384" s="3">
        <f t="shared" si="387"/>
        <v>0.10397283521788006</v>
      </c>
      <c r="K384" s="3">
        <f t="shared" si="387"/>
        <v>7.9301056820862359E-2</v>
      </c>
      <c r="L384" s="3">
        <f t="shared" si="387"/>
        <v>5.2828691920190456E-3</v>
      </c>
      <c r="M384" s="3">
        <f t="shared" si="387"/>
        <v>9.0944969193106227E-15</v>
      </c>
      <c r="N384" s="3">
        <f t="shared" si="387"/>
        <v>2.0790594521488832E-132</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7.4657991151030209E-2</v>
      </c>
      <c r="C385" s="3">
        <f t="shared" si="388"/>
        <v>7.4657991132787177E-2</v>
      </c>
      <c r="D385" s="3">
        <f t="shared" si="388"/>
        <v>7.4657990950356884E-2</v>
      </c>
      <c r="E385" s="3">
        <f t="shared" si="388"/>
        <v>7.4657989126053953E-2</v>
      </c>
      <c r="F385" s="3">
        <f t="shared" si="388"/>
        <v>7.4657970883027142E-2</v>
      </c>
      <c r="G385" s="3">
        <f t="shared" si="388"/>
        <v>7.4657788453004095E-2</v>
      </c>
      <c r="H385" s="3">
        <f t="shared" si="388"/>
        <v>7.4655964177291187E-2</v>
      </c>
      <c r="I385" s="3">
        <f t="shared" si="388"/>
        <v>7.4637723871689085E-2</v>
      </c>
      <c r="J385" s="3">
        <f t="shared" si="388"/>
        <v>7.445556574686997E-2</v>
      </c>
      <c r="K385" s="3">
        <f t="shared" si="388"/>
        <v>7.2658257613501476E-2</v>
      </c>
      <c r="L385" s="3">
        <f t="shared" si="388"/>
        <v>5.6906659127327501E-2</v>
      </c>
      <c r="M385" s="3">
        <f t="shared" si="388"/>
        <v>4.942471774612954E-3</v>
      </c>
      <c r="N385" s="3">
        <f t="shared" si="388"/>
        <v>1.2071334316657689E-13</v>
      </c>
      <c r="O385" s="3">
        <f t="shared" si="388"/>
        <v>9.1172965038480879E-120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2.5780107678505772E-2</v>
      </c>
      <c r="C386" s="3">
        <f t="shared" si="389"/>
        <v>2.5780107677937505E-2</v>
      </c>
      <c r="D386" s="3">
        <f t="shared" si="389"/>
        <v>2.5780107672254842E-2</v>
      </c>
      <c r="E386" s="3">
        <f t="shared" si="389"/>
        <v>2.5780107615428201E-2</v>
      </c>
      <c r="F386" s="3">
        <f t="shared" si="389"/>
        <v>2.5780107047161809E-2</v>
      </c>
      <c r="G386" s="3">
        <f t="shared" si="389"/>
        <v>2.578010136449856E-2</v>
      </c>
      <c r="H386" s="3">
        <f t="shared" si="389"/>
        <v>2.5780044537934949E-2</v>
      </c>
      <c r="I386" s="3">
        <f t="shared" si="389"/>
        <v>2.5779476279188234E-2</v>
      </c>
      <c r="J386" s="3">
        <f t="shared" si="389"/>
        <v>2.5773794380599464E-2</v>
      </c>
      <c r="K386" s="3">
        <f t="shared" si="389"/>
        <v>2.571704422640075E-2</v>
      </c>
      <c r="L386" s="3">
        <f t="shared" si="389"/>
        <v>2.5156370044717158E-2</v>
      </c>
      <c r="M386" s="3">
        <f t="shared" si="389"/>
        <v>2.017981599627269E-2</v>
      </c>
      <c r="N386" s="3">
        <f t="shared" si="389"/>
        <v>2.2264322105054087E-3</v>
      </c>
      <c r="O386" s="3">
        <f t="shared" si="389"/>
        <v>5.9502090150547421E-13</v>
      </c>
      <c r="P386" s="3">
        <f t="shared" si="389"/>
        <v>1.1060115778110877E-108</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2.4060337070088016E-2</v>
      </c>
      <c r="C387" s="3">
        <f t="shared" si="390"/>
        <v>2.4060337069941328E-2</v>
      </c>
      <c r="D387" s="3">
        <f t="shared" si="390"/>
        <v>2.4060337068474495E-2</v>
      </c>
      <c r="E387" s="3">
        <f t="shared" si="390"/>
        <v>2.4060337053806124E-2</v>
      </c>
      <c r="F387" s="3">
        <f t="shared" si="390"/>
        <v>2.4060336907122434E-2</v>
      </c>
      <c r="G387" s="3">
        <f t="shared" si="390"/>
        <v>2.4060335440285609E-2</v>
      </c>
      <c r="H387" s="3">
        <f t="shared" si="390"/>
        <v>2.4060320771922251E-2</v>
      </c>
      <c r="I387" s="3">
        <f t="shared" si="390"/>
        <v>2.40601740887805E-2</v>
      </c>
      <c r="J387" s="3">
        <f t="shared" si="390"/>
        <v>2.405870730654586E-2</v>
      </c>
      <c r="K387" s="3">
        <f t="shared" si="390"/>
        <v>2.4044044401375763E-2</v>
      </c>
      <c r="L387" s="3">
        <f t="shared" si="390"/>
        <v>2.389790595994427E-2</v>
      </c>
      <c r="M387" s="3">
        <f t="shared" si="390"/>
        <v>2.2484493717012548E-2</v>
      </c>
      <c r="N387" s="3">
        <f t="shared" si="390"/>
        <v>1.222125384937048E-2</v>
      </c>
      <c r="O387" s="3">
        <f t="shared" si="390"/>
        <v>2.7506940289221486E-5</v>
      </c>
      <c r="P387" s="3">
        <f t="shared" si="390"/>
        <v>9.1771426383925901E-32</v>
      </c>
      <c r="Q387" s="3">
        <f t="shared" si="390"/>
        <v>1.5680483647840707E-296</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1.2267955807965318E-2</v>
      </c>
      <c r="C388" s="3">
        <f t="shared" si="391"/>
        <v>1.226795580795784E-2</v>
      </c>
      <c r="D388" s="3">
        <f t="shared" si="391"/>
        <v>1.2267955807883047E-2</v>
      </c>
      <c r="E388" s="3">
        <f t="shared" si="391"/>
        <v>1.2267955807135132E-2</v>
      </c>
      <c r="F388" s="3">
        <f t="shared" si="391"/>
        <v>1.2267955799655981E-2</v>
      </c>
      <c r="G388" s="3">
        <f t="shared" si="391"/>
        <v>1.2267955724864468E-2</v>
      </c>
      <c r="H388" s="3">
        <f t="shared" si="391"/>
        <v>1.226795497694937E-2</v>
      </c>
      <c r="I388" s="3">
        <f t="shared" si="391"/>
        <v>1.2267947497800889E-2</v>
      </c>
      <c r="J388" s="3">
        <f t="shared" si="391"/>
        <v>1.2267872706566854E-2</v>
      </c>
      <c r="K388" s="3">
        <f t="shared" si="391"/>
        <v>1.2267124819304009E-2</v>
      </c>
      <c r="L388" s="3">
        <f t="shared" si="391"/>
        <v>1.2259648453859958E-2</v>
      </c>
      <c r="M388" s="3">
        <f t="shared" si="391"/>
        <v>1.2185134953234306E-2</v>
      </c>
      <c r="N388" s="3">
        <f t="shared" si="391"/>
        <v>1.1464460139568883E-2</v>
      </c>
      <c r="O388" s="3">
        <f t="shared" si="391"/>
        <v>6.2314090490571518E-3</v>
      </c>
      <c r="P388" s="3">
        <f t="shared" si="391"/>
        <v>1.4025320048397383E-5</v>
      </c>
      <c r="Q388" s="3">
        <f t="shared" si="391"/>
        <v>4.6792686238420209E-32</v>
      </c>
      <c r="R388" s="3">
        <f t="shared" si="391"/>
        <v>7.9952113671037452E-297</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7.7350329579381938E-4</v>
      </c>
      <c r="C389" s="3">
        <f t="shared" si="392"/>
        <v>7.7350329579377222E-4</v>
      </c>
      <c r="D389" s="3">
        <f t="shared" si="392"/>
        <v>7.735032957933007E-4</v>
      </c>
      <c r="E389" s="3">
        <f t="shared" si="392"/>
        <v>7.7350329578858496E-4</v>
      </c>
      <c r="F389" s="3">
        <f t="shared" si="392"/>
        <v>7.7350329574142835E-4</v>
      </c>
      <c r="G389" s="3">
        <f t="shared" si="392"/>
        <v>7.7350329526986263E-4</v>
      </c>
      <c r="H389" s="3">
        <f t="shared" si="392"/>
        <v>7.7350329055420476E-4</v>
      </c>
      <c r="I389" s="3">
        <f t="shared" si="392"/>
        <v>7.7350324339762848E-4</v>
      </c>
      <c r="J389" s="3">
        <f t="shared" si="392"/>
        <v>7.7350277183202377E-4</v>
      </c>
      <c r="K389" s="3">
        <f t="shared" si="392"/>
        <v>7.7349805619178773E-4</v>
      </c>
      <c r="L389" s="3">
        <f t="shared" si="392"/>
        <v>7.7345090137058122E-4</v>
      </c>
      <c r="M389" s="3">
        <f t="shared" si="392"/>
        <v>7.7297951123826789E-4</v>
      </c>
      <c r="N389" s="3">
        <f t="shared" si="392"/>
        <v>7.6828138229019559E-4</v>
      </c>
      <c r="O389" s="3">
        <f t="shared" si="392"/>
        <v>7.2284232526295797E-4</v>
      </c>
      <c r="P389" s="3">
        <f t="shared" si="392"/>
        <v>3.9289475054640408E-4</v>
      </c>
      <c r="Q389" s="3">
        <f t="shared" si="392"/>
        <v>8.8430635484960445E-7</v>
      </c>
      <c r="R389" s="3">
        <f t="shared" si="392"/>
        <v>2.9503119827805172E-33</v>
      </c>
      <c r="S389" s="3">
        <f t="shared" si="392"/>
        <v>5.0410373495209618E-298</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2.8862774017939762E-3</v>
      </c>
      <c r="C390" s="3">
        <f t="shared" si="393"/>
        <v>2.8862774017939584E-3</v>
      </c>
      <c r="D390" s="3">
        <f t="shared" si="393"/>
        <v>2.8862774017937823E-3</v>
      </c>
      <c r="E390" s="3">
        <f t="shared" si="393"/>
        <v>2.8862774017920229E-3</v>
      </c>
      <c r="F390" s="3">
        <f t="shared" si="393"/>
        <v>2.8862774017744267E-3</v>
      </c>
      <c r="G390" s="3">
        <f t="shared" si="393"/>
        <v>2.886277401598465E-3</v>
      </c>
      <c r="H390" s="3">
        <f t="shared" si="393"/>
        <v>2.8862773998388478E-3</v>
      </c>
      <c r="I390" s="3">
        <f t="shared" si="393"/>
        <v>2.8862773822426763E-3</v>
      </c>
      <c r="J390" s="3">
        <f t="shared" si="393"/>
        <v>2.8862772062809693E-3</v>
      </c>
      <c r="K390" s="3">
        <f t="shared" si="393"/>
        <v>2.8862754466644869E-3</v>
      </c>
      <c r="L390" s="3">
        <f t="shared" si="393"/>
        <v>2.8862578505586623E-3</v>
      </c>
      <c r="M390" s="3">
        <f t="shared" si="393"/>
        <v>2.8860818954003923E-3</v>
      </c>
      <c r="N390" s="3">
        <f t="shared" si="393"/>
        <v>2.8843229336820344E-3</v>
      </c>
      <c r="O390" s="3">
        <f t="shared" si="393"/>
        <v>2.8667921700934727E-3</v>
      </c>
      <c r="P390" s="3">
        <f t="shared" si="393"/>
        <v>2.6972392746246196E-3</v>
      </c>
      <c r="Q390" s="3">
        <f t="shared" si="393"/>
        <v>1.4660612901743007E-3</v>
      </c>
      <c r="R390" s="3">
        <f t="shared" si="393"/>
        <v>3.299731833263634E-6</v>
      </c>
      <c r="S390" s="3">
        <f t="shared" si="393"/>
        <v>1.1008897894096569E-32</v>
      </c>
      <c r="T390" s="3">
        <f t="shared" si="393"/>
        <v>1.8810304057708872E-297</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1.5898164143456024E-4</v>
      </c>
      <c r="C392" s="3">
        <f t="shared" si="395"/>
        <v>1.5898164143456021E-4</v>
      </c>
      <c r="D392" s="3">
        <f t="shared" si="395"/>
        <v>1.5898164143456013E-4</v>
      </c>
      <c r="E392" s="3">
        <f t="shared" si="395"/>
        <v>1.5898164143455916E-4</v>
      </c>
      <c r="F392" s="3">
        <f t="shared" si="395"/>
        <v>1.5898164143454948E-4</v>
      </c>
      <c r="G392" s="3">
        <f t="shared" si="395"/>
        <v>1.5898164143445255E-4</v>
      </c>
      <c r="H392" s="3">
        <f t="shared" si="395"/>
        <v>1.589816414334833E-4</v>
      </c>
      <c r="I392" s="3">
        <f t="shared" si="395"/>
        <v>1.5898164142379102E-4</v>
      </c>
      <c r="J392" s="3">
        <f t="shared" si="395"/>
        <v>1.5898164132686796E-4</v>
      </c>
      <c r="K392" s="3">
        <f t="shared" si="395"/>
        <v>1.589816403576374E-4</v>
      </c>
      <c r="L392" s="3">
        <f t="shared" si="395"/>
        <v>1.5898163066533236E-4</v>
      </c>
      <c r="M392" s="3">
        <f t="shared" si="395"/>
        <v>1.5898153374231433E-4</v>
      </c>
      <c r="N392" s="3">
        <f t="shared" si="395"/>
        <v>1.5898056451538379E-4</v>
      </c>
      <c r="O392" s="3">
        <f t="shared" si="395"/>
        <v>1.589708725710602E-4</v>
      </c>
      <c r="P392" s="3">
        <f t="shared" si="395"/>
        <v>1.5887398561867258E-4</v>
      </c>
      <c r="Q392" s="3">
        <f t="shared" si="395"/>
        <v>1.5790835786259533E-4</v>
      </c>
      <c r="R392" s="3">
        <f t="shared" si="395"/>
        <v>1.4856906233442945E-4</v>
      </c>
      <c r="S392" s="3">
        <f t="shared" si="395"/>
        <v>8.0753440473431117E-5</v>
      </c>
      <c r="T392" s="3">
        <f t="shared" si="395"/>
        <v>1.8175549682787171E-7</v>
      </c>
      <c r="U392" s="3">
        <f t="shared" si="395"/>
        <v>6.0639100611087971E-34</v>
      </c>
      <c r="V392" s="3">
        <f t="shared" si="395"/>
        <v>1.036107275454179E-298</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1.3061991748101505E-4</v>
      </c>
      <c r="C393" s="3">
        <f t="shared" si="396"/>
        <v>1.3061991748101505E-4</v>
      </c>
      <c r="D393" s="3">
        <f t="shared" si="396"/>
        <v>1.3061991748101502E-4</v>
      </c>
      <c r="E393" s="3">
        <f t="shared" si="396"/>
        <v>1.3061991748101497E-4</v>
      </c>
      <c r="F393" s="3">
        <f t="shared" si="396"/>
        <v>1.3061991748101415E-4</v>
      </c>
      <c r="G393" s="3">
        <f t="shared" si="396"/>
        <v>1.3061991748100621E-4</v>
      </c>
      <c r="H393" s="3">
        <f t="shared" si="396"/>
        <v>1.3061991748092658E-4</v>
      </c>
      <c r="I393" s="3">
        <f t="shared" si="396"/>
        <v>1.3061991748013023E-4</v>
      </c>
      <c r="J393" s="3">
        <f t="shared" si="396"/>
        <v>1.3061991747216701E-4</v>
      </c>
      <c r="K393" s="3">
        <f t="shared" si="396"/>
        <v>1.3061991739253466E-4</v>
      </c>
      <c r="L393" s="3">
        <f t="shared" si="396"/>
        <v>1.3061991659621118E-4</v>
      </c>
      <c r="M393" s="3">
        <f t="shared" si="396"/>
        <v>1.3061990863297672E-4</v>
      </c>
      <c r="N393" s="3">
        <f t="shared" si="396"/>
        <v>1.3061982900065879E-4</v>
      </c>
      <c r="O393" s="3">
        <f t="shared" si="396"/>
        <v>1.3061903268014942E-4</v>
      </c>
      <c r="P393" s="3">
        <f t="shared" si="396"/>
        <v>1.3061106974206199E-4</v>
      </c>
      <c r="Q393" s="3">
        <f t="shared" si="396"/>
        <v>1.3053146705579167E-4</v>
      </c>
      <c r="R393" s="3">
        <f t="shared" si="396"/>
        <v>1.2973810364176434E-4</v>
      </c>
      <c r="S393" s="3">
        <f t="shared" si="396"/>
        <v>1.2206490313752896E-4</v>
      </c>
      <c r="T393" s="3">
        <f t="shared" si="396"/>
        <v>6.6347331904290273E-5</v>
      </c>
      <c r="U393" s="3">
        <f t="shared" si="396"/>
        <v>1.4933100314698715E-7</v>
      </c>
      <c r="V393" s="3">
        <f t="shared" si="396"/>
        <v>4.9821314250322257E-34</v>
      </c>
      <c r="W393" s="3">
        <f t="shared" si="396"/>
        <v>8.5126965352795829E-299</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8.1332295555460314E-5</v>
      </c>
      <c r="C395" s="3">
        <f t="shared" si="398"/>
        <v>8.1332295555460314E-5</v>
      </c>
      <c r="D395" s="3">
        <f t="shared" si="398"/>
        <v>8.1332295555460314E-5</v>
      </c>
      <c r="E395" s="3">
        <f t="shared" si="398"/>
        <v>8.1332295555460314E-5</v>
      </c>
      <c r="F395" s="3">
        <f t="shared" si="398"/>
        <v>8.13322955554603E-5</v>
      </c>
      <c r="G395" s="3">
        <f t="shared" si="398"/>
        <v>8.133229555546026E-5</v>
      </c>
      <c r="H395" s="3">
        <f t="shared" si="398"/>
        <v>8.1332295555459758E-5</v>
      </c>
      <c r="I395" s="3">
        <f t="shared" si="398"/>
        <v>8.1332295555454812E-5</v>
      </c>
      <c r="J395" s="3">
        <f t="shared" si="398"/>
        <v>8.1332295555405223E-5</v>
      </c>
      <c r="K395" s="3">
        <f t="shared" si="398"/>
        <v>8.1332295554909377E-5</v>
      </c>
      <c r="L395" s="3">
        <f t="shared" si="398"/>
        <v>8.1332295549950954E-5</v>
      </c>
      <c r="M395" s="3">
        <f t="shared" si="398"/>
        <v>8.1332295500366784E-5</v>
      </c>
      <c r="N395" s="3">
        <f t="shared" si="398"/>
        <v>8.1332295004524972E-5</v>
      </c>
      <c r="O395" s="3">
        <f t="shared" si="398"/>
        <v>8.1332290046107059E-5</v>
      </c>
      <c r="P395" s="3">
        <f t="shared" si="398"/>
        <v>8.1332240461944518E-5</v>
      </c>
      <c r="Q395" s="3">
        <f t="shared" si="398"/>
        <v>8.1331744621981721E-5</v>
      </c>
      <c r="R395" s="3">
        <f t="shared" si="398"/>
        <v>8.1326786388608854E-5</v>
      </c>
      <c r="S395" s="3">
        <f t="shared" si="398"/>
        <v>8.1277220676643925E-5</v>
      </c>
      <c r="T395" s="3">
        <f t="shared" si="398"/>
        <v>8.0783221990096473E-5</v>
      </c>
      <c r="U395" s="3">
        <f t="shared" si="398"/>
        <v>7.6005397724838552E-5</v>
      </c>
      <c r="V395" s="3">
        <f t="shared" si="398"/>
        <v>4.1312082504877293E-5</v>
      </c>
      <c r="W395" s="3">
        <f t="shared" si="398"/>
        <v>9.298301145619243E-8</v>
      </c>
      <c r="X395" s="3">
        <f t="shared" si="398"/>
        <v>3.1021929378860818E-34</v>
      </c>
      <c r="Y395" s="3">
        <f t="shared" si="398"/>
        <v>5.300548062908803E-299</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6.4178085162845428E-4</v>
      </c>
      <c r="C396" s="3">
        <f t="shared" si="399"/>
        <v>6.4178085162845428E-4</v>
      </c>
      <c r="D396" s="3">
        <f t="shared" si="399"/>
        <v>6.4178085162845428E-4</v>
      </c>
      <c r="E396" s="3">
        <f t="shared" si="399"/>
        <v>6.4178085162845428E-4</v>
      </c>
      <c r="F396" s="3">
        <f t="shared" si="399"/>
        <v>6.4178085162845428E-4</v>
      </c>
      <c r="G396" s="3">
        <f t="shared" si="399"/>
        <v>6.4178085162845417E-4</v>
      </c>
      <c r="H396" s="3">
        <f t="shared" si="399"/>
        <v>6.4178085162845384E-4</v>
      </c>
      <c r="I396" s="3">
        <f t="shared" si="399"/>
        <v>6.4178085162844994E-4</v>
      </c>
      <c r="J396" s="3">
        <f t="shared" si="399"/>
        <v>6.417808516284108E-4</v>
      </c>
      <c r="K396" s="3">
        <f t="shared" si="399"/>
        <v>6.4178085162801962E-4</v>
      </c>
      <c r="L396" s="3">
        <f t="shared" si="399"/>
        <v>6.4178085162410695E-4</v>
      </c>
      <c r="M396" s="3">
        <f t="shared" si="399"/>
        <v>6.4178085158498081E-4</v>
      </c>
      <c r="N396" s="3">
        <f t="shared" si="399"/>
        <v>6.4178085119371956E-4</v>
      </c>
      <c r="O396" s="3">
        <f t="shared" si="399"/>
        <v>6.4178084728110671E-4</v>
      </c>
      <c r="P396" s="3">
        <f t="shared" si="399"/>
        <v>6.4178080815498043E-4</v>
      </c>
      <c r="Q396" s="3">
        <f t="shared" si="399"/>
        <v>6.41780416893848E-4</v>
      </c>
      <c r="R396" s="3">
        <f t="shared" si="399"/>
        <v>6.4177650429564305E-4</v>
      </c>
      <c r="S396" s="3">
        <f t="shared" si="399"/>
        <v>6.4173737962548738E-4</v>
      </c>
      <c r="T396" s="3">
        <f t="shared" si="399"/>
        <v>6.4134626408375605E-4</v>
      </c>
      <c r="U396" s="3">
        <f t="shared" si="399"/>
        <v>6.374481951113935E-4</v>
      </c>
      <c r="V396" s="3">
        <f t="shared" si="399"/>
        <v>5.9974710595674878E-4</v>
      </c>
      <c r="W396" s="3">
        <f t="shared" si="399"/>
        <v>3.259873991192804E-4</v>
      </c>
      <c r="X396" s="3">
        <f t="shared" si="399"/>
        <v>7.3371488990669697E-7</v>
      </c>
      <c r="Y396" s="3">
        <f t="shared" si="399"/>
        <v>2.4478935606024999E-33</v>
      </c>
      <c r="Z396" s="3">
        <f t="shared" si="399"/>
        <v>4.1825823637198238E-298</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0.16367691583632304</v>
      </c>
      <c r="B397" s="80">
        <f>IF($A$64&lt;=B363,IF($B$64&gt;=B363,ABS((B365-B364)/B364),0),0)</f>
        <v>3.1721662265972471E-2</v>
      </c>
      <c r="C397" s="80">
        <f t="shared" ref="C397:AF397" si="400">IF($A$64&lt;=C363,IF($B$64&gt;=C363,ABS((C365-C364)/C364),0),0)</f>
        <v>4.7029624512544541E-2</v>
      </c>
      <c r="D397" s="80">
        <f t="shared" si="400"/>
        <v>4.7659822492401659E-2</v>
      </c>
      <c r="E397" s="80">
        <f t="shared" si="400"/>
        <v>5.1241721054317194E-2</v>
      </c>
      <c r="F397" s="80">
        <f t="shared" si="400"/>
        <v>5.5249508016782245E-2</v>
      </c>
      <c r="G397" s="80">
        <f t="shared" si="400"/>
        <v>6.1289412715462545E-2</v>
      </c>
      <c r="H397" s="80">
        <f t="shared" si="400"/>
        <v>6.5295648255205244E-2</v>
      </c>
      <c r="I397" s="80">
        <f t="shared" si="400"/>
        <v>8.6856337458876803E-4</v>
      </c>
      <c r="J397" s="80">
        <f t="shared" si="400"/>
        <v>9.121658110129556E-2</v>
      </c>
      <c r="K397" s="80">
        <f t="shared" si="400"/>
        <v>0.13977006479664519</v>
      </c>
      <c r="L397" s="80">
        <f t="shared" si="400"/>
        <v>0.17731295086247001</v>
      </c>
      <c r="M397" s="80">
        <f t="shared" si="400"/>
        <v>0.22615030223224614</v>
      </c>
      <c r="N397" s="80">
        <f t="shared" si="400"/>
        <v>0.23402831299542531</v>
      </c>
      <c r="O397" s="80">
        <f t="shared" si="400"/>
        <v>0.37575512728717492</v>
      </c>
      <c r="P397" s="80">
        <f t="shared" si="400"/>
        <v>0.48295211967217833</v>
      </c>
      <c r="Q397" s="80">
        <f t="shared" si="400"/>
        <v>0.48632103518663589</v>
      </c>
      <c r="R397" s="80">
        <f t="shared" si="400"/>
        <v>0.5089934556430219</v>
      </c>
      <c r="S397" s="80">
        <f t="shared" si="400"/>
        <v>0.45465829387890738</v>
      </c>
      <c r="T397" s="80">
        <f t="shared" si="400"/>
        <v>0.35606623491664369</v>
      </c>
      <c r="U397" s="80">
        <f t="shared" si="400"/>
        <v>0.25172277079012101</v>
      </c>
      <c r="V397" s="80">
        <f t="shared" si="400"/>
        <v>0.17141015075295143</v>
      </c>
      <c r="W397" s="80">
        <f t="shared" si="400"/>
        <v>0.13429038685467601</v>
      </c>
      <c r="X397" s="80">
        <f t="shared" si="400"/>
        <v>0.11948417079830846</v>
      </c>
      <c r="Y397" s="80">
        <f t="shared" si="400"/>
        <v>9.3618147572974625E-2</v>
      </c>
      <c r="Z397" s="80">
        <f t="shared" si="400"/>
        <v>7.6223510797627167E-2</v>
      </c>
      <c r="AA397" s="80">
        <f t="shared" si="400"/>
        <v>6.6953520770166225E-2</v>
      </c>
      <c r="AB397" s="80">
        <f t="shared" si="400"/>
        <v>6.4483509171278264E-2</v>
      </c>
      <c r="AC397" s="80">
        <f t="shared" si="400"/>
        <v>5.4658551412236696E-2</v>
      </c>
      <c r="AD397" s="80">
        <f t="shared" si="400"/>
        <v>5.4500996930720504E-2</v>
      </c>
      <c r="AE397" s="80">
        <f t="shared" si="400"/>
        <v>4.7821556167002392E-2</v>
      </c>
      <c r="AF397" s="80">
        <f t="shared" si="400"/>
        <v>4.5236677648032866E-2</v>
      </c>
    </row>
    <row r="398" spans="1:34" x14ac:dyDescent="0.25">
      <c r="B398" s="21">
        <f>(B365-B364)^2</f>
        <v>38231.864498946925</v>
      </c>
      <c r="C398" s="21">
        <f t="shared" ref="C398:AF398" si="401">(C365-C364)^2</f>
        <v>75486.334000224102</v>
      </c>
      <c r="D398" s="21">
        <f t="shared" si="401"/>
        <v>70157.839039485523</v>
      </c>
      <c r="E398" s="21">
        <f t="shared" si="401"/>
        <v>73075.465487171386</v>
      </c>
      <c r="F398" s="21">
        <f t="shared" si="401"/>
        <v>75290.571087957534</v>
      </c>
      <c r="G398" s="21">
        <f t="shared" si="401"/>
        <v>80213.192437816935</v>
      </c>
      <c r="H398" s="21">
        <f t="shared" si="401"/>
        <v>73622.457655071616</v>
      </c>
      <c r="I398" s="21">
        <f t="shared" si="401"/>
        <v>9.5974054321972364</v>
      </c>
      <c r="J398" s="21">
        <f t="shared" si="401"/>
        <v>67627.789763415843</v>
      </c>
      <c r="K398" s="21">
        <f t="shared" si="401"/>
        <v>78342.999316148649</v>
      </c>
      <c r="L398" s="21">
        <f t="shared" si="401"/>
        <v>48852.178368837209</v>
      </c>
      <c r="M398" s="21">
        <f t="shared" si="401"/>
        <v>26632.743273651024</v>
      </c>
      <c r="N398" s="21">
        <f t="shared" si="401"/>
        <v>8971.3898731509034</v>
      </c>
      <c r="O398" s="21">
        <f t="shared" si="401"/>
        <v>9920.575986108197</v>
      </c>
      <c r="P398" s="21">
        <f t="shared" si="401"/>
        <v>11745.100275661916</v>
      </c>
      <c r="Q398" s="21">
        <f t="shared" si="401"/>
        <v>9697.5445287726634</v>
      </c>
      <c r="R398" s="21">
        <f t="shared" si="401"/>
        <v>9336.6142377980977</v>
      </c>
      <c r="S398" s="21">
        <f t="shared" si="401"/>
        <v>5964.4063575840883</v>
      </c>
      <c r="T398" s="21">
        <f t="shared" si="401"/>
        <v>2567.0402886296438</v>
      </c>
      <c r="U398" s="21">
        <f t="shared" si="401"/>
        <v>938.73232718941563</v>
      </c>
      <c r="V398" s="21">
        <f t="shared" si="401"/>
        <v>350.85605601740309</v>
      </c>
      <c r="W398" s="21">
        <f t="shared" si="401"/>
        <v>187.34508501247058</v>
      </c>
      <c r="X398" s="21">
        <f t="shared" si="401"/>
        <v>135.71925449866617</v>
      </c>
      <c r="Y398" s="21">
        <f t="shared" si="401"/>
        <v>78.620955117950913</v>
      </c>
      <c r="Z398" s="21">
        <f t="shared" si="401"/>
        <v>50.174692324471366</v>
      </c>
      <c r="AA398" s="21">
        <f t="shared" si="401"/>
        <v>37.94730287126275</v>
      </c>
      <c r="AB398" s="21">
        <f t="shared" si="401"/>
        <v>35.013462773249493</v>
      </c>
      <c r="AC398" s="21">
        <f t="shared" si="401"/>
        <v>24.636525939294408</v>
      </c>
      <c r="AD398" s="21">
        <f t="shared" si="401"/>
        <v>24.486537248838321</v>
      </c>
      <c r="AE398" s="21">
        <f t="shared" si="401"/>
        <v>18.588799783424058</v>
      </c>
      <c r="AF398" s="21">
        <f t="shared" si="401"/>
        <v>16.543621291604328</v>
      </c>
      <c r="AG398" s="3"/>
      <c r="AH398" s="3"/>
    </row>
    <row r="399" spans="1:34" x14ac:dyDescent="0.25">
      <c r="A399" s="71">
        <f>SUM(B399:AF399)</f>
        <v>767644.36850193271</v>
      </c>
      <c r="B399" s="60">
        <f>IF($A$64&lt;=B363,IF($B$64&gt;=B363,ABS(B398),0),0)</f>
        <v>38231.864498946925</v>
      </c>
      <c r="C399" s="60">
        <f t="shared" ref="C399" si="402">IF($A$64&lt;=C363,IF($B$64&gt;=C363,ABS(C398),0),0)</f>
        <v>75486.334000224102</v>
      </c>
      <c r="D399" s="60">
        <f t="shared" ref="D399" si="403">IF($A$64&lt;=D363,IF($B$64&gt;=D363,ABS(D398),0),0)</f>
        <v>70157.839039485523</v>
      </c>
      <c r="E399" s="60">
        <f t="shared" ref="E399" si="404">IF($A$64&lt;=E363,IF($B$64&gt;=E363,ABS(E398),0),0)</f>
        <v>73075.465487171386</v>
      </c>
      <c r="F399" s="60">
        <f t="shared" ref="F399" si="405">IF($A$64&lt;=F363,IF($B$64&gt;=F363,ABS(F398),0),0)</f>
        <v>75290.571087957534</v>
      </c>
      <c r="G399" s="60">
        <f t="shared" ref="G399" si="406">IF($A$64&lt;=G363,IF($B$64&gt;=G363,ABS(G398),0),0)</f>
        <v>80213.192437816935</v>
      </c>
      <c r="H399" s="60">
        <f t="shared" ref="H399" si="407">IF($A$64&lt;=H363,IF($B$64&gt;=H363,ABS(H398),0),0)</f>
        <v>73622.457655071616</v>
      </c>
      <c r="I399" s="60">
        <f t="shared" ref="I399" si="408">IF($A$64&lt;=I363,IF($B$64&gt;=I363,ABS(I398),0),0)</f>
        <v>9.5974054321972364</v>
      </c>
      <c r="J399" s="60">
        <f t="shared" ref="J399" si="409">IF($A$64&lt;=J363,IF($B$64&gt;=J363,ABS(J398),0),0)</f>
        <v>67627.789763415843</v>
      </c>
      <c r="K399" s="60">
        <f t="shared" ref="K399" si="410">IF($A$64&lt;=K363,IF($B$64&gt;=K363,ABS(K398),0),0)</f>
        <v>78342.999316148649</v>
      </c>
      <c r="L399" s="60">
        <f t="shared" ref="L399" si="411">IF($A$64&lt;=L363,IF($B$64&gt;=L363,ABS(L398),0),0)</f>
        <v>48852.178368837209</v>
      </c>
      <c r="M399" s="60">
        <f t="shared" ref="M399" si="412">IF($A$64&lt;=M363,IF($B$64&gt;=M363,ABS(M398),0),0)</f>
        <v>26632.743273651024</v>
      </c>
      <c r="N399" s="60">
        <f t="shared" ref="N399" si="413">IF($A$64&lt;=N363,IF($B$64&gt;=N363,ABS(N398),0),0)</f>
        <v>8971.3898731509034</v>
      </c>
      <c r="O399" s="60">
        <f t="shared" ref="O399" si="414">IF($A$64&lt;=O363,IF($B$64&gt;=O363,ABS(O398),0),0)</f>
        <v>9920.575986108197</v>
      </c>
      <c r="P399" s="60">
        <f t="shared" ref="P399" si="415">IF($A$64&lt;=P363,IF($B$64&gt;=P363,ABS(P398),0),0)</f>
        <v>11745.100275661916</v>
      </c>
      <c r="Q399" s="60">
        <f t="shared" ref="Q399" si="416">IF($A$64&lt;=Q363,IF($B$64&gt;=Q363,ABS(Q398),0),0)</f>
        <v>9697.5445287726634</v>
      </c>
      <c r="R399" s="60">
        <f t="shared" ref="R399" si="417">IF($A$64&lt;=R363,IF($B$64&gt;=R363,ABS(R398),0),0)</f>
        <v>9336.6142377980977</v>
      </c>
      <c r="S399" s="60">
        <f t="shared" ref="S399" si="418">IF($A$64&lt;=S363,IF($B$64&gt;=S363,ABS(S398),0),0)</f>
        <v>5964.4063575840883</v>
      </c>
      <c r="T399" s="60">
        <f t="shared" ref="T399" si="419">IF($A$64&lt;=T363,IF($B$64&gt;=T363,ABS(T398),0),0)</f>
        <v>2567.0402886296438</v>
      </c>
      <c r="U399" s="60">
        <f t="shared" ref="U399" si="420">IF($A$64&lt;=U363,IF($B$64&gt;=U363,ABS(U398),0),0)</f>
        <v>938.73232718941563</v>
      </c>
      <c r="V399" s="60">
        <f t="shared" ref="V399" si="421">IF($A$64&lt;=V363,IF($B$64&gt;=V363,ABS(V398),0),0)</f>
        <v>350.85605601740309</v>
      </c>
      <c r="W399" s="60">
        <f t="shared" ref="W399" si="422">IF($A$64&lt;=W363,IF($B$64&gt;=W363,ABS(W398),0),0)</f>
        <v>187.34508501247058</v>
      </c>
      <c r="X399" s="60">
        <f t="shared" ref="X399" si="423">IF($A$64&lt;=X363,IF($B$64&gt;=X363,ABS(X398),0),0)</f>
        <v>135.71925449866617</v>
      </c>
      <c r="Y399" s="60">
        <f t="shared" ref="Y399" si="424">IF($A$64&lt;=Y363,IF($B$64&gt;=Y363,ABS(Y398),0),0)</f>
        <v>78.620955117950913</v>
      </c>
      <c r="Z399" s="60">
        <f t="shared" ref="Z399" si="425">IF($A$64&lt;=Z363,IF($B$64&gt;=Z363,ABS(Z398),0),0)</f>
        <v>50.174692324471366</v>
      </c>
      <c r="AA399" s="60">
        <f t="shared" ref="AA399" si="426">IF($A$64&lt;=AA363,IF($B$64&gt;=AA363,ABS(AA398),0),0)</f>
        <v>37.94730287126275</v>
      </c>
      <c r="AB399" s="60">
        <f t="shared" ref="AB399" si="427">IF($A$64&lt;=AB363,IF($B$64&gt;=AB363,ABS(AB398),0),0)</f>
        <v>35.013462773249493</v>
      </c>
      <c r="AC399" s="60">
        <f t="shared" ref="AC399" si="428">IF($A$64&lt;=AC363,IF($B$64&gt;=AC363,ABS(AC398),0),0)</f>
        <v>24.636525939294408</v>
      </c>
      <c r="AD399" s="60">
        <f t="shared" ref="AD399" si="429">IF($A$64&lt;=AD363,IF($B$64&gt;=AD363,ABS(AD398),0),0)</f>
        <v>24.486537248838321</v>
      </c>
      <c r="AE399" s="60">
        <f t="shared" ref="AE399" si="430">IF($A$64&lt;=AE363,IF($B$64&gt;=AE363,ABS(AE398),0),0)</f>
        <v>18.588799783424058</v>
      </c>
      <c r="AF399" s="60">
        <f t="shared" ref="AF399" si="431">IF($A$64&lt;=AF363,IF($B$64&gt;=AF363,ABS(AF398),0),0)</f>
        <v>16.543621291604328</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-21.592748433065772</v>
      </c>
      <c r="C403" s="107">
        <f t="shared" ref="C403:H403" si="432">IF(C125=$B$2,0,C126)</f>
        <v>-17.596432358829645</v>
      </c>
      <c r="D403" s="107">
        <f t="shared" si="432"/>
        <v>-13.968667918642728</v>
      </c>
      <c r="E403" s="107">
        <f t="shared" si="432"/>
        <v>-8.5553786635158335</v>
      </c>
      <c r="F403" s="107">
        <f t="shared" si="432"/>
        <v>0</v>
      </c>
      <c r="G403" s="107">
        <f t="shared" si="432"/>
        <v>18.564422951866018</v>
      </c>
      <c r="H403" s="107">
        <f t="shared" si="432"/>
        <v>22.636340120272525</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4.1916837249277672E-25</v>
      </c>
      <c r="C404" s="3">
        <f t="shared" ref="C404:H419" si="433">$A404/EXP(-C$403)</f>
        <v>2.2801663141821097E-23</v>
      </c>
      <c r="D404" s="3">
        <f t="shared" si="433"/>
        <v>8.5799469656027922E-22</v>
      </c>
      <c r="E404" s="3">
        <f t="shared" si="433"/>
        <v>1.9250688021166696E-19</v>
      </c>
      <c r="F404" s="3">
        <f t="shared" si="433"/>
        <v>1.0000000000000001E-15</v>
      </c>
      <c r="G404" s="3">
        <f t="shared" si="433"/>
        <v>1.1545864269127174E-7</v>
      </c>
      <c r="H404" s="3">
        <f t="shared" si="433"/>
        <v>6.7738816520092729E-6</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4.191683724927767E-24</v>
      </c>
      <c r="C405" s="3">
        <f t="shared" si="433"/>
        <v>2.2801663141821096E-22</v>
      </c>
      <c r="D405" s="3">
        <f t="shared" si="433"/>
        <v>8.5799469656027922E-21</v>
      </c>
      <c r="E405" s="3">
        <f t="shared" si="433"/>
        <v>1.9250688021166694E-18</v>
      </c>
      <c r="F405" s="3">
        <f t="shared" si="433"/>
        <v>1E-14</v>
      </c>
      <c r="G405" s="3">
        <f t="shared" si="433"/>
        <v>1.1545864269127174E-6</v>
      </c>
      <c r="H405" s="3">
        <f t="shared" si="433"/>
        <v>6.7738816520092717E-5</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4.1916837249277667E-23</v>
      </c>
      <c r="C406" s="3">
        <f t="shared" si="433"/>
        <v>2.2801663141821093E-21</v>
      </c>
      <c r="D406" s="3">
        <f t="shared" si="433"/>
        <v>8.5799469656027925E-20</v>
      </c>
      <c r="E406" s="3">
        <f t="shared" si="433"/>
        <v>1.9250688021166696E-17</v>
      </c>
      <c r="F406" s="3">
        <f t="shared" si="433"/>
        <v>1E-13</v>
      </c>
      <c r="G406" s="3">
        <f t="shared" si="433"/>
        <v>1.1545864269127174E-5</v>
      </c>
      <c r="H406" s="3">
        <f t="shared" si="433"/>
        <v>6.7738816520092728E-4</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4.1916837249277669E-22</v>
      </c>
      <c r="C407" s="3">
        <f t="shared" si="433"/>
        <v>2.2801663141821093E-20</v>
      </c>
      <c r="D407" s="3">
        <f t="shared" si="433"/>
        <v>8.5799469656027913E-19</v>
      </c>
      <c r="E407" s="3">
        <f t="shared" si="433"/>
        <v>1.9250688021166695E-16</v>
      </c>
      <c r="F407" s="3">
        <f t="shared" si="433"/>
        <v>9.9999999999999998E-13</v>
      </c>
      <c r="G407" s="3">
        <f t="shared" si="433"/>
        <v>1.1545864269127173E-4</v>
      </c>
      <c r="H407" s="3">
        <f t="shared" si="433"/>
        <v>6.7738816520092719E-3</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4.1916837249277667E-21</v>
      </c>
      <c r="C408" s="3">
        <f t="shared" si="433"/>
        <v>2.2801663141821092E-19</v>
      </c>
      <c r="D408" s="3">
        <f t="shared" si="433"/>
        <v>8.5799469656027913E-18</v>
      </c>
      <c r="E408" s="3">
        <f t="shared" si="433"/>
        <v>1.9250688021166694E-15</v>
      </c>
      <c r="F408" s="3">
        <f t="shared" si="433"/>
        <v>9.9999999999999994E-12</v>
      </c>
      <c r="G408" s="3">
        <f t="shared" si="433"/>
        <v>1.1545864269127172E-3</v>
      </c>
      <c r="H408" s="3">
        <f t="shared" si="433"/>
        <v>6.7738816520092712E-2</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4.191683724927767E-20</v>
      </c>
      <c r="C409" s="3">
        <f t="shared" si="433"/>
        <v>2.2801663141821095E-18</v>
      </c>
      <c r="D409" s="3">
        <f t="shared" si="433"/>
        <v>8.5799469656027919E-17</v>
      </c>
      <c r="E409" s="3">
        <f t="shared" si="433"/>
        <v>1.9250688021166696E-14</v>
      </c>
      <c r="F409" s="3">
        <f t="shared" si="433"/>
        <v>1E-10</v>
      </c>
      <c r="G409" s="3">
        <f t="shared" si="433"/>
        <v>1.1545864269127173E-2</v>
      </c>
      <c r="H409" s="3">
        <f t="shared" si="433"/>
        <v>0.67738816520092726</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4.1916837249277672E-19</v>
      </c>
      <c r="C410" s="3">
        <f t="shared" si="433"/>
        <v>2.2801663141821095E-17</v>
      </c>
      <c r="D410" s="3">
        <f t="shared" si="433"/>
        <v>8.5799469656027922E-16</v>
      </c>
      <c r="E410" s="3">
        <f t="shared" si="433"/>
        <v>1.9250688021166697E-13</v>
      </c>
      <c r="F410" s="3">
        <f t="shared" si="433"/>
        <v>1.0000000000000001E-9</v>
      </c>
      <c r="G410" s="3">
        <f t="shared" si="433"/>
        <v>0.11545864269127175</v>
      </c>
      <c r="H410" s="3">
        <f t="shared" si="433"/>
        <v>6.7738816520092726</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4.1916837249277668E-18</v>
      </c>
      <c r="C411" s="3">
        <f t="shared" si="433"/>
        <v>2.2801663141821095E-16</v>
      </c>
      <c r="D411" s="3">
        <f t="shared" si="433"/>
        <v>8.5799469656027914E-15</v>
      </c>
      <c r="E411" s="3">
        <f t="shared" si="433"/>
        <v>1.9250688021166697E-12</v>
      </c>
      <c r="F411" s="3">
        <f t="shared" si="433"/>
        <v>1E-8</v>
      </c>
      <c r="G411" s="3">
        <f t="shared" si="433"/>
        <v>1.1545864269127173</v>
      </c>
      <c r="H411" s="3">
        <f t="shared" si="433"/>
        <v>67.738816520092726</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4.1916837249277665E-17</v>
      </c>
      <c r="C412" s="3">
        <f t="shared" si="433"/>
        <v>2.2801663141821094E-15</v>
      </c>
      <c r="D412" s="3">
        <f t="shared" si="433"/>
        <v>8.5799469656027911E-14</v>
      </c>
      <c r="E412" s="3">
        <f t="shared" si="433"/>
        <v>1.9250688021166693E-11</v>
      </c>
      <c r="F412" s="3">
        <f t="shared" si="433"/>
        <v>9.9999999999999995E-8</v>
      </c>
      <c r="G412" s="3">
        <f t="shared" si="433"/>
        <v>11.545864269127174</v>
      </c>
      <c r="H412" s="3">
        <f t="shared" si="433"/>
        <v>677.38816520092723</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4.1916837249277666E-16</v>
      </c>
      <c r="C413" s="3">
        <f t="shared" si="433"/>
        <v>2.2801663141821093E-14</v>
      </c>
      <c r="D413" s="3">
        <f t="shared" si="433"/>
        <v>8.5799469656027913E-13</v>
      </c>
      <c r="E413" s="3">
        <f t="shared" si="433"/>
        <v>1.9250688021166693E-10</v>
      </c>
      <c r="F413" s="3">
        <f t="shared" si="433"/>
        <v>9.9999999999999995E-7</v>
      </c>
      <c r="G413" s="3">
        <f t="shared" si="433"/>
        <v>115.45864269127173</v>
      </c>
      <c r="H413" s="3">
        <f t="shared" si="433"/>
        <v>6773.8816520092714</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4.1916837249277668E-15</v>
      </c>
      <c r="C414" s="3">
        <f t="shared" si="433"/>
        <v>2.2801663141821094E-13</v>
      </c>
      <c r="D414" s="3">
        <f t="shared" si="433"/>
        <v>8.5799469656027923E-12</v>
      </c>
      <c r="E414" s="3">
        <f t="shared" si="433"/>
        <v>1.9250688021166695E-9</v>
      </c>
      <c r="F414" s="3">
        <f t="shared" si="433"/>
        <v>1.0000000000000001E-5</v>
      </c>
      <c r="G414" s="3">
        <f t="shared" si="433"/>
        <v>1154.5864269127173</v>
      </c>
      <c r="H414" s="3">
        <f t="shared" si="433"/>
        <v>67738.816520092732</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4.1916837249277668E-14</v>
      </c>
      <c r="C415" s="3">
        <f t="shared" si="433"/>
        <v>2.2801663141821096E-12</v>
      </c>
      <c r="D415" s="3">
        <f t="shared" si="433"/>
        <v>8.5799469656027923E-11</v>
      </c>
      <c r="E415" s="3">
        <f t="shared" si="433"/>
        <v>1.9250688021166696E-8</v>
      </c>
      <c r="F415" s="3">
        <f t="shared" si="433"/>
        <v>1E-4</v>
      </c>
      <c r="G415" s="3">
        <f t="shared" si="433"/>
        <v>11545.864269127174</v>
      </c>
      <c r="H415" s="3">
        <f t="shared" si="433"/>
        <v>677388.16520092729</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4.1916837249277668E-13</v>
      </c>
      <c r="C416" s="3">
        <f t="shared" si="433"/>
        <v>2.2801663141821094E-11</v>
      </c>
      <c r="D416" s="3">
        <f t="shared" si="433"/>
        <v>8.5799469656027923E-10</v>
      </c>
      <c r="E416" s="3">
        <f t="shared" si="433"/>
        <v>1.9250688021166695E-7</v>
      </c>
      <c r="F416" s="3">
        <f t="shared" si="433"/>
        <v>1E-3</v>
      </c>
      <c r="G416" s="3">
        <f t="shared" si="433"/>
        <v>115458.64269127174</v>
      </c>
      <c r="H416" s="3">
        <f t="shared" si="433"/>
        <v>6773881.652009272</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4.191683724927767E-12</v>
      </c>
      <c r="C417" s="3">
        <f t="shared" si="433"/>
        <v>2.2801663141821094E-10</v>
      </c>
      <c r="D417" s="3">
        <f t="shared" si="433"/>
        <v>8.5799469656027921E-9</v>
      </c>
      <c r="E417" s="3">
        <f t="shared" si="433"/>
        <v>1.9250688021166696E-6</v>
      </c>
      <c r="F417" s="3">
        <f t="shared" si="433"/>
        <v>0.01</v>
      </c>
      <c r="G417" s="3">
        <f t="shared" si="433"/>
        <v>1154586.4269127173</v>
      </c>
      <c r="H417" s="3">
        <f t="shared" si="433"/>
        <v>67738816.520092726</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4.1916837249277668E-11</v>
      </c>
      <c r="C418" s="3">
        <f t="shared" si="433"/>
        <v>2.2801663141821097E-9</v>
      </c>
      <c r="D418" s="3">
        <f t="shared" si="433"/>
        <v>8.5799469656027924E-8</v>
      </c>
      <c r="E418" s="3">
        <f t="shared" si="433"/>
        <v>1.9250688021166695E-5</v>
      </c>
      <c r="F418" s="3">
        <f t="shared" si="433"/>
        <v>0.1</v>
      </c>
      <c r="G418" s="3">
        <f t="shared" si="433"/>
        <v>11545864.269127173</v>
      </c>
      <c r="H418" s="3">
        <f t="shared" si="433"/>
        <v>677388165.20092726</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4.191683724927767E-10</v>
      </c>
      <c r="C419" s="3">
        <f t="shared" si="433"/>
        <v>2.2801663141821095E-8</v>
      </c>
      <c r="D419" s="3">
        <f t="shared" si="433"/>
        <v>8.5799469656027916E-7</v>
      </c>
      <c r="E419" s="3">
        <f t="shared" si="433"/>
        <v>1.9250688021166696E-4</v>
      </c>
      <c r="F419" s="3">
        <f t="shared" si="433"/>
        <v>1</v>
      </c>
      <c r="G419" s="3">
        <f t="shared" si="433"/>
        <v>115458642.69127174</v>
      </c>
      <c r="H419" s="3">
        <f t="shared" si="433"/>
        <v>6773881652.0092716</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4.1916837249277665E-9</v>
      </c>
      <c r="C420" s="3">
        <f t="shared" si="434"/>
        <v>2.2801663141821093E-7</v>
      </c>
      <c r="D420" s="3">
        <f t="shared" si="434"/>
        <v>8.5799469656027925E-6</v>
      </c>
      <c r="E420" s="3">
        <f t="shared" si="434"/>
        <v>1.9250688021166696E-3</v>
      </c>
      <c r="F420" s="3">
        <f t="shared" si="434"/>
        <v>10</v>
      </c>
      <c r="G420" s="3">
        <f t="shared" si="434"/>
        <v>1154586426.9127173</v>
      </c>
      <c r="H420" s="3">
        <f t="shared" si="434"/>
        <v>67738816520.09272</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4.1916837249277669E-8</v>
      </c>
      <c r="C421" s="3">
        <f t="shared" si="434"/>
        <v>2.2801663141821093E-6</v>
      </c>
      <c r="D421" s="3">
        <f t="shared" si="434"/>
        <v>8.5799469656027918E-5</v>
      </c>
      <c r="E421" s="3">
        <f t="shared" si="434"/>
        <v>1.9250688021166695E-2</v>
      </c>
      <c r="F421" s="3">
        <f t="shared" si="434"/>
        <v>100</v>
      </c>
      <c r="G421" s="3">
        <f t="shared" si="434"/>
        <v>11545864269.127174</v>
      </c>
      <c r="H421" s="3">
        <f t="shared" si="434"/>
        <v>677388165200.92725</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4.191683724927767E-7</v>
      </c>
      <c r="C422" s="3">
        <f t="shared" si="434"/>
        <v>2.2801663141821096E-5</v>
      </c>
      <c r="D422" s="3">
        <f t="shared" si="434"/>
        <v>8.5799469656027913E-4</v>
      </c>
      <c r="E422" s="3">
        <f t="shared" si="434"/>
        <v>0.19250688021166695</v>
      </c>
      <c r="F422" s="3">
        <f t="shared" si="434"/>
        <v>1000</v>
      </c>
      <c r="G422" s="3">
        <f t="shared" si="434"/>
        <v>115458642691.27173</v>
      </c>
      <c r="H422" s="3">
        <f t="shared" si="434"/>
        <v>6773881652009.2725</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4.1916837249277669E-6</v>
      </c>
      <c r="C423" s="3">
        <f t="shared" si="434"/>
        <v>2.2801663141821095E-4</v>
      </c>
      <c r="D423" s="3">
        <f t="shared" si="434"/>
        <v>8.5799469656027919E-3</v>
      </c>
      <c r="E423" s="3">
        <f t="shared" si="434"/>
        <v>1.9250688021166695</v>
      </c>
      <c r="F423" s="3">
        <f t="shared" si="434"/>
        <v>10000</v>
      </c>
      <c r="G423" s="3">
        <f t="shared" si="434"/>
        <v>1154586426912.7173</v>
      </c>
      <c r="H423" s="3">
        <f t="shared" si="434"/>
        <v>67738816520092.719</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4.1916837249277669E-5</v>
      </c>
      <c r="C424" s="3">
        <f t="shared" si="434"/>
        <v>2.2801663141821093E-3</v>
      </c>
      <c r="D424" s="3">
        <f t="shared" si="434"/>
        <v>8.5799469656027916E-2</v>
      </c>
      <c r="E424" s="3">
        <f t="shared" si="434"/>
        <v>19.250688021166695</v>
      </c>
      <c r="F424" s="3">
        <f t="shared" si="434"/>
        <v>100000</v>
      </c>
      <c r="G424" s="3">
        <f t="shared" si="434"/>
        <v>11545864269127.174</v>
      </c>
      <c r="H424" s="3">
        <f t="shared" si="434"/>
        <v>677388165200927.25</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4.1916837249277668E-4</v>
      </c>
      <c r="C425" s="3">
        <f t="shared" si="434"/>
        <v>2.2801663141821093E-2</v>
      </c>
      <c r="D425" s="3">
        <f t="shared" si="434"/>
        <v>0.85799469656027916</v>
      </c>
      <c r="E425" s="3">
        <f t="shared" si="434"/>
        <v>192.50688021166695</v>
      </c>
      <c r="F425" s="3">
        <f t="shared" si="434"/>
        <v>1000000</v>
      </c>
      <c r="G425" s="3">
        <f t="shared" si="434"/>
        <v>115458642691271.73</v>
      </c>
      <c r="H425" s="3">
        <f t="shared" si="434"/>
        <v>6773881652009272</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4.191683724927767E-3</v>
      </c>
      <c r="C426" s="3">
        <f t="shared" si="434"/>
        <v>0.22801663141821094</v>
      </c>
      <c r="D426" s="3">
        <f t="shared" si="434"/>
        <v>8.579946965602792</v>
      </c>
      <c r="E426" s="3">
        <f t="shared" si="434"/>
        <v>1925.0688021166695</v>
      </c>
      <c r="F426" s="3">
        <f t="shared" si="434"/>
        <v>10000000</v>
      </c>
      <c r="G426" s="3">
        <f t="shared" si="434"/>
        <v>1154586426912717.2</v>
      </c>
      <c r="H426" s="3">
        <f t="shared" si="434"/>
        <v>6.773881652009272E+16</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4.1916837249277666E-2</v>
      </c>
      <c r="C427" s="3">
        <f t="shared" si="434"/>
        <v>2.2801663141821096</v>
      </c>
      <c r="D427" s="3">
        <f t="shared" si="434"/>
        <v>85.799469656027924</v>
      </c>
      <c r="E427" s="3">
        <f t="shared" si="434"/>
        <v>19250.688021166694</v>
      </c>
      <c r="F427" s="3">
        <f t="shared" si="434"/>
        <v>100000000</v>
      </c>
      <c r="G427" s="3">
        <f t="shared" si="434"/>
        <v>1.1545864269127174E+16</v>
      </c>
      <c r="H427" s="3">
        <f t="shared" si="434"/>
        <v>6.7738816520092723E+17</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0.41916837249277666</v>
      </c>
      <c r="C428" s="3">
        <f t="shared" si="434"/>
        <v>22.801663141821095</v>
      </c>
      <c r="D428" s="3">
        <f t="shared" si="434"/>
        <v>857.99469656027918</v>
      </c>
      <c r="E428" s="3">
        <f t="shared" si="434"/>
        <v>192506.88021166695</v>
      </c>
      <c r="F428" s="3">
        <f t="shared" si="434"/>
        <v>1000000000</v>
      </c>
      <c r="G428" s="3">
        <f t="shared" si="434"/>
        <v>1.1545864269127173E+17</v>
      </c>
      <c r="H428" s="3">
        <f t="shared" si="434"/>
        <v>6.7738816520092723E+18</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4.191683724927767</v>
      </c>
      <c r="C429" s="3">
        <f t="shared" si="434"/>
        <v>228.01663141821095</v>
      </c>
      <c r="D429" s="3">
        <f t="shared" si="434"/>
        <v>8579.9469656027923</v>
      </c>
      <c r="E429" s="3">
        <f t="shared" si="434"/>
        <v>1925068.8021166695</v>
      </c>
      <c r="F429" s="3">
        <f t="shared" si="434"/>
        <v>10000000000</v>
      </c>
      <c r="G429" s="3">
        <f t="shared" si="434"/>
        <v>1.1545864269127173E+18</v>
      </c>
      <c r="H429" s="3">
        <f t="shared" si="434"/>
        <v>6.7738816520092721E+19</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41.91683724927767</v>
      </c>
      <c r="C430" s="3">
        <f t="shared" si="434"/>
        <v>2280.1663141821095</v>
      </c>
      <c r="D430" s="3">
        <f t="shared" si="434"/>
        <v>85799.469656027912</v>
      </c>
      <c r="E430" s="3">
        <f t="shared" si="434"/>
        <v>19250688.021166693</v>
      </c>
      <c r="F430" s="3">
        <f t="shared" si="434"/>
        <v>100000000000</v>
      </c>
      <c r="G430" s="3">
        <f t="shared" si="434"/>
        <v>1.1545864269127174E+19</v>
      </c>
      <c r="H430" s="3">
        <f t="shared" si="434"/>
        <v>6.7738816520092726E+20</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419.16837249277665</v>
      </c>
      <c r="C431" s="3">
        <f t="shared" si="434"/>
        <v>22801.663141821093</v>
      </c>
      <c r="D431" s="3">
        <f t="shared" si="434"/>
        <v>857994.69656027912</v>
      </c>
      <c r="E431" s="3">
        <f t="shared" si="434"/>
        <v>192506880.21166694</v>
      </c>
      <c r="F431" s="3">
        <f t="shared" si="434"/>
        <v>1000000000000</v>
      </c>
      <c r="G431" s="3">
        <f t="shared" si="434"/>
        <v>1.1545864269127174E+20</v>
      </c>
      <c r="H431" s="3">
        <f t="shared" si="434"/>
        <v>6.7738816520092721E+21</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4191.6837249277669</v>
      </c>
      <c r="C432" s="3">
        <f t="shared" si="434"/>
        <v>228016.63141821095</v>
      </c>
      <c r="D432" s="3">
        <f t="shared" si="434"/>
        <v>8579946.9656027909</v>
      </c>
      <c r="E432" s="3">
        <f t="shared" si="434"/>
        <v>1925068802.1166694</v>
      </c>
      <c r="F432" s="3">
        <f t="shared" si="434"/>
        <v>10000000000000</v>
      </c>
      <c r="G432" s="3">
        <f t="shared" si="434"/>
        <v>1.1545864269127174E+21</v>
      </c>
      <c r="H432" s="3">
        <f t="shared" si="434"/>
        <v>6.7738816520092725E+22</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41916.837249277669</v>
      </c>
      <c r="C433" s="3">
        <f t="shared" si="434"/>
        <v>2280166.3141821097</v>
      </c>
      <c r="D433" s="3">
        <f t="shared" si="434"/>
        <v>85799469.656027913</v>
      </c>
      <c r="E433" s="3">
        <f t="shared" si="434"/>
        <v>19250688021.166695</v>
      </c>
      <c r="F433" s="3">
        <f t="shared" si="434"/>
        <v>100000000000000</v>
      </c>
      <c r="G433" s="3">
        <f t="shared" si="434"/>
        <v>1.1545864269127173E+22</v>
      </c>
      <c r="H433" s="3">
        <f t="shared" si="434"/>
        <v>6.7738816520092722E+23</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419168.37249277666</v>
      </c>
      <c r="C434" s="3">
        <f t="shared" si="434"/>
        <v>22801663.141821094</v>
      </c>
      <c r="D434" s="3">
        <f t="shared" si="434"/>
        <v>857994696.56027913</v>
      </c>
      <c r="E434" s="3">
        <f t="shared" si="434"/>
        <v>192506880211.66696</v>
      </c>
      <c r="F434" s="3">
        <f t="shared" si="434"/>
        <v>1000000000000000</v>
      </c>
      <c r="G434" s="3">
        <f t="shared" si="434"/>
        <v>1.1545864269127174E+23</v>
      </c>
      <c r="H434" s="3">
        <f t="shared" si="434"/>
        <v>6.7738816520092719E+24</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-21.592748433065772</v>
      </c>
      <c r="M1" s="54">
        <v>1</v>
      </c>
      <c r="N1" s="56">
        <f>INDEX($H$217:$P$217,1,Q1)</f>
        <v>0.37492084127548114</v>
      </c>
      <c r="O1" s="11"/>
      <c r="P1" s="55">
        <v>1</v>
      </c>
      <c r="Q1" s="11">
        <v>2</v>
      </c>
    </row>
    <row r="2" spans="1:17" x14ac:dyDescent="0.25">
      <c r="A2" s="11">
        <f>'Mastercurve bestimmen'!M119</f>
        <v>0</v>
      </c>
      <c r="B2" s="11">
        <f>'Mastercurve bestimmen'!N119</f>
        <v>-17.596432358829645</v>
      </c>
      <c r="M2" s="54">
        <v>2</v>
      </c>
      <c r="N2" s="56">
        <f t="shared" ref="N2:N9" si="0">INDEX($H$217:$P$217,1,Q2)</f>
        <v>2.958423359376257E-3</v>
      </c>
      <c r="O2" s="11"/>
      <c r="P2" s="55">
        <v>2</v>
      </c>
      <c r="Q2" s="11">
        <f>Q1+1</f>
        <v>3</v>
      </c>
    </row>
    <row r="3" spans="1:17" x14ac:dyDescent="0.25">
      <c r="A3" s="11">
        <f>'Mastercurve bestimmen'!M120</f>
        <v>25</v>
      </c>
      <c r="B3" s="11">
        <f>'Mastercurve bestimmen'!N120</f>
        <v>-13.968667918642728</v>
      </c>
      <c r="M3" s="54">
        <v>3</v>
      </c>
      <c r="N3" s="56">
        <f t="shared" si="0"/>
        <v>-9.1533433831201902E-6</v>
      </c>
      <c r="O3" s="11"/>
      <c r="P3" s="55">
        <v>3</v>
      </c>
      <c r="Q3" s="11">
        <f t="shared" ref="Q3:Q8" si="1">Q2+1</f>
        <v>4</v>
      </c>
    </row>
    <row r="4" spans="1:17" x14ac:dyDescent="0.25">
      <c r="A4" s="11">
        <f>'Mastercurve bestimmen'!M121</f>
        <v>50</v>
      </c>
      <c r="B4" s="11">
        <f>'Mastercurve bestimmen'!N121</f>
        <v>-8.5553786635158335</v>
      </c>
      <c r="M4" s="54">
        <v>4</v>
      </c>
      <c r="N4" s="56">
        <f t="shared" si="0"/>
        <v>-7.2789192891293062E-7</v>
      </c>
      <c r="O4" s="11"/>
      <c r="P4" s="55">
        <v>4</v>
      </c>
      <c r="Q4" s="11">
        <f t="shared" si="1"/>
        <v>5</v>
      </c>
    </row>
    <row r="5" spans="1:17" x14ac:dyDescent="0.25">
      <c r="A5" s="11">
        <f>'Mastercurve bestimmen'!M122</f>
        <v>80</v>
      </c>
      <c r="B5" s="11">
        <f>'Mastercurve bestimmen'!N122</f>
        <v>0</v>
      </c>
      <c r="M5" s="54">
        <v>5</v>
      </c>
      <c r="N5" s="56">
        <f t="shared" si="0"/>
        <v>-5.2162324504889943E-9</v>
      </c>
      <c r="O5" s="11"/>
      <c r="P5" s="55">
        <v>5</v>
      </c>
      <c r="Q5" s="11">
        <f t="shared" si="1"/>
        <v>6</v>
      </c>
    </row>
    <row r="6" spans="1:17" x14ac:dyDescent="0.25">
      <c r="A6" s="11">
        <f>'Mastercurve bestimmen'!M123</f>
        <v>125</v>
      </c>
      <c r="B6" s="11">
        <f>'Mastercurve bestimmen'!N123</f>
        <v>18.564422951866018</v>
      </c>
      <c r="M6" s="54">
        <v>6</v>
      </c>
      <c r="N6" s="56">
        <f t="shared" si="0"/>
        <v>4.106500144807722E-11</v>
      </c>
      <c r="O6" s="11"/>
      <c r="P6" s="55">
        <v>6</v>
      </c>
      <c r="Q6" s="11">
        <f t="shared" si="1"/>
        <v>7</v>
      </c>
    </row>
    <row r="7" spans="1:17" x14ac:dyDescent="0.25">
      <c r="A7" s="11">
        <f>'Mastercurve bestimmen'!M124</f>
        <v>160</v>
      </c>
      <c r="B7" s="11">
        <f>'Mastercurve bestimmen'!N124</f>
        <v>22.636340120272525</v>
      </c>
      <c r="M7" s="54">
        <v>7</v>
      </c>
      <c r="N7" s="56">
        <f t="shared" si="0"/>
        <v>5.828672861202931E-13</v>
      </c>
      <c r="O7" s="11"/>
      <c r="P7" s="55">
        <v>7</v>
      </c>
      <c r="Q7" s="11">
        <f t="shared" si="1"/>
        <v>8</v>
      </c>
    </row>
    <row r="8" spans="1:17" x14ac:dyDescent="0.25">
      <c r="A8" s="11"/>
      <c r="B8" s="11"/>
      <c r="M8" s="54">
        <v>8</v>
      </c>
      <c r="N8" s="56">
        <f t="shared" si="0"/>
        <v>1.6793174218158199E-15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-21.592748433065772</v>
      </c>
      <c r="E15" s="11">
        <f>A15-'Mastercurve bestimmen'!$B$2</f>
        <v>-120</v>
      </c>
      <c r="F15" s="11">
        <f>B15</f>
        <v>-21.592748433065772</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-21.508825873765161</v>
      </c>
      <c r="E16" s="11">
        <f>A16-'Mastercurve bestimmen'!$B$2</f>
        <v>-119</v>
      </c>
      <c r="F16" s="11">
        <f t="shared" ref="F16:F79" si="4">B16</f>
        <v>-21.508825873765161</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-21.424843331940885</v>
      </c>
      <c r="E17" s="11">
        <f>A17-'Mastercurve bestimmen'!$B$2</f>
        <v>-118</v>
      </c>
      <c r="F17" s="11">
        <f t="shared" si="4"/>
        <v>-21.424843331940885</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-21.340740825069293</v>
      </c>
      <c r="E18" s="11">
        <f>A18-'Mastercurve bestimmen'!$B$2</f>
        <v>-117</v>
      </c>
      <c r="F18" s="11">
        <f t="shared" si="4"/>
        <v>-21.340740825069293</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-21.256458370626724</v>
      </c>
      <c r="E19" s="11">
        <f>A19-'Mastercurve bestimmen'!$B$2</f>
        <v>-116</v>
      </c>
      <c r="F19" s="11">
        <f t="shared" si="4"/>
        <v>-21.256458370626724</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-21.171935986089512</v>
      </c>
      <c r="E20" s="11">
        <f>A20-'Mastercurve bestimmen'!$B$2</f>
        <v>-115</v>
      </c>
      <c r="F20" s="11">
        <f t="shared" si="4"/>
        <v>-21.171935986089512</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-21.087113688934007</v>
      </c>
      <c r="E21" s="11">
        <f>A21-'Mastercurve bestimmen'!$B$2</f>
        <v>-114</v>
      </c>
      <c r="F21" s="11">
        <f t="shared" si="4"/>
        <v>-21.087113688934007</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-21.001931496636544</v>
      </c>
      <c r="E22" s="11">
        <f>A22-'Mastercurve bestimmen'!$B$2</f>
        <v>-113</v>
      </c>
      <c r="F22" s="11">
        <f t="shared" si="4"/>
        <v>-21.001931496636544</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-20.916329426673457</v>
      </c>
      <c r="E23" s="11">
        <f>A23-'Mastercurve bestimmen'!$B$2</f>
        <v>-112</v>
      </c>
      <c r="F23" s="11">
        <f t="shared" si="4"/>
        <v>-20.916329426673457</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-20.8302474965211</v>
      </c>
      <c r="E24" s="11">
        <f>A24-'Mastercurve bestimmen'!$B$2</f>
        <v>-111</v>
      </c>
      <c r="F24" s="11">
        <f t="shared" si="4"/>
        <v>-20.8302474965211</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-20.743625723655803</v>
      </c>
      <c r="E25" s="11">
        <f>A25-'Mastercurve bestimmen'!$B$2</f>
        <v>-110</v>
      </c>
      <c r="F25" s="11">
        <f t="shared" si="4"/>
        <v>-20.743625723655803</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-20.656404125553912</v>
      </c>
      <c r="E26" s="11">
        <f>A26-'Mastercurve bestimmen'!$B$2</f>
        <v>-109</v>
      </c>
      <c r="F26" s="11">
        <f t="shared" si="4"/>
        <v>-20.656404125553912</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-20.568522719691764</v>
      </c>
      <c r="E27" s="11">
        <f>A27-'Mastercurve bestimmen'!$B$2</f>
        <v>-108</v>
      </c>
      <c r="F27" s="11">
        <f t="shared" si="4"/>
        <v>-20.568522719691764</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-20.479921523545698</v>
      </c>
      <c r="E28" s="11">
        <f>A28-'Mastercurve bestimmen'!$B$2</f>
        <v>-107</v>
      </c>
      <c r="F28" s="11">
        <f t="shared" si="4"/>
        <v>-20.479921523545698</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-20.390540554592057</v>
      </c>
      <c r="E29" s="11">
        <f>A29-'Mastercurve bestimmen'!$B$2</f>
        <v>-106</v>
      </c>
      <c r="F29" s="11">
        <f t="shared" si="4"/>
        <v>-20.390540554592057</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-20.300319830307185</v>
      </c>
      <c r="E30" s="11">
        <f>A30-'Mastercurve bestimmen'!$B$2</f>
        <v>-105</v>
      </c>
      <c r="F30" s="11">
        <f t="shared" si="4"/>
        <v>-20.300319830307185</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-20.209199368167418</v>
      </c>
      <c r="E31" s="11">
        <f>A31-'Mastercurve bestimmen'!$B$2</f>
        <v>-104</v>
      </c>
      <c r="F31" s="11">
        <f t="shared" si="4"/>
        <v>-20.209199368167418</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-20.117119185649095</v>
      </c>
      <c r="E32" s="11">
        <f>A32-'Mastercurve bestimmen'!$B$2</f>
        <v>-103</v>
      </c>
      <c r="F32" s="11">
        <f t="shared" si="4"/>
        <v>-20.117119185649095</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-20.024019300228559</v>
      </c>
      <c r="E33" s="11">
        <f>A33-'Mastercurve bestimmen'!$B$2</f>
        <v>-102</v>
      </c>
      <c r="F33" s="11">
        <f t="shared" si="4"/>
        <v>-20.024019300228559</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-19.929839729382152</v>
      </c>
      <c r="E34" s="11">
        <f>A34-'Mastercurve bestimmen'!$B$2</f>
        <v>-101</v>
      </c>
      <c r="F34" s="11">
        <f t="shared" si="4"/>
        <v>-19.929839729382152</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-19.834520490586208</v>
      </c>
      <c r="E35" s="11">
        <f>A35-'Mastercurve bestimmen'!$B$2</f>
        <v>-100</v>
      </c>
      <c r="F35" s="11">
        <f t="shared" si="4"/>
        <v>-19.834520490586208</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-19.738001601317073</v>
      </c>
      <c r="E36" s="11">
        <f>A36-'Mastercurve bestimmen'!$B$2</f>
        <v>-99</v>
      </c>
      <c r="F36" s="11">
        <f t="shared" si="4"/>
        <v>-19.738001601317073</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-19.640223079051086</v>
      </c>
      <c r="E37" s="11">
        <f>A37-'Mastercurve bestimmen'!$B$2</f>
        <v>-98</v>
      </c>
      <c r="F37" s="11">
        <f t="shared" si="4"/>
        <v>-19.640223079051086</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-19.541124941264588</v>
      </c>
      <c r="E38" s="11">
        <f>A38-'Mastercurve bestimmen'!$B$2</f>
        <v>-97</v>
      </c>
      <c r="F38" s="11">
        <f t="shared" si="4"/>
        <v>-19.541124941264588</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-19.440647205433919</v>
      </c>
      <c r="E39" s="11">
        <f>A39-'Mastercurve bestimmen'!$B$2</f>
        <v>-96</v>
      </c>
      <c r="F39" s="11">
        <f t="shared" si="4"/>
        <v>-19.440647205433919</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-19.33872988903542</v>
      </c>
      <c r="E40" s="11">
        <f>A40-'Mastercurve bestimmen'!$B$2</f>
        <v>-95</v>
      </c>
      <c r="F40" s="11">
        <f t="shared" si="4"/>
        <v>-19.33872988903542</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-19.235313009545429</v>
      </c>
      <c r="E41" s="11">
        <f>A41-'Mastercurve bestimmen'!$B$2</f>
        <v>-94</v>
      </c>
      <c r="F41" s="11">
        <f t="shared" si="4"/>
        <v>-19.235313009545429</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-19.130336584440286</v>
      </c>
      <c r="E42" s="11">
        <f>A42-'Mastercurve bestimmen'!$B$2</f>
        <v>-93</v>
      </c>
      <c r="F42" s="11">
        <f t="shared" si="4"/>
        <v>-19.130336584440286</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-19.023740631196333</v>
      </c>
      <c r="E43" s="11">
        <f>A43-'Mastercurve bestimmen'!$B$2</f>
        <v>-92</v>
      </c>
      <c r="F43" s="11">
        <f t="shared" si="4"/>
        <v>-19.023740631196333</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-18.915465167289913</v>
      </c>
      <c r="E44" s="11">
        <f>A44-'Mastercurve bestimmen'!$B$2</f>
        <v>-91</v>
      </c>
      <c r="F44" s="11">
        <f t="shared" si="4"/>
        <v>-18.915465167289913</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-18.805450210197364</v>
      </c>
      <c r="E45" s="11">
        <f>A45-'Mastercurve bestimmen'!$B$2</f>
        <v>-90</v>
      </c>
      <c r="F45" s="11">
        <f t="shared" si="4"/>
        <v>-18.805450210197364</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-18.693635777395023</v>
      </c>
      <c r="E46" s="11">
        <f>A46-'Mastercurve bestimmen'!$B$2</f>
        <v>-89</v>
      </c>
      <c r="F46" s="11">
        <f t="shared" si="4"/>
        <v>-18.693635777395023</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-18.579961886359236</v>
      </c>
      <c r="E47" s="11">
        <f>A47-'Mastercurve bestimmen'!$B$2</f>
        <v>-88</v>
      </c>
      <c r="F47" s="11">
        <f t="shared" si="4"/>
        <v>-18.579961886359236</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-18.464368554566342</v>
      </c>
      <c r="E48" s="11">
        <f>A48-'Mastercurve bestimmen'!$B$2</f>
        <v>-87</v>
      </c>
      <c r="F48" s="11">
        <f t="shared" si="4"/>
        <v>-18.464368554566342</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-18.346795799492682</v>
      </c>
      <c r="E49" s="11">
        <f>A49-'Mastercurve bestimmen'!$B$2</f>
        <v>-86</v>
      </c>
      <c r="F49" s="11">
        <f t="shared" si="4"/>
        <v>-18.346795799492682</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-18.227183638614591</v>
      </c>
      <c r="E50" s="11">
        <f>A50-'Mastercurve bestimmen'!$B$2</f>
        <v>-85</v>
      </c>
      <c r="F50" s="11">
        <f t="shared" si="4"/>
        <v>-18.227183638614591</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-18.105472089408416</v>
      </c>
      <c r="E51" s="11">
        <f>A51-'Mastercurve bestimmen'!$B$2</f>
        <v>-84</v>
      </c>
      <c r="F51" s="11">
        <f t="shared" si="4"/>
        <v>-18.105472089408416</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-17.98160116935049</v>
      </c>
      <c r="E52" s="11">
        <f>A52-'Mastercurve bestimmen'!$B$2</f>
        <v>-83</v>
      </c>
      <c r="F52" s="11">
        <f t="shared" si="4"/>
        <v>-17.98160116935049</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-17.85551089591716</v>
      </c>
      <c r="E53" s="11">
        <f>A53-'Mastercurve bestimmen'!$B$2</f>
        <v>-82</v>
      </c>
      <c r="F53" s="11">
        <f t="shared" si="4"/>
        <v>-17.85551089591716</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-17.727141286584768</v>
      </c>
      <c r="E54" s="11">
        <f>A54-'Mastercurve bestimmen'!$B$2</f>
        <v>-81</v>
      </c>
      <c r="F54" s="11">
        <f t="shared" si="4"/>
        <v>-17.727141286584768</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-17.596432358829645</v>
      </c>
      <c r="E55" s="11">
        <f>A55-'Mastercurve bestimmen'!$B$2</f>
        <v>-80</v>
      </c>
      <c r="F55" s="11">
        <f t="shared" si="4"/>
        <v>-17.596432358829645</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-17.484996655393694</v>
      </c>
      <c r="E56" s="11">
        <f>A56-'Mastercurve bestimmen'!$B$2</f>
        <v>-79</v>
      </c>
      <c r="F56" s="11">
        <f t="shared" si="4"/>
        <v>-17.484996655393694</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-17.371114696561222</v>
      </c>
      <c r="E57" s="11">
        <f>A57-'Mastercurve bestimmen'!$B$2</f>
        <v>-78</v>
      </c>
      <c r="F57" s="11">
        <f t="shared" si="4"/>
        <v>-17.371114696561222</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-17.254739527882073</v>
      </c>
      <c r="E58" s="11">
        <f>A58-'Mastercurve bestimmen'!$B$2</f>
        <v>-77</v>
      </c>
      <c r="F58" s="11">
        <f t="shared" si="4"/>
        <v>-17.254739527882073</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-17.13582419490611</v>
      </c>
      <c r="E59" s="11">
        <f>A59-'Mastercurve bestimmen'!$B$2</f>
        <v>-76</v>
      </c>
      <c r="F59" s="11">
        <f t="shared" si="4"/>
        <v>-17.13582419490611</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-17.014321743183192</v>
      </c>
      <c r="E60" s="11">
        <f>A60-'Mastercurve bestimmen'!$B$2</f>
        <v>-75</v>
      </c>
      <c r="F60" s="11">
        <f t="shared" si="4"/>
        <v>-17.014321743183192</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-16.89018521826317</v>
      </c>
      <c r="E61" s="11">
        <f>A61-'Mastercurve bestimmen'!$B$2</f>
        <v>-74</v>
      </c>
      <c r="F61" s="11">
        <f t="shared" si="4"/>
        <v>-16.89018521826317</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-16.763367665695903</v>
      </c>
      <c r="E62" s="11">
        <f>A62-'Mastercurve bestimmen'!$B$2</f>
        <v>-73</v>
      </c>
      <c r="F62" s="11">
        <f t="shared" si="4"/>
        <v>-16.763367665695903</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-16.633822131031245</v>
      </c>
      <c r="E63" s="11">
        <f>A63-'Mastercurve bestimmen'!$B$2</f>
        <v>-72</v>
      </c>
      <c r="F63" s="11">
        <f t="shared" si="4"/>
        <v>-16.633822131031245</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-16.501501659819056</v>
      </c>
      <c r="E64" s="11">
        <f>A64-'Mastercurve bestimmen'!$B$2</f>
        <v>-71</v>
      </c>
      <c r="F64" s="11">
        <f t="shared" si="4"/>
        <v>-16.501501659819056</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-16.366359297609193</v>
      </c>
      <c r="E65" s="11">
        <f>A65-'Mastercurve bestimmen'!$B$2</f>
        <v>-70</v>
      </c>
      <c r="F65" s="11">
        <f t="shared" si="4"/>
        <v>-16.366359297609193</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-16.228348089951513</v>
      </c>
      <c r="E66" s="11">
        <f>A66-'Mastercurve bestimmen'!$B$2</f>
        <v>-69</v>
      </c>
      <c r="F66" s="11">
        <f t="shared" si="4"/>
        <v>-16.228348089951513</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-16.087421082395871</v>
      </c>
      <c r="E67" s="11">
        <f>A67-'Mastercurve bestimmen'!$B$2</f>
        <v>-68</v>
      </c>
      <c r="F67" s="11">
        <f t="shared" si="4"/>
        <v>-16.087421082395871</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-15.943531320492118</v>
      </c>
      <c r="E68" s="11">
        <f>A68-'Mastercurve bestimmen'!$B$2</f>
        <v>-67</v>
      </c>
      <c r="F68" s="11">
        <f t="shared" si="4"/>
        <v>-15.943531320492118</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-15.796631849790121</v>
      </c>
      <c r="E69" s="11">
        <f>A69-'Mastercurve bestimmen'!$B$2</f>
        <v>-66</v>
      </c>
      <c r="F69" s="11">
        <f t="shared" si="4"/>
        <v>-15.796631849790121</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-15.646675715839731</v>
      </c>
      <c r="E70" s="11">
        <f>A70-'Mastercurve bestimmen'!$B$2</f>
        <v>-65</v>
      </c>
      <c r="F70" s="11">
        <f t="shared" si="4"/>
        <v>-15.646675715839731</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-15.493615964190806</v>
      </c>
      <c r="E71" s="11">
        <f>A71-'Mastercurve bestimmen'!$B$2</f>
        <v>-64</v>
      </c>
      <c r="F71" s="11">
        <f t="shared" si="4"/>
        <v>-15.493615964190806</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-15.337405640393202</v>
      </c>
      <c r="E72" s="11">
        <f>A72-'Mastercurve bestimmen'!$B$2</f>
        <v>-63</v>
      </c>
      <c r="F72" s="11">
        <f t="shared" si="4"/>
        <v>-15.337405640393202</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-15.177997789996773</v>
      </c>
      <c r="E73" s="11">
        <f>A73-'Mastercurve bestimmen'!$B$2</f>
        <v>-62</v>
      </c>
      <c r="F73" s="11">
        <f t="shared" si="4"/>
        <v>-15.177997789996773</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-15.015345458551383</v>
      </c>
      <c r="E74" s="11">
        <f>A74-'Mastercurve bestimmen'!$B$2</f>
        <v>-61</v>
      </c>
      <c r="F74" s="11">
        <f t="shared" si="4"/>
        <v>-15.015345458551383</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-14.849401691606882</v>
      </c>
      <c r="E75" s="11">
        <f>A75-'Mastercurve bestimmen'!$B$2</f>
        <v>-60</v>
      </c>
      <c r="F75" s="11">
        <f t="shared" si="4"/>
        <v>-14.849401691606882</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-14.680119534713128</v>
      </c>
      <c r="E76" s="11">
        <f>A76-'Mastercurve bestimmen'!$B$2</f>
        <v>-59</v>
      </c>
      <c r="F76" s="11">
        <f t="shared" si="4"/>
        <v>-14.680119534713128</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-14.50745203341998</v>
      </c>
      <c r="E77" s="11">
        <f>A77-'Mastercurve bestimmen'!$B$2</f>
        <v>-58</v>
      </c>
      <c r="F77" s="11">
        <f t="shared" si="4"/>
        <v>-14.50745203341998</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-14.331352233277293</v>
      </c>
      <c r="E78" s="11">
        <f>A78-'Mastercurve bestimmen'!$B$2</f>
        <v>-57</v>
      </c>
      <c r="F78" s="11">
        <f t="shared" si="4"/>
        <v>-14.331352233277293</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-14.151773179834922</v>
      </c>
      <c r="E79" s="11">
        <f>A79-'Mastercurve bestimmen'!$B$2</f>
        <v>-56</v>
      </c>
      <c r="F79" s="11">
        <f t="shared" si="4"/>
        <v>-14.151773179834922</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-13.968667918642726</v>
      </c>
      <c r="E80" s="11">
        <f>A80-'Mastercurve bestimmen'!$B$2</f>
        <v>-55</v>
      </c>
      <c r="F80" s="11">
        <f t="shared" ref="F80:F143" si="10">B80</f>
        <v>-13.968667918642726</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-13.782018148150403</v>
      </c>
      <c r="E81" s="11">
        <f>A81-'Mastercurve bestimmen'!$B$2</f>
        <v>-54</v>
      </c>
      <c r="F81" s="11">
        <f t="shared" si="10"/>
        <v>-13.782018148150403</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-13.591920178407026</v>
      </c>
      <c r="E82" s="11">
        <f>A82-'Mastercurve bestimmen'!$B$2</f>
        <v>-53</v>
      </c>
      <c r="F82" s="11">
        <f t="shared" si="10"/>
        <v>-13.591920178407026</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-13.398498972361502</v>
      </c>
      <c r="E83" s="11">
        <f>A83-'Mastercurve bestimmen'!$B$2</f>
        <v>-52</v>
      </c>
      <c r="F83" s="11">
        <f t="shared" si="10"/>
        <v>-13.398498972361502</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-13.201879492962746</v>
      </c>
      <c r="E84" s="11">
        <f>A84-'Mastercurve bestimmen'!$B$2</f>
        <v>-51</v>
      </c>
      <c r="F84" s="11">
        <f t="shared" si="10"/>
        <v>-13.201879492962746</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-13.002186703159671</v>
      </c>
      <c r="E85" s="11">
        <f>A85-'Mastercurve bestimmen'!$B$2</f>
        <v>-50</v>
      </c>
      <c r="F85" s="11">
        <f t="shared" si="10"/>
        <v>-13.002186703159671</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-12.799545565901187</v>
      </c>
      <c r="E86" s="11">
        <f>A86-'Mastercurve bestimmen'!$B$2</f>
        <v>-49</v>
      </c>
      <c r="F86" s="11">
        <f t="shared" si="10"/>
        <v>-12.799545565901187</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-12.594081044136207</v>
      </c>
      <c r="E87" s="11">
        <f>A87-'Mastercurve bestimmen'!$B$2</f>
        <v>-48</v>
      </c>
      <c r="F87" s="11">
        <f t="shared" si="10"/>
        <v>-12.594081044136207</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-12.385918100813647</v>
      </c>
      <c r="E88" s="11">
        <f>A88-'Mastercurve bestimmen'!$B$2</f>
        <v>-47</v>
      </c>
      <c r="F88" s="11">
        <f t="shared" si="10"/>
        <v>-12.385918100813647</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-12.175181698882414</v>
      </c>
      <c r="E89" s="11">
        <f>A89-'Mastercurve bestimmen'!$B$2</f>
        <v>-46</v>
      </c>
      <c r="F89" s="11">
        <f t="shared" si="10"/>
        <v>-12.175181698882414</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-11.96199680129142</v>
      </c>
      <c r="E90" s="11">
        <f>A90-'Mastercurve bestimmen'!$B$2</f>
        <v>-45</v>
      </c>
      <c r="F90" s="11">
        <f t="shared" si="10"/>
        <v>-11.96199680129142</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-11.746488370989582</v>
      </c>
      <c r="E91" s="11">
        <f>A91-'Mastercurve bestimmen'!$B$2</f>
        <v>-44</v>
      </c>
      <c r="F91" s="11">
        <f t="shared" si="10"/>
        <v>-11.746488370989582</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-11.52878137092581</v>
      </c>
      <c r="E92" s="11">
        <f>A92-'Mastercurve bestimmen'!$B$2</f>
        <v>-43</v>
      </c>
      <c r="F92" s="11">
        <f t="shared" si="10"/>
        <v>-11.52878137092581</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-11.309000764049014</v>
      </c>
      <c r="E93" s="11">
        <f>A93-'Mastercurve bestimmen'!$B$2</f>
        <v>-42</v>
      </c>
      <c r="F93" s="11">
        <f t="shared" si="10"/>
        <v>-11.309000764049014</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-11.08727151330811</v>
      </c>
      <c r="E94" s="11">
        <f>A94-'Mastercurve bestimmen'!$B$2</f>
        <v>-41</v>
      </c>
      <c r="F94" s="11">
        <f t="shared" si="10"/>
        <v>-11.08727151330811</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-10.863718581652009</v>
      </c>
      <c r="E95" s="11">
        <f>A95-'Mastercurve bestimmen'!$B$2</f>
        <v>-40</v>
      </c>
      <c r="F95" s="11">
        <f t="shared" si="10"/>
        <v>-10.863718581652009</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-10.638466932029623</v>
      </c>
      <c r="E96" s="11">
        <f>A96-'Mastercurve bestimmen'!$B$2</f>
        <v>-39</v>
      </c>
      <c r="F96" s="11">
        <f t="shared" si="10"/>
        <v>-10.638466932029623</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-10.411641527389861</v>
      </c>
      <c r="E97" s="11">
        <f>A97-'Mastercurve bestimmen'!$B$2</f>
        <v>-38</v>
      </c>
      <c r="F97" s="11">
        <f t="shared" si="10"/>
        <v>-10.411641527389861</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-10.183367330681643</v>
      </c>
      <c r="E98" s="11">
        <f>A98-'Mastercurve bestimmen'!$B$2</f>
        <v>-37</v>
      </c>
      <c r="F98" s="11">
        <f t="shared" si="10"/>
        <v>-10.183367330681643</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-9.9537693048538731</v>
      </c>
      <c r="E99" s="11">
        <f>A99-'Mastercurve bestimmen'!$B$2</f>
        <v>-36</v>
      </c>
      <c r="F99" s="11">
        <f t="shared" si="10"/>
        <v>-9.9537693048538731</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-9.7229724128554693</v>
      </c>
      <c r="E100" s="11">
        <f>A100-'Mastercurve bestimmen'!$B$2</f>
        <v>-35</v>
      </c>
      <c r="F100" s="11">
        <f t="shared" si="10"/>
        <v>-9.7229724128554693</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-9.4911016176353407</v>
      </c>
      <c r="E101" s="11">
        <f>A101-'Mastercurve bestimmen'!$B$2</f>
        <v>-34</v>
      </c>
      <c r="F101" s="11">
        <f t="shared" si="10"/>
        <v>-9.4911016176353407</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-9.2582818821424002</v>
      </c>
      <c r="E102" s="11">
        <f>A102-'Mastercurve bestimmen'!$B$2</f>
        <v>-33</v>
      </c>
      <c r="F102" s="11">
        <f t="shared" si="10"/>
        <v>-9.2582818821424002</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-9.0246381693255611</v>
      </c>
      <c r="E103" s="11">
        <f>A103-'Mastercurve bestimmen'!$B$2</f>
        <v>-32</v>
      </c>
      <c r="F103" s="11">
        <f t="shared" si="10"/>
        <v>-9.0246381693255611</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-8.7902954421337327</v>
      </c>
      <c r="E104" s="11">
        <f>A104-'Mastercurve bestimmen'!$B$2</f>
        <v>-31</v>
      </c>
      <c r="F104" s="11">
        <f t="shared" si="10"/>
        <v>-8.7902954421337327</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-8.5553786635158335</v>
      </c>
      <c r="E105" s="11">
        <f>A105-'Mastercurve bestimmen'!$B$2</f>
        <v>-30</v>
      </c>
      <c r="F105" s="11">
        <f t="shared" si="10"/>
        <v>-8.5553786635158335</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-8.3199438794719391</v>
      </c>
      <c r="E106" s="11">
        <f>A106-'Mastercurve bestimmen'!$B$2</f>
        <v>-29</v>
      </c>
      <c r="F106" s="11">
        <f t="shared" si="10"/>
        <v>-8.3199438794719391</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-8.0837714682068018</v>
      </c>
      <c r="E107" s="11">
        <f>A107-'Mastercurve bestimmen'!$B$2</f>
        <v>-28</v>
      </c>
      <c r="F107" s="11">
        <f t="shared" si="10"/>
        <v>-8.0837714682068018</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-7.8465728909763452</v>
      </c>
      <c r="E108" s="11">
        <f>A108-'Mastercurve bestimmen'!$B$2</f>
        <v>-27</v>
      </c>
      <c r="F108" s="11">
        <f t="shared" si="10"/>
        <v>-7.8465728909763452</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-7.6080596090364905</v>
      </c>
      <c r="E109" s="11">
        <f>A109-'Mastercurve bestimmen'!$B$2</f>
        <v>-26</v>
      </c>
      <c r="F109" s="11">
        <f t="shared" si="10"/>
        <v>-7.6080596090364905</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-7.3679430836431585</v>
      </c>
      <c r="E110" s="11">
        <f>A110-'Mastercurve bestimmen'!$B$2</f>
        <v>-25</v>
      </c>
      <c r="F110" s="11">
        <f t="shared" si="10"/>
        <v>-7.3679430836431585</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-7.1259347760522713</v>
      </c>
      <c r="E111" s="11">
        <f>A111-'Mastercurve bestimmen'!$B$2</f>
        <v>-24</v>
      </c>
      <c r="F111" s="11">
        <f t="shared" si="10"/>
        <v>-7.1259347760522713</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-6.8817461475197499</v>
      </c>
      <c r="E112" s="11">
        <f>A112-'Mastercurve bestimmen'!$B$2</f>
        <v>-23</v>
      </c>
      <c r="F112" s="11">
        <f t="shared" si="10"/>
        <v>-6.8817461475197499</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-6.6350886593015161</v>
      </c>
      <c r="E113" s="11">
        <f>A113-'Mastercurve bestimmen'!$B$2</f>
        <v>-22</v>
      </c>
      <c r="F113" s="11">
        <f t="shared" si="10"/>
        <v>-6.6350886593015161</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-6.3856737726534911</v>
      </c>
      <c r="E114" s="11">
        <f>A114-'Mastercurve bestimmen'!$B$2</f>
        <v>-21</v>
      </c>
      <c r="F114" s="11">
        <f t="shared" si="10"/>
        <v>-6.3856737726534911</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-6.1332129488315967</v>
      </c>
      <c r="E115" s="11">
        <f>A115-'Mastercurve bestimmen'!$B$2</f>
        <v>-20</v>
      </c>
      <c r="F115" s="11">
        <f t="shared" si="10"/>
        <v>-6.1332129488315967</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-5.8774176490917531</v>
      </c>
      <c r="E116" s="11">
        <f>A116-'Mastercurve bestimmen'!$B$2</f>
        <v>-19</v>
      </c>
      <c r="F116" s="11">
        <f t="shared" si="10"/>
        <v>-5.8774176490917531</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-5.6179993346898831</v>
      </c>
      <c r="E117" s="11">
        <f>A117-'Mastercurve bestimmen'!$B$2</f>
        <v>-18</v>
      </c>
      <c r="F117" s="11">
        <f t="shared" si="10"/>
        <v>-5.6179993346898831</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-5.3546694668819068</v>
      </c>
      <c r="E118" s="11">
        <f>A118-'Mastercurve bestimmen'!$B$2</f>
        <v>-17</v>
      </c>
      <c r="F118" s="11">
        <f t="shared" si="10"/>
        <v>-5.3546694668819068</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-5.0871395069237462</v>
      </c>
      <c r="E119" s="11">
        <f>A119-'Mastercurve bestimmen'!$B$2</f>
        <v>-16</v>
      </c>
      <c r="F119" s="11">
        <f t="shared" si="10"/>
        <v>-5.0871395069237462</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-4.8151209160713231</v>
      </c>
      <c r="E120" s="11">
        <f>A120-'Mastercurve bestimmen'!$B$2</f>
        <v>-15</v>
      </c>
      <c r="F120" s="11">
        <f t="shared" si="10"/>
        <v>-4.8151209160713231</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-4.5383251555805595</v>
      </c>
      <c r="E121" s="11">
        <f>A121-'Mastercurve bestimmen'!$B$2</f>
        <v>-14</v>
      </c>
      <c r="F121" s="11">
        <f t="shared" si="10"/>
        <v>-4.5383251555805595</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-4.2564636867073755</v>
      </c>
      <c r="E122" s="11">
        <f>A122-'Mastercurve bestimmen'!$B$2</f>
        <v>-13</v>
      </c>
      <c r="F122" s="11">
        <f t="shared" si="10"/>
        <v>-4.2564636867073755</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-3.9692479707076918</v>
      </c>
      <c r="E123" s="11">
        <f>A123-'Mastercurve bestimmen'!$B$2</f>
        <v>-12</v>
      </c>
      <c r="F123" s="11">
        <f t="shared" si="10"/>
        <v>-3.9692479707076918</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-3.6763894688374315</v>
      </c>
      <c r="E124" s="11">
        <f>A124-'Mastercurve bestimmen'!$B$2</f>
        <v>-11</v>
      </c>
      <c r="F124" s="11">
        <f t="shared" si="10"/>
        <v>-3.6763894688374315</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-3.3775996423525161</v>
      </c>
      <c r="E125" s="11">
        <f>A125-'Mastercurve bestimmen'!$B$2</f>
        <v>-10</v>
      </c>
      <c r="F125" s="11">
        <f t="shared" si="10"/>
        <v>-3.3775996423525161</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-3.0725899525088658</v>
      </c>
      <c r="E126" s="11">
        <f>A126-'Mastercurve bestimmen'!$B$2</f>
        <v>-9</v>
      </c>
      <c r="F126" s="11">
        <f t="shared" si="10"/>
        <v>-3.0725899525088658</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-2.7610718605624025</v>
      </c>
      <c r="E127" s="11">
        <f>A127-'Mastercurve bestimmen'!$B$2</f>
        <v>-8</v>
      </c>
      <c r="F127" s="11">
        <f t="shared" si="10"/>
        <v>-2.7610718605624025</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-2.4427568277690481</v>
      </c>
      <c r="E128" s="11">
        <f>A128-'Mastercurve bestimmen'!$B$2</f>
        <v>-7</v>
      </c>
      <c r="F128" s="11">
        <f t="shared" si="10"/>
        <v>-2.4427568277690481</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-2.1173563153847228</v>
      </c>
      <c r="E129" s="11">
        <f>A129-'Mastercurve bestimmen'!$B$2</f>
        <v>-6</v>
      </c>
      <c r="F129" s="11">
        <f t="shared" si="10"/>
        <v>-2.1173563153847228</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-1.7845817846653496</v>
      </c>
      <c r="E130" s="11">
        <f>A130-'Mastercurve bestimmen'!$B$2</f>
        <v>-5</v>
      </c>
      <c r="F130" s="11">
        <f t="shared" si="10"/>
        <v>-1.7845817846653496</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-1.4441446968668485</v>
      </c>
      <c r="E131" s="11">
        <f>A131-'Mastercurve bestimmen'!$B$2</f>
        <v>-4</v>
      </c>
      <c r="F131" s="11">
        <f t="shared" si="10"/>
        <v>-1.4441446968668485</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-1.0957565132451417</v>
      </c>
      <c r="E132" s="11">
        <f>A132-'Mastercurve bestimmen'!$B$2</f>
        <v>-3</v>
      </c>
      <c r="F132" s="11">
        <f t="shared" si="10"/>
        <v>-1.0957565132451417</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-0.73912869505615064</v>
      </c>
      <c r="E133" s="11">
        <f>A133-'Mastercurve bestimmen'!$B$2</f>
        <v>-2</v>
      </c>
      <c r="F133" s="11">
        <f t="shared" si="10"/>
        <v>-0.73912869505615064</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-0.37397270355579615</v>
      </c>
      <c r="E134" s="11">
        <f>A134-'Mastercurve bestimmen'!$B$2</f>
        <v>-1</v>
      </c>
      <c r="F134" s="11">
        <f t="shared" si="10"/>
        <v>-0.37397270355579615</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0.3829455175770361</v>
      </c>
      <c r="E136" s="11">
        <f>A136-'Mastercurve bestimmen'!$B$2</f>
        <v>1</v>
      </c>
      <c r="F136" s="11">
        <f t="shared" si="10"/>
        <v>0.3829455175770361</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0.77449020402799174</v>
      </c>
      <c r="E137" s="11">
        <f>A137-'Mastercurve bestimmen'!$B$2</f>
        <v>2</v>
      </c>
      <c r="F137" s="11">
        <f t="shared" si="10"/>
        <v>0.77449020402799174</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1.1741279774272648</v>
      </c>
      <c r="E138" s="11">
        <f>A138-'Mastercurve bestimmen'!$B$2</f>
        <v>3</v>
      </c>
      <c r="F138" s="11">
        <f t="shared" si="10"/>
        <v>1.1741279774272648</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1.5813527558492551</v>
      </c>
      <c r="E139" s="11">
        <f>A139-'Mastercurve bestimmen'!$B$2</f>
        <v>4</v>
      </c>
      <c r="F139" s="11">
        <f t="shared" si="10"/>
        <v>1.5813527558492551</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1.9956584573683611</v>
      </c>
      <c r="E140" s="11">
        <f>A140-'Mastercurve bestimmen'!$B$2</f>
        <v>5</v>
      </c>
      <c r="F140" s="11">
        <f t="shared" si="10"/>
        <v>1.9956584573683611</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2.4165390000589806</v>
      </c>
      <c r="E141" s="11">
        <f>A141-'Mastercurve bestimmen'!$B$2</f>
        <v>6</v>
      </c>
      <c r="F141" s="11">
        <f t="shared" si="10"/>
        <v>2.4165390000589806</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2.8434883019955146</v>
      </c>
      <c r="E142" s="11">
        <f>A142-'Mastercurve bestimmen'!$B$2</f>
        <v>7</v>
      </c>
      <c r="F142" s="11">
        <f t="shared" si="10"/>
        <v>2.8434883019955146</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3.2760002812523603</v>
      </c>
      <c r="E143" s="11">
        <f>A143-'Mastercurve bestimmen'!$B$2</f>
        <v>8</v>
      </c>
      <c r="F143" s="11">
        <f t="shared" si="10"/>
        <v>3.2760002812523603</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3.7135688559039171</v>
      </c>
      <c r="E144" s="11">
        <f>A144-'Mastercurve bestimmen'!$B$2</f>
        <v>9</v>
      </c>
      <c r="F144" s="11">
        <f t="shared" ref="F144:F207" si="15">B144</f>
        <v>3.7135688559039171</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4.1556879440245833</v>
      </c>
      <c r="E145" s="11">
        <f>A145-'Mastercurve bestimmen'!$B$2</f>
        <v>10</v>
      </c>
      <c r="F145" s="11">
        <f t="shared" si="15"/>
        <v>4.1556879440245833</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4.6018514636887584</v>
      </c>
      <c r="E146" s="11">
        <f>A146-'Mastercurve bestimmen'!$B$2</f>
        <v>11</v>
      </c>
      <c r="F146" s="11">
        <f t="shared" si="15"/>
        <v>4.6018514636887584</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5.0515533329708404</v>
      </c>
      <c r="E147" s="11">
        <f>A147-'Mastercurve bestimmen'!$B$2</f>
        <v>12</v>
      </c>
      <c r="F147" s="11">
        <f t="shared" si="15"/>
        <v>5.0515533329708404</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5.5042874699452291</v>
      </c>
      <c r="E148" s="11">
        <f>A148-'Mastercurve bestimmen'!$B$2</f>
        <v>13</v>
      </c>
      <c r="F148" s="11">
        <f t="shared" si="15"/>
        <v>5.5042874699452291</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5.9595477926863225</v>
      </c>
      <c r="E149" s="11">
        <f>A149-'Mastercurve bestimmen'!$B$2</f>
        <v>14</v>
      </c>
      <c r="F149" s="11">
        <f t="shared" si="15"/>
        <v>5.9595477926863225</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6.4168282192685204</v>
      </c>
      <c r="E150" s="11">
        <f>A150-'Mastercurve bestimmen'!$B$2</f>
        <v>15</v>
      </c>
      <c r="F150" s="11">
        <f t="shared" si="15"/>
        <v>6.4168282192685204</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6.8756226677662209</v>
      </c>
      <c r="E151" s="11">
        <f>A151-'Mastercurve bestimmen'!$B$2</f>
        <v>16</v>
      </c>
      <c r="F151" s="11">
        <f t="shared" si="15"/>
        <v>6.8756226677662209</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7.3354250562538228</v>
      </c>
      <c r="E152" s="11">
        <f>A152-'Mastercurve bestimmen'!$B$2</f>
        <v>17</v>
      </c>
      <c r="F152" s="11">
        <f t="shared" si="15"/>
        <v>7.3354250562538228</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7.7957293028057268</v>
      </c>
      <c r="E153" s="11">
        <f>A153-'Mastercurve bestimmen'!$B$2</f>
        <v>18</v>
      </c>
      <c r="F153" s="11">
        <f t="shared" si="15"/>
        <v>7.7957293028057268</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8.2560293254963284</v>
      </c>
      <c r="E154" s="11">
        <f>A154-'Mastercurve bestimmen'!$B$2</f>
        <v>19</v>
      </c>
      <c r="F154" s="11">
        <f t="shared" si="15"/>
        <v>8.2560293254963284</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8.7158190424000281</v>
      </c>
      <c r="E155" s="11">
        <f>A155-'Mastercurve bestimmen'!$B$2</f>
        <v>20</v>
      </c>
      <c r="F155" s="11">
        <f t="shared" si="15"/>
        <v>8.7158190424000281</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9.1745923715912241</v>
      </c>
      <c r="E156" s="11">
        <f>A156-'Mastercurve bestimmen'!$B$2</f>
        <v>21</v>
      </c>
      <c r="F156" s="11">
        <f t="shared" si="15"/>
        <v>9.1745923715912241</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9.6318432311443196</v>
      </c>
      <c r="E157" s="11">
        <f>A157-'Mastercurve bestimmen'!$B$2</f>
        <v>22</v>
      </c>
      <c r="F157" s="11">
        <f t="shared" si="15"/>
        <v>9.6318432311443196</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10.087065539133706</v>
      </c>
      <c r="E158" s="11">
        <f>A158-'Mastercurve bestimmen'!$B$2</f>
        <v>23</v>
      </c>
      <c r="F158" s="11">
        <f t="shared" si="15"/>
        <v>10.087065539133706</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10.539753213633785</v>
      </c>
      <c r="E159" s="11">
        <f>A159-'Mastercurve bestimmen'!$B$2</f>
        <v>24</v>
      </c>
      <c r="F159" s="11">
        <f t="shared" si="15"/>
        <v>10.539753213633785</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10.989400172718961</v>
      </c>
      <c r="E160" s="11">
        <f>A160-'Mastercurve bestimmen'!$B$2</f>
        <v>25</v>
      </c>
      <c r="F160" s="11">
        <f t="shared" si="15"/>
        <v>10.989400172718961</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11.435500334463624</v>
      </c>
      <c r="E161" s="11">
        <f>A161-'Mastercurve bestimmen'!$B$2</f>
        <v>26</v>
      </c>
      <c r="F161" s="11">
        <f t="shared" si="15"/>
        <v>11.435500334463624</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11.877547616942179</v>
      </c>
      <c r="E162" s="11">
        <f>A162-'Mastercurve bestimmen'!$B$2</f>
        <v>27</v>
      </c>
      <c r="F162" s="11">
        <f t="shared" si="15"/>
        <v>11.877547616942179</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12.315035938229022</v>
      </c>
      <c r="E163" s="11">
        <f>A163-'Mastercurve bestimmen'!$B$2</f>
        <v>28</v>
      </c>
      <c r="F163" s="11">
        <f t="shared" si="15"/>
        <v>12.315035938229022</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12.747459216398553</v>
      </c>
      <c r="E164" s="11">
        <f>A164-'Mastercurve bestimmen'!$B$2</f>
        <v>29</v>
      </c>
      <c r="F164" s="11">
        <f t="shared" si="15"/>
        <v>12.747459216398553</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13.174311369525171</v>
      </c>
      <c r="E165" s="11">
        <f>A165-'Mastercurve bestimmen'!$B$2</f>
        <v>30</v>
      </c>
      <c r="F165" s="11">
        <f t="shared" si="15"/>
        <v>13.174311369525171</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13.595086315683274</v>
      </c>
      <c r="E166" s="11">
        <f>A166-'Mastercurve bestimmen'!$B$2</f>
        <v>31</v>
      </c>
      <c r="F166" s="11">
        <f t="shared" si="15"/>
        <v>13.595086315683274</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14.00927797294726</v>
      </c>
      <c r="E167" s="11">
        <f>A167-'Mastercurve bestimmen'!$B$2</f>
        <v>32</v>
      </c>
      <c r="F167" s="11">
        <f t="shared" si="15"/>
        <v>14.00927797294726</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14.416380259391531</v>
      </c>
      <c r="E168" s="11">
        <f>A168-'Mastercurve bestimmen'!$B$2</f>
        <v>33</v>
      </c>
      <c r="F168" s="11">
        <f t="shared" si="15"/>
        <v>14.416380259391531</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14.815887093090479</v>
      </c>
      <c r="E169" s="11">
        <f>A169-'Mastercurve bestimmen'!$B$2</f>
        <v>34</v>
      </c>
      <c r="F169" s="11">
        <f t="shared" si="15"/>
        <v>14.815887093090479</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15.207292392118513</v>
      </c>
      <c r="E170" s="11">
        <f>A170-'Mastercurve bestimmen'!$B$2</f>
        <v>35</v>
      </c>
      <c r="F170" s="11">
        <f t="shared" si="15"/>
        <v>15.207292392118513</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15.590090074550025</v>
      </c>
      <c r="E171" s="11">
        <f>A171-'Mastercurve bestimmen'!$B$2</f>
        <v>36</v>
      </c>
      <c r="F171" s="11">
        <f t="shared" si="15"/>
        <v>15.590090074550025</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15.963774058459418</v>
      </c>
      <c r="E172" s="11">
        <f>A172-'Mastercurve bestimmen'!$B$2</f>
        <v>37</v>
      </c>
      <c r="F172" s="11">
        <f t="shared" si="15"/>
        <v>15.963774058459418</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16.32783826192108</v>
      </c>
      <c r="E173" s="11">
        <f>A173-'Mastercurve bestimmen'!$B$2</f>
        <v>38</v>
      </c>
      <c r="F173" s="11">
        <f t="shared" si="15"/>
        <v>16.32783826192108</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16.681776603009425</v>
      </c>
      <c r="E174" s="11">
        <f>A174-'Mastercurve bestimmen'!$B$2</f>
        <v>39</v>
      </c>
      <c r="F174" s="11">
        <f t="shared" si="15"/>
        <v>16.681776603009425</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17.025082999798844</v>
      </c>
      <c r="E175" s="11">
        <f>A175-'Mastercurve bestimmen'!$B$2</f>
        <v>40</v>
      </c>
      <c r="F175" s="11">
        <f t="shared" si="15"/>
        <v>17.025082999798844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17.357251370363734</v>
      </c>
      <c r="E176" s="11">
        <f>A176-'Mastercurve bestimmen'!$B$2</f>
        <v>41</v>
      </c>
      <c r="F176" s="11">
        <f t="shared" si="15"/>
        <v>17.357251370363734</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17.677775632778499</v>
      </c>
      <c r="E177" s="11">
        <f>A177-'Mastercurve bestimmen'!$B$2</f>
        <v>42</v>
      </c>
      <c r="F177" s="11">
        <f t="shared" si="15"/>
        <v>17.677775632778499</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17.986149705117537</v>
      </c>
      <c r="E178" s="11">
        <f>A178-'Mastercurve bestimmen'!$B$2</f>
        <v>43</v>
      </c>
      <c r="F178" s="11">
        <f t="shared" si="15"/>
        <v>17.986149705117537</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18.281867505455242</v>
      </c>
      <c r="E179" s="11">
        <f>A179-'Mastercurve bestimmen'!$B$2</f>
        <v>44</v>
      </c>
      <c r="F179" s="11">
        <f t="shared" si="15"/>
        <v>18.281867505455242</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18.564422951866014</v>
      </c>
      <c r="E180" s="11">
        <f>A180-'Mastercurve bestimmen'!$B$2</f>
        <v>45</v>
      </c>
      <c r="F180" s="11">
        <f t="shared" si="15"/>
        <v>18.564422951866014</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18.833459397201633</v>
      </c>
      <c r="E181" s="11">
        <f>A181-'Mastercurve bestimmen'!$B$2</f>
        <v>46</v>
      </c>
      <c r="F181" s="11">
        <f t="shared" si="15"/>
        <v>18.833459397201633</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19.089217933423363</v>
      </c>
      <c r="E182" s="11">
        <f>A182-'Mastercurve bestimmen'!$B$2</f>
        <v>47</v>
      </c>
      <c r="F182" s="11">
        <f t="shared" si="15"/>
        <v>19.089217933423363</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19.332089087269843</v>
      </c>
      <c r="E183" s="11">
        <f>A183-'Mastercurve bestimmen'!$B$2</f>
        <v>48</v>
      </c>
      <c r="F183" s="11">
        <f t="shared" si="15"/>
        <v>19.332089087269843</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19.562463385479727</v>
      </c>
      <c r="E184" s="11">
        <f>A184-'Mastercurve bestimmen'!$B$2</f>
        <v>49</v>
      </c>
      <c r="F184" s="11">
        <f t="shared" si="15"/>
        <v>19.562463385479727</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19.780731354791655</v>
      </c>
      <c r="E185" s="11">
        <f>A185-'Mastercurve bestimmen'!$B$2</f>
        <v>50</v>
      </c>
      <c r="F185" s="11">
        <f t="shared" si="15"/>
        <v>19.780731354791655</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19.987283521944271</v>
      </c>
      <c r="E186" s="11">
        <f>A186-'Mastercurve bestimmen'!$B$2</f>
        <v>51</v>
      </c>
      <c r="F186" s="11">
        <f t="shared" si="15"/>
        <v>19.987283521944271</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20.182510413676212</v>
      </c>
      <c r="E187" s="11">
        <f>A187-'Mastercurve bestimmen'!$B$2</f>
        <v>52</v>
      </c>
      <c r="F187" s="11">
        <f t="shared" si="15"/>
        <v>20.182510413676212</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20.366802556726125</v>
      </c>
      <c r="E188" s="11">
        <f>A188-'Mastercurve bestimmen'!$B$2</f>
        <v>53</v>
      </c>
      <c r="F188" s="11">
        <f t="shared" si="15"/>
        <v>20.366802556726125</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20.54055047783266</v>
      </c>
      <c r="E189" s="11">
        <f>A189-'Mastercurve bestimmen'!$B$2</f>
        <v>54</v>
      </c>
      <c r="F189" s="11">
        <f t="shared" si="15"/>
        <v>20.54055047783266</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20.70414470373446</v>
      </c>
      <c r="E190" s="11">
        <f>A190-'Mastercurve bestimmen'!$B$2</f>
        <v>55</v>
      </c>
      <c r="F190" s="11">
        <f t="shared" si="15"/>
        <v>20.70414470373446</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20.85797576117016</v>
      </c>
      <c r="E191" s="11">
        <f>A191-'Mastercurve bestimmen'!$B$2</f>
        <v>56</v>
      </c>
      <c r="F191" s="11">
        <f t="shared" si="15"/>
        <v>20.85797576117016</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21.002434176878417</v>
      </c>
      <c r="E192" s="11">
        <f>A192-'Mastercurve bestimmen'!$B$2</f>
        <v>57</v>
      </c>
      <c r="F192" s="11">
        <f t="shared" si="15"/>
        <v>21.002434176878417</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21.13791047759786</v>
      </c>
      <c r="E193" s="11">
        <f>A193-'Mastercurve bestimmen'!$B$2</f>
        <v>58</v>
      </c>
      <c r="F193" s="11">
        <f t="shared" si="15"/>
        <v>21.13791047759786</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21.26479519006714</v>
      </c>
      <c r="E194" s="11">
        <f>A194-'Mastercurve bestimmen'!$B$2</f>
        <v>59</v>
      </c>
      <c r="F194" s="11">
        <f t="shared" si="15"/>
        <v>21.26479519006714</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21.383478841024903</v>
      </c>
      <c r="E195" s="11">
        <f>A195-'Mastercurve bestimmen'!$B$2</f>
        <v>60</v>
      </c>
      <c r="F195" s="11">
        <f t="shared" si="15"/>
        <v>21.383478841024903</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21.494351957209794</v>
      </c>
      <c r="E196" s="11">
        <f>A196-'Mastercurve bestimmen'!$B$2</f>
        <v>61</v>
      </c>
      <c r="F196" s="11">
        <f t="shared" si="15"/>
        <v>21.494351957209794</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21.597805065360447</v>
      </c>
      <c r="E197" s="11">
        <f>A197-'Mastercurve bestimmen'!$B$2</f>
        <v>62</v>
      </c>
      <c r="F197" s="11">
        <f t="shared" si="15"/>
        <v>21.597805065360447</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21.694228692215518</v>
      </c>
      <c r="E198" s="11">
        <f>A198-'Mastercurve bestimmen'!$B$2</f>
        <v>63</v>
      </c>
      <c r="F198" s="11">
        <f t="shared" si="15"/>
        <v>21.694228692215518</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21.78401336451364</v>
      </c>
      <c r="E199" s="11">
        <f>A199-'Mastercurve bestimmen'!$B$2</f>
        <v>64</v>
      </c>
      <c r="F199" s="11">
        <f t="shared" si="15"/>
        <v>21.78401336451364</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21.867549608993464</v>
      </c>
      <c r="E200" s="11">
        <f>A200-'Mastercurve bestimmen'!$B$2</f>
        <v>65</v>
      </c>
      <c r="F200" s="11">
        <f t="shared" si="15"/>
        <v>21.867549608993464</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21.94522795239363</v>
      </c>
      <c r="E201" s="11">
        <f>A201-'Mastercurve bestimmen'!$B$2</f>
        <v>66</v>
      </c>
      <c r="F201" s="11">
        <f t="shared" si="15"/>
        <v>21.94522795239363</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22.017438921452779</v>
      </c>
      <c r="E202" s="11">
        <f>A202-'Mastercurve bestimmen'!$B$2</f>
        <v>67</v>
      </c>
      <c r="F202" s="11">
        <f t="shared" si="15"/>
        <v>22.017438921452779</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22.084573042909568</v>
      </c>
      <c r="E203" s="11">
        <f>A203-'Mastercurve bestimmen'!$B$2</f>
        <v>68</v>
      </c>
      <c r="F203" s="11">
        <f t="shared" si="15"/>
        <v>22.084573042909568</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22.147020843502627</v>
      </c>
      <c r="E204" s="11">
        <f>A204-'Mastercurve bestimmen'!$B$2</f>
        <v>69</v>
      </c>
      <c r="F204" s="11">
        <f t="shared" si="15"/>
        <v>22.147020843502627</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22.205172849970605</v>
      </c>
      <c r="E205" s="11">
        <f>A205-'Mastercurve bestimmen'!$B$2</f>
        <v>70</v>
      </c>
      <c r="F205" s="11">
        <f t="shared" si="15"/>
        <v>22.205172849970605</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22.259419589052143</v>
      </c>
      <c r="E206" s="11">
        <f>A206-'Mastercurve bestimmen'!$B$2</f>
        <v>71</v>
      </c>
      <c r="F206" s="11">
        <f t="shared" si="15"/>
        <v>22.259419589052143</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22.31015158748589</v>
      </c>
      <c r="E207" s="11">
        <f>A207-'Mastercurve bestimmen'!$B$2</f>
        <v>72</v>
      </c>
      <c r="F207" s="11">
        <f t="shared" si="15"/>
        <v>22.31015158748589</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22.357759372010484</v>
      </c>
      <c r="E208" s="11">
        <f>A208-'Mastercurve bestimmen'!$B$2</f>
        <v>73</v>
      </c>
      <c r="F208" s="11">
        <f t="shared" ref="F208:F215" si="21">B208</f>
        <v>22.357759372010484</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22.402633469364574</v>
      </c>
      <c r="E209" s="11">
        <f>A209-'Mastercurve bestimmen'!$B$2</f>
        <v>74</v>
      </c>
      <c r="F209" s="11">
        <f t="shared" si="21"/>
        <v>22.402633469364574</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22.4451644062868</v>
      </c>
      <c r="E210" s="11">
        <f>A210-'Mastercurve bestimmen'!$B$2</f>
        <v>75</v>
      </c>
      <c r="F210" s="11">
        <f t="shared" si="21"/>
        <v>22.4451644062868</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22.485742709515808</v>
      </c>
      <c r="E211" s="11">
        <f>A211-'Mastercurve bestimmen'!$B$2</f>
        <v>76</v>
      </c>
      <c r="F211" s="11">
        <f t="shared" si="21"/>
        <v>22.485742709515808</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22.524758905790243</v>
      </c>
      <c r="E212" s="11">
        <f>A212-'Mastercurve bestimmen'!$B$2</f>
        <v>77</v>
      </c>
      <c r="F212" s="11">
        <f t="shared" si="21"/>
        <v>22.524758905790243</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22.562603521848743</v>
      </c>
      <c r="E213" s="11">
        <f>A213-'Mastercurve bestimmen'!$B$2</f>
        <v>78</v>
      </c>
      <c r="F213" s="11">
        <f t="shared" si="21"/>
        <v>22.562603521848743</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22.599667084429957</v>
      </c>
      <c r="E214" s="11">
        <f>A214-'Mastercurve bestimmen'!$B$2</f>
        <v>79</v>
      </c>
      <c r="F214" s="11">
        <f t="shared" si="21"/>
        <v>22.599667084429957</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22.636340120272525</v>
      </c>
      <c r="E215" s="11">
        <f>A215-'Mastercurve bestimmen'!$B$2</f>
        <v>80</v>
      </c>
      <c r="F215" s="11">
        <f t="shared" si="21"/>
        <v>22.636340120272525</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0.37492084127548114</v>
      </c>
      <c r="J217" s="98">
        <v>2.958423359376257E-3</v>
      </c>
      <c r="K217" s="98">
        <v>-9.1533433831201902E-6</v>
      </c>
      <c r="L217" s="98">
        <v>-7.2789192891293062E-7</v>
      </c>
      <c r="M217" s="98">
        <v>-5.2162324504889943E-9</v>
      </c>
      <c r="N217" s="98">
        <v>4.106500144807722E-11</v>
      </c>
      <c r="O217" s="98">
        <v>5.828672861202931E-13</v>
      </c>
      <c r="P217" s="98">
        <v>1.6793174218158199E-15</v>
      </c>
    </row>
    <row r="218" spans="1:16" x14ac:dyDescent="0.25">
      <c r="G218" s="11"/>
      <c r="H218" s="11">
        <v>0</v>
      </c>
      <c r="I218" s="11">
        <v>1.447526600294422E-3</v>
      </c>
      <c r="J218" s="11">
        <v>2.6962419297010548E-5</v>
      </c>
      <c r="K218" s="3">
        <v>1.3699495722696286E-6</v>
      </c>
      <c r="L218" s="3">
        <v>1.2473798346085393E-8</v>
      </c>
      <c r="M218" s="3">
        <v>3.916796037516417E-10</v>
      </c>
      <c r="N218" s="3">
        <v>2.1523205809637204E-12</v>
      </c>
      <c r="O218" s="11">
        <v>3.4610568402126853E-14</v>
      </c>
      <c r="P218" s="11">
        <v>2.1046640177775835E-16</v>
      </c>
    </row>
    <row r="219" spans="1:16" x14ac:dyDescent="0.25">
      <c r="G219" s="11"/>
      <c r="H219" s="11">
        <v>0.99991062162729138</v>
      </c>
      <c r="I219" s="11">
        <v>0.14975348161057148</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-21.736216537412815</v>
      </c>
      <c r="G222">
        <f>F15</f>
        <v>-21.592748433065772</v>
      </c>
    </row>
    <row r="223" spans="1:16" x14ac:dyDescent="0.25">
      <c r="E223" s="11">
        <f t="shared" ref="E223:E286" si="25">E16</f>
        <v>-119</v>
      </c>
      <c r="F223" s="11">
        <f t="shared" ref="F223:F286" si="26">$H$217*0+E223*$I$217+E223^2*$J$217+E223^3*$K$217+E223^4*$L$217+E223^5*$M$217+E223^6*$N$217+E223^7*$O$217+E223^8*$P$217</f>
        <v>-21.608408798801278</v>
      </c>
      <c r="G223" s="11">
        <f t="shared" ref="G223:G286" si="27">F16</f>
        <v>-21.508825873765161</v>
      </c>
    </row>
    <row r="224" spans="1:16" x14ac:dyDescent="0.25">
      <c r="E224" s="11">
        <f t="shared" si="25"/>
        <v>-118</v>
      </c>
      <c r="F224" s="11">
        <f t="shared" si="26"/>
        <v>-21.486122264365193</v>
      </c>
      <c r="G224" s="11">
        <f t="shared" si="27"/>
        <v>-21.424843331940885</v>
      </c>
    </row>
    <row r="225" spans="5:7" x14ac:dyDescent="0.25">
      <c r="E225" s="11">
        <f t="shared" si="25"/>
        <v>-117</v>
      </c>
      <c r="F225" s="11">
        <f t="shared" si="26"/>
        <v>-21.368985432476272</v>
      </c>
      <c r="G225" s="11">
        <f t="shared" si="27"/>
        <v>-21.340740825069293</v>
      </c>
    </row>
    <row r="226" spans="5:7" x14ac:dyDescent="0.25">
      <c r="E226" s="11">
        <f t="shared" si="25"/>
        <v>-116</v>
      </c>
      <c r="F226" s="11">
        <f t="shared" si="26"/>
        <v>-21.256622003428028</v>
      </c>
      <c r="G226" s="11">
        <f t="shared" si="27"/>
        <v>-21.256458370626724</v>
      </c>
    </row>
    <row r="227" spans="5:7" x14ac:dyDescent="0.25">
      <c r="E227" s="11">
        <f t="shared" si="25"/>
        <v>-115</v>
      </c>
      <c r="F227" s="11">
        <f t="shared" si="26"/>
        <v>-21.148653008491742</v>
      </c>
      <c r="G227" s="11">
        <f t="shared" si="27"/>
        <v>-21.171935986089512</v>
      </c>
    </row>
    <row r="228" spans="5:7" x14ac:dyDescent="0.25">
      <c r="E228" s="11">
        <f t="shared" si="25"/>
        <v>-114</v>
      </c>
      <c r="F228" s="11">
        <f t="shared" si="26"/>
        <v>-21.044698789651974</v>
      </c>
      <c r="G228" s="11">
        <f t="shared" si="27"/>
        <v>-21.087113688934007</v>
      </c>
    </row>
    <row r="229" spans="5:7" x14ac:dyDescent="0.25">
      <c r="E229" s="11">
        <f t="shared" si="25"/>
        <v>-113</v>
      </c>
      <c r="F229" s="11">
        <f t="shared" si="26"/>
        <v>-20.944380834972385</v>
      </c>
      <c r="G229" s="11">
        <f t="shared" si="27"/>
        <v>-21.001931496636544</v>
      </c>
    </row>
    <row r="230" spans="5:7" x14ac:dyDescent="0.25">
      <c r="E230" s="11">
        <f t="shared" si="25"/>
        <v>-112</v>
      </c>
      <c r="F230" s="11">
        <f t="shared" si="26"/>
        <v>-20.84732347447499</v>
      </c>
      <c r="G230" s="11">
        <f t="shared" si="27"/>
        <v>-20.916329426673457</v>
      </c>
    </row>
    <row r="231" spans="5:7" x14ac:dyDescent="0.25">
      <c r="E231" s="11">
        <f t="shared" si="25"/>
        <v>-111</v>
      </c>
      <c r="F231" s="11">
        <f t="shared" si="26"/>
        <v>-20.753155441347822</v>
      </c>
      <c r="G231" s="11">
        <f t="shared" si="27"/>
        <v>-20.8302474965211</v>
      </c>
    </row>
    <row r="232" spans="5:7" x14ac:dyDescent="0.25">
      <c r="E232" s="11">
        <f t="shared" si="25"/>
        <v>-110</v>
      </c>
      <c r="F232" s="11">
        <f t="shared" si="26"/>
        <v>-20.661511303228366</v>
      </c>
      <c r="G232" s="11">
        <f t="shared" si="27"/>
        <v>-20.743625723655803</v>
      </c>
    </row>
    <row r="233" spans="5:7" x14ac:dyDescent="0.25">
      <c r="E233" s="11">
        <f t="shared" si="25"/>
        <v>-109</v>
      </c>
      <c r="F233" s="11">
        <f t="shared" si="26"/>
        <v>-20.572032768242458</v>
      </c>
      <c r="G233" s="11">
        <f t="shared" si="27"/>
        <v>-20.656404125553912</v>
      </c>
    </row>
    <row r="234" spans="5:7" x14ac:dyDescent="0.25">
      <c r="E234" s="11">
        <f t="shared" si="25"/>
        <v>-108</v>
      </c>
      <c r="F234" s="11">
        <f t="shared" si="26"/>
        <v>-20.484369870411168</v>
      </c>
      <c r="G234" s="11">
        <f t="shared" si="27"/>
        <v>-20.568522719691764</v>
      </c>
    </row>
    <row r="235" spans="5:7" x14ac:dyDescent="0.25">
      <c r="E235" s="11">
        <f t="shared" si="25"/>
        <v>-107</v>
      </c>
      <c r="F235" s="11">
        <f t="shared" si="26"/>
        <v>-20.398182038969143</v>
      </c>
      <c r="G235" s="11">
        <f t="shared" si="27"/>
        <v>-20.479921523545698</v>
      </c>
    </row>
    <row r="236" spans="5:7" x14ac:dyDescent="0.25">
      <c r="E236" s="11">
        <f t="shared" si="25"/>
        <v>-106</v>
      </c>
      <c r="F236" s="11">
        <f t="shared" si="26"/>
        <v>-20.31313905607189</v>
      </c>
      <c r="G236" s="11">
        <f t="shared" si="27"/>
        <v>-20.390540554592057</v>
      </c>
    </row>
    <row r="237" spans="5:7" x14ac:dyDescent="0.25">
      <c r="E237" s="11">
        <f t="shared" si="25"/>
        <v>-105</v>
      </c>
      <c r="F237" s="11">
        <f t="shared" si="26"/>
        <v>-20.228921907300105</v>
      </c>
      <c r="G237" s="11">
        <f t="shared" si="27"/>
        <v>-20.300319830307185</v>
      </c>
    </row>
    <row r="238" spans="5:7" x14ac:dyDescent="0.25">
      <c r="E238" s="11">
        <f t="shared" si="25"/>
        <v>-104</v>
      </c>
      <c r="F238" s="11">
        <f t="shared" si="26"/>
        <v>-20.145223529302989</v>
      </c>
      <c r="G238" s="11">
        <f t="shared" si="27"/>
        <v>-20.209199368167418</v>
      </c>
    </row>
    <row r="239" spans="5:7" x14ac:dyDescent="0.25">
      <c r="E239" s="11">
        <f t="shared" si="25"/>
        <v>-103</v>
      </c>
      <c r="F239" s="11">
        <f t="shared" si="26"/>
        <v>-20.061749458853164</v>
      </c>
      <c r="G239" s="11">
        <f t="shared" si="27"/>
        <v>-20.117119185649095</v>
      </c>
    </row>
    <row r="240" spans="5:7" x14ac:dyDescent="0.25">
      <c r="E240" s="11">
        <f t="shared" si="25"/>
        <v>-102</v>
      </c>
      <c r="F240" s="11">
        <f t="shared" si="26"/>
        <v>-19.978218387519892</v>
      </c>
      <c r="G240" s="11">
        <f t="shared" si="27"/>
        <v>-20.024019300228559</v>
      </c>
    </row>
    <row r="241" spans="5:7" x14ac:dyDescent="0.25">
      <c r="E241" s="11">
        <f t="shared" si="25"/>
        <v>-101</v>
      </c>
      <c r="F241" s="11">
        <f t="shared" si="26"/>
        <v>-19.89436262609788</v>
      </c>
      <c r="G241" s="11">
        <f t="shared" si="27"/>
        <v>-19.929839729382152</v>
      </c>
    </row>
    <row r="242" spans="5:7" x14ac:dyDescent="0.25">
      <c r="E242" s="11">
        <f t="shared" si="25"/>
        <v>-100</v>
      </c>
      <c r="F242" s="11">
        <f t="shared" si="26"/>
        <v>-19.809928482862347</v>
      </c>
      <c r="G242" s="11">
        <f t="shared" si="27"/>
        <v>-19.834520490586208</v>
      </c>
    </row>
    <row r="243" spans="5:7" x14ac:dyDescent="0.25">
      <c r="E243" s="11">
        <f t="shared" si="25"/>
        <v>-99</v>
      </c>
      <c r="F243" s="11">
        <f t="shared" si="26"/>
        <v>-19.724676559653179</v>
      </c>
      <c r="G243" s="11">
        <f t="shared" si="27"/>
        <v>-19.738001601317073</v>
      </c>
    </row>
    <row r="244" spans="5:7" x14ac:dyDescent="0.25">
      <c r="E244" s="11">
        <f t="shared" si="25"/>
        <v>-98</v>
      </c>
      <c r="F244" s="11">
        <f t="shared" si="26"/>
        <v>-19.638381969722388</v>
      </c>
      <c r="G244" s="11">
        <f t="shared" si="27"/>
        <v>-19.640223079051086</v>
      </c>
    </row>
    <row r="245" spans="5:7" x14ac:dyDescent="0.25">
      <c r="E245" s="11">
        <f t="shared" si="25"/>
        <v>-97</v>
      </c>
      <c r="F245" s="11">
        <f t="shared" si="26"/>
        <v>-19.55083448121313</v>
      </c>
      <c r="G245" s="11">
        <f t="shared" si="27"/>
        <v>-19.541124941264588</v>
      </c>
    </row>
    <row r="246" spans="5:7" x14ac:dyDescent="0.25">
      <c r="E246" s="11">
        <f t="shared" si="25"/>
        <v>-96</v>
      </c>
      <c r="F246" s="11">
        <f t="shared" si="26"/>
        <v>-19.46183859006879</v>
      </c>
      <c r="G246" s="11">
        <f t="shared" si="27"/>
        <v>-19.440647205433919</v>
      </c>
    </row>
    <row r="247" spans="5:7" x14ac:dyDescent="0.25">
      <c r="E247" s="11">
        <f t="shared" si="25"/>
        <v>-95</v>
      </c>
      <c r="F247" s="11">
        <f t="shared" si="26"/>
        <v>-19.371213526104547</v>
      </c>
      <c r="G247" s="11">
        <f t="shared" si="27"/>
        <v>-19.33872988903542</v>
      </c>
    </row>
    <row r="248" spans="5:7" x14ac:dyDescent="0.25">
      <c r="E248" s="11">
        <f t="shared" si="25"/>
        <v>-94</v>
      </c>
      <c r="F248" s="11">
        <f t="shared" si="26"/>
        <v>-19.278793195905333</v>
      </c>
      <c r="G248" s="11">
        <f t="shared" si="27"/>
        <v>-19.235313009545429</v>
      </c>
    </row>
    <row r="249" spans="5:7" x14ac:dyDescent="0.25">
      <c r="E249" s="11">
        <f t="shared" si="25"/>
        <v>-93</v>
      </c>
      <c r="F249" s="11">
        <f t="shared" si="26"/>
        <v>-19.184426066146276</v>
      </c>
      <c r="G249" s="11">
        <f t="shared" si="27"/>
        <v>-19.130336584440286</v>
      </c>
    </row>
    <row r="250" spans="5:7" x14ac:dyDescent="0.25">
      <c r="E250" s="11">
        <f t="shared" si="25"/>
        <v>-92</v>
      </c>
      <c r="F250" s="11">
        <f t="shared" si="26"/>
        <v>-19.087974990864897</v>
      </c>
      <c r="G250" s="11">
        <f t="shared" si="27"/>
        <v>-19.023740631196333</v>
      </c>
    </row>
    <row r="251" spans="5:7" x14ac:dyDescent="0.25">
      <c r="E251" s="11">
        <f t="shared" si="25"/>
        <v>-91</v>
      </c>
      <c r="F251" s="11">
        <f t="shared" si="26"/>
        <v>-18.989316986145418</v>
      </c>
      <c r="G251" s="11">
        <f t="shared" si="27"/>
        <v>-18.915465167289913</v>
      </c>
    </row>
    <row r="252" spans="5:7" x14ac:dyDescent="0.25">
      <c r="E252" s="11">
        <f t="shared" si="25"/>
        <v>-90</v>
      </c>
      <c r="F252" s="11">
        <f t="shared" si="26"/>
        <v>-18.888342955608739</v>
      </c>
      <c r="G252" s="11">
        <f t="shared" si="27"/>
        <v>-18.805450210197364</v>
      </c>
    </row>
    <row r="253" spans="5:7" x14ac:dyDescent="0.25">
      <c r="E253" s="11">
        <f t="shared" si="25"/>
        <v>-89</v>
      </c>
      <c r="F253" s="11">
        <f t="shared" si="26"/>
        <v>-18.784957370033524</v>
      </c>
      <c r="G253" s="11">
        <f t="shared" si="27"/>
        <v>-18.693635777395023</v>
      </c>
    </row>
    <row r="254" spans="5:7" x14ac:dyDescent="0.25">
      <c r="E254" s="11">
        <f t="shared" si="25"/>
        <v>-88</v>
      </c>
      <c r="F254" s="11">
        <f t="shared" si="26"/>
        <v>-18.679077904366199</v>
      </c>
      <c r="G254" s="11">
        <f t="shared" si="27"/>
        <v>-18.579961886359236</v>
      </c>
    </row>
    <row r="255" spans="5:7" x14ac:dyDescent="0.25">
      <c r="E255" s="11">
        <f t="shared" si="25"/>
        <v>-87</v>
      </c>
      <c r="F255" s="11">
        <f t="shared" si="26"/>
        <v>-18.570635035310119</v>
      </c>
      <c r="G255" s="11">
        <f t="shared" si="27"/>
        <v>-18.464368554566342</v>
      </c>
    </row>
    <row r="256" spans="5:7" x14ac:dyDescent="0.25">
      <c r="E256" s="11">
        <f t="shared" si="25"/>
        <v>-86</v>
      </c>
      <c r="F256" s="11">
        <f t="shared" si="26"/>
        <v>-18.459571602616052</v>
      </c>
      <c r="G256" s="11">
        <f t="shared" si="27"/>
        <v>-18.346795799492682</v>
      </c>
    </row>
    <row r="257" spans="5:7" x14ac:dyDescent="0.25">
      <c r="E257" s="11">
        <f t="shared" si="25"/>
        <v>-85</v>
      </c>
      <c r="F257" s="11">
        <f t="shared" si="26"/>
        <v>-18.345842337128868</v>
      </c>
      <c r="G257" s="11">
        <f t="shared" si="27"/>
        <v>-18.227183638614591</v>
      </c>
    </row>
    <row r="258" spans="5:7" x14ac:dyDescent="0.25">
      <c r="E258" s="11">
        <f t="shared" si="25"/>
        <v>-84</v>
      </c>
      <c r="F258" s="11">
        <f t="shared" si="26"/>
        <v>-18.229413358577368</v>
      </c>
      <c r="G258" s="11">
        <f t="shared" si="27"/>
        <v>-18.105472089408416</v>
      </c>
    </row>
    <row r="259" spans="5:7" x14ac:dyDescent="0.25">
      <c r="E259" s="11">
        <f t="shared" si="25"/>
        <v>-83</v>
      </c>
      <c r="F259" s="11">
        <f t="shared" si="26"/>
        <v>-18.110261646026526</v>
      </c>
      <c r="G259" s="11">
        <f t="shared" si="27"/>
        <v>-17.98160116935049</v>
      </c>
    </row>
    <row r="260" spans="5:7" x14ac:dyDescent="0.25">
      <c r="E260" s="11">
        <f t="shared" si="25"/>
        <v>-82</v>
      </c>
      <c r="F260" s="11">
        <f t="shared" si="26"/>
        <v>-17.988374483843618</v>
      </c>
      <c r="G260" s="11">
        <f t="shared" si="27"/>
        <v>-17.85551089591716</v>
      </c>
    </row>
    <row r="261" spans="5:7" x14ac:dyDescent="0.25">
      <c r="E261" s="11">
        <f t="shared" si="25"/>
        <v>-81</v>
      </c>
      <c r="F261" s="11">
        <f t="shared" si="26"/>
        <v>-17.863748885962238</v>
      </c>
      <c r="G261" s="11">
        <f t="shared" si="27"/>
        <v>-17.727141286584768</v>
      </c>
    </row>
    <row r="262" spans="5:7" x14ac:dyDescent="0.25">
      <c r="E262" s="11">
        <f t="shared" si="25"/>
        <v>-80</v>
      </c>
      <c r="F262" s="11">
        <f t="shared" si="26"/>
        <v>-17.736391001160197</v>
      </c>
      <c r="G262" s="11">
        <f t="shared" si="27"/>
        <v>-17.596432358829645</v>
      </c>
    </row>
    <row r="263" spans="5:7" x14ac:dyDescent="0.25">
      <c r="E263" s="11">
        <f t="shared" si="25"/>
        <v>-79</v>
      </c>
      <c r="F263" s="11">
        <f t="shared" si="26"/>
        <v>-17.606315501999852</v>
      </c>
      <c r="G263" s="11">
        <f t="shared" si="27"/>
        <v>-17.484996655393694</v>
      </c>
    </row>
    <row r="264" spans="5:7" x14ac:dyDescent="0.25">
      <c r="E264" s="11">
        <f t="shared" si="25"/>
        <v>-78</v>
      </c>
      <c r="F264" s="11">
        <f t="shared" si="26"/>
        <v>-17.473544960011544</v>
      </c>
      <c r="G264" s="11">
        <f t="shared" si="27"/>
        <v>-17.371114696561222</v>
      </c>
    </row>
    <row r="265" spans="5:7" x14ac:dyDescent="0.25">
      <c r="E265" s="11">
        <f t="shared" si="25"/>
        <v>-77</v>
      </c>
      <c r="F265" s="11">
        <f t="shared" si="26"/>
        <v>-17.338109209633057</v>
      </c>
      <c r="G265" s="11">
        <f t="shared" si="27"/>
        <v>-17.254739527882073</v>
      </c>
    </row>
    <row r="266" spans="5:7" x14ac:dyDescent="0.25">
      <c r="E266" s="11">
        <f t="shared" si="25"/>
        <v>-76</v>
      </c>
      <c r="F266" s="11">
        <f t="shared" si="26"/>
        <v>-17.20004470335061</v>
      </c>
      <c r="G266" s="11">
        <f t="shared" si="27"/>
        <v>-17.13582419490611</v>
      </c>
    </row>
    <row r="267" spans="5:7" x14ac:dyDescent="0.25">
      <c r="E267" s="11">
        <f t="shared" si="25"/>
        <v>-75</v>
      </c>
      <c r="F267" s="11">
        <f t="shared" si="26"/>
        <v>-17.059393860418744</v>
      </c>
      <c r="G267" s="11">
        <f t="shared" si="27"/>
        <v>-17.014321743183192</v>
      </c>
    </row>
    <row r="268" spans="5:7" x14ac:dyDescent="0.25">
      <c r="E268" s="11">
        <f t="shared" si="25"/>
        <v>-74</v>
      </c>
      <c r="F268" s="11">
        <f t="shared" si="26"/>
        <v>-16.916204411469167</v>
      </c>
      <c r="G268" s="11">
        <f t="shared" si="27"/>
        <v>-16.89018521826317</v>
      </c>
    </row>
    <row r="269" spans="5:7" x14ac:dyDescent="0.25">
      <c r="E269" s="11">
        <f t="shared" si="25"/>
        <v>-73</v>
      </c>
      <c r="F269" s="11">
        <f t="shared" si="26"/>
        <v>-16.770528741250605</v>
      </c>
      <c r="G269" s="11">
        <f t="shared" si="27"/>
        <v>-16.763367665695903</v>
      </c>
    </row>
    <row r="270" spans="5:7" x14ac:dyDescent="0.25">
      <c r="E270" s="11">
        <f t="shared" si="25"/>
        <v>-72</v>
      </c>
      <c r="F270" s="11">
        <f t="shared" si="26"/>
        <v>-16.622423231674162</v>
      </c>
      <c r="G270" s="11">
        <f t="shared" si="27"/>
        <v>-16.633822131031245</v>
      </c>
    </row>
    <row r="271" spans="5:7" x14ac:dyDescent="0.25">
      <c r="E271" s="11">
        <f t="shared" si="25"/>
        <v>-71</v>
      </c>
      <c r="F271" s="11">
        <f t="shared" si="26"/>
        <v>-16.471947607270963</v>
      </c>
      <c r="G271" s="11">
        <f t="shared" si="27"/>
        <v>-16.501501659819056</v>
      </c>
    </row>
    <row r="272" spans="5:7" x14ac:dyDescent="0.25">
      <c r="E272" s="11">
        <f t="shared" si="25"/>
        <v>-70</v>
      </c>
      <c r="F272" s="11">
        <f t="shared" si="26"/>
        <v>-16.319164285101092</v>
      </c>
      <c r="G272" s="11">
        <f t="shared" si="27"/>
        <v>-16.366359297609193</v>
      </c>
    </row>
    <row r="273" spans="5:7" x14ac:dyDescent="0.25">
      <c r="E273" s="11">
        <f t="shared" si="25"/>
        <v>-69</v>
      </c>
      <c r="F273" s="11">
        <f t="shared" si="26"/>
        <v>-16.164137731085134</v>
      </c>
      <c r="G273" s="11">
        <f t="shared" si="27"/>
        <v>-16.228348089951513</v>
      </c>
    </row>
    <row r="274" spans="5:7" x14ac:dyDescent="0.25">
      <c r="E274" s="11">
        <f t="shared" si="25"/>
        <v>-68</v>
      </c>
      <c r="F274" s="11">
        <f t="shared" si="26"/>
        <v>-16.006933824662003</v>
      </c>
      <c r="G274" s="11">
        <f t="shared" si="27"/>
        <v>-16.087421082395871</v>
      </c>
    </row>
    <row r="275" spans="5:7" x14ac:dyDescent="0.25">
      <c r="E275" s="11">
        <f t="shared" si="25"/>
        <v>-67</v>
      </c>
      <c r="F275" s="11">
        <f t="shared" si="26"/>
        <v>-15.847619233608896</v>
      </c>
      <c r="G275" s="11">
        <f t="shared" si="27"/>
        <v>-15.943531320492118</v>
      </c>
    </row>
    <row r="276" spans="5:7" x14ac:dyDescent="0.25">
      <c r="E276" s="11">
        <f t="shared" si="25"/>
        <v>-66</v>
      </c>
      <c r="F276" s="11">
        <f t="shared" si="26"/>
        <v>-15.686260800791619</v>
      </c>
      <c r="G276" s="11">
        <f t="shared" si="27"/>
        <v>-15.796631849790121</v>
      </c>
    </row>
    <row r="277" spans="5:7" x14ac:dyDescent="0.25">
      <c r="E277" s="11">
        <f t="shared" si="25"/>
        <v>-65</v>
      </c>
      <c r="F277" s="11">
        <f t="shared" si="26"/>
        <v>-15.522924944545768</v>
      </c>
      <c r="G277" s="11">
        <f t="shared" si="27"/>
        <v>-15.646675715839731</v>
      </c>
    </row>
    <row r="278" spans="5:7" x14ac:dyDescent="0.25">
      <c r="E278" s="11">
        <f t="shared" si="25"/>
        <v>-64</v>
      </c>
      <c r="F278" s="11">
        <f t="shared" si="26"/>
        <v>-15.357677074321481</v>
      </c>
      <c r="G278" s="11">
        <f t="shared" si="27"/>
        <v>-15.493615964190806</v>
      </c>
    </row>
    <row r="279" spans="5:7" x14ac:dyDescent="0.25">
      <c r="E279" s="11">
        <f t="shared" si="25"/>
        <v>-63</v>
      </c>
      <c r="F279" s="11">
        <f t="shared" si="26"/>
        <v>-15.190581023156996</v>
      </c>
      <c r="G279" s="11">
        <f t="shared" si="27"/>
        <v>-15.337405640393202</v>
      </c>
    </row>
    <row r="280" spans="5:7" x14ac:dyDescent="0.25">
      <c r="E280" s="11">
        <f t="shared" si="25"/>
        <v>-62</v>
      </c>
      <c r="F280" s="11">
        <f t="shared" si="26"/>
        <v>-15.021698498478161</v>
      </c>
      <c r="G280" s="11">
        <f t="shared" si="27"/>
        <v>-15.177997789996773</v>
      </c>
    </row>
    <row r="281" spans="5:7" x14ac:dyDescent="0.25">
      <c r="E281" s="11">
        <f t="shared" si="25"/>
        <v>-61</v>
      </c>
      <c r="F281" s="11">
        <f t="shared" si="26"/>
        <v>-14.851088552653637</v>
      </c>
      <c r="G281" s="11">
        <f t="shared" si="27"/>
        <v>-15.015345458551383</v>
      </c>
    </row>
    <row r="282" spans="5:7" x14ac:dyDescent="0.25">
      <c r="E282" s="11">
        <f t="shared" si="25"/>
        <v>-60</v>
      </c>
      <c r="F282" s="11">
        <f t="shared" si="26"/>
        <v>-14.678807074667874</v>
      </c>
      <c r="G282" s="11">
        <f t="shared" si="27"/>
        <v>-14.849401691606882</v>
      </c>
    </row>
    <row r="283" spans="5:7" x14ac:dyDescent="0.25">
      <c r="E283" s="11">
        <f t="shared" si="25"/>
        <v>-59</v>
      </c>
      <c r="F283" s="11">
        <f t="shared" si="26"/>
        <v>-14.504906304205795</v>
      </c>
      <c r="G283" s="11">
        <f t="shared" si="27"/>
        <v>-14.680119534713128</v>
      </c>
    </row>
    <row r="284" spans="5:7" x14ac:dyDescent="0.25">
      <c r="E284" s="11">
        <f t="shared" si="25"/>
        <v>-58</v>
      </c>
      <c r="F284" s="11">
        <f t="shared" si="26"/>
        <v>-14.329434369375974</v>
      </c>
      <c r="G284" s="11">
        <f t="shared" si="27"/>
        <v>-14.50745203341998</v>
      </c>
    </row>
    <row r="285" spans="5:7" x14ac:dyDescent="0.25">
      <c r="E285" s="11">
        <f t="shared" si="25"/>
        <v>-57</v>
      </c>
      <c r="F285" s="11">
        <f t="shared" si="26"/>
        <v>-14.152434849230984</v>
      </c>
      <c r="G285" s="11">
        <f t="shared" si="27"/>
        <v>-14.331352233277293</v>
      </c>
    </row>
    <row r="286" spans="5:7" x14ac:dyDescent="0.25">
      <c r="E286" s="11">
        <f t="shared" si="25"/>
        <v>-56</v>
      </c>
      <c r="F286" s="11">
        <f t="shared" si="26"/>
        <v>-13.973946362176024</v>
      </c>
      <c r="G286" s="11">
        <f t="shared" si="27"/>
        <v>-14.151773179834922</v>
      </c>
    </row>
    <row r="287" spans="5:7" x14ac:dyDescent="0.25">
      <c r="E287" s="11">
        <f t="shared" ref="E287:E350" si="28">E80</f>
        <v>-55</v>
      </c>
      <c r="F287" s="11">
        <f t="shared" ref="F287:F350" si="29">$H$217*0+E287*$I$217+E287^2*$J$217+E287^3*$K$217+E287^4*$L$217+E287^5*$M$217+E287^6*$N$217+E287^7*$O$217+E287^8*$P$217</f>
        <v>-13.794002181289246</v>
      </c>
      <c r="G287" s="11">
        <f t="shared" ref="G287:G350" si="30">F80</f>
        <v>-13.968667918642726</v>
      </c>
    </row>
    <row r="288" spans="5:7" x14ac:dyDescent="0.25">
      <c r="E288" s="11">
        <f t="shared" si="28"/>
        <v>-54</v>
      </c>
      <c r="F288" s="11">
        <f t="shared" si="29"/>
        <v>-13.612629877509457</v>
      </c>
      <c r="G288" s="11">
        <f t="shared" si="30"/>
        <v>-13.782018148150403</v>
      </c>
    </row>
    <row r="289" spans="5:7" x14ac:dyDescent="0.25">
      <c r="E289" s="11">
        <f t="shared" si="28"/>
        <v>-53</v>
      </c>
      <c r="F289" s="11">
        <f t="shared" si="29"/>
        <v>-13.429850991579116</v>
      </c>
      <c r="G289" s="11">
        <f t="shared" si="30"/>
        <v>-13.591920178407026</v>
      </c>
    </row>
    <row r="290" spans="5:7" x14ac:dyDescent="0.25">
      <c r="E290" s="11">
        <f t="shared" si="28"/>
        <v>-52</v>
      </c>
      <c r="F290" s="11">
        <f t="shared" si="29"/>
        <v>-13.245680735562964</v>
      </c>
      <c r="G290" s="11">
        <f t="shared" si="30"/>
        <v>-13.398498972361502</v>
      </c>
    </row>
    <row r="291" spans="5:7" x14ac:dyDescent="0.25">
      <c r="E291" s="11">
        <f t="shared" si="28"/>
        <v>-51</v>
      </c>
      <c r="F291" s="11">
        <f t="shared" si="29"/>
        <v>-13.060127724694757</v>
      </c>
      <c r="G291" s="11">
        <f t="shared" si="30"/>
        <v>-13.201879492962746</v>
      </c>
    </row>
    <row r="292" spans="5:7" x14ac:dyDescent="0.25">
      <c r="E292" s="11">
        <f t="shared" si="28"/>
        <v>-50</v>
      </c>
      <c r="F292" s="11">
        <f t="shared" si="29"/>
        <v>-12.873193740236987</v>
      </c>
      <c r="G292" s="11">
        <f t="shared" si="30"/>
        <v>-13.002186703159671</v>
      </c>
    </row>
    <row r="293" spans="5:7" x14ac:dyDescent="0.25">
      <c r="E293" s="11">
        <f t="shared" si="28"/>
        <v>-49</v>
      </c>
      <c r="F293" s="11">
        <f t="shared" si="29"/>
        <v>-12.684873523970728</v>
      </c>
      <c r="G293" s="11">
        <f t="shared" si="30"/>
        <v>-12.799545565901187</v>
      </c>
    </row>
    <row r="294" spans="5:7" x14ac:dyDescent="0.25">
      <c r="E294" s="11">
        <f t="shared" si="28"/>
        <v>-48</v>
      </c>
      <c r="F294" s="11">
        <f t="shared" si="29"/>
        <v>-12.495154604864947</v>
      </c>
      <c r="G294" s="11">
        <f t="shared" si="30"/>
        <v>-12.594081044136207</v>
      </c>
    </row>
    <row r="295" spans="5:7" x14ac:dyDescent="0.25">
      <c r="E295" s="11">
        <f t="shared" si="28"/>
        <v>-47</v>
      </c>
      <c r="F295" s="11">
        <f t="shared" si="29"/>
        <v>-12.304017158407124</v>
      </c>
      <c r="G295" s="11">
        <f t="shared" si="30"/>
        <v>-12.385918100813647</v>
      </c>
    </row>
    <row r="296" spans="5:7" x14ac:dyDescent="0.25">
      <c r="E296" s="11">
        <f t="shared" si="28"/>
        <v>-46</v>
      </c>
      <c r="F296" s="11">
        <f t="shared" si="29"/>
        <v>-12.111433899009018</v>
      </c>
      <c r="G296" s="11">
        <f t="shared" si="30"/>
        <v>-12.175181698882414</v>
      </c>
    </row>
    <row r="297" spans="5:7" x14ac:dyDescent="0.25">
      <c r="E297" s="11">
        <f t="shared" si="28"/>
        <v>-45</v>
      </c>
      <c r="F297" s="11">
        <f t="shared" si="29"/>
        <v>-11.917370005834007</v>
      </c>
      <c r="G297" s="11">
        <f t="shared" si="30"/>
        <v>-11.96199680129142</v>
      </c>
    </row>
    <row r="298" spans="5:7" x14ac:dyDescent="0.25">
      <c r="E298" s="11">
        <f t="shared" si="28"/>
        <v>-44</v>
      </c>
      <c r="F298" s="11">
        <f t="shared" si="29"/>
        <v>-11.721783082324508</v>
      </c>
      <c r="G298" s="11">
        <f t="shared" si="30"/>
        <v>-11.746488370989582</v>
      </c>
    </row>
    <row r="299" spans="5:7" x14ac:dyDescent="0.25">
      <c r="E299" s="11">
        <f t="shared" si="28"/>
        <v>-43</v>
      </c>
      <c r="F299" s="11">
        <f t="shared" si="29"/>
        <v>-11.524623149640314</v>
      </c>
      <c r="G299" s="11">
        <f t="shared" si="30"/>
        <v>-11.52878137092581</v>
      </c>
    </row>
    <row r="300" spans="5:7" x14ac:dyDescent="0.25">
      <c r="E300" s="11">
        <f t="shared" si="28"/>
        <v>-42</v>
      </c>
      <c r="F300" s="11">
        <f t="shared" si="29"/>
        <v>-11.325832674151126</v>
      </c>
      <c r="G300" s="11">
        <f t="shared" si="30"/>
        <v>-11.309000764049014</v>
      </c>
    </row>
    <row r="301" spans="5:7" x14ac:dyDescent="0.25">
      <c r="E301" s="11">
        <f t="shared" si="28"/>
        <v>-41</v>
      </c>
      <c r="F301" s="11">
        <f t="shared" si="29"/>
        <v>-11.125346629058575</v>
      </c>
      <c r="G301" s="11">
        <f t="shared" si="30"/>
        <v>-11.08727151330811</v>
      </c>
    </row>
    <row r="302" spans="5:7" x14ac:dyDescent="0.25">
      <c r="E302" s="11">
        <f t="shared" si="28"/>
        <v>-40</v>
      </c>
      <c r="F302" s="11">
        <f t="shared" si="29"/>
        <v>-10.923092590155582</v>
      </c>
      <c r="G302" s="11">
        <f t="shared" si="30"/>
        <v>-10.863718581652009</v>
      </c>
    </row>
    <row r="303" spans="5:7" x14ac:dyDescent="0.25">
      <c r="E303" s="11">
        <f t="shared" si="28"/>
        <v>-39</v>
      </c>
      <c r="F303" s="11">
        <f t="shared" si="29"/>
        <v>-10.718990865663077</v>
      </c>
      <c r="G303" s="11">
        <f t="shared" si="30"/>
        <v>-10.638466932029623</v>
      </c>
    </row>
    <row r="304" spans="5:7" x14ac:dyDescent="0.25">
      <c r="E304" s="11">
        <f t="shared" si="28"/>
        <v>-38</v>
      </c>
      <c r="F304" s="11">
        <f t="shared" si="29"/>
        <v>-10.512954660016277</v>
      </c>
      <c r="G304" s="11">
        <f t="shared" si="30"/>
        <v>-10.411641527389861</v>
      </c>
    </row>
    <row r="305" spans="5:7" x14ac:dyDescent="0.25">
      <c r="E305" s="11">
        <f t="shared" si="28"/>
        <v>-37</v>
      </c>
      <c r="F305" s="11">
        <f t="shared" si="29"/>
        <v>-10.304890271405315</v>
      </c>
      <c r="G305" s="11">
        <f t="shared" si="30"/>
        <v>-10.183367330681643</v>
      </c>
    </row>
    <row r="306" spans="5:7" x14ac:dyDescent="0.25">
      <c r="E306" s="11">
        <f t="shared" si="28"/>
        <v>-36</v>
      </c>
      <c r="F306" s="11">
        <f t="shared" si="29"/>
        <v>-10.094697322806963</v>
      </c>
      <c r="G306" s="11">
        <f t="shared" si="30"/>
        <v>-9.9537693048538731</v>
      </c>
    </row>
    <row r="307" spans="5:7" x14ac:dyDescent="0.25">
      <c r="E307" s="11">
        <f t="shared" si="28"/>
        <v>-35</v>
      </c>
      <c r="F307" s="11">
        <f t="shared" si="29"/>
        <v>-9.8822690261766954</v>
      </c>
      <c r="G307" s="11">
        <f t="shared" si="30"/>
        <v>-9.7229724128554693</v>
      </c>
    </row>
    <row r="308" spans="5:7" x14ac:dyDescent="0.25">
      <c r="E308" s="11">
        <f t="shared" si="28"/>
        <v>-34</v>
      </c>
      <c r="F308" s="11">
        <f t="shared" si="29"/>
        <v>-9.6674924794025916</v>
      </c>
      <c r="G308" s="11">
        <f t="shared" si="30"/>
        <v>-9.4911016176353407</v>
      </c>
    </row>
    <row r="309" spans="5:7" x14ac:dyDescent="0.25">
      <c r="E309" s="11">
        <f t="shared" si="28"/>
        <v>-33</v>
      </c>
      <c r="F309" s="11">
        <f t="shared" si="29"/>
        <v>-9.4502489955547997</v>
      </c>
      <c r="G309" s="11">
        <f t="shared" si="30"/>
        <v>-9.2582818821424002</v>
      </c>
    </row>
    <row r="310" spans="5:7" x14ac:dyDescent="0.25">
      <c r="E310" s="11">
        <f t="shared" si="28"/>
        <v>-32</v>
      </c>
      <c r="F310" s="11">
        <f t="shared" si="29"/>
        <v>-9.2304144638966292</v>
      </c>
      <c r="G310" s="11">
        <f t="shared" si="30"/>
        <v>-9.0246381693255611</v>
      </c>
    </row>
    <row r="311" spans="5:7" x14ac:dyDescent="0.25">
      <c r="E311" s="11">
        <f t="shared" si="28"/>
        <v>-31</v>
      </c>
      <c r="F311" s="11">
        <f t="shared" si="29"/>
        <v>-9.0078597420556754</v>
      </c>
      <c r="G311" s="11">
        <f t="shared" si="30"/>
        <v>-8.7902954421337327</v>
      </c>
    </row>
    <row r="312" spans="5:7" x14ac:dyDescent="0.25">
      <c r="E312" s="11">
        <f t="shared" si="28"/>
        <v>-30</v>
      </c>
      <c r="F312" s="11">
        <f t="shared" si="29"/>
        <v>-8.7824510786854972</v>
      </c>
      <c r="G312" s="11">
        <f t="shared" si="30"/>
        <v>-8.5553786635158335</v>
      </c>
    </row>
    <row r="313" spans="5:7" x14ac:dyDescent="0.25">
      <c r="E313" s="11">
        <f t="shared" si="28"/>
        <v>-29</v>
      </c>
      <c r="F313" s="11">
        <f t="shared" si="29"/>
        <v>-8.554050565880889</v>
      </c>
      <c r="G313" s="11">
        <f t="shared" si="30"/>
        <v>-8.3199438794719391</v>
      </c>
    </row>
    <row r="314" spans="5:7" x14ac:dyDescent="0.25">
      <c r="E314" s="11">
        <f t="shared" si="28"/>
        <v>-28</v>
      </c>
      <c r="F314" s="11">
        <f t="shared" si="29"/>
        <v>-8.3225166205419079</v>
      </c>
      <c r="G314" s="11">
        <f t="shared" si="30"/>
        <v>-8.0837714682068018</v>
      </c>
    </row>
    <row r="315" spans="5:7" x14ac:dyDescent="0.25">
      <c r="E315" s="11">
        <f t="shared" si="28"/>
        <v>-27</v>
      </c>
      <c r="F315" s="11">
        <f t="shared" si="29"/>
        <v>-8.0877044938141562</v>
      </c>
      <c r="G315" s="11">
        <f t="shared" si="30"/>
        <v>-7.8465728909763452</v>
      </c>
    </row>
    <row r="316" spans="5:7" x14ac:dyDescent="0.25">
      <c r="E316" s="11">
        <f t="shared" si="28"/>
        <v>-26</v>
      </c>
      <c r="F316" s="11">
        <f t="shared" si="29"/>
        <v>-7.8494668076651504</v>
      </c>
      <c r="G316" s="11">
        <f t="shared" si="30"/>
        <v>-7.6080596090364905</v>
      </c>
    </row>
    <row r="317" spans="5:7" x14ac:dyDescent="0.25">
      <c r="E317" s="11">
        <f t="shared" si="28"/>
        <v>-25</v>
      </c>
      <c r="F317" s="11">
        <f t="shared" si="29"/>
        <v>-7.6076541175888126</v>
      </c>
      <c r="G317" s="11">
        <f t="shared" si="30"/>
        <v>-7.3679430836431585</v>
      </c>
    </row>
    <row r="318" spans="5:7" x14ac:dyDescent="0.25">
      <c r="E318" s="11">
        <f t="shared" si="28"/>
        <v>-24</v>
      </c>
      <c r="F318" s="11">
        <f t="shared" si="29"/>
        <v>-7.3621155003625383</v>
      </c>
      <c r="G318" s="11">
        <f t="shared" si="30"/>
        <v>-7.1259347760522713</v>
      </c>
    </row>
    <row r="319" spans="5:7" x14ac:dyDescent="0.25">
      <c r="E319" s="11">
        <f t="shared" si="28"/>
        <v>-23</v>
      </c>
      <c r="F319" s="11">
        <f t="shared" si="29"/>
        <v>-7.1126991657134004</v>
      </c>
      <c r="G319" s="11">
        <f t="shared" si="30"/>
        <v>-6.8817461475197499</v>
      </c>
    </row>
    <row r="320" spans="5:7" x14ac:dyDescent="0.25">
      <c r="E320" s="11">
        <f t="shared" si="28"/>
        <v>-22</v>
      </c>
      <c r="F320" s="11">
        <f t="shared" si="29"/>
        <v>-6.859253090682544</v>
      </c>
      <c r="G320" s="11">
        <f t="shared" si="30"/>
        <v>-6.6350886593015161</v>
      </c>
    </row>
    <row r="321" spans="5:7" x14ac:dyDescent="0.25">
      <c r="E321" s="11">
        <f t="shared" si="28"/>
        <v>-21</v>
      </c>
      <c r="F321" s="11">
        <f t="shared" si="29"/>
        <v>-6.6016256754089664</v>
      </c>
      <c r="G321" s="11">
        <f t="shared" si="30"/>
        <v>-6.3856737726534911</v>
      </c>
    </row>
    <row r="322" spans="5:7" x14ac:dyDescent="0.25">
      <c r="E322" s="11">
        <f t="shared" si="28"/>
        <v>-20</v>
      </c>
      <c r="F322" s="11">
        <f t="shared" si="29"/>
        <v>-6.339666418986222</v>
      </c>
      <c r="G322" s="11">
        <f t="shared" si="30"/>
        <v>-6.1332129488315967</v>
      </c>
    </row>
    <row r="323" spans="5:7" x14ac:dyDescent="0.25">
      <c r="E323" s="11">
        <f t="shared" si="28"/>
        <v>-19</v>
      </c>
      <c r="F323" s="11">
        <f t="shared" si="29"/>
        <v>-6.0732266139778899</v>
      </c>
      <c r="G323" s="11">
        <f t="shared" si="30"/>
        <v>-5.8774176490917531</v>
      </c>
    </row>
    <row r="324" spans="5:7" x14ac:dyDescent="0.25">
      <c r="E324" s="11">
        <f t="shared" si="28"/>
        <v>-18</v>
      </c>
      <c r="F324" s="11">
        <f t="shared" si="29"/>
        <v>-5.8021600581099193</v>
      </c>
      <c r="G324" s="11">
        <f t="shared" si="30"/>
        <v>-5.6179993346898831</v>
      </c>
    </row>
    <row r="325" spans="5:7" x14ac:dyDescent="0.25">
      <c r="E325" s="11">
        <f t="shared" si="28"/>
        <v>-17</v>
      </c>
      <c r="F325" s="11">
        <f t="shared" si="29"/>
        <v>-5.5263237815902366</v>
      </c>
      <c r="G325" s="11">
        <f t="shared" si="30"/>
        <v>-5.3546694668819068</v>
      </c>
    </row>
    <row r="326" spans="5:7" x14ac:dyDescent="0.25">
      <c r="E326" s="11">
        <f t="shared" si="28"/>
        <v>-16</v>
      </c>
      <c r="F326" s="11">
        <f t="shared" si="29"/>
        <v>-5.2455787884383458</v>
      </c>
      <c r="G326" s="11">
        <f t="shared" si="30"/>
        <v>-5.0871395069237462</v>
      </c>
    </row>
    <row r="327" spans="5:7" x14ac:dyDescent="0.25">
      <c r="E327" s="11">
        <f t="shared" si="28"/>
        <v>-15</v>
      </c>
      <c r="F327" s="11">
        <f t="shared" si="29"/>
        <v>-4.9597908101398751</v>
      </c>
      <c r="G327" s="11">
        <f t="shared" si="30"/>
        <v>-4.8151209160713231</v>
      </c>
    </row>
    <row r="328" spans="5:7" x14ac:dyDescent="0.25">
      <c r="E328" s="11">
        <f t="shared" si="28"/>
        <v>-14</v>
      </c>
      <c r="F328" s="11">
        <f t="shared" si="29"/>
        <v>-4.6688310698733568</v>
      </c>
      <c r="G328" s="11">
        <f t="shared" si="30"/>
        <v>-4.5383251555805595</v>
      </c>
    </row>
    <row r="329" spans="5:7" x14ac:dyDescent="0.25">
      <c r="E329" s="11">
        <f t="shared" si="28"/>
        <v>-13</v>
      </c>
      <c r="F329" s="11">
        <f t="shared" si="29"/>
        <v>-4.3725770554888213</v>
      </c>
      <c r="G329" s="11">
        <f t="shared" si="30"/>
        <v>-4.2564636867073755</v>
      </c>
    </row>
    <row r="330" spans="5:7" x14ac:dyDescent="0.25">
      <c r="E330" s="11">
        <f t="shared" si="28"/>
        <v>-12</v>
      </c>
      <c r="F330" s="11">
        <f t="shared" si="29"/>
        <v>-4.0709132993500283</v>
      </c>
      <c r="G330" s="11">
        <f t="shared" si="30"/>
        <v>-3.9692479707076918</v>
      </c>
    </row>
    <row r="331" spans="5:7" x14ac:dyDescent="0.25">
      <c r="E331" s="11">
        <f t="shared" si="28"/>
        <v>-11</v>
      </c>
      <c r="F331" s="11">
        <f t="shared" si="29"/>
        <v>-3.7637321630845051</v>
      </c>
      <c r="G331" s="11">
        <f t="shared" si="30"/>
        <v>-3.6763894688374315</v>
      </c>
    </row>
    <row r="332" spans="5:7" x14ac:dyDescent="0.25">
      <c r="E332" s="11">
        <f t="shared" si="28"/>
        <v>-10</v>
      </c>
      <c r="F332" s="11">
        <f t="shared" si="29"/>
        <v>-3.4509346252178168</v>
      </c>
      <c r="G332" s="11">
        <f t="shared" si="30"/>
        <v>-3.3775996423525161</v>
      </c>
    </row>
    <row r="333" spans="5:7" x14ac:dyDescent="0.25">
      <c r="E333" s="11">
        <f t="shared" si="28"/>
        <v>-9</v>
      </c>
      <c r="F333" s="11">
        <f t="shared" si="29"/>
        <v>-3.1324310696008051</v>
      </c>
      <c r="G333" s="11">
        <f t="shared" si="30"/>
        <v>-3.0725899525088658</v>
      </c>
    </row>
    <row r="334" spans="5:7" x14ac:dyDescent="0.25">
      <c r="E334" s="11">
        <f t="shared" si="28"/>
        <v>-8</v>
      </c>
      <c r="F334" s="11">
        <f t="shared" si="29"/>
        <v>-2.8081420724707851</v>
      </c>
      <c r="G334" s="11">
        <f t="shared" si="30"/>
        <v>-2.7610718605624025</v>
      </c>
    </row>
    <row r="335" spans="5:7" x14ac:dyDescent="0.25">
      <c r="E335" s="11">
        <f t="shared" si="28"/>
        <v>-7</v>
      </c>
      <c r="F335" s="11">
        <f t="shared" si="29"/>
        <v>-2.4779991859200328</v>
      </c>
      <c r="G335" s="11">
        <f t="shared" si="30"/>
        <v>-2.4427568277690481</v>
      </c>
    </row>
    <row r="336" spans="5:7" x14ac:dyDescent="0.25">
      <c r="E336" s="11">
        <f t="shared" si="28"/>
        <v>-6</v>
      </c>
      <c r="F336" s="11">
        <f t="shared" si="29"/>
        <v>-2.1419457154771444</v>
      </c>
      <c r="G336" s="11">
        <f t="shared" si="30"/>
        <v>-2.1173563153847228</v>
      </c>
    </row>
    <row r="337" spans="5:7" x14ac:dyDescent="0.25">
      <c r="E337" s="11">
        <f t="shared" si="28"/>
        <v>-5</v>
      </c>
      <c r="F337" s="11">
        <f t="shared" si="29"/>
        <v>-1.7999374894391478</v>
      </c>
      <c r="G337" s="11">
        <f t="shared" si="30"/>
        <v>-1.7845817846653496</v>
      </c>
    </row>
    <row r="338" spans="5:7" x14ac:dyDescent="0.25">
      <c r="E338" s="11">
        <f t="shared" si="28"/>
        <v>-4</v>
      </c>
      <c r="F338" s="11">
        <f t="shared" si="29"/>
        <v>-1.451943617524553</v>
      </c>
      <c r="G338" s="11">
        <f t="shared" si="30"/>
        <v>-1.4441446968668485</v>
      </c>
    </row>
    <row r="339" spans="5:7" x14ac:dyDescent="0.25">
      <c r="E339" s="11">
        <f t="shared" si="28"/>
        <v>-3</v>
      </c>
      <c r="F339" s="11">
        <f t="shared" si="29"/>
        <v>-1.097947236349796</v>
      </c>
      <c r="G339" s="11">
        <f t="shared" si="30"/>
        <v>-1.0957565132451417</v>
      </c>
    </row>
    <row r="340" spans="5:7" x14ac:dyDescent="0.25">
      <c r="E340" s="11">
        <f t="shared" si="28"/>
        <v>-2</v>
      </c>
      <c r="F340" s="11">
        <f t="shared" si="29"/>
        <v>-0.7379462391638334</v>
      </c>
      <c r="G340" s="11">
        <f t="shared" si="30"/>
        <v>-0.73912869505615064</v>
      </c>
    </row>
    <row r="341" spans="5:7" x14ac:dyDescent="0.25">
      <c r="E341" s="11">
        <f t="shared" si="28"/>
        <v>-1</v>
      </c>
      <c r="F341" s="11">
        <f t="shared" si="29"/>
        <v>-0.37195398720793443</v>
      </c>
      <c r="G341" s="11">
        <f t="shared" si="30"/>
        <v>-0.37397270355579615</v>
      </c>
    </row>
    <row r="342" spans="5:7" x14ac:dyDescent="0.25">
      <c r="E342" s="11">
        <f t="shared" si="28"/>
        <v>0</v>
      </c>
      <c r="F342" s="11">
        <f t="shared" si="29"/>
        <v>0</v>
      </c>
      <c r="G342" s="11">
        <f t="shared" si="30"/>
        <v>0</v>
      </c>
    </row>
    <row r="343" spans="5:7" x14ac:dyDescent="0.25">
      <c r="E343" s="11">
        <f t="shared" si="28"/>
        <v>1</v>
      </c>
      <c r="F343" s="11">
        <f t="shared" si="29"/>
        <v>0.37786937822496242</v>
      </c>
      <c r="G343" s="11">
        <f t="shared" si="30"/>
        <v>0.3829455175770361</v>
      </c>
    </row>
    <row r="344" spans="5:7" x14ac:dyDescent="0.25">
      <c r="E344" s="11">
        <f t="shared" si="28"/>
        <v>2</v>
      </c>
      <c r="F344" s="11">
        <f t="shared" si="29"/>
        <v>0.76159033875429838</v>
      </c>
      <c r="G344" s="11">
        <f t="shared" si="30"/>
        <v>0.77449020402799174</v>
      </c>
    </row>
    <row r="345" spans="5:7" x14ac:dyDescent="0.25">
      <c r="E345" s="11">
        <f t="shared" si="28"/>
        <v>3</v>
      </c>
      <c r="F345" s="11">
        <f t="shared" si="29"/>
        <v>1.1510809982208932</v>
      </c>
      <c r="G345" s="11">
        <f t="shared" si="30"/>
        <v>1.1741279774272648</v>
      </c>
    </row>
    <row r="346" spans="5:7" x14ac:dyDescent="0.25">
      <c r="E346" s="11">
        <f t="shared" si="28"/>
        <v>4</v>
      </c>
      <c r="F346" s="11">
        <f t="shared" si="29"/>
        <v>1.5462408209815932</v>
      </c>
      <c r="G346" s="11">
        <f t="shared" si="30"/>
        <v>1.5813527558492551</v>
      </c>
    </row>
    <row r="347" spans="5:7" x14ac:dyDescent="0.25">
      <c r="E347" s="11">
        <f t="shared" si="28"/>
        <v>5</v>
      </c>
      <c r="F347" s="11">
        <f t="shared" si="29"/>
        <v>1.9469500770900816</v>
      </c>
      <c r="G347" s="11">
        <f t="shared" si="30"/>
        <v>1.9956584573683611</v>
      </c>
    </row>
    <row r="348" spans="5:7" x14ac:dyDescent="0.25">
      <c r="E348" s="11">
        <f t="shared" si="28"/>
        <v>6</v>
      </c>
      <c r="F348" s="11">
        <f t="shared" si="29"/>
        <v>2.3530693389711241</v>
      </c>
      <c r="G348" s="11">
        <f t="shared" si="30"/>
        <v>2.4165390000589806</v>
      </c>
    </row>
    <row r="349" spans="5:7" x14ac:dyDescent="0.25">
      <c r="E349" s="11">
        <f t="shared" si="28"/>
        <v>7</v>
      </c>
      <c r="F349" s="11">
        <f t="shared" si="29"/>
        <v>2.7644390199708386</v>
      </c>
      <c r="G349" s="11">
        <f t="shared" si="30"/>
        <v>2.8434883019955146</v>
      </c>
    </row>
    <row r="350" spans="5:7" x14ac:dyDescent="0.25">
      <c r="E350" s="11">
        <f t="shared" si="28"/>
        <v>8</v>
      </c>
      <c r="F350" s="11">
        <f t="shared" si="29"/>
        <v>3.1808789580253123</v>
      </c>
      <c r="G350" s="11">
        <f t="shared" si="30"/>
        <v>3.2760002812523603</v>
      </c>
    </row>
    <row r="351" spans="5:7" x14ac:dyDescent="0.25">
      <c r="E351" s="11">
        <f t="shared" ref="E351:E414" si="31">E144</f>
        <v>9</v>
      </c>
      <c r="F351" s="11">
        <f t="shared" ref="F351:F414" si="32">$H$217*0+E351*$I$217+E351^2*$J$217+E351^3*$K$217+E351^4*$L$217+E351^5*$M$217+E351^6*$N$217+E351^7*$O$217+E351^8*$P$217</f>
        <v>3.6021880477576489</v>
      </c>
      <c r="G351" s="11">
        <f t="shared" ref="G351:G414" si="33">F144</f>
        <v>3.7135688559039171</v>
      </c>
    </row>
    <row r="352" spans="5:7" x14ac:dyDescent="0.25">
      <c r="E352" s="11">
        <f t="shared" si="31"/>
        <v>10</v>
      </c>
      <c r="F352" s="11">
        <f t="shared" si="32"/>
        <v>4.0281439243811894</v>
      </c>
      <c r="G352" s="11">
        <f t="shared" si="33"/>
        <v>4.1556879440245833</v>
      </c>
    </row>
    <row r="353" spans="5:7" x14ac:dyDescent="0.25">
      <c r="E353" s="11">
        <f t="shared" si="31"/>
        <v>11</v>
      </c>
      <c r="F353" s="11">
        <f t="shared" si="32"/>
        <v>4.4585027028543971</v>
      </c>
      <c r="G353" s="11">
        <f t="shared" si="33"/>
        <v>4.6018514636887584</v>
      </c>
    </row>
    <row r="354" spans="5:7" x14ac:dyDescent="0.25">
      <c r="E354" s="11">
        <f t="shared" si="31"/>
        <v>12</v>
      </c>
      <c r="F354" s="11">
        <f t="shared" si="32"/>
        <v>4.8929987758005868</v>
      </c>
      <c r="G354" s="11">
        <f t="shared" si="33"/>
        <v>5.0515533329708404</v>
      </c>
    </row>
    <row r="355" spans="5:7" x14ac:dyDescent="0.25">
      <c r="E355" s="11">
        <f t="shared" si="31"/>
        <v>13</v>
      </c>
      <c r="F355" s="11">
        <f t="shared" si="32"/>
        <v>5.3313446737734038</v>
      </c>
      <c r="G355" s="11">
        <f t="shared" si="33"/>
        <v>5.5042874699452291</v>
      </c>
    </row>
    <row r="356" spans="5:7" x14ac:dyDescent="0.25">
      <c r="E356" s="11">
        <f t="shared" si="31"/>
        <v>14</v>
      </c>
      <c r="F356" s="11">
        <f t="shared" si="32"/>
        <v>5.773230991516642</v>
      </c>
      <c r="G356" s="11">
        <f t="shared" si="33"/>
        <v>5.9595477926863225</v>
      </c>
    </row>
    <row r="357" spans="5:7" x14ac:dyDescent="0.25">
      <c r="E357" s="11">
        <f t="shared" si="31"/>
        <v>15</v>
      </c>
      <c r="F357" s="11">
        <f t="shared" si="32"/>
        <v>6.2183263839347482</v>
      </c>
      <c r="G357" s="11">
        <f t="shared" si="33"/>
        <v>6.4168282192685204</v>
      </c>
    </row>
    <row r="358" spans="5:7" x14ac:dyDescent="0.25">
      <c r="E358" s="11">
        <f t="shared" si="31"/>
        <v>16</v>
      </c>
      <c r="F358" s="11">
        <f t="shared" si="32"/>
        <v>6.6662776355579965</v>
      </c>
      <c r="G358" s="11">
        <f t="shared" si="33"/>
        <v>6.8756226677662209</v>
      </c>
    </row>
    <row r="359" spans="5:7" x14ac:dyDescent="0.25">
      <c r="E359" s="11">
        <f t="shared" si="31"/>
        <v>17</v>
      </c>
      <c r="F359" s="11">
        <f t="shared" si="32"/>
        <v>7.1167098073541188</v>
      </c>
      <c r="G359" s="11">
        <f t="shared" si="33"/>
        <v>7.3354250562538228</v>
      </c>
    </row>
    <row r="360" spans="5:7" x14ac:dyDescent="0.25">
      <c r="E360" s="11">
        <f t="shared" si="31"/>
        <v>18</v>
      </c>
      <c r="F360" s="11">
        <f t="shared" si="32"/>
        <v>7.5692264648057979</v>
      </c>
      <c r="G360" s="11">
        <f t="shared" si="33"/>
        <v>7.7957293028057268</v>
      </c>
    </row>
    <row r="361" spans="5:7" x14ac:dyDescent="0.25">
      <c r="E361" s="11">
        <f t="shared" si="31"/>
        <v>19</v>
      </c>
      <c r="F361" s="11">
        <f t="shared" si="32"/>
        <v>8.023409991241202</v>
      </c>
      <c r="G361" s="11">
        <f t="shared" si="33"/>
        <v>8.2560293254963284</v>
      </c>
    </row>
    <row r="362" spans="5:7" x14ac:dyDescent="0.25">
      <c r="E362" s="11">
        <f t="shared" si="31"/>
        <v>20</v>
      </c>
      <c r="F362" s="11">
        <f t="shared" si="32"/>
        <v>8.47882199047244</v>
      </c>
      <c r="G362" s="11">
        <f t="shared" si="33"/>
        <v>8.7158190424000281</v>
      </c>
    </row>
    <row r="363" spans="5:7" x14ac:dyDescent="0.25">
      <c r="E363" s="11">
        <f t="shared" si="31"/>
        <v>21</v>
      </c>
      <c r="F363" s="11">
        <f t="shared" si="32"/>
        <v>8.9350037828644489</v>
      </c>
      <c r="G363" s="11">
        <f t="shared" si="33"/>
        <v>9.1745923715912241</v>
      </c>
    </row>
    <row r="364" spans="5:7" x14ac:dyDescent="0.25">
      <c r="E364" s="11">
        <f t="shared" si="31"/>
        <v>22</v>
      </c>
      <c r="F364" s="11">
        <f t="shared" si="32"/>
        <v>9.3914769990247287</v>
      </c>
      <c r="G364" s="11">
        <f t="shared" si="33"/>
        <v>9.6318432311443196</v>
      </c>
    </row>
    <row r="365" spans="5:7" x14ac:dyDescent="0.25">
      <c r="E365" s="11">
        <f t="shared" si="31"/>
        <v>23</v>
      </c>
      <c r="F365" s="11">
        <f t="shared" si="32"/>
        <v>9.8477442753717437</v>
      </c>
      <c r="G365" s="11">
        <f t="shared" si="33"/>
        <v>10.087065539133706</v>
      </c>
    </row>
    <row r="366" spans="5:7" x14ac:dyDescent="0.25">
      <c r="E366" s="11">
        <f t="shared" si="31"/>
        <v>24</v>
      </c>
      <c r="F366" s="11">
        <f t="shared" si="32"/>
        <v>10.303290055907913</v>
      </c>
      <c r="G366" s="11">
        <f t="shared" si="33"/>
        <v>10.539753213633785</v>
      </c>
    </row>
    <row r="367" spans="5:7" x14ac:dyDescent="0.25">
      <c r="E367" s="11">
        <f t="shared" si="31"/>
        <v>25</v>
      </c>
      <c r="F367" s="11">
        <f t="shared" si="32"/>
        <v>10.757581504590396</v>
      </c>
      <c r="G367" s="11">
        <f t="shared" si="33"/>
        <v>10.989400172718961</v>
      </c>
    </row>
    <row r="368" spans="5:7" x14ac:dyDescent="0.25">
      <c r="E368" s="11">
        <f t="shared" si="31"/>
        <v>26</v>
      </c>
      <c r="F368" s="11">
        <f t="shared" si="32"/>
        <v>11.210069532760944</v>
      </c>
      <c r="G368" s="11">
        <f t="shared" si="33"/>
        <v>11.435500334463624</v>
      </c>
    </row>
    <row r="369" spans="5:7" x14ac:dyDescent="0.25">
      <c r="E369" s="11">
        <f t="shared" si="31"/>
        <v>27</v>
      </c>
      <c r="F369" s="11">
        <f t="shared" si="32"/>
        <v>11.6601899461636</v>
      </c>
      <c r="G369" s="11">
        <f t="shared" si="33"/>
        <v>11.877547616942179</v>
      </c>
    </row>
    <row r="370" spans="5:7" x14ac:dyDescent="0.25">
      <c r="E370" s="11">
        <f t="shared" si="31"/>
        <v>28</v>
      </c>
      <c r="F370" s="11">
        <f t="shared" si="32"/>
        <v>12.107364716146819</v>
      </c>
      <c r="G370" s="11">
        <f t="shared" si="33"/>
        <v>12.315035938229022</v>
      </c>
    </row>
    <row r="371" spans="5:7" x14ac:dyDescent="0.25">
      <c r="E371" s="11">
        <f t="shared" si="31"/>
        <v>29</v>
      </c>
      <c r="F371" s="11">
        <f t="shared" si="32"/>
        <v>12.551003379714224</v>
      </c>
      <c r="G371" s="11">
        <f t="shared" si="33"/>
        <v>12.747459216398553</v>
      </c>
    </row>
    <row r="372" spans="5:7" x14ac:dyDescent="0.25">
      <c r="E372" s="11">
        <f t="shared" si="31"/>
        <v>30</v>
      </c>
      <c r="F372" s="11">
        <f t="shared" si="32"/>
        <v>12.99050457315602</v>
      </c>
      <c r="G372" s="11">
        <f t="shared" si="33"/>
        <v>13.174311369525171</v>
      </c>
    </row>
    <row r="373" spans="5:7" x14ac:dyDescent="0.25">
      <c r="E373" s="11">
        <f t="shared" si="31"/>
        <v>31</v>
      </c>
      <c r="F373" s="11">
        <f t="shared" si="32"/>
        <v>13.425257704060694</v>
      </c>
      <c r="G373" s="11">
        <f t="shared" si="33"/>
        <v>13.595086315683274</v>
      </c>
    </row>
    <row r="374" spans="5:7" x14ac:dyDescent="0.25">
      <c r="E374" s="11">
        <f t="shared" si="31"/>
        <v>32</v>
      </c>
      <c r="F374" s="11">
        <f t="shared" si="32"/>
        <v>13.854644766574463</v>
      </c>
      <c r="G374" s="11">
        <f t="shared" si="33"/>
        <v>14.00927797294726</v>
      </c>
    </row>
    <row r="375" spans="5:7" x14ac:dyDescent="0.25">
      <c r="E375" s="11">
        <f t="shared" si="31"/>
        <v>33</v>
      </c>
      <c r="F375" s="11">
        <f t="shared" si="32"/>
        <v>14.278042304843451</v>
      </c>
      <c r="G375" s="11">
        <f t="shared" si="33"/>
        <v>14.416380259391531</v>
      </c>
    </row>
    <row r="376" spans="5:7" x14ac:dyDescent="0.25">
      <c r="E376" s="11">
        <f t="shared" si="31"/>
        <v>34</v>
      </c>
      <c r="F376" s="11">
        <f t="shared" si="32"/>
        <v>14.694823529641519</v>
      </c>
      <c r="G376" s="11">
        <f t="shared" si="33"/>
        <v>14.815887093090479</v>
      </c>
    </row>
    <row r="377" spans="5:7" x14ac:dyDescent="0.25">
      <c r="E377" s="11">
        <f t="shared" si="31"/>
        <v>35</v>
      </c>
      <c r="F377" s="11">
        <f t="shared" si="32"/>
        <v>15.104360593254215</v>
      </c>
      <c r="G377" s="11">
        <f t="shared" si="33"/>
        <v>15.207292392118513</v>
      </c>
    </row>
    <row r="378" spans="5:7" x14ac:dyDescent="0.25">
      <c r="E378" s="11">
        <f t="shared" si="31"/>
        <v>36</v>
      </c>
      <c r="F378" s="11">
        <f t="shared" si="32"/>
        <v>15.506027027757053</v>
      </c>
      <c r="G378" s="11">
        <f t="shared" si="33"/>
        <v>15.590090074550025</v>
      </c>
    </row>
    <row r="379" spans="5:7" x14ac:dyDescent="0.25">
      <c r="E379" s="11">
        <f t="shared" si="31"/>
        <v>37</v>
      </c>
      <c r="F379" s="11">
        <f t="shared" si="32"/>
        <v>15.899200351894123</v>
      </c>
      <c r="G379" s="11">
        <f t="shared" si="33"/>
        <v>15.963774058459418</v>
      </c>
    </row>
    <row r="380" spans="5:7" x14ac:dyDescent="0.25">
      <c r="E380" s="11">
        <f t="shared" si="31"/>
        <v>38</v>
      </c>
      <c r="F380" s="11">
        <f t="shared" si="32"/>
        <v>16.283264851830602</v>
      </c>
      <c r="G380" s="11">
        <f t="shared" si="33"/>
        <v>16.32783826192108</v>
      </c>
    </row>
    <row r="381" spans="5:7" x14ac:dyDescent="0.25">
      <c r="E381" s="11">
        <f t="shared" si="31"/>
        <v>39</v>
      </c>
      <c r="F381" s="11">
        <f t="shared" si="32"/>
        <v>16.657614541120576</v>
      </c>
      <c r="G381" s="11">
        <f t="shared" si="33"/>
        <v>16.681776603009425</v>
      </c>
    </row>
    <row r="382" spans="5:7" x14ac:dyDescent="0.25">
      <c r="E382" s="11">
        <f t="shared" si="31"/>
        <v>40</v>
      </c>
      <c r="F382" s="11">
        <f t="shared" si="32"/>
        <v>17.021656305299278</v>
      </c>
      <c r="G382" s="11">
        <f t="shared" si="33"/>
        <v>17.025082999798844</v>
      </c>
    </row>
    <row r="383" spans="5:7" x14ac:dyDescent="0.25">
      <c r="E383" s="11">
        <f t="shared" si="31"/>
        <v>41</v>
      </c>
      <c r="F383" s="11">
        <f t="shared" si="32"/>
        <v>17.374813236576362</v>
      </c>
      <c r="G383" s="11">
        <f t="shared" si="33"/>
        <v>17.357251370363734</v>
      </c>
    </row>
    <row r="384" spans="5:7" x14ac:dyDescent="0.25">
      <c r="E384" s="11">
        <f t="shared" si="31"/>
        <v>42</v>
      </c>
      <c r="F384" s="11">
        <f t="shared" si="32"/>
        <v>17.716528164174985</v>
      </c>
      <c r="G384" s="11">
        <f t="shared" si="33"/>
        <v>17.677775632778499</v>
      </c>
    </row>
    <row r="385" spans="5:7" x14ac:dyDescent="0.25">
      <c r="E385" s="11">
        <f t="shared" si="31"/>
        <v>43</v>
      </c>
      <c r="F385" s="11">
        <f t="shared" si="32"/>
        <v>18.046267385928513</v>
      </c>
      <c r="G385" s="11">
        <f t="shared" si="33"/>
        <v>17.986149705117537</v>
      </c>
    </row>
    <row r="386" spans="5:7" x14ac:dyDescent="0.25">
      <c r="E386" s="11">
        <f t="shared" si="31"/>
        <v>44</v>
      </c>
      <c r="F386" s="11">
        <f t="shared" si="32"/>
        <v>18.363524606815158</v>
      </c>
      <c r="G386" s="11">
        <f t="shared" si="33"/>
        <v>18.281867505455242</v>
      </c>
    </row>
    <row r="387" spans="5:7" x14ac:dyDescent="0.25">
      <c r="E387" s="11">
        <f t="shared" si="31"/>
        <v>45</v>
      </c>
      <c r="F387" s="11">
        <f t="shared" si="32"/>
        <v>18.667825090177907</v>
      </c>
      <c r="G387" s="11">
        <f t="shared" si="33"/>
        <v>18.564422951866014</v>
      </c>
    </row>
    <row r="388" spans="5:7" x14ac:dyDescent="0.25">
      <c r="E388" s="11">
        <f t="shared" si="31"/>
        <v>46</v>
      </c>
      <c r="F388" s="11">
        <f t="shared" si="32"/>
        <v>18.958730027445093</v>
      </c>
      <c r="G388" s="11">
        <f t="shared" si="33"/>
        <v>18.833459397201633</v>
      </c>
    </row>
    <row r="389" spans="5:7" x14ac:dyDescent="0.25">
      <c r="E389" s="11">
        <f t="shared" si="31"/>
        <v>47</v>
      </c>
      <c r="F389" s="11">
        <f t="shared" si="32"/>
        <v>19.235841132234803</v>
      </c>
      <c r="G389" s="11">
        <f t="shared" si="33"/>
        <v>19.089217933423363</v>
      </c>
    </row>
    <row r="390" spans="5:7" x14ac:dyDescent="0.25">
      <c r="E390" s="11">
        <f t="shared" si="31"/>
        <v>48</v>
      </c>
      <c r="F390" s="11">
        <f t="shared" si="32"/>
        <v>19.498805464793708</v>
      </c>
      <c r="G390" s="11">
        <f t="shared" si="33"/>
        <v>19.332089087269843</v>
      </c>
    </row>
    <row r="391" spans="5:7" x14ac:dyDescent="0.25">
      <c r="E391" s="11">
        <f t="shared" si="31"/>
        <v>49</v>
      </c>
      <c r="F391" s="11">
        <f t="shared" si="32"/>
        <v>19.74732049278882</v>
      </c>
      <c r="G391" s="11">
        <f t="shared" si="33"/>
        <v>19.562463385479727</v>
      </c>
    </row>
    <row r="392" spans="5:7" x14ac:dyDescent="0.25">
      <c r="E392" s="11">
        <f t="shared" si="31"/>
        <v>50</v>
      </c>
      <c r="F392" s="11">
        <f t="shared" si="32"/>
        <v>19.981139394538417</v>
      </c>
      <c r="G392" s="11">
        <f t="shared" si="33"/>
        <v>19.780731354791655</v>
      </c>
    </row>
    <row r="393" spans="5:7" x14ac:dyDescent="0.25">
      <c r="E393" s="11">
        <f t="shared" si="31"/>
        <v>51</v>
      </c>
      <c r="F393" s="11">
        <f t="shared" si="32"/>
        <v>20.200076610835918</v>
      </c>
      <c r="G393" s="11">
        <f t="shared" si="33"/>
        <v>19.987283521944271</v>
      </c>
    </row>
    <row r="394" spans="5:7" x14ac:dyDescent="0.25">
      <c r="E394" s="11">
        <f t="shared" si="31"/>
        <v>52</v>
      </c>
      <c r="F394" s="11">
        <f t="shared" si="32"/>
        <v>20.404013651588365</v>
      </c>
      <c r="G394" s="11">
        <f t="shared" si="33"/>
        <v>20.182510413676212</v>
      </c>
    </row>
    <row r="395" spans="5:7" x14ac:dyDescent="0.25">
      <c r="E395" s="11">
        <f t="shared" si="31"/>
        <v>53</v>
      </c>
      <c r="F395" s="11">
        <f t="shared" si="32"/>
        <v>20.592905163558765</v>
      </c>
      <c r="G395" s="11">
        <f t="shared" si="33"/>
        <v>20.366802556726125</v>
      </c>
    </row>
    <row r="396" spans="5:7" x14ac:dyDescent="0.25">
      <c r="E396" s="11">
        <f t="shared" si="31"/>
        <v>54</v>
      </c>
      <c r="F396" s="11">
        <f t="shared" si="32"/>
        <v>20.76678526556935</v>
      </c>
      <c r="G396" s="11">
        <f t="shared" si="33"/>
        <v>20.54055047783266</v>
      </c>
    </row>
    <row r="397" spans="5:7" x14ac:dyDescent="0.25">
      <c r="E397" s="11">
        <f t="shared" si="31"/>
        <v>55</v>
      </c>
      <c r="F397" s="11">
        <f t="shared" si="32"/>
        <v>20.925774157590432</v>
      </c>
      <c r="G397" s="11">
        <f t="shared" si="33"/>
        <v>20.70414470373446</v>
      </c>
    </row>
    <row r="398" spans="5:7" x14ac:dyDescent="0.25">
      <c r="E398" s="11">
        <f t="shared" si="31"/>
        <v>56</v>
      </c>
      <c r="F398" s="11">
        <f t="shared" si="32"/>
        <v>21.070085010207293</v>
      </c>
      <c r="G398" s="11">
        <f t="shared" si="33"/>
        <v>20.85797576117016</v>
      </c>
    </row>
    <row r="399" spans="5:7" x14ac:dyDescent="0.25">
      <c r="E399" s="11">
        <f t="shared" si="31"/>
        <v>57</v>
      </c>
      <c r="F399" s="11">
        <f t="shared" si="32"/>
        <v>21.200031141025303</v>
      </c>
      <c r="G399" s="11">
        <f t="shared" si="33"/>
        <v>21.002434176878417</v>
      </c>
    </row>
    <row r="400" spans="5:7" x14ac:dyDescent="0.25">
      <c r="E400" s="11">
        <f t="shared" si="31"/>
        <v>58</v>
      </c>
      <c r="F400" s="11">
        <f t="shared" si="32"/>
        <v>21.316033484641007</v>
      </c>
      <c r="G400" s="11">
        <f t="shared" si="33"/>
        <v>21.13791047759786</v>
      </c>
    </row>
    <row r="401" spans="5:7" x14ac:dyDescent="0.25">
      <c r="E401" s="11">
        <f t="shared" si="31"/>
        <v>59</v>
      </c>
      <c r="F401" s="11">
        <f t="shared" si="32"/>
        <v>21.418628362874884</v>
      </c>
      <c r="G401" s="11">
        <f t="shared" si="33"/>
        <v>21.26479519006714</v>
      </c>
    </row>
    <row r="402" spans="5:7" x14ac:dyDescent="0.25">
      <c r="E402" s="11">
        <f t="shared" si="31"/>
        <v>60</v>
      </c>
      <c r="F402" s="11">
        <f t="shared" si="32"/>
        <v>21.508475562028867</v>
      </c>
      <c r="G402" s="11">
        <f t="shared" si="33"/>
        <v>21.383478841024903</v>
      </c>
    </row>
    <row r="403" spans="5:7" x14ac:dyDescent="0.25">
      <c r="E403" s="11">
        <f t="shared" si="31"/>
        <v>61</v>
      </c>
      <c r="F403" s="11">
        <f t="shared" si="32"/>
        <v>21.586366723999824</v>
      </c>
      <c r="G403" s="11">
        <f t="shared" si="33"/>
        <v>21.494351957209794</v>
      </c>
    </row>
    <row r="404" spans="5:7" x14ac:dyDescent="0.25">
      <c r="E404" s="11">
        <f t="shared" si="31"/>
        <v>62</v>
      </c>
      <c r="F404" s="11">
        <f t="shared" si="32"/>
        <v>21.65323405814749</v>
      </c>
      <c r="G404" s="11">
        <f t="shared" si="33"/>
        <v>21.597805065360447</v>
      </c>
    </row>
    <row r="405" spans="5:7" x14ac:dyDescent="0.25">
      <c r="E405" s="11">
        <f t="shared" si="31"/>
        <v>63</v>
      </c>
      <c r="F405" s="11">
        <f t="shared" si="32"/>
        <v>21.710159380883375</v>
      </c>
      <c r="G405" s="11">
        <f t="shared" si="33"/>
        <v>21.694228692215518</v>
      </c>
    </row>
    <row r="406" spans="5:7" x14ac:dyDescent="0.25">
      <c r="E406" s="11">
        <f t="shared" si="31"/>
        <v>64</v>
      </c>
      <c r="F406" s="11">
        <f t="shared" si="32"/>
        <v>21.758383490014726</v>
      </c>
      <c r="G406" s="11">
        <f t="shared" si="33"/>
        <v>21.78401336451364</v>
      </c>
    </row>
    <row r="407" spans="5:7" x14ac:dyDescent="0.25">
      <c r="E407" s="11">
        <f t="shared" si="31"/>
        <v>65</v>
      </c>
      <c r="F407" s="11">
        <f t="shared" si="32"/>
        <v>21.799315880945318</v>
      </c>
      <c r="G407" s="11">
        <f t="shared" si="33"/>
        <v>21.867549608993464</v>
      </c>
    </row>
    <row r="408" spans="5:7" x14ac:dyDescent="0.25">
      <c r="E408" s="11">
        <f t="shared" si="31"/>
        <v>66</v>
      </c>
      <c r="F408" s="11">
        <f t="shared" si="32"/>
        <v>21.834544811902671</v>
      </c>
      <c r="G408" s="11">
        <f t="shared" si="33"/>
        <v>21.94522795239363</v>
      </c>
    </row>
    <row r="409" spans="5:7" x14ac:dyDescent="0.25">
      <c r="E409" s="11">
        <f t="shared" si="31"/>
        <v>67</v>
      </c>
      <c r="F409" s="11">
        <f t="shared" si="32"/>
        <v>21.865847725428935</v>
      </c>
      <c r="G409" s="11">
        <f t="shared" si="33"/>
        <v>22.017438921452779</v>
      </c>
    </row>
    <row r="410" spans="5:7" x14ac:dyDescent="0.25">
      <c r="E410" s="11">
        <f t="shared" si="31"/>
        <v>68</v>
      </c>
      <c r="F410" s="11">
        <f t="shared" si="32"/>
        <v>21.895202033440313</v>
      </c>
      <c r="G410" s="11">
        <f t="shared" si="33"/>
        <v>22.084573042909568</v>
      </c>
    </row>
    <row r="411" spans="5:7" x14ac:dyDescent="0.25">
      <c r="E411" s="11">
        <f t="shared" si="31"/>
        <v>69</v>
      </c>
      <c r="F411" s="11">
        <f t="shared" si="32"/>
        <v>21.924796273227777</v>
      </c>
      <c r="G411" s="11">
        <f t="shared" si="33"/>
        <v>22.147020843502627</v>
      </c>
    </row>
    <row r="412" spans="5:7" x14ac:dyDescent="0.25">
      <c r="E412" s="11">
        <f t="shared" si="31"/>
        <v>70</v>
      </c>
      <c r="F412" s="11">
        <f t="shared" si="32"/>
        <v>21.957041641839414</v>
      </c>
      <c r="G412" s="11">
        <f t="shared" si="33"/>
        <v>22.205172849970605</v>
      </c>
    </row>
    <row r="413" spans="5:7" x14ac:dyDescent="0.25">
      <c r="E413" s="11">
        <f t="shared" si="31"/>
        <v>71</v>
      </c>
      <c r="F413" s="11">
        <f t="shared" si="32"/>
        <v>21.994583916352365</v>
      </c>
      <c r="G413" s="11">
        <f t="shared" si="33"/>
        <v>22.259419589052143</v>
      </c>
    </row>
    <row r="414" spans="5:7" x14ac:dyDescent="0.25">
      <c r="E414" s="11">
        <f t="shared" si="31"/>
        <v>72</v>
      </c>
      <c r="F414" s="11">
        <f t="shared" si="32"/>
        <v>22.040315767610522</v>
      </c>
      <c r="G414" s="11">
        <f t="shared" si="33"/>
        <v>22.31015158748589</v>
      </c>
    </row>
    <row r="415" spans="5:7" x14ac:dyDescent="0.25">
      <c r="E415" s="11">
        <f t="shared" ref="E415:E422" si="34">E208</f>
        <v>73</v>
      </c>
      <c r="F415" s="11">
        <f t="shared" ref="F415:F422" si="35">$H$217*0+E415*$I$217+E415^2*$J$217+E415^3*$K$217+E415^4*$L$217+E415^5*$M$217+E415^6*$N$217+E415^7*$O$217+E415^8*$P$217</f>
        <v>22.097389475070901</v>
      </c>
      <c r="G415" s="11">
        <f t="shared" ref="G415:G422" si="36">F208</f>
        <v>22.357759372010484</v>
      </c>
    </row>
    <row r="416" spans="5:7" x14ac:dyDescent="0.25">
      <c r="E416" s="11">
        <f t="shared" si="34"/>
        <v>74</v>
      </c>
      <c r="F416" s="11">
        <f t="shared" si="35"/>
        <v>22.169230050470496</v>
      </c>
      <c r="G416" s="11">
        <f t="shared" si="36"/>
        <v>22.402633469364574</v>
      </c>
    </row>
    <row r="417" spans="5:7" x14ac:dyDescent="0.25">
      <c r="E417" s="11">
        <f t="shared" si="34"/>
        <v>75</v>
      </c>
      <c r="F417" s="11">
        <f t="shared" si="35"/>
        <v>22.259548778092061</v>
      </c>
      <c r="G417" s="11">
        <f t="shared" si="36"/>
        <v>22.4451644062868</v>
      </c>
    </row>
    <row r="418" spans="5:7" x14ac:dyDescent="0.25">
      <c r="E418" s="11">
        <f t="shared" si="34"/>
        <v>76</v>
      </c>
      <c r="F418" s="11">
        <f t="shared" si="35"/>
        <v>22.372357179475824</v>
      </c>
      <c r="G418" s="11">
        <f t="shared" si="36"/>
        <v>22.485742709515808</v>
      </c>
    </row>
    <row r="419" spans="5:7" x14ac:dyDescent="0.25">
      <c r="E419" s="11">
        <f t="shared" si="34"/>
        <v>77</v>
      </c>
      <c r="F419" s="11">
        <f t="shared" si="35"/>
        <v>22.511981410491199</v>
      </c>
      <c r="G419" s="11">
        <f t="shared" si="36"/>
        <v>22.524758905790243</v>
      </c>
    </row>
    <row r="420" spans="5:7" x14ac:dyDescent="0.25">
      <c r="E420" s="11">
        <f t="shared" si="34"/>
        <v>78</v>
      </c>
      <c r="F420" s="11">
        <f t="shared" si="35"/>
        <v>22.683077098750704</v>
      </c>
      <c r="G420" s="11">
        <f t="shared" si="36"/>
        <v>22.562603521848743</v>
      </c>
    </row>
    <row r="421" spans="5:7" x14ac:dyDescent="0.25">
      <c r="E421" s="11">
        <f t="shared" si="34"/>
        <v>79</v>
      </c>
      <c r="F421" s="11">
        <f t="shared" si="35"/>
        <v>22.89064462941576</v>
      </c>
      <c r="G421" s="11">
        <f t="shared" si="36"/>
        <v>22.599667084429957</v>
      </c>
    </row>
    <row r="422" spans="5:7" x14ac:dyDescent="0.25">
      <c r="E422" s="11">
        <f t="shared" si="34"/>
        <v>80</v>
      </c>
      <c r="F422" s="11">
        <f t="shared" si="35"/>
        <v>23.140044887511937</v>
      </c>
      <c r="G422" s="11">
        <f t="shared" si="36"/>
        <v>22.636340120272525</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2022-01-17T08:57:33Z</dcterms:modified>
</cp:coreProperties>
</file>