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1"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J81" i="52" l="1"/>
  <c r="J82" i="52"/>
  <c r="J83" i="52"/>
  <c r="J84" i="52"/>
  <c r="J85" i="52"/>
  <c r="J86" i="52"/>
  <c r="J87" i="52"/>
  <c r="J88" i="52"/>
  <c r="J89" i="52"/>
  <c r="J90" i="52"/>
  <c r="J91" i="52"/>
  <c r="J92" i="52"/>
  <c r="J93" i="52"/>
  <c r="J94" i="52"/>
  <c r="J95" i="52"/>
  <c r="J96" i="52"/>
  <c r="J97" i="52"/>
  <c r="J98" i="52"/>
  <c r="J99" i="52"/>
  <c r="J100" i="52"/>
  <c r="J101" i="52"/>
  <c r="J102" i="52"/>
  <c r="J73" i="52"/>
  <c r="J74" i="52"/>
  <c r="J75" i="52"/>
  <c r="J76" i="52"/>
  <c r="J77" i="52"/>
  <c r="J78" i="52"/>
  <c r="J79" i="52"/>
  <c r="J80" i="52"/>
  <c r="M11" i="8" l="1"/>
  <c r="M12" i="8" s="1"/>
  <c r="M13" i="8" s="1"/>
  <c r="M14" i="8" s="1"/>
  <c r="M15" i="8" s="1"/>
  <c r="M16" i="8" s="1"/>
  <c r="M17" i="8" s="1"/>
  <c r="M18" i="8" s="1"/>
  <c r="M19" i="8" s="1"/>
  <c r="M20" i="8" s="1"/>
  <c r="M21" i="8" s="1"/>
  <c r="M22" i="8" s="1"/>
  <c r="M23" i="8" s="1"/>
  <c r="M24" i="8" s="1"/>
  <c r="M25" i="8" s="1"/>
  <c r="M26" i="8" s="1"/>
  <c r="M27" i="8" s="1"/>
  <c r="M28" i="8" s="1"/>
  <c r="M29" i="8" s="1"/>
  <c r="M30" i="8" s="1"/>
  <c r="M31" i="8" s="1"/>
  <c r="M32" i="8" s="1"/>
  <c r="L1" i="37"/>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N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G140" i="52" l="1"/>
  <c r="J140" i="52"/>
  <c r="P140" i="52"/>
  <c r="C112" i="52"/>
  <c r="L112" i="52" s="1"/>
  <c r="C127" i="52"/>
  <c r="L127" i="52" s="1"/>
  <c r="C134" i="52"/>
  <c r="W134" i="52" s="1"/>
  <c r="O140" i="52"/>
  <c r="C141" i="52"/>
  <c r="L141" i="52" s="1"/>
  <c r="K140" i="52"/>
  <c r="C137" i="52"/>
  <c r="N137" i="52" s="1"/>
  <c r="W140" i="52"/>
  <c r="C131" i="52"/>
  <c r="O131" i="52" s="1"/>
  <c r="I140" i="52"/>
  <c r="C120" i="52"/>
  <c r="H120" i="52" s="1"/>
  <c r="C125" i="52"/>
  <c r="G125" i="52" s="1"/>
  <c r="C119" i="52"/>
  <c r="B82" i="39" s="1"/>
  <c r="C113" i="52"/>
  <c r="G113" i="52" s="1"/>
  <c r="AE140" i="52"/>
  <c r="AA140" i="52"/>
  <c r="AC140" i="52"/>
  <c r="C121" i="52"/>
  <c r="H121" i="52" s="1"/>
  <c r="C128" i="52"/>
  <c r="G128" i="52" s="1"/>
  <c r="C135" i="52"/>
  <c r="B98" i="39" s="1"/>
  <c r="C129" i="52"/>
  <c r="M129" i="52" s="1"/>
  <c r="C123" i="52"/>
  <c r="L123" i="52" s="1"/>
  <c r="AI140" i="52"/>
  <c r="C116" i="52"/>
  <c r="K116" i="52" s="1"/>
  <c r="AB140" i="52"/>
  <c r="AD140" i="52"/>
  <c r="H140" i="52"/>
  <c r="C115" i="52"/>
  <c r="B78" i="39" s="1"/>
  <c r="C122" i="52"/>
  <c r="B85" i="39" s="1"/>
  <c r="Y140" i="52"/>
  <c r="T140" i="52"/>
  <c r="AH140" i="52"/>
  <c r="U140" i="52"/>
  <c r="M140" i="52"/>
  <c r="V140" i="52"/>
  <c r="C133" i="52"/>
  <c r="AJ133" i="52" s="1"/>
  <c r="AF140" i="52"/>
  <c r="C136" i="52"/>
  <c r="H136" i="52" s="1"/>
  <c r="X140" i="52"/>
  <c r="C111" i="52"/>
  <c r="AH111" i="52" s="1"/>
  <c r="Q140" i="52"/>
  <c r="C110" i="52"/>
  <c r="C138" i="52"/>
  <c r="B101" i="39" s="1"/>
  <c r="Z140" i="52"/>
  <c r="C139" i="52"/>
  <c r="O139" i="52" s="1"/>
  <c r="F140" i="52"/>
  <c r="L140" i="52"/>
  <c r="C126" i="52"/>
  <c r="Z126" i="52" s="1"/>
  <c r="R140" i="52"/>
  <c r="C130" i="52"/>
  <c r="U130" i="52" s="1"/>
  <c r="C132" i="52"/>
  <c r="S132" i="52" s="1"/>
  <c r="AJ140" i="52"/>
  <c r="AG140" i="52"/>
  <c r="C124" i="52"/>
  <c r="AJ124" i="52" s="1"/>
  <c r="C117" i="52"/>
  <c r="F117" i="52" s="1"/>
  <c r="C118" i="52"/>
  <c r="I118" i="52" s="1"/>
  <c r="C114" i="52"/>
  <c r="AB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M123" i="52" l="1"/>
  <c r="AG115" i="52"/>
  <c r="AD115" i="52"/>
  <c r="AG123" i="52"/>
  <c r="Q123" i="52"/>
  <c r="U115" i="52"/>
  <c r="AB123" i="52"/>
  <c r="AH120" i="52"/>
  <c r="P123" i="52"/>
  <c r="U123" i="52"/>
  <c r="O123" i="52"/>
  <c r="F115" i="52"/>
  <c r="AI123" i="52"/>
  <c r="K115" i="52"/>
  <c r="G115" i="52"/>
  <c r="AH115" i="52"/>
  <c r="T115" i="52"/>
  <c r="AB115" i="52"/>
  <c r="Y115" i="52"/>
  <c r="AE123" i="52"/>
  <c r="AF123" i="52"/>
  <c r="N111" i="52"/>
  <c r="AG122" i="52"/>
  <c r="AI115" i="52"/>
  <c r="N115" i="52"/>
  <c r="J115" i="52"/>
  <c r="V115" i="52"/>
  <c r="V123" i="52"/>
  <c r="AA123" i="52"/>
  <c r="X123" i="52"/>
  <c r="Z123" i="52"/>
  <c r="H115" i="52"/>
  <c r="G123" i="52"/>
  <c r="Z115" i="52"/>
  <c r="AA115" i="52"/>
  <c r="AF115" i="52"/>
  <c r="AE115" i="52"/>
  <c r="P115" i="52"/>
  <c r="AJ123" i="52"/>
  <c r="R123" i="52"/>
  <c r="N123" i="52"/>
  <c r="T123" i="52"/>
  <c r="L115" i="52"/>
  <c r="R115" i="52"/>
  <c r="AJ115" i="52"/>
  <c r="W115" i="52"/>
  <c r="X115" i="52"/>
  <c r="F123" i="52"/>
  <c r="H123" i="52"/>
  <c r="AH123" i="52"/>
  <c r="AD123" i="52"/>
  <c r="K123" i="52"/>
  <c r="I123" i="52"/>
  <c r="AC115" i="52"/>
  <c r="S115" i="52"/>
  <c r="M115" i="52"/>
  <c r="Q115" i="52"/>
  <c r="S123" i="52"/>
  <c r="AC123" i="52"/>
  <c r="Y123" i="52"/>
  <c r="W123" i="52"/>
  <c r="AD120" i="52"/>
  <c r="O115" i="52"/>
  <c r="B86" i="39"/>
  <c r="N122" i="52"/>
  <c r="AG141" i="52"/>
  <c r="Y141" i="52"/>
  <c r="S122" i="52"/>
  <c r="L120" i="52"/>
  <c r="AA141" i="52"/>
  <c r="V122" i="52"/>
  <c r="T120" i="52"/>
  <c r="O120" i="52"/>
  <c r="U114" i="52"/>
  <c r="AI111" i="52"/>
  <c r="J123" i="52"/>
  <c r="I115" i="52"/>
  <c r="AB122" i="52"/>
  <c r="G141" i="52"/>
  <c r="Q120" i="52"/>
  <c r="AI120" i="52"/>
  <c r="T141" i="52"/>
  <c r="AC122" i="52"/>
  <c r="R122" i="52"/>
  <c r="P120" i="52"/>
  <c r="AE120" i="52"/>
  <c r="B83" i="39"/>
  <c r="AA122" i="52"/>
  <c r="K120" i="52"/>
  <c r="Y120" i="52"/>
  <c r="I120" i="52"/>
  <c r="K122" i="52"/>
  <c r="M120" i="52"/>
  <c r="G122" i="52"/>
  <c r="R141" i="52"/>
  <c r="P141" i="52"/>
  <c r="J141" i="52"/>
  <c r="O141" i="52"/>
  <c r="U141" i="52"/>
  <c r="AJ122" i="52"/>
  <c r="W122" i="52"/>
  <c r="L122" i="52"/>
  <c r="M141" i="52"/>
  <c r="AB120" i="52"/>
  <c r="N120" i="52"/>
  <c r="AD141" i="52"/>
  <c r="S141" i="52"/>
  <c r="AE141" i="52"/>
  <c r="AI141" i="52"/>
  <c r="AE122" i="52"/>
  <c r="T122" i="52"/>
  <c r="Q112" i="52"/>
  <c r="W120" i="52"/>
  <c r="AJ120" i="52"/>
  <c r="F141" i="52"/>
  <c r="K141" i="52"/>
  <c r="Q141" i="52"/>
  <c r="O122" i="52"/>
  <c r="AF113" i="52"/>
  <c r="X112" i="52"/>
  <c r="U122" i="52"/>
  <c r="P122" i="52"/>
  <c r="Y122" i="52"/>
  <c r="AC113" i="52"/>
  <c r="W127" i="52"/>
  <c r="X120" i="52"/>
  <c r="Z120" i="52"/>
  <c r="S120" i="52"/>
  <c r="H141" i="52"/>
  <c r="AF141" i="52"/>
  <c r="G120" i="52"/>
  <c r="AC112" i="52"/>
  <c r="AB112" i="52"/>
  <c r="Q122" i="52"/>
  <c r="X122" i="52"/>
  <c r="AD122" i="52"/>
  <c r="Z122" i="52"/>
  <c r="T121" i="52"/>
  <c r="J120" i="52"/>
  <c r="Y112" i="52"/>
  <c r="I141" i="52"/>
  <c r="F120" i="52"/>
  <c r="AF120" i="52"/>
  <c r="R120" i="52"/>
  <c r="V120" i="52"/>
  <c r="Z141" i="52"/>
  <c r="N141" i="52"/>
  <c r="AB141" i="52"/>
  <c r="AH141" i="52"/>
  <c r="W141" i="52"/>
  <c r="H122" i="52"/>
  <c r="M122" i="52"/>
  <c r="X138" i="52"/>
  <c r="AG113" i="52"/>
  <c r="R112" i="52"/>
  <c r="N112" i="52"/>
  <c r="H125" i="52"/>
  <c r="AI122" i="52"/>
  <c r="AH122" i="52"/>
  <c r="F122" i="52"/>
  <c r="AF122" i="52"/>
  <c r="AG121" i="52"/>
  <c r="I112" i="52"/>
  <c r="F112" i="52"/>
  <c r="AF112" i="52"/>
  <c r="U120" i="52"/>
  <c r="AG120" i="52"/>
  <c r="AA120" i="52"/>
  <c r="AC120" i="52"/>
  <c r="V141" i="52"/>
  <c r="AJ141" i="52"/>
  <c r="X141" i="52"/>
  <c r="AC141" i="52"/>
  <c r="I122" i="52"/>
  <c r="R114" i="52"/>
  <c r="O113" i="52"/>
  <c r="P114" i="52"/>
  <c r="Y111" i="52"/>
  <c r="T111" i="52"/>
  <c r="AG111" i="52"/>
  <c r="AC121" i="52"/>
  <c r="AJ121" i="52"/>
  <c r="X121" i="52"/>
  <c r="Y121" i="52"/>
  <c r="AF125" i="52"/>
  <c r="AI121" i="52"/>
  <c r="AD116" i="52"/>
  <c r="Z121" i="52"/>
  <c r="V121" i="52"/>
  <c r="AA121" i="52"/>
  <c r="W113" i="52"/>
  <c r="Q113" i="52"/>
  <c r="AJ130" i="52"/>
  <c r="AI125" i="52"/>
  <c r="N121" i="52"/>
  <c r="U121" i="52"/>
  <c r="AE121" i="52"/>
  <c r="L113" i="52"/>
  <c r="AA113" i="52"/>
  <c r="AE127" i="52"/>
  <c r="AJ125" i="52"/>
  <c r="W121" i="52"/>
  <c r="P121" i="52"/>
  <c r="AB121" i="52"/>
  <c r="S121" i="52"/>
  <c r="AH113" i="52"/>
  <c r="F121" i="52"/>
  <c r="AD121" i="52"/>
  <c r="R121" i="52"/>
  <c r="F113" i="52"/>
  <c r="Y113" i="52"/>
  <c r="AI135" i="52"/>
  <c r="K137" i="52"/>
  <c r="AA116" i="52"/>
  <c r="Y135" i="52"/>
  <c r="S127" i="52"/>
  <c r="P125" i="52"/>
  <c r="AG125" i="52"/>
  <c r="AB135" i="52"/>
  <c r="V130" i="52"/>
  <c r="W125" i="52"/>
  <c r="L125" i="52"/>
  <c r="H127" i="52"/>
  <c r="AF121" i="52"/>
  <c r="Q121" i="52"/>
  <c r="M121" i="52"/>
  <c r="AH121" i="52"/>
  <c r="J121" i="52"/>
  <c r="S113" i="52"/>
  <c r="U113" i="52"/>
  <c r="V136" i="52"/>
  <c r="J127" i="52"/>
  <c r="X125" i="52"/>
  <c r="K127" i="52"/>
  <c r="U116" i="52"/>
  <c r="AI116" i="52"/>
  <c r="F125" i="52"/>
  <c r="AD125" i="52"/>
  <c r="AB125" i="52"/>
  <c r="Z125" i="52"/>
  <c r="K125" i="52"/>
  <c r="X116" i="52"/>
  <c r="Q116" i="52"/>
  <c r="AA125" i="52"/>
  <c r="V125" i="52"/>
  <c r="S125" i="52"/>
  <c r="T125" i="52"/>
  <c r="Z116" i="52"/>
  <c r="AE125" i="52"/>
  <c r="Q125" i="52"/>
  <c r="AC125" i="52"/>
  <c r="Y125" i="52"/>
  <c r="O125" i="52"/>
  <c r="AG116" i="52"/>
  <c r="N125" i="52"/>
  <c r="AH125" i="52"/>
  <c r="U125" i="52"/>
  <c r="R125" i="52"/>
  <c r="P113" i="52"/>
  <c r="AJ113" i="52"/>
  <c r="AI113" i="52"/>
  <c r="N113" i="52"/>
  <c r="AA112" i="52"/>
  <c r="AE112" i="52"/>
  <c r="Z112" i="52"/>
  <c r="AI137" i="52"/>
  <c r="AD127" i="52"/>
  <c r="AF127" i="52"/>
  <c r="O136" i="52"/>
  <c r="V135" i="52"/>
  <c r="I127" i="52"/>
  <c r="V113" i="52"/>
  <c r="AD113" i="52"/>
  <c r="Z113" i="52"/>
  <c r="AB113" i="52"/>
  <c r="U112" i="52"/>
  <c r="W112" i="52"/>
  <c r="M112" i="52"/>
  <c r="V137" i="52"/>
  <c r="AH127" i="52"/>
  <c r="S135" i="52"/>
  <c r="H135" i="52"/>
  <c r="M113" i="52"/>
  <c r="X113" i="52"/>
  <c r="AE113" i="52"/>
  <c r="R113" i="52"/>
  <c r="T113" i="52"/>
  <c r="AA134" i="52"/>
  <c r="Y131" i="52"/>
  <c r="AH112" i="52"/>
  <c r="J112" i="52"/>
  <c r="Y129" i="52"/>
  <c r="Y127" i="52"/>
  <c r="M135" i="52"/>
  <c r="F135" i="52"/>
  <c r="T135" i="52"/>
  <c r="AB116" i="52"/>
  <c r="AE116" i="52"/>
  <c r="R116" i="52"/>
  <c r="V116" i="52"/>
  <c r="T116" i="52"/>
  <c r="AJ116" i="52"/>
  <c r="F116" i="52"/>
  <c r="N116" i="52"/>
  <c r="AF116" i="52"/>
  <c r="S116" i="52"/>
  <c r="Y116" i="52"/>
  <c r="AC116" i="52"/>
  <c r="L121" i="52"/>
  <c r="L116" i="52"/>
  <c r="AH116" i="52"/>
  <c r="P116" i="52"/>
  <c r="W116" i="52"/>
  <c r="AC134" i="52"/>
  <c r="X129" i="52"/>
  <c r="O132" i="52"/>
  <c r="AE134" i="52"/>
  <c r="AB129" i="52"/>
  <c r="P134" i="52"/>
  <c r="AJ131" i="52"/>
  <c r="W129" i="52"/>
  <c r="K134" i="52"/>
  <c r="AI131" i="52"/>
  <c r="AG139" i="52"/>
  <c r="W131" i="52"/>
  <c r="B97" i="39"/>
  <c r="L136" i="52"/>
  <c r="AG130" i="52"/>
  <c r="AI136" i="52"/>
  <c r="R127" i="52"/>
  <c r="AC127" i="52"/>
  <c r="P127" i="52"/>
  <c r="U127" i="52"/>
  <c r="AJ135" i="52"/>
  <c r="AE135" i="52"/>
  <c r="AH135" i="52"/>
  <c r="U135" i="52"/>
  <c r="O127" i="52"/>
  <c r="K113" i="52"/>
  <c r="G127" i="52"/>
  <c r="O112" i="52"/>
  <c r="B90" i="39"/>
  <c r="G135" i="52"/>
  <c r="AI112" i="52"/>
  <c r="AG112" i="52"/>
  <c r="AJ112" i="52"/>
  <c r="T112" i="52"/>
  <c r="J130" i="52"/>
  <c r="R137" i="52"/>
  <c r="AA127" i="52"/>
  <c r="Q127" i="52"/>
  <c r="N127" i="52"/>
  <c r="Z127" i="52"/>
  <c r="J135" i="52"/>
  <c r="AF135" i="52"/>
  <c r="R135" i="52"/>
  <c r="AC135" i="52"/>
  <c r="N135" i="52"/>
  <c r="K135" i="52"/>
  <c r="K112" i="52"/>
  <c r="J113" i="52"/>
  <c r="B76" i="39"/>
  <c r="F136" i="52"/>
  <c r="V119" i="52"/>
  <c r="V127" i="52"/>
  <c r="AG127" i="52"/>
  <c r="AI127" i="52"/>
  <c r="T127" i="52"/>
  <c r="I135" i="52"/>
  <c r="AD135" i="52"/>
  <c r="Z135" i="52"/>
  <c r="W135" i="52"/>
  <c r="AG135" i="52"/>
  <c r="H112" i="52"/>
  <c r="I113" i="52"/>
  <c r="B75" i="39"/>
  <c r="L135" i="52"/>
  <c r="AD112" i="52"/>
  <c r="S112" i="52"/>
  <c r="P112" i="52"/>
  <c r="V112" i="52"/>
  <c r="Z136" i="52"/>
  <c r="AF137" i="52"/>
  <c r="AJ127" i="52"/>
  <c r="F127" i="52"/>
  <c r="X127" i="52"/>
  <c r="AB127" i="52"/>
  <c r="M127" i="52"/>
  <c r="O135" i="52"/>
  <c r="Q135" i="52"/>
  <c r="X135" i="52"/>
  <c r="P135" i="52"/>
  <c r="AA135" i="52"/>
  <c r="G112" i="52"/>
  <c r="AJ114" i="52"/>
  <c r="U111" i="52"/>
  <c r="AJ117" i="52"/>
  <c r="H111" i="52"/>
  <c r="B104" i="39"/>
  <c r="L133" i="52"/>
  <c r="R111" i="52"/>
  <c r="U138" i="52"/>
  <c r="Y137" i="52"/>
  <c r="AJ137" i="52"/>
  <c r="P137" i="52"/>
  <c r="Z137" i="52"/>
  <c r="L119" i="52"/>
  <c r="I128" i="52"/>
  <c r="J138" i="52"/>
  <c r="J128" i="52"/>
  <c r="B100" i="39"/>
  <c r="S137" i="52"/>
  <c r="L137" i="52"/>
  <c r="X137" i="52"/>
  <c r="AG137" i="52"/>
  <c r="T137" i="52"/>
  <c r="H128" i="52"/>
  <c r="AH119" i="52"/>
  <c r="I137" i="52"/>
  <c r="AD137" i="52"/>
  <c r="F137" i="52"/>
  <c r="H137" i="52"/>
  <c r="AA137" i="52"/>
  <c r="M137" i="52"/>
  <c r="V128" i="52"/>
  <c r="AF119" i="52"/>
  <c r="AE138" i="52"/>
  <c r="J137" i="52"/>
  <c r="AC137" i="52"/>
  <c r="W137" i="52"/>
  <c r="AH137" i="52"/>
  <c r="U137" i="52"/>
  <c r="Q128" i="52"/>
  <c r="G137" i="52"/>
  <c r="B91" i="39"/>
  <c r="Y138" i="52"/>
  <c r="O137" i="52"/>
  <c r="Q137" i="52"/>
  <c r="AE137" i="52"/>
  <c r="AB137" i="52"/>
  <c r="Y128" i="52"/>
  <c r="I138" i="52"/>
  <c r="AB126" i="52"/>
  <c r="F124" i="52"/>
  <c r="AE133" i="52"/>
  <c r="J111" i="52"/>
  <c r="I124" i="52"/>
  <c r="H113" i="52"/>
  <c r="F114" i="52"/>
  <c r="B99" i="39"/>
  <c r="V124" i="52"/>
  <c r="H134" i="52"/>
  <c r="AI134" i="52"/>
  <c r="X134" i="52"/>
  <c r="AF134" i="52"/>
  <c r="U131" i="52"/>
  <c r="S131" i="52"/>
  <c r="N131" i="52"/>
  <c r="R131" i="52"/>
  <c r="AH129" i="52"/>
  <c r="AG129" i="52"/>
  <c r="S129" i="52"/>
  <c r="P129" i="52"/>
  <c r="U139" i="52"/>
  <c r="AG132" i="52"/>
  <c r="J134" i="52"/>
  <c r="G134" i="52"/>
  <c r="I134" i="52"/>
  <c r="AJ134" i="52"/>
  <c r="U134" i="52"/>
  <c r="Q134" i="52"/>
  <c r="Z134" i="52"/>
  <c r="O129" i="52"/>
  <c r="AH131" i="52"/>
  <c r="AG131" i="52"/>
  <c r="AD131" i="52"/>
  <c r="Z131" i="52"/>
  <c r="Q129" i="52"/>
  <c r="N129" i="52"/>
  <c r="AI129" i="52"/>
  <c r="AF129" i="52"/>
  <c r="I129" i="52"/>
  <c r="AB132" i="52"/>
  <c r="AF132" i="52"/>
  <c r="M134" i="52"/>
  <c r="B92" i="39"/>
  <c r="V134" i="52"/>
  <c r="AG134" i="52"/>
  <c r="F134" i="52"/>
  <c r="T134" i="52"/>
  <c r="Q131" i="52"/>
  <c r="X131" i="52"/>
  <c r="V131" i="52"/>
  <c r="T131" i="52"/>
  <c r="AE129" i="52"/>
  <c r="AC129" i="52"/>
  <c r="AA129" i="52"/>
  <c r="Z129" i="52"/>
  <c r="L129" i="52"/>
  <c r="AA132" i="52"/>
  <c r="N134" i="52"/>
  <c r="AH134" i="52"/>
  <c r="Y134" i="52"/>
  <c r="AD134" i="52"/>
  <c r="L134" i="52"/>
  <c r="AA131" i="52"/>
  <c r="AB131" i="52"/>
  <c r="P131" i="52"/>
  <c r="H131" i="52"/>
  <c r="L131" i="52"/>
  <c r="H129" i="52"/>
  <c r="U129" i="52"/>
  <c r="R129" i="52"/>
  <c r="T129" i="52"/>
  <c r="Z132" i="52"/>
  <c r="O134" i="52"/>
  <c r="AB134" i="52"/>
  <c r="S134" i="52"/>
  <c r="R134" i="52"/>
  <c r="G129" i="52"/>
  <c r="AC131" i="52"/>
  <c r="F131" i="52"/>
  <c r="AE131" i="52"/>
  <c r="AF131" i="52"/>
  <c r="V129" i="52"/>
  <c r="F129" i="52"/>
  <c r="AJ129" i="52"/>
  <c r="AD129" i="52"/>
  <c r="K129" i="52"/>
  <c r="P118" i="52"/>
  <c r="M132" i="52"/>
  <c r="W132" i="52"/>
  <c r="J132" i="52"/>
  <c r="AH126" i="52"/>
  <c r="T132" i="52"/>
  <c r="AE132" i="52"/>
  <c r="V132" i="52"/>
  <c r="F132" i="52"/>
  <c r="G131" i="52"/>
  <c r="K132" i="52"/>
  <c r="AI132" i="52"/>
  <c r="R132" i="52"/>
  <c r="X132" i="52"/>
  <c r="AF133" i="52"/>
  <c r="M131" i="52"/>
  <c r="Z139" i="52"/>
  <c r="P132" i="52"/>
  <c r="G132" i="52"/>
  <c r="L132" i="52"/>
  <c r="N132" i="52"/>
  <c r="K126" i="52"/>
  <c r="K131" i="52"/>
  <c r="R118" i="52"/>
  <c r="J129" i="52"/>
  <c r="AJ132" i="52"/>
  <c r="Q139" i="52"/>
  <c r="AH132" i="52"/>
  <c r="O126" i="52"/>
  <c r="AD132" i="52"/>
  <c r="Q132" i="52"/>
  <c r="AE118" i="52"/>
  <c r="I131" i="52"/>
  <c r="AG118" i="52"/>
  <c r="H132" i="52"/>
  <c r="I132" i="52"/>
  <c r="AC132" i="52"/>
  <c r="B94" i="39"/>
  <c r="V117" i="52"/>
  <c r="U132" i="52"/>
  <c r="B102" i="39"/>
  <c r="J131" i="52"/>
  <c r="B74" i="39"/>
  <c r="Y114" i="52"/>
  <c r="P111" i="52"/>
  <c r="AC111" i="52"/>
  <c r="V139" i="52"/>
  <c r="AG126" i="52"/>
  <c r="AI126" i="52"/>
  <c r="I125" i="52"/>
  <c r="AA126" i="52"/>
  <c r="M125" i="52"/>
  <c r="AE126" i="52"/>
  <c r="G126" i="52"/>
  <c r="V133" i="52"/>
  <c r="AA133" i="52"/>
  <c r="B84" i="39"/>
  <c r="J126" i="52"/>
  <c r="AF126" i="52"/>
  <c r="I126" i="52"/>
  <c r="N126" i="52"/>
  <c r="Q126" i="52"/>
  <c r="AD126" i="52"/>
  <c r="U126" i="52"/>
  <c r="AH133" i="52"/>
  <c r="R133" i="52"/>
  <c r="S133" i="52"/>
  <c r="I116" i="52"/>
  <c r="H126" i="52"/>
  <c r="R126" i="52"/>
  <c r="S126" i="52"/>
  <c r="Y126" i="52"/>
  <c r="G116" i="52"/>
  <c r="X126" i="52"/>
  <c r="J125" i="52"/>
  <c r="W133" i="52"/>
  <c r="K121" i="52"/>
  <c r="AB133" i="52"/>
  <c r="I133" i="52"/>
  <c r="AD133" i="52"/>
  <c r="B88" i="39"/>
  <c r="M126" i="52"/>
  <c r="P126" i="52"/>
  <c r="L126" i="52"/>
  <c r="F126" i="52"/>
  <c r="G121" i="52"/>
  <c r="I121" i="52"/>
  <c r="AC126" i="52"/>
  <c r="AJ126" i="52"/>
  <c r="V126" i="52"/>
  <c r="H116" i="52"/>
  <c r="W126" i="52"/>
  <c r="T126" i="52"/>
  <c r="AC133" i="52"/>
  <c r="Z133" i="52"/>
  <c r="G133" i="52"/>
  <c r="O121" i="52"/>
  <c r="AI133" i="52"/>
  <c r="B89" i="39"/>
  <c r="B79" i="39"/>
  <c r="AC138" i="52"/>
  <c r="AC128" i="52"/>
  <c r="AJ128" i="52"/>
  <c r="F128" i="52"/>
  <c r="R128" i="52"/>
  <c r="U119" i="52"/>
  <c r="AB119" i="52"/>
  <c r="Z119" i="52"/>
  <c r="X119" i="52"/>
  <c r="M128" i="52"/>
  <c r="K119" i="52"/>
  <c r="M119" i="52"/>
  <c r="L138" i="52"/>
  <c r="N124" i="52"/>
  <c r="H119" i="52"/>
  <c r="O119" i="52"/>
  <c r="N138" i="52"/>
  <c r="W138" i="52"/>
  <c r="AF138" i="52"/>
  <c r="N128" i="52"/>
  <c r="AB128" i="52"/>
  <c r="AH128" i="52"/>
  <c r="AF128" i="52"/>
  <c r="F119" i="52"/>
  <c r="AC119" i="52"/>
  <c r="P119" i="52"/>
  <c r="Q119" i="52"/>
  <c r="C142" i="52"/>
  <c r="Z124" i="52"/>
  <c r="G138" i="52"/>
  <c r="AF124" i="52"/>
  <c r="J119" i="52"/>
  <c r="P124" i="52"/>
  <c r="O138" i="52"/>
  <c r="AB138" i="52"/>
  <c r="S138" i="52"/>
  <c r="AD138" i="52"/>
  <c r="P138" i="52"/>
  <c r="Z138" i="52"/>
  <c r="W128" i="52"/>
  <c r="S128" i="52"/>
  <c r="X128" i="52"/>
  <c r="Z128" i="52"/>
  <c r="AJ119" i="52"/>
  <c r="AI119" i="52"/>
  <c r="AG119" i="52"/>
  <c r="AE119" i="52"/>
  <c r="Q124" i="52"/>
  <c r="I119" i="52"/>
  <c r="AH124" i="52"/>
  <c r="Y124" i="52"/>
  <c r="AG124" i="52"/>
  <c r="H138" i="52"/>
  <c r="V138" i="52"/>
  <c r="R138" i="52"/>
  <c r="F138" i="52"/>
  <c r="AG138" i="52"/>
  <c r="T138" i="52"/>
  <c r="U128" i="52"/>
  <c r="AI128" i="52"/>
  <c r="P128" i="52"/>
  <c r="T128" i="52"/>
  <c r="T119" i="52"/>
  <c r="AA119" i="52"/>
  <c r="W119" i="52"/>
  <c r="Y119" i="52"/>
  <c r="S124" i="52"/>
  <c r="AE124" i="52"/>
  <c r="M124" i="52"/>
  <c r="Q138" i="52"/>
  <c r="AH138" i="52"/>
  <c r="AJ138" i="52"/>
  <c r="AI138" i="52"/>
  <c r="AA138" i="52"/>
  <c r="K138" i="52"/>
  <c r="AD128" i="52"/>
  <c r="AE128" i="52"/>
  <c r="AA128" i="52"/>
  <c r="AG128" i="52"/>
  <c r="L128" i="52"/>
  <c r="AD119" i="52"/>
  <c r="R119" i="52"/>
  <c r="N119" i="52"/>
  <c r="S119" i="52"/>
  <c r="K128" i="52"/>
  <c r="O128" i="52"/>
  <c r="X124" i="52"/>
  <c r="AI124" i="52"/>
  <c r="J124" i="52"/>
  <c r="R124" i="52"/>
  <c r="AA124" i="52"/>
  <c r="J122" i="52"/>
  <c r="M138" i="52"/>
  <c r="Y133" i="52"/>
  <c r="J116" i="52"/>
  <c r="G119" i="52"/>
  <c r="AI139" i="52"/>
  <c r="Y132" i="52"/>
  <c r="B95" i="39"/>
  <c r="J139" i="52"/>
  <c r="T118" i="52"/>
  <c r="L139" i="52"/>
  <c r="AB124" i="52"/>
  <c r="AC124" i="52"/>
  <c r="T139" i="52"/>
  <c r="T114" i="52"/>
  <c r="O111" i="52"/>
  <c r="AF139" i="52"/>
  <c r="T133" i="52"/>
  <c r="AD139" i="52"/>
  <c r="H139" i="52"/>
  <c r="AH114" i="52"/>
  <c r="B81" i="39"/>
  <c r="B96" i="39"/>
  <c r="AJ139" i="52"/>
  <c r="AB111" i="52"/>
  <c r="Q133" i="52"/>
  <c r="M116" i="52"/>
  <c r="AA111" i="52"/>
  <c r="P130" i="52"/>
  <c r="Y130" i="52"/>
  <c r="AC130" i="52"/>
  <c r="AF130" i="52"/>
  <c r="S136" i="52"/>
  <c r="M136" i="52"/>
  <c r="AC136" i="52"/>
  <c r="P136" i="52"/>
  <c r="W117" i="52"/>
  <c r="O117" i="52"/>
  <c r="AA117" i="52"/>
  <c r="X117" i="52"/>
  <c r="Q117" i="52"/>
  <c r="L117" i="52"/>
  <c r="I117" i="52"/>
  <c r="K136" i="52"/>
  <c r="H130" i="52"/>
  <c r="F130" i="52"/>
  <c r="AE130" i="52"/>
  <c r="S130" i="52"/>
  <c r="Z130" i="52"/>
  <c r="AD136" i="52"/>
  <c r="X136" i="52"/>
  <c r="W136" i="52"/>
  <c r="AG136" i="52"/>
  <c r="N117" i="52"/>
  <c r="L130" i="52"/>
  <c r="AC117" i="52"/>
  <c r="G117" i="52"/>
  <c r="AB117" i="52"/>
  <c r="I136" i="52"/>
  <c r="K130" i="52"/>
  <c r="X130" i="52"/>
  <c r="W130" i="52"/>
  <c r="AI130" i="52"/>
  <c r="T130" i="52"/>
  <c r="R136" i="52"/>
  <c r="T136" i="52"/>
  <c r="Q136" i="52"/>
  <c r="AA136" i="52"/>
  <c r="G130" i="52"/>
  <c r="J117" i="52"/>
  <c r="B93" i="39"/>
  <c r="I130" i="52"/>
  <c r="R130" i="52"/>
  <c r="Q130" i="52"/>
  <c r="N130" i="52"/>
  <c r="AB130" i="52"/>
  <c r="M130" i="52"/>
  <c r="AF136" i="52"/>
  <c r="Y136" i="52"/>
  <c r="AH136" i="52"/>
  <c r="U136" i="52"/>
  <c r="S117" i="52"/>
  <c r="K117" i="52"/>
  <c r="AF117" i="52"/>
  <c r="G136" i="52"/>
  <c r="O130" i="52"/>
  <c r="AH130" i="52"/>
  <c r="AA130" i="52"/>
  <c r="AD130" i="52"/>
  <c r="AJ136" i="52"/>
  <c r="AE136" i="52"/>
  <c r="J136" i="52"/>
  <c r="AB136" i="52"/>
  <c r="N136" i="52"/>
  <c r="H117" i="52"/>
  <c r="M111" i="52"/>
  <c r="U124" i="52"/>
  <c r="H133" i="52"/>
  <c r="N133" i="52"/>
  <c r="O116" i="52"/>
  <c r="AD111" i="52"/>
  <c r="Y139" i="52"/>
  <c r="AB139" i="52"/>
  <c r="P139" i="52"/>
  <c r="AI117" i="52"/>
  <c r="K133" i="52"/>
  <c r="B77" i="39"/>
  <c r="L111" i="52"/>
  <c r="M133" i="52"/>
  <c r="K111" i="52"/>
  <c r="O133" i="52"/>
  <c r="F133" i="52"/>
  <c r="B87" i="39"/>
  <c r="S111" i="52"/>
  <c r="W124" i="52"/>
  <c r="T124" i="52"/>
  <c r="X133" i="52"/>
  <c r="B80" i="39"/>
  <c r="J133" i="52"/>
  <c r="AJ111" i="52"/>
  <c r="R139" i="52"/>
  <c r="AE139" i="52"/>
  <c r="V111" i="52"/>
  <c r="Z111" i="52"/>
  <c r="Q111" i="52"/>
  <c r="U133" i="52"/>
  <c r="AG133" i="52"/>
  <c r="AD124" i="52"/>
  <c r="P133" i="52"/>
  <c r="X111" i="52"/>
  <c r="I111" i="52"/>
  <c r="Z117" i="52"/>
  <c r="F111" i="52"/>
  <c r="G111" i="52"/>
  <c r="AE111" i="52"/>
  <c r="M118" i="52"/>
  <c r="W111" i="52"/>
  <c r="AF111" i="52"/>
  <c r="P117" i="52"/>
  <c r="U117" i="52"/>
  <c r="AH139" i="52"/>
  <c r="N139" i="52"/>
  <c r="N114" i="52"/>
  <c r="AE117" i="52"/>
  <c r="F139" i="52"/>
  <c r="S139" i="52"/>
  <c r="G139" i="52"/>
  <c r="AA139" i="52"/>
  <c r="R117" i="52"/>
  <c r="Y117" i="52"/>
  <c r="I139" i="52"/>
  <c r="AD117" i="52"/>
  <c r="X139" i="52"/>
  <c r="AC139" i="52"/>
  <c r="AG117" i="52"/>
  <c r="W139" i="52"/>
  <c r="AH117" i="52"/>
  <c r="M139" i="52"/>
  <c r="K139" i="52"/>
  <c r="AI118" i="52"/>
  <c r="AD118" i="52"/>
  <c r="AJ118" i="52"/>
  <c r="H118" i="52"/>
  <c r="F118" i="52"/>
  <c r="Z118" i="52"/>
  <c r="J118" i="52"/>
  <c r="H124" i="52"/>
  <c r="G124" i="52"/>
  <c r="AA118" i="52"/>
  <c r="N118" i="52"/>
  <c r="W118" i="52"/>
  <c r="K124" i="52"/>
  <c r="O124" i="52"/>
  <c r="L124" i="52"/>
  <c r="Q118" i="52"/>
  <c r="H114" i="52"/>
  <c r="X114" i="52"/>
  <c r="AC118" i="52"/>
  <c r="AB118" i="52"/>
  <c r="G118" i="52"/>
  <c r="T117" i="52"/>
  <c r="M117" i="52"/>
  <c r="AF114" i="52"/>
  <c r="AG114" i="52"/>
  <c r="AA114" i="52"/>
  <c r="AC114" i="52"/>
  <c r="Q114" i="52"/>
  <c r="W114" i="52"/>
  <c r="M114" i="52"/>
  <c r="AD114" i="52"/>
  <c r="Y118" i="52"/>
  <c r="X118" i="52"/>
  <c r="S118" i="52"/>
  <c r="K118" i="52"/>
  <c r="U118" i="52"/>
  <c r="V118" i="52"/>
  <c r="L118" i="52"/>
  <c r="AH118" i="52"/>
  <c r="AF118" i="52"/>
  <c r="O118" i="52"/>
  <c r="AE114" i="52"/>
  <c r="AI114" i="52"/>
  <c r="S114" i="52"/>
  <c r="L114" i="52"/>
  <c r="J114" i="52"/>
  <c r="I114" i="52"/>
  <c r="G114" i="52"/>
  <c r="V114" i="52"/>
  <c r="K114" i="52"/>
  <c r="Z114" i="52"/>
  <c r="O114" i="52"/>
  <c r="A136" i="52"/>
  <c r="N122" i="43"/>
  <c r="O33" i="11"/>
  <c r="N33" i="11"/>
  <c r="P33" i="11" s="1"/>
  <c r="O32" i="11"/>
  <c r="N32" i="11"/>
  <c r="O31" i="11"/>
  <c r="N31" i="11"/>
  <c r="O30" i="11"/>
  <c r="N30" i="11"/>
  <c r="O29" i="11"/>
  <c r="N29" i="11"/>
  <c r="O28" i="11"/>
  <c r="N28" i="11"/>
  <c r="P28" i="11" s="1"/>
  <c r="O27" i="11"/>
  <c r="N27" i="11"/>
  <c r="O26" i="11"/>
  <c r="N26" i="11"/>
  <c r="O25" i="11"/>
  <c r="N25" i="11"/>
  <c r="P25" i="11" s="1"/>
  <c r="O24" i="11"/>
  <c r="N24" i="11"/>
  <c r="P24" i="11" s="1"/>
  <c r="O23" i="11"/>
  <c r="N23" i="11"/>
  <c r="O22" i="11"/>
  <c r="N22" i="11"/>
  <c r="O21" i="11"/>
  <c r="N21" i="11"/>
  <c r="P21" i="11" s="1"/>
  <c r="O20" i="11"/>
  <c r="N20" i="11"/>
  <c r="O19" i="11"/>
  <c r="N19" i="11"/>
  <c r="P19" i="11" s="1"/>
  <c r="O18" i="11"/>
  <c r="N18" i="11"/>
  <c r="O17" i="11"/>
  <c r="N17" i="11"/>
  <c r="O16" i="11"/>
  <c r="N16" i="11"/>
  <c r="O15" i="11"/>
  <c r="N15" i="11"/>
  <c r="O14" i="11"/>
  <c r="N14" i="11"/>
  <c r="O13" i="11"/>
  <c r="N13" i="11"/>
  <c r="P13" i="11" s="1"/>
  <c r="O12" i="11"/>
  <c r="N12" i="11"/>
  <c r="O11" i="11"/>
  <c r="N11" i="11"/>
  <c r="O10" i="11"/>
  <c r="N10" i="11"/>
  <c r="O9" i="11"/>
  <c r="N9" i="11"/>
  <c r="O8" i="11"/>
  <c r="N8" i="11"/>
  <c r="O7" i="11"/>
  <c r="N7" i="11"/>
  <c r="P7" i="11" s="1"/>
  <c r="O6" i="11"/>
  <c r="N6" i="11"/>
  <c r="O5" i="11"/>
  <c r="N5" i="11"/>
  <c r="O4" i="11"/>
  <c r="N4" i="11"/>
  <c r="P4" i="11" s="1"/>
  <c r="O3" i="11"/>
  <c r="N3" i="11"/>
  <c r="V110" i="52" l="1"/>
  <c r="AI110" i="52"/>
  <c r="AB110" i="52"/>
  <c r="I110" i="52"/>
  <c r="AG110" i="52"/>
  <c r="N110" i="52"/>
  <c r="AA110" i="52"/>
  <c r="T110" i="52"/>
  <c r="X110" i="52"/>
  <c r="AJ110" i="52"/>
  <c r="Q110" i="52"/>
  <c r="Y110" i="52"/>
  <c r="H110" i="52"/>
  <c r="AH110" i="52"/>
  <c r="AC110" i="52"/>
  <c r="P110" i="52"/>
  <c r="R110" i="52"/>
  <c r="Z110" i="52"/>
  <c r="F110" i="52"/>
  <c r="W110" i="52"/>
  <c r="K110" i="52"/>
  <c r="AE110" i="52"/>
  <c r="M110" i="52"/>
  <c r="AD110" i="52"/>
  <c r="G110" i="52"/>
  <c r="U110" i="52"/>
  <c r="S110" i="52"/>
  <c r="O110" i="52"/>
  <c r="J110" i="52"/>
  <c r="AF110" i="52"/>
  <c r="L110" i="52"/>
  <c r="P5" i="11"/>
  <c r="P8" i="11"/>
  <c r="P17" i="11"/>
  <c r="P26" i="11"/>
  <c r="P29" i="11"/>
  <c r="P27"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P5" i="37" s="1"/>
  <c r="B30" i="39" s="1"/>
  <c r="R7" i="37"/>
  <c r="R8" i="37"/>
  <c r="R9" i="37"/>
  <c r="R10" i="37"/>
  <c r="R11" i="37"/>
  <c r="P8" i="37" s="1"/>
  <c r="B32" i="39" s="1"/>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F87" i="52" l="1"/>
  <c r="F90" i="52"/>
  <c r="F89" i="52"/>
  <c r="F86" i="52"/>
  <c r="F82" i="52"/>
  <c r="F93" i="52"/>
  <c r="F97" i="52"/>
  <c r="F96" i="52"/>
  <c r="F91" i="52"/>
  <c r="F88" i="52"/>
  <c r="F83" i="52"/>
  <c r="F80" i="52"/>
  <c r="F98" i="52"/>
  <c r="F100" i="52"/>
  <c r="F99" i="52"/>
  <c r="F94" i="52"/>
  <c r="F92" i="52"/>
  <c r="F84" i="52"/>
  <c r="F74" i="52"/>
  <c r="F73" i="52"/>
  <c r="F101" i="52"/>
  <c r="F72" i="52"/>
  <c r="F95" i="52"/>
  <c r="F85" i="52"/>
  <c r="F76" i="52"/>
  <c r="F79" i="52"/>
  <c r="F78" i="52"/>
  <c r="F77" i="52"/>
  <c r="F75" i="52"/>
  <c r="F102" i="52"/>
  <c r="F81" i="52"/>
  <c r="D76" i="52"/>
  <c r="D82" i="52"/>
  <c r="D88" i="52"/>
  <c r="D94" i="52"/>
  <c r="D100" i="52"/>
  <c r="D77" i="52"/>
  <c r="D83" i="52"/>
  <c r="D89" i="52"/>
  <c r="D95" i="52"/>
  <c r="D101" i="52"/>
  <c r="D81" i="52"/>
  <c r="D99" i="52"/>
  <c r="D72" i="52"/>
  <c r="D78" i="52"/>
  <c r="D84" i="52"/>
  <c r="D90" i="52"/>
  <c r="D96" i="52"/>
  <c r="D102" i="52"/>
  <c r="D93" i="52"/>
  <c r="D73" i="52"/>
  <c r="D79" i="52"/>
  <c r="D85" i="52"/>
  <c r="D91" i="52"/>
  <c r="D97" i="52"/>
  <c r="D87" i="52"/>
  <c r="D74" i="52"/>
  <c r="D80" i="52"/>
  <c r="D86" i="52"/>
  <c r="D92" i="52"/>
  <c r="D98" i="52"/>
  <c r="D75" i="52"/>
  <c r="H73" i="52"/>
  <c r="H79" i="52"/>
  <c r="H85" i="52"/>
  <c r="H91" i="52"/>
  <c r="H97" i="52"/>
  <c r="H74" i="52"/>
  <c r="H80" i="52"/>
  <c r="H86" i="52"/>
  <c r="H92" i="52"/>
  <c r="H98" i="52"/>
  <c r="H96" i="52"/>
  <c r="H75" i="52"/>
  <c r="H81" i="52"/>
  <c r="H87" i="52"/>
  <c r="H93" i="52"/>
  <c r="H99" i="52"/>
  <c r="H78" i="52"/>
  <c r="H102" i="52"/>
  <c r="H76" i="52"/>
  <c r="H82" i="52"/>
  <c r="H88" i="52"/>
  <c r="H94" i="52"/>
  <c r="H100" i="52"/>
  <c r="H72" i="52"/>
  <c r="H90" i="52"/>
  <c r="H77" i="52"/>
  <c r="H83" i="52"/>
  <c r="H89" i="52"/>
  <c r="H95" i="52"/>
  <c r="H101" i="52"/>
  <c r="H84" i="52"/>
  <c r="B96" i="52"/>
  <c r="B90" i="52"/>
  <c r="B74" i="52"/>
  <c r="B100" i="52"/>
  <c r="B101" i="52"/>
  <c r="B85" i="52"/>
  <c r="B86" i="52"/>
  <c r="B77" i="52"/>
  <c r="B80" i="52"/>
  <c r="B75" i="52"/>
  <c r="B76" i="52"/>
  <c r="B91" i="52"/>
  <c r="B81" i="52"/>
  <c r="B84" i="52"/>
  <c r="B78" i="52"/>
  <c r="B95" i="52"/>
  <c r="B92" i="52"/>
  <c r="B102" i="52"/>
  <c r="B94" i="52"/>
  <c r="B97" i="52"/>
  <c r="B98" i="52"/>
  <c r="B87" i="52"/>
  <c r="B82" i="52"/>
  <c r="B83" i="52"/>
  <c r="B79" i="52"/>
  <c r="B72" i="52"/>
  <c r="B73" i="52"/>
  <c r="B93" i="52"/>
  <c r="B88" i="52"/>
  <c r="B89" i="52"/>
  <c r="B99" i="52"/>
  <c r="G72" i="52"/>
  <c r="G78" i="52"/>
  <c r="G84" i="52"/>
  <c r="G90" i="52"/>
  <c r="G96" i="52"/>
  <c r="G102" i="52"/>
  <c r="G73" i="52"/>
  <c r="G79" i="52"/>
  <c r="G85" i="52"/>
  <c r="G91" i="52"/>
  <c r="G97" i="52"/>
  <c r="G89" i="52"/>
  <c r="G74" i="52"/>
  <c r="G80" i="52"/>
  <c r="G86" i="52"/>
  <c r="G92" i="52"/>
  <c r="G98" i="52"/>
  <c r="G101" i="52"/>
  <c r="G75" i="52"/>
  <c r="G81" i="52"/>
  <c r="G87" i="52"/>
  <c r="G93" i="52"/>
  <c r="G99" i="52"/>
  <c r="G83" i="52"/>
  <c r="G76" i="52"/>
  <c r="G82" i="52"/>
  <c r="G88" i="52"/>
  <c r="G94" i="52"/>
  <c r="G100" i="52"/>
  <c r="G77" i="52"/>
  <c r="G95" i="52"/>
  <c r="C75" i="52"/>
  <c r="C81" i="52"/>
  <c r="C87" i="52"/>
  <c r="C93" i="52"/>
  <c r="C99" i="52"/>
  <c r="C76" i="52"/>
  <c r="C82" i="52"/>
  <c r="C88" i="52"/>
  <c r="C94" i="52"/>
  <c r="C100" i="52"/>
  <c r="C86" i="52"/>
  <c r="C77" i="52"/>
  <c r="C83" i="52"/>
  <c r="C89" i="52"/>
  <c r="C95" i="52"/>
  <c r="C101" i="52"/>
  <c r="C92" i="52"/>
  <c r="C72" i="52"/>
  <c r="C78" i="52"/>
  <c r="C84" i="52"/>
  <c r="C90" i="52"/>
  <c r="C96" i="52"/>
  <c r="C102" i="52"/>
  <c r="C80" i="52"/>
  <c r="C73" i="52"/>
  <c r="C79" i="52"/>
  <c r="C85" i="52"/>
  <c r="C91" i="52"/>
  <c r="C97" i="52"/>
  <c r="C74" i="52"/>
  <c r="C98" i="52"/>
  <c r="E77" i="52"/>
  <c r="E83" i="52"/>
  <c r="E89" i="52"/>
  <c r="E95" i="52"/>
  <c r="E101" i="52"/>
  <c r="E72" i="52"/>
  <c r="E78" i="52"/>
  <c r="E84" i="52"/>
  <c r="E90" i="52"/>
  <c r="E96" i="52"/>
  <c r="E102" i="52"/>
  <c r="E76" i="52"/>
  <c r="E100" i="52"/>
  <c r="E73" i="52"/>
  <c r="E79" i="52"/>
  <c r="E85" i="52"/>
  <c r="E91" i="52"/>
  <c r="E97" i="52"/>
  <c r="E94" i="52"/>
  <c r="E74" i="52"/>
  <c r="E80" i="52"/>
  <c r="E86" i="52"/>
  <c r="E92" i="52"/>
  <c r="E98" i="52"/>
  <c r="E88" i="52"/>
  <c r="E75" i="52"/>
  <c r="E81" i="52"/>
  <c r="E87" i="52"/>
  <c r="E93" i="52"/>
  <c r="E99" i="52"/>
  <c r="E82" i="52"/>
  <c r="H217" i="44" a="1"/>
  <c r="A8" i="43"/>
  <c r="M14" i="43"/>
  <c r="AF109" i="52" l="1"/>
  <c r="L109" i="52"/>
  <c r="N109" i="52"/>
  <c r="AE109" i="52"/>
  <c r="R109" i="52"/>
  <c r="K109" i="52"/>
  <c r="X109" i="52"/>
  <c r="AG109" i="52"/>
  <c r="M109" i="52"/>
  <c r="AB109" i="52"/>
  <c r="O109" i="52"/>
  <c r="T109" i="52"/>
  <c r="AD109" i="52"/>
  <c r="W109" i="52"/>
  <c r="Q109" i="52"/>
  <c r="Y109" i="52"/>
  <c r="S109" i="52"/>
  <c r="V109" i="52"/>
  <c r="P109" i="52"/>
  <c r="Z109" i="52"/>
  <c r="J109" i="52"/>
  <c r="AI109" i="52"/>
  <c r="AA109" i="52"/>
  <c r="U109" i="52"/>
  <c r="AC109" i="52"/>
  <c r="I109" i="52"/>
  <c r="AH109" i="52"/>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J72" i="52" l="1"/>
  <c r="F109" i="52" s="1"/>
  <c r="AJ109" i="52"/>
  <c r="AJ144" i="52" s="1"/>
  <c r="J148" i="52"/>
  <c r="J144" i="52"/>
  <c r="J142" i="52"/>
  <c r="J143" i="52" s="1"/>
  <c r="Z142" i="52"/>
  <c r="Z143" i="52" s="1"/>
  <c r="Z148" i="52"/>
  <c r="Z144" i="52"/>
  <c r="AC148" i="52"/>
  <c r="AC142" i="52"/>
  <c r="AC143" i="52" s="1"/>
  <c r="AC144" i="52"/>
  <c r="P142" i="52"/>
  <c r="P143" i="52" s="1"/>
  <c r="P148" i="52"/>
  <c r="P144" i="52"/>
  <c r="W144" i="52"/>
  <c r="W148" i="52"/>
  <c r="W142" i="52"/>
  <c r="W143" i="52" s="1"/>
  <c r="AG148" i="52"/>
  <c r="AG142" i="52"/>
  <c r="AG143" i="52" s="1"/>
  <c r="AG144" i="52"/>
  <c r="AH148" i="52"/>
  <c r="AH142" i="52"/>
  <c r="AH143" i="52" s="1"/>
  <c r="AH144" i="52"/>
  <c r="F142" i="52"/>
  <c r="F143" i="52" s="1"/>
  <c r="F144" i="52"/>
  <c r="F148" i="52"/>
  <c r="U148" i="52"/>
  <c r="U142" i="52"/>
  <c r="U143" i="52" s="1"/>
  <c r="U144" i="52"/>
  <c r="V148" i="52"/>
  <c r="V142" i="52"/>
  <c r="V143" i="52" s="1"/>
  <c r="V144" i="52"/>
  <c r="AD148" i="52"/>
  <c r="AD144" i="52"/>
  <c r="AD142" i="52"/>
  <c r="AD143" i="52" s="1"/>
  <c r="X148" i="52"/>
  <c r="X142" i="52"/>
  <c r="X143" i="52" s="1"/>
  <c r="X144" i="52"/>
  <c r="N144" i="52"/>
  <c r="N148" i="52"/>
  <c r="N142" i="52"/>
  <c r="N143" i="52" s="1"/>
  <c r="I148" i="52"/>
  <c r="I142" i="52"/>
  <c r="I143" i="52" s="1"/>
  <c r="I144" i="52"/>
  <c r="Q148" i="52"/>
  <c r="Q142" i="52"/>
  <c r="Q143" i="52" s="1"/>
  <c r="Q144" i="52"/>
  <c r="S144" i="52"/>
  <c r="S148" i="52"/>
  <c r="S142" i="52"/>
  <c r="S143" i="52" s="1"/>
  <c r="T148" i="52"/>
  <c r="T142" i="52"/>
  <c r="T143" i="52" s="1"/>
  <c r="T144" i="52"/>
  <c r="K148" i="52"/>
  <c r="K142" i="52"/>
  <c r="K143" i="52" s="1"/>
  <c r="K144" i="52"/>
  <c r="L148" i="52"/>
  <c r="L144" i="52"/>
  <c r="L142" i="52"/>
  <c r="L143" i="52" s="1"/>
  <c r="M148" i="52"/>
  <c r="M144" i="52"/>
  <c r="M142" i="52"/>
  <c r="M143" i="52" s="1"/>
  <c r="AA144" i="52"/>
  <c r="AA148" i="52"/>
  <c r="AA142" i="52"/>
  <c r="AA143" i="52" s="1"/>
  <c r="AI148" i="52"/>
  <c r="AI144" i="52"/>
  <c r="AI142" i="52"/>
  <c r="AI143" i="52" s="1"/>
  <c r="Y144" i="52"/>
  <c r="Y148" i="52"/>
  <c r="Y142" i="52"/>
  <c r="Y143" i="52" s="1"/>
  <c r="O148" i="52"/>
  <c r="O144" i="52"/>
  <c r="O142" i="52"/>
  <c r="O143" i="52" s="1"/>
  <c r="R148" i="52"/>
  <c r="R144" i="52"/>
  <c r="R142" i="52"/>
  <c r="R143" i="52" s="1"/>
  <c r="AF148" i="52"/>
  <c r="AF142" i="52"/>
  <c r="AF143" i="52" s="1"/>
  <c r="AF144" i="52"/>
  <c r="AB148" i="52"/>
  <c r="AB144" i="52"/>
  <c r="AB142" i="52"/>
  <c r="AB143" i="52" s="1"/>
  <c r="AE148" i="52"/>
  <c r="AE142" i="52"/>
  <c r="AE143" i="52" s="1"/>
  <c r="AE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J148" i="52" l="1"/>
  <c r="AJ142" i="52"/>
  <c r="AJ143" i="52" s="1"/>
  <c r="G109" i="52"/>
  <c r="H109" i="52"/>
  <c r="F150" i="52"/>
  <c r="K146" i="52"/>
  <c r="A12" i="43"/>
  <c r="P14" i="43"/>
  <c r="H142" i="52" l="1"/>
  <c r="H143" i="52" s="1"/>
  <c r="H148" i="52"/>
  <c r="H144" i="52"/>
  <c r="G142" i="52"/>
  <c r="G143" i="52" s="1"/>
  <c r="G148" i="52"/>
  <c r="G144" i="52"/>
  <c r="A13" i="43"/>
  <c r="Q14" i="43"/>
  <c r="F149" i="52" l="1"/>
  <c r="G146" i="52"/>
  <c r="I146" i="52" s="1"/>
  <c r="R14" i="43"/>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<sst xmlns="http://schemas.openxmlformats.org/spreadsheetml/2006/main" count="326" uniqueCount="166">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</sst>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5746776"/>
        <c:axId val="4357491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5746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5749128"/>
        <c:crossesAt val="-8.0000000000000019E-3"/>
        <c:crossBetween val="midCat"/>
      </c:valAx>
      <c:valAx>
        <c:axId val="435749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57467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35747168"/>
        <c:axId val="435750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57471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5750696"/>
        <c:crosses val="autoZero"/>
        <c:crossBetween val="midCat"/>
      </c:valAx>
      <c:valAx>
        <c:axId val="4357506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57471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35748344"/>
        <c:axId val="3404145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357483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40414592"/>
        <c:crosses val="autoZero"/>
        <c:crossBetween val="midCat"/>
        <c:majorUnit val="10000"/>
      </c:valAx>
      <c:valAx>
        <c:axId val="34041459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5748344"/>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0578128"/>
        <c:axId val="4405742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05781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0574208"/>
        <c:crosses val="autoZero"/>
        <c:crossBetween val="midCat"/>
        <c:majorUnit val="10000"/>
      </c:valAx>
      <c:valAx>
        <c:axId val="44057420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057812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0577344"/>
        <c:axId val="440578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057734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8912"/>
        <c:crosses val="autoZero"/>
        <c:crossBetween val="midCat"/>
        <c:majorUnit val="10000"/>
      </c:valAx>
      <c:valAx>
        <c:axId val="4405789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7344"/>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5.1210217925205929E-5</c:v>
                </c:pt>
                <c:pt idx="1">
                  <c:v>4.1137789186788764E-5</c:v>
                </c:pt>
                <c:pt idx="2">
                  <c:v>4.3790798171033478E-5</c:v>
                </c:pt>
                <c:pt idx="3">
                  <c:v>1.9044887405139432E-5</c:v>
                </c:pt>
                <c:pt idx="4">
                  <c:v>1.9520142497162749E-4</c:v>
                </c:pt>
                <c:pt idx="5">
                  <c:v>4.5396837771028728E-5</c:v>
                </c:pt>
                <c:pt idx="6">
                  <c:v>7.8186125366947099E-6</c:v>
                </c:pt>
                <c:pt idx="7">
                  <c:v>7.7542286823330244E-6</c:v>
                </c:pt>
                <c:pt idx="8">
                  <c:v>1.7316869286557536E-5</c:v>
                </c:pt>
                <c:pt idx="9">
                  <c:v>3.6414553252274743E-5</c:v>
                </c:pt>
                <c:pt idx="10">
                  <c:v>6.5136486240483052E-5</c:v>
                </c:pt>
                <c:pt idx="11">
                  <c:v>9.8571630171081254E-5</c:v>
                </c:pt>
                <c:pt idx="12">
                  <c:v>1.27196955920931E-4</c:v>
                </c:pt>
                <c:pt idx="13">
                  <c:v>1.4108363873124955E-4</c:v>
                </c:pt>
                <c:pt idx="14">
                  <c:v>1.3431526241562466E-4</c:v>
                </c:pt>
                <c:pt idx="15">
                  <c:v>1.0899304515023737E-4</c:v>
                </c:pt>
                <c:pt idx="16">
                  <c:v>7.9763000524922596E-5</c:v>
                </c:pt>
                <c:pt idx="17">
                  <c:v>5.8334008738745825E-5</c:v>
                </c:pt>
                <c:pt idx="18">
                  <c:v>4.2118623288911368E-5</c:v>
                </c:pt>
                <c:pt idx="19">
                  <c:v>2.6929873801327433E-5</c:v>
                </c:pt>
                <c:pt idx="20">
                  <c:v>1.4693336768744481E-5</c:v>
                </c:pt>
                <c:pt idx="21">
                  <c:v>5.50964518329514E-6</c:v>
                </c:pt>
                <c:pt idx="22">
                  <c:v>3.1416565383076496E-5</c:v>
                </c:pt>
                <c:pt idx="23">
                  <c:v>1.5496786855161517E-4</c:v>
                </c:pt>
                <c:pt idx="24">
                  <c:v>3.0941634337392654E-4</c:v>
                </c:pt>
                <c:pt idx="25">
                  <c:v>4.2923751133303826E-4</c:v>
                </c:pt>
                <c:pt idx="26">
                  <c:v>1.1100508810267756E-3</c:v>
                </c:pt>
                <c:pt idx="27">
                  <c:v>2.0605655361157784E-3</c:v>
                </c:pt>
                <c:pt idx="28">
                  <c:v>2.7887055283202311E-3</c:v>
                </c:pt>
                <c:pt idx="29">
                  <c:v>1.7950908817172173E-3</c:v>
                </c:pt>
                <c:pt idx="30">
                  <c:v>2.2807696548628284E-4</c:v>
                </c:pt>
              </c:numCache>
            </c:numRef>
          </c:yVal>
          <c:smooth val="1"/>
        </c:ser>
        <c:dLbls>
          <c:showLegendKey val="0"/>
          <c:showVal val="0"/>
          <c:showCatName val="0"/>
          <c:showSerName val="0"/>
          <c:showPercent val="0"/>
          <c:showBubbleSize val="0"/>
        </c:dLbls>
        <c:axId val="440571856"/>
        <c:axId val="440573032"/>
      </c:scatterChart>
      <c:valAx>
        <c:axId val="4405718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3032"/>
        <c:crossesAt val="-1.5000000000000005E-3"/>
        <c:crossBetween val="midCat"/>
      </c:valAx>
      <c:valAx>
        <c:axId val="4405730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185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7233.6489151349888</c:v>
                </c:pt>
                <c:pt idx="1">
                  <c:v>7233.6412378886307</c:v>
                </c:pt>
                <c:pt idx="2">
                  <c:v>7233.5645127407743</c:v>
                </c:pt>
                <c:pt idx="3">
                  <c:v>7232.8019645906397</c:v>
                </c:pt>
                <c:pt idx="4">
                  <c:v>7225.619847777838</c:v>
                </c:pt>
                <c:pt idx="5">
                  <c:v>7180.2833661938748</c:v>
                </c:pt>
                <c:pt idx="6">
                  <c:v>7042.6134220273079</c:v>
                </c:pt>
                <c:pt idx="7">
                  <c:v>6896.7237029183789</c:v>
                </c:pt>
                <c:pt idx="8">
                  <c:v>6728.1953309620003</c:v>
                </c:pt>
                <c:pt idx="9">
                  <c:v>6522.9858724732439</c:v>
                </c:pt>
                <c:pt idx="10">
                  <c:v>6323.3549224651961</c:v>
                </c:pt>
                <c:pt idx="11">
                  <c:v>6061.4531858005121</c:v>
                </c:pt>
                <c:pt idx="12">
                  <c:v>5776.012764615436</c:v>
                </c:pt>
                <c:pt idx="13">
                  <c:v>5496.5428995775655</c:v>
                </c:pt>
                <c:pt idx="14">
                  <c:v>5187.9027907448963</c:v>
                </c:pt>
                <c:pt idx="15">
                  <c:v>4846.7041769983107</c:v>
                </c:pt>
                <c:pt idx="16">
                  <c:v>4307.1872824997363</c:v>
                </c:pt>
                <c:pt idx="17">
                  <c:v>3424.4406657342906</c:v>
                </c:pt>
                <c:pt idx="18">
                  <c:v>2457.5271460883973</c:v>
                </c:pt>
                <c:pt idx="19">
                  <c:v>1610.9820944062296</c:v>
                </c:pt>
                <c:pt idx="20">
                  <c:v>942.67726251154704</c:v>
                </c:pt>
                <c:pt idx="21">
                  <c:v>510.3275144611062</c:v>
                </c:pt>
                <c:pt idx="22">
                  <c:v>271.37619567222657</c:v>
                </c:pt>
                <c:pt idx="23">
                  <c:v>152.43284869278892</c:v>
                </c:pt>
                <c:pt idx="24">
                  <c:v>114.52070603066497</c:v>
                </c:pt>
                <c:pt idx="25">
                  <c:v>101.0217963372644</c:v>
                </c:pt>
                <c:pt idx="26">
                  <c:v>93.163179445820916</c:v>
                </c:pt>
                <c:pt idx="27">
                  <c:v>92.44109428906431</c:v>
                </c:pt>
                <c:pt idx="28">
                  <c:v>91.485697154802935</c:v>
                </c:pt>
                <c:pt idx="29">
                  <c:v>91.046181066402454</c:v>
                </c:pt>
                <c:pt idx="30">
                  <c:v>90.32215647813598</c:v>
                </c:pt>
              </c:numCache>
            </c:numRef>
          </c:yVal>
          <c:smooth val="1"/>
        </c:ser>
        <c:dLbls>
          <c:showLegendKey val="0"/>
          <c:showVal val="0"/>
          <c:showCatName val="0"/>
          <c:showSerName val="0"/>
          <c:showPercent val="0"/>
          <c:showBubbleSize val="0"/>
        </c:dLbls>
        <c:axId val="440573424"/>
        <c:axId val="440573816"/>
      </c:scatterChart>
      <c:valAx>
        <c:axId val="4405734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3816"/>
        <c:crosses val="autoZero"/>
        <c:crossBetween val="midCat"/>
      </c:valAx>
      <c:valAx>
        <c:axId val="4405738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342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1.4614986140633082E-2</c:v>
                </c:pt>
                <c:pt idx="1">
                  <c:v>1.4630049050735044E-2</c:v>
                </c:pt>
                <c:pt idx="2">
                  <c:v>1.4673595930861693E-2</c:v>
                </c:pt>
                <c:pt idx="3">
                  <c:v>1.5150487646494236E-2</c:v>
                </c:pt>
                <c:pt idx="4">
                  <c:v>1.9065995406199507E-2</c:v>
                </c:pt>
                <c:pt idx="5">
                  <c:v>2.7495191900805079E-2</c:v>
                </c:pt>
                <c:pt idx="6">
                  <c:v>2.7700284014714409E-2</c:v>
                </c:pt>
                <c:pt idx="7">
                  <c:v>2.7700276176525353E-2</c:v>
                </c:pt>
                <c:pt idx="8">
                  <c:v>2.7700272197890837E-2</c:v>
                </c:pt>
                <c:pt idx="9">
                  <c:v>2.7700315081719315E-2</c:v>
                </c:pt>
                <c:pt idx="10">
                  <c:v>2.7700743909014464E-2</c:v>
                </c:pt>
                <c:pt idx="11">
                  <c:v>2.7705014549363003E-2</c:v>
                </c:pt>
                <c:pt idx="12">
                  <c:v>2.7747685770823857E-2</c:v>
                </c:pt>
                <c:pt idx="13">
                  <c:v>2.8163657867160411E-2</c:v>
                </c:pt>
                <c:pt idx="14">
                  <c:v>3.1477195474012183E-2</c:v>
                </c:pt>
                <c:pt idx="15">
                  <c:v>4.4388423538212721E-2</c:v>
                </c:pt>
                <c:pt idx="16">
                  <c:v>6.3982739523569573E-2</c:v>
                </c:pt>
                <c:pt idx="17">
                  <c:v>7.76740440018686E-2</c:v>
                </c:pt>
                <c:pt idx="18">
                  <c:v>8.5788317093115088E-2</c:v>
                </c:pt>
                <c:pt idx="19">
                  <c:v>9.4394824919172254E-2</c:v>
                </c:pt>
                <c:pt idx="20">
                  <c:v>8.6783334037312893E-2</c:v>
                </c:pt>
                <c:pt idx="21">
                  <c:v>3.3297610751370187E-2</c:v>
                </c:pt>
                <c:pt idx="22">
                  <c:v>8.6742149499453552E-2</c:v>
                </c:pt>
                <c:pt idx="23">
                  <c:v>0.21858759555747179</c:v>
                </c:pt>
                <c:pt idx="24">
                  <c:v>0.32154006029853899</c:v>
                </c:pt>
                <c:pt idx="25">
                  <c:v>0.36455091641329052</c:v>
                </c:pt>
                <c:pt idx="26">
                  <c:v>0.25135900508070069</c:v>
                </c:pt>
                <c:pt idx="27">
                  <c:v>2.8336053126171407E-2</c:v>
                </c:pt>
                <c:pt idx="28">
                  <c:v>0.20649916543088476</c:v>
                </c:pt>
                <c:pt idx="29">
                  <c:v>0.42400572359139654</c:v>
                </c:pt>
                <c:pt idx="30">
                  <c:v>0.59591133437847055</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7.3542757650799069E-3</c:v>
                </c:pt>
                <c:pt idx="1">
                  <c:v>7.3641468579317502E-3</c:v>
                </c:pt>
                <c:pt idx="2">
                  <c:v>7.3588579880611389E-3</c:v>
                </c:pt>
                <c:pt idx="3">
                  <c:v>7.3575142108382331E-3</c:v>
                </c:pt>
                <c:pt idx="4">
                  <c:v>7.3573284826363413E-3</c:v>
                </c:pt>
                <c:pt idx="5">
                  <c:v>7.3592076569045642E-3</c:v>
                </c:pt>
                <c:pt idx="6">
                  <c:v>7.3791244761455725E-3</c:v>
                </c:pt>
                <c:pt idx="7">
                  <c:v>7.5763211597406786E-3</c:v>
                </c:pt>
                <c:pt idx="8">
                  <c:v>9.3359402305764356E-3</c:v>
                </c:pt>
                <c:pt idx="9">
                  <c:v>1.8027429418188193E-2</c:v>
                </c:pt>
                <c:pt idx="10">
                  <c:v>3.6537040010402103E-2</c:v>
                </c:pt>
                <c:pt idx="11">
                  <c:v>4.2187283057528051E-2</c:v>
                </c:pt>
                <c:pt idx="12">
                  <c:v>4.8639510144019599E-2</c:v>
                </c:pt>
                <c:pt idx="13">
                  <c:v>5.7926358209051523E-2</c:v>
                </c:pt>
                <c:pt idx="14">
                  <c:v>6.1598100973952526E-2</c:v>
                </c:pt>
                <c:pt idx="15">
                  <c:v>7.6334420350285231E-2</c:v>
                </c:pt>
                <c:pt idx="16">
                  <c:v>8.1787192014051463E-2</c:v>
                </c:pt>
                <c:pt idx="17">
                  <c:v>5.6905472780752177E-2</c:v>
                </c:pt>
                <c:pt idx="18">
                  <c:v>3.5787310863984782E-2</c:v>
                </c:pt>
                <c:pt idx="19">
                  <c:v>0.16539807322918432</c:v>
                </c:pt>
                <c:pt idx="20">
                  <c:v>0.19932248924301696</c:v>
                </c:pt>
                <c:pt idx="21">
                  <c:v>9.3461864025497415E-2</c:v>
                </c:pt>
                <c:pt idx="22">
                  <c:v>7.7663553284455858E-2</c:v>
                </c:pt>
                <c:pt idx="23">
                  <c:v>0.26447536662892629</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5.1210218631599471E-5</c:v>
                </c:pt>
                <c:pt idx="1">
                  <c:v>4.1137796249151719E-5</c:v>
                </c:pt>
                <c:pt idx="2">
                  <c:v>4.3790868714875635E-5</c:v>
                </c:pt>
                <c:pt idx="3">
                  <c:v>1.9045585059446309E-5</c:v>
                </c:pt>
                <c:pt idx="4">
                  <c:v>1.9519516183855729E-4</c:v>
                </c:pt>
                <c:pt idx="5">
                  <c:v>4.5426103436209408E-5</c:v>
                </c:pt>
                <c:pt idx="6">
                  <c:v>7.7552462693244178E-6</c:v>
                </c:pt>
                <c:pt idx="7">
                  <c:v>7.8165012592710692E-6</c:v>
                </c:pt>
                <c:pt idx="8">
                  <c:v>1.723638511576288E-5</c:v>
                </c:pt>
                <c:pt idx="9">
                  <c:v>3.6511651612620595E-5</c:v>
                </c:pt>
                <c:pt idx="10">
                  <c:v>6.5043712328292293E-5</c:v>
                </c:pt>
                <c:pt idx="11">
                  <c:v>9.8718285535546473E-5</c:v>
                </c:pt>
                <c:pt idx="12">
                  <c:v>1.2706598683349216E-4</c:v>
                </c:pt>
                <c:pt idx="13">
                  <c:v>1.4123096364102557E-4</c:v>
                </c:pt>
                <c:pt idx="14">
                  <c:v>1.3414732667268103E-4</c:v>
                </c:pt>
                <c:pt idx="15">
                  <c:v>1.0919177861328145E-4</c:v>
                </c:pt>
                <c:pt idx="16">
                  <c:v>7.9296781407583883E-5</c:v>
                </c:pt>
                <c:pt idx="17">
                  <c:v>5.9024005394541275E-5</c:v>
                </c:pt>
                <c:pt idx="18">
                  <c:v>4.1274292260858213E-5</c:v>
                </c:pt>
                <c:pt idx="19">
                  <c:v>2.7969880506307476E-5</c:v>
                </c:pt>
                <c:pt idx="20">
                  <c:v>1.3445532622569866E-5</c:v>
                </c:pt>
                <c:pt idx="21">
                  <c:v>6.7331848082633672E-6</c:v>
                </c:pt>
                <c:pt idx="22">
                  <c:v>3.3438703340888176E-5</c:v>
                </c:pt>
                <c:pt idx="23">
                  <c:v>1.5364153675445343E-4</c:v>
                </c:pt>
                <c:pt idx="24">
                  <c:v>3.0963190180045104E-4</c:v>
                </c:pt>
                <c:pt idx="25">
                  <c:v>4.2877739835622553E-4</c:v>
                </c:pt>
                <c:pt idx="26">
                  <c:v>1.1100590418967136E-3</c:v>
                </c:pt>
                <c:pt idx="27">
                  <c:v>2.0605316053188649E-3</c:v>
                </c:pt>
                <c:pt idx="28">
                  <c:v>2.7887290884225733E-3</c:v>
                </c:pt>
                <c:pt idx="29">
                  <c:v>1.7950843362876017E-3</c:v>
                </c:pt>
                <c:pt idx="30">
                  <c:v>2.281207205166479E-4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3.1721844546243085E-2</c:v>
                </c:pt>
                <c:pt idx="1">
                  <c:v>4.7029637580289864E-2</c:v>
                </c:pt>
                <c:pt idx="2">
                  <c:v>4.7659473261542726E-2</c:v>
                </c:pt>
                <c:pt idx="3">
                  <c:v>5.124282523308768E-2</c:v>
                </c:pt>
                <c:pt idx="4">
                  <c:v>5.5247987566337586E-2</c:v>
                </c:pt>
                <c:pt idx="5">
                  <c:v>6.129031348069288E-2</c:v>
                </c:pt>
                <c:pt idx="6">
                  <c:v>6.5294419818065219E-2</c:v>
                </c:pt>
                <c:pt idx="7">
                  <c:v>8.705664980024016E-4</c:v>
                </c:pt>
                <c:pt idx="8">
                  <c:v>9.1217450889535631E-2</c:v>
                </c:pt>
                <c:pt idx="9">
                  <c:v>0.13977316945937882</c:v>
                </c:pt>
                <c:pt idx="10">
                  <c:v>0.17730653054579115</c:v>
                </c:pt>
                <c:pt idx="11">
                  <c:v>0.22617251353781948</c:v>
                </c:pt>
                <c:pt idx="12">
                  <c:v>0.23390560108579481</c:v>
                </c:pt>
                <c:pt idx="13">
                  <c:v>0.37597570181386808</c:v>
                </c:pt>
                <c:pt idx="14">
                  <c:v>0.4827486614736799</c:v>
                </c:pt>
                <c:pt idx="15">
                  <c:v>0.48648457395544425</c:v>
                </c:pt>
                <c:pt idx="16">
                  <c:v>0.50892424184057306</c:v>
                </c:pt>
                <c:pt idx="17">
                  <c:v>0.45464057537839164</c:v>
                </c:pt>
                <c:pt idx="18">
                  <c:v>0.35610032966977406</c:v>
                </c:pt>
                <c:pt idx="19">
                  <c:v>0.25170581920178509</c:v>
                </c:pt>
                <c:pt idx="20">
                  <c:v>0.17137989963990907</c:v>
                </c:pt>
                <c:pt idx="21">
                  <c:v>0.1356281881652554</c:v>
                </c:pt>
                <c:pt idx="22">
                  <c:v>0.12293797581291764</c:v>
                </c:pt>
                <c:pt idx="23">
                  <c:v>9.7178408458405183E-2</c:v>
                </c:pt>
                <c:pt idx="24">
                  <c:v>7.98520976813792E-2</c:v>
                </c:pt>
                <c:pt idx="25">
                  <c:v>7.0618520102837798E-2</c:v>
                </c:pt>
                <c:pt idx="26">
                  <c:v>6.8158210690350121E-2</c:v>
                </c:pt>
                <c:pt idx="27">
                  <c:v>5.8371845289172802E-2</c:v>
                </c:pt>
                <c:pt idx="28">
                  <c:v>5.8214909680437833E-2</c:v>
                </c:pt>
                <c:pt idx="29">
                  <c:v>5.1561705708226463E-2</c:v>
                </c:pt>
                <c:pt idx="30">
                  <c:v>4.8986980572028264E-2</c:v>
                </c:pt>
              </c:numCache>
            </c:numRef>
          </c:yVal>
          <c:smooth val="1"/>
        </c:ser>
        <c:dLbls>
          <c:showLegendKey val="0"/>
          <c:showVal val="0"/>
          <c:showCatName val="0"/>
          <c:showSerName val="0"/>
          <c:showPercent val="0"/>
          <c:showBubbleSize val="0"/>
        </c:dLbls>
        <c:axId val="440575384"/>
        <c:axId val="440576952"/>
      </c:scatterChart>
      <c:valAx>
        <c:axId val="4405753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6952"/>
        <c:crossesAt val="1.0000000000000005E-9"/>
        <c:crossBetween val="midCat"/>
      </c:valAx>
      <c:valAx>
        <c:axId val="440576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538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-21.601432961392756</c:v>
                </c:pt>
                <c:pt idx="1">
                  <c:v>-17.60083092062002</c:v>
                </c:pt>
                <c:pt idx="2">
                  <c:v>-13.983378315651946</c:v>
                </c:pt>
                <c:pt idx="3">
                  <c:v>-8.5553694671339517</c:v>
                </c:pt>
                <c:pt idx="4">
                  <c:v>0</c:v>
                </c:pt>
                <c:pt idx="5">
                  <c:v>18.564414953206096</c:v>
                </c:pt>
                <c:pt idx="6">
                  <c:v>22.63634100105423</c:v>
                </c:pt>
              </c:numCache>
            </c:numRef>
          </c:yVal>
          <c:smooth val="0"/>
        </c:ser>
        <c:dLbls>
          <c:showLegendKey val="0"/>
          <c:showVal val="0"/>
          <c:showCatName val="0"/>
          <c:showSerName val="0"/>
          <c:showPercent val="0"/>
          <c:showBubbleSize val="0"/>
        </c:dLbls>
        <c:axId val="440577736"/>
        <c:axId val="440572248"/>
      </c:scatterChart>
      <c:valAx>
        <c:axId val="4405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2248"/>
        <c:crossesAt val="-100"/>
        <c:crossBetween val="midCat"/>
      </c:valAx>
      <c:valAx>
        <c:axId val="440572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5777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35744816"/>
        <c:axId val="440348752"/>
      </c:scatterChart>
      <c:valAx>
        <c:axId val="43574481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8752"/>
        <c:crosses val="autoZero"/>
        <c:crossBetween val="midCat"/>
      </c:valAx>
      <c:valAx>
        <c:axId val="4403487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574481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4.1554385428399519E-25</c:v>
                </c:pt>
                <c:pt idx="1">
                  <c:v>4.1554385428399515E-24</c:v>
                </c:pt>
                <c:pt idx="2">
                  <c:v>4.1554385428399514E-23</c:v>
                </c:pt>
                <c:pt idx="3">
                  <c:v>4.155438542839951E-22</c:v>
                </c:pt>
                <c:pt idx="4">
                  <c:v>4.1554385428399507E-21</c:v>
                </c:pt>
                <c:pt idx="5">
                  <c:v>4.1554385428399515E-20</c:v>
                </c:pt>
                <c:pt idx="6">
                  <c:v>4.1554385428399516E-19</c:v>
                </c:pt>
                <c:pt idx="7">
                  <c:v>4.1554385428399511E-18</c:v>
                </c:pt>
                <c:pt idx="8">
                  <c:v>4.155438542839951E-17</c:v>
                </c:pt>
                <c:pt idx="9">
                  <c:v>4.1554385428399507E-16</c:v>
                </c:pt>
                <c:pt idx="10">
                  <c:v>4.1554385428399511E-15</c:v>
                </c:pt>
                <c:pt idx="11">
                  <c:v>4.1554385428399513E-14</c:v>
                </c:pt>
                <c:pt idx="12">
                  <c:v>4.1554385428399512E-13</c:v>
                </c:pt>
                <c:pt idx="13">
                  <c:v>4.1554385428399516E-12</c:v>
                </c:pt>
                <c:pt idx="14">
                  <c:v>4.1554385428399514E-11</c:v>
                </c:pt>
                <c:pt idx="15">
                  <c:v>4.155438542839951E-10</c:v>
                </c:pt>
                <c:pt idx="16">
                  <c:v>4.1554385428399509E-9</c:v>
                </c:pt>
                <c:pt idx="17">
                  <c:v>4.1554385428399509E-8</c:v>
                </c:pt>
                <c:pt idx="18">
                  <c:v>4.1554385428399509E-7</c:v>
                </c:pt>
                <c:pt idx="19">
                  <c:v>4.1554385428399512E-6</c:v>
                </c:pt>
                <c:pt idx="20">
                  <c:v>4.1554385428399512E-5</c:v>
                </c:pt>
                <c:pt idx="21">
                  <c:v>4.155438542839951E-4</c:v>
                </c:pt>
                <c:pt idx="22">
                  <c:v>4.155438542839951E-3</c:v>
                </c:pt>
                <c:pt idx="23">
                  <c:v>4.155438542839951E-2</c:v>
                </c:pt>
                <c:pt idx="24">
                  <c:v>0.4155438542839951</c:v>
                </c:pt>
                <c:pt idx="25">
                  <c:v>4.155438542839951</c:v>
                </c:pt>
                <c:pt idx="26">
                  <c:v>41.554385428399513</c:v>
                </c:pt>
                <c:pt idx="27">
                  <c:v>415.54385428399513</c:v>
                </c:pt>
                <c:pt idx="28">
                  <c:v>4155.438542839951</c:v>
                </c:pt>
                <c:pt idx="29">
                  <c:v>41554.38542839951</c:v>
                </c:pt>
                <c:pt idx="30">
                  <c:v>415543.85428399511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2.2701588870349419E-23</c:v>
                </c:pt>
                <c:pt idx="1">
                  <c:v>2.2701588870349416E-22</c:v>
                </c:pt>
                <c:pt idx="2">
                  <c:v>2.2701588870349419E-21</c:v>
                </c:pt>
                <c:pt idx="3">
                  <c:v>2.2701588870349417E-20</c:v>
                </c:pt>
                <c:pt idx="4">
                  <c:v>2.2701588870349415E-19</c:v>
                </c:pt>
                <c:pt idx="5">
                  <c:v>2.270158887034942E-18</c:v>
                </c:pt>
                <c:pt idx="6">
                  <c:v>2.2701588870349419E-17</c:v>
                </c:pt>
                <c:pt idx="7">
                  <c:v>2.2701588870349417E-16</c:v>
                </c:pt>
                <c:pt idx="8">
                  <c:v>2.2701588870349416E-15</c:v>
                </c:pt>
                <c:pt idx="9">
                  <c:v>2.2701588870349418E-14</c:v>
                </c:pt>
                <c:pt idx="10">
                  <c:v>2.270158887034942E-13</c:v>
                </c:pt>
                <c:pt idx="11">
                  <c:v>2.2701588870349418E-12</c:v>
                </c:pt>
                <c:pt idx="12">
                  <c:v>2.270158887034942E-11</c:v>
                </c:pt>
                <c:pt idx="13">
                  <c:v>2.270158887034942E-10</c:v>
                </c:pt>
                <c:pt idx="14">
                  <c:v>2.2701588870349419E-9</c:v>
                </c:pt>
                <c:pt idx="15">
                  <c:v>2.2701588870349417E-8</c:v>
                </c:pt>
                <c:pt idx="16">
                  <c:v>2.2701588870349418E-7</c:v>
                </c:pt>
                <c:pt idx="17">
                  <c:v>2.2701588870349417E-6</c:v>
                </c:pt>
                <c:pt idx="18">
                  <c:v>2.2701588870349416E-5</c:v>
                </c:pt>
                <c:pt idx="19">
                  <c:v>2.2701588870349418E-4</c:v>
                </c:pt>
                <c:pt idx="20">
                  <c:v>2.2701588870349416E-3</c:v>
                </c:pt>
                <c:pt idx="21">
                  <c:v>2.2701588870349419E-2</c:v>
                </c:pt>
                <c:pt idx="22">
                  <c:v>0.22701588870349418</c:v>
                </c:pt>
                <c:pt idx="23">
                  <c:v>2.2701588870349418</c:v>
                </c:pt>
                <c:pt idx="24">
                  <c:v>22.701588870349418</c:v>
                </c:pt>
                <c:pt idx="25">
                  <c:v>227.01588870349417</c:v>
                </c:pt>
                <c:pt idx="26">
                  <c:v>2270.1588870349419</c:v>
                </c:pt>
                <c:pt idx="27">
                  <c:v>22701.588870349417</c:v>
                </c:pt>
                <c:pt idx="28">
                  <c:v>227015.88870349419</c:v>
                </c:pt>
                <c:pt idx="29">
                  <c:v>2270158.8870349419</c:v>
                </c:pt>
                <c:pt idx="30">
                  <c:v>22701588.870349418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8.4546563362260539E-22</c:v>
                </c:pt>
                <c:pt idx="1">
                  <c:v>8.4546563362260543E-21</c:v>
                </c:pt>
                <c:pt idx="2">
                  <c:v>8.4546563362260534E-20</c:v>
                </c:pt>
                <c:pt idx="3">
                  <c:v>8.4546563362260539E-19</c:v>
                </c:pt>
                <c:pt idx="4">
                  <c:v>8.4546563362260533E-18</c:v>
                </c:pt>
                <c:pt idx="5">
                  <c:v>8.4546563362260545E-17</c:v>
                </c:pt>
                <c:pt idx="6">
                  <c:v>8.4546563362260538E-16</c:v>
                </c:pt>
                <c:pt idx="7">
                  <c:v>8.4546563362260538E-15</c:v>
                </c:pt>
                <c:pt idx="8">
                  <c:v>8.4546563362260538E-14</c:v>
                </c:pt>
                <c:pt idx="9">
                  <c:v>8.4546563362260536E-13</c:v>
                </c:pt>
                <c:pt idx="10">
                  <c:v>8.4546563362260552E-12</c:v>
                </c:pt>
                <c:pt idx="11">
                  <c:v>8.4546563362260539E-11</c:v>
                </c:pt>
                <c:pt idx="12">
                  <c:v>8.4546563362260539E-10</c:v>
                </c:pt>
                <c:pt idx="13">
                  <c:v>8.4546563362260539E-9</c:v>
                </c:pt>
                <c:pt idx="14">
                  <c:v>8.4546563362260545E-8</c:v>
                </c:pt>
                <c:pt idx="15">
                  <c:v>8.4546563362260537E-7</c:v>
                </c:pt>
                <c:pt idx="16">
                  <c:v>8.4546563362260542E-6</c:v>
                </c:pt>
                <c:pt idx="17">
                  <c:v>8.4546563362260542E-5</c:v>
                </c:pt>
                <c:pt idx="18">
                  <c:v>8.4546563362260534E-4</c:v>
                </c:pt>
                <c:pt idx="19">
                  <c:v>8.4546563362260536E-3</c:v>
                </c:pt>
                <c:pt idx="20">
                  <c:v>8.4546563362260532E-2</c:v>
                </c:pt>
                <c:pt idx="21">
                  <c:v>0.84546563362260541</c:v>
                </c:pt>
                <c:pt idx="22">
                  <c:v>8.4546563362260532</c:v>
                </c:pt>
                <c:pt idx="23">
                  <c:v>84.546563362260542</c:v>
                </c:pt>
                <c:pt idx="24">
                  <c:v>845.46563362260542</c:v>
                </c:pt>
                <c:pt idx="25">
                  <c:v>8454.6563362260531</c:v>
                </c:pt>
                <c:pt idx="26">
                  <c:v>84546.563362260538</c:v>
                </c:pt>
                <c:pt idx="27">
                  <c:v>845465.63362260535</c:v>
                </c:pt>
                <c:pt idx="28">
                  <c:v>8454656.3362260535</c:v>
                </c:pt>
                <c:pt idx="29">
                  <c:v>84546563.362260535</c:v>
                </c:pt>
                <c:pt idx="30">
                  <c:v>845465633.62260532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1.9250865058659276E-19</c:v>
                </c:pt>
                <c:pt idx="1">
                  <c:v>1.9250865058659272E-18</c:v>
                </c:pt>
                <c:pt idx="2">
                  <c:v>1.9250865058659275E-17</c:v>
                </c:pt>
                <c:pt idx="3">
                  <c:v>1.9250865058659275E-16</c:v>
                </c:pt>
                <c:pt idx="4">
                  <c:v>1.9250865058659272E-15</c:v>
                </c:pt>
                <c:pt idx="5">
                  <c:v>1.9250865058659276E-14</c:v>
                </c:pt>
                <c:pt idx="6">
                  <c:v>1.9250865058659276E-13</c:v>
                </c:pt>
                <c:pt idx="7">
                  <c:v>1.9250865058659273E-12</c:v>
                </c:pt>
                <c:pt idx="8">
                  <c:v>1.9250865058659274E-11</c:v>
                </c:pt>
                <c:pt idx="9">
                  <c:v>1.9250865058659273E-10</c:v>
                </c:pt>
                <c:pt idx="10">
                  <c:v>1.9250865058659275E-9</c:v>
                </c:pt>
                <c:pt idx="11">
                  <c:v>1.9250865058659276E-8</c:v>
                </c:pt>
                <c:pt idx="12">
                  <c:v>1.9250865058659276E-7</c:v>
                </c:pt>
                <c:pt idx="13">
                  <c:v>1.9250865058659274E-6</c:v>
                </c:pt>
                <c:pt idx="14">
                  <c:v>1.9250865058659274E-5</c:v>
                </c:pt>
                <c:pt idx="15">
                  <c:v>1.9250865058659274E-4</c:v>
                </c:pt>
                <c:pt idx="16">
                  <c:v>1.9250865058659274E-3</c:v>
                </c:pt>
                <c:pt idx="17">
                  <c:v>1.9250865058659274E-2</c:v>
                </c:pt>
                <c:pt idx="18">
                  <c:v>0.19250865058659275</c:v>
                </c:pt>
                <c:pt idx="19">
                  <c:v>1.9250865058659274</c:v>
                </c:pt>
                <c:pt idx="20">
                  <c:v>19.250865058659276</c:v>
                </c:pt>
                <c:pt idx="21">
                  <c:v>192.50865058659275</c:v>
                </c:pt>
                <c:pt idx="22">
                  <c:v>1925.0865058659274</c:v>
                </c:pt>
                <c:pt idx="23">
                  <c:v>19250.865058659274</c:v>
                </c:pt>
                <c:pt idx="24">
                  <c:v>192508.65058659273</c:v>
                </c:pt>
                <c:pt idx="25">
                  <c:v>1925086.5058659273</c:v>
                </c:pt>
                <c:pt idx="26">
                  <c:v>19250865.058659274</c:v>
                </c:pt>
                <c:pt idx="27">
                  <c:v>192508650.58659273</c:v>
                </c:pt>
                <c:pt idx="28">
                  <c:v>1925086505.8659275</c:v>
                </c:pt>
                <c:pt idx="29">
                  <c:v>19250865058.659275</c:v>
                </c:pt>
                <c:pt idx="30">
                  <c:v>192508650586.59274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1.1545771918054734E-7</c:v>
                </c:pt>
                <c:pt idx="1">
                  <c:v>1.1545771918054734E-6</c:v>
                </c:pt>
                <c:pt idx="2">
                  <c:v>1.1545771918054733E-5</c:v>
                </c:pt>
                <c:pt idx="3">
                  <c:v>1.1545771918054733E-4</c:v>
                </c:pt>
                <c:pt idx="4">
                  <c:v>1.1545771918054731E-3</c:v>
                </c:pt>
                <c:pt idx="5">
                  <c:v>1.1545771918054733E-2</c:v>
                </c:pt>
                <c:pt idx="6">
                  <c:v>0.11545771918054734</c:v>
                </c:pt>
                <c:pt idx="7">
                  <c:v>1.1545771918054732</c:v>
                </c:pt>
                <c:pt idx="8">
                  <c:v>11.545771918054733</c:v>
                </c:pt>
                <c:pt idx="9">
                  <c:v>115.45771918054733</c:v>
                </c:pt>
                <c:pt idx="10">
                  <c:v>1154.5771918054734</c:v>
                </c:pt>
                <c:pt idx="11">
                  <c:v>11545.771918054734</c:v>
                </c:pt>
                <c:pt idx="12">
                  <c:v>115457.71918054733</c:v>
                </c:pt>
                <c:pt idx="13">
                  <c:v>1154577.1918054733</c:v>
                </c:pt>
                <c:pt idx="14">
                  <c:v>11545771.918054733</c:v>
                </c:pt>
                <c:pt idx="15">
                  <c:v>115457719.18054733</c:v>
                </c:pt>
                <c:pt idx="16">
                  <c:v>1154577191.8054733</c:v>
                </c:pt>
                <c:pt idx="17">
                  <c:v>11545771918.054733</c:v>
                </c:pt>
                <c:pt idx="18">
                  <c:v>115457719180.54733</c:v>
                </c:pt>
                <c:pt idx="19">
                  <c:v>1154577191805.4734</c:v>
                </c:pt>
                <c:pt idx="20">
                  <c:v>11545771918054.732</c:v>
                </c:pt>
                <c:pt idx="21">
                  <c:v>115457719180547.33</c:v>
                </c:pt>
                <c:pt idx="22">
                  <c:v>1154577191805473.2</c:v>
                </c:pt>
                <c:pt idx="23">
                  <c:v>1.1545771918054732E+16</c:v>
                </c:pt>
                <c:pt idx="24">
                  <c:v>1.1545771918054733E+17</c:v>
                </c:pt>
                <c:pt idx="25">
                  <c:v>1.1545771918054733E+18</c:v>
                </c:pt>
                <c:pt idx="26">
                  <c:v>1.1545771918054732E+19</c:v>
                </c:pt>
                <c:pt idx="27">
                  <c:v>1.1545771918054733E+20</c:v>
                </c:pt>
                <c:pt idx="28">
                  <c:v>1.1545771918054733E+21</c:v>
                </c:pt>
                <c:pt idx="29">
                  <c:v>1.1545771918054734E+22</c:v>
                </c:pt>
                <c:pt idx="30">
                  <c:v>1.1545771918054732E+23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6.7738876183229333E-6</c:v>
                </c:pt>
                <c:pt idx="1">
                  <c:v>6.7738876183229317E-5</c:v>
                </c:pt>
                <c:pt idx="2">
                  <c:v>6.7738876183229323E-4</c:v>
                </c:pt>
                <c:pt idx="3">
                  <c:v>6.7738876183229321E-3</c:v>
                </c:pt>
                <c:pt idx="4">
                  <c:v>6.7738876183229324E-2</c:v>
                </c:pt>
                <c:pt idx="5">
                  <c:v>0.67738876183229324</c:v>
                </c:pt>
                <c:pt idx="6">
                  <c:v>6.7738876183229326</c:v>
                </c:pt>
                <c:pt idx="7">
                  <c:v>67.738876183229323</c:v>
                </c:pt>
                <c:pt idx="8">
                  <c:v>677.3887618322932</c:v>
                </c:pt>
                <c:pt idx="9">
                  <c:v>6773.8876183229322</c:v>
                </c:pt>
                <c:pt idx="10">
                  <c:v>67738.876183229324</c:v>
                </c:pt>
                <c:pt idx="11">
                  <c:v>677388.76183229324</c:v>
                </c:pt>
                <c:pt idx="12">
                  <c:v>6773887.6183229322</c:v>
                </c:pt>
                <c:pt idx="13">
                  <c:v>67738876.183229327</c:v>
                </c:pt>
                <c:pt idx="14">
                  <c:v>677388761.83229327</c:v>
                </c:pt>
                <c:pt idx="15">
                  <c:v>6773887618.3229322</c:v>
                </c:pt>
                <c:pt idx="16">
                  <c:v>67738876183.229324</c:v>
                </c:pt>
                <c:pt idx="17">
                  <c:v>677388761832.29321</c:v>
                </c:pt>
                <c:pt idx="18">
                  <c:v>6773887618322.9326</c:v>
                </c:pt>
                <c:pt idx="19">
                  <c:v>67738876183229.32</c:v>
                </c:pt>
                <c:pt idx="20">
                  <c:v>677388761832293.25</c:v>
                </c:pt>
                <c:pt idx="21">
                  <c:v>6773887618322932</c:v>
                </c:pt>
                <c:pt idx="22">
                  <c:v>6.7738876183229328E+16</c:v>
                </c:pt>
                <c:pt idx="23">
                  <c:v>6.7738876183229325E+17</c:v>
                </c:pt>
                <c:pt idx="24">
                  <c:v>6.7738876183229327E+18</c:v>
                </c:pt>
                <c:pt idx="25">
                  <c:v>6.7738876183229325E+19</c:v>
                </c:pt>
                <c:pt idx="26">
                  <c:v>6.7738876183229327E+20</c:v>
                </c:pt>
                <c:pt idx="27">
                  <c:v>6.7738876183229319E+21</c:v>
                </c:pt>
                <c:pt idx="28">
                  <c:v>6.7738876183229321E+22</c:v>
                </c:pt>
                <c:pt idx="29">
                  <c:v>6.7738876183229321E+23</c:v>
                </c:pt>
                <c:pt idx="30">
                  <c:v>6.7738876183229321E+24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0350320"/>
        <c:axId val="440347184"/>
      </c:scatterChart>
      <c:valAx>
        <c:axId val="4403503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7184"/>
        <c:crosses val="autoZero"/>
        <c:crossBetween val="midCat"/>
      </c:valAx>
      <c:valAx>
        <c:axId val="440347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5032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4.1554385428399519E-25</c:v>
                </c:pt>
                <c:pt idx="1">
                  <c:v>4.1554385428399515E-24</c:v>
                </c:pt>
                <c:pt idx="2">
                  <c:v>4.1554385428399514E-23</c:v>
                </c:pt>
                <c:pt idx="3">
                  <c:v>4.155438542839951E-22</c:v>
                </c:pt>
                <c:pt idx="4">
                  <c:v>4.1554385428399507E-21</c:v>
                </c:pt>
                <c:pt idx="5">
                  <c:v>4.1554385428399515E-20</c:v>
                </c:pt>
                <c:pt idx="6">
                  <c:v>4.1554385428399516E-19</c:v>
                </c:pt>
                <c:pt idx="7">
                  <c:v>4.1554385428399511E-18</c:v>
                </c:pt>
                <c:pt idx="8">
                  <c:v>4.155438542839951E-17</c:v>
                </c:pt>
                <c:pt idx="9">
                  <c:v>4.1554385428399507E-16</c:v>
                </c:pt>
                <c:pt idx="10">
                  <c:v>4.1554385428399511E-15</c:v>
                </c:pt>
                <c:pt idx="11">
                  <c:v>4.1554385428399513E-14</c:v>
                </c:pt>
                <c:pt idx="12">
                  <c:v>4.1554385428399512E-13</c:v>
                </c:pt>
                <c:pt idx="13">
                  <c:v>4.1554385428399516E-12</c:v>
                </c:pt>
                <c:pt idx="14">
                  <c:v>4.1554385428399514E-11</c:v>
                </c:pt>
                <c:pt idx="15">
                  <c:v>4.155438542839951E-10</c:v>
                </c:pt>
                <c:pt idx="16">
                  <c:v>4.1554385428399509E-9</c:v>
                </c:pt>
                <c:pt idx="17">
                  <c:v>4.1554385428399509E-8</c:v>
                </c:pt>
                <c:pt idx="18">
                  <c:v>4.1554385428399509E-7</c:v>
                </c:pt>
                <c:pt idx="19">
                  <c:v>4.1554385428399512E-6</c:v>
                </c:pt>
                <c:pt idx="20">
                  <c:v>4.1554385428399512E-5</c:v>
                </c:pt>
                <c:pt idx="21">
                  <c:v>4.155438542839951E-4</c:v>
                </c:pt>
                <c:pt idx="22">
                  <c:v>4.155438542839951E-3</c:v>
                </c:pt>
                <c:pt idx="23">
                  <c:v>4.155438542839951E-2</c:v>
                </c:pt>
                <c:pt idx="24">
                  <c:v>0.4155438542839951</c:v>
                </c:pt>
                <c:pt idx="25">
                  <c:v>4.155438542839951</c:v>
                </c:pt>
                <c:pt idx="26">
                  <c:v>41.554385428399513</c:v>
                </c:pt>
                <c:pt idx="27">
                  <c:v>415.54385428399513</c:v>
                </c:pt>
                <c:pt idx="28">
                  <c:v>4155.438542839951</c:v>
                </c:pt>
                <c:pt idx="29">
                  <c:v>41554.38542839951</c:v>
                </c:pt>
                <c:pt idx="30">
                  <c:v>415543.85428399511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2.2701588870349419E-23</c:v>
                </c:pt>
                <c:pt idx="1">
                  <c:v>2.2701588870349416E-22</c:v>
                </c:pt>
                <c:pt idx="2">
                  <c:v>2.2701588870349419E-21</c:v>
                </c:pt>
                <c:pt idx="3">
                  <c:v>2.2701588870349417E-20</c:v>
                </c:pt>
                <c:pt idx="4">
                  <c:v>2.2701588870349415E-19</c:v>
                </c:pt>
                <c:pt idx="5">
                  <c:v>2.270158887034942E-18</c:v>
                </c:pt>
                <c:pt idx="6">
                  <c:v>2.2701588870349419E-17</c:v>
                </c:pt>
                <c:pt idx="7">
                  <c:v>2.2701588870349417E-16</c:v>
                </c:pt>
                <c:pt idx="8">
                  <c:v>2.2701588870349416E-15</c:v>
                </c:pt>
                <c:pt idx="9">
                  <c:v>2.2701588870349418E-14</c:v>
                </c:pt>
                <c:pt idx="10">
                  <c:v>2.270158887034942E-13</c:v>
                </c:pt>
                <c:pt idx="11">
                  <c:v>2.2701588870349418E-12</c:v>
                </c:pt>
                <c:pt idx="12">
                  <c:v>2.270158887034942E-11</c:v>
                </c:pt>
                <c:pt idx="13">
                  <c:v>2.270158887034942E-10</c:v>
                </c:pt>
                <c:pt idx="14">
                  <c:v>2.2701588870349419E-9</c:v>
                </c:pt>
                <c:pt idx="15">
                  <c:v>2.2701588870349417E-8</c:v>
                </c:pt>
                <c:pt idx="16">
                  <c:v>2.2701588870349418E-7</c:v>
                </c:pt>
                <c:pt idx="17">
                  <c:v>2.2701588870349417E-6</c:v>
                </c:pt>
                <c:pt idx="18">
                  <c:v>2.2701588870349416E-5</c:v>
                </c:pt>
                <c:pt idx="19">
                  <c:v>2.2701588870349418E-4</c:v>
                </c:pt>
                <c:pt idx="20">
                  <c:v>2.2701588870349416E-3</c:v>
                </c:pt>
                <c:pt idx="21">
                  <c:v>2.2701588870349419E-2</c:v>
                </c:pt>
                <c:pt idx="22">
                  <c:v>0.22701588870349418</c:v>
                </c:pt>
                <c:pt idx="23">
                  <c:v>2.2701588870349418</c:v>
                </c:pt>
                <c:pt idx="24">
                  <c:v>22.701588870349418</c:v>
                </c:pt>
                <c:pt idx="25">
                  <c:v>227.01588870349417</c:v>
                </c:pt>
                <c:pt idx="26">
                  <c:v>2270.1588870349419</c:v>
                </c:pt>
                <c:pt idx="27">
                  <c:v>22701.588870349417</c:v>
                </c:pt>
                <c:pt idx="28">
                  <c:v>227015.88870349419</c:v>
                </c:pt>
                <c:pt idx="29">
                  <c:v>2270158.8870349419</c:v>
                </c:pt>
                <c:pt idx="30">
                  <c:v>22701588.870349418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8.4546563362260539E-22</c:v>
                </c:pt>
                <c:pt idx="1">
                  <c:v>8.4546563362260543E-21</c:v>
                </c:pt>
                <c:pt idx="2">
                  <c:v>8.4546563362260534E-20</c:v>
                </c:pt>
                <c:pt idx="3">
                  <c:v>8.4546563362260539E-19</c:v>
                </c:pt>
                <c:pt idx="4">
                  <c:v>8.4546563362260533E-18</c:v>
                </c:pt>
                <c:pt idx="5">
                  <c:v>8.4546563362260545E-17</c:v>
                </c:pt>
                <c:pt idx="6">
                  <c:v>8.4546563362260538E-16</c:v>
                </c:pt>
                <c:pt idx="7">
                  <c:v>8.4546563362260538E-15</c:v>
                </c:pt>
                <c:pt idx="8">
                  <c:v>8.4546563362260538E-14</c:v>
                </c:pt>
                <c:pt idx="9">
                  <c:v>8.4546563362260536E-13</c:v>
                </c:pt>
                <c:pt idx="10">
                  <c:v>8.4546563362260552E-12</c:v>
                </c:pt>
                <c:pt idx="11">
                  <c:v>8.4546563362260539E-11</c:v>
                </c:pt>
                <c:pt idx="12">
                  <c:v>8.4546563362260539E-10</c:v>
                </c:pt>
                <c:pt idx="13">
                  <c:v>8.4546563362260539E-9</c:v>
                </c:pt>
                <c:pt idx="14">
                  <c:v>8.4546563362260545E-8</c:v>
                </c:pt>
                <c:pt idx="15">
                  <c:v>8.4546563362260537E-7</c:v>
                </c:pt>
                <c:pt idx="16">
                  <c:v>8.4546563362260542E-6</c:v>
                </c:pt>
                <c:pt idx="17">
                  <c:v>8.4546563362260542E-5</c:v>
                </c:pt>
                <c:pt idx="18">
                  <c:v>8.4546563362260534E-4</c:v>
                </c:pt>
                <c:pt idx="19">
                  <c:v>8.4546563362260536E-3</c:v>
                </c:pt>
                <c:pt idx="20">
                  <c:v>8.4546563362260532E-2</c:v>
                </c:pt>
                <c:pt idx="21">
                  <c:v>0.84546563362260541</c:v>
                </c:pt>
                <c:pt idx="22">
                  <c:v>8.4546563362260532</c:v>
                </c:pt>
                <c:pt idx="23">
                  <c:v>84.546563362260542</c:v>
                </c:pt>
                <c:pt idx="24">
                  <c:v>845.46563362260542</c:v>
                </c:pt>
                <c:pt idx="25">
                  <c:v>8454.6563362260531</c:v>
                </c:pt>
                <c:pt idx="26">
                  <c:v>84546.563362260538</c:v>
                </c:pt>
                <c:pt idx="27">
                  <c:v>845465.63362260535</c:v>
                </c:pt>
                <c:pt idx="28">
                  <c:v>8454656.3362260535</c:v>
                </c:pt>
                <c:pt idx="29">
                  <c:v>84546563.362260535</c:v>
                </c:pt>
                <c:pt idx="30">
                  <c:v>845465633.62260532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1.9250865058659276E-19</c:v>
                </c:pt>
                <c:pt idx="1">
                  <c:v>1.9250865058659272E-18</c:v>
                </c:pt>
                <c:pt idx="2">
                  <c:v>1.9250865058659275E-17</c:v>
                </c:pt>
                <c:pt idx="3">
                  <c:v>1.9250865058659275E-16</c:v>
                </c:pt>
                <c:pt idx="4">
                  <c:v>1.9250865058659272E-15</c:v>
                </c:pt>
                <c:pt idx="5">
                  <c:v>1.9250865058659276E-14</c:v>
                </c:pt>
                <c:pt idx="6">
                  <c:v>1.9250865058659276E-13</c:v>
                </c:pt>
                <c:pt idx="7">
                  <c:v>1.9250865058659273E-12</c:v>
                </c:pt>
                <c:pt idx="8">
                  <c:v>1.9250865058659274E-11</c:v>
                </c:pt>
                <c:pt idx="9">
                  <c:v>1.9250865058659273E-10</c:v>
                </c:pt>
                <c:pt idx="10">
                  <c:v>1.9250865058659275E-9</c:v>
                </c:pt>
                <c:pt idx="11">
                  <c:v>1.9250865058659276E-8</c:v>
                </c:pt>
                <c:pt idx="12">
                  <c:v>1.9250865058659276E-7</c:v>
                </c:pt>
                <c:pt idx="13">
                  <c:v>1.9250865058659274E-6</c:v>
                </c:pt>
                <c:pt idx="14">
                  <c:v>1.9250865058659274E-5</c:v>
                </c:pt>
                <c:pt idx="15">
                  <c:v>1.9250865058659274E-4</c:v>
                </c:pt>
                <c:pt idx="16">
                  <c:v>1.9250865058659274E-3</c:v>
                </c:pt>
                <c:pt idx="17">
                  <c:v>1.9250865058659274E-2</c:v>
                </c:pt>
                <c:pt idx="18">
                  <c:v>0.19250865058659275</c:v>
                </c:pt>
                <c:pt idx="19">
                  <c:v>1.9250865058659274</c:v>
                </c:pt>
                <c:pt idx="20">
                  <c:v>19.250865058659276</c:v>
                </c:pt>
                <c:pt idx="21">
                  <c:v>192.50865058659275</c:v>
                </c:pt>
                <c:pt idx="22">
                  <c:v>1925.0865058659274</c:v>
                </c:pt>
                <c:pt idx="23">
                  <c:v>19250.865058659274</c:v>
                </c:pt>
                <c:pt idx="24">
                  <c:v>192508.65058659273</c:v>
                </c:pt>
                <c:pt idx="25">
                  <c:v>1925086.5058659273</c:v>
                </c:pt>
                <c:pt idx="26">
                  <c:v>19250865.058659274</c:v>
                </c:pt>
                <c:pt idx="27">
                  <c:v>192508650.58659273</c:v>
                </c:pt>
                <c:pt idx="28">
                  <c:v>1925086505.8659275</c:v>
                </c:pt>
                <c:pt idx="29">
                  <c:v>19250865058.659275</c:v>
                </c:pt>
                <c:pt idx="30">
                  <c:v>192508650586.59274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1.1545771918054734E-7</c:v>
                </c:pt>
                <c:pt idx="1">
                  <c:v>1.1545771918054734E-6</c:v>
                </c:pt>
                <c:pt idx="2">
                  <c:v>1.1545771918054733E-5</c:v>
                </c:pt>
                <c:pt idx="3">
                  <c:v>1.1545771918054733E-4</c:v>
                </c:pt>
                <c:pt idx="4">
                  <c:v>1.1545771918054731E-3</c:v>
                </c:pt>
                <c:pt idx="5">
                  <c:v>1.1545771918054733E-2</c:v>
                </c:pt>
                <c:pt idx="6">
                  <c:v>0.11545771918054734</c:v>
                </c:pt>
                <c:pt idx="7">
                  <c:v>1.1545771918054732</c:v>
                </c:pt>
                <c:pt idx="8">
                  <c:v>11.545771918054733</c:v>
                </c:pt>
                <c:pt idx="9">
                  <c:v>115.45771918054733</c:v>
                </c:pt>
                <c:pt idx="10">
                  <c:v>1154.5771918054734</c:v>
                </c:pt>
                <c:pt idx="11">
                  <c:v>11545.771918054734</c:v>
                </c:pt>
                <c:pt idx="12">
                  <c:v>115457.71918054733</c:v>
                </c:pt>
                <c:pt idx="13">
                  <c:v>1154577.1918054733</c:v>
                </c:pt>
                <c:pt idx="14">
                  <c:v>11545771.918054733</c:v>
                </c:pt>
                <c:pt idx="15">
                  <c:v>115457719.18054733</c:v>
                </c:pt>
                <c:pt idx="16">
                  <c:v>1154577191.8054733</c:v>
                </c:pt>
                <c:pt idx="17">
                  <c:v>11545771918.054733</c:v>
                </c:pt>
                <c:pt idx="18">
                  <c:v>115457719180.54733</c:v>
                </c:pt>
                <c:pt idx="19">
                  <c:v>1154577191805.4734</c:v>
                </c:pt>
                <c:pt idx="20">
                  <c:v>11545771918054.732</c:v>
                </c:pt>
                <c:pt idx="21">
                  <c:v>115457719180547.33</c:v>
                </c:pt>
                <c:pt idx="22">
                  <c:v>1154577191805473.2</c:v>
                </c:pt>
                <c:pt idx="23">
                  <c:v>1.1545771918054732E+16</c:v>
                </c:pt>
                <c:pt idx="24">
                  <c:v>1.1545771918054733E+17</c:v>
                </c:pt>
                <c:pt idx="25">
                  <c:v>1.1545771918054733E+18</c:v>
                </c:pt>
                <c:pt idx="26">
                  <c:v>1.1545771918054732E+19</c:v>
                </c:pt>
                <c:pt idx="27">
                  <c:v>1.1545771918054733E+20</c:v>
                </c:pt>
                <c:pt idx="28">
                  <c:v>1.1545771918054733E+21</c:v>
                </c:pt>
                <c:pt idx="29">
                  <c:v>1.1545771918054734E+22</c:v>
                </c:pt>
                <c:pt idx="30">
                  <c:v>1.1545771918054732E+23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6.7738876183229333E-6</c:v>
                </c:pt>
                <c:pt idx="1">
                  <c:v>6.7738876183229317E-5</c:v>
                </c:pt>
                <c:pt idx="2">
                  <c:v>6.7738876183229323E-4</c:v>
                </c:pt>
                <c:pt idx="3">
                  <c:v>6.7738876183229321E-3</c:v>
                </c:pt>
                <c:pt idx="4">
                  <c:v>6.7738876183229324E-2</c:v>
                </c:pt>
                <c:pt idx="5">
                  <c:v>0.67738876183229324</c:v>
                </c:pt>
                <c:pt idx="6">
                  <c:v>6.7738876183229326</c:v>
                </c:pt>
                <c:pt idx="7">
                  <c:v>67.738876183229323</c:v>
                </c:pt>
                <c:pt idx="8">
                  <c:v>677.3887618322932</c:v>
                </c:pt>
                <c:pt idx="9">
                  <c:v>6773.8876183229322</c:v>
                </c:pt>
                <c:pt idx="10">
                  <c:v>67738.876183229324</c:v>
                </c:pt>
                <c:pt idx="11">
                  <c:v>677388.76183229324</c:v>
                </c:pt>
                <c:pt idx="12">
                  <c:v>6773887.6183229322</c:v>
                </c:pt>
                <c:pt idx="13">
                  <c:v>67738876.183229327</c:v>
                </c:pt>
                <c:pt idx="14">
                  <c:v>677388761.83229327</c:v>
                </c:pt>
                <c:pt idx="15">
                  <c:v>6773887618.3229322</c:v>
                </c:pt>
                <c:pt idx="16">
                  <c:v>67738876183.229324</c:v>
                </c:pt>
                <c:pt idx="17">
                  <c:v>677388761832.29321</c:v>
                </c:pt>
                <c:pt idx="18">
                  <c:v>6773887618322.9326</c:v>
                </c:pt>
                <c:pt idx="19">
                  <c:v>67738876183229.32</c:v>
                </c:pt>
                <c:pt idx="20">
                  <c:v>677388761832293.25</c:v>
                </c:pt>
                <c:pt idx="21">
                  <c:v>6773887618322932</c:v>
                </c:pt>
                <c:pt idx="22">
                  <c:v>6.7738876183229328E+16</c:v>
                </c:pt>
                <c:pt idx="23">
                  <c:v>6.7738876183229325E+17</c:v>
                </c:pt>
                <c:pt idx="24">
                  <c:v>6.7738876183229327E+18</c:v>
                </c:pt>
                <c:pt idx="25">
                  <c:v>6.7738876183229325E+19</c:v>
                </c:pt>
                <c:pt idx="26">
                  <c:v>6.7738876183229327E+20</c:v>
                </c:pt>
                <c:pt idx="27">
                  <c:v>6.7738876183229319E+21</c:v>
                </c:pt>
                <c:pt idx="28">
                  <c:v>6.7738876183229321E+22</c:v>
                </c:pt>
                <c:pt idx="29">
                  <c:v>6.7738876183229321E+23</c:v>
                </c:pt>
                <c:pt idx="30">
                  <c:v>6.7738876183229321E+24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0351496"/>
        <c:axId val="440345616"/>
      </c:scatterChart>
      <c:valAx>
        <c:axId val="4403514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5616"/>
        <c:crosses val="autoZero"/>
        <c:crossBetween val="midCat"/>
      </c:valAx>
      <c:valAx>
        <c:axId val="440345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5149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4.1554385428399519E-25</c:v>
                </c:pt>
                <c:pt idx="1">
                  <c:v>4.1554385428399515E-24</c:v>
                </c:pt>
                <c:pt idx="2">
                  <c:v>4.1554385428399514E-23</c:v>
                </c:pt>
                <c:pt idx="3">
                  <c:v>4.155438542839951E-22</c:v>
                </c:pt>
                <c:pt idx="4">
                  <c:v>4.1554385428399507E-21</c:v>
                </c:pt>
                <c:pt idx="5">
                  <c:v>4.1554385428399515E-20</c:v>
                </c:pt>
                <c:pt idx="6">
                  <c:v>4.1554385428399516E-19</c:v>
                </c:pt>
                <c:pt idx="7">
                  <c:v>4.1554385428399511E-18</c:v>
                </c:pt>
                <c:pt idx="8">
                  <c:v>4.155438542839951E-17</c:v>
                </c:pt>
                <c:pt idx="9">
                  <c:v>4.1554385428399507E-16</c:v>
                </c:pt>
                <c:pt idx="10">
                  <c:v>4.1554385428399511E-15</c:v>
                </c:pt>
                <c:pt idx="11">
                  <c:v>4.1554385428399513E-14</c:v>
                </c:pt>
                <c:pt idx="12">
                  <c:v>4.1554385428399512E-13</c:v>
                </c:pt>
                <c:pt idx="13">
                  <c:v>4.1554385428399516E-12</c:v>
                </c:pt>
                <c:pt idx="14">
                  <c:v>4.1554385428399514E-11</c:v>
                </c:pt>
                <c:pt idx="15">
                  <c:v>4.155438542839951E-10</c:v>
                </c:pt>
                <c:pt idx="16">
                  <c:v>4.1554385428399509E-9</c:v>
                </c:pt>
                <c:pt idx="17">
                  <c:v>4.1554385428399509E-8</c:v>
                </c:pt>
                <c:pt idx="18">
                  <c:v>4.1554385428399509E-7</c:v>
                </c:pt>
                <c:pt idx="19">
                  <c:v>4.1554385428399512E-6</c:v>
                </c:pt>
                <c:pt idx="20">
                  <c:v>4.1554385428399512E-5</c:v>
                </c:pt>
                <c:pt idx="21">
                  <c:v>4.155438542839951E-4</c:v>
                </c:pt>
                <c:pt idx="22">
                  <c:v>4.155438542839951E-3</c:v>
                </c:pt>
                <c:pt idx="23">
                  <c:v>4.155438542839951E-2</c:v>
                </c:pt>
                <c:pt idx="24">
                  <c:v>0.4155438542839951</c:v>
                </c:pt>
                <c:pt idx="25">
                  <c:v>4.155438542839951</c:v>
                </c:pt>
                <c:pt idx="26">
                  <c:v>41.554385428399513</c:v>
                </c:pt>
                <c:pt idx="27">
                  <c:v>415.54385428399513</c:v>
                </c:pt>
                <c:pt idx="28">
                  <c:v>4155.438542839951</c:v>
                </c:pt>
                <c:pt idx="29">
                  <c:v>41554.38542839951</c:v>
                </c:pt>
                <c:pt idx="30">
                  <c:v>415543.85428399511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2.2701588870349419E-23</c:v>
                </c:pt>
                <c:pt idx="1">
                  <c:v>2.2701588870349416E-22</c:v>
                </c:pt>
                <c:pt idx="2">
                  <c:v>2.2701588870349419E-21</c:v>
                </c:pt>
                <c:pt idx="3">
                  <c:v>2.2701588870349417E-20</c:v>
                </c:pt>
                <c:pt idx="4">
                  <c:v>2.2701588870349415E-19</c:v>
                </c:pt>
                <c:pt idx="5">
                  <c:v>2.270158887034942E-18</c:v>
                </c:pt>
                <c:pt idx="6">
                  <c:v>2.2701588870349419E-17</c:v>
                </c:pt>
                <c:pt idx="7">
                  <c:v>2.2701588870349417E-16</c:v>
                </c:pt>
                <c:pt idx="8">
                  <c:v>2.2701588870349416E-15</c:v>
                </c:pt>
                <c:pt idx="9">
                  <c:v>2.2701588870349418E-14</c:v>
                </c:pt>
                <c:pt idx="10">
                  <c:v>2.270158887034942E-13</c:v>
                </c:pt>
                <c:pt idx="11">
                  <c:v>2.2701588870349418E-12</c:v>
                </c:pt>
                <c:pt idx="12">
                  <c:v>2.270158887034942E-11</c:v>
                </c:pt>
                <c:pt idx="13">
                  <c:v>2.270158887034942E-10</c:v>
                </c:pt>
                <c:pt idx="14">
                  <c:v>2.2701588870349419E-9</c:v>
                </c:pt>
                <c:pt idx="15">
                  <c:v>2.2701588870349417E-8</c:v>
                </c:pt>
                <c:pt idx="16">
                  <c:v>2.2701588870349418E-7</c:v>
                </c:pt>
                <c:pt idx="17">
                  <c:v>2.2701588870349417E-6</c:v>
                </c:pt>
                <c:pt idx="18">
                  <c:v>2.2701588870349416E-5</c:v>
                </c:pt>
                <c:pt idx="19">
                  <c:v>2.2701588870349418E-4</c:v>
                </c:pt>
                <c:pt idx="20">
                  <c:v>2.2701588870349416E-3</c:v>
                </c:pt>
                <c:pt idx="21">
                  <c:v>2.2701588870349419E-2</c:v>
                </c:pt>
                <c:pt idx="22">
                  <c:v>0.22701588870349418</c:v>
                </c:pt>
                <c:pt idx="23">
                  <c:v>2.2701588870349418</c:v>
                </c:pt>
                <c:pt idx="24">
                  <c:v>22.701588870349418</c:v>
                </c:pt>
                <c:pt idx="25">
                  <c:v>227.01588870349417</c:v>
                </c:pt>
                <c:pt idx="26">
                  <c:v>2270.1588870349419</c:v>
                </c:pt>
                <c:pt idx="27">
                  <c:v>22701.588870349417</c:v>
                </c:pt>
                <c:pt idx="28">
                  <c:v>227015.88870349419</c:v>
                </c:pt>
                <c:pt idx="29">
                  <c:v>2270158.8870349419</c:v>
                </c:pt>
                <c:pt idx="30">
                  <c:v>22701588.870349418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8.4546563362260539E-22</c:v>
                </c:pt>
                <c:pt idx="1">
                  <c:v>8.4546563362260543E-21</c:v>
                </c:pt>
                <c:pt idx="2">
                  <c:v>8.4546563362260534E-20</c:v>
                </c:pt>
                <c:pt idx="3">
                  <c:v>8.4546563362260539E-19</c:v>
                </c:pt>
                <c:pt idx="4">
                  <c:v>8.4546563362260533E-18</c:v>
                </c:pt>
                <c:pt idx="5">
                  <c:v>8.4546563362260545E-17</c:v>
                </c:pt>
                <c:pt idx="6">
                  <c:v>8.4546563362260538E-16</c:v>
                </c:pt>
                <c:pt idx="7">
                  <c:v>8.4546563362260538E-15</c:v>
                </c:pt>
                <c:pt idx="8">
                  <c:v>8.4546563362260538E-14</c:v>
                </c:pt>
                <c:pt idx="9">
                  <c:v>8.4546563362260536E-13</c:v>
                </c:pt>
                <c:pt idx="10">
                  <c:v>8.4546563362260552E-12</c:v>
                </c:pt>
                <c:pt idx="11">
                  <c:v>8.4546563362260539E-11</c:v>
                </c:pt>
                <c:pt idx="12">
                  <c:v>8.4546563362260539E-10</c:v>
                </c:pt>
                <c:pt idx="13">
                  <c:v>8.4546563362260539E-9</c:v>
                </c:pt>
                <c:pt idx="14">
                  <c:v>8.4546563362260545E-8</c:v>
                </c:pt>
                <c:pt idx="15">
                  <c:v>8.4546563362260537E-7</c:v>
                </c:pt>
                <c:pt idx="16">
                  <c:v>8.4546563362260542E-6</c:v>
                </c:pt>
                <c:pt idx="17">
                  <c:v>8.4546563362260542E-5</c:v>
                </c:pt>
                <c:pt idx="18">
                  <c:v>8.4546563362260534E-4</c:v>
                </c:pt>
                <c:pt idx="19">
                  <c:v>8.4546563362260536E-3</c:v>
                </c:pt>
                <c:pt idx="20">
                  <c:v>8.4546563362260532E-2</c:v>
                </c:pt>
                <c:pt idx="21">
                  <c:v>0.84546563362260541</c:v>
                </c:pt>
                <c:pt idx="22">
                  <c:v>8.4546563362260532</c:v>
                </c:pt>
                <c:pt idx="23">
                  <c:v>84.546563362260542</c:v>
                </c:pt>
                <c:pt idx="24">
                  <c:v>845.46563362260542</c:v>
                </c:pt>
                <c:pt idx="25">
                  <c:v>8454.6563362260531</c:v>
                </c:pt>
                <c:pt idx="26">
                  <c:v>84546.563362260538</c:v>
                </c:pt>
                <c:pt idx="27">
                  <c:v>845465.63362260535</c:v>
                </c:pt>
                <c:pt idx="28">
                  <c:v>8454656.3362260535</c:v>
                </c:pt>
                <c:pt idx="29">
                  <c:v>84546563.362260535</c:v>
                </c:pt>
                <c:pt idx="30">
                  <c:v>845465633.62260532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1.9250865058659276E-19</c:v>
                </c:pt>
                <c:pt idx="1">
                  <c:v>1.9250865058659272E-18</c:v>
                </c:pt>
                <c:pt idx="2">
                  <c:v>1.9250865058659275E-17</c:v>
                </c:pt>
                <c:pt idx="3">
                  <c:v>1.9250865058659275E-16</c:v>
                </c:pt>
                <c:pt idx="4">
                  <c:v>1.9250865058659272E-15</c:v>
                </c:pt>
                <c:pt idx="5">
                  <c:v>1.9250865058659276E-14</c:v>
                </c:pt>
                <c:pt idx="6">
                  <c:v>1.9250865058659276E-13</c:v>
                </c:pt>
                <c:pt idx="7">
                  <c:v>1.9250865058659273E-12</c:v>
                </c:pt>
                <c:pt idx="8">
                  <c:v>1.9250865058659274E-11</c:v>
                </c:pt>
                <c:pt idx="9">
                  <c:v>1.9250865058659273E-10</c:v>
                </c:pt>
                <c:pt idx="10">
                  <c:v>1.9250865058659275E-9</c:v>
                </c:pt>
                <c:pt idx="11">
                  <c:v>1.9250865058659276E-8</c:v>
                </c:pt>
                <c:pt idx="12">
                  <c:v>1.9250865058659276E-7</c:v>
                </c:pt>
                <c:pt idx="13">
                  <c:v>1.9250865058659274E-6</c:v>
                </c:pt>
                <c:pt idx="14">
                  <c:v>1.9250865058659274E-5</c:v>
                </c:pt>
                <c:pt idx="15">
                  <c:v>1.9250865058659274E-4</c:v>
                </c:pt>
                <c:pt idx="16">
                  <c:v>1.9250865058659274E-3</c:v>
                </c:pt>
                <c:pt idx="17">
                  <c:v>1.9250865058659274E-2</c:v>
                </c:pt>
                <c:pt idx="18">
                  <c:v>0.19250865058659275</c:v>
                </c:pt>
                <c:pt idx="19">
                  <c:v>1.9250865058659274</c:v>
                </c:pt>
                <c:pt idx="20">
                  <c:v>19.250865058659276</c:v>
                </c:pt>
                <c:pt idx="21">
                  <c:v>192.50865058659275</c:v>
                </c:pt>
                <c:pt idx="22">
                  <c:v>1925.0865058659274</c:v>
                </c:pt>
                <c:pt idx="23">
                  <c:v>19250.865058659274</c:v>
                </c:pt>
                <c:pt idx="24">
                  <c:v>192508.65058659273</c:v>
                </c:pt>
                <c:pt idx="25">
                  <c:v>1925086.5058659273</c:v>
                </c:pt>
                <c:pt idx="26">
                  <c:v>19250865.058659274</c:v>
                </c:pt>
                <c:pt idx="27">
                  <c:v>192508650.58659273</c:v>
                </c:pt>
                <c:pt idx="28">
                  <c:v>1925086505.8659275</c:v>
                </c:pt>
                <c:pt idx="29">
                  <c:v>19250865058.659275</c:v>
                </c:pt>
                <c:pt idx="30">
                  <c:v>192508650586.59274</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1.1545771918054734E-7</c:v>
                </c:pt>
                <c:pt idx="1">
                  <c:v>1.1545771918054734E-6</c:v>
                </c:pt>
                <c:pt idx="2">
                  <c:v>1.1545771918054733E-5</c:v>
                </c:pt>
                <c:pt idx="3">
                  <c:v>1.1545771918054733E-4</c:v>
                </c:pt>
                <c:pt idx="4">
                  <c:v>1.1545771918054731E-3</c:v>
                </c:pt>
                <c:pt idx="5">
                  <c:v>1.1545771918054733E-2</c:v>
                </c:pt>
                <c:pt idx="6">
                  <c:v>0.11545771918054734</c:v>
                </c:pt>
                <c:pt idx="7">
                  <c:v>1.1545771918054732</c:v>
                </c:pt>
                <c:pt idx="8">
                  <c:v>11.545771918054733</c:v>
                </c:pt>
                <c:pt idx="9">
                  <c:v>115.45771918054733</c:v>
                </c:pt>
                <c:pt idx="10">
                  <c:v>1154.5771918054734</c:v>
                </c:pt>
                <c:pt idx="11">
                  <c:v>11545.771918054734</c:v>
                </c:pt>
                <c:pt idx="12">
                  <c:v>115457.71918054733</c:v>
                </c:pt>
                <c:pt idx="13">
                  <c:v>1154577.1918054733</c:v>
                </c:pt>
                <c:pt idx="14">
                  <c:v>11545771.918054733</c:v>
                </c:pt>
                <c:pt idx="15">
                  <c:v>115457719.18054733</c:v>
                </c:pt>
                <c:pt idx="16">
                  <c:v>1154577191.8054733</c:v>
                </c:pt>
                <c:pt idx="17">
                  <c:v>11545771918.054733</c:v>
                </c:pt>
                <c:pt idx="18">
                  <c:v>115457719180.54733</c:v>
                </c:pt>
                <c:pt idx="19">
                  <c:v>1154577191805.4734</c:v>
                </c:pt>
                <c:pt idx="20">
                  <c:v>11545771918054.732</c:v>
                </c:pt>
                <c:pt idx="21">
                  <c:v>115457719180547.33</c:v>
                </c:pt>
                <c:pt idx="22">
                  <c:v>1154577191805473.2</c:v>
                </c:pt>
                <c:pt idx="23">
                  <c:v>1.1545771918054732E+16</c:v>
                </c:pt>
                <c:pt idx="24">
                  <c:v>1.1545771918054733E+17</c:v>
                </c:pt>
                <c:pt idx="25">
                  <c:v>1.1545771918054733E+18</c:v>
                </c:pt>
                <c:pt idx="26">
                  <c:v>1.1545771918054732E+19</c:v>
                </c:pt>
                <c:pt idx="27">
                  <c:v>1.1545771918054733E+20</c:v>
                </c:pt>
                <c:pt idx="28">
                  <c:v>1.1545771918054733E+21</c:v>
                </c:pt>
                <c:pt idx="29">
                  <c:v>1.1545771918054734E+22</c:v>
                </c:pt>
                <c:pt idx="30">
                  <c:v>1.1545771918054732E+23</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6.7738876183229333E-6</c:v>
                </c:pt>
                <c:pt idx="1">
                  <c:v>6.7738876183229317E-5</c:v>
                </c:pt>
                <c:pt idx="2">
                  <c:v>6.7738876183229323E-4</c:v>
                </c:pt>
                <c:pt idx="3">
                  <c:v>6.7738876183229321E-3</c:v>
                </c:pt>
                <c:pt idx="4">
                  <c:v>6.7738876183229324E-2</c:v>
                </c:pt>
                <c:pt idx="5">
                  <c:v>0.67738876183229324</c:v>
                </c:pt>
                <c:pt idx="6">
                  <c:v>6.7738876183229326</c:v>
                </c:pt>
                <c:pt idx="7">
                  <c:v>67.738876183229323</c:v>
                </c:pt>
                <c:pt idx="8">
                  <c:v>677.3887618322932</c:v>
                </c:pt>
                <c:pt idx="9">
                  <c:v>6773.8876183229322</c:v>
                </c:pt>
                <c:pt idx="10">
                  <c:v>67738.876183229324</c:v>
                </c:pt>
                <c:pt idx="11">
                  <c:v>677388.76183229324</c:v>
                </c:pt>
                <c:pt idx="12">
                  <c:v>6773887.6183229322</c:v>
                </c:pt>
                <c:pt idx="13">
                  <c:v>67738876.183229327</c:v>
                </c:pt>
                <c:pt idx="14">
                  <c:v>677388761.83229327</c:v>
                </c:pt>
                <c:pt idx="15">
                  <c:v>6773887618.3229322</c:v>
                </c:pt>
                <c:pt idx="16">
                  <c:v>67738876183.229324</c:v>
                </c:pt>
                <c:pt idx="17">
                  <c:v>677388761832.29321</c:v>
                </c:pt>
                <c:pt idx="18">
                  <c:v>6773887618322.9326</c:v>
                </c:pt>
                <c:pt idx="19">
                  <c:v>67738876183229.32</c:v>
                </c:pt>
                <c:pt idx="20">
                  <c:v>677388761832293.25</c:v>
                </c:pt>
                <c:pt idx="21">
                  <c:v>6773887618322932</c:v>
                </c:pt>
                <c:pt idx="22">
                  <c:v>6.7738876183229328E+16</c:v>
                </c:pt>
                <c:pt idx="23">
                  <c:v>6.7738876183229325E+17</c:v>
                </c:pt>
                <c:pt idx="24">
                  <c:v>6.7738876183229327E+18</c:v>
                </c:pt>
                <c:pt idx="25">
                  <c:v>6.7738876183229325E+19</c:v>
                </c:pt>
                <c:pt idx="26">
                  <c:v>6.7738876183229327E+20</c:v>
                </c:pt>
                <c:pt idx="27">
                  <c:v>6.7738876183229319E+21</c:v>
                </c:pt>
                <c:pt idx="28">
                  <c:v>6.7738876183229321E+22</c:v>
                </c:pt>
                <c:pt idx="29">
                  <c:v>6.7738876183229321E+23</c:v>
                </c:pt>
                <c:pt idx="30">
                  <c:v>6.7738876183229321E+24</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7439.7300389875654</c:v>
                </c:pt>
                <c:pt idx="1">
                  <c:v>7439.7300389875654</c:v>
                </c:pt>
                <c:pt idx="2">
                  <c:v>7439.7339342688329</c:v>
                </c:pt>
                <c:pt idx="3">
                  <c:v>7406.6969156987388</c:v>
                </c:pt>
                <c:pt idx="4">
                  <c:v>7381.4552725937056</c:v>
                </c:pt>
                <c:pt idx="5">
                  <c:v>7381.2394018214954</c:v>
                </c:pt>
                <c:pt idx="6">
                  <c:v>7379.3868134644645</c:v>
                </c:pt>
                <c:pt idx="7">
                  <c:v>7320.8588116549827</c:v>
                </c:pt>
                <c:pt idx="8">
                  <c:v>7209.6704564184183</c:v>
                </c:pt>
                <c:pt idx="9">
                  <c:v>7060.1418643166126</c:v>
                </c:pt>
                <c:pt idx="10">
                  <c:v>6764.9104190611779</c:v>
                </c:pt>
                <c:pt idx="11">
                  <c:v>6429.8266434634443</c:v>
                </c:pt>
                <c:pt idx="12">
                  <c:v>5970.8431101294782</c:v>
                </c:pt>
                <c:pt idx="13">
                  <c:v>5530.1139729977176</c:v>
                </c:pt>
                <c:pt idx="14">
                  <c:v>5176.0509115400628</c:v>
                </c:pt>
                <c:pt idx="15">
                  <c:v>4563.9699654860879</c:v>
                </c:pt>
                <c:pt idx="16">
                  <c:v>3935.3639656515084</c:v>
                </c:pt>
                <c:pt idx="17">
                  <c:v>3424.2409160347711</c:v>
                </c:pt>
                <c:pt idx="18">
                  <c:v>2457.6306581082695</c:v>
                </c:pt>
                <c:pt idx="19">
                  <c:v>1762.4710028638951</c:v>
                </c:pt>
                <c:pt idx="20">
                  <c:v>1090.3816817317634</c:v>
                </c:pt>
                <c:pt idx="21">
                  <c:v>668.87113764136575</c:v>
                </c:pt>
                <c:pt idx="22">
                  <c:v>364.1658011484277</c:v>
                </c:pt>
                <c:pt idx="23">
                  <c:v>253.81729259189456</c:v>
                </c:pt>
                <c:pt idx="24">
                  <c:v>217.96559959517339</c:v>
                </c:pt>
                <c:pt idx="25">
                  <c:v>193.81928252694365</c:v>
                </c:pt>
                <c:pt idx="26">
                  <c:v>173.53083190685766</c:v>
                </c:pt>
                <c:pt idx="27">
                  <c:v>149.60284674742712</c:v>
                </c:pt>
                <c:pt idx="28">
                  <c:v>127.31860798738022</c:v>
                </c:pt>
                <c:pt idx="29">
                  <c:v>119.20571487717096</c:v>
                </c:pt>
                <c:pt idx="30">
                  <c:v>119.20571487717096</c:v>
                </c:pt>
              </c:numCache>
            </c:numRef>
          </c:yVal>
          <c:smooth val="1"/>
        </c:ser>
        <c:dLbls>
          <c:showLegendKey val="0"/>
          <c:showVal val="0"/>
          <c:showCatName val="0"/>
          <c:showSerName val="0"/>
          <c:showPercent val="0"/>
          <c:showBubbleSize val="0"/>
        </c:dLbls>
        <c:axId val="440346008"/>
        <c:axId val="440347576"/>
      </c:scatterChart>
      <c:valAx>
        <c:axId val="44034600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7576"/>
        <c:crosses val="autoZero"/>
        <c:crossBetween val="midCat"/>
      </c:valAx>
      <c:valAx>
        <c:axId val="44034757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6008"/>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7439.7300389875654</c:v>
                </c:pt>
                <c:pt idx="1">
                  <c:v>7439.7300389875654</c:v>
                </c:pt>
                <c:pt idx="2">
                  <c:v>7439.7339342688329</c:v>
                </c:pt>
                <c:pt idx="3">
                  <c:v>7406.6969156987388</c:v>
                </c:pt>
                <c:pt idx="4">
                  <c:v>7381.4552725937056</c:v>
                </c:pt>
                <c:pt idx="5">
                  <c:v>7381.2394018214954</c:v>
                </c:pt>
                <c:pt idx="6">
                  <c:v>7379.3868134644645</c:v>
                </c:pt>
                <c:pt idx="7">
                  <c:v>7320.8588116549827</c:v>
                </c:pt>
                <c:pt idx="8">
                  <c:v>7209.6704564184183</c:v>
                </c:pt>
                <c:pt idx="9">
                  <c:v>7060.1418643166126</c:v>
                </c:pt>
                <c:pt idx="10">
                  <c:v>6764.9104190611779</c:v>
                </c:pt>
                <c:pt idx="11">
                  <c:v>6429.8266434634443</c:v>
                </c:pt>
                <c:pt idx="12">
                  <c:v>5970.8431101294782</c:v>
                </c:pt>
                <c:pt idx="13">
                  <c:v>5530.1139729977176</c:v>
                </c:pt>
                <c:pt idx="14">
                  <c:v>5176.0509115400628</c:v>
                </c:pt>
                <c:pt idx="15">
                  <c:v>4563.9699654860879</c:v>
                </c:pt>
                <c:pt idx="16">
                  <c:v>3935.3639656515084</c:v>
                </c:pt>
                <c:pt idx="17">
                  <c:v>3424.2409160347711</c:v>
                </c:pt>
                <c:pt idx="18">
                  <c:v>2457.6306581082695</c:v>
                </c:pt>
                <c:pt idx="19">
                  <c:v>1762.4710028638951</c:v>
                </c:pt>
                <c:pt idx="20">
                  <c:v>1090.3816817317634</c:v>
                </c:pt>
                <c:pt idx="21">
                  <c:v>668.87113764136575</c:v>
                </c:pt>
                <c:pt idx="22">
                  <c:v>364.1658011484277</c:v>
                </c:pt>
                <c:pt idx="23">
                  <c:v>253.81729259189456</c:v>
                </c:pt>
                <c:pt idx="24">
                  <c:v>217.96559959517339</c:v>
                </c:pt>
                <c:pt idx="25">
                  <c:v>193.81928252694365</c:v>
                </c:pt>
                <c:pt idx="26">
                  <c:v>173.53083190685766</c:v>
                </c:pt>
                <c:pt idx="27">
                  <c:v>149.60284674742712</c:v>
                </c:pt>
                <c:pt idx="28">
                  <c:v>127.31860798738022</c:v>
                </c:pt>
                <c:pt idx="29">
                  <c:v>119.20571487717096</c:v>
                </c:pt>
                <c:pt idx="30">
                  <c:v>119.20571487717096</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7233.6489151349888</c:v>
                </c:pt>
                <c:pt idx="1">
                  <c:v>7233.6412378886307</c:v>
                </c:pt>
                <c:pt idx="2">
                  <c:v>7233.5645127407743</c:v>
                </c:pt>
                <c:pt idx="3">
                  <c:v>7232.8019645906397</c:v>
                </c:pt>
                <c:pt idx="4">
                  <c:v>7225.619847777838</c:v>
                </c:pt>
                <c:pt idx="5">
                  <c:v>7180.2833661938748</c:v>
                </c:pt>
                <c:pt idx="6">
                  <c:v>7042.6134220273079</c:v>
                </c:pt>
                <c:pt idx="7">
                  <c:v>6896.7237029183789</c:v>
                </c:pt>
                <c:pt idx="8">
                  <c:v>6728.1953309620003</c:v>
                </c:pt>
                <c:pt idx="9">
                  <c:v>6522.9858724732439</c:v>
                </c:pt>
                <c:pt idx="10">
                  <c:v>6323.3549224651961</c:v>
                </c:pt>
                <c:pt idx="11">
                  <c:v>6061.4531858005121</c:v>
                </c:pt>
                <c:pt idx="12">
                  <c:v>5776.012764615436</c:v>
                </c:pt>
                <c:pt idx="13">
                  <c:v>5496.5428995775655</c:v>
                </c:pt>
                <c:pt idx="14">
                  <c:v>5187.9027907448963</c:v>
                </c:pt>
                <c:pt idx="15">
                  <c:v>4846.7041769983107</c:v>
                </c:pt>
                <c:pt idx="16">
                  <c:v>4307.1872824997363</c:v>
                </c:pt>
                <c:pt idx="17">
                  <c:v>3424.4406657342906</c:v>
                </c:pt>
                <c:pt idx="18">
                  <c:v>2457.5271460883973</c:v>
                </c:pt>
                <c:pt idx="19">
                  <c:v>1610.9820944062296</c:v>
                </c:pt>
                <c:pt idx="20">
                  <c:v>942.67726251154704</c:v>
                </c:pt>
                <c:pt idx="21">
                  <c:v>510.3275144611062</c:v>
                </c:pt>
                <c:pt idx="22">
                  <c:v>271.37619567222657</c:v>
                </c:pt>
                <c:pt idx="23">
                  <c:v>152.43284869278892</c:v>
                </c:pt>
                <c:pt idx="24">
                  <c:v>114.52070603066497</c:v>
                </c:pt>
                <c:pt idx="25">
                  <c:v>101.0217963372644</c:v>
                </c:pt>
                <c:pt idx="26">
                  <c:v>93.163179445820916</c:v>
                </c:pt>
                <c:pt idx="27">
                  <c:v>92.44109428906431</c:v>
                </c:pt>
                <c:pt idx="28">
                  <c:v>91.485697154802935</c:v>
                </c:pt>
                <c:pt idx="29">
                  <c:v>91.046181066402454</c:v>
                </c:pt>
                <c:pt idx="30">
                  <c:v>90.32215647813598</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7330.9827979802012</c:v>
                </c:pt>
                <c:pt idx="1">
                  <c:v>7330.9827798020169</c:v>
                </c:pt>
                <c:pt idx="2">
                  <c:v>7330.9825980203041</c:v>
                </c:pt>
                <c:pt idx="3">
                  <c:v>7330.9807802143614</c:v>
                </c:pt>
                <c:pt idx="4">
                  <c:v>7330.962603274631</c:v>
                </c:pt>
                <c:pt idx="5">
                  <c:v>7330.7809457957028</c:v>
                </c:pt>
                <c:pt idx="6">
                  <c:v>7328.975511965743</c:v>
                </c:pt>
                <c:pt idx="7">
                  <c:v>7311.9860995493136</c:v>
                </c:pt>
                <c:pt idx="8">
                  <c:v>7212.6681452570419</c:v>
                </c:pt>
                <c:pt idx="9">
                  <c:v>7059.5129445463335</c:v>
                </c:pt>
                <c:pt idx="10">
                  <c:v>6765.4702908358804</c:v>
                </c:pt>
                <c:pt idx="11">
                  <c:v>6429.21758324661</c:v>
                </c:pt>
                <c:pt idx="12">
                  <c:v>5971.6297938782245</c:v>
                </c:pt>
                <c:pt idx="13">
                  <c:v>5529.2128367195519</c:v>
                </c:pt>
                <c:pt idx="14">
                  <c:v>5176.8097456646301</c:v>
                </c:pt>
                <c:pt idx="15">
                  <c:v>4563.4243397392165</c:v>
                </c:pt>
                <c:pt idx="16">
                  <c:v>3935.7742315829887</c:v>
                </c:pt>
                <c:pt idx="17">
                  <c:v>3423.946004763402</c:v>
                </c:pt>
                <c:pt idx="18">
                  <c:v>2457.8698622224756</c:v>
                </c:pt>
                <c:pt idx="19">
                  <c:v>1762.2420876294852</c:v>
                </c:pt>
                <c:pt idx="20">
                  <c:v>1090.555088771647</c:v>
                </c:pt>
                <c:pt idx="21">
                  <c:v>668.75289286567829</c:v>
                </c:pt>
                <c:pt idx="22">
                  <c:v>364.23740076252238</c:v>
                </c:pt>
                <c:pt idx="23">
                  <c:v>253.84185481062184</c:v>
                </c:pt>
                <c:pt idx="24">
                  <c:v>217.92319276213527</c:v>
                </c:pt>
                <c:pt idx="25">
                  <c:v>193.69741325308405</c:v>
                </c:pt>
                <c:pt idx="26">
                  <c:v>173.73716912107898</c:v>
                </c:pt>
                <c:pt idx="27">
                  <c:v>149.41020001713187</c:v>
                </c:pt>
                <c:pt idx="28">
                  <c:v>127.62673762343452</c:v>
                </c:pt>
                <c:pt idx="29">
                  <c:v>119.83765224815538</c:v>
                </c:pt>
                <c:pt idx="30">
                  <c:v>118.32351688728279</c:v>
                </c:pt>
              </c:numCache>
            </c:numRef>
          </c:yVal>
          <c:smooth val="1"/>
        </c:ser>
        <c:dLbls>
          <c:showLegendKey val="0"/>
          <c:showVal val="0"/>
          <c:showCatName val="0"/>
          <c:showSerName val="0"/>
          <c:showPercent val="0"/>
          <c:showBubbleSize val="0"/>
        </c:dLbls>
        <c:axId val="440349928"/>
        <c:axId val="440351104"/>
      </c:scatterChart>
      <c:valAx>
        <c:axId val="4403499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51104"/>
        <c:crosses val="autoZero"/>
        <c:crossBetween val="midCat"/>
      </c:valAx>
      <c:valAx>
        <c:axId val="4403511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992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1.4617095034023985E-2</c:v>
                </c:pt>
                <c:pt idx="1">
                  <c:v>1.4617097477416983E-2</c:v>
                </c:pt>
                <c:pt idx="2">
                  <c:v>1.4617637836159623E-2</c:v>
                </c:pt>
                <c:pt idx="3">
                  <c:v>1.0222658810824917E-2</c:v>
                </c:pt>
                <c:pt idx="4">
                  <c:v>6.840476227844487E-3</c:v>
                </c:pt>
                <c:pt idx="5">
                  <c:v>6.836041114360935E-3</c:v>
                </c:pt>
                <c:pt idx="6">
                  <c:v>6.831367263027981E-3</c:v>
                </c:pt>
                <c:pt idx="7">
                  <c:v>1.2119769461396363E-3</c:v>
                </c:pt>
                <c:pt idx="8">
                  <c:v>4.157872203375011E-4</c:v>
                </c:pt>
                <c:pt idx="9">
                  <c:v>8.9080330447425439E-5</c:v>
                </c:pt>
                <c:pt idx="10">
                  <c:v>8.2761151296991282E-5</c:v>
                </c:pt>
                <c:pt idx="11">
                  <c:v>9.4724204960236835E-5</c:v>
                </c:pt>
                <c:pt idx="12">
                  <c:v>1.3175421531537576E-4</c:v>
                </c:pt>
                <c:pt idx="13">
                  <c:v>1.6295076061104076E-4</c:v>
                </c:pt>
                <c:pt idx="14">
                  <c:v>1.4660484170963235E-4</c:v>
                </c:pt>
                <c:pt idx="15">
                  <c:v>1.1955068744919432E-4</c:v>
                </c:pt>
                <c:pt idx="16">
                  <c:v>1.042510769172103E-4</c:v>
                </c:pt>
                <c:pt idx="17">
                  <c:v>8.6124568510377315E-5</c:v>
                </c:pt>
                <c:pt idx="18">
                  <c:v>9.7331189052734236E-5</c:v>
                </c:pt>
                <c:pt idx="19">
                  <c:v>1.2988312093528061E-4</c:v>
                </c:pt>
                <c:pt idx="20">
                  <c:v>1.5903333923237387E-4</c:v>
                </c:pt>
                <c:pt idx="21">
                  <c:v>1.7678259538066412E-4</c:v>
                </c:pt>
                <c:pt idx="22">
                  <c:v>1.9661267990812018E-4</c:v>
                </c:pt>
                <c:pt idx="23">
                  <c:v>9.677125808278084E-5</c:v>
                </c:pt>
                <c:pt idx="24">
                  <c:v>1.9455745822678758E-4</c:v>
                </c:pt>
                <c:pt idx="25">
                  <c:v>6.2877786085427444E-4</c:v>
                </c:pt>
                <c:pt idx="26">
                  <c:v>1.1890521814133424E-3</c:v>
                </c:pt>
                <c:pt idx="27">
                  <c:v>1.2877210192430034E-3</c:v>
                </c:pt>
                <c:pt idx="28">
                  <c:v>2.4201461273032866E-3</c:v>
                </c:pt>
                <c:pt idx="29">
                  <c:v>5.3012338513766947E-3</c:v>
                </c:pt>
                <c:pt idx="30">
                  <c:v>7.4006350349660856E-3</c:v>
                </c:pt>
              </c:numCache>
            </c:numRef>
          </c:yVal>
          <c:smooth val="1"/>
        </c:ser>
        <c:dLbls>
          <c:showLegendKey val="0"/>
          <c:showVal val="0"/>
          <c:showCatName val="0"/>
          <c:showSerName val="0"/>
          <c:showPercent val="0"/>
          <c:showBubbleSize val="0"/>
        </c:dLbls>
        <c:axId val="440344048"/>
        <c:axId val="440346792"/>
      </c:scatterChart>
      <c:valAx>
        <c:axId val="4403440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6792"/>
        <c:crossesAt val="-1.5000000000000005E-3"/>
        <c:crossBetween val="midCat"/>
      </c:valAx>
      <c:valAx>
        <c:axId val="4403467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404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-21.601432961392753</c:v>
                </c:pt>
                <c:pt idx="1">
                  <c:v>-21.517031204258437</c:v>
                </c:pt>
                <c:pt idx="2">
                  <c:v>-21.432570860655503</c:v>
                </c:pt>
                <c:pt idx="3">
                  <c:v>-21.347993344115352</c:v>
                </c:pt>
                <c:pt idx="4">
                  <c:v>-21.26324006816936</c:v>
                </c:pt>
                <c:pt idx="5">
                  <c:v>-21.178252446348925</c:v>
                </c:pt>
                <c:pt idx="6">
                  <c:v>-21.092971892185428</c:v>
                </c:pt>
                <c:pt idx="7">
                  <c:v>-21.007339819210269</c:v>
                </c:pt>
                <c:pt idx="8">
                  <c:v>-20.921297640954823</c:v>
                </c:pt>
                <c:pt idx="9">
                  <c:v>-20.834786770950483</c:v>
                </c:pt>
                <c:pt idx="10">
                  <c:v>-20.747748622728643</c:v>
                </c:pt>
                <c:pt idx="11">
                  <c:v>-20.660124609820684</c:v>
                </c:pt>
                <c:pt idx="12">
                  <c:v>-20.571856145757998</c:v>
                </c:pt>
                <c:pt idx="13">
                  <c:v>-20.482884644071966</c:v>
                </c:pt>
                <c:pt idx="14">
                  <c:v>-20.39315151829399</c:v>
                </c:pt>
                <c:pt idx="15">
                  <c:v>-20.30259818195545</c:v>
                </c:pt>
                <c:pt idx="16">
                  <c:v>-20.211166048587735</c:v>
                </c:pt>
                <c:pt idx="17">
                  <c:v>-20.118796531722236</c:v>
                </c:pt>
                <c:pt idx="18">
                  <c:v>-20.02543104489034</c:v>
                </c:pt>
                <c:pt idx="19">
                  <c:v>-19.931011001623428</c:v>
                </c:pt>
                <c:pt idx="20">
                  <c:v>-19.835477815452897</c:v>
                </c:pt>
                <c:pt idx="21">
                  <c:v>-19.738772899910138</c:v>
                </c:pt>
                <c:pt idx="22">
                  <c:v>-19.64083766852653</c:v>
                </c:pt>
                <c:pt idx="23">
                  <c:v>-19.54161353483347</c:v>
                </c:pt>
                <c:pt idx="24">
                  <c:v>-19.441041912362344</c:v>
                </c:pt>
                <c:pt idx="25">
                  <c:v>-19.339064214644534</c:v>
                </c:pt>
                <c:pt idx="26">
                  <c:v>-19.235621855211438</c:v>
                </c:pt>
                <c:pt idx="27">
                  <c:v>-19.130656247594434</c:v>
                </c:pt>
                <c:pt idx="28">
                  <c:v>-19.024108805324921</c:v>
                </c:pt>
                <c:pt idx="29">
                  <c:v>-18.915920941934282</c:v>
                </c:pt>
                <c:pt idx="30">
                  <c:v>-18.806034070953899</c:v>
                </c:pt>
                <c:pt idx="31">
                  <c:v>-18.694389605915173</c:v>
                </c:pt>
                <c:pt idx="32">
                  <c:v>-18.580928960349489</c:v>
                </c:pt>
                <c:pt idx="33">
                  <c:v>-18.465593547788231</c:v>
                </c:pt>
                <c:pt idx="34">
                  <c:v>-18.348324781762788</c:v>
                </c:pt>
                <c:pt idx="35">
                  <c:v>-18.229064075804548</c:v>
                </c:pt>
                <c:pt idx="36">
                  <c:v>-18.107752843444903</c:v>
                </c:pt>
                <c:pt idx="37">
                  <c:v>-17.984332498215238</c:v>
                </c:pt>
                <c:pt idx="38">
                  <c:v>-17.858744453646942</c:v>
                </c:pt>
                <c:pt idx="39">
                  <c:v>-17.730930123271406</c:v>
                </c:pt>
                <c:pt idx="40">
                  <c:v>-17.60083092062002</c:v>
                </c:pt>
                <c:pt idx="41">
                  <c:v>-17.48973550123165</c:v>
                </c:pt>
                <c:pt idx="42">
                  <c:v>-17.376243919446146</c:v>
                </c:pt>
                <c:pt idx="43">
                  <c:v>-17.260303471610861</c:v>
                </c:pt>
                <c:pt idx="44">
                  <c:v>-17.141861454073126</c:v>
                </c:pt>
                <c:pt idx="45">
                  <c:v>-17.020865163180282</c:v>
                </c:pt>
                <c:pt idx="46">
                  <c:v>-16.897261895279662</c:v>
                </c:pt>
                <c:pt idx="47">
                  <c:v>-16.770998946718613</c:v>
                </c:pt>
                <c:pt idx="48">
                  <c:v>-16.642023613844472</c:v>
                </c:pt>
                <c:pt idx="49">
                  <c:v>-16.510283193004575</c:v>
                </c:pt>
                <c:pt idx="50">
                  <c:v>-16.375724980546259</c:v>
                </c:pt>
                <c:pt idx="51">
                  <c:v>-16.238296272816868</c:v>
                </c:pt>
                <c:pt idx="52">
                  <c:v>-16.097944366163738</c:v>
                </c:pt>
                <c:pt idx="53">
                  <c:v>-15.954616556934203</c:v>
                </c:pt>
                <c:pt idx="54">
                  <c:v>-15.808260141475612</c:v>
                </c:pt>
                <c:pt idx="55">
                  <c:v>-15.658822416135298</c:v>
                </c:pt>
                <c:pt idx="56">
                  <c:v>-15.506250677260599</c:v>
                </c:pt>
                <c:pt idx="57">
                  <c:v>-15.350492221198856</c:v>
                </c:pt>
                <c:pt idx="58">
                  <c:v>-15.191494344297407</c:v>
                </c:pt>
                <c:pt idx="59">
                  <c:v>-15.02920434290359</c:v>
                </c:pt>
                <c:pt idx="60">
                  <c:v>-14.863569513364745</c:v>
                </c:pt>
                <c:pt idx="61">
                  <c:v>-14.694537152028211</c:v>
                </c:pt>
                <c:pt idx="62">
                  <c:v>-14.522054555241324</c:v>
                </c:pt>
                <c:pt idx="63">
                  <c:v>-14.346069019351425</c:v>
                </c:pt>
                <c:pt idx="64">
                  <c:v>-14.166527840705852</c:v>
                </c:pt>
                <c:pt idx="65">
                  <c:v>-13.983378315651946</c:v>
                </c:pt>
                <c:pt idx="66">
                  <c:v>-13.796598306939895</c:v>
                </c:pt>
                <c:pt idx="67">
                  <c:v>-13.606287942931303</c:v>
                </c:pt>
                <c:pt idx="68">
                  <c:v>-13.412577918390625</c:v>
                </c:pt>
                <c:pt idx="69">
                  <c:v>-13.215598928082313</c:v>
                </c:pt>
                <c:pt idx="70">
                  <c:v>-13.015481666770825</c:v>
                </c:pt>
                <c:pt idx="71">
                  <c:v>-12.812356829220615</c:v>
                </c:pt>
                <c:pt idx="72">
                  <c:v>-12.606355110196134</c:v>
                </c:pt>
                <c:pt idx="73">
                  <c:v>-12.397607204461842</c:v>
                </c:pt>
                <c:pt idx="74">
                  <c:v>-12.186243806782189</c:v>
                </c:pt>
                <c:pt idx="75">
                  <c:v>-11.972395611921634</c:v>
                </c:pt>
                <c:pt idx="76">
                  <c:v>-11.75619331464463</c:v>
                </c:pt>
                <c:pt idx="77">
                  <c:v>-11.537767609715628</c:v>
                </c:pt>
                <c:pt idx="78">
                  <c:v>-11.317249191899087</c:v>
                </c:pt>
                <c:pt idx="79">
                  <c:v>-11.094768755959461</c:v>
                </c:pt>
                <c:pt idx="80">
                  <c:v>-10.870456996661204</c:v>
                </c:pt>
                <c:pt idx="81">
                  <c:v>-10.644444608768771</c:v>
                </c:pt>
                <c:pt idx="82">
                  <c:v>-10.416862287046616</c:v>
                </c:pt>
                <c:pt idx="83">
                  <c:v>-10.187840726259193</c:v>
                </c:pt>
                <c:pt idx="84">
                  <c:v>-9.9575106211709592</c:v>
                </c:pt>
                <c:pt idx="85">
                  <c:v>-9.7260026665463659</c:v>
                </c:pt>
                <c:pt idx="86">
                  <c:v>-9.4934475571498709</c:v>
                </c:pt>
                <c:pt idx="87">
                  <c:v>-9.2599759877459267</c:v>
                </c:pt>
                <c:pt idx="88">
                  <c:v>-9.0257186530989895</c:v>
                </c:pt>
                <c:pt idx="89">
                  <c:v>-8.7908062479735118</c:v>
                </c:pt>
                <c:pt idx="90">
                  <c:v>-8.5553694671339517</c:v>
                </c:pt>
                <c:pt idx="91">
                  <c:v>-8.3194687580348869</c:v>
                </c:pt>
                <c:pt idx="92">
                  <c:v>-8.0828835788914049</c:v>
                </c:pt>
                <c:pt idx="93">
                  <c:v>-7.8453231406087154</c:v>
                </c:pt>
                <c:pt idx="94">
                  <c:v>-7.6064966540920329</c:v>
                </c:pt>
                <c:pt idx="95">
                  <c:v>-7.3661133302465664</c:v>
                </c:pt>
                <c:pt idx="96">
                  <c:v>-7.1238823799775277</c:v>
                </c:pt>
                <c:pt idx="97">
                  <c:v>-6.8795130141901319</c:v>
                </c:pt>
                <c:pt idx="98">
                  <c:v>-6.6327144437895882</c:v>
                </c:pt>
                <c:pt idx="99">
                  <c:v>-6.3831958796811099</c:v>
                </c:pt>
                <c:pt idx="100">
                  <c:v>-6.130666532769907</c:v>
                </c:pt>
                <c:pt idx="101">
                  <c:v>-5.8748356139611921</c:v>
                </c:pt>
                <c:pt idx="102">
                  <c:v>-5.615412334160176</c:v>
                </c:pt>
                <c:pt idx="103">
                  <c:v>-5.3521059042720722</c:v>
                </c:pt>
                <c:pt idx="104">
                  <c:v>-5.0846255352020933</c:v>
                </c:pt>
                <c:pt idx="105">
                  <c:v>-4.8126804378554482</c:v>
                </c:pt>
                <c:pt idx="106">
                  <c:v>-4.5359798231373496</c:v>
                </c:pt>
                <c:pt idx="107">
                  <c:v>-4.2542329019530101</c:v>
                </c:pt>
                <c:pt idx="108">
                  <c:v>-3.9671488852076409</c:v>
                </c:pt>
                <c:pt idx="109">
                  <c:v>-3.6744369838064541</c:v>
                </c:pt>
                <c:pt idx="110">
                  <c:v>-3.375806408654662</c:v>
                </c:pt>
                <c:pt idx="111">
                  <c:v>-3.0709663706574748</c:v>
                </c:pt>
                <c:pt idx="112">
                  <c:v>-2.7596260807201056</c:v>
                </c:pt>
                <c:pt idx="113">
                  <c:v>-2.4414947497477661</c:v>
                </c:pt>
                <c:pt idx="114">
                  <c:v>-2.1162815886456672</c:v>
                </c:pt>
                <c:pt idx="115">
                  <c:v>-1.7836958083190217</c:v>
                </c:pt>
                <c:pt idx="116">
                  <c:v>-1.4434466196730404</c:v>
                </c:pt>
                <c:pt idx="117">
                  <c:v>-1.0952432336129361</c:v>
                </c:pt>
                <c:pt idx="118">
                  <c:v>-0.73879486104392023</c:v>
                </c:pt>
                <c:pt idx="119">
                  <c:v>-0.37381071287120404</c:v>
                </c:pt>
                <c:pt idx="120">
                  <c:v>0</c:v>
                </c:pt>
                <c:pt idx="121">
                  <c:v>0.38279519745448343</c:v>
                </c:pt>
                <c:pt idx="122">
                  <c:v>0.77420132253705365</c:v>
                </c:pt>
                <c:pt idx="123">
                  <c:v>1.1737119490825194</c:v>
                </c:pt>
                <c:pt idx="124">
                  <c:v>1.5808206509256908</c:v>
                </c:pt>
                <c:pt idx="125">
                  <c:v>1.9950210019013763</c:v>
                </c:pt>
                <c:pt idx="126">
                  <c:v>2.4158065758443872</c:v>
                </c:pt>
                <c:pt idx="127">
                  <c:v>2.842670946589533</c:v>
                </c:pt>
                <c:pt idx="128">
                  <c:v>3.2751076879716221</c:v>
                </c:pt>
                <c:pt idx="129">
                  <c:v>3.7126103738254645</c:v>
                </c:pt>
                <c:pt idx="130">
                  <c:v>4.1546725779858704</c:v>
                </c:pt>
                <c:pt idx="131">
                  <c:v>4.6007878742876507</c:v>
                </c:pt>
                <c:pt idx="132">
                  <c:v>5.0504498365656119</c:v>
                </c:pt>
                <c:pt idx="133">
                  <c:v>5.5031520386545658</c:v>
                </c:pt>
                <c:pt idx="134">
                  <c:v>5.9583880543893226</c:v>
                </c:pt>
                <c:pt idx="135">
                  <c:v>6.4156514576046906</c:v>
                </c:pt>
                <c:pt idx="136">
                  <c:v>6.8744358221354798</c:v>
                </c:pt>
                <c:pt idx="137">
                  <c:v>7.3342347218165003</c:v>
                </c:pt>
                <c:pt idx="138">
                  <c:v>7.7945417304825604</c:v>
                </c:pt>
                <c:pt idx="139">
                  <c:v>8.254850421968472</c:v>
                </c:pt>
                <c:pt idx="140">
                  <c:v>8.7146543701090415</c:v>
                </c:pt>
                <c:pt idx="141">
                  <c:v>9.1734471487390845</c:v>
                </c:pt>
                <c:pt idx="142">
                  <c:v>9.6307223316934056</c:v>
                </c:pt>
                <c:pt idx="143">
                  <c:v>10.085973492806815</c:v>
                </c:pt>
                <c:pt idx="144">
                  <c:v>10.538694205914123</c:v>
                </c:pt>
                <c:pt idx="145">
                  <c:v>10.988378044850137</c:v>
                </c:pt>
                <c:pt idx="146">
                  <c:v>11.434518583449671</c:v>
                </c:pt>
                <c:pt idx="147">
                  <c:v>11.876609395547533</c:v>
                </c:pt>
                <c:pt idx="148">
                  <c:v>12.314144054978534</c:v>
                </c:pt>
                <c:pt idx="149">
                  <c:v>12.746616135577479</c:v>
                </c:pt>
                <c:pt idx="150">
                  <c:v>13.173519211179183</c:v>
                </c:pt>
                <c:pt idx="151">
                  <c:v>13.594346855618452</c:v>
                </c:pt>
                <c:pt idx="152">
                  <c:v>14.008592642730097</c:v>
                </c:pt>
                <c:pt idx="153">
                  <c:v>14.415750146348929</c:v>
                </c:pt>
                <c:pt idx="154">
                  <c:v>14.815312940309754</c:v>
                </c:pt>
                <c:pt idx="155">
                  <c:v>15.206774598447385</c:v>
                </c:pt>
                <c:pt idx="156">
                  <c:v>15.58962869459663</c:v>
                </c:pt>
                <c:pt idx="157">
                  <c:v>15.963368802592301</c:v>
                </c:pt>
                <c:pt idx="158">
                  <c:v>16.327488496269204</c:v>
                </c:pt>
                <c:pt idx="159">
                  <c:v>16.681481349462153</c:v>
                </c:pt>
                <c:pt idx="160">
                  <c:v>17.024840936005955</c:v>
                </c:pt>
                <c:pt idx="161">
                  <c:v>17.357060829735421</c:v>
                </c:pt>
                <c:pt idx="162">
                  <c:v>17.677634604485359</c:v>
                </c:pt>
                <c:pt idx="163">
                  <c:v>17.986055834090578</c:v>
                </c:pt>
                <c:pt idx="164">
                  <c:v>18.281818092385887</c:v>
                </c:pt>
                <c:pt idx="165">
                  <c:v>18.5644149532061</c:v>
                </c:pt>
                <c:pt idx="166">
                  <c:v>18.833489498668982</c:v>
                </c:pt>
                <c:pt idx="167">
                  <c:v>19.089282844024158</c:v>
                </c:pt>
                <c:pt idx="168">
                  <c:v>19.33218561280421</c:v>
                </c:pt>
                <c:pt idx="169">
                  <c:v>19.562588428541705</c:v>
                </c:pt>
                <c:pt idx="170">
                  <c:v>19.780881914769232</c:v>
                </c:pt>
                <c:pt idx="171">
                  <c:v>19.987456695019368</c:v>
                </c:pt>
                <c:pt idx="172">
                  <c:v>20.182703392824695</c:v>
                </c:pt>
                <c:pt idx="173">
                  <c:v>20.367012631717792</c:v>
                </c:pt>
                <c:pt idx="174">
                  <c:v>20.540775035231238</c:v>
                </c:pt>
                <c:pt idx="175">
                  <c:v>20.70438122689761</c:v>
                </c:pt>
                <c:pt idx="176">
                  <c:v>20.858221830249494</c:v>
                </c:pt>
                <c:pt idx="177">
                  <c:v>21.002687468819463</c:v>
                </c:pt>
                <c:pt idx="178">
                  <c:v>21.138168766140097</c:v>
                </c:pt>
                <c:pt idx="179">
                  <c:v>21.265056345743982</c:v>
                </c:pt>
                <c:pt idx="180">
                  <c:v>21.383740831163692</c:v>
                </c:pt>
                <c:pt idx="181">
                  <c:v>21.494612845931808</c:v>
                </c:pt>
                <c:pt idx="182">
                  <c:v>21.598063013580912</c:v>
                </c:pt>
                <c:pt idx="183">
                  <c:v>21.694481957643582</c:v>
                </c:pt>
                <c:pt idx="184">
                  <c:v>21.784260301652395</c:v>
                </c:pt>
                <c:pt idx="185">
                  <c:v>21.867788669139934</c:v>
                </c:pt>
                <c:pt idx="186">
                  <c:v>21.945457683638779</c:v>
                </c:pt>
                <c:pt idx="187">
                  <c:v>22.017657968681508</c:v>
                </c:pt>
                <c:pt idx="188">
                  <c:v>22.084780147800704</c:v>
                </c:pt>
                <c:pt idx="189">
                  <c:v>22.147214844528939</c:v>
                </c:pt>
                <c:pt idx="190">
                  <c:v>22.205352682398797</c:v>
                </c:pt>
                <c:pt idx="191">
                  <c:v>22.259584284942864</c:v>
                </c:pt>
                <c:pt idx="192">
                  <c:v>22.310300275693713</c:v>
                </c:pt>
                <c:pt idx="193">
                  <c:v>22.357891278183921</c:v>
                </c:pt>
                <c:pt idx="194">
                  <c:v>22.402747915946073</c:v>
                </c:pt>
                <c:pt idx="195">
                  <c:v>22.445260812512746</c:v>
                </c:pt>
                <c:pt idx="196">
                  <c:v>22.485820591416523</c:v>
                </c:pt>
                <c:pt idx="197">
                  <c:v>22.524817876189978</c:v>
                </c:pt>
                <c:pt idx="198">
                  <c:v>22.562643290365692</c:v>
                </c:pt>
                <c:pt idx="199">
                  <c:v>22.599687457476254</c:v>
                </c:pt>
                <c:pt idx="200">
                  <c:v>22.636341001054234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-21.601432961392756</c:v>
                </c:pt>
                <c:pt idx="1">
                  <c:v>-17.60083092062002</c:v>
                </c:pt>
                <c:pt idx="2">
                  <c:v>-13.983378315651946</c:v>
                </c:pt>
                <c:pt idx="3">
                  <c:v>-8.5553694671339517</c:v>
                </c:pt>
                <c:pt idx="4">
                  <c:v>0</c:v>
                </c:pt>
                <c:pt idx="5">
                  <c:v>18.564414953206096</c:v>
                </c:pt>
                <c:pt idx="6">
                  <c:v>22.63634100105423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-21.743761924620145</c:v>
                </c:pt>
                <c:pt idx="1">
                  <c:v>-21.616231358145413</c:v>
                </c:pt>
                <c:pt idx="2">
                  <c:v>-21.494014160426985</c:v>
                </c:pt>
                <c:pt idx="3">
                  <c:v>-21.376772536337214</c:v>
                </c:pt>
                <c:pt idx="4">
                  <c:v>-21.264160880610369</c:v>
                </c:pt>
                <c:pt idx="5">
                  <c:v>-21.155828078946186</c:v>
                </c:pt>
                <c:pt idx="6">
                  <c:v>-21.051419653412324</c:v>
                </c:pt>
                <c:pt idx="7">
                  <c:v>-20.950579757237961</c:v>
                </c:pt>
                <c:pt idx="8">
                  <c:v>-20.852953024023982</c:v>
                </c:pt>
                <c:pt idx="9">
                  <c:v>-20.758186276323009</c:v>
                </c:pt>
                <c:pt idx="10">
                  <c:v>-20.665930098475862</c:v>
                </c:pt>
                <c:pt idx="11">
                  <c:v>-20.575840278520246</c:v>
                </c:pt>
                <c:pt idx="12">
                  <c:v>-20.487579123919261</c:v>
                </c:pt>
                <c:pt idx="13">
                  <c:v>-20.400816655787576</c:v>
                </c:pt>
                <c:pt idx="14">
                  <c:v>-20.315231686224038</c:v>
                </c:pt>
                <c:pt idx="15">
                  <c:v>-20.230512783290401</c:v>
                </c:pt>
                <c:pt idx="16">
                  <c:v>-20.146359128106869</c:v>
                </c:pt>
                <c:pt idx="17">
                  <c:v>-20.062481268465287</c:v>
                </c:pt>
                <c:pt idx="18">
                  <c:v>-19.978601773292247</c:v>
                </c:pt>
                <c:pt idx="19">
                  <c:v>-19.894455792225351</c:v>
                </c:pt>
                <c:pt idx="20">
                  <c:v>-19.809791524495754</c:v>
                </c:pt>
                <c:pt idx="21">
                  <c:v>-19.724370601241951</c:v>
                </c:pt>
                <c:pt idx="22">
                  <c:v>-19.637968385309726</c:v>
                </c:pt>
                <c:pt idx="23">
                  <c:v>-19.550374192525112</c:v>
                </c:pt>
                <c:pt idx="24">
                  <c:v>-19.461391438356461</c:v>
                </c:pt>
                <c:pt idx="25">
                  <c:v>-19.370837713814037</c:v>
                </c:pt>
                <c:pt idx="26">
                  <c:v>-19.278544794365477</c:v>
                </c:pt>
                <c:pt idx="27">
                  <c:v>-19.18435858557654</c:v>
                </c:pt>
                <c:pt idx="28">
                  <c:v>-19.088139009117349</c:v>
                </c:pt>
                <c:pt idx="29">
                  <c:v>-18.989759832705296</c:v>
                </c:pt>
                <c:pt idx="30">
                  <c:v>-18.889108447486123</c:v>
                </c:pt>
                <c:pt idx="31">
                  <c:v>-18.786085596286341</c:v>
                </c:pt>
                <c:pt idx="32">
                  <c:v>-18.680605056099914</c:v>
                </c:pt>
                <c:pt idx="33">
                  <c:v>-18.572593278103959</c:v>
                </c:pt>
                <c:pt idx="34">
                  <c:v>-18.461988988428118</c:v>
                </c:pt>
                <c:pt idx="35">
                  <c:v>-18.348742752834042</c:v>
                </c:pt>
                <c:pt idx="36">
                  <c:v>-18.23281650839116</c:v>
                </c:pt>
                <c:pt idx="37">
                  <c:v>-18.114183065166642</c:v>
                </c:pt>
                <c:pt idx="38">
                  <c:v>-17.992825580877824</c:v>
                </c:pt>
                <c:pt idx="39">
                  <c:v>-17.868737011386152</c:v>
                </c:pt>
                <c:pt idx="40">
                  <c:v>-17.741919539842737</c:v>
                </c:pt>
                <c:pt idx="41">
                  <c:v>-17.612383987226305</c:v>
                </c:pt>
                <c:pt idx="42">
                  <c:v>-17.480149206945086</c:v>
                </c:pt>
                <c:pt idx="43">
                  <c:v>-17.345241466105119</c:v>
                </c:pt>
                <c:pt idx="44">
                  <c:v>-17.207693815978143</c:v>
                </c:pt>
                <c:pt idx="45">
                  <c:v>-17.067545454133256</c:v>
                </c:pt>
                <c:pt idx="46">
                  <c:v>-16.924841080626987</c:v>
                </c:pt>
                <c:pt idx="47">
                  <c:v>-16.779630250577625</c:v>
                </c:pt>
                <c:pt idx="48">
                  <c:v>-16.631966725380298</c:v>
                </c:pt>
                <c:pt idx="49">
                  <c:v>-16.48190782474995</c:v>
                </c:pt>
                <c:pt idx="50">
                  <c:v>-16.32951378171046</c:v>
                </c:pt>
                <c:pt idx="51">
                  <c:v>-16.174847102578823</c:v>
                </c:pt>
                <c:pt idx="52">
                  <c:v>-16.017971933924059</c:v>
                </c:pt>
                <c:pt idx="53">
                  <c:v>-15.858953438411476</c:v>
                </c:pt>
                <c:pt idx="54">
                  <c:v>-15.697857181373625</c:v>
                </c:pt>
                <c:pt idx="55">
                  <c:v>-15.534748529880114</c:v>
                </c:pt>
                <c:pt idx="56">
                  <c:v>-15.369692066009303</c:v>
                </c:pt>
                <c:pt idx="57">
                  <c:v>-15.202751015955675</c:v>
                </c:pt>
                <c:pt idx="58">
                  <c:v>-15.033986696537507</c:v>
                </c:pt>
                <c:pt idx="59">
                  <c:v>-14.863457980600284</c:v>
                </c:pt>
                <c:pt idx="60">
                  <c:v>-14.691220782742054</c:v>
                </c:pt>
                <c:pt idx="61">
                  <c:v>-14.517327566717885</c:v>
                </c:pt>
                <c:pt idx="62">
                  <c:v>-14.341826875811188</c:v>
                </c:pt>
                <c:pt idx="63">
                  <c:v>-14.164762887390674</c:v>
                </c:pt>
                <c:pt idx="64">
                  <c:v>-13.986174992802415</c:v>
                </c:pt>
                <c:pt idx="65">
                  <c:v>-13.806097403677324</c:v>
                </c:pt>
                <c:pt idx="66">
                  <c:v>-13.624558785665196</c:v>
                </c:pt>
                <c:pt idx="67">
                  <c:v>-13.441581920537239</c:v>
                </c:pt>
                <c:pt idx="68">
                  <c:v>-13.257183397529849</c:v>
                </c:pt>
                <c:pt idx="69">
                  <c:v>-13.071373334733234</c:v>
                </c:pt>
                <c:pt idx="70">
                  <c:v>-12.884155131259199</c:v>
                </c:pt>
                <c:pt idx="71">
                  <c:v>-12.695525250853377</c:v>
                </c:pt>
                <c:pt idx="72">
                  <c:v>-12.505473037547825</c:v>
                </c:pt>
                <c:pt idx="73">
                  <c:v>-12.3139805638809</c:v>
                </c:pt>
                <c:pt idx="74">
                  <c:v>-12.121022512141954</c:v>
                </c:pt>
                <c:pt idx="75">
                  <c:v>-11.926566089029405</c:v>
                </c:pt>
                <c:pt idx="76">
                  <c:v>-11.730570974041338</c:v>
                </c:pt>
                <c:pt idx="77">
                  <c:v>-11.532989301848819</c:v>
                </c:pt>
                <c:pt idx="78">
                  <c:v>-11.333765678832691</c:v>
                </c:pt>
                <c:pt idx="79">
                  <c:v>-11.132837233895728</c:v>
                </c:pt>
                <c:pt idx="80">
                  <c:v>-10.93013370359245</c:v>
                </c:pt>
                <c:pt idx="81">
                  <c:v>-10.725577551550119</c:v>
                </c:pt>
                <c:pt idx="82">
                  <c:v>-10.519084122084973</c:v>
                </c:pt>
                <c:pt idx="83">
                  <c:v>-10.310561827848625</c:v>
                </c:pt>
                <c:pt idx="84">
                  <c:v>-10.099912371270497</c:v>
                </c:pt>
                <c:pt idx="85">
                  <c:v>-9.8870309994927741</c:v>
                </c:pt>
                <c:pt idx="86">
                  <c:v>-9.6718067924253432</c:v>
                </c:pt>
                <c:pt idx="87">
                  <c:v>-9.4541229834789018</c:v>
                </c:pt>
                <c:pt idx="88">
                  <c:v>-9.2338573124652523</c:v>
                </c:pt>
                <c:pt idx="89">
                  <c:v>-9.0108824100846565</c:v>
                </c:pt>
                <c:pt idx="90">
                  <c:v>-8.7850662133508681</c:v>
                </c:pt>
                <c:pt idx="91">
                  <c:v>-8.5562724112353052</c:v>
                </c:pt>
                <c:pt idx="92">
                  <c:v>-8.3243609197426895</c:v>
                </c:pt>
                <c:pt idx="93">
                  <c:v>-8.089188385561199</c:v>
                </c:pt>
                <c:pt idx="94">
                  <c:v>-7.8506087173610339</c:v>
                </c:pt>
                <c:pt idx="95">
                  <c:v>-7.6084736437461773</c:v>
                </c:pt>
                <c:pt idx="96">
                  <c:v>-7.3626332967948063</c:v>
                </c:pt>
                <c:pt idx="97">
                  <c:v>-7.1129368200547516</c:v>
                </c:pt>
                <c:pt idx="98">
                  <c:v>-6.8592329997911516</c:v>
                </c:pt>
                <c:pt idx="99">
                  <c:v>-6.6013709182142746</c:v>
                </c:pt>
                <c:pt idx="100">
                  <c:v>-6.33920062734627</c:v>
                </c:pt>
                <c:pt idx="101">
                  <c:v>-6.0725738421165225</c:v>
                </c:pt>
                <c:pt idx="102">
                  <c:v>-5.8013446512059197</c:v>
                </c:pt>
                <c:pt idx="103">
                  <c:v>-5.5253702440913539</c:v>
                </c:pt>
                <c:pt idx="104">
                  <c:v>-5.2445116526724398</c:v>
                </c:pt>
                <c:pt idx="105">
                  <c:v>-4.9586345057933396</c:v>
                </c:pt>
                <c:pt idx="106">
                  <c:v>-4.6676097949033251</c:v>
                </c:pt>
                <c:pt idx="107">
                  <c:v>-4.3713146490305945</c:v>
                </c:pt>
                <c:pt idx="108">
                  <c:v>-4.0696331171746181</c:v>
                </c:pt>
                <c:pt idx="109">
                  <c:v>-3.7624569561531325</c:v>
                </c:pt>
                <c:pt idx="110">
                  <c:v>-3.4496864218706893</c:v>
                </c:pt>
                <c:pt idx="111">
                  <c:v>-3.1312310619065076</c:v>
                </c:pt>
                <c:pt idx="112">
                  <c:v>-2.8070105072501761</c:v>
                </c:pt>
                <c:pt idx="113">
                  <c:v>-2.4769552609445653</c:v>
                </c:pt>
                <c:pt idx="114">
                  <c:v>-2.14100748132612</c:v>
                </c:pt>
                <c:pt idx="115">
                  <c:v>-1.799121757483531</c:v>
                </c:pt>
                <c:pt idx="116">
                  <c:v>-1.451265874486583</c:v>
                </c:pt>
                <c:pt idx="117">
                  <c:v>-1.0974215658677939</c:v>
                </c:pt>
                <c:pt idx="118">
                  <c:v>-0.73758525077027925</c:v>
                </c:pt>
                <c:pt idx="119">
                  <c:v>-0.37176875310607704</c:v>
                </c:pt>
                <c:pt idx="120">
                  <c:v>0</c:v>
                </c:pt>
                <c:pt idx="121">
                  <c:v>0.37767630327512502</c:v>
                </c:pt>
                <c:pt idx="122">
                  <c:v>0.76119802473514098</c:v>
                </c:pt>
                <c:pt idx="123">
                  <c:v>1.1504849864256734</c:v>
                </c:pt>
                <c:pt idx="124">
                  <c:v>1.5454383774693623</c:v>
                </c:pt>
                <c:pt idx="125">
                  <c:v>1.9459402024900863</c:v>
                </c:pt>
                <c:pt idx="126">
                  <c:v>2.3518527685542474</c:v>
                </c:pt>
                <c:pt idx="127">
                  <c:v>2.7630182138383588</c:v>
                </c:pt>
                <c:pt idx="128">
                  <c:v>3.1792580813013798</c:v>
                </c:pt>
                <c:pt idx="129">
                  <c:v>3.6003729407094087</c:v>
                </c:pt>
                <c:pt idx="130">
                  <c:v>4.0261420624295594</c:v>
                </c:pt>
                <c:pt idx="131">
                  <c:v>4.456323146478999</c:v>
                </c:pt>
                <c:pt idx="132">
                  <c:v>4.8906521103843374</c:v>
                </c:pt>
                <c:pt idx="133">
                  <c:v>5.3288429394757451</c:v>
                </c:pt>
                <c:pt idx="134">
                  <c:v>5.7705876033093348</c:v>
                </c:pt>
                <c:pt idx="135">
                  <c:v>6.215556041980566</c:v>
                </c:pt>
                <c:pt idx="136">
                  <c:v>6.6633962261605983</c:v>
                </c:pt>
                <c:pt idx="137">
                  <c:v>7.1137342947566857</c:v>
                </c:pt>
                <c:pt idx="138">
                  <c:v>7.5661747741669636</c:v>
                </c:pt>
                <c:pt idx="139">
                  <c:v>8.0203008831690443</c:v>
                </c:pt>
                <c:pt idx="140">
                  <c:v>8.4756749275511805</c:v>
                </c:pt>
                <c:pt idx="141">
                  <c:v>8.9318387886637538</c:v>
                </c:pt>
                <c:pt idx="142">
                  <c:v>9.3883145101382564</c:v>
                </c:pt>
                <c:pt idx="143">
                  <c:v>9.8446049870899071</c:v>
                </c:pt>
                <c:pt idx="144">
                  <c:v>10.300194762189321</c:v>
                </c:pt>
                <c:pt idx="145">
                  <c:v>10.754550933057946</c:v>
                </c:pt>
                <c:pt idx="146">
                  <c:v>11.207124175510904</c:v>
                </c:pt>
                <c:pt idx="147">
                  <c:v>11.657349887240363</c:v>
                </c:pt>
                <c:pt idx="148">
                  <c:v>12.104649456601493</c:v>
                </c:pt>
                <c:pt idx="149">
                  <c:v>12.548431661232431</c:v>
                </c:pt>
                <c:pt idx="150">
                  <c:v>12.988094201308764</c:v>
                </c:pt>
                <c:pt idx="151">
                  <c:v>13.423025372302265</c:v>
                </c:pt>
                <c:pt idx="152">
                  <c:v>13.852605882182788</c:v>
                </c:pt>
                <c:pt idx="153">
                  <c:v>14.276210818071428</c:v>
                </c:pt>
                <c:pt idx="154">
                  <c:v>14.693211767422211</c:v>
                </c:pt>
                <c:pt idx="155">
                  <c:v>15.102979098878846</c:v>
                </c:pt>
                <c:pt idx="156">
                  <c:v>15.504884408022111</c:v>
                </c:pt>
                <c:pt idx="157">
                  <c:v>15.898303133292774</c:v>
                </c:pt>
                <c:pt idx="158">
                  <c:v>16.282617347444106</c:v>
                </c:pt>
                <c:pt idx="159">
                  <c:v>16.657218729947093</c:v>
                </c:pt>
                <c:pt idx="160">
                  <c:v>17.021511725840913</c:v>
                </c:pt>
                <c:pt idx="161">
                  <c:v>17.374916896590126</c:v>
                </c:pt>
                <c:pt idx="162">
                  <c:v>17.716874468579412</c:v>
                </c:pt>
                <c:pt idx="163">
                  <c:v>18.046848084945864</c:v>
                </c:pt>
                <c:pt idx="164">
                  <c:v>18.364328766517886</c:v>
                </c:pt>
                <c:pt idx="165">
                  <c:v>18.668839087699162</c:v>
                </c:pt>
                <c:pt idx="166">
                  <c:v>18.959937573205064</c:v>
                </c:pt>
                <c:pt idx="167">
                  <c:v>19.237223321628388</c:v>
                </c:pt>
                <c:pt idx="168">
                  <c:v>19.50034086188014</c:v>
                </c:pt>
                <c:pt idx="169">
                  <c:v>19.74898524862061</c:v>
                </c:pt>
                <c:pt idx="170">
                  <c:v>19.98290740286485</c:v>
                </c:pt>
                <c:pt idx="171">
                  <c:v>20.201919704016191</c:v>
                </c:pt>
                <c:pt idx="172">
                  <c:v>20.405901839650255</c:v>
                </c:pt>
                <c:pt idx="173">
                  <c:v>20.594806919441478</c:v>
                </c:pt>
                <c:pt idx="174">
                  <c:v>20.768667859692936</c:v>
                </c:pt>
                <c:pt idx="175">
                  <c:v>20.927604044999963</c:v>
                </c:pt>
                <c:pt idx="176">
                  <c:v>21.071828273646641</c:v>
                </c:pt>
                <c:pt idx="177">
                  <c:v>21.201653993404044</c:v>
                </c:pt>
                <c:pt idx="178">
                  <c:v>21.31750283446765</c:v>
                </c:pt>
                <c:pt idx="179">
                  <c:v>21.4199124463413</c:v>
                </c:pt>
                <c:pt idx="180">
                  <c:v>21.509544645543386</c:v>
                </c:pt>
                <c:pt idx="181">
                  <c:v>21.58719388108095</c:v>
                </c:pt>
                <c:pt idx="182">
                  <c:v>21.653796024705986</c:v>
                </c:pt>
                <c:pt idx="183">
                  <c:v>21.710437493037773</c:v>
                </c:pt>
                <c:pt idx="184">
                  <c:v>21.758364708704004</c:v>
                </c:pt>
                <c:pt idx="185">
                  <c:v>21.798993907722895</c:v>
                </c:pt>
                <c:pt idx="186">
                  <c:v>21.833921300417384</c:v>
                </c:pt>
                <c:pt idx="187">
                  <c:v>21.864933593222048</c:v>
                </c:pt>
                <c:pt idx="188">
                  <c:v>21.894018878812226</c:v>
                </c:pt>
                <c:pt idx="189">
                  <c:v>21.923377902054149</c:v>
                </c:pt>
                <c:pt idx="190">
                  <c:v>21.955435709344247</c:v>
                </c:pt>
                <c:pt idx="191">
                  <c:v>21.992853688974563</c:v>
                </c:pt>
                <c:pt idx="192">
                  <c:v>22.038542010230927</c:v>
                </c:pt>
                <c:pt idx="193">
                  <c:v>22.095672468999179</c:v>
                </c:pt>
                <c:pt idx="194">
                  <c:v>22.167691747724458</c:v>
                </c:pt>
                <c:pt idx="195">
                  <c:v>22.258335097637225</c:v>
                </c:pt>
                <c:pt idx="196">
                  <c:v>22.371640451229378</c:v>
                </c:pt>
                <c:pt idx="197">
                  <c:v>22.511962973032535</c:v>
                </c:pt>
                <c:pt idx="198">
                  <c:v>22.683990056820264</c:v>
                </c:pt>
                <c:pt idx="199">
                  <c:v>22.892756777424562</c:v>
                </c:pt>
                <c:pt idx="200">
                  <c:v>23.143661805426913</c:v>
                </c:pt>
              </c:numCache>
            </c:numRef>
          </c:yVal>
          <c:smooth val="1"/>
        </c:ser>
        <c:dLbls>
          <c:showLegendKey val="0"/>
          <c:showVal val="0"/>
          <c:showCatName val="0"/>
          <c:showSerName val="0"/>
          <c:showPercent val="0"/>
          <c:showBubbleSize val="0"/>
        </c:dLbls>
        <c:axId val="440348360"/>
        <c:axId val="440344832"/>
      </c:scatterChart>
      <c:valAx>
        <c:axId val="44034836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4832"/>
        <c:crossesAt val="-1000"/>
        <c:crossBetween val="midCat"/>
      </c:valAx>
      <c:valAx>
        <c:axId val="440344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34836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E11" sqref="E11"/>
    </sheetView>
  </sheetViews>
  <sheetFormatPr baseColWidth="10" defaultRowHeight="15" x14ac:dyDescent="0.25"/>
  <cols>
    <col min="1" max="1" width="22.140625" customWidth="1"/>
  </cols>
  <sheetData>
    <row r="1" spans="1:13" x14ac:dyDescent="0.25">
      <c r="A1" s="13" t="s">
        <v>102</v>
      </c>
      <c r="B1" s="63" t="s">
        <v>165</v>
      </c>
      <c r="D1" t="s">
        <v>103</v>
      </c>
    </row>
    <row r="2" spans="1:13" x14ac:dyDescent="0.25">
      <c r="A2" s="13" t="s">
        <v>104</v>
      </c>
      <c r="B2" s="63" t="s">
        <v>105</v>
      </c>
      <c r="D2" s="124" t="s">
        <v>106</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0.37473141014378614</v>
      </c>
      <c r="D59" s="55">
        <v>1</v>
      </c>
    </row>
    <row r="60" spans="1:4" s="11" customFormat="1" x14ac:dyDescent="0.25">
      <c r="A60" s="54">
        <v>2</v>
      </c>
      <c r="B60" s="56">
        <f>'Shiftfunktion bestimmen'!N2</f>
        <v>2.9545013602366669E-3</v>
      </c>
      <c r="D60" s="55">
        <v>2</v>
      </c>
    </row>
    <row r="61" spans="1:4" s="11" customFormat="1" x14ac:dyDescent="0.25">
      <c r="A61" s="54">
        <v>3</v>
      </c>
      <c r="B61" s="56">
        <f>'Shiftfunktion bestimmen'!N3</f>
        <v>-8.8766629393353679E-6</v>
      </c>
      <c r="D61" s="55">
        <v>3</v>
      </c>
    </row>
    <row r="62" spans="1:4" s="11" customFormat="1" x14ac:dyDescent="0.25">
      <c r="A62" s="54">
        <v>4</v>
      </c>
      <c r="B62" s="56">
        <f>'Shiftfunktion bestimmen'!N4</f>
        <v>-7.2631639098291619E-7</v>
      </c>
      <c r="D62" s="55">
        <v>4</v>
      </c>
    </row>
    <row r="63" spans="1:4" s="11" customFormat="1" x14ac:dyDescent="0.25">
      <c r="A63" s="54">
        <v>5</v>
      </c>
      <c r="B63" s="56">
        <f>'Shiftfunktion bestimmen'!N5</f>
        <v>-5.2908344461554078E-9</v>
      </c>
      <c r="D63" s="55">
        <v>5</v>
      </c>
    </row>
    <row r="64" spans="1:4" s="11" customFormat="1" x14ac:dyDescent="0.25">
      <c r="A64" s="54">
        <v>6</v>
      </c>
      <c r="B64" s="56">
        <f>'Shiftfunktion bestimmen'!N6</f>
        <v>4.0676572020837843E-11</v>
      </c>
      <c r="D64" s="55">
        <v>6</v>
      </c>
    </row>
    <row r="65" spans="1:5" s="11" customFormat="1" x14ac:dyDescent="0.25">
      <c r="A65" s="54">
        <v>7</v>
      </c>
      <c r="B65" s="56">
        <f>'Shiftfunktion bestimmen'!N7</f>
        <v>5.8870962139290244E-13</v>
      </c>
      <c r="D65" s="55">
        <v>7</v>
      </c>
    </row>
    <row r="66" spans="1:5" x14ac:dyDescent="0.25">
      <c r="A66" s="54">
        <v>8</v>
      </c>
      <c r="B66" s="56">
        <f>'Shiftfunktion bestimmen'!N8</f>
        <v>1.7159357703370749E-15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0</v>
      </c>
      <c r="D78" s="51">
        <v>5</v>
      </c>
      <c r="E78" s="56">
        <f>'Universal Mastercurve'!A115</f>
        <v>5.31812225239524E-11</v>
      </c>
    </row>
    <row r="79" spans="1:5" x14ac:dyDescent="0.25">
      <c r="A79" s="50">
        <f t="shared" si="0"/>
        <v>6</v>
      </c>
      <c r="B79" s="56">
        <f>'Universal Mastercurve'!C116</f>
        <v>0</v>
      </c>
      <c r="D79" s="51">
        <v>6</v>
      </c>
      <c r="E79" s="56">
        <f>'Universal Mastercurve'!A116</f>
        <v>5.8953789402578301E-10</v>
      </c>
    </row>
    <row r="80" spans="1:5" x14ac:dyDescent="0.25">
      <c r="A80" s="50">
        <f t="shared" si="0"/>
        <v>7</v>
      </c>
      <c r="B80" s="56">
        <f>'Universal Mastercurve'!C117</f>
        <v>0</v>
      </c>
      <c r="D80" s="51">
        <v>7</v>
      </c>
      <c r="E80" s="56">
        <f>'Universal Mastercurve'!A117</f>
        <v>6.5352940755699598E-9</v>
      </c>
    </row>
    <row r="81" spans="1:5" x14ac:dyDescent="0.25">
      <c r="A81" s="50">
        <f t="shared" si="0"/>
        <v>8</v>
      </c>
      <c r="B81" s="56">
        <f>'Universal Mastercurve'!C118</f>
        <v>1.7843127390505448E-2</v>
      </c>
      <c r="D81" s="51">
        <v>8</v>
      </c>
      <c r="E81" s="56">
        <f>'Universal Mastercurve'!A118</f>
        <v>7.2446689325643296E-8</v>
      </c>
    </row>
    <row r="82" spans="1:5" x14ac:dyDescent="0.25">
      <c r="A82" s="50">
        <f t="shared" si="0"/>
        <v>9</v>
      </c>
      <c r="B82" s="56">
        <f>'Universal Mastercurve'!C119</f>
        <v>1.8204128570881155E-2</v>
      </c>
      <c r="D82" s="51">
        <f>A82</f>
        <v>9</v>
      </c>
      <c r="E82" s="56">
        <f>'Universal Mastercurve'!A119</f>
        <v>8.03104303120212E-7</v>
      </c>
    </row>
    <row r="83" spans="1:5" x14ac:dyDescent="0.25">
      <c r="A83" s="50">
        <f t="shared" si="0"/>
        <v>10</v>
      </c>
      <c r="B83" s="56">
        <f>'Universal Mastercurve'!C120</f>
        <v>5.4093639879242948E-2</v>
      </c>
      <c r="C83" s="11"/>
      <c r="D83" s="51">
        <f t="shared" ref="D83:D104" si="1">A83</f>
        <v>10</v>
      </c>
      <c r="E83" s="56">
        <f>'Universal Mastercurve'!A120</f>
        <v>8.9027742702096099E-6</v>
      </c>
    </row>
    <row r="84" spans="1:5" x14ac:dyDescent="0.25">
      <c r="A84" s="50">
        <f t="shared" si="0"/>
        <v>11</v>
      </c>
      <c r="B84" s="56">
        <f>'Universal Mastercurve'!C121</f>
        <v>3.8974031558398278E-2</v>
      </c>
      <c r="C84" s="11"/>
      <c r="D84" s="51">
        <f t="shared" si="1"/>
        <v>11</v>
      </c>
      <c r="E84" s="56">
        <f>'Universal Mastercurve'!A121</f>
        <v>9.86912775817142E-5</v>
      </c>
    </row>
    <row r="85" spans="1:5" x14ac:dyDescent="0.25">
      <c r="A85" s="50">
        <f t="shared" si="0"/>
        <v>12</v>
      </c>
      <c r="B85" s="56">
        <f>'Universal Mastercurve'!C122</f>
        <v>8.7364381714874664E-2</v>
      </c>
      <c r="C85" s="11"/>
      <c r="D85" s="51">
        <f t="shared" si="1"/>
        <v>12</v>
      </c>
      <c r="E85" s="56">
        <f>'Universal Mastercurve'!A122</f>
        <v>1.0940374286813801E-3</v>
      </c>
    </row>
    <row r="86" spans="1:5" x14ac:dyDescent="0.25">
      <c r="A86" s="50">
        <f t="shared" si="0"/>
        <v>13</v>
      </c>
      <c r="B86" s="56">
        <f>'Universal Mastercurve'!C123</f>
        <v>4.4842101968054389E-2</v>
      </c>
      <c r="C86" s="11"/>
      <c r="D86" s="51">
        <f t="shared" si="1"/>
        <v>13</v>
      </c>
      <c r="E86" s="56">
        <f>'Universal Mastercurve'!A123</f>
        <v>1.2127899493091E-2</v>
      </c>
    </row>
    <row r="87" spans="1:5" x14ac:dyDescent="0.25">
      <c r="A87" s="50">
        <f t="shared" si="0"/>
        <v>14</v>
      </c>
      <c r="B87" s="56">
        <f>'Universal Mastercurve'!C124</f>
        <v>4.3757518204855066E-2</v>
      </c>
      <c r="C87" s="11"/>
      <c r="D87" s="51">
        <f t="shared" si="1"/>
        <v>14</v>
      </c>
      <c r="E87" s="56">
        <f>'Universal Mastercurve'!A124</f>
        <v>0.13444324870292301</v>
      </c>
    </row>
    <row r="88" spans="1:5" x14ac:dyDescent="0.25">
      <c r="A88" s="50">
        <f t="shared" si="0"/>
        <v>15</v>
      </c>
      <c r="B88" s="56">
        <f>'Universal Mastercurve'!C125</f>
        <v>0.14535493470606445</v>
      </c>
      <c r="C88" s="11"/>
      <c r="D88" s="51">
        <f t="shared" si="1"/>
        <v>15</v>
      </c>
      <c r="E88" s="56">
        <f>'Universal Mastercurve'!A125</f>
        <v>1.49036419143257</v>
      </c>
    </row>
    <row r="89" spans="1:5" x14ac:dyDescent="0.25">
      <c r="A89" s="50">
        <f t="shared" si="0"/>
        <v>16</v>
      </c>
      <c r="B89" s="56">
        <f>'Universal Mastercurve'!C126</f>
        <v>7.851093015021968E-3</v>
      </c>
      <c r="C89" s="11"/>
      <c r="D89" s="51">
        <f t="shared" si="1"/>
        <v>16</v>
      </c>
      <c r="E89" s="56">
        <f>'Universal Mastercurve'!A126</f>
        <v>16.521360830937301</v>
      </c>
    </row>
    <row r="90" spans="1:5" x14ac:dyDescent="0.25">
      <c r="A90" s="50">
        <f t="shared" si="0"/>
        <v>17</v>
      </c>
      <c r="B90" s="56">
        <f>'Universal Mastercurve'!C127</f>
        <v>0.16554450376738228</v>
      </c>
      <c r="C90" s="11"/>
      <c r="D90" s="51">
        <f t="shared" si="1"/>
        <v>17</v>
      </c>
      <c r="E90" s="56">
        <f>'Universal Mastercurve'!A127</f>
        <v>183.146753843879</v>
      </c>
    </row>
    <row r="91" spans="1:5" x14ac:dyDescent="0.25">
      <c r="A91" s="50">
        <f t="shared" si="0"/>
        <v>18</v>
      </c>
      <c r="B91" s="56">
        <f>'Universal Mastercurve'!C128</f>
        <v>9.3825325625951E-2</v>
      </c>
      <c r="C91" s="11"/>
      <c r="D91" s="51">
        <f t="shared" si="1"/>
        <v>18</v>
      </c>
      <c r="E91" s="56">
        <f>'Universal Mastercurve'!A128</f>
        <v>2030.26456396616</v>
      </c>
    </row>
    <row r="92" spans="1:5" x14ac:dyDescent="0.25">
      <c r="A92" s="50">
        <f t="shared" si="0"/>
        <v>19</v>
      </c>
      <c r="B92" s="56">
        <f>'Universal Mastercurve'!C129</f>
        <v>0.11103770919473442</v>
      </c>
      <c r="C92" s="11"/>
      <c r="D92" s="51">
        <f t="shared" si="1"/>
        <v>19</v>
      </c>
      <c r="E92" s="56">
        <f>'Universal Mastercurve'!A129</f>
        <v>22506.400540467101</v>
      </c>
    </row>
    <row r="93" spans="1:5" x14ac:dyDescent="0.25">
      <c r="A93" s="50">
        <f t="shared" si="0"/>
        <v>20</v>
      </c>
      <c r="B93" s="56">
        <f>'Universal Mastercurve'!C130</f>
        <v>6.7414011396589077E-2</v>
      </c>
      <c r="C93" s="11"/>
      <c r="D93" s="51">
        <f t="shared" si="1"/>
        <v>20</v>
      </c>
      <c r="E93" s="56">
        <f>'Universal Mastercurve'!A130</f>
        <v>249493.62476110301</v>
      </c>
    </row>
    <row r="94" spans="1:5" x14ac:dyDescent="0.25">
      <c r="A94" s="50">
        <f t="shared" si="0"/>
        <v>21</v>
      </c>
      <c r="B94" s="56">
        <f>'Universal Mastercurve'!C131</f>
        <v>3.673024255066535E-2</v>
      </c>
      <c r="C94" s="11"/>
      <c r="D94" s="51">
        <f t="shared" si="1"/>
        <v>21</v>
      </c>
      <c r="E94" s="56">
        <f>'Universal Mastercurve'!A131</f>
        <v>2765749.6224023802</v>
      </c>
    </row>
    <row r="95" spans="1:5" x14ac:dyDescent="0.25">
      <c r="A95" s="50">
        <f t="shared" si="0"/>
        <v>22</v>
      </c>
      <c r="B95" s="56">
        <f>'Universal Mastercurve'!C132</f>
        <v>2.8217960749104661E-2</v>
      </c>
      <c r="C95" s="11"/>
      <c r="D95" s="51">
        <f t="shared" si="1"/>
        <v>22</v>
      </c>
      <c r="E95" s="56">
        <f>'Universal Mastercurve'!A132</f>
        <v>10000000</v>
      </c>
    </row>
    <row r="96" spans="1:5" x14ac:dyDescent="0.25">
      <c r="A96" s="50">
        <f t="shared" si="0"/>
        <v>23</v>
      </c>
      <c r="B96" s="56">
        <f>'Universal Mastercurve'!C133</f>
        <v>6.1167832594597338E-3</v>
      </c>
      <c r="C96" s="11"/>
      <c r="D96" s="51">
        <f t="shared" si="1"/>
        <v>23</v>
      </c>
      <c r="E96" s="56">
        <f>'Universal Mastercurve'!A133</f>
        <v>100000000</v>
      </c>
    </row>
    <row r="97" spans="1:5" x14ac:dyDescent="0.25">
      <c r="A97" s="50">
        <f t="shared" si="0"/>
        <v>24</v>
      </c>
      <c r="B97" s="56">
        <f>'Universal Mastercurve'!C134</f>
        <v>4.4675302580727064E-3</v>
      </c>
      <c r="C97" s="11"/>
      <c r="D97" s="51">
        <f t="shared" si="1"/>
        <v>24</v>
      </c>
      <c r="E97" s="56">
        <f>'Universal Mastercurve'!A134</f>
        <v>1000000000</v>
      </c>
    </row>
    <row r="98" spans="1:5" x14ac:dyDescent="0.25">
      <c r="A98" s="50">
        <f t="shared" si="0"/>
        <v>25</v>
      </c>
      <c r="B98" s="56">
        <f>'Universal Mastercurve'!C135</f>
        <v>2.6086000816192053E-3</v>
      </c>
      <c r="C98" s="11"/>
      <c r="D98" s="51">
        <f t="shared" si="1"/>
        <v>25</v>
      </c>
      <c r="E98" s="56">
        <f>'Universal Mastercurve'!A135</f>
        <v>10000000000</v>
      </c>
    </row>
    <row r="99" spans="1:5" x14ac:dyDescent="0.25">
      <c r="A99" s="50">
        <f t="shared" si="0"/>
        <v>26</v>
      </c>
      <c r="B99" s="56">
        <f>'Universal Mastercurve'!C136</f>
        <v>2.6105030919624742E-3</v>
      </c>
      <c r="C99" s="11"/>
      <c r="D99" s="51">
        <f t="shared" si="1"/>
        <v>26</v>
      </c>
      <c r="E99" s="56">
        <f>'Universal Mastercurve'!A136</f>
        <v>100000000000</v>
      </c>
    </row>
    <row r="100" spans="1:5" x14ac:dyDescent="0.25">
      <c r="A100" s="50">
        <f t="shared" si="0"/>
        <v>27</v>
      </c>
      <c r="B100" s="56">
        <f>'Universal Mastercurve'!C137</f>
        <v>3.9420912964487232E-3</v>
      </c>
      <c r="C100" s="11"/>
      <c r="D100" s="51">
        <f t="shared" si="1"/>
        <v>27</v>
      </c>
      <c r="E100" s="56">
        <f>'Universal Mastercurve'!A137</f>
        <v>1000000000000</v>
      </c>
    </row>
    <row r="101" spans="1:5" x14ac:dyDescent="0.25">
      <c r="A101" s="50">
        <f t="shared" si="0"/>
        <v>28</v>
      </c>
      <c r="B101" s="56">
        <f>'Universal Mastercurve'!C138</f>
        <v>2.8290701775645437E-3</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0</v>
      </c>
      <c r="C103" s="11"/>
      <c r="D103" s="51">
        <f t="shared" si="1"/>
        <v>30</v>
      </c>
      <c r="E103" s="56">
        <f>'Universal Mastercurve'!A140</f>
        <v>1000000000000000</v>
      </c>
    </row>
    <row r="104" spans="1:5" x14ac:dyDescent="0.25">
      <c r="A104" s="50">
        <f t="shared" si="0"/>
        <v>31</v>
      </c>
      <c r="B104" s="56">
        <f>'Universal Mastercurve'!C141</f>
        <v>2.4223085789616982E-3</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25">
        <f>STUTT!D8</f>
        <v>7330.9827999999998</v>
      </c>
      <c r="D113" s="125"/>
    </row>
    <row r="114" spans="1:4" s="11" customFormat="1" x14ac:dyDescent="0.25">
      <c r="A114" s="61" t="str">
        <f>STUTT!B9</f>
        <v>MP,GXY,</v>
      </c>
      <c r="B114" s="52" t="str">
        <f>STUTT!C9</f>
        <v>MatID,</v>
      </c>
      <c r="C114" s="125">
        <f>STUTT!D9</f>
        <v>9212.0444000000007</v>
      </c>
      <c r="D114" s="125"/>
    </row>
    <row r="115" spans="1:4" x14ac:dyDescent="0.25">
      <c r="A115" s="61" t="str">
        <f>STUTT!B10</f>
        <v>MP,GYZ,</v>
      </c>
      <c r="B115" s="52" t="str">
        <f>STUTT!C10</f>
        <v>MatID,</v>
      </c>
      <c r="C115" s="125">
        <f>STUTT!D10</f>
        <v>9212.0444000000007</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N22" sqref="N22"/>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s="11">
        <f>0.35/2</f>
        <v>0.17499999999999999</v>
      </c>
      <c r="M1" s="11"/>
      <c r="N1" s="11"/>
      <c r="O1" s="11"/>
      <c r="P1" s="11"/>
      <c r="Q1" s="11" t="s">
        <v>129</v>
      </c>
      <c r="R1" s="1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B1" zoomScaleNormal="100" workbookViewId="0">
      <selection activeCell="K6" sqref="K6"/>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v>-10</v>
      </c>
      <c r="N3" s="2">
        <f t="shared" ref="N3:N33" si="4">A3</f>
        <v>1.0000000000000001E-15</v>
      </c>
      <c r="O3" s="2">
        <f t="shared" ref="O3:O33" si="5">$M$3/B3</f>
        <v>20154.644630369057</v>
      </c>
      <c r="P3" s="2">
        <f t="shared" ref="P3:P33" si="6">$M$3/C3</f>
        <v>19975.010006909302</v>
      </c>
      <c r="Q3" s="2">
        <f t="shared" ref="Q3:Q33" si="7">$M$3/D3</f>
        <v>19859.07298233152</v>
      </c>
      <c r="R3" s="2">
        <f t="shared" ref="R3:R33" si="8">$M$3/E3</f>
        <v>19740.176191337396</v>
      </c>
      <c r="S3" s="2">
        <f t="shared" ref="S3:S33" si="9">$M$3/F3</f>
        <v>19593.41601657858</v>
      </c>
      <c r="T3" s="2">
        <f t="shared" ref="T3:T33" si="10">$M$3/G3</f>
        <v>18083.319608093752</v>
      </c>
      <c r="U3" s="2">
        <f t="shared" ref="U3:U33" si="11">$M$3/H3</f>
        <v>17085.335490576606</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2">Z3</f>
        <v>1.0000000000000001E-15</v>
      </c>
      <c r="AM3" s="2">
        <f t="shared" ref="AM3:AM33" si="13">O3/(2*(1+AA3))</f>
        <v>7439.7100142178388</v>
      </c>
      <c r="AN3" s="2">
        <f t="shared" ref="AN3:AN33" si="14">P3/(2*(1+AB3))</f>
        <v>7373.6169222469052</v>
      </c>
      <c r="AO3" s="2">
        <f t="shared" ref="AO3:AO33" si="15">Q3/(2*(1+AC3))</f>
        <v>7330.9698900812818</v>
      </c>
      <c r="AP3" s="2">
        <f t="shared" ref="AP3:AP33" si="16">R3/(2*(1+AD3))</f>
        <v>7287.2421568641066</v>
      </c>
      <c r="AQ3" s="2">
        <f t="shared" ref="AQ3:AQ33" si="17">S3/(2*(1+AE3))</f>
        <v>7233.2784973668249</v>
      </c>
      <c r="AR3" s="2">
        <f t="shared" ref="AR3:AR33" si="18">T3/(2*(1+AF3))</f>
        <v>6585.7419229281086</v>
      </c>
      <c r="AS3" s="2">
        <f t="shared" ref="AS3:AS33" si="19">U3/(2*(1+AG3))</f>
        <v>6163.9172848230364</v>
      </c>
      <c r="AX3" s="2">
        <f>AL3</f>
        <v>1.0000000000000001E-15</v>
      </c>
      <c r="AY3" s="37">
        <f t="shared" ref="AY3:AY33" si="20">O3/(3*(1-(2*AA3)))</f>
        <v>23091.664287895361</v>
      </c>
      <c r="AZ3" s="37">
        <f t="shared" ref="AZ3:AZ33" si="21">P3/(3*(1-(2*AB3)))</f>
        <v>22879.621291278767</v>
      </c>
      <c r="BA3" s="37">
        <f t="shared" ref="BA3:BA33" si="22">Q3/(3*(1-(2*AC3)))</f>
        <v>22742.488042487119</v>
      </c>
      <c r="BB3" s="37">
        <f t="shared" ref="BB3:BB33" si="23">R3/(3*(1-(2*AD3)))</f>
        <v>22601.623842724206</v>
      </c>
      <c r="BC3" s="37">
        <f t="shared" ref="BC3:BC33" si="24">S3/(3*(1-(2*AE3)))</f>
        <v>22427.415559851273</v>
      </c>
      <c r="BD3" s="37">
        <f t="shared" ref="BD3:BD33" si="25">T3/(3*(1-(2*AF3)))</f>
        <v>23715.402700073144</v>
      </c>
      <c r="BE3" s="37">
        <f t="shared" ref="BE3:BE33" si="26">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7">M3</f>
        <v>-10</v>
      </c>
      <c r="N4" s="2">
        <f t="shared" si="4"/>
        <v>1E-14</v>
      </c>
      <c r="O4" s="2">
        <f t="shared" si="5"/>
        <v>20154.948711932353</v>
      </c>
      <c r="P4" s="2">
        <f t="shared" si="6"/>
        <v>19975.317128420094</v>
      </c>
      <c r="Q4" s="2">
        <f t="shared" si="7"/>
        <v>19859.381957876321</v>
      </c>
      <c r="R4" s="2">
        <f t="shared" si="8"/>
        <v>19740.487045192571</v>
      </c>
      <c r="S4" s="2">
        <f t="shared" si="9"/>
        <v>19593.716342193977</v>
      </c>
      <c r="T4" s="2">
        <f t="shared" si="10"/>
        <v>17510.497368067183</v>
      </c>
      <c r="U4" s="2">
        <f t="shared" si="11"/>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2"/>
        <v>1E-14</v>
      </c>
      <c r="AM4" s="2">
        <f t="shared" si="13"/>
        <v>7439.7868081900597</v>
      </c>
      <c r="AN4" s="2">
        <f t="shared" si="14"/>
        <v>7373.6918607149901</v>
      </c>
      <c r="AO4" s="2">
        <f t="shared" si="15"/>
        <v>7331.0435342500059</v>
      </c>
      <c r="AP4" s="2">
        <f t="shared" si="16"/>
        <v>7287.3146216469959</v>
      </c>
      <c r="AQ4" s="2">
        <f t="shared" si="17"/>
        <v>7233.3436741214491</v>
      </c>
      <c r="AR4" s="2">
        <f t="shared" si="18"/>
        <v>6334.3824808152185</v>
      </c>
      <c r="AS4" s="2">
        <f t="shared" si="19"/>
        <v>5842.0148400129501</v>
      </c>
      <c r="AX4" s="2">
        <f t="shared" ref="AX4:AX32" si="28">AL4</f>
        <v>1E-14</v>
      </c>
      <c r="AY4" s="37">
        <f t="shared" si="20"/>
        <v>23093.037347630336</v>
      </c>
      <c r="AZ4" s="37">
        <f t="shared" si="21"/>
        <v>22881.083231796893</v>
      </c>
      <c r="BA4" s="37">
        <f t="shared" si="22"/>
        <v>22744.008773208971</v>
      </c>
      <c r="BB4" s="37">
        <f t="shared" si="23"/>
        <v>22603.200238586462</v>
      </c>
      <c r="BC4" s="37">
        <f t="shared" si="24"/>
        <v>22429.077271093392</v>
      </c>
      <c r="BD4" s="37">
        <f t="shared" si="25"/>
        <v>24769.857240838614</v>
      </c>
      <c r="BE4" s="37">
        <f t="shared" si="26"/>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7"/>
        <v>-10</v>
      </c>
      <c r="N5" s="2">
        <f t="shared" si="4"/>
        <v>1E-13</v>
      </c>
      <c r="O5" s="2">
        <f t="shared" si="5"/>
        <v>20154.841934154916</v>
      </c>
      <c r="P5" s="2">
        <f t="shared" si="6"/>
        <v>19975.21178946588</v>
      </c>
      <c r="Q5" s="2">
        <f t="shared" si="7"/>
        <v>19859.277612762307</v>
      </c>
      <c r="R5" s="2">
        <f t="shared" si="8"/>
        <v>19740.383500378339</v>
      </c>
      <c r="S5" s="2">
        <f t="shared" si="9"/>
        <v>19593.485338547598</v>
      </c>
      <c r="T5" s="2">
        <f t="shared" si="10"/>
        <v>16968.91372577615</v>
      </c>
      <c r="U5" s="2">
        <f t="shared" si="11"/>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2"/>
        <v>1E-13</v>
      </c>
      <c r="AM5" s="2">
        <f t="shared" si="13"/>
        <v>7439.7470193525078</v>
      </c>
      <c r="AN5" s="2">
        <f t="shared" si="14"/>
        <v>7373.6524650120191</v>
      </c>
      <c r="AO5" s="2">
        <f t="shared" si="15"/>
        <v>7331.0044701030138</v>
      </c>
      <c r="AP5" s="2">
        <f t="shared" si="16"/>
        <v>7287.2757793731034</v>
      </c>
      <c r="AQ5" s="2">
        <f t="shared" si="17"/>
        <v>7233.2477630478616</v>
      </c>
      <c r="AR5" s="2">
        <f t="shared" si="18"/>
        <v>6097.7114849761656</v>
      </c>
      <c r="AS5" s="2">
        <f t="shared" si="19"/>
        <v>5557.579467209528</v>
      </c>
      <c r="AX5" s="2">
        <f t="shared" si="28"/>
        <v>1E-13</v>
      </c>
      <c r="AY5" s="37">
        <f t="shared" si="20"/>
        <v>23092.925814714792</v>
      </c>
      <c r="AZ5" s="37">
        <f t="shared" si="21"/>
        <v>22880.977326821179</v>
      </c>
      <c r="BA5" s="37">
        <f t="shared" si="22"/>
        <v>22743.905020100996</v>
      </c>
      <c r="BB5" s="37">
        <f t="shared" si="23"/>
        <v>22603.09951783068</v>
      </c>
      <c r="BC5" s="37">
        <f t="shared" si="24"/>
        <v>22429.119528507599</v>
      </c>
      <c r="BD5" s="37">
        <f t="shared" si="25"/>
        <v>26045.894473466047</v>
      </c>
      <c r="BE5" s="37">
        <f t="shared" si="26"/>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7"/>
        <v>-10</v>
      </c>
      <c r="N6" s="2">
        <f t="shared" si="4"/>
        <v>9.9999999999999998E-13</v>
      </c>
      <c r="O6" s="2">
        <f t="shared" si="5"/>
        <v>20154.814079268603</v>
      </c>
      <c r="P6" s="2">
        <f t="shared" si="6"/>
        <v>19975.184200875749</v>
      </c>
      <c r="Q6" s="2">
        <f t="shared" si="7"/>
        <v>19859.25034348559</v>
      </c>
      <c r="R6" s="2">
        <f t="shared" si="8"/>
        <v>19740.356556637038</v>
      </c>
      <c r="S6" s="2">
        <f t="shared" si="9"/>
        <v>19592.173788627089</v>
      </c>
      <c r="T6" s="2">
        <f t="shared" si="10"/>
        <v>16342.70293177818</v>
      </c>
      <c r="U6" s="2">
        <f t="shared" si="11"/>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2"/>
        <v>9.9999999999999998E-13</v>
      </c>
      <c r="AM6" s="2">
        <f t="shared" si="13"/>
        <v>7439.7367084831149</v>
      </c>
      <c r="AN6" s="2">
        <f t="shared" si="14"/>
        <v>7373.6422743939765</v>
      </c>
      <c r="AO6" s="2">
        <f t="shared" si="15"/>
        <v>7330.9943970257091</v>
      </c>
      <c r="AP6" s="2">
        <f t="shared" si="16"/>
        <v>7287.2657654165014</v>
      </c>
      <c r="AQ6" s="2">
        <f t="shared" si="17"/>
        <v>7232.6642193149437</v>
      </c>
      <c r="AR6" s="2">
        <f t="shared" si="18"/>
        <v>5825.3419350887143</v>
      </c>
      <c r="AS6" s="2">
        <f t="shared" si="19"/>
        <v>5275.4812921063285</v>
      </c>
      <c r="AX6" s="2">
        <f t="shared" si="28"/>
        <v>9.9999999999999998E-13</v>
      </c>
      <c r="AY6" s="37">
        <f t="shared" si="20"/>
        <v>23092.894731963072</v>
      </c>
      <c r="AZ6" s="37">
        <f t="shared" si="21"/>
        <v>22880.945914516891</v>
      </c>
      <c r="BA6" s="37">
        <f t="shared" si="22"/>
        <v>22743.873983030415</v>
      </c>
      <c r="BB6" s="37">
        <f t="shared" si="23"/>
        <v>22603.070615518671</v>
      </c>
      <c r="BC6" s="37">
        <f t="shared" si="24"/>
        <v>22430.484787376045</v>
      </c>
      <c r="BD6" s="37">
        <f t="shared" si="25"/>
        <v>28000.797462711733</v>
      </c>
      <c r="BE6" s="37">
        <f t="shared" si="26"/>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7"/>
        <v>-10</v>
      </c>
      <c r="N7" s="2">
        <f t="shared" si="4"/>
        <v>9.9999999999999994E-12</v>
      </c>
      <c r="O7" s="2">
        <f t="shared" si="5"/>
        <v>20154.805722817728</v>
      </c>
      <c r="P7" s="2">
        <f t="shared" si="6"/>
        <v>19975.176220719259</v>
      </c>
      <c r="Q7" s="2">
        <f t="shared" si="7"/>
        <v>19859.242455692241</v>
      </c>
      <c r="R7" s="2">
        <f t="shared" si="8"/>
        <v>19740.348763006576</v>
      </c>
      <c r="S7" s="2">
        <f t="shared" si="9"/>
        <v>19579.551836589373</v>
      </c>
      <c r="T7" s="2">
        <f t="shared" si="10"/>
        <v>15699.206786363398</v>
      </c>
      <c r="U7" s="2">
        <f t="shared" si="11"/>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2"/>
        <v>9.9999999999999994E-12</v>
      </c>
      <c r="AM7" s="2">
        <f t="shared" si="13"/>
        <v>7439.7336721589263</v>
      </c>
      <c r="AN7" s="2">
        <f t="shared" si="14"/>
        <v>7373.6393539171686</v>
      </c>
      <c r="AO7" s="2">
        <f t="shared" si="15"/>
        <v>7330.991448813199</v>
      </c>
      <c r="AP7" s="2">
        <f t="shared" si="16"/>
        <v>7287.2629129611732</v>
      </c>
      <c r="AQ7" s="2">
        <f t="shared" si="17"/>
        <v>7227.030574444283</v>
      </c>
      <c r="AR7" s="2">
        <f t="shared" si="18"/>
        <v>5546.9331561273084</v>
      </c>
      <c r="AS7" s="2">
        <f t="shared" si="19"/>
        <v>4966.4021193857116</v>
      </c>
      <c r="AX7" s="2">
        <f t="shared" si="28"/>
        <v>9.9999999999999994E-12</v>
      </c>
      <c r="AY7" s="37">
        <f t="shared" si="20"/>
        <v>23092.8837616001</v>
      </c>
      <c r="AZ7" s="37">
        <f t="shared" si="21"/>
        <v>22880.936042096218</v>
      </c>
      <c r="BA7" s="37">
        <f t="shared" si="22"/>
        <v>22743.866002083112</v>
      </c>
      <c r="BB7" s="37">
        <f t="shared" si="23"/>
        <v>22603.06098143111</v>
      </c>
      <c r="BC7" s="37">
        <f t="shared" si="24"/>
        <v>22444.180201629541</v>
      </c>
      <c r="BD7" s="37">
        <f t="shared" si="25"/>
        <v>30828.068339661877</v>
      </c>
      <c r="BE7" s="37">
        <f t="shared" si="26"/>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7"/>
        <v>-10</v>
      </c>
      <c r="N8" s="2">
        <f t="shared" si="4"/>
        <v>1E-10</v>
      </c>
      <c r="O8" s="2">
        <f t="shared" si="5"/>
        <v>20154.803169459119</v>
      </c>
      <c r="P8" s="2">
        <f t="shared" si="6"/>
        <v>19975.173712671392</v>
      </c>
      <c r="Q8" s="2">
        <f t="shared" si="7"/>
        <v>19859.239976672769</v>
      </c>
      <c r="R8" s="2">
        <f t="shared" si="8"/>
        <v>19740.345868231114</v>
      </c>
      <c r="S8" s="2">
        <f t="shared" si="9"/>
        <v>19474.014653806546</v>
      </c>
      <c r="T8" s="2">
        <f t="shared" si="10"/>
        <v>15025.244557319804</v>
      </c>
      <c r="U8" s="2">
        <f t="shared" si="11"/>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2"/>
        <v>1E-10</v>
      </c>
      <c r="AM8" s="2">
        <f t="shared" si="13"/>
        <v>7439.732723308126</v>
      </c>
      <c r="AN8" s="2">
        <f t="shared" si="14"/>
        <v>7373.6384218505882</v>
      </c>
      <c r="AO8" s="2">
        <f t="shared" si="15"/>
        <v>7330.990588918331</v>
      </c>
      <c r="AP8" s="2">
        <f t="shared" si="16"/>
        <v>7287.2618205320641</v>
      </c>
      <c r="AQ8" s="2">
        <f t="shared" si="17"/>
        <v>7179.9574188317292</v>
      </c>
      <c r="AR8" s="2">
        <f t="shared" si="18"/>
        <v>5257.3325173232261</v>
      </c>
      <c r="AS8" s="2">
        <f t="shared" si="19"/>
        <v>4621.0156652325422</v>
      </c>
      <c r="AX8" s="2">
        <f t="shared" si="28"/>
        <v>1E-10</v>
      </c>
      <c r="AY8" s="37">
        <f t="shared" si="20"/>
        <v>23092.88101901098</v>
      </c>
      <c r="AZ8" s="37">
        <f t="shared" si="21"/>
        <v>22880.933349619339</v>
      </c>
      <c r="BA8" s="37">
        <f t="shared" si="22"/>
        <v>22743.861568225893</v>
      </c>
      <c r="BB8" s="37">
        <f t="shared" si="23"/>
        <v>22603.0583539541</v>
      </c>
      <c r="BC8" s="37">
        <f t="shared" si="24"/>
        <v>22560.863795914058</v>
      </c>
      <c r="BD8" s="37">
        <f t="shared" si="25"/>
        <v>35260.524500906417</v>
      </c>
      <c r="BE8" s="37">
        <f t="shared" si="26"/>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7"/>
        <v>-10</v>
      </c>
      <c r="N9" s="2">
        <f t="shared" si="4"/>
        <v>1.0000000000000001E-9</v>
      </c>
      <c r="O9" s="2">
        <f t="shared" si="5"/>
        <v>20154.802473088701</v>
      </c>
      <c r="P9" s="2">
        <f t="shared" si="6"/>
        <v>19975.173028658446</v>
      </c>
      <c r="Q9" s="2">
        <f t="shared" si="7"/>
        <v>19859.239075211295</v>
      </c>
      <c r="R9" s="2">
        <f t="shared" si="8"/>
        <v>19740.340078682737</v>
      </c>
      <c r="S9" s="2">
        <f t="shared" si="9"/>
        <v>19165.599243180055</v>
      </c>
      <c r="T9" s="2">
        <f t="shared" si="10"/>
        <v>14288.820500325908</v>
      </c>
      <c r="U9" s="2">
        <f t="shared" si="11"/>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2"/>
        <v>1.0000000000000001E-9</v>
      </c>
      <c r="AM9" s="2">
        <f t="shared" si="13"/>
        <v>7439.7324702812866</v>
      </c>
      <c r="AN9" s="2">
        <f t="shared" si="14"/>
        <v>7373.6381732995414</v>
      </c>
      <c r="AO9" s="2">
        <f t="shared" si="15"/>
        <v>7330.9902818130686</v>
      </c>
      <c r="AP9" s="2">
        <f t="shared" si="16"/>
        <v>7287.2593322225375</v>
      </c>
      <c r="AQ9" s="2">
        <f t="shared" si="17"/>
        <v>7042.6684859234238</v>
      </c>
      <c r="AR9" s="2">
        <f t="shared" si="18"/>
        <v>4943.4016945901922</v>
      </c>
      <c r="AS9" s="2">
        <f t="shared" si="19"/>
        <v>4155.4773315838347</v>
      </c>
      <c r="AX9" s="2">
        <f t="shared" si="28"/>
        <v>1.0000000000000001E-9</v>
      </c>
      <c r="AY9" s="37">
        <f t="shared" si="20"/>
        <v>23092.880104814758</v>
      </c>
      <c r="AZ9" s="37">
        <f t="shared" si="21"/>
        <v>22880.932452127159</v>
      </c>
      <c r="BA9" s="37">
        <f t="shared" si="22"/>
        <v>22743.859794683511</v>
      </c>
      <c r="BB9" s="37">
        <f t="shared" si="23"/>
        <v>22603.061857256907</v>
      </c>
      <c r="BC9" s="37">
        <f t="shared" si="24"/>
        <v>22927.118894522977</v>
      </c>
      <c r="BD9" s="37">
        <f t="shared" si="25"/>
        <v>43490.574374796946</v>
      </c>
      <c r="BE9" s="37">
        <f t="shared" si="26"/>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7"/>
        <v>-10</v>
      </c>
      <c r="N10" s="2">
        <f t="shared" si="4"/>
        <v>1E-8</v>
      </c>
      <c r="O10" s="2">
        <f t="shared" si="5"/>
        <v>20154.80224096524</v>
      </c>
      <c r="P10" s="2">
        <f t="shared" si="6"/>
        <v>19975.172572649844</v>
      </c>
      <c r="Q10" s="2">
        <f t="shared" si="7"/>
        <v>19859.23884984594</v>
      </c>
      <c r="R10" s="2">
        <f t="shared" si="8"/>
        <v>19740.291090332419</v>
      </c>
      <c r="S10" s="2">
        <f t="shared" si="9"/>
        <v>18836.278159388217</v>
      </c>
      <c r="T10" s="2">
        <f t="shared" si="10"/>
        <v>13410.518659089135</v>
      </c>
      <c r="U10" s="2">
        <f t="shared" si="11"/>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2"/>
        <v>1E-8</v>
      </c>
      <c r="AM10" s="2">
        <f t="shared" si="13"/>
        <v>7439.7324070245795</v>
      </c>
      <c r="AN10" s="2">
        <f t="shared" si="14"/>
        <v>7373.6380490240244</v>
      </c>
      <c r="AO10" s="2">
        <f t="shared" si="15"/>
        <v>7330.9901589709716</v>
      </c>
      <c r="AP10" s="2">
        <f t="shared" si="16"/>
        <v>7287.2374230339683</v>
      </c>
      <c r="AQ10" s="2">
        <f t="shared" si="17"/>
        <v>6896.670224560311</v>
      </c>
      <c r="AR10" s="2">
        <f t="shared" si="18"/>
        <v>4573.266252420035</v>
      </c>
      <c r="AS10" s="2">
        <f t="shared" si="19"/>
        <v>3566.7724920591822</v>
      </c>
      <c r="AX10" s="2">
        <f t="shared" si="28"/>
        <v>1E-8</v>
      </c>
      <c r="AY10" s="37">
        <f t="shared" si="20"/>
        <v>23092.879190618609</v>
      </c>
      <c r="AZ10" s="37">
        <f t="shared" si="21"/>
        <v>22880.930657143079</v>
      </c>
      <c r="BA10" s="37">
        <f t="shared" si="22"/>
        <v>22743.860681454684</v>
      </c>
      <c r="BB10" s="37">
        <f t="shared" si="23"/>
        <v>22603.11615858931</v>
      </c>
      <c r="BC10" s="37">
        <f t="shared" si="24"/>
        <v>23359.64470274073</v>
      </c>
      <c r="BD10" s="37">
        <f t="shared" si="25"/>
        <v>66099.600086088118</v>
      </c>
      <c r="BE10" s="37">
        <f t="shared" si="26"/>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7"/>
        <v>-10</v>
      </c>
      <c r="N11" s="2">
        <f t="shared" si="4"/>
        <v>9.9999999999999995E-8</v>
      </c>
      <c r="O11" s="2">
        <f t="shared" si="5"/>
        <v>20154.802008841783</v>
      </c>
      <c r="P11" s="2">
        <f t="shared" si="6"/>
        <v>19975.172572649844</v>
      </c>
      <c r="Q11" s="2">
        <f t="shared" si="7"/>
        <v>19859.238173749905</v>
      </c>
      <c r="R11" s="2">
        <f t="shared" si="8"/>
        <v>19739.803001503598</v>
      </c>
      <c r="S11" s="2">
        <f t="shared" si="9"/>
        <v>18455.411362313396</v>
      </c>
      <c r="T11" s="2">
        <f t="shared" si="10"/>
        <v>12218.132057062168</v>
      </c>
      <c r="U11" s="2">
        <f t="shared" si="11"/>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2"/>
        <v>9.9999999999999995E-8</v>
      </c>
      <c r="AM11" s="2">
        <f t="shared" si="13"/>
        <v>7439.7323437678724</v>
      </c>
      <c r="AN11" s="2">
        <f t="shared" si="14"/>
        <v>7373.6380490240244</v>
      </c>
      <c r="AO11" s="2">
        <f t="shared" si="15"/>
        <v>7330.9898518657455</v>
      </c>
      <c r="AP11" s="2">
        <f t="shared" si="16"/>
        <v>7287.0191880040384</v>
      </c>
      <c r="AQ11" s="2">
        <f t="shared" si="17"/>
        <v>6728.3118442587265</v>
      </c>
      <c r="AR11" s="2">
        <f t="shared" si="18"/>
        <v>4079.2740096930638</v>
      </c>
      <c r="AS11" s="2">
        <f t="shared" si="19"/>
        <v>2850.9447868112361</v>
      </c>
      <c r="AX11" s="2">
        <f t="shared" si="28"/>
        <v>9.9999999999999995E-8</v>
      </c>
      <c r="AY11" s="37">
        <f t="shared" si="20"/>
        <v>23092.878276422522</v>
      </c>
      <c r="AZ11" s="37">
        <f t="shared" si="21"/>
        <v>22880.930657143079</v>
      </c>
      <c r="BA11" s="37">
        <f t="shared" si="22"/>
        <v>22743.861568225911</v>
      </c>
      <c r="BB11" s="37">
        <f t="shared" si="23"/>
        <v>22603.655682775396</v>
      </c>
      <c r="BC11" s="37">
        <f t="shared" si="24"/>
        <v>23932.162957571156</v>
      </c>
      <c r="BD11" s="37">
        <f t="shared" si="25"/>
        <v>843764.67547848891</v>
      </c>
      <c r="BE11" s="37">
        <f t="shared" si="26"/>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7"/>
        <v>-10</v>
      </c>
      <c r="N12" s="2">
        <f t="shared" si="4"/>
        <v>9.9999999999999995E-7</v>
      </c>
      <c r="O12" s="2">
        <f t="shared" si="5"/>
        <v>20154.802008841783</v>
      </c>
      <c r="P12" s="2">
        <f t="shared" si="6"/>
        <v>19975.172344645551</v>
      </c>
      <c r="Q12" s="2">
        <f t="shared" si="7"/>
        <v>19859.23253961806</v>
      </c>
      <c r="R12" s="2">
        <f t="shared" si="8"/>
        <v>19734.957268460879</v>
      </c>
      <c r="S12" s="2">
        <f t="shared" si="9"/>
        <v>17983.981862609631</v>
      </c>
      <c r="T12" s="2">
        <f t="shared" si="10"/>
        <v>10678.883472084573</v>
      </c>
      <c r="U12" s="2">
        <f t="shared" si="11"/>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2"/>
        <v>9.9999999999999995E-7</v>
      </c>
      <c r="AM12" s="2">
        <f t="shared" si="13"/>
        <v>7439.7323437678724</v>
      </c>
      <c r="AN12" s="2">
        <f t="shared" si="14"/>
        <v>7373.6379247485102</v>
      </c>
      <c r="AO12" s="2">
        <f t="shared" si="15"/>
        <v>7330.9873950248675</v>
      </c>
      <c r="AP12" s="2">
        <f t="shared" si="16"/>
        <v>7284.8522944162632</v>
      </c>
      <c r="AQ12" s="2">
        <f t="shared" si="17"/>
        <v>6522.7483495061197</v>
      </c>
      <c r="AR12" s="2">
        <f t="shared" si="18"/>
        <v>3459.2497747504567</v>
      </c>
      <c r="AS12" s="2">
        <f t="shared" si="19"/>
        <v>2002.5618143914935</v>
      </c>
      <c r="AX12" s="2">
        <f t="shared" si="28"/>
        <v>9.9999999999999995E-7</v>
      </c>
      <c r="AY12" s="37">
        <f t="shared" si="20"/>
        <v>23092.878276422522</v>
      </c>
      <c r="AZ12" s="37">
        <f t="shared" si="21"/>
        <v>22880.931554635095</v>
      </c>
      <c r="BA12" s="37">
        <f t="shared" si="22"/>
        <v>22743.866002083108</v>
      </c>
      <c r="BB12" s="37">
        <f t="shared" si="23"/>
        <v>22609.026052897494</v>
      </c>
      <c r="BC12" s="37">
        <f t="shared" si="24"/>
        <v>24681.292236302077</v>
      </c>
      <c r="BD12" s="37">
        <f t="shared" si="25"/>
        <v>-40890.884800236614</v>
      </c>
      <c r="BE12" s="37">
        <f t="shared" si="26"/>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7"/>
        <v>-10</v>
      </c>
      <c r="N13" s="2">
        <f t="shared" si="4"/>
        <v>1.0000000000000001E-5</v>
      </c>
      <c r="O13" s="2">
        <f t="shared" si="5"/>
        <v>20154.802008841783</v>
      </c>
      <c r="P13" s="2">
        <f t="shared" si="6"/>
        <v>19975.171888636974</v>
      </c>
      <c r="Q13" s="2">
        <f t="shared" si="7"/>
        <v>19859.177776023109</v>
      </c>
      <c r="R13" s="2">
        <f t="shared" si="8"/>
        <v>19689.720606690018</v>
      </c>
      <c r="S13" s="2">
        <f t="shared" si="9"/>
        <v>17533.843649674167</v>
      </c>
      <c r="T13" s="2">
        <f t="shared" si="10"/>
        <v>8709.9685490501379</v>
      </c>
      <c r="U13" s="2">
        <f t="shared" si="11"/>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2"/>
        <v>1.0000000000000001E-5</v>
      </c>
      <c r="AM13" s="2">
        <f t="shared" si="13"/>
        <v>7439.7323437678724</v>
      </c>
      <c r="AN13" s="2">
        <f t="shared" si="14"/>
        <v>7373.6377383352474</v>
      </c>
      <c r="AO13" s="2">
        <f t="shared" si="15"/>
        <v>7330.962888127252</v>
      </c>
      <c r="AP13" s="2">
        <f t="shared" si="16"/>
        <v>7264.6309792458533</v>
      </c>
      <c r="AQ13" s="2">
        <f t="shared" si="17"/>
        <v>6323.7668304163335</v>
      </c>
      <c r="AR13" s="2">
        <f t="shared" si="18"/>
        <v>2702.914511015118</v>
      </c>
      <c r="AS13" s="2">
        <f t="shared" si="19"/>
        <v>1246.5264827258</v>
      </c>
      <c r="AX13" s="2">
        <f t="shared" si="28"/>
        <v>1.0000000000000001E-5</v>
      </c>
      <c r="AY13" s="37">
        <f t="shared" si="20"/>
        <v>23092.878276422522</v>
      </c>
      <c r="AZ13" s="37">
        <f t="shared" si="21"/>
        <v>22880.931554635074</v>
      </c>
      <c r="BA13" s="37">
        <f t="shared" si="22"/>
        <v>22743.927189489001</v>
      </c>
      <c r="BB13" s="37">
        <f t="shared" si="23"/>
        <v>22659.511958136605</v>
      </c>
      <c r="BC13" s="37">
        <f t="shared" si="24"/>
        <v>25712.062135152279</v>
      </c>
      <c r="BD13" s="37">
        <f t="shared" si="25"/>
        <v>-13052.406755657226</v>
      </c>
      <c r="BE13" s="37">
        <f t="shared" si="26"/>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7"/>
        <v>-10</v>
      </c>
      <c r="N14" s="2">
        <f t="shared" si="4"/>
        <v>1E-4</v>
      </c>
      <c r="O14" s="2">
        <f t="shared" si="5"/>
        <v>20154.801776718334</v>
      </c>
      <c r="P14" s="2">
        <f t="shared" si="6"/>
        <v>19975.165960527425</v>
      </c>
      <c r="Q14" s="2">
        <f t="shared" si="7"/>
        <v>19858.630832739454</v>
      </c>
      <c r="R14" s="2">
        <f t="shared" si="8"/>
        <v>19441.022824427346</v>
      </c>
      <c r="S14" s="2">
        <f t="shared" si="9"/>
        <v>16927.590153443285</v>
      </c>
      <c r="T14" s="2">
        <f t="shared" si="10"/>
        <v>6261.1865041448682</v>
      </c>
      <c r="U14" s="2">
        <f t="shared" si="11"/>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2"/>
        <v>1E-4</v>
      </c>
      <c r="AM14" s="2">
        <f t="shared" si="13"/>
        <v>7439.7322172544646</v>
      </c>
      <c r="AN14" s="2">
        <f t="shared" si="14"/>
        <v>7373.6350664128558</v>
      </c>
      <c r="AO14" s="2">
        <f t="shared" si="15"/>
        <v>7330.7179509954649</v>
      </c>
      <c r="AP14" s="2">
        <f t="shared" si="16"/>
        <v>7153.647880511483</v>
      </c>
      <c r="AQ14" s="2">
        <f t="shared" si="17"/>
        <v>6060.8557573682765</v>
      </c>
      <c r="AR14" s="2">
        <f t="shared" si="18"/>
        <v>1832.1518571214692</v>
      </c>
      <c r="AS14" s="2">
        <f t="shared" si="19"/>
        <v>721.62368462950201</v>
      </c>
      <c r="AX14" s="2">
        <f t="shared" si="28"/>
        <v>1E-4</v>
      </c>
      <c r="AY14" s="37">
        <f t="shared" si="20"/>
        <v>23092.879190618602</v>
      </c>
      <c r="AZ14" s="37">
        <f t="shared" si="21"/>
        <v>22880.93873457372</v>
      </c>
      <c r="BA14" s="37">
        <f t="shared" si="22"/>
        <v>22744.543515776928</v>
      </c>
      <c r="BB14" s="37">
        <f t="shared" si="23"/>
        <v>22950.442833384557</v>
      </c>
      <c r="BC14" s="37">
        <f t="shared" si="24"/>
        <v>27250.346032679754</v>
      </c>
      <c r="BD14" s="37">
        <f t="shared" si="25"/>
        <v>-5000.2094373438613</v>
      </c>
      <c r="BE14" s="37">
        <f t="shared" si="26"/>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7"/>
        <v>-10</v>
      </c>
      <c r="N15" s="2">
        <f t="shared" si="4"/>
        <v>1E-3</v>
      </c>
      <c r="O15" s="2">
        <f t="shared" si="5"/>
        <v>20154.800151854328</v>
      </c>
      <c r="P15" s="2">
        <f t="shared" si="6"/>
        <v>19975.106907628244</v>
      </c>
      <c r="Q15" s="2">
        <f t="shared" si="7"/>
        <v>19853.203597450407</v>
      </c>
      <c r="R15" s="2">
        <f t="shared" si="8"/>
        <v>19122.532544501544</v>
      </c>
      <c r="S15" s="2">
        <f t="shared" si="9"/>
        <v>16273.34911755207</v>
      </c>
      <c r="T15" s="2">
        <f t="shared" si="10"/>
        <v>3999.996891430987</v>
      </c>
      <c r="U15" s="2">
        <f t="shared" si="11"/>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2"/>
        <v>1E-3</v>
      </c>
      <c r="AM15" s="2">
        <f t="shared" si="13"/>
        <v>7439.7315214307937</v>
      </c>
      <c r="AN15" s="2">
        <f t="shared" si="14"/>
        <v>7373.6085958444728</v>
      </c>
      <c r="AO15" s="2">
        <f t="shared" si="15"/>
        <v>7328.2878922672335</v>
      </c>
      <c r="AP15" s="2">
        <f t="shared" si="16"/>
        <v>7011.9974153857656</v>
      </c>
      <c r="AQ15" s="2">
        <f t="shared" si="17"/>
        <v>5776.7475493188331</v>
      </c>
      <c r="AR15" s="2">
        <f t="shared" si="18"/>
        <v>1105.139847553852</v>
      </c>
      <c r="AS15" s="2">
        <f t="shared" si="19"/>
        <v>404.72633399765499</v>
      </c>
      <c r="AX15" s="2">
        <f t="shared" si="28"/>
        <v>1E-3</v>
      </c>
      <c r="AY15" s="37">
        <f t="shared" si="20"/>
        <v>23092.880104814769</v>
      </c>
      <c r="AZ15" s="37">
        <f t="shared" si="21"/>
        <v>22881.006046717706</v>
      </c>
      <c r="BA15" s="37">
        <f t="shared" si="22"/>
        <v>22750.655378129468</v>
      </c>
      <c r="BB15" s="37">
        <f t="shared" si="23"/>
        <v>23358.587704015405</v>
      </c>
      <c r="BC15" s="37">
        <f t="shared" si="24"/>
        <v>29648.848860571012</v>
      </c>
      <c r="BD15" s="37">
        <f t="shared" si="25"/>
        <v>-2152.4502004816723</v>
      </c>
      <c r="BE15" s="37">
        <f t="shared" si="26"/>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7"/>
        <v>-10</v>
      </c>
      <c r="N16" s="2">
        <f t="shared" si="4"/>
        <v>0.01</v>
      </c>
      <c r="O16" s="2">
        <f t="shared" si="5"/>
        <v>20154.783903228661</v>
      </c>
      <c r="P16" s="2">
        <f t="shared" si="6"/>
        <v>19974.517537786192</v>
      </c>
      <c r="Q16" s="2">
        <f t="shared" si="7"/>
        <v>19802.92446420019</v>
      </c>
      <c r="R16" s="2">
        <f t="shared" si="8"/>
        <v>18767.791933781053</v>
      </c>
      <c r="S16" s="2">
        <f t="shared" si="9"/>
        <v>15622.666364211846</v>
      </c>
      <c r="T16" s="2">
        <f t="shared" si="10"/>
        <v>2381.5452074981822</v>
      </c>
      <c r="U16" s="2">
        <f t="shared" si="11"/>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2"/>
        <v>0.01</v>
      </c>
      <c r="AM16" s="2">
        <f t="shared" si="13"/>
        <v>7439.7241836618095</v>
      </c>
      <c r="AN16" s="2">
        <f t="shared" si="14"/>
        <v>7373.3444598084343</v>
      </c>
      <c r="AO16" s="2">
        <f t="shared" si="15"/>
        <v>7305.7841813741479</v>
      </c>
      <c r="AP16" s="2">
        <f t="shared" si="16"/>
        <v>6854.7708758756735</v>
      </c>
      <c r="AQ16" s="2">
        <f t="shared" si="17"/>
        <v>5495.7675366958674</v>
      </c>
      <c r="AR16" s="2">
        <f t="shared" si="18"/>
        <v>630.91869332772831</v>
      </c>
      <c r="AS16" s="2">
        <f t="shared" si="19"/>
        <v>265.07180083177406</v>
      </c>
      <c r="AX16" s="2">
        <f t="shared" si="28"/>
        <v>0.01</v>
      </c>
      <c r="AY16" s="37">
        <f t="shared" si="20"/>
        <v>23092.900217148483</v>
      </c>
      <c r="AZ16" s="37">
        <f t="shared" si="21"/>
        <v>22881.676497288649</v>
      </c>
      <c r="BA16" s="37">
        <f t="shared" si="22"/>
        <v>22807.726538330313</v>
      </c>
      <c r="BB16" s="37">
        <f t="shared" si="23"/>
        <v>23870.012369440417</v>
      </c>
      <c r="BC16" s="37">
        <f t="shared" si="24"/>
        <v>33100.063003605632</v>
      </c>
      <c r="BD16" s="37">
        <f t="shared" si="25"/>
        <v>-1024.6827693397393</v>
      </c>
      <c r="BE16" s="37">
        <f t="shared" si="26"/>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7"/>
        <v>-10</v>
      </c>
      <c r="N17" s="2">
        <f t="shared" si="4"/>
        <v>0.1</v>
      </c>
      <c r="O17" s="2">
        <f t="shared" si="5"/>
        <v>20154.620489935787</v>
      </c>
      <c r="P17" s="2">
        <f t="shared" si="6"/>
        <v>19968.672006289562</v>
      </c>
      <c r="Q17" s="2">
        <f t="shared" si="7"/>
        <v>19541.4881258604</v>
      </c>
      <c r="R17" s="2">
        <f t="shared" si="8"/>
        <v>18343.605158238544</v>
      </c>
      <c r="S17" s="2">
        <f t="shared" si="9"/>
        <v>14904.786097156208</v>
      </c>
      <c r="T17" s="2">
        <f t="shared" si="10"/>
        <v>1373.307623968283</v>
      </c>
      <c r="U17" s="2">
        <f t="shared" si="11"/>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2"/>
        <v>0.1</v>
      </c>
      <c r="AM17" s="2">
        <f t="shared" si="13"/>
        <v>7439.6508067680606</v>
      </c>
      <c r="AN17" s="2">
        <f t="shared" si="14"/>
        <v>7370.7250016112393</v>
      </c>
      <c r="AO17" s="2">
        <f t="shared" si="15"/>
        <v>7188.9840707641179</v>
      </c>
      <c r="AP17" s="2">
        <f t="shared" si="16"/>
        <v>6667.3368038637464</v>
      </c>
      <c r="AQ17" s="2">
        <f t="shared" si="17"/>
        <v>5188.5996988750203</v>
      </c>
      <c r="AR17" s="2">
        <f t="shared" si="18"/>
        <v>354.28738756335468</v>
      </c>
      <c r="AS17" s="2">
        <f t="shared" si="19"/>
        <v>224.4007416662501</v>
      </c>
      <c r="AX17" s="2">
        <f t="shared" si="28"/>
        <v>0.1</v>
      </c>
      <c r="AY17" s="37">
        <f t="shared" si="20"/>
        <v>23093.090371853257</v>
      </c>
      <c r="AZ17" s="37">
        <f t="shared" si="21"/>
        <v>22888.326585920066</v>
      </c>
      <c r="BA17" s="37">
        <f t="shared" si="22"/>
        <v>23119.548715921093</v>
      </c>
      <c r="BB17" s="37">
        <f t="shared" si="23"/>
        <v>24582.450226367855</v>
      </c>
      <c r="BC17" s="37">
        <f t="shared" si="24"/>
        <v>38998.208667425417</v>
      </c>
      <c r="BD17" s="37">
        <f t="shared" si="25"/>
        <v>-522.41658208742194</v>
      </c>
      <c r="BE17" s="37">
        <f t="shared" si="26"/>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7"/>
        <v>-10</v>
      </c>
      <c r="N18" s="2">
        <f t="shared" si="4"/>
        <v>1</v>
      </c>
      <c r="O18" s="2">
        <f t="shared" si="5"/>
        <v>20152.99068020915</v>
      </c>
      <c r="P18" s="2">
        <f t="shared" si="6"/>
        <v>19914.779310788406</v>
      </c>
      <c r="Q18" s="2">
        <f t="shared" si="7"/>
        <v>19218.593723661947</v>
      </c>
      <c r="R18" s="2">
        <f t="shared" si="8"/>
        <v>17861.001927089837</v>
      </c>
      <c r="S18" s="2">
        <f t="shared" si="9"/>
        <v>14084.708819168596</v>
      </c>
      <c r="T18" s="2">
        <f t="shared" si="10"/>
        <v>970.50529052935451</v>
      </c>
      <c r="U18" s="2">
        <f t="shared" si="11"/>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2"/>
        <v>1</v>
      </c>
      <c r="AM18" s="2">
        <f t="shared" si="13"/>
        <v>7438.9188882303606</v>
      </c>
      <c r="AN18" s="2">
        <f t="shared" si="14"/>
        <v>7346.5860708392247</v>
      </c>
      <c r="AO18" s="2">
        <f t="shared" si="15"/>
        <v>7045.3278356909095</v>
      </c>
      <c r="AP18" s="2">
        <f t="shared" si="16"/>
        <v>6457.8733144157241</v>
      </c>
      <c r="AQ18" s="2">
        <f t="shared" si="17"/>
        <v>4846.1759775211867</v>
      </c>
      <c r="AR18" s="2">
        <f t="shared" si="18"/>
        <v>248.22351395532451</v>
      </c>
      <c r="AS18" s="2">
        <f t="shared" si="19"/>
        <v>202.49198438372559</v>
      </c>
      <c r="AX18" s="2">
        <f t="shared" si="28"/>
        <v>1</v>
      </c>
      <c r="AY18" s="37">
        <f t="shared" si="20"/>
        <v>23094.990262426258</v>
      </c>
      <c r="AZ18" s="37">
        <f t="shared" si="21"/>
        <v>22950.132221613188</v>
      </c>
      <c r="BA18" s="37">
        <f t="shared" si="22"/>
        <v>23539.170194751117</v>
      </c>
      <c r="BB18" s="37">
        <f t="shared" si="23"/>
        <v>25418.201308726548</v>
      </c>
      <c r="BC18" s="37">
        <f t="shared" si="24"/>
        <v>50135.230473373435</v>
      </c>
      <c r="BD18" s="37">
        <f t="shared" si="25"/>
        <v>-355.57302401162281</v>
      </c>
      <c r="BE18" s="37">
        <f t="shared" si="26"/>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7"/>
        <v>-10</v>
      </c>
      <c r="N19" s="2">
        <f t="shared" si="4"/>
        <v>10</v>
      </c>
      <c r="O19" s="2">
        <f t="shared" si="5"/>
        <v>20137.057415526051</v>
      </c>
      <c r="P19" s="2">
        <f t="shared" si="6"/>
        <v>19643.672756167805</v>
      </c>
      <c r="Q19" s="2">
        <f t="shared" si="7"/>
        <v>18846.440804960992</v>
      </c>
      <c r="R19" s="2">
        <f t="shared" si="8"/>
        <v>17248.776741394606</v>
      </c>
      <c r="S19" s="2">
        <f t="shared" si="9"/>
        <v>12688.010026283031</v>
      </c>
      <c r="T19" s="2">
        <f t="shared" si="10"/>
        <v>832.46344867058917</v>
      </c>
      <c r="U19" s="2">
        <f t="shared" si="11"/>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2"/>
        <v>10</v>
      </c>
      <c r="AM19" s="2">
        <f t="shared" si="13"/>
        <v>7431.7642795214106</v>
      </c>
      <c r="AN19" s="2">
        <f t="shared" si="14"/>
        <v>7225.4468313347925</v>
      </c>
      <c r="AO19" s="2">
        <f t="shared" si="15"/>
        <v>6881.2247214769232</v>
      </c>
      <c r="AP19" s="2">
        <f t="shared" si="16"/>
        <v>6197.1395066404111</v>
      </c>
      <c r="AQ19" s="2">
        <f t="shared" si="17"/>
        <v>4307.5308640863095</v>
      </c>
      <c r="AR19" s="2">
        <f t="shared" si="18"/>
        <v>214.57476664013214</v>
      </c>
      <c r="AS19" s="2">
        <f t="shared" si="19"/>
        <v>189.83771999127222</v>
      </c>
      <c r="AX19" s="2">
        <f t="shared" si="28"/>
        <v>10</v>
      </c>
      <c r="AY19" s="37">
        <f t="shared" si="20"/>
        <v>23113.614390393683</v>
      </c>
      <c r="AZ19" s="37">
        <f t="shared" si="21"/>
        <v>23275.539238382869</v>
      </c>
      <c r="BA19" s="37">
        <f t="shared" si="22"/>
        <v>24053.006007932338</v>
      </c>
      <c r="BB19" s="37">
        <f t="shared" si="23"/>
        <v>26537.998319158982</v>
      </c>
      <c r="BC19" s="37">
        <f t="shared" si="24"/>
        <v>77661.347885028619</v>
      </c>
      <c r="BD19" s="37">
        <f t="shared" si="25"/>
        <v>-315.47182344480592</v>
      </c>
      <c r="BE19" s="37">
        <f t="shared" si="26"/>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7"/>
        <v>-10</v>
      </c>
      <c r="N20" s="2">
        <f t="shared" si="4"/>
        <v>100</v>
      </c>
      <c r="O20" s="2">
        <f t="shared" si="5"/>
        <v>20008.715567830306</v>
      </c>
      <c r="P20" s="2">
        <f t="shared" si="6"/>
        <v>19302.010618752975</v>
      </c>
      <c r="Q20" s="2">
        <f t="shared" si="7"/>
        <v>18254.556853733873</v>
      </c>
      <c r="R20" s="2">
        <f t="shared" si="8"/>
        <v>16052.315505234246</v>
      </c>
      <c r="S20" s="2">
        <f t="shared" si="9"/>
        <v>10169.882364098989</v>
      </c>
      <c r="T20" s="2">
        <f t="shared" si="10"/>
        <v>697.97258507268759</v>
      </c>
      <c r="U20" s="2">
        <f t="shared" si="11"/>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2"/>
        <v>100</v>
      </c>
      <c r="AM20" s="2">
        <f t="shared" si="13"/>
        <v>7374.1954046997607</v>
      </c>
      <c r="AN20" s="2">
        <f t="shared" si="14"/>
        <v>7074.5614632967963</v>
      </c>
      <c r="AO20" s="2">
        <f t="shared" si="15"/>
        <v>6633.2763958157147</v>
      </c>
      <c r="AP20" s="2">
        <f t="shared" si="16"/>
        <v>5728.6851502202007</v>
      </c>
      <c r="AQ20" s="2">
        <f t="shared" si="17"/>
        <v>3424.2409160347711</v>
      </c>
      <c r="AR20" s="2">
        <f t="shared" si="18"/>
        <v>185.72591291449908</v>
      </c>
      <c r="AS20" s="2">
        <f t="shared" si="19"/>
        <v>169.86288435020435</v>
      </c>
      <c r="AX20" s="2">
        <f t="shared" si="28"/>
        <v>100</v>
      </c>
      <c r="AY20" s="37">
        <f t="shared" si="20"/>
        <v>23266.667815375284</v>
      </c>
      <c r="AZ20" s="37">
        <f t="shared" si="21"/>
        <v>23686.514422745709</v>
      </c>
      <c r="BA20" s="37">
        <f t="shared" si="22"/>
        <v>24532.417037744013</v>
      </c>
      <c r="BB20" s="37">
        <f t="shared" si="23"/>
        <v>27036.96493846388</v>
      </c>
      <c r="BC20" s="37">
        <f t="shared" si="24"/>
        <v>112874.35909938901</v>
      </c>
      <c r="BD20" s="37">
        <f t="shared" si="25"/>
        <v>-306.90421543988464</v>
      </c>
      <c r="BE20" s="37">
        <f t="shared" si="26"/>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7"/>
        <v>-10</v>
      </c>
      <c r="N21" s="2">
        <f t="shared" si="4"/>
        <v>1000</v>
      </c>
      <c r="O21" s="2">
        <f t="shared" si="5"/>
        <v>19684.098120347473</v>
      </c>
      <c r="P21" s="2">
        <f t="shared" si="6"/>
        <v>18729.765498519733</v>
      </c>
      <c r="Q21" s="2">
        <f t="shared" si="7"/>
        <v>16979.984576352294</v>
      </c>
      <c r="R21" s="2">
        <f t="shared" si="8"/>
        <v>13802.936034354956</v>
      </c>
      <c r="S21" s="2">
        <f t="shared" si="9"/>
        <v>7300.4195655416024</v>
      </c>
      <c r="T21" s="2">
        <f t="shared" si="10"/>
        <v>548.83731637118672</v>
      </c>
      <c r="U21" s="2">
        <f t="shared" si="11"/>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2"/>
        <v>1000</v>
      </c>
      <c r="AM21" s="2">
        <f t="shared" si="13"/>
        <v>7229.1163160436472</v>
      </c>
      <c r="AN21" s="2">
        <f t="shared" si="14"/>
        <v>6837.385209483964</v>
      </c>
      <c r="AO21" s="2">
        <f t="shared" si="15"/>
        <v>6142.0459094556854</v>
      </c>
      <c r="AP21" s="2">
        <f t="shared" si="16"/>
        <v>4909.4106843846976</v>
      </c>
      <c r="AQ21" s="2">
        <f t="shared" si="17"/>
        <v>2457.6306581082695</v>
      </c>
      <c r="AR21" s="2">
        <f t="shared" si="18"/>
        <v>158.09658219581334</v>
      </c>
      <c r="AS21" s="2">
        <f t="shared" si="19"/>
        <v>142.29365996368665</v>
      </c>
      <c r="AX21" s="2">
        <f t="shared" si="28"/>
        <v>1000</v>
      </c>
      <c r="AY21" s="37">
        <f t="shared" si="20"/>
        <v>23677.952674862463</v>
      </c>
      <c r="AZ21" s="37">
        <f t="shared" si="21"/>
        <v>23949.605541101169</v>
      </c>
      <c r="BA21" s="37">
        <f t="shared" si="22"/>
        <v>24038.911937855533</v>
      </c>
      <c r="BB21" s="37">
        <f t="shared" si="23"/>
        <v>24411.748696698593</v>
      </c>
      <c r="BC21" s="37">
        <f t="shared" si="24"/>
        <v>82522.140690347413</v>
      </c>
      <c r="BD21" s="37">
        <f t="shared" si="25"/>
        <v>-387.9818132749063</v>
      </c>
      <c r="BE21" s="37">
        <f t="shared" si="26"/>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7"/>
        <v>-10</v>
      </c>
      <c r="N22" s="2">
        <f t="shared" si="4"/>
        <v>10000</v>
      </c>
      <c r="O22" s="2">
        <f t="shared" si="5"/>
        <v>19310.182462245117</v>
      </c>
      <c r="P22" s="2">
        <f t="shared" si="6"/>
        <v>17308.171801111104</v>
      </c>
      <c r="Q22" s="2">
        <f t="shared" si="7"/>
        <v>14603.915117705887</v>
      </c>
      <c r="R22" s="2">
        <f t="shared" si="8"/>
        <v>11388.112671513923</v>
      </c>
      <c r="S22" s="2">
        <f t="shared" si="9"/>
        <v>4777.2365062655363</v>
      </c>
      <c r="T22" s="2">
        <f t="shared" si="10"/>
        <v>424.68993933559034</v>
      </c>
      <c r="U22" s="2">
        <f t="shared" si="11"/>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2"/>
        <v>10000</v>
      </c>
      <c r="AM22" s="2">
        <f t="shared" si="13"/>
        <v>7065.0007195804155</v>
      </c>
      <c r="AN22" s="2">
        <f t="shared" si="14"/>
        <v>6289.6718355453368</v>
      </c>
      <c r="AO22" s="2">
        <f t="shared" si="15"/>
        <v>5263.2654078154883</v>
      </c>
      <c r="AP22" s="2">
        <f t="shared" si="16"/>
        <v>4054.6855956010618</v>
      </c>
      <c r="AQ22" s="2">
        <f t="shared" si="17"/>
        <v>1610.938712030013</v>
      </c>
      <c r="AR22" s="2">
        <f t="shared" si="18"/>
        <v>132.46407229952649</v>
      </c>
      <c r="AS22" s="2">
        <f t="shared" si="19"/>
        <v>121.71619952615258</v>
      </c>
      <c r="AX22" s="2">
        <f t="shared" si="28"/>
        <v>10000</v>
      </c>
      <c r="AY22" s="37">
        <f t="shared" si="20"/>
        <v>24127.233185682937</v>
      </c>
      <c r="AZ22" s="37">
        <f t="shared" si="21"/>
        <v>23248.691357733402</v>
      </c>
      <c r="BA22" s="37">
        <f t="shared" si="22"/>
        <v>21605.392785053158</v>
      </c>
      <c r="BB22" s="37">
        <f t="shared" si="23"/>
        <v>19836.143480107861</v>
      </c>
      <c r="BC22" s="37">
        <f t="shared" si="24"/>
        <v>46155.010680269632</v>
      </c>
      <c r="BD22" s="37">
        <f t="shared" si="25"/>
        <v>-686.94569615763794</v>
      </c>
      <c r="BE22" s="37">
        <f t="shared" si="26"/>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7"/>
        <v>-10</v>
      </c>
      <c r="N23" s="2">
        <f t="shared" si="4"/>
        <v>100000</v>
      </c>
      <c r="O23" s="2">
        <f t="shared" si="5"/>
        <v>18566.934600264562</v>
      </c>
      <c r="P23" s="2">
        <f t="shared" si="6"/>
        <v>14894.920168334727</v>
      </c>
      <c r="Q23" s="2">
        <f t="shared" si="7"/>
        <v>12222.314258188637</v>
      </c>
      <c r="R23" s="2">
        <f t="shared" si="8"/>
        <v>9481.7225439927552</v>
      </c>
      <c r="S23" s="2">
        <f t="shared" si="9"/>
        <v>2781.8501856678345</v>
      </c>
      <c r="T23" s="2">
        <f t="shared" si="10"/>
        <v>351.56865009712232</v>
      </c>
      <c r="U23" s="2">
        <f t="shared" si="11"/>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2"/>
        <v>100000</v>
      </c>
      <c r="AM23" s="2">
        <f t="shared" si="13"/>
        <v>6763.2909836921517</v>
      </c>
      <c r="AN23" s="2">
        <f t="shared" si="14"/>
        <v>5393.096219252795</v>
      </c>
      <c r="AO23" s="2">
        <f t="shared" si="15"/>
        <v>4399.1328288595505</v>
      </c>
      <c r="AP23" s="2">
        <f t="shared" si="16"/>
        <v>3384.7376862720757</v>
      </c>
      <c r="AQ23" s="2">
        <f t="shared" si="17"/>
        <v>942.69111378955085</v>
      </c>
      <c r="AR23" s="2">
        <f t="shared" si="18"/>
        <v>115.64370251909122</v>
      </c>
      <c r="AS23" s="2">
        <f t="shared" si="19"/>
        <v>109.27679567564616</v>
      </c>
      <c r="AX23" s="2">
        <f t="shared" si="28"/>
        <v>100000</v>
      </c>
      <c r="AY23" s="37">
        <f t="shared" si="20"/>
        <v>24294.462096800613</v>
      </c>
      <c r="AZ23" s="37">
        <f t="shared" si="21"/>
        <v>20848.0505678878</v>
      </c>
      <c r="BA23" s="37">
        <f t="shared" si="22"/>
        <v>18380.492109422798</v>
      </c>
      <c r="BB23" s="37">
        <f t="shared" si="23"/>
        <v>15907.606584781948</v>
      </c>
      <c r="BC23" s="37">
        <f t="shared" si="24"/>
        <v>18911.340071605871</v>
      </c>
      <c r="BD23" s="37">
        <f t="shared" si="25"/>
        <v>-2922.2876870326827</v>
      </c>
      <c r="BE23" s="37">
        <f t="shared" si="26"/>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7"/>
        <v>-10</v>
      </c>
      <c r="N24" s="2">
        <f t="shared" si="4"/>
        <v>1000000</v>
      </c>
      <c r="O24" s="2">
        <f t="shared" si="5"/>
        <v>16761.540176741342</v>
      </c>
      <c r="P24" s="2">
        <f t="shared" si="6"/>
        <v>12612.199023383377</v>
      </c>
      <c r="Q24" s="2">
        <f t="shared" si="7"/>
        <v>10433.150423314644</v>
      </c>
      <c r="R24" s="2">
        <f t="shared" si="8"/>
        <v>8012.0684642696078</v>
      </c>
      <c r="S24" s="2">
        <f t="shared" si="9"/>
        <v>1491.317295053803</v>
      </c>
      <c r="T24" s="2">
        <f t="shared" si="10"/>
        <v>311.02439474519485</v>
      </c>
      <c r="U24" s="2">
        <f t="shared" si="11"/>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2"/>
        <v>1000000</v>
      </c>
      <c r="AM24" s="2">
        <f t="shared" si="13"/>
        <v>6076.274832146727</v>
      </c>
      <c r="AN24" s="2">
        <f t="shared" si="14"/>
        <v>4558.7271908643725</v>
      </c>
      <c r="AO24" s="2">
        <f t="shared" si="15"/>
        <v>3757.2475587809995</v>
      </c>
      <c r="AP24" s="2">
        <f t="shared" si="16"/>
        <v>2867.8130883318549</v>
      </c>
      <c r="AQ24" s="2">
        <f t="shared" si="17"/>
        <v>510.32470275306576</v>
      </c>
      <c r="AR24" s="2">
        <f t="shared" si="18"/>
        <v>105.70344373363407</v>
      </c>
      <c r="AS24" s="2">
        <f t="shared" si="19"/>
        <v>101.92394551670053</v>
      </c>
      <c r="AX24" s="2">
        <f t="shared" si="28"/>
        <v>1000000</v>
      </c>
      <c r="AY24" s="37">
        <f t="shared" si="20"/>
        <v>23137.466351182688</v>
      </c>
      <c r="AZ24" s="37">
        <f t="shared" si="21"/>
        <v>18012.69349364013</v>
      </c>
      <c r="BA24" s="37">
        <f t="shared" si="22"/>
        <v>15581.640468230606</v>
      </c>
      <c r="BB24" s="37">
        <f t="shared" si="23"/>
        <v>12951.329790737587</v>
      </c>
      <c r="BC24" s="37">
        <f t="shared" si="24"/>
        <v>6397.0180976393976</v>
      </c>
      <c r="BD24" s="37">
        <f t="shared" si="25"/>
        <v>1800.6732871764245</v>
      </c>
      <c r="BE24" s="37">
        <f t="shared" si="26"/>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7"/>
        <v>-10</v>
      </c>
      <c r="N25" s="2">
        <f t="shared" si="4"/>
        <v>10000000</v>
      </c>
      <c r="O25" s="2">
        <f t="shared" si="5"/>
        <v>14254.828436215996</v>
      </c>
      <c r="P25" s="2">
        <f t="shared" si="6"/>
        <v>10870.607040165401</v>
      </c>
      <c r="Q25" s="2">
        <f t="shared" si="7"/>
        <v>9125.6995761295057</v>
      </c>
      <c r="R25" s="2">
        <f t="shared" si="8"/>
        <v>6673.464448224041</v>
      </c>
      <c r="S25" s="2">
        <f t="shared" si="9"/>
        <v>785.20892524999465</v>
      </c>
      <c r="T25" s="2">
        <f t="shared" si="10"/>
        <v>287.7155458003362</v>
      </c>
      <c r="U25" s="2">
        <f t="shared" si="11"/>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2"/>
        <v>10000000</v>
      </c>
      <c r="AM25" s="2">
        <f t="shared" si="13"/>
        <v>5152.9727387836929</v>
      </c>
      <c r="AN25" s="2">
        <f t="shared" si="14"/>
        <v>3927.5350129983676</v>
      </c>
      <c r="AO25" s="2">
        <f t="shared" si="15"/>
        <v>3291.1531992809396</v>
      </c>
      <c r="AP25" s="2">
        <f t="shared" si="16"/>
        <v>2393.9219661874804</v>
      </c>
      <c r="AQ25" s="2">
        <f t="shared" si="17"/>
        <v>271.36767023207187</v>
      </c>
      <c r="AR25" s="2">
        <f t="shared" si="18"/>
        <v>99.769058005183027</v>
      </c>
      <c r="AS25" s="2">
        <f t="shared" si="19"/>
        <v>97.501289329192588</v>
      </c>
      <c r="AX25" s="2">
        <f t="shared" si="28"/>
        <v>10000000</v>
      </c>
      <c r="AY25" s="37">
        <f t="shared" si="20"/>
        <v>20334.791070595831</v>
      </c>
      <c r="AZ25" s="37">
        <f t="shared" si="21"/>
        <v>15604.81851114552</v>
      </c>
      <c r="BA25" s="37">
        <f t="shared" si="22"/>
        <v>13388.464428663197</v>
      </c>
      <c r="BB25" s="37">
        <f t="shared" si="23"/>
        <v>10476.560790543319</v>
      </c>
      <c r="BC25" s="37">
        <f t="shared" si="24"/>
        <v>2458.1768598411568</v>
      </c>
      <c r="BD25" s="37">
        <f t="shared" si="25"/>
        <v>825.45518900942818</v>
      </c>
      <c r="BE25" s="37">
        <f t="shared" si="26"/>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7"/>
        <v>-10</v>
      </c>
      <c r="N26" s="2">
        <f t="shared" si="4"/>
        <v>100000000</v>
      </c>
      <c r="O26" s="2">
        <f t="shared" si="5"/>
        <v>12048.152956189884</v>
      </c>
      <c r="P26" s="2">
        <f t="shared" si="6"/>
        <v>9599.4226742642168</v>
      </c>
      <c r="Q26" s="2">
        <f t="shared" si="7"/>
        <v>8090.5512994118853</v>
      </c>
      <c r="R26" s="2">
        <f t="shared" si="8"/>
        <v>5348.8138806549405</v>
      </c>
      <c r="S26" s="2">
        <f t="shared" si="9"/>
        <v>437.8275387817626</v>
      </c>
      <c r="T26" s="2">
        <f t="shared" si="10"/>
        <v>273.91270001555353</v>
      </c>
      <c r="U26" s="2">
        <f t="shared" si="11"/>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2"/>
        <v>100000000</v>
      </c>
      <c r="AM26" s="2">
        <f t="shared" si="13"/>
        <v>4349.4578522571974</v>
      </c>
      <c r="AN26" s="2">
        <f t="shared" si="14"/>
        <v>3470.8276794707381</v>
      </c>
      <c r="AO26" s="2">
        <f t="shared" si="15"/>
        <v>2923.3907186801598</v>
      </c>
      <c r="AP26" s="2">
        <f t="shared" si="16"/>
        <v>1923.0446750969861</v>
      </c>
      <c r="AQ26" s="2">
        <f t="shared" si="17"/>
        <v>152.45647454769647</v>
      </c>
      <c r="AR26" s="2">
        <f t="shared" si="18"/>
        <v>96.16135307969536</v>
      </c>
      <c r="AS26" s="2">
        <f t="shared" si="19"/>
        <v>94.712895608864457</v>
      </c>
      <c r="AX26" s="2">
        <f t="shared" si="28"/>
        <v>100000000</v>
      </c>
      <c r="AY26" s="37">
        <f t="shared" si="20"/>
        <v>17463.791970831018</v>
      </c>
      <c r="AZ26" s="37">
        <f t="shared" si="21"/>
        <v>13659.478596315132</v>
      </c>
      <c r="BA26" s="37">
        <f t="shared" si="22"/>
        <v>11600.508502655679</v>
      </c>
      <c r="BB26" s="37">
        <f t="shared" si="23"/>
        <v>8157.2805733477471</v>
      </c>
      <c r="BC26" s="37">
        <f t="shared" si="24"/>
        <v>1138.5739484911751</v>
      </c>
      <c r="BD26" s="37">
        <f t="shared" si="25"/>
        <v>602.54767486320873</v>
      </c>
      <c r="BE26" s="37">
        <f t="shared" si="26"/>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7"/>
        <v>-10</v>
      </c>
      <c r="N27" s="2">
        <f t="shared" si="4"/>
        <v>1000000000</v>
      </c>
      <c r="O27" s="2">
        <f t="shared" si="5"/>
        <v>10415.741029681112</v>
      </c>
      <c r="P27" s="2">
        <f t="shared" si="6"/>
        <v>8614.4897686935656</v>
      </c>
      <c r="Q27" s="2">
        <f t="shared" si="7"/>
        <v>7159.2568085964094</v>
      </c>
      <c r="R27" s="2">
        <f t="shared" si="8"/>
        <v>3978.0976400651807</v>
      </c>
      <c r="S27" s="2">
        <f t="shared" si="9"/>
        <v>325.81443601846939</v>
      </c>
      <c r="T27" s="2">
        <f t="shared" si="10"/>
        <v>265.30408912131344</v>
      </c>
      <c r="U27" s="2">
        <f t="shared" si="11"/>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2"/>
        <v>1000000000</v>
      </c>
      <c r="AM27" s="2">
        <f t="shared" si="13"/>
        <v>3760.3414331574859</v>
      </c>
      <c r="AN27" s="2">
        <f t="shared" si="14"/>
        <v>3119.1195128427248</v>
      </c>
      <c r="AO27" s="2">
        <f t="shared" si="15"/>
        <v>2591.8565821190209</v>
      </c>
      <c r="AP27" s="2">
        <f t="shared" si="16"/>
        <v>1433.0262098856042</v>
      </c>
      <c r="AQ27" s="2">
        <f t="shared" si="17"/>
        <v>114.48528241321054</v>
      </c>
      <c r="AR27" s="2">
        <f t="shared" si="18"/>
        <v>93.862812708921865</v>
      </c>
      <c r="AS27" s="2">
        <f t="shared" si="19"/>
        <v>92.92945942455529</v>
      </c>
      <c r="AX27" s="2">
        <f t="shared" si="28"/>
        <v>1000000000</v>
      </c>
      <c r="AY27" s="37">
        <f t="shared" si="20"/>
        <v>15088.2159705507</v>
      </c>
      <c r="AZ27" s="37">
        <f t="shared" si="21"/>
        <v>12056.693466284903</v>
      </c>
      <c r="BA27" s="37">
        <f t="shared" si="22"/>
        <v>10035.900998532001</v>
      </c>
      <c r="BB27" s="37">
        <f t="shared" si="23"/>
        <v>5920.0994955601627</v>
      </c>
      <c r="BC27" s="37">
        <f t="shared" si="24"/>
        <v>704.79920331109042</v>
      </c>
      <c r="BD27" s="37">
        <f t="shared" si="25"/>
        <v>509.73663975898</v>
      </c>
      <c r="BE27" s="37">
        <f t="shared" si="26"/>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7"/>
        <v>-10</v>
      </c>
      <c r="N28" s="2">
        <f t="shared" si="4"/>
        <v>10000000000</v>
      </c>
      <c r="O28" s="2">
        <f t="shared" si="5"/>
        <v>9230.6598423783071</v>
      </c>
      <c r="P28" s="2">
        <f t="shared" si="6"/>
        <v>7773.7433777145961</v>
      </c>
      <c r="Q28" s="2">
        <f t="shared" si="7"/>
        <v>6142.4304670728689</v>
      </c>
      <c r="R28" s="2">
        <f t="shared" si="8"/>
        <v>2574.4636770611592</v>
      </c>
      <c r="S28" s="2">
        <f t="shared" si="9"/>
        <v>285.60076349080902</v>
      </c>
      <c r="T28" s="2">
        <f t="shared" si="10"/>
        <v>259.87569210094318</v>
      </c>
      <c r="U28" s="2">
        <f t="shared" si="11"/>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2"/>
        <v>10000000000</v>
      </c>
      <c r="AM28" s="2">
        <f t="shared" si="13"/>
        <v>3336.4331784463179</v>
      </c>
      <c r="AN28" s="2">
        <f t="shared" si="14"/>
        <v>2819.4631556550398</v>
      </c>
      <c r="AO28" s="2">
        <f t="shared" si="15"/>
        <v>2227.1388397843657</v>
      </c>
      <c r="AP28" s="2">
        <f t="shared" si="16"/>
        <v>928.3724969127901</v>
      </c>
      <c r="AQ28" s="2">
        <f t="shared" si="17"/>
        <v>101.06517730245214</v>
      </c>
      <c r="AR28" s="2">
        <f t="shared" si="18"/>
        <v>92.381155101656375</v>
      </c>
      <c r="AS28" s="2">
        <f t="shared" si="19"/>
        <v>92.006187989209394</v>
      </c>
      <c r="AX28" s="2">
        <f t="shared" si="28"/>
        <v>10000000000</v>
      </c>
      <c r="AY28" s="37">
        <f t="shared" si="20"/>
        <v>13184.309351933493</v>
      </c>
      <c r="AZ28" s="37">
        <f t="shared" si="21"/>
        <v>10671.101161660947</v>
      </c>
      <c r="BA28" s="37">
        <f t="shared" si="22"/>
        <v>8460.358362409168</v>
      </c>
      <c r="BB28" s="37">
        <f t="shared" si="23"/>
        <v>3781.973261189708</v>
      </c>
      <c r="BC28" s="37">
        <f t="shared" si="24"/>
        <v>546.83473929231957</v>
      </c>
      <c r="BD28" s="37">
        <f t="shared" si="25"/>
        <v>463.43780280695023</v>
      </c>
      <c r="BE28" s="37">
        <f t="shared" si="26"/>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7"/>
        <v>-10</v>
      </c>
      <c r="N29" s="2">
        <f t="shared" si="4"/>
        <v>100000000000</v>
      </c>
      <c r="O29" s="2">
        <f t="shared" si="5"/>
        <v>8273.6096908081145</v>
      </c>
      <c r="P29" s="2">
        <f t="shared" si="6"/>
        <v>6953.8163676704444</v>
      </c>
      <c r="Q29" s="2">
        <f t="shared" si="7"/>
        <v>5008.1514103254858</v>
      </c>
      <c r="R29" s="2">
        <f t="shared" si="8"/>
        <v>1499.5121872638804</v>
      </c>
      <c r="S29" s="2">
        <f t="shared" si="9"/>
        <v>261.97962463200093</v>
      </c>
      <c r="T29" s="2">
        <f t="shared" si="10"/>
        <v>258.94491547675437</v>
      </c>
      <c r="U29" s="2">
        <f t="shared" si="11"/>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2"/>
        <v>100000000000</v>
      </c>
      <c r="AM29" s="2">
        <f t="shared" si="13"/>
        <v>2995.2983606085086</v>
      </c>
      <c r="AN29" s="2">
        <f t="shared" si="14"/>
        <v>2525.9157804368465</v>
      </c>
      <c r="AO29" s="2">
        <f t="shared" si="15"/>
        <v>1818.1045605438685</v>
      </c>
      <c r="AP29" s="2">
        <f t="shared" si="16"/>
        <v>540.77757065756475</v>
      </c>
      <c r="AQ29" s="2">
        <f t="shared" si="17"/>
        <v>93.059878245985715</v>
      </c>
      <c r="AR29" s="2">
        <f t="shared" si="18"/>
        <v>92.126538569786135</v>
      </c>
      <c r="AS29" s="2">
        <f t="shared" si="19"/>
        <v>91.763267256404887</v>
      </c>
      <c r="AX29" s="2">
        <f t="shared" si="28"/>
        <v>100000000000</v>
      </c>
      <c r="AY29" s="37">
        <f t="shared" si="20"/>
        <v>11597.378361592906</v>
      </c>
      <c r="AZ29" s="37">
        <f t="shared" si="21"/>
        <v>9383.9197173173034</v>
      </c>
      <c r="BA29" s="37">
        <f t="shared" si="22"/>
        <v>6802.7139485606767</v>
      </c>
      <c r="BB29" s="37">
        <f t="shared" si="23"/>
        <v>2200.7791714033719</v>
      </c>
      <c r="BC29" s="37">
        <f t="shared" si="24"/>
        <v>472.47631098271978</v>
      </c>
      <c r="BD29" s="37">
        <f t="shared" si="25"/>
        <v>456.09614590156087</v>
      </c>
      <c r="BE29" s="37">
        <f t="shared" si="26"/>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7"/>
        <v>-10</v>
      </c>
      <c r="N30" s="2">
        <f t="shared" si="4"/>
        <v>1000000000000</v>
      </c>
      <c r="O30" s="2">
        <f t="shared" si="5"/>
        <v>7446.6240878630142</v>
      </c>
      <c r="P30" s="2">
        <f t="shared" si="6"/>
        <v>6002.2356441357479</v>
      </c>
      <c r="Q30" s="2">
        <f t="shared" si="7"/>
        <v>3751.2603162874061</v>
      </c>
      <c r="R30" s="2">
        <f t="shared" si="8"/>
        <v>838.72513779055839</v>
      </c>
      <c r="S30" s="2">
        <f t="shared" si="9"/>
        <v>260.53407371062764</v>
      </c>
      <c r="T30" s="2">
        <f t="shared" si="10"/>
        <v>255.21526561798564</v>
      </c>
      <c r="U30" s="2">
        <f t="shared" si="11"/>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2"/>
        <v>1000000000000</v>
      </c>
      <c r="AM30" s="2">
        <f t="shared" si="13"/>
        <v>2700.8479980556854</v>
      </c>
      <c r="AN30" s="2">
        <f t="shared" si="14"/>
        <v>2182.665940608038</v>
      </c>
      <c r="AO30" s="2">
        <f t="shared" si="15"/>
        <v>1362.7209266527218</v>
      </c>
      <c r="AP30" s="2">
        <f t="shared" si="16"/>
        <v>302.10819766520217</v>
      </c>
      <c r="AQ30" s="2">
        <f t="shared" si="17"/>
        <v>92.631968530961771</v>
      </c>
      <c r="AR30" s="2">
        <f t="shared" si="18"/>
        <v>91.086268606556416</v>
      </c>
      <c r="AS30" s="2">
        <f t="shared" si="19"/>
        <v>90.809569282014081</v>
      </c>
      <c r="AX30" s="2">
        <f t="shared" si="28"/>
        <v>1000000000000</v>
      </c>
      <c r="AY30" s="37">
        <f t="shared" si="20"/>
        <v>10220.861605550637</v>
      </c>
      <c r="AZ30" s="37">
        <f t="shared" si="21"/>
        <v>8001.5776367701637</v>
      </c>
      <c r="BA30" s="37">
        <f t="shared" si="22"/>
        <v>5057.7654618780325</v>
      </c>
      <c r="BB30" s="37">
        <f t="shared" si="23"/>
        <v>1249.4466557746339</v>
      </c>
      <c r="BC30" s="37">
        <f t="shared" si="24"/>
        <v>463.3494184422018</v>
      </c>
      <c r="BD30" s="37">
        <f t="shared" si="25"/>
        <v>429.45390200097501</v>
      </c>
      <c r="BE30" s="37">
        <f t="shared" si="26"/>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7"/>
        <v>-10</v>
      </c>
      <c r="N31" s="2">
        <f t="shared" si="4"/>
        <v>10000000000000</v>
      </c>
      <c r="O31" s="2">
        <f t="shared" si="5"/>
        <v>6555.3004773682187</v>
      </c>
      <c r="P31" s="2">
        <f t="shared" si="6"/>
        <v>4907.4912657872592</v>
      </c>
      <c r="Q31" s="2">
        <f t="shared" si="7"/>
        <v>2430.1890357952816</v>
      </c>
      <c r="R31" s="2">
        <f t="shared" si="8"/>
        <v>467.74027403592981</v>
      </c>
      <c r="S31" s="2">
        <f t="shared" si="9"/>
        <v>255.61107200829733</v>
      </c>
      <c r="T31" s="2">
        <f t="shared" si="10"/>
        <v>254.50537781497852</v>
      </c>
      <c r="U31" s="2">
        <f t="shared" si="11"/>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2"/>
        <v>10000000000000</v>
      </c>
      <c r="AM31" s="2">
        <f t="shared" si="13"/>
        <v>2380.901782740345</v>
      </c>
      <c r="AN31" s="2">
        <f t="shared" si="14"/>
        <v>1785.8998006119411</v>
      </c>
      <c r="AO31" s="2">
        <f t="shared" si="15"/>
        <v>882.60529508909428</v>
      </c>
      <c r="AP31" s="2">
        <f t="shared" si="16"/>
        <v>167.95607666429018</v>
      </c>
      <c r="AQ31" s="2">
        <f t="shared" si="17"/>
        <v>91.23127997996707</v>
      </c>
      <c r="AR31" s="2">
        <f t="shared" si="18"/>
        <v>90.886673770022838</v>
      </c>
      <c r="AS31" s="2">
        <f t="shared" si="19"/>
        <v>90.794437108888047</v>
      </c>
      <c r="AX31" s="2">
        <f t="shared" si="28"/>
        <v>10000000000000</v>
      </c>
      <c r="AY31" s="37">
        <f t="shared" si="20"/>
        <v>8856.7683423672406</v>
      </c>
      <c r="AZ31" s="37">
        <f t="shared" si="21"/>
        <v>6489.0635917849504</v>
      </c>
      <c r="BA31" s="37">
        <f t="shared" si="22"/>
        <v>3285.2835273837663</v>
      </c>
      <c r="BB31" s="37">
        <f t="shared" si="23"/>
        <v>724.82946833551421</v>
      </c>
      <c r="BC31" s="37">
        <f t="shared" si="24"/>
        <v>429.87012763703814</v>
      </c>
      <c r="BD31" s="37">
        <f t="shared" si="25"/>
        <v>424.70580143756354</v>
      </c>
      <c r="BE31" s="37">
        <f t="shared" si="26"/>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7"/>
        <v>-10</v>
      </c>
      <c r="N32" s="2">
        <f t="shared" si="4"/>
        <v>100000000000000</v>
      </c>
      <c r="O32" s="2">
        <f t="shared" si="5"/>
        <v>5534.8397923226894</v>
      </c>
      <c r="P32" s="2">
        <f t="shared" si="6"/>
        <v>3674.7323471947598</v>
      </c>
      <c r="Q32" s="2">
        <f t="shared" si="7"/>
        <v>1416.8225576286502</v>
      </c>
      <c r="R32" s="2">
        <f t="shared" si="8"/>
        <v>322.68805120996677</v>
      </c>
      <c r="S32" s="2">
        <f t="shared" si="9"/>
        <v>255.53688935645488</v>
      </c>
      <c r="T32" s="2">
        <f t="shared" si="10"/>
        <v>252.43326191058742</v>
      </c>
      <c r="U32" s="2">
        <f t="shared" si="11"/>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2"/>
        <v>100000000000000</v>
      </c>
      <c r="AM32" s="2">
        <f t="shared" si="13"/>
        <v>2012.430565108212</v>
      </c>
      <c r="AN32" s="2">
        <f t="shared" si="14"/>
        <v>1337.7075606161161</v>
      </c>
      <c r="AO32" s="2">
        <f t="shared" si="15"/>
        <v>513.97783275284667</v>
      </c>
      <c r="AP32" s="2">
        <f t="shared" si="16"/>
        <v>115.55588342611547</v>
      </c>
      <c r="AQ32" s="2">
        <f t="shared" si="17"/>
        <v>91.209911146223277</v>
      </c>
      <c r="AR32" s="2">
        <f t="shared" si="18"/>
        <v>90.290301687552557</v>
      </c>
      <c r="AS32" s="2">
        <f t="shared" si="19"/>
        <v>90.157522811707935</v>
      </c>
      <c r="AX32" s="2">
        <f t="shared" si="28"/>
        <v>100000000000000</v>
      </c>
      <c r="AY32" s="37">
        <f t="shared" si="20"/>
        <v>7389.4175770851343</v>
      </c>
      <c r="AZ32" s="37">
        <f t="shared" si="21"/>
        <v>4842.2553687053723</v>
      </c>
      <c r="BA32" s="37">
        <f t="shared" si="22"/>
        <v>1940.1857367522732</v>
      </c>
      <c r="BB32" s="37">
        <f t="shared" si="23"/>
        <v>518.33647874718224</v>
      </c>
      <c r="BC32" s="37">
        <f t="shared" si="24"/>
        <v>429.40543909466612</v>
      </c>
      <c r="BD32" s="37">
        <f t="shared" si="25"/>
        <v>412.06053626076198</v>
      </c>
      <c r="BE32" s="37">
        <f t="shared" si="26"/>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8"/>
        <v>280.88351572812059</v>
      </c>
      <c r="S33" s="2">
        <f t="shared" si="9"/>
        <v>252.44034077426483</v>
      </c>
      <c r="T33" s="2">
        <f t="shared" si="10"/>
        <v>251.63422047097583</v>
      </c>
      <c r="U33" s="2">
        <f t="shared" si="11"/>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2"/>
        <v>1000000000000000</v>
      </c>
      <c r="AM33" s="2">
        <f t="shared" si="13"/>
        <v>1596.0920370512245</v>
      </c>
      <c r="AN33" s="2">
        <f t="shared" si="14"/>
        <v>864.52071218722244</v>
      </c>
      <c r="AO33" s="2">
        <f t="shared" si="15"/>
        <v>287.95166024173568</v>
      </c>
      <c r="AP33" s="2">
        <f t="shared" si="16"/>
        <v>100.53155340781859</v>
      </c>
      <c r="AQ33" s="2">
        <f t="shared" si="17"/>
        <v>90.301560772176387</v>
      </c>
      <c r="AR33" s="2">
        <f t="shared" si="18"/>
        <v>90.056329050223439</v>
      </c>
      <c r="AS33" s="2">
        <f t="shared" si="19"/>
        <v>89.913434838716469</v>
      </c>
      <c r="AX33" s="2">
        <f>AL33</f>
        <v>1000000000000000</v>
      </c>
      <c r="AY33" s="37">
        <f t="shared" si="20"/>
        <v>5812.4040289060513</v>
      </c>
      <c r="AZ33" s="37">
        <f t="shared" si="21"/>
        <v>3149.0996661072604</v>
      </c>
      <c r="BA33" s="37">
        <f t="shared" si="22"/>
        <v>1120.3536230398786</v>
      </c>
      <c r="BB33" s="37">
        <f t="shared" si="23"/>
        <v>454.46798250989048</v>
      </c>
      <c r="BC33" s="37">
        <f t="shared" si="24"/>
        <v>411.52756917249343</v>
      </c>
      <c r="BD33" s="37">
        <f t="shared" si="25"/>
        <v>407.54499459758341</v>
      </c>
      <c r="BE33" s="37">
        <f t="shared" si="26"/>
        <v>404.44648932589445</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82"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1" t="s">
        <v>26</v>
      </c>
      <c r="B15" s="131"/>
      <c r="C15" s="131"/>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7233.2784973668249</v>
      </c>
      <c r="G16" s="26">
        <f>INDEX(Comparison!$AM$3:$AS$33,G14,$B$3)</f>
        <v>7233.3436741214491</v>
      </c>
      <c r="H16" s="26">
        <f>INDEX(Comparison!$AM$3:$AS$33,H14,$B$3)</f>
        <v>7233.2477630478616</v>
      </c>
      <c r="I16" s="26">
        <f>INDEX(Comparison!$AM$3:$AS$33,I14,$B$3)</f>
        <v>7232.6642193149437</v>
      </c>
      <c r="J16" s="26">
        <f>INDEX(Comparison!$AM$3:$AS$33,J14,$B$3)</f>
        <v>7227.030574444283</v>
      </c>
      <c r="K16" s="26">
        <f>INDEX(Comparison!$AM$3:$AS$33,K14,$B$3)</f>
        <v>7179.9574188317292</v>
      </c>
      <c r="L16" s="26">
        <f>INDEX(Comparison!$AM$3:$AS$33,L14,$B$3)</f>
        <v>7042.6684859234238</v>
      </c>
      <c r="M16" s="26">
        <f>INDEX(Comparison!$AM$3:$AS$33,M14,$B$3)</f>
        <v>6896.670224560311</v>
      </c>
      <c r="N16" s="26">
        <f>INDEX(Comparison!$AM$3:$AS$33,N14,$B$3)</f>
        <v>6728.3118442587265</v>
      </c>
      <c r="O16" s="26">
        <f>INDEX(Comparison!$AM$3:$AS$33,O14,$B$3)</f>
        <v>6522.7483495061197</v>
      </c>
      <c r="P16" s="26">
        <f>INDEX(Comparison!$AM$3:$AS$33,P14,$B$3)</f>
        <v>6323.7668304163335</v>
      </c>
      <c r="Q16" s="26">
        <f>INDEX(Comparison!$AM$3:$AS$33,Q14,$B$3)</f>
        <v>6060.8557573682765</v>
      </c>
      <c r="R16" s="26">
        <f>INDEX(Comparison!$AM$3:$AS$33,R14,$B$3)</f>
        <v>5776.7475493188331</v>
      </c>
      <c r="S16" s="26">
        <f>INDEX(Comparison!$AM$3:$AS$33,S14,$B$3)</f>
        <v>5495.7675366958674</v>
      </c>
      <c r="T16" s="26">
        <f>INDEX(Comparison!$AM$3:$AS$33,T14,$B$3)</f>
        <v>5188.5996988750203</v>
      </c>
      <c r="U16" s="26">
        <f>INDEX(Comparison!$AM$3:$AS$33,U14,$B$3)</f>
        <v>4846.1759775211867</v>
      </c>
      <c r="V16" s="26">
        <f>INDEX(Comparison!$AM$3:$AS$33,V14,$B$3)</f>
        <v>4307.5308640863095</v>
      </c>
      <c r="W16" s="26">
        <f>INDEX(Comparison!$AM$3:$AS$33,W14,$B$3)</f>
        <v>3424.2409160347711</v>
      </c>
      <c r="X16" s="26">
        <f>INDEX(Comparison!$AM$3:$AS$33,X14,$B$3)</f>
        <v>2457.6306581082695</v>
      </c>
      <c r="Y16" s="26">
        <f>INDEX(Comparison!$AM$3:$AS$33,Y14,$B$3)</f>
        <v>1610.938712030013</v>
      </c>
      <c r="Z16" s="26">
        <f>INDEX(Comparison!$AM$3:$AS$33,Z14,$B$3)</f>
        <v>942.69111378955085</v>
      </c>
      <c r="AA16" s="26">
        <f>INDEX(Comparison!$AM$3:$AS$33,AA14,$B$3)</f>
        <v>510.32470275306576</v>
      </c>
      <c r="AB16" s="26">
        <f>INDEX(Comparison!$AM$3:$AS$33,AB14,$B$3)</f>
        <v>271.36767023207187</v>
      </c>
      <c r="AC16" s="26">
        <f>INDEX(Comparison!$AM$3:$AS$33,AC14,$B$3)</f>
        <v>152.45647454769647</v>
      </c>
      <c r="AD16" s="26">
        <f>INDEX(Comparison!$AM$3:$AS$33,AD14,$B$3)</f>
        <v>114.48528241321054</v>
      </c>
      <c r="AE16" s="26">
        <f>INDEX(Comparison!$AM$3:$AS$33,AE14,$B$3)</f>
        <v>101.06517730245214</v>
      </c>
      <c r="AF16" s="26">
        <f>INDEX(Comparison!$AM$3:$AS$33,AF14,$B$3)</f>
        <v>93.059878245985715</v>
      </c>
      <c r="AG16" s="26">
        <f>INDEX(Comparison!$AM$3:$AS$33,AG14,$B$3)</f>
        <v>92.631968530961771</v>
      </c>
      <c r="AH16" s="26">
        <f>INDEX(Comparison!$AM$3:$AS$33,AH14,$B$3)</f>
        <v>91.23127997996707</v>
      </c>
      <c r="AI16" s="26">
        <f>INDEX(Comparison!$AM$3:$AS$33,AI14,$B$3)</f>
        <v>91.209911146223277</v>
      </c>
      <c r="AJ16" s="26">
        <f>INDEX(Comparison!$AM$3:$AS$33,AJ14,$B$3)</f>
        <v>90.301560772176387</v>
      </c>
    </row>
    <row r="17" spans="1:36" x14ac:dyDescent="0.25">
      <c r="A17" s="14" t="s">
        <v>20</v>
      </c>
      <c r="B17" s="105">
        <v>1.1081017132758084E-2</v>
      </c>
      <c r="C17" s="18">
        <f t="shared" ref="C17:C48" si="3">ABS(B17/$B$49)</f>
        <v>1.1664035980702061E-2</v>
      </c>
      <c r="D17" s="66"/>
      <c r="E17" s="65" t="s">
        <v>22</v>
      </c>
      <c r="F17" s="27">
        <f>($C$17+SUM(F18:F48))*$B$51</f>
        <v>7233.6489151349888</v>
      </c>
      <c r="G17" s="27">
        <f t="shared" ref="G17:M17" si="4">($C$17+SUM(G18:G48))*$B$51</f>
        <v>7233.6412378886307</v>
      </c>
      <c r="H17" s="27">
        <f t="shared" si="4"/>
        <v>7233.5645127407743</v>
      </c>
      <c r="I17" s="27">
        <f t="shared" si="4"/>
        <v>7232.8019645906397</v>
      </c>
      <c r="J17" s="27">
        <f t="shared" si="4"/>
        <v>7225.619847777838</v>
      </c>
      <c r="K17" s="27">
        <f t="shared" si="4"/>
        <v>7180.2833661938748</v>
      </c>
      <c r="L17" s="27">
        <f t="shared" si="4"/>
        <v>7042.6134220273079</v>
      </c>
      <c r="M17" s="27">
        <f t="shared" si="4"/>
        <v>6896.7237029183789</v>
      </c>
      <c r="N17" s="27">
        <f t="shared" ref="N17" si="5">($C$17+SUM(N18:N48))*$B$51</f>
        <v>6728.1953309620003</v>
      </c>
      <c r="O17" s="27">
        <f t="shared" ref="O17" si="6">($C$17+SUM(O18:O48))*$B$51</f>
        <v>6522.9858724732439</v>
      </c>
      <c r="P17" s="27">
        <f t="shared" ref="P17" si="7">($C$17+SUM(P18:P48))*$B$51</f>
        <v>6323.3549224651961</v>
      </c>
      <c r="Q17" s="27">
        <f t="shared" ref="Q17" si="8">($C$17+SUM(Q18:Q48))*$B$51</f>
        <v>6061.4531858005121</v>
      </c>
      <c r="R17" s="27">
        <f t="shared" ref="R17" si="9">($C$17+SUM(R18:R48))*$B$51</f>
        <v>5776.012764615436</v>
      </c>
      <c r="S17" s="27">
        <f t="shared" ref="S17:T17" si="10">($C$17+SUM(S18:S48))*$B$51</f>
        <v>5496.5428995775655</v>
      </c>
      <c r="T17" s="27">
        <f t="shared" si="10"/>
        <v>5187.9027907448963</v>
      </c>
      <c r="U17" s="27">
        <f t="shared" ref="U17" si="11">($C$17+SUM(U18:U48))*$B$51</f>
        <v>4846.7041769983107</v>
      </c>
      <c r="V17" s="27">
        <f t="shared" ref="V17" si="12">($C$17+SUM(V18:V48))*$B$51</f>
        <v>4307.1872824997363</v>
      </c>
      <c r="W17" s="27">
        <f t="shared" ref="W17" si="13">($C$17+SUM(W18:W48))*$B$51</f>
        <v>3424.4406657342906</v>
      </c>
      <c r="X17" s="27">
        <f t="shared" ref="X17" si="14">($C$17+SUM(X18:X48))*$B$51</f>
        <v>2457.5271460883973</v>
      </c>
      <c r="Y17" s="27">
        <f t="shared" ref="Y17" si="15">($C$17+SUM(Y18:Y48))*$B$51</f>
        <v>1610.9820944062296</v>
      </c>
      <c r="Z17" s="27">
        <f t="shared" ref="Z17:AA17" si="16">($C$17+SUM(Z18:Z48))*$B$51</f>
        <v>942.67726251154704</v>
      </c>
      <c r="AA17" s="27">
        <f t="shared" si="16"/>
        <v>510.3275144611062</v>
      </c>
      <c r="AB17" s="27">
        <f t="shared" ref="AB17" si="17">($C$17+SUM(AB18:AB48))*$B$51</f>
        <v>271.37619567222657</v>
      </c>
      <c r="AC17" s="27">
        <f t="shared" ref="AC17" si="18">($C$17+SUM(AC18:AC48))*$B$51</f>
        <v>152.43284869278892</v>
      </c>
      <c r="AD17" s="27">
        <f t="shared" ref="AD17" si="19">($C$17+SUM(AD18:AD48))*$B$51</f>
        <v>114.52070603066497</v>
      </c>
      <c r="AE17" s="27">
        <f t="shared" ref="AE17" si="20">($C$17+SUM(AE18:AE48))*$B$51</f>
        <v>101.0217963372644</v>
      </c>
      <c r="AF17" s="27">
        <f t="shared" ref="AF17" si="21">($C$17+SUM(AF18:AF48))*$B$51</f>
        <v>93.163179445820916</v>
      </c>
      <c r="AG17" s="27">
        <f t="shared" ref="AG17:AH17" si="22">($C$17+SUM(AG18:AG48))*$B$51</f>
        <v>92.44109428906431</v>
      </c>
      <c r="AH17" s="27">
        <f t="shared" si="22"/>
        <v>91.485697154802935</v>
      </c>
      <c r="AI17" s="27">
        <f t="shared" ref="AI17" si="23">($C$17+SUM(AI18:AI48))*$B$51</f>
        <v>91.046181066402454</v>
      </c>
      <c r="AJ17" s="27">
        <f t="shared" ref="AJ17" si="24">($C$17+SUM(AJ18:AJ48))*$B$51</f>
        <v>90.32215647813598</v>
      </c>
    </row>
    <row r="18" spans="1:36" x14ac:dyDescent="0.25">
      <c r="A18" s="3">
        <f>0.000000000000001/10^5</f>
        <v>1.0000000000000001E-20</v>
      </c>
      <c r="B18" s="106">
        <v>1.2613302935264126E-2</v>
      </c>
      <c r="C18" s="18">
        <f t="shared" si="3"/>
        <v>1.3276941774369114E-2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3.7139024484136637E-3</v>
      </c>
      <c r="C22" s="18">
        <f t="shared" si="3"/>
        <v>3.9093064533808055E-3</v>
      </c>
      <c r="D22" s="17"/>
      <c r="F22" s="3">
        <f t="shared" si="25"/>
        <v>3.9092329449221148E-3</v>
      </c>
      <c r="G22" s="3">
        <f t="shared" si="25"/>
        <v>3.9085714309903541E-3</v>
      </c>
      <c r="H22" s="3">
        <f t="shared" si="25"/>
        <v>3.9019624452644439E-3</v>
      </c>
      <c r="I22" s="3">
        <f t="shared" si="25"/>
        <v>3.8364841114166661E-3</v>
      </c>
      <c r="J22" s="3">
        <f t="shared" si="25"/>
        <v>3.2391912566319993E-3</v>
      </c>
      <c r="K22" s="3">
        <f t="shared" si="25"/>
        <v>5.9630502223746392E-4</v>
      </c>
      <c r="L22" s="3">
        <f t="shared" si="25"/>
        <v>2.6655523925511762E-11</v>
      </c>
      <c r="M22" s="3">
        <f t="shared" si="25"/>
        <v>8.4913117137170115E-85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2.2130639238165252E-2</v>
      </c>
      <c r="C23" s="18">
        <f t="shared" si="3"/>
        <v>2.3295025109815591E-2</v>
      </c>
      <c r="D23" s="17"/>
      <c r="F23" s="3">
        <f t="shared" si="25"/>
        <v>2.3294985595807095E-2</v>
      </c>
      <c r="G23" s="3">
        <f t="shared" si="25"/>
        <v>2.3294629972746766E-2</v>
      </c>
      <c r="H23" s="3">
        <f t="shared" si="25"/>
        <v>2.3291074040723093E-2</v>
      </c>
      <c r="I23" s="3">
        <f t="shared" si="25"/>
        <v>2.3255544561591551E-2</v>
      </c>
      <c r="J23" s="3">
        <f t="shared" si="25"/>
        <v>2.290321709368049E-2</v>
      </c>
      <c r="K23" s="3">
        <f t="shared" si="25"/>
        <v>1.9660576597897099E-2</v>
      </c>
      <c r="L23" s="3">
        <f t="shared" si="25"/>
        <v>4.271632271198797E-3</v>
      </c>
      <c r="M23" s="3">
        <f t="shared" si="25"/>
        <v>1.0013132020307777E-9</v>
      </c>
      <c r="N23" s="3">
        <f t="shared" si="25"/>
        <v>5.0156910358407281E-76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1.8398369302534641E-2</v>
      </c>
      <c r="C24" s="18">
        <f t="shared" si="3"/>
        <v>1.9366384778578011E-2</v>
      </c>
      <c r="D24" s="17"/>
      <c r="F24" s="3">
        <f t="shared" si="25"/>
        <v>1.9366381815225014E-2</v>
      </c>
      <c r="G24" s="3">
        <f t="shared" si="25"/>
        <v>1.9366355145068428E-2</v>
      </c>
      <c r="H24" s="3">
        <f t="shared" si="25"/>
        <v>1.936608844552264E-2</v>
      </c>
      <c r="I24" s="3">
        <f t="shared" si="25"/>
        <v>1.936342165206012E-2</v>
      </c>
      <c r="J24" s="3">
        <f t="shared" si="25"/>
        <v>1.9336773906682887E-2</v>
      </c>
      <c r="K24" s="3">
        <f t="shared" si="25"/>
        <v>1.9072305128242734E-2</v>
      </c>
      <c r="L24" s="3">
        <f t="shared" si="25"/>
        <v>1.6618616073960504E-2</v>
      </c>
      <c r="M24" s="3">
        <f t="shared" si="25"/>
        <v>4.1928713876468642E-3</v>
      </c>
      <c r="N24" s="3">
        <f t="shared" si="25"/>
        <v>4.3820608445736848E-9</v>
      </c>
      <c r="O24" s="3">
        <f t="shared" si="25"/>
        <v>6.8131355135764367E-69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2.3225543327464581E-2</v>
      </c>
      <c r="C25" s="18">
        <f t="shared" si="3"/>
        <v>2.4447536701486281E-2</v>
      </c>
      <c r="D25" s="17"/>
      <c r="F25" s="3">
        <f t="shared" si="25"/>
        <v>2.4447536364030742E-2</v>
      </c>
      <c r="G25" s="3">
        <f t="shared" si="25"/>
        <v>2.4447533326931111E-2</v>
      </c>
      <c r="H25" s="3">
        <f t="shared" si="25"/>
        <v>2.4447502955955526E-2</v>
      </c>
      <c r="I25" s="3">
        <f t="shared" si="25"/>
        <v>2.4447199248274792E-2</v>
      </c>
      <c r="J25" s="3">
        <f t="shared" si="25"/>
        <v>2.4444162378970104E-2</v>
      </c>
      <c r="K25" s="3">
        <f t="shared" si="25"/>
        <v>2.4413814426648743E-2</v>
      </c>
      <c r="L25" s="3">
        <f t="shared" si="25"/>
        <v>2.4112399474148838E-2</v>
      </c>
      <c r="M25" s="3">
        <f t="shared" si="25"/>
        <v>2.1295524428818956E-2</v>
      </c>
      <c r="N25" s="3">
        <f t="shared" si="25"/>
        <v>6.1484753301285925E-3</v>
      </c>
      <c r="O25" s="3">
        <f t="shared" si="25"/>
        <v>2.4749041693972653E-8</v>
      </c>
      <c r="P25" s="3">
        <f t="shared" si="25"/>
        <v>2.7635537258682054E-62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3.0497936191168751E-2</v>
      </c>
      <c r="C26" s="18">
        <f t="shared" si="3"/>
        <v>3.2102560695383232E-2</v>
      </c>
      <c r="D26" s="17"/>
      <c r="F26" s="3">
        <f t="shared" si="25"/>
        <v>3.2102560655410138E-2</v>
      </c>
      <c r="G26" s="3">
        <f t="shared" si="25"/>
        <v>3.2102560295652331E-2</v>
      </c>
      <c r="H26" s="3">
        <f t="shared" si="25"/>
        <v>3.2102556698074471E-2</v>
      </c>
      <c r="I26" s="3">
        <f t="shared" si="25"/>
        <v>3.2102520722317986E-2</v>
      </c>
      <c r="J26" s="3">
        <f t="shared" si="25"/>
        <v>3.2102160966970543E-2</v>
      </c>
      <c r="K26" s="3">
        <f t="shared" si="25"/>
        <v>3.2098563635225653E-2</v>
      </c>
      <c r="L26" s="3">
        <f t="shared" si="25"/>
        <v>3.206261248153526E-2</v>
      </c>
      <c r="M26" s="3">
        <f t="shared" si="25"/>
        <v>3.1705308157965933E-2</v>
      </c>
      <c r="N26" s="3">
        <f t="shared" si="25"/>
        <v>2.8344102160555905E-2</v>
      </c>
      <c r="O26" s="3">
        <f t="shared" si="25"/>
        <v>9.2420851344690996E-3</v>
      </c>
      <c r="P26" s="3">
        <f t="shared" si="25"/>
        <v>1.255574728057491E-7</v>
      </c>
      <c r="Q26" s="3">
        <f t="shared" si="25"/>
        <v>2.6888623833737952E-56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2.2928101067643942E-2</v>
      </c>
      <c r="C27" s="18">
        <f t="shared" si="3"/>
        <v>2.4134444755217831E-2</v>
      </c>
      <c r="D27" s="17"/>
      <c r="F27" s="3">
        <f t="shared" si="25"/>
        <v>2.413444475250694E-2</v>
      </c>
      <c r="G27" s="3">
        <f t="shared" si="25"/>
        <v>2.4134444728108925E-2</v>
      </c>
      <c r="H27" s="3">
        <f t="shared" si="25"/>
        <v>2.4134444484128798E-2</v>
      </c>
      <c r="I27" s="3">
        <f t="shared" si="25"/>
        <v>2.4134442044327645E-2</v>
      </c>
      <c r="J27" s="3">
        <f t="shared" si="25"/>
        <v>2.4134417646329669E-2</v>
      </c>
      <c r="K27" s="3">
        <f t="shared" si="25"/>
        <v>2.4134173667706472E-2</v>
      </c>
      <c r="L27" s="3">
        <f t="shared" si="25"/>
        <v>2.4131734017123353E-2</v>
      </c>
      <c r="M27" s="3">
        <f t="shared" si="25"/>
        <v>2.4107351071108816E-2</v>
      </c>
      <c r="N27" s="3">
        <f t="shared" si="25"/>
        <v>2.3864872534389434E-2</v>
      </c>
      <c r="O27" s="3">
        <f t="shared" si="25"/>
        <v>2.1570260252702752E-2</v>
      </c>
      <c r="P27" s="3">
        <f t="shared" si="25"/>
        <v>7.8490671529681793E-3</v>
      </c>
      <c r="Q27" s="3">
        <f t="shared" si="25"/>
        <v>3.194807103875274E-7</v>
      </c>
      <c r="R27" s="3">
        <f t="shared" si="25"/>
        <v>3.9875910143932315E-51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4.3246747211930885E-2</v>
      </c>
      <c r="C28" s="18">
        <f t="shared" si="3"/>
        <v>4.5522140204717329E-2</v>
      </c>
      <c r="D28" s="17"/>
      <c r="F28" s="3">
        <f t="shared" si="25"/>
        <v>4.5522140204256073E-2</v>
      </c>
      <c r="G28" s="3">
        <f t="shared" si="25"/>
        <v>4.5522140200104748E-2</v>
      </c>
      <c r="H28" s="3">
        <f t="shared" si="25"/>
        <v>4.5522140158591531E-2</v>
      </c>
      <c r="I28" s="3">
        <f t="shared" si="25"/>
        <v>4.5522139743459346E-2</v>
      </c>
      <c r="J28" s="3">
        <f t="shared" si="25"/>
        <v>4.5522135592137677E-2</v>
      </c>
      <c r="K28" s="3">
        <f t="shared" si="25"/>
        <v>4.5522094078941824E-2</v>
      </c>
      <c r="L28" s="3">
        <f t="shared" si="25"/>
        <v>4.552167894906544E-2</v>
      </c>
      <c r="M28" s="3">
        <f t="shared" si="25"/>
        <v>4.5517527858509231E-2</v>
      </c>
      <c r="N28" s="3">
        <f t="shared" si="25"/>
        <v>4.5476037766682506E-2</v>
      </c>
      <c r="O28" s="3">
        <f t="shared" si="25"/>
        <v>4.5063211216171989E-2</v>
      </c>
      <c r="P28" s="3">
        <f t="shared" si="25"/>
        <v>4.1135550711049899E-2</v>
      </c>
      <c r="Q28" s="3">
        <f t="shared" si="25"/>
        <v>1.6526051831722396E-2</v>
      </c>
      <c r="R28" s="3">
        <f t="shared" si="25"/>
        <v>1.8100353506893744E-6</v>
      </c>
      <c r="S28" s="3">
        <f t="shared" si="25"/>
        <v>4.4964163725535189E-46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3.5561875706115305E-2</v>
      </c>
      <c r="C29" s="18">
        <f t="shared" si="3"/>
        <v>3.7432935335074267E-2</v>
      </c>
      <c r="D29" s="17"/>
      <c r="F29" s="3">
        <f t="shared" si="25"/>
        <v>3.7432935335040052E-2</v>
      </c>
      <c r="G29" s="3">
        <f t="shared" si="25"/>
        <v>3.7432935334732111E-2</v>
      </c>
      <c r="H29" s="3">
        <f t="shared" si="25"/>
        <v>3.7432935331652727E-2</v>
      </c>
      <c r="I29" s="3">
        <f t="shared" si="25"/>
        <v>3.7432935300858859E-2</v>
      </c>
      <c r="J29" s="3">
        <f t="shared" si="25"/>
        <v>3.7432934992920205E-2</v>
      </c>
      <c r="K29" s="3">
        <f t="shared" si="25"/>
        <v>3.7432931913533779E-2</v>
      </c>
      <c r="L29" s="3">
        <f t="shared" si="25"/>
        <v>3.743290111968342E-2</v>
      </c>
      <c r="M29" s="3">
        <f t="shared" si="25"/>
        <v>3.743259318257311E-2</v>
      </c>
      <c r="N29" s="3">
        <f t="shared" si="25"/>
        <v>3.7429513950792928E-2</v>
      </c>
      <c r="O29" s="3">
        <f t="shared" si="25"/>
        <v>3.7398735561042638E-2</v>
      </c>
      <c r="P29" s="3">
        <f t="shared" si="25"/>
        <v>3.709234023862247E-2</v>
      </c>
      <c r="Q29" s="3">
        <f t="shared" si="25"/>
        <v>3.4163109414130394E-2</v>
      </c>
      <c r="R29" s="3">
        <f t="shared" si="25"/>
        <v>1.500682999299398E-2</v>
      </c>
      <c r="S29" s="3">
        <f t="shared" si="25"/>
        <v>4.0142523459806161E-6</v>
      </c>
      <c r="T29" s="3">
        <f t="shared" si="25"/>
        <v>7.5294237982890001E-42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3.9035303229104625E-2</v>
      </c>
      <c r="C30" s="18">
        <f t="shared" si="3"/>
        <v>4.1089114467289377E-2</v>
      </c>
      <c r="D30" s="17"/>
      <c r="F30" s="3">
        <f t="shared" si="25"/>
        <v>4.1089114467285991E-2</v>
      </c>
      <c r="G30" s="3">
        <f t="shared" si="25"/>
        <v>4.1089114467255494E-2</v>
      </c>
      <c r="H30" s="3">
        <f t="shared" si="25"/>
        <v>4.1089114466950578E-2</v>
      </c>
      <c r="I30" s="3">
        <f t="shared" si="25"/>
        <v>4.1089114463901392E-2</v>
      </c>
      <c r="J30" s="3">
        <f t="shared" si="25"/>
        <v>4.1089114433409547E-2</v>
      </c>
      <c r="K30" s="3">
        <f t="shared" si="25"/>
        <v>4.1089114128491103E-2</v>
      </c>
      <c r="L30" s="3">
        <f t="shared" si="25"/>
        <v>4.1089111079306753E-2</v>
      </c>
      <c r="M30" s="3">
        <f t="shared" si="25"/>
        <v>4.1089080587475686E-2</v>
      </c>
      <c r="N30" s="3">
        <f t="shared" si="25"/>
        <v>4.1088775670409569E-2</v>
      </c>
      <c r="O30" s="3">
        <f t="shared" si="25"/>
        <v>4.1085726624197016E-2</v>
      </c>
      <c r="P30" s="3">
        <f t="shared" si="25"/>
        <v>4.105524860351651E-2</v>
      </c>
      <c r="Q30" s="3">
        <f t="shared" si="25"/>
        <v>4.0751709131889767E-2</v>
      </c>
      <c r="R30" s="3">
        <f t="shared" si="25"/>
        <v>3.7837047772339434E-2</v>
      </c>
      <c r="S30" s="3">
        <f t="shared" si="25"/>
        <v>1.8014881023627832E-2</v>
      </c>
      <c r="T30" s="3">
        <f t="shared" si="25"/>
        <v>1.0783827879487193E-5</v>
      </c>
      <c r="U30" s="3">
        <f t="shared" si="25"/>
        <v>6.3707188568904995E-38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4.3933565203873128E-2</v>
      </c>
      <c r="C31" s="18">
        <f t="shared" si="3"/>
        <v>4.624509457562298E-2</v>
      </c>
      <c r="D31" s="17"/>
      <c r="F31" s="3">
        <f t="shared" si="25"/>
        <v>4.6245094575622633E-2</v>
      </c>
      <c r="G31" s="3">
        <f t="shared" si="25"/>
        <v>4.6245094575619539E-2</v>
      </c>
      <c r="H31" s="3">
        <f t="shared" si="25"/>
        <v>4.6245094575588584E-2</v>
      </c>
      <c r="I31" s="3">
        <f t="shared" si="25"/>
        <v>4.6245094575279005E-2</v>
      </c>
      <c r="J31" s="3">
        <f t="shared" si="25"/>
        <v>4.6245094572183232E-2</v>
      </c>
      <c r="K31" s="3">
        <f t="shared" si="25"/>
        <v>4.6245094541225495E-2</v>
      </c>
      <c r="L31" s="3">
        <f t="shared" si="25"/>
        <v>4.6245094231648146E-2</v>
      </c>
      <c r="M31" s="3">
        <f t="shared" si="25"/>
        <v>4.6245091135874737E-2</v>
      </c>
      <c r="N31" s="3">
        <f t="shared" si="25"/>
        <v>4.624506017815206E-2</v>
      </c>
      <c r="O31" s="3">
        <f t="shared" si="25"/>
        <v>4.6244750602065107E-2</v>
      </c>
      <c r="P31" s="3">
        <f t="shared" si="25"/>
        <v>4.624165495517419E-2</v>
      </c>
      <c r="Q31" s="3">
        <f t="shared" si="25"/>
        <v>4.6210709881305372E-2</v>
      </c>
      <c r="R31" s="3">
        <f t="shared" si="25"/>
        <v>4.5902395829284369E-2</v>
      </c>
      <c r="S31" s="3">
        <f t="shared" si="25"/>
        <v>4.2930158241938854E-2</v>
      </c>
      <c r="T31" s="3">
        <f t="shared" si="25"/>
        <v>2.1980311631254169E-2</v>
      </c>
      <c r="U31" s="3">
        <f t="shared" si="25"/>
        <v>2.7211181986308148E-5</v>
      </c>
      <c r="V31" s="3">
        <f t="shared" si="26"/>
        <v>2.3008219983309746E-34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4.0045508382072166E-2</v>
      </c>
      <c r="C32" s="18">
        <f t="shared" si="3"/>
        <v>4.2152470755880481E-2</v>
      </c>
      <c r="D32" s="17"/>
      <c r="F32" s="3">
        <f t="shared" si="25"/>
        <v>4.2152470755880453E-2</v>
      </c>
      <c r="G32" s="3">
        <f t="shared" si="25"/>
        <v>4.2152470755880203E-2</v>
      </c>
      <c r="H32" s="3">
        <f t="shared" si="25"/>
        <v>4.2152470755877657E-2</v>
      </c>
      <c r="I32" s="3">
        <f t="shared" si="25"/>
        <v>4.2152470755852198E-2</v>
      </c>
      <c r="J32" s="3">
        <f t="shared" si="25"/>
        <v>4.2152470755597651E-2</v>
      </c>
      <c r="K32" s="3">
        <f t="shared" si="25"/>
        <v>4.2152470753052146E-2</v>
      </c>
      <c r="L32" s="3">
        <f t="shared" si="25"/>
        <v>4.2152470727597147E-2</v>
      </c>
      <c r="M32" s="3">
        <f t="shared" si="25"/>
        <v>4.2152470473047127E-2</v>
      </c>
      <c r="N32" s="3">
        <f t="shared" si="25"/>
        <v>4.2152467927547004E-2</v>
      </c>
      <c r="O32" s="3">
        <f t="shared" si="25"/>
        <v>4.2152442472554258E-2</v>
      </c>
      <c r="P32" s="3">
        <f t="shared" si="25"/>
        <v>4.2152187923472258E-2</v>
      </c>
      <c r="Q32" s="3">
        <f t="shared" si="25"/>
        <v>4.2149642517194726E-2</v>
      </c>
      <c r="R32" s="3">
        <f t="shared" si="25"/>
        <v>4.2124196906781958E-2</v>
      </c>
      <c r="S32" s="3">
        <f t="shared" si="25"/>
        <v>4.1870584153397096E-2</v>
      </c>
      <c r="T32" s="3">
        <f t="shared" si="25"/>
        <v>3.941693740130707E-2</v>
      </c>
      <c r="U32" s="3">
        <f t="shared" si="25"/>
        <v>2.1548718836117853E-2</v>
      </c>
      <c r="V32" s="3">
        <f t="shared" si="26"/>
        <v>5.1381552697321864E-5</v>
      </c>
      <c r="W32" s="3">
        <f t="shared" si="26"/>
        <v>3.0525649882225521E-31</v>
      </c>
      <c r="X32" s="3">
        <f t="shared" si="26"/>
        <v>1.6720215297582041E-293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0.10710411663281781</v>
      </c>
      <c r="C33" s="18">
        <f t="shared" si="3"/>
        <v>0.11273931401056794</v>
      </c>
      <c r="D33" s="17"/>
      <c r="F33" s="3">
        <f t="shared" si="25"/>
        <v>0.11273931401056793</v>
      </c>
      <c r="G33" s="3">
        <f t="shared" si="25"/>
        <v>0.11273931401056787</v>
      </c>
      <c r="H33" s="3">
        <f t="shared" si="25"/>
        <v>0.11273931401056725</v>
      </c>
      <c r="I33" s="3">
        <f t="shared" si="25"/>
        <v>0.11273931401056111</v>
      </c>
      <c r="J33" s="3">
        <f t="shared" si="25"/>
        <v>0.11273931401049971</v>
      </c>
      <c r="K33" s="3">
        <f t="shared" si="25"/>
        <v>0.11273931400988556</v>
      </c>
      <c r="L33" s="3">
        <f t="shared" si="25"/>
        <v>0.1127393140037441</v>
      </c>
      <c r="M33" s="3">
        <f t="shared" si="25"/>
        <v>0.11273931394232942</v>
      </c>
      <c r="N33" s="3">
        <f t="shared" si="25"/>
        <v>0.11273931332818278</v>
      </c>
      <c r="O33" s="3">
        <f t="shared" si="25"/>
        <v>0.11273930718671658</v>
      </c>
      <c r="P33" s="3">
        <f t="shared" si="25"/>
        <v>0.11273924577207292</v>
      </c>
      <c r="Q33" s="3">
        <f t="shared" si="25"/>
        <v>0.1127386316274763</v>
      </c>
      <c r="R33" s="3">
        <f t="shared" si="25"/>
        <v>0.11273249036551186</v>
      </c>
      <c r="S33" s="3">
        <f t="shared" si="25"/>
        <v>0.11267109614232521</v>
      </c>
      <c r="T33" s="3">
        <f t="shared" si="25"/>
        <v>0.11205898985368584</v>
      </c>
      <c r="U33" s="3">
        <f t="shared" ref="P33:AE48" si="27">$C33*EXP(-U$15/$A33)</f>
        <v>0.10611787411566737</v>
      </c>
      <c r="V33" s="3">
        <f t="shared" si="27"/>
        <v>6.1547004331824438E-2</v>
      </c>
      <c r="W33" s="3">
        <f t="shared" si="27"/>
        <v>2.6508838726783788E-4</v>
      </c>
      <c r="X33" s="3">
        <f t="shared" si="27"/>
        <v>5.8240961847293279E-28</v>
      </c>
      <c r="Y33" s="3">
        <f t="shared" si="27"/>
        <v>1.5261839988023647E-264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0.13703730186218882</v>
      </c>
      <c r="C34" s="18">
        <f t="shared" si="3"/>
        <v>0.14424740982428688</v>
      </c>
      <c r="D34" s="17"/>
      <c r="F34" s="3">
        <f t="shared" ref="F34:O48" si="28">$C34*EXP(-F$15/$A34)</f>
        <v>0.14424740982428688</v>
      </c>
      <c r="G34" s="3">
        <f t="shared" si="28"/>
        <v>0.14424740982428688</v>
      </c>
      <c r="H34" s="3">
        <f t="shared" si="28"/>
        <v>0.1442474098242868</v>
      </c>
      <c r="I34" s="3">
        <f t="shared" si="28"/>
        <v>0.1442474098242861</v>
      </c>
      <c r="J34" s="3">
        <f t="shared" si="28"/>
        <v>0.144247409824279</v>
      </c>
      <c r="K34" s="3">
        <f t="shared" si="28"/>
        <v>0.14424740982420811</v>
      </c>
      <c r="L34" s="3">
        <f t="shared" si="28"/>
        <v>0.14424740982349929</v>
      </c>
      <c r="M34" s="3">
        <f t="shared" si="28"/>
        <v>0.14424740981641082</v>
      </c>
      <c r="N34" s="3">
        <f t="shared" si="28"/>
        <v>0.14424740974552633</v>
      </c>
      <c r="O34" s="3">
        <f t="shared" si="28"/>
        <v>0.14424740903668126</v>
      </c>
      <c r="P34" s="3">
        <f t="shared" si="27"/>
        <v>0.14424740194823105</v>
      </c>
      <c r="Q34" s="3">
        <f t="shared" si="27"/>
        <v>0.1442473310637479</v>
      </c>
      <c r="R34" s="3">
        <f t="shared" si="27"/>
        <v>0.14424662222083229</v>
      </c>
      <c r="S34" s="3">
        <f t="shared" si="27"/>
        <v>0.14423953398325554</v>
      </c>
      <c r="T34" s="3">
        <f t="shared" si="27"/>
        <v>0.14416867076193182</v>
      </c>
      <c r="U34" s="3">
        <f t="shared" si="27"/>
        <v>0.14346195051496299</v>
      </c>
      <c r="V34" s="3">
        <f t="shared" si="27"/>
        <v>0.13658251353032347</v>
      </c>
      <c r="W34" s="3">
        <f t="shared" si="27"/>
        <v>8.3556222244125414E-2</v>
      </c>
      <c r="X34" s="3">
        <f t="shared" si="27"/>
        <v>6.135016741693316E-4</v>
      </c>
      <c r="Y34" s="3">
        <f t="shared" si="27"/>
        <v>2.793735655075242E-25</v>
      </c>
      <c r="Z34" s="3">
        <f t="shared" si="27"/>
        <v>1.0712254788686362E-238</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0.12325780018539992</v>
      </c>
      <c r="C35" s="18">
        <f t="shared" si="3"/>
        <v>0.12974291069495422</v>
      </c>
      <c r="D35" s="17"/>
      <c r="F35" s="3">
        <f t="shared" si="28"/>
        <v>0.12974291069495422</v>
      </c>
      <c r="G35" s="3">
        <f t="shared" si="28"/>
        <v>0.12974291069495422</v>
      </c>
      <c r="H35" s="3">
        <f t="shared" si="28"/>
        <v>0.12974291069495422</v>
      </c>
      <c r="I35" s="3">
        <f t="shared" si="28"/>
        <v>0.12974291069495417</v>
      </c>
      <c r="J35" s="3">
        <f t="shared" si="28"/>
        <v>0.12974291069495358</v>
      </c>
      <c r="K35" s="3">
        <f t="shared" si="28"/>
        <v>0.12974291069494784</v>
      </c>
      <c r="L35" s="3">
        <f t="shared" si="28"/>
        <v>0.12974291069489033</v>
      </c>
      <c r="M35" s="3">
        <f t="shared" si="28"/>
        <v>0.12974291069431518</v>
      </c>
      <c r="N35" s="3">
        <f t="shared" si="28"/>
        <v>0.12974291068856378</v>
      </c>
      <c r="O35" s="3">
        <f t="shared" si="28"/>
        <v>0.12974291063104978</v>
      </c>
      <c r="P35" s="3">
        <f t="shared" si="27"/>
        <v>0.12974291005590988</v>
      </c>
      <c r="Q35" s="3">
        <f t="shared" si="27"/>
        <v>0.12974290430451083</v>
      </c>
      <c r="R35" s="3">
        <f t="shared" si="27"/>
        <v>0.12974284679053455</v>
      </c>
      <c r="S35" s="3">
        <f t="shared" si="27"/>
        <v>0.12974227165217392</v>
      </c>
      <c r="T35" s="3">
        <f t="shared" si="27"/>
        <v>0.12973652040879013</v>
      </c>
      <c r="U35" s="3">
        <f t="shared" si="27"/>
        <v>0.12967902199491743</v>
      </c>
      <c r="V35" s="3">
        <f t="shared" si="27"/>
        <v>0.12910543755589535</v>
      </c>
      <c r="W35" s="3">
        <f t="shared" si="27"/>
        <v>0.12350729434383816</v>
      </c>
      <c r="X35" s="3">
        <f t="shared" si="27"/>
        <v>7.9281771695384529E-2</v>
      </c>
      <c r="Y35" s="3">
        <f t="shared" si="27"/>
        <v>9.4184781715124359E-4</v>
      </c>
      <c r="Z35" s="3">
        <f t="shared" si="27"/>
        <v>5.2729617936000282E-23</v>
      </c>
      <c r="AA35" s="3">
        <f t="shared" si="27"/>
        <v>1.595120565773166E-215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0.10178785423109732</v>
      </c>
      <c r="C36" s="18">
        <f t="shared" si="3"/>
        <v>0.10714334071735752</v>
      </c>
      <c r="D36" s="17"/>
      <c r="F36" s="3">
        <f t="shared" si="28"/>
        <v>0.10714334071735752</v>
      </c>
      <c r="G36" s="3">
        <f t="shared" si="28"/>
        <v>0.10714334071735752</v>
      </c>
      <c r="H36" s="3">
        <f t="shared" si="28"/>
        <v>0.10714334071735752</v>
      </c>
      <c r="I36" s="3">
        <f t="shared" si="28"/>
        <v>0.10714334071735752</v>
      </c>
      <c r="J36" s="3">
        <f t="shared" si="28"/>
        <v>0.10714334071735748</v>
      </c>
      <c r="K36" s="3">
        <f t="shared" si="28"/>
        <v>0.10714334071735705</v>
      </c>
      <c r="L36" s="3">
        <f t="shared" si="28"/>
        <v>0.10714334071735276</v>
      </c>
      <c r="M36" s="3">
        <f t="shared" si="28"/>
        <v>0.10714334071730992</v>
      </c>
      <c r="N36" s="3">
        <f t="shared" si="28"/>
        <v>0.10714334071688146</v>
      </c>
      <c r="O36" s="3">
        <f t="shared" si="28"/>
        <v>0.10714334071259696</v>
      </c>
      <c r="P36" s="3">
        <f t="shared" si="27"/>
        <v>0.10714334066975181</v>
      </c>
      <c r="Q36" s="3">
        <f t="shared" si="27"/>
        <v>0.10714334024130032</v>
      </c>
      <c r="R36" s="3">
        <f t="shared" si="27"/>
        <v>0.1071433359567856</v>
      </c>
      <c r="S36" s="3">
        <f t="shared" si="27"/>
        <v>0.10714329311164789</v>
      </c>
      <c r="T36" s="3">
        <f t="shared" si="27"/>
        <v>0.10714286466121298</v>
      </c>
      <c r="U36" s="3">
        <f t="shared" si="27"/>
        <v>0.10713858025109488</v>
      </c>
      <c r="V36" s="3">
        <f t="shared" si="27"/>
        <v>0.10709574557161682</v>
      </c>
      <c r="W36" s="3">
        <f t="shared" si="27"/>
        <v>0.10666833955461053</v>
      </c>
      <c r="X36" s="3">
        <f t="shared" si="27"/>
        <v>0.10248697997026368</v>
      </c>
      <c r="Y36" s="3">
        <f t="shared" si="27"/>
        <v>6.870689244155806E-2</v>
      </c>
      <c r="Z36" s="3">
        <f t="shared" si="27"/>
        <v>1.2598429509853449E-3</v>
      </c>
      <c r="AA36" s="3">
        <f t="shared" si="27"/>
        <v>5.4134914135472919E-21</v>
      </c>
      <c r="AB36" s="3">
        <f t="shared" si="27"/>
        <v>1.1616836346034095E-194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7.094082526950117E-2</v>
      </c>
      <c r="C37" s="18">
        <f t="shared" si="3"/>
        <v>7.467332001482109E-2</v>
      </c>
      <c r="D37" s="17"/>
      <c r="F37" s="3">
        <f t="shared" si="28"/>
        <v>7.467332001482109E-2</v>
      </c>
      <c r="G37" s="3">
        <f t="shared" si="28"/>
        <v>7.467332001482109E-2</v>
      </c>
      <c r="H37" s="3">
        <f t="shared" si="28"/>
        <v>7.467332001482109E-2</v>
      </c>
      <c r="I37" s="3">
        <f t="shared" si="28"/>
        <v>7.467332001482109E-2</v>
      </c>
      <c r="J37" s="3">
        <f t="shared" si="28"/>
        <v>7.467332001482109E-2</v>
      </c>
      <c r="K37" s="3">
        <f t="shared" si="28"/>
        <v>7.4673320014821062E-2</v>
      </c>
      <c r="L37" s="3">
        <f t="shared" si="28"/>
        <v>7.4673320014820785E-2</v>
      </c>
      <c r="M37" s="3">
        <f t="shared" si="28"/>
        <v>7.4673320014818093E-2</v>
      </c>
      <c r="N37" s="3">
        <f t="shared" si="28"/>
        <v>7.4673320014791156E-2</v>
      </c>
      <c r="O37" s="3">
        <f t="shared" si="28"/>
        <v>7.4673320014521788E-2</v>
      </c>
      <c r="P37" s="3">
        <f t="shared" si="27"/>
        <v>7.4673320011828095E-2</v>
      </c>
      <c r="Q37" s="3">
        <f t="shared" si="27"/>
        <v>7.4673319984891143E-2</v>
      </c>
      <c r="R37" s="3">
        <f t="shared" si="27"/>
        <v>7.4673319715521588E-2</v>
      </c>
      <c r="S37" s="3">
        <f t="shared" si="27"/>
        <v>7.467331702182603E-2</v>
      </c>
      <c r="T37" s="3">
        <f t="shared" si="27"/>
        <v>7.4673290084875943E-2</v>
      </c>
      <c r="U37" s="3">
        <f t="shared" si="27"/>
        <v>7.4673020715909394E-2</v>
      </c>
      <c r="V37" s="3">
        <f t="shared" si="27"/>
        <v>7.4670327079686627E-2</v>
      </c>
      <c r="W37" s="3">
        <f t="shared" si="27"/>
        <v>7.4643396061008671E-2</v>
      </c>
      <c r="X37" s="3">
        <f t="shared" si="27"/>
        <v>7.4374619516689222E-2</v>
      </c>
      <c r="Y37" s="3">
        <f t="shared" si="27"/>
        <v>7.1739512885393986E-2</v>
      </c>
      <c r="Z37" s="3">
        <f t="shared" si="27"/>
        <v>5.0014402891820284E-2</v>
      </c>
      <c r="AA37" s="3">
        <f t="shared" si="27"/>
        <v>1.3566309976909103E-3</v>
      </c>
      <c r="AB37" s="3">
        <f t="shared" si="27"/>
        <v>2.9250157842761926E-19</v>
      </c>
      <c r="AC37" s="3">
        <f t="shared" si="27"/>
        <v>6.3502817368385556E-176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2.4434841937817392E-2</v>
      </c>
      <c r="C38" s="18">
        <f t="shared" si="3"/>
        <v>2.5720461590382049E-2</v>
      </c>
      <c r="D38" s="17"/>
      <c r="F38" s="3">
        <f t="shared" si="28"/>
        <v>2.5720461590382049E-2</v>
      </c>
      <c r="G38" s="3">
        <f t="shared" si="28"/>
        <v>2.5720461590382049E-2</v>
      </c>
      <c r="H38" s="3">
        <f t="shared" si="28"/>
        <v>2.5720461590382049E-2</v>
      </c>
      <c r="I38" s="3">
        <f t="shared" si="28"/>
        <v>2.5720461590382049E-2</v>
      </c>
      <c r="J38" s="3">
        <f t="shared" si="28"/>
        <v>2.5720461590382049E-2</v>
      </c>
      <c r="K38" s="3">
        <f t="shared" si="28"/>
        <v>2.5720461590382049E-2</v>
      </c>
      <c r="L38" s="3">
        <f t="shared" si="28"/>
        <v>2.5720461590382042E-2</v>
      </c>
      <c r="M38" s="3">
        <f t="shared" si="28"/>
        <v>2.5720461590381955E-2</v>
      </c>
      <c r="N38" s="3">
        <f t="shared" si="28"/>
        <v>2.5720461590381119E-2</v>
      </c>
      <c r="O38" s="3">
        <f t="shared" si="28"/>
        <v>2.5720461590372747E-2</v>
      </c>
      <c r="P38" s="3">
        <f t="shared" si="27"/>
        <v>2.5720461590289054E-2</v>
      </c>
      <c r="Q38" s="3">
        <f t="shared" si="27"/>
        <v>2.5720461589452088E-2</v>
      </c>
      <c r="R38" s="3">
        <f t="shared" si="27"/>
        <v>2.5720461581082411E-2</v>
      </c>
      <c r="S38" s="3">
        <f t="shared" si="27"/>
        <v>2.5720461497385699E-2</v>
      </c>
      <c r="T38" s="3">
        <f t="shared" si="27"/>
        <v>2.5720460660418581E-2</v>
      </c>
      <c r="U38" s="3">
        <f t="shared" si="27"/>
        <v>2.5720452290748874E-2</v>
      </c>
      <c r="V38" s="3">
        <f t="shared" si="27"/>
        <v>2.5720368594201615E-2</v>
      </c>
      <c r="W38" s="3">
        <f t="shared" si="27"/>
        <v>2.5719531643708427E-2</v>
      </c>
      <c r="X38" s="3">
        <f t="shared" si="27"/>
        <v>2.5711163636537995E-2</v>
      </c>
      <c r="Y38" s="3">
        <f t="shared" si="27"/>
        <v>2.5627633160801879E-2</v>
      </c>
      <c r="Z38" s="3">
        <f t="shared" si="27"/>
        <v>2.4807109441708539E-2</v>
      </c>
      <c r="AA38" s="3">
        <f t="shared" si="27"/>
        <v>1.7916484621672214E-2</v>
      </c>
      <c r="AB38" s="3">
        <f t="shared" si="27"/>
        <v>6.9186153505039591E-4</v>
      </c>
      <c r="AC38" s="3">
        <f t="shared" si="27"/>
        <v>5.1013255047719342E-18</v>
      </c>
      <c r="AD38" s="3">
        <f t="shared" si="27"/>
        <v>2.4228221367456613E-159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2.2934618274172043E-2</v>
      </c>
      <c r="C39" s="18">
        <f t="shared" si="3"/>
        <v>2.4141304859351478E-2</v>
      </c>
      <c r="D39" s="17"/>
      <c r="F39" s="3">
        <f t="shared" si="28"/>
        <v>2.4141304859351478E-2</v>
      </c>
      <c r="G39" s="3">
        <f t="shared" si="28"/>
        <v>2.4141304859351478E-2</v>
      </c>
      <c r="H39" s="3">
        <f t="shared" si="28"/>
        <v>2.4141304859351478E-2</v>
      </c>
      <c r="I39" s="3">
        <f t="shared" si="28"/>
        <v>2.4141304859351478E-2</v>
      </c>
      <c r="J39" s="3">
        <f t="shared" si="28"/>
        <v>2.4141304859351478E-2</v>
      </c>
      <c r="K39" s="3">
        <f t="shared" si="28"/>
        <v>2.4141304859351478E-2</v>
      </c>
      <c r="L39" s="3">
        <f t="shared" si="28"/>
        <v>2.4141304859351474E-2</v>
      </c>
      <c r="M39" s="3">
        <f t="shared" si="28"/>
        <v>2.4141304859351453E-2</v>
      </c>
      <c r="N39" s="3">
        <f t="shared" si="28"/>
        <v>2.4141304859351235E-2</v>
      </c>
      <c r="O39" s="3">
        <f t="shared" si="28"/>
        <v>2.4141304859349063E-2</v>
      </c>
      <c r="P39" s="3">
        <f t="shared" si="27"/>
        <v>2.4141304859327337E-2</v>
      </c>
      <c r="Q39" s="3">
        <f t="shared" si="27"/>
        <v>2.4141304859110063E-2</v>
      </c>
      <c r="R39" s="3">
        <f t="shared" si="27"/>
        <v>2.4141304856937346E-2</v>
      </c>
      <c r="S39" s="3">
        <f t="shared" si="27"/>
        <v>2.4141304835210174E-2</v>
      </c>
      <c r="T39" s="3">
        <f t="shared" si="27"/>
        <v>2.4141304617938432E-2</v>
      </c>
      <c r="U39" s="3">
        <f t="shared" si="27"/>
        <v>2.4141302445221113E-2</v>
      </c>
      <c r="V39" s="3">
        <f t="shared" si="27"/>
        <v>2.414128071805869E-2</v>
      </c>
      <c r="W39" s="3">
        <f t="shared" si="27"/>
        <v>2.4141063447509947E-2</v>
      </c>
      <c r="X39" s="3">
        <f t="shared" si="27"/>
        <v>2.4138890849568044E-2</v>
      </c>
      <c r="Y39" s="3">
        <f t="shared" si="27"/>
        <v>2.4117175621122013E-2</v>
      </c>
      <c r="Z39" s="3">
        <f t="shared" si="27"/>
        <v>2.3901094862488915E-2</v>
      </c>
      <c r="AA39" s="3">
        <f t="shared" si="27"/>
        <v>2.1843955956954555E-2</v>
      </c>
      <c r="AB39" s="3">
        <f t="shared" si="27"/>
        <v>8.8810897408076461E-3</v>
      </c>
      <c r="AC39" s="3">
        <f t="shared" si="27"/>
        <v>1.0960135449892915E-6</v>
      </c>
      <c r="AD39" s="3">
        <f t="shared" si="27"/>
        <v>8.9807488237068497E-46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1.1603672295967073E-2</v>
      </c>
      <c r="C40" s="18">
        <f t="shared" si="3"/>
        <v>1.2214190227025473E-2</v>
      </c>
      <c r="D40" s="17"/>
      <c r="F40" s="3">
        <f t="shared" si="28"/>
        <v>1.2214190227025473E-2</v>
      </c>
      <c r="G40" s="3">
        <f t="shared" si="28"/>
        <v>1.2214190227025473E-2</v>
      </c>
      <c r="H40" s="3">
        <f t="shared" si="28"/>
        <v>1.2214190227025473E-2</v>
      </c>
      <c r="I40" s="3">
        <f t="shared" si="28"/>
        <v>1.2214190227025473E-2</v>
      </c>
      <c r="J40" s="3">
        <f t="shared" si="28"/>
        <v>1.2214190227025473E-2</v>
      </c>
      <c r="K40" s="3">
        <f t="shared" si="28"/>
        <v>1.2214190227025473E-2</v>
      </c>
      <c r="L40" s="3">
        <f t="shared" si="28"/>
        <v>1.2214190227025473E-2</v>
      </c>
      <c r="M40" s="3">
        <f t="shared" si="28"/>
        <v>1.2214190227025471E-2</v>
      </c>
      <c r="N40" s="3">
        <f t="shared" si="28"/>
        <v>1.2214190227025461E-2</v>
      </c>
      <c r="O40" s="3">
        <f t="shared" si="28"/>
        <v>1.2214190227025351E-2</v>
      </c>
      <c r="P40" s="3">
        <f t="shared" si="27"/>
        <v>1.2214190227024252E-2</v>
      </c>
      <c r="Q40" s="3">
        <f t="shared" si="27"/>
        <v>1.2214190227013259E-2</v>
      </c>
      <c r="R40" s="3">
        <f t="shared" si="27"/>
        <v>1.2214190226903331E-2</v>
      </c>
      <c r="S40" s="3">
        <f t="shared" si="27"/>
        <v>1.2214190225804054E-2</v>
      </c>
      <c r="T40" s="3">
        <f t="shared" si="27"/>
        <v>1.2214190214811283E-2</v>
      </c>
      <c r="U40" s="3">
        <f t="shared" si="27"/>
        <v>1.2214190104883572E-2</v>
      </c>
      <c r="V40" s="3">
        <f t="shared" si="27"/>
        <v>1.2214189005606512E-2</v>
      </c>
      <c r="W40" s="3">
        <f t="shared" si="27"/>
        <v>1.2214178012841354E-2</v>
      </c>
      <c r="X40" s="3">
        <f t="shared" si="27"/>
        <v>1.2214068085733909E-2</v>
      </c>
      <c r="Y40" s="3">
        <f t="shared" si="27"/>
        <v>1.2212968869071686E-2</v>
      </c>
      <c r="Z40" s="3">
        <f t="shared" si="27"/>
        <v>1.2201982141858372E-2</v>
      </c>
      <c r="AA40" s="3">
        <f t="shared" si="27"/>
        <v>1.2092657003647284E-2</v>
      </c>
      <c r="AB40" s="3">
        <f t="shared" si="27"/>
        <v>1.105185634842178E-2</v>
      </c>
      <c r="AC40" s="3">
        <f t="shared" si="27"/>
        <v>4.4933494750798234E-3</v>
      </c>
      <c r="AD40" s="3">
        <f t="shared" si="27"/>
        <v>5.5452337841258545E-7</v>
      </c>
      <c r="AE40" s="3">
        <f t="shared" si="27"/>
        <v>4.5437715630105944E-46</v>
      </c>
      <c r="AF40" s="3">
        <f t="shared" si="29"/>
        <v>0</v>
      </c>
      <c r="AG40" s="3">
        <f t="shared" si="29"/>
        <v>0</v>
      </c>
      <c r="AH40" s="3">
        <f t="shared" si="29"/>
        <v>0</v>
      </c>
      <c r="AI40" s="3">
        <f t="shared" si="29"/>
        <v>0</v>
      </c>
      <c r="AJ40" s="3">
        <f t="shared" si="29"/>
        <v>0</v>
      </c>
    </row>
    <row r="41" spans="1:36" x14ac:dyDescent="0.25">
      <c r="A41" s="3">
        <f t="shared" si="30"/>
        <v>1000000000</v>
      </c>
      <c r="B41" s="106">
        <v>7.6537892495760979E-4</v>
      </c>
      <c r="C41" s="18">
        <f t="shared" si="3"/>
        <v>8.0564872453676788E-4</v>
      </c>
      <c r="D41" s="17"/>
      <c r="F41" s="3">
        <f t="shared" si="28"/>
        <v>8.0564872453676788E-4</v>
      </c>
      <c r="G41" s="3">
        <f t="shared" si="28"/>
        <v>8.0564872453676788E-4</v>
      </c>
      <c r="H41" s="3">
        <f t="shared" si="28"/>
        <v>8.0564872453676788E-4</v>
      </c>
      <c r="I41" s="3">
        <f t="shared" si="28"/>
        <v>8.0564872453676788E-4</v>
      </c>
      <c r="J41" s="3">
        <f t="shared" si="28"/>
        <v>8.0564872453676788E-4</v>
      </c>
      <c r="K41" s="3">
        <f t="shared" si="28"/>
        <v>8.0564872453676788E-4</v>
      </c>
      <c r="L41" s="3">
        <f t="shared" si="28"/>
        <v>8.0564872453676788E-4</v>
      </c>
      <c r="M41" s="3">
        <f t="shared" si="28"/>
        <v>8.0564872453676788E-4</v>
      </c>
      <c r="N41" s="3">
        <f t="shared" si="28"/>
        <v>8.0564872453676778E-4</v>
      </c>
      <c r="O41" s="3">
        <f t="shared" si="28"/>
        <v>8.0564872453676713E-4</v>
      </c>
      <c r="P41" s="3">
        <f t="shared" si="27"/>
        <v>8.0564872453675986E-4</v>
      </c>
      <c r="Q41" s="3">
        <f t="shared" si="27"/>
        <v>8.0564872453668733E-4</v>
      </c>
      <c r="R41" s="3">
        <f t="shared" si="27"/>
        <v>8.0564872453596221E-4</v>
      </c>
      <c r="S41" s="3">
        <f t="shared" si="27"/>
        <v>8.056487245287114E-4</v>
      </c>
      <c r="T41" s="3">
        <f t="shared" si="27"/>
        <v>8.0564872445620299E-4</v>
      </c>
      <c r="U41" s="3">
        <f t="shared" si="27"/>
        <v>8.0564872373111915E-4</v>
      </c>
      <c r="V41" s="3">
        <f t="shared" si="27"/>
        <v>8.0564871648028066E-4</v>
      </c>
      <c r="W41" s="3">
        <f t="shared" si="27"/>
        <v>8.0564864397189952E-4</v>
      </c>
      <c r="X41" s="3">
        <f t="shared" si="27"/>
        <v>8.0564791888844617E-4</v>
      </c>
      <c r="Y41" s="3">
        <f t="shared" si="27"/>
        <v>8.0564066808980477E-4</v>
      </c>
      <c r="Z41" s="3">
        <f t="shared" si="27"/>
        <v>8.0556816369242354E-4</v>
      </c>
      <c r="AA41" s="3">
        <f t="shared" si="27"/>
        <v>8.0484347850235218E-4</v>
      </c>
      <c r="AB41" s="3">
        <f t="shared" si="27"/>
        <v>7.9763238578785635E-4</v>
      </c>
      <c r="AC41" s="3">
        <f t="shared" si="27"/>
        <v>7.2898111175381309E-4</v>
      </c>
      <c r="AD41" s="3">
        <f t="shared" si="27"/>
        <v>2.9638160256307145E-4</v>
      </c>
      <c r="AE41" s="3">
        <f t="shared" si="27"/>
        <v>3.6576395507204771E-8</v>
      </c>
      <c r="AF41" s="3">
        <f t="shared" si="29"/>
        <v>2.9970744652610588E-47</v>
      </c>
      <c r="AG41" s="3">
        <f t="shared" si="29"/>
        <v>0</v>
      </c>
      <c r="AH41" s="3">
        <f t="shared" si="29"/>
        <v>0</v>
      </c>
      <c r="AI41" s="3">
        <f t="shared" si="29"/>
        <v>0</v>
      </c>
      <c r="AJ41" s="3">
        <f t="shared" si="29"/>
        <v>0</v>
      </c>
    </row>
    <row r="42" spans="1:36" x14ac:dyDescent="0.25">
      <c r="A42" s="3">
        <f t="shared" si="30"/>
        <v>10000000000</v>
      </c>
      <c r="B42" s="106">
        <v>2.7297474214350117E-3</v>
      </c>
      <c r="C42" s="18">
        <f t="shared" si="3"/>
        <v>2.8733708973087426E-3</v>
      </c>
      <c r="D42" s="17"/>
      <c r="F42" s="3">
        <f t="shared" si="28"/>
        <v>2.8733708973087426E-3</v>
      </c>
      <c r="G42" s="3">
        <f t="shared" si="28"/>
        <v>2.8733708973087426E-3</v>
      </c>
      <c r="H42" s="3">
        <f t="shared" si="28"/>
        <v>2.8733708973087426E-3</v>
      </c>
      <c r="I42" s="3">
        <f t="shared" si="28"/>
        <v>2.8733708973087426E-3</v>
      </c>
      <c r="J42" s="3">
        <f t="shared" si="28"/>
        <v>2.8733708973087426E-3</v>
      </c>
      <c r="K42" s="3">
        <f t="shared" si="28"/>
        <v>2.8733708973087426E-3</v>
      </c>
      <c r="L42" s="3">
        <f t="shared" si="28"/>
        <v>2.8733708973087426E-3</v>
      </c>
      <c r="M42" s="3">
        <f t="shared" si="28"/>
        <v>2.8733708973087426E-3</v>
      </c>
      <c r="N42" s="3">
        <f t="shared" si="28"/>
        <v>2.8733708973087426E-3</v>
      </c>
      <c r="O42" s="3">
        <f t="shared" si="28"/>
        <v>2.8733708973087422E-3</v>
      </c>
      <c r="P42" s="3">
        <f t="shared" si="27"/>
        <v>2.8733708973087396E-3</v>
      </c>
      <c r="Q42" s="3">
        <f t="shared" si="27"/>
        <v>2.873370897308714E-3</v>
      </c>
      <c r="R42" s="3">
        <f t="shared" si="27"/>
        <v>2.8733708973084551E-3</v>
      </c>
      <c r="S42" s="3">
        <f t="shared" si="27"/>
        <v>2.8733708973058695E-3</v>
      </c>
      <c r="T42" s="3">
        <f t="shared" si="27"/>
        <v>2.8733708972800091E-3</v>
      </c>
      <c r="U42" s="3">
        <f t="shared" si="27"/>
        <v>2.8733708970214056E-3</v>
      </c>
      <c r="V42" s="3">
        <f t="shared" si="27"/>
        <v>2.8733708944353718E-3</v>
      </c>
      <c r="W42" s="3">
        <f t="shared" si="27"/>
        <v>2.8733708685750336E-3</v>
      </c>
      <c r="X42" s="3">
        <f t="shared" si="27"/>
        <v>2.8733706099716675E-3</v>
      </c>
      <c r="Y42" s="3">
        <f t="shared" si="27"/>
        <v>2.8733680239392818E-3</v>
      </c>
      <c r="Z42" s="3">
        <f t="shared" si="27"/>
        <v>2.8733421637434377E-3</v>
      </c>
      <c r="AA42" s="3">
        <f t="shared" si="27"/>
        <v>2.8730835745853873E-3</v>
      </c>
      <c r="AB42" s="3">
        <f t="shared" si="27"/>
        <v>2.8704989626181072E-3</v>
      </c>
      <c r="AC42" s="3">
        <f t="shared" si="27"/>
        <v>2.8447803791802188E-3</v>
      </c>
      <c r="AD42" s="3">
        <f t="shared" si="27"/>
        <v>2.5999335037805108E-3</v>
      </c>
      <c r="AE42" s="3">
        <f t="shared" si="27"/>
        <v>1.057054079980226E-3</v>
      </c>
      <c r="AF42" s="3">
        <f t="shared" si="29"/>
        <v>1.3045083691938499E-7</v>
      </c>
      <c r="AG42" s="3">
        <f t="shared" si="29"/>
        <v>1.0689158045275686E-46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1.5435900527486373E-4</v>
      </c>
      <c r="C44" s="18">
        <f t="shared" si="3"/>
        <v>1.6248048079890072E-4</v>
      </c>
      <c r="D44" s="17"/>
      <c r="F44" s="3">
        <f t="shared" si="28"/>
        <v>1.6248048079890072E-4</v>
      </c>
      <c r="G44" s="3">
        <f t="shared" si="28"/>
        <v>1.6248048079890072E-4</v>
      </c>
      <c r="H44" s="3">
        <f t="shared" si="28"/>
        <v>1.6248048079890072E-4</v>
      </c>
      <c r="I44" s="3">
        <f t="shared" si="28"/>
        <v>1.6248048079890072E-4</v>
      </c>
      <c r="J44" s="3">
        <f t="shared" si="28"/>
        <v>1.6248048079890072E-4</v>
      </c>
      <c r="K44" s="3">
        <f t="shared" si="28"/>
        <v>1.6248048079890072E-4</v>
      </c>
      <c r="L44" s="3">
        <f t="shared" si="28"/>
        <v>1.6248048079890072E-4</v>
      </c>
      <c r="M44" s="3">
        <f t="shared" si="28"/>
        <v>1.6248048079890072E-4</v>
      </c>
      <c r="N44" s="3">
        <f t="shared" si="28"/>
        <v>1.6248048079890072E-4</v>
      </c>
      <c r="O44" s="3">
        <f t="shared" si="28"/>
        <v>1.6248048079890072E-4</v>
      </c>
      <c r="P44" s="3">
        <f t="shared" si="27"/>
        <v>1.6248048079890072E-4</v>
      </c>
      <c r="Q44" s="3">
        <f t="shared" si="27"/>
        <v>1.624804807989007E-4</v>
      </c>
      <c r="R44" s="3">
        <f t="shared" si="27"/>
        <v>1.6248048079890056E-4</v>
      </c>
      <c r="S44" s="3">
        <f t="shared" si="27"/>
        <v>1.624804807988991E-4</v>
      </c>
      <c r="T44" s="3">
        <f t="shared" si="27"/>
        <v>1.6248048079888446E-4</v>
      </c>
      <c r="U44" s="3">
        <f t="shared" si="27"/>
        <v>1.6248048079873826E-4</v>
      </c>
      <c r="V44" s="3">
        <f t="shared" si="27"/>
        <v>1.6248048079727591E-4</v>
      </c>
      <c r="W44" s="3">
        <f t="shared" si="27"/>
        <v>1.6248048078265268E-4</v>
      </c>
      <c r="X44" s="3">
        <f t="shared" si="27"/>
        <v>1.6248048063642023E-4</v>
      </c>
      <c r="Y44" s="3">
        <f t="shared" si="27"/>
        <v>1.6248047917409591E-4</v>
      </c>
      <c r="Z44" s="3">
        <f t="shared" si="27"/>
        <v>1.6248046455085346E-4</v>
      </c>
      <c r="AA44" s="3">
        <f t="shared" si="27"/>
        <v>1.6248031831850117E-4</v>
      </c>
      <c r="AB44" s="3">
        <f t="shared" si="27"/>
        <v>1.6247885600221673E-4</v>
      </c>
      <c r="AC44" s="3">
        <f t="shared" si="27"/>
        <v>1.6246423356319615E-4</v>
      </c>
      <c r="AD44" s="3">
        <f t="shared" si="27"/>
        <v>1.6231808153126891E-4</v>
      </c>
      <c r="AE44" s="3">
        <f t="shared" si="27"/>
        <v>1.6086377300243655E-4</v>
      </c>
      <c r="AF44" s="3">
        <f t="shared" si="29"/>
        <v>1.4701841872731861E-4</v>
      </c>
      <c r="AG44" s="3">
        <f t="shared" si="29"/>
        <v>5.9773228477566861E-5</v>
      </c>
      <c r="AH44" s="3">
        <f t="shared" si="29"/>
        <v>7.3766024160448615E-9</v>
      </c>
      <c r="AI44" s="3">
        <f t="shared" si="29"/>
        <v>6.0443973319230529E-48</v>
      </c>
      <c r="AJ44" s="3">
        <f t="shared" si="29"/>
        <v>0</v>
      </c>
    </row>
    <row r="45" spans="1:36" x14ac:dyDescent="0.25">
      <c r="A45" s="3">
        <f t="shared" si="30"/>
        <v>10000000000000</v>
      </c>
      <c r="B45" s="106">
        <v>1.2256263724997528E-4</v>
      </c>
      <c r="C45" s="18">
        <f t="shared" si="3"/>
        <v>1.2901117231804357E-4</v>
      </c>
      <c r="D45" s="17"/>
      <c r="F45" s="3">
        <f t="shared" si="28"/>
        <v>1.2901117231804357E-4</v>
      </c>
      <c r="G45" s="3">
        <f t="shared" si="28"/>
        <v>1.2901117231804357E-4</v>
      </c>
      <c r="H45" s="3">
        <f t="shared" si="28"/>
        <v>1.2901117231804357E-4</v>
      </c>
      <c r="I45" s="3">
        <f t="shared" si="28"/>
        <v>1.2901117231804357E-4</v>
      </c>
      <c r="J45" s="3">
        <f t="shared" si="28"/>
        <v>1.2901117231804357E-4</v>
      </c>
      <c r="K45" s="3">
        <f t="shared" si="28"/>
        <v>1.2901117231804357E-4</v>
      </c>
      <c r="L45" s="3">
        <f t="shared" si="28"/>
        <v>1.2901117231804357E-4</v>
      </c>
      <c r="M45" s="3">
        <f t="shared" si="28"/>
        <v>1.2901117231804357E-4</v>
      </c>
      <c r="N45" s="3">
        <f t="shared" si="28"/>
        <v>1.2901117231804357E-4</v>
      </c>
      <c r="O45" s="3">
        <f t="shared" si="28"/>
        <v>1.2901117231804357E-4</v>
      </c>
      <c r="P45" s="3">
        <f t="shared" si="27"/>
        <v>1.2901117231804357E-4</v>
      </c>
      <c r="Q45" s="3">
        <f t="shared" si="27"/>
        <v>1.2901117231804357E-4</v>
      </c>
      <c r="R45" s="3">
        <f t="shared" si="27"/>
        <v>1.2901117231804354E-4</v>
      </c>
      <c r="S45" s="3">
        <f t="shared" si="27"/>
        <v>1.2901117231804344E-4</v>
      </c>
      <c r="T45" s="3">
        <f t="shared" si="27"/>
        <v>1.2901117231804227E-4</v>
      </c>
      <c r="U45" s="3">
        <f t="shared" si="27"/>
        <v>1.2901117231803067E-4</v>
      </c>
      <c r="V45" s="3">
        <f t="shared" si="27"/>
        <v>1.2901117231791455E-4</v>
      </c>
      <c r="W45" s="3">
        <f t="shared" si="27"/>
        <v>1.2901117231675345E-4</v>
      </c>
      <c r="X45" s="3">
        <f t="shared" si="27"/>
        <v>1.2901117230514246E-4</v>
      </c>
      <c r="Y45" s="3">
        <f t="shared" si="27"/>
        <v>1.290111721890324E-4</v>
      </c>
      <c r="Z45" s="3">
        <f t="shared" si="27"/>
        <v>1.2901117102793186E-4</v>
      </c>
      <c r="AA45" s="3">
        <f t="shared" si="27"/>
        <v>1.2901115941692698E-4</v>
      </c>
      <c r="AB45" s="3">
        <f t="shared" si="27"/>
        <v>1.2901104330693576E-4</v>
      </c>
      <c r="AC45" s="3">
        <f t="shared" si="27"/>
        <v>1.2900988221277093E-4</v>
      </c>
      <c r="AD45" s="3">
        <f t="shared" si="27"/>
        <v>1.2899827184584611E-4</v>
      </c>
      <c r="AE45" s="3">
        <f t="shared" si="27"/>
        <v>1.2888222562981521E-4</v>
      </c>
      <c r="AF45" s="3">
        <f t="shared" si="29"/>
        <v>1.2772748970526433E-4</v>
      </c>
      <c r="AG45" s="3">
        <f t="shared" si="29"/>
        <v>1.167341360580508E-4</v>
      </c>
      <c r="AH45" s="3">
        <f t="shared" si="29"/>
        <v>4.7460557977234522E-5</v>
      </c>
      <c r="AI45" s="3">
        <f t="shared" si="29"/>
        <v>5.8570981618150084E-9</v>
      </c>
      <c r="AJ45" s="3">
        <f t="shared" si="29"/>
        <v>4.799313627786382E-48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6.98343212194252E-5</v>
      </c>
      <c r="C47" s="18">
        <f t="shared" si="3"/>
        <v>7.3508598139721321E-5</v>
      </c>
      <c r="D47" s="17"/>
      <c r="F47" s="3">
        <f t="shared" si="28"/>
        <v>7.3508598139721321E-5</v>
      </c>
      <c r="G47" s="3">
        <f t="shared" si="28"/>
        <v>7.3508598139721321E-5</v>
      </c>
      <c r="H47" s="3">
        <f t="shared" si="28"/>
        <v>7.3508598139721321E-5</v>
      </c>
      <c r="I47" s="3">
        <f t="shared" si="28"/>
        <v>7.3508598139721321E-5</v>
      </c>
      <c r="J47" s="3">
        <f t="shared" si="28"/>
        <v>7.3508598139721321E-5</v>
      </c>
      <c r="K47" s="3">
        <f t="shared" si="28"/>
        <v>7.3508598139721321E-5</v>
      </c>
      <c r="L47" s="3">
        <f t="shared" si="28"/>
        <v>7.3508598139721321E-5</v>
      </c>
      <c r="M47" s="3">
        <f t="shared" si="28"/>
        <v>7.3508598139721321E-5</v>
      </c>
      <c r="N47" s="3">
        <f t="shared" si="28"/>
        <v>7.3508598139721321E-5</v>
      </c>
      <c r="O47" s="3">
        <f t="shared" si="28"/>
        <v>7.3508598139721321E-5</v>
      </c>
      <c r="P47" s="3">
        <f t="shared" si="27"/>
        <v>7.3508598139721321E-5</v>
      </c>
      <c r="Q47" s="3">
        <f t="shared" si="27"/>
        <v>7.3508598139721321E-5</v>
      </c>
      <c r="R47" s="3">
        <f t="shared" si="27"/>
        <v>7.3508598139721321E-5</v>
      </c>
      <c r="S47" s="3">
        <f t="shared" si="27"/>
        <v>7.3508598139721321E-5</v>
      </c>
      <c r="T47" s="3">
        <f t="shared" si="27"/>
        <v>7.3508598139721308E-5</v>
      </c>
      <c r="U47" s="3">
        <f t="shared" si="27"/>
        <v>7.3508598139721253E-5</v>
      </c>
      <c r="V47" s="3">
        <f t="shared" si="27"/>
        <v>7.3508598139720589E-5</v>
      </c>
      <c r="W47" s="3">
        <f t="shared" si="27"/>
        <v>7.3508598139713962E-5</v>
      </c>
      <c r="X47" s="3">
        <f t="shared" si="27"/>
        <v>7.3508598139647812E-5</v>
      </c>
      <c r="Y47" s="3">
        <f t="shared" si="27"/>
        <v>7.3508598138986232E-5</v>
      </c>
      <c r="Z47" s="3">
        <f t="shared" si="27"/>
        <v>7.3508598132370457E-5</v>
      </c>
      <c r="AA47" s="3">
        <f t="shared" si="27"/>
        <v>7.3508598066212725E-5</v>
      </c>
      <c r="AB47" s="3">
        <f t="shared" si="27"/>
        <v>7.3508597404635338E-5</v>
      </c>
      <c r="AC47" s="3">
        <f t="shared" si="27"/>
        <v>7.3508590788861884E-5</v>
      </c>
      <c r="AD47" s="3">
        <f t="shared" si="27"/>
        <v>7.3508524631159941E-5</v>
      </c>
      <c r="AE47" s="3">
        <f t="shared" si="27"/>
        <v>7.3507863057415342E-5</v>
      </c>
      <c r="AF47" s="3">
        <f t="shared" si="29"/>
        <v>7.3501247647438092E-5</v>
      </c>
      <c r="AG47" s="3">
        <f t="shared" si="29"/>
        <v>7.3435126283632305E-5</v>
      </c>
      <c r="AH47" s="3">
        <f t="shared" si="29"/>
        <v>7.2777175367365497E-5</v>
      </c>
      <c r="AI47" s="3">
        <f t="shared" si="29"/>
        <v>6.6513330144188373E-5</v>
      </c>
      <c r="AJ47" s="3">
        <f t="shared" si="29"/>
        <v>2.7042302004936805E-5</v>
      </c>
    </row>
    <row r="48" spans="1:36" x14ac:dyDescent="0.25">
      <c r="A48" s="3">
        <f t="shared" si="30"/>
        <v>1E+16</v>
      </c>
      <c r="B48" s="106">
        <v>6.6096068327144489E-4</v>
      </c>
      <c r="C48" s="18">
        <f t="shared" si="3"/>
        <v>6.9573660063357843E-4</v>
      </c>
      <c r="D48" s="17"/>
      <c r="F48" s="3">
        <f t="shared" si="28"/>
        <v>6.9573660063357843E-4</v>
      </c>
      <c r="G48" s="3">
        <f t="shared" si="28"/>
        <v>6.9573660063357843E-4</v>
      </c>
      <c r="H48" s="3">
        <f t="shared" si="28"/>
        <v>6.9573660063357843E-4</v>
      </c>
      <c r="I48" s="3">
        <f t="shared" si="28"/>
        <v>6.9573660063357843E-4</v>
      </c>
      <c r="J48" s="3">
        <f t="shared" si="28"/>
        <v>6.9573660063357843E-4</v>
      </c>
      <c r="K48" s="3">
        <f t="shared" si="28"/>
        <v>6.9573660063357843E-4</v>
      </c>
      <c r="L48" s="3">
        <f t="shared" si="28"/>
        <v>6.9573660063357843E-4</v>
      </c>
      <c r="M48" s="3">
        <f t="shared" si="28"/>
        <v>6.9573660063357843E-4</v>
      </c>
      <c r="N48" s="3">
        <f t="shared" si="28"/>
        <v>6.9573660063357843E-4</v>
      </c>
      <c r="O48" s="3">
        <f t="shared" si="28"/>
        <v>6.9573660063357843E-4</v>
      </c>
      <c r="P48" s="3">
        <f t="shared" si="27"/>
        <v>6.9573660063357843E-4</v>
      </c>
      <c r="Q48" s="3">
        <f t="shared" si="27"/>
        <v>6.9573660063357843E-4</v>
      </c>
      <c r="R48" s="3">
        <f t="shared" si="27"/>
        <v>6.9573660063357843E-4</v>
      </c>
      <c r="S48" s="3">
        <f t="shared" si="27"/>
        <v>6.9573660063357843E-4</v>
      </c>
      <c r="T48" s="3">
        <f t="shared" si="27"/>
        <v>6.9573660063357843E-4</v>
      </c>
      <c r="U48" s="3">
        <f t="shared" si="27"/>
        <v>6.9573660063357832E-4</v>
      </c>
      <c r="V48" s="3">
        <f t="shared" si="27"/>
        <v>6.9573660063357778E-4</v>
      </c>
      <c r="W48" s="3">
        <f t="shared" si="27"/>
        <v>6.9573660063357149E-4</v>
      </c>
      <c r="X48" s="3">
        <f t="shared" si="27"/>
        <v>6.9573660063350883E-4</v>
      </c>
      <c r="Y48" s="3">
        <f t="shared" si="27"/>
        <v>6.957366006328827E-4</v>
      </c>
      <c r="Z48" s="3">
        <f t="shared" si="27"/>
        <v>6.9573660062662111E-4</v>
      </c>
      <c r="AA48" s="3">
        <f t="shared" si="27"/>
        <v>6.9573660056400474E-4</v>
      </c>
      <c r="AB48" s="3">
        <f t="shared" si="27"/>
        <v>6.9573659993784189E-4</v>
      </c>
      <c r="AC48" s="3">
        <f t="shared" si="27"/>
        <v>6.9573659367621243E-4</v>
      </c>
      <c r="AD48" s="3">
        <f t="shared" si="27"/>
        <v>6.9573653105992192E-4</v>
      </c>
      <c r="AE48" s="3">
        <f t="shared" si="27"/>
        <v>6.9573590489732564E-4</v>
      </c>
      <c r="AF48" s="3">
        <f t="shared" si="29"/>
        <v>6.9572964330235883E-4</v>
      </c>
      <c r="AG48" s="3">
        <f t="shared" si="29"/>
        <v>6.9566703045208212E-4</v>
      </c>
      <c r="AH48" s="3">
        <f t="shared" si="29"/>
        <v>6.950412117853181E-4</v>
      </c>
      <c r="AI48" s="3">
        <f t="shared" si="29"/>
        <v>6.8881390579048573E-4</v>
      </c>
      <c r="AJ48" s="3">
        <f t="shared" si="29"/>
        <v>6.2952850935040264E-4</v>
      </c>
    </row>
    <row r="49" spans="1:36" x14ac:dyDescent="0.25">
      <c r="B49" s="16">
        <f>SUM(B17:B48)</f>
        <v>0.95001568505887923</v>
      </c>
      <c r="C49" s="18">
        <f>SUM(C17:C48)</f>
        <v>1</v>
      </c>
      <c r="F49" s="3">
        <f t="shared" ref="F49:AJ49" si="31">F16-F17</f>
        <v>-0.37041776816386118</v>
      </c>
      <c r="G49" s="3">
        <f t="shared" si="31"/>
        <v>-0.29756376718160027</v>
      </c>
      <c r="H49" s="3">
        <f t="shared" si="31"/>
        <v>-0.31674969291270827</v>
      </c>
      <c r="I49" s="3">
        <f t="shared" si="31"/>
        <v>-0.13774527569603379</v>
      </c>
      <c r="J49" s="3">
        <f t="shared" si="31"/>
        <v>1.4107266664450435</v>
      </c>
      <c r="K49" s="3">
        <f t="shared" si="31"/>
        <v>-0.32594736214559816</v>
      </c>
      <c r="L49" s="3">
        <f t="shared" si="31"/>
        <v>5.5063896115825628E-2</v>
      </c>
      <c r="M49" s="3">
        <f t="shared" si="31"/>
        <v>-5.3478358067877707E-2</v>
      </c>
      <c r="N49" s="3">
        <f t="shared" si="31"/>
        <v>0.11651329672622524</v>
      </c>
      <c r="O49" s="3">
        <f t="shared" si="31"/>
        <v>-0.23752296712427778</v>
      </c>
      <c r="P49" s="3">
        <f t="shared" si="31"/>
        <v>0.41190795113743661</v>
      </c>
      <c r="Q49" s="3">
        <f t="shared" si="31"/>
        <v>-0.59742843223557429</v>
      </c>
      <c r="R49" s="3">
        <f t="shared" si="31"/>
        <v>0.73478470339705382</v>
      </c>
      <c r="S49" s="3">
        <f t="shared" si="31"/>
        <v>-0.77536288169812906</v>
      </c>
      <c r="T49" s="3">
        <f t="shared" si="31"/>
        <v>0.69690813012402941</v>
      </c>
      <c r="U49" s="3">
        <f t="shared" si="31"/>
        <v>-0.52819947712396242</v>
      </c>
      <c r="V49" s="3">
        <f t="shared" si="31"/>
        <v>0.34358158657323656</v>
      </c>
      <c r="W49" s="3">
        <f t="shared" si="31"/>
        <v>-0.19974969951954336</v>
      </c>
      <c r="X49" s="3">
        <f t="shared" si="31"/>
        <v>0.10351201987214154</v>
      </c>
      <c r="Y49" s="3">
        <f t="shared" si="31"/>
        <v>-4.3382376216641205E-2</v>
      </c>
      <c r="Z49" s="3">
        <f t="shared" si="31"/>
        <v>1.3851278003812695E-2</v>
      </c>
      <c r="AA49" s="3">
        <f t="shared" si="31"/>
        <v>-2.811708040439953E-3</v>
      </c>
      <c r="AB49" s="3">
        <f t="shared" si="31"/>
        <v>-8.5254401546990266E-3</v>
      </c>
      <c r="AC49" s="3">
        <f t="shared" si="31"/>
        <v>2.3625854907550092E-2</v>
      </c>
      <c r="AD49" s="3">
        <f t="shared" si="31"/>
        <v>-3.5423617454426903E-2</v>
      </c>
      <c r="AE49" s="3">
        <f t="shared" si="31"/>
        <v>4.338096518773682E-2</v>
      </c>
      <c r="AF49" s="3">
        <f t="shared" si="31"/>
        <v>-0.10330119983520092</v>
      </c>
      <c r="AG49" s="3">
        <f t="shared" si="31"/>
        <v>0.19087424189746116</v>
      </c>
      <c r="AH49" s="3">
        <f t="shared" si="31"/>
        <v>-0.25441717483586501</v>
      </c>
      <c r="AI49" s="3">
        <f t="shared" si="31"/>
        <v>0.16373007982082299</v>
      </c>
      <c r="AJ49" s="3">
        <f t="shared" si="31"/>
        <v>-2.0595705959593147E-2</v>
      </c>
    </row>
    <row r="50" spans="1:36" x14ac:dyDescent="0.25">
      <c r="F50" s="57">
        <f t="shared" ref="F50:AJ50" si="32">F49/F17</f>
        <v>-5.1207595573077204E-5</v>
      </c>
      <c r="G50" s="57">
        <f t="shared" si="32"/>
        <v>-4.1136096938704934E-5</v>
      </c>
      <c r="H50" s="57">
        <f t="shared" si="32"/>
        <v>-4.3788880621000066E-5</v>
      </c>
      <c r="I50" s="57">
        <f t="shared" si="32"/>
        <v>-1.9044524704310755E-5</v>
      </c>
      <c r="J50" s="57">
        <f t="shared" si="32"/>
        <v>1.9523953600726688E-4</v>
      </c>
      <c r="K50" s="57">
        <f t="shared" si="32"/>
        <v>-4.5394776991701982E-5</v>
      </c>
      <c r="L50" s="57">
        <f t="shared" si="32"/>
        <v>7.8186736678746687E-6</v>
      </c>
      <c r="M50" s="57">
        <f t="shared" si="32"/>
        <v>-7.7541685547368105E-6</v>
      </c>
      <c r="N50" s="57">
        <f t="shared" si="32"/>
        <v>1.7317169165712394E-5</v>
      </c>
      <c r="O50" s="57">
        <f t="shared" si="32"/>
        <v>-3.6413227280870839E-5</v>
      </c>
      <c r="P50" s="57">
        <f t="shared" si="32"/>
        <v>6.5140729278699404E-5</v>
      </c>
      <c r="Q50" s="57">
        <f t="shared" si="32"/>
        <v>-9.8561914762470328E-5</v>
      </c>
      <c r="R50" s="57">
        <f t="shared" si="32"/>
        <v>1.2721313704471625E-4</v>
      </c>
      <c r="S50" s="57">
        <f t="shared" si="32"/>
        <v>-1.410637369459482E-4</v>
      </c>
      <c r="T50" s="57">
        <f t="shared" si="32"/>
        <v>1.3433330542879447E-4</v>
      </c>
      <c r="U50" s="57">
        <f t="shared" si="32"/>
        <v>-1.0898116696098626E-4</v>
      </c>
      <c r="V50" s="57">
        <f t="shared" si="32"/>
        <v>7.9769363168678888E-5</v>
      </c>
      <c r="W50" s="57">
        <f t="shared" si="32"/>
        <v>-5.8330606080660979E-5</v>
      </c>
      <c r="X50" s="57">
        <f t="shared" si="32"/>
        <v>4.2120397342059798E-5</v>
      </c>
      <c r="Y50" s="57">
        <f t="shared" si="32"/>
        <v>-2.6929148602753982E-5</v>
      </c>
      <c r="Z50" s="57">
        <f t="shared" si="32"/>
        <v>1.4693552666062132E-5</v>
      </c>
      <c r="AA50" s="57">
        <f t="shared" si="32"/>
        <v>-5.5096148272723451E-6</v>
      </c>
      <c r="AB50" s="57">
        <f t="shared" si="32"/>
        <v>-3.141557841350322E-5</v>
      </c>
      <c r="AC50" s="57">
        <f t="shared" si="32"/>
        <v>1.5499188731403504E-4</v>
      </c>
      <c r="AD50" s="57">
        <f t="shared" si="32"/>
        <v>-3.09320634514265E-4</v>
      </c>
      <c r="AE50" s="57">
        <f t="shared" si="32"/>
        <v>4.2942183529293143E-4</v>
      </c>
      <c r="AF50" s="57">
        <f t="shared" si="32"/>
        <v>-1.1088200343707224E-3</v>
      </c>
      <c r="AG50" s="57">
        <f t="shared" si="32"/>
        <v>2.0648202335272594E-3</v>
      </c>
      <c r="AH50" s="57">
        <f t="shared" si="32"/>
        <v>-2.7809502769090316E-3</v>
      </c>
      <c r="AI50" s="57">
        <f t="shared" si="32"/>
        <v>1.7983190278064512E-3</v>
      </c>
      <c r="AJ50" s="57">
        <f t="shared" si="32"/>
        <v>-2.2802495824575102E-4</v>
      </c>
    </row>
    <row r="51" spans="1:36" x14ac:dyDescent="0.25">
      <c r="A51" s="13" t="s">
        <v>21</v>
      </c>
      <c r="B51" s="3">
        <f>STUTT!D8</f>
        <v>7330.9827999999998</v>
      </c>
      <c r="E51" s="11" t="s">
        <v>24</v>
      </c>
      <c r="F51" s="20">
        <f t="shared" ref="F51:AJ51" si="33">(F16-F17)^2</f>
        <v>0.13720932297149602</v>
      </c>
      <c r="G51" s="20">
        <f t="shared" si="33"/>
        <v>8.8544195539305606E-2</v>
      </c>
      <c r="H51" s="20">
        <f t="shared" si="33"/>
        <v>0.10033036796029499</v>
      </c>
      <c r="I51" s="20">
        <f t="shared" si="33"/>
        <v>1.8973760976576357E-2</v>
      </c>
      <c r="J51" s="20">
        <f t="shared" si="33"/>
        <v>1.9901497274191451</v>
      </c>
      <c r="K51" s="20">
        <f t="shared" si="33"/>
        <v>0.10624168288967371</v>
      </c>
      <c r="L51" s="20">
        <f t="shared" si="33"/>
        <v>3.0320326554544369E-3</v>
      </c>
      <c r="M51" s="20">
        <f t="shared" si="33"/>
        <v>2.8599347816361405E-3</v>
      </c>
      <c r="N51" s="20">
        <f t="shared" si="33"/>
        <v>1.3575348314013408E-2</v>
      </c>
      <c r="O51" s="20">
        <f t="shared" si="33"/>
        <v>5.6417159911520742E-2</v>
      </c>
      <c r="P51" s="20">
        <f t="shared" si="33"/>
        <v>0.16966816021024086</v>
      </c>
      <c r="Q51" s="20">
        <f t="shared" si="33"/>
        <v>0.35692073164345617</v>
      </c>
      <c r="R51" s="20">
        <f t="shared" si="33"/>
        <v>0.53990856034629631</v>
      </c>
      <c r="S51" s="20">
        <f t="shared" si="33"/>
        <v>0.60118759831522683</v>
      </c>
      <c r="T51" s="20">
        <f t="shared" si="33"/>
        <v>0.48568094183297111</v>
      </c>
      <c r="U51" s="20">
        <f t="shared" si="33"/>
        <v>0.27899468763402729</v>
      </c>
      <c r="V51" s="20">
        <f t="shared" si="33"/>
        <v>0.11804830663218245</v>
      </c>
      <c r="W51" s="20">
        <f t="shared" si="33"/>
        <v>3.9899942458147861E-2</v>
      </c>
      <c r="X51" s="20">
        <f t="shared" si="33"/>
        <v>1.0714738258010625E-2</v>
      </c>
      <c r="Y51" s="20">
        <f t="shared" si="33"/>
        <v>1.8820305662021965E-3</v>
      </c>
      <c r="Z51" s="20">
        <f t="shared" si="33"/>
        <v>1.9185790233890539E-4</v>
      </c>
      <c r="AA51" s="20">
        <f t="shared" si="33"/>
        <v>7.9057021046746799E-6</v>
      </c>
      <c r="AB51" s="20">
        <f t="shared" si="33"/>
        <v>7.2683129831354565E-5</v>
      </c>
      <c r="AC51" s="20">
        <f t="shared" si="33"/>
        <v>5.5818102011260878E-4</v>
      </c>
      <c r="AD51" s="20">
        <f t="shared" si="33"/>
        <v>1.2548326735575784E-3</v>
      </c>
      <c r="AE51" s="20">
        <f t="shared" si="33"/>
        <v>1.8819081406196338E-3</v>
      </c>
      <c r="AF51" s="20">
        <f t="shared" si="33"/>
        <v>1.0671137887392114E-2</v>
      </c>
      <c r="AG51" s="20">
        <f t="shared" si="33"/>
        <v>3.6432976219930517E-2</v>
      </c>
      <c r="AH51" s="20">
        <f t="shared" si="33"/>
        <v>6.4728098851463106E-2</v>
      </c>
      <c r="AI51" s="20">
        <f t="shared" si="33"/>
        <v>2.6807539038133068E-2</v>
      </c>
      <c r="AJ51" s="20">
        <f t="shared" si="33"/>
        <v>4.2418310397402065E-4</v>
      </c>
    </row>
    <row r="52" spans="1:36" x14ac:dyDescent="0.25">
      <c r="A52" s="13"/>
    </row>
    <row r="53" spans="1:36" x14ac:dyDescent="0.25">
      <c r="E53" s="132" t="s">
        <v>25</v>
      </c>
      <c r="F53" s="132"/>
      <c r="G53" s="104">
        <f>SUM(F51:AJ51)</f>
        <v>5.2632705349853355</v>
      </c>
      <c r="I53" s="3">
        <f>G53+C123</f>
        <v>5.2632705349853355</v>
      </c>
      <c r="K53" s="3">
        <f>SUM(Z51:AJ51)</f>
        <v>0.14303130366945757</v>
      </c>
    </row>
    <row r="55" spans="1:36" x14ac:dyDescent="0.25">
      <c r="E55" s="30" t="s">
        <v>30</v>
      </c>
      <c r="F55" s="31">
        <f t="shared" ref="F55:AJ55" si="34">ABS(F17-F16)/F16</f>
        <v>5.1210217925205929E-5</v>
      </c>
      <c r="G55" s="31">
        <f t="shared" si="34"/>
        <v>4.1137789186788764E-5</v>
      </c>
      <c r="H55" s="31">
        <f t="shared" si="34"/>
        <v>4.3790798171033478E-5</v>
      </c>
      <c r="I55" s="31">
        <f t="shared" si="34"/>
        <v>1.9044887405139432E-5</v>
      </c>
      <c r="J55" s="31">
        <f t="shared" si="34"/>
        <v>1.9520142497162749E-4</v>
      </c>
      <c r="K55" s="31">
        <f t="shared" si="34"/>
        <v>4.5396837771028728E-5</v>
      </c>
      <c r="L55" s="31">
        <f t="shared" si="34"/>
        <v>7.8186125366947099E-6</v>
      </c>
      <c r="M55" s="31">
        <f t="shared" si="34"/>
        <v>7.7542286823330244E-6</v>
      </c>
      <c r="N55" s="31">
        <f t="shared" si="34"/>
        <v>1.7316869286557536E-5</v>
      </c>
      <c r="O55" s="31">
        <f t="shared" si="34"/>
        <v>3.6414553252274743E-5</v>
      </c>
      <c r="P55" s="31">
        <f t="shared" si="34"/>
        <v>6.5136486240483052E-5</v>
      </c>
      <c r="Q55" s="31">
        <f t="shared" si="34"/>
        <v>9.8571630171081254E-5</v>
      </c>
      <c r="R55" s="31">
        <f t="shared" si="34"/>
        <v>1.27196955920931E-4</v>
      </c>
      <c r="S55" s="31">
        <f t="shared" si="34"/>
        <v>1.4108363873124955E-4</v>
      </c>
      <c r="T55" s="31">
        <f t="shared" si="34"/>
        <v>1.3431526241562466E-4</v>
      </c>
      <c r="U55" s="31">
        <f t="shared" si="34"/>
        <v>1.0899304515023737E-4</v>
      </c>
      <c r="V55" s="31">
        <f t="shared" si="34"/>
        <v>7.9763000524922596E-5</v>
      </c>
      <c r="W55" s="31">
        <f t="shared" si="34"/>
        <v>5.8334008738745825E-5</v>
      </c>
      <c r="X55" s="31">
        <f t="shared" si="34"/>
        <v>4.2118623288911368E-5</v>
      </c>
      <c r="Y55" s="31">
        <f t="shared" si="34"/>
        <v>2.6929873801327433E-5</v>
      </c>
      <c r="Z55" s="31">
        <f t="shared" si="34"/>
        <v>1.4693336768744481E-5</v>
      </c>
      <c r="AA55" s="31">
        <f t="shared" si="34"/>
        <v>5.50964518329514E-6</v>
      </c>
      <c r="AB55" s="31">
        <f t="shared" si="34"/>
        <v>3.1416565383076496E-5</v>
      </c>
      <c r="AC55" s="31">
        <f t="shared" si="34"/>
        <v>1.5496786855161517E-4</v>
      </c>
      <c r="AD55" s="31">
        <f t="shared" si="34"/>
        <v>3.0941634337392654E-4</v>
      </c>
      <c r="AE55" s="31">
        <f t="shared" si="34"/>
        <v>4.2923751133303826E-4</v>
      </c>
      <c r="AF55" s="31">
        <f t="shared" si="34"/>
        <v>1.1100508810267756E-3</v>
      </c>
      <c r="AG55" s="31">
        <f t="shared" si="34"/>
        <v>2.0605655361157784E-3</v>
      </c>
      <c r="AH55" s="31">
        <f t="shared" si="34"/>
        <v>2.7887055283202311E-3</v>
      </c>
      <c r="AI55" s="31">
        <f t="shared" si="34"/>
        <v>1.7950908817172173E-3</v>
      </c>
      <c r="AJ55" s="31">
        <f t="shared" si="34"/>
        <v>2.2807696548628284E-4</v>
      </c>
    </row>
    <row r="56" spans="1:36" x14ac:dyDescent="0.25">
      <c r="E56" s="13" t="s">
        <v>31</v>
      </c>
      <c r="F56" s="32">
        <f>AVERAGE(F55:AJ55)</f>
        <v>3.3145999378813489E-4</v>
      </c>
    </row>
    <row r="57" spans="1:36" x14ac:dyDescent="0.25">
      <c r="A57" s="42"/>
      <c r="B57" s="15"/>
      <c r="C57" s="15"/>
      <c r="D57" s="15"/>
      <c r="F57" s="60">
        <f>AVERAGE(S55:X55)</f>
        <v>9.4101263141615227E-5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33"/>
      <c r="D63" s="133"/>
      <c r="E63" s="133"/>
      <c r="F63" s="133"/>
      <c r="G63" s="133"/>
      <c r="H63" s="133"/>
      <c r="I63" s="133"/>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4"/>
    </row>
    <row r="101" spans="1:9" x14ac:dyDescent="0.25">
      <c r="A101" s="134"/>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-21.601432961392756</v>
      </c>
    </row>
    <row r="119" spans="1:14" x14ac:dyDescent="0.25">
      <c r="L119" s="11">
        <f>L118+1</f>
        <v>2</v>
      </c>
      <c r="M119" s="11">
        <f t="shared" ref="M119:M124" si="35">INDEX($B$125:$K$126,1,L119)</f>
        <v>0</v>
      </c>
      <c r="N119" s="11">
        <f t="shared" ref="N119:N124" si="36">IF(L119=$B$3,0,INDEX($B$125:$K$126,2,L119))</f>
        <v>-17.60083092062002</v>
      </c>
    </row>
    <row r="120" spans="1:14" x14ac:dyDescent="0.25">
      <c r="L120" s="11">
        <f t="shared" ref="L120:L124" si="37">L119+1</f>
        <v>3</v>
      </c>
      <c r="M120" s="11">
        <f t="shared" si="35"/>
        <v>25</v>
      </c>
      <c r="N120" s="11">
        <f t="shared" si="36"/>
        <v>-13.983378315651946</v>
      </c>
    </row>
    <row r="121" spans="1:14" x14ac:dyDescent="0.25">
      <c r="A121" s="103">
        <f>(A165+A204+A243+A282+A321+A360+A399)*10^9</f>
        <v>2.930983218933022E+16</v>
      </c>
      <c r="L121" s="11">
        <f t="shared" si="37"/>
        <v>4</v>
      </c>
      <c r="M121" s="11">
        <f t="shared" si="35"/>
        <v>50</v>
      </c>
      <c r="N121" s="11">
        <f t="shared" si="36"/>
        <v>-8.5553694671339517</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2"/>
      <c r="B123" s="132"/>
      <c r="C123" s="3"/>
      <c r="D123" s="3"/>
      <c r="E123" s="3"/>
      <c r="F123" s="3"/>
      <c r="G123" s="3"/>
      <c r="H123" s="3"/>
      <c r="I123" s="3"/>
      <c r="J123" s="3"/>
      <c r="K123" s="3"/>
      <c r="L123" s="11">
        <f t="shared" si="37"/>
        <v>6</v>
      </c>
      <c r="M123" s="11">
        <f t="shared" si="35"/>
        <v>125</v>
      </c>
      <c r="N123" s="11">
        <f t="shared" si="36"/>
        <v>18.564414953206096</v>
      </c>
    </row>
    <row r="124" spans="1:14" x14ac:dyDescent="0.25">
      <c r="B124" s="3"/>
      <c r="C124" s="3"/>
      <c r="D124" s="3"/>
      <c r="E124" s="3"/>
      <c r="F124" s="3"/>
      <c r="G124" s="3"/>
      <c r="H124" s="3"/>
      <c r="I124" s="3"/>
      <c r="J124" s="3"/>
      <c r="K124" s="3"/>
      <c r="L124" s="11">
        <f t="shared" si="37"/>
        <v>7</v>
      </c>
      <c r="M124" s="11">
        <f t="shared" si="35"/>
        <v>160</v>
      </c>
      <c r="N124" s="11">
        <f t="shared" si="36"/>
        <v>22.63634100105423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-21.601432961392756</v>
      </c>
      <c r="C126" s="107">
        <v>-17.60083092062002</v>
      </c>
      <c r="D126" s="107">
        <v>-13.983378315651946</v>
      </c>
      <c r="E126" s="107">
        <v>-8.5553694671339517</v>
      </c>
      <c r="F126" s="107">
        <v>-5.9888404763308477E-6</v>
      </c>
      <c r="G126" s="107">
        <v>18.564414953206096</v>
      </c>
      <c r="H126" s="107">
        <v>22.63634100105423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7330.9787554697159</v>
      </c>
      <c r="C131" s="27">
        <f t="shared" ref="C131:AF131" si="40">($C$17+SUM(C132:C162))*$B$51</f>
        <v>7330.9423622592276</v>
      </c>
      <c r="D131" s="27">
        <f t="shared" si="40"/>
        <v>7330.5791777626964</v>
      </c>
      <c r="E131" s="27">
        <f t="shared" si="40"/>
        <v>7327.0210693880717</v>
      </c>
      <c r="F131" s="27">
        <f t="shared" si="40"/>
        <v>7297.8877441421964</v>
      </c>
      <c r="G131" s="27">
        <f t="shared" si="40"/>
        <v>7235.1758443900699</v>
      </c>
      <c r="H131" s="27">
        <f t="shared" si="40"/>
        <v>7233.6497678610021</v>
      </c>
      <c r="I131" s="27">
        <f t="shared" si="40"/>
        <v>7233.6497646705529</v>
      </c>
      <c r="J131" s="27">
        <f t="shared" si="40"/>
        <v>7233.64973276605</v>
      </c>
      <c r="K131" s="27">
        <f t="shared" si="40"/>
        <v>7233.6494137218442</v>
      </c>
      <c r="L131" s="27">
        <f t="shared" si="40"/>
        <v>7233.6462233615466</v>
      </c>
      <c r="M131" s="27">
        <f t="shared" si="40"/>
        <v>7233.614327932065</v>
      </c>
      <c r="N131" s="27">
        <f t="shared" si="40"/>
        <v>7233.2961889548387</v>
      </c>
      <c r="O131" s="27">
        <f t="shared" si="40"/>
        <v>7230.1943371271191</v>
      </c>
      <c r="P131" s="27">
        <f t="shared" si="40"/>
        <v>7205.47146406503</v>
      </c>
      <c r="Q131" s="27">
        <f t="shared" si="40"/>
        <v>7108.7170059531809</v>
      </c>
      <c r="R131" s="27">
        <f t="shared" si="40"/>
        <v>6956.2596414242234</v>
      </c>
      <c r="S131" s="27">
        <f t="shared" si="40"/>
        <v>6801.4118263567343</v>
      </c>
      <c r="T131" s="27">
        <f t="shared" si="40"/>
        <v>6608.9425932198828</v>
      </c>
      <c r="U131" s="27">
        <f t="shared" si="40"/>
        <v>6398.1012136017962</v>
      </c>
      <c r="V131" s="27">
        <f t="shared" si="40"/>
        <v>6176.3500430628492</v>
      </c>
      <c r="W131" s="27">
        <f t="shared" si="40"/>
        <v>5873.9493979675581</v>
      </c>
      <c r="X131" s="27">
        <f t="shared" si="40"/>
        <v>5599.9526704578766</v>
      </c>
      <c r="Y131" s="27">
        <f t="shared" si="40"/>
        <v>5300.1953861606635</v>
      </c>
      <c r="Z131" s="27">
        <f t="shared" si="40"/>
        <v>4969.4418443180384</v>
      </c>
      <c r="AA131" s="27">
        <f t="shared" si="40"/>
        <v>4552.7329512006309</v>
      </c>
      <c r="AB131" s="27">
        <f t="shared" si="40"/>
        <v>3748.1935764509171</v>
      </c>
      <c r="AC131" s="27">
        <f t="shared" si="40"/>
        <v>2777.379370414305</v>
      </c>
      <c r="AD131" s="27">
        <f t="shared" si="40"/>
        <v>1889.2475516315581</v>
      </c>
      <c r="AE131" s="27">
        <f t="shared" si="40"/>
        <v>1159.1484871720616</v>
      </c>
      <c r="AF131" s="27">
        <f t="shared" si="40"/>
        <v>644.96270146117797</v>
      </c>
    </row>
    <row r="132" spans="1:33" x14ac:dyDescent="0.25">
      <c r="B132" s="3">
        <f t="shared" ref="B132:Z133" si="41">$C18*EXP(-B$129/$A18/EXP(-$B$126))</f>
        <v>1.3276390070676245E-2</v>
      </c>
      <c r="C132" s="3">
        <f t="shared" ref="C132:AF132" si="42">$C18*EXP(-C$129/$A18/EXP(-$B$126))</f>
        <v>1.3271425768961535E-2</v>
      </c>
      <c r="D132" s="3">
        <f t="shared" si="42"/>
        <v>1.3221884731094244E-2</v>
      </c>
      <c r="E132" s="3">
        <f t="shared" si="42"/>
        <v>1.2736532565992272E-2</v>
      </c>
      <c r="F132" s="3">
        <f t="shared" si="42"/>
        <v>8.7625326211710711E-3</v>
      </c>
      <c r="G132" s="3">
        <f t="shared" si="42"/>
        <v>2.0816802489572427E-4</v>
      </c>
      <c r="H132" s="3">
        <f t="shared" si="42"/>
        <v>1.1919492377457205E-20</v>
      </c>
      <c r="I132" s="3">
        <f t="shared" si="42"/>
        <v>4.5153887470263621E-183</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3.9093064533807752E-3</v>
      </c>
      <c r="C136" s="3">
        <f t="shared" si="49"/>
        <v>3.9093064533805002E-3</v>
      </c>
      <c r="D136" s="3">
        <f t="shared" si="49"/>
        <v>3.9093064533777507E-3</v>
      </c>
      <c r="E136" s="3">
        <f t="shared" si="49"/>
        <v>3.9093064533502588E-3</v>
      </c>
      <c r="F136" s="3">
        <f t="shared" si="49"/>
        <v>3.9093064530753433E-3</v>
      </c>
      <c r="G136" s="3">
        <f t="shared" si="49"/>
        <v>3.9093064503261778E-3</v>
      </c>
      <c r="H136" s="3">
        <f t="shared" si="49"/>
        <v>3.90930642283453E-3</v>
      </c>
      <c r="I136" s="3">
        <f t="shared" si="49"/>
        <v>3.9093061479180628E-3</v>
      </c>
      <c r="J136" s="3">
        <f t="shared" si="49"/>
        <v>3.9093033987544551E-3</v>
      </c>
      <c r="K136" s="3">
        <f t="shared" si="49"/>
        <v>3.9092759072247097E-3</v>
      </c>
      <c r="L136" s="3">
        <f t="shared" si="49"/>
        <v>3.9090010025601609E-3</v>
      </c>
      <c r="M136" s="3">
        <f t="shared" si="49"/>
        <v>3.9062530189286288E-3</v>
      </c>
      <c r="N136" s="3">
        <f t="shared" si="49"/>
        <v>3.8788792079353703E-3</v>
      </c>
      <c r="O136" s="3">
        <f t="shared" si="49"/>
        <v>3.6154728678590938E-3</v>
      </c>
      <c r="P136" s="3">
        <f t="shared" si="49"/>
        <v>1.7895903100453507E-3</v>
      </c>
      <c r="Q136" s="3">
        <f t="shared" si="49"/>
        <v>1.5799332816454158E-6</v>
      </c>
      <c r="R136" s="3">
        <f t="shared" si="49"/>
        <v>4.5445410338264604E-37</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2.3295025109815577E-2</v>
      </c>
      <c r="C137" s="3">
        <f t="shared" si="51"/>
        <v>2.3295025109815428E-2</v>
      </c>
      <c r="D137" s="3">
        <f t="shared" si="51"/>
        <v>2.329502510981395E-2</v>
      </c>
      <c r="E137" s="3">
        <f t="shared" si="51"/>
        <v>2.329502510979917E-2</v>
      </c>
      <c r="F137" s="3">
        <f t="shared" si="51"/>
        <v>2.3295025109651393E-2</v>
      </c>
      <c r="G137" s="3">
        <f t="shared" si="51"/>
        <v>2.3295025108173609E-2</v>
      </c>
      <c r="H137" s="3">
        <f t="shared" si="51"/>
        <v>2.3295025093395774E-2</v>
      </c>
      <c r="I137" s="3">
        <f t="shared" si="51"/>
        <v>2.3295024945617419E-2</v>
      </c>
      <c r="J137" s="3">
        <f t="shared" si="51"/>
        <v>2.3295023467833919E-2</v>
      </c>
      <c r="K137" s="3">
        <f t="shared" si="51"/>
        <v>2.3295008690004063E-2</v>
      </c>
      <c r="L137" s="3">
        <f t="shared" si="51"/>
        <v>2.3294860912221133E-2</v>
      </c>
      <c r="M137" s="3">
        <f t="shared" si="51"/>
        <v>2.3293383185951463E-2</v>
      </c>
      <c r="N137" s="3">
        <f t="shared" si="51"/>
        <v>2.3278611078008351E-2</v>
      </c>
      <c r="O137" s="3">
        <f t="shared" si="51"/>
        <v>2.3131404266063742E-2</v>
      </c>
      <c r="P137" s="3">
        <f t="shared" si="51"/>
        <v>2.1709576018029055E-2</v>
      </c>
      <c r="Q137" s="3">
        <f t="shared" si="51"/>
        <v>1.1511840737696944E-2</v>
      </c>
      <c r="R137" s="3">
        <f t="shared" si="51"/>
        <v>2.0233875822840559E-5</v>
      </c>
      <c r="S137" s="3">
        <f t="shared" si="51"/>
        <v>5.6940615506657626E-33</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1.9366384778578008E-2</v>
      </c>
      <c r="C138" s="3">
        <f t="shared" si="53"/>
        <v>1.9366384778577998E-2</v>
      </c>
      <c r="D138" s="3">
        <f t="shared" si="53"/>
        <v>1.936638477857789E-2</v>
      </c>
      <c r="E138" s="3">
        <f t="shared" si="53"/>
        <v>1.936638477857678E-2</v>
      </c>
      <c r="F138" s="3">
        <f t="shared" si="53"/>
        <v>1.9366384778565698E-2</v>
      </c>
      <c r="G138" s="3">
        <f t="shared" si="53"/>
        <v>1.936638477845487E-2</v>
      </c>
      <c r="H138" s="3">
        <f t="shared" si="53"/>
        <v>1.9366384777346608E-2</v>
      </c>
      <c r="I138" s="3">
        <f t="shared" si="53"/>
        <v>1.936638476626398E-2</v>
      </c>
      <c r="J138" s="3">
        <f t="shared" si="53"/>
        <v>1.9366384655437691E-2</v>
      </c>
      <c r="K138" s="3">
        <f t="shared" si="53"/>
        <v>1.9366383547174831E-2</v>
      </c>
      <c r="L138" s="3">
        <f t="shared" si="53"/>
        <v>1.9366372464549718E-2</v>
      </c>
      <c r="M138" s="3">
        <f t="shared" si="53"/>
        <v>1.9366261638647408E-2</v>
      </c>
      <c r="N138" s="3">
        <f t="shared" si="53"/>
        <v>1.9365153414505364E-2</v>
      </c>
      <c r="O138" s="3">
        <f t="shared" si="53"/>
        <v>1.9354074660451127E-2</v>
      </c>
      <c r="P138" s="3">
        <f t="shared" si="53"/>
        <v>1.9243635119254192E-2</v>
      </c>
      <c r="Q138" s="3">
        <f t="shared" si="53"/>
        <v>1.8173313942923253E-2</v>
      </c>
      <c r="R138" s="3">
        <f t="shared" si="53"/>
        <v>1.0254259026312947E-2</v>
      </c>
      <c r="S138" s="3">
        <f t="shared" si="53"/>
        <v>3.3543303355688063E-5</v>
      </c>
      <c r="T138" s="3">
        <f t="shared" si="53"/>
        <v>4.7056680911343139E-30</v>
      </c>
      <c r="U138" s="3">
        <f t="shared" si="53"/>
        <v>1.3892356121906752E-278</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2.4447536701486281E-2</v>
      </c>
      <c r="C139" s="3">
        <f t="shared" si="55"/>
        <v>2.4447536701486278E-2</v>
      </c>
      <c r="D139" s="3">
        <f t="shared" si="55"/>
        <v>2.4447536701486267E-2</v>
      </c>
      <c r="E139" s="3">
        <f t="shared" si="55"/>
        <v>2.4447536701486139E-2</v>
      </c>
      <c r="F139" s="3">
        <f t="shared" si="55"/>
        <v>2.4447536701484879E-2</v>
      </c>
      <c r="G139" s="3">
        <f t="shared" si="55"/>
        <v>2.4447536701472261E-2</v>
      </c>
      <c r="H139" s="3">
        <f t="shared" si="55"/>
        <v>2.4447536701346053E-2</v>
      </c>
      <c r="I139" s="3">
        <f t="shared" si="55"/>
        <v>2.4447536700084007E-2</v>
      </c>
      <c r="J139" s="3">
        <f t="shared" si="55"/>
        <v>2.4447536687463522E-2</v>
      </c>
      <c r="K139" s="3">
        <f t="shared" si="55"/>
        <v>2.4447536561258705E-2</v>
      </c>
      <c r="L139" s="3">
        <f t="shared" si="55"/>
        <v>2.4447535299210562E-2</v>
      </c>
      <c r="M139" s="3">
        <f t="shared" si="55"/>
        <v>2.4447522678732708E-2</v>
      </c>
      <c r="N139" s="3">
        <f t="shared" si="55"/>
        <v>2.4447396474312509E-2</v>
      </c>
      <c r="O139" s="3">
        <f t="shared" si="55"/>
        <v>2.4446134465942425E-2</v>
      </c>
      <c r="P139" s="3">
        <f t="shared" si="55"/>
        <v>2.4433517964750587E-2</v>
      </c>
      <c r="Q139" s="3">
        <f t="shared" si="55"/>
        <v>2.4307710520401857E-2</v>
      </c>
      <c r="R139" s="3">
        <f t="shared" si="55"/>
        <v>2.3084719193524582E-2</v>
      </c>
      <c r="S139" s="3">
        <f t="shared" si="55"/>
        <v>1.3776217786131273E-2</v>
      </c>
      <c r="T139" s="3">
        <f t="shared" si="55"/>
        <v>7.8919447755308221E-5</v>
      </c>
      <c r="U139" s="3">
        <f t="shared" si="55"/>
        <v>3.0041693769674226E-27</v>
      </c>
      <c r="V139" s="3">
        <f t="shared" si="55"/>
        <v>1.9192351421799937E-251</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3.2102560695383232E-2</v>
      </c>
      <c r="C140" s="3">
        <f t="shared" si="57"/>
        <v>3.2102560695383232E-2</v>
      </c>
      <c r="D140" s="3">
        <f t="shared" si="57"/>
        <v>3.2102560695383232E-2</v>
      </c>
      <c r="E140" s="3">
        <f t="shared" si="57"/>
        <v>3.2102560695383212E-2</v>
      </c>
      <c r="F140" s="3">
        <f t="shared" si="57"/>
        <v>3.2102560695383066E-2</v>
      </c>
      <c r="G140" s="3">
        <f t="shared" si="57"/>
        <v>3.2102560695381574E-2</v>
      </c>
      <c r="H140" s="3">
        <f t="shared" si="57"/>
        <v>3.2102560695366621E-2</v>
      </c>
      <c r="I140" s="3">
        <f t="shared" si="57"/>
        <v>3.2102560695217129E-2</v>
      </c>
      <c r="J140" s="3">
        <f t="shared" si="57"/>
        <v>3.2102560693722179E-2</v>
      </c>
      <c r="K140" s="3">
        <f t="shared" si="57"/>
        <v>3.2102560678772658E-2</v>
      </c>
      <c r="L140" s="3">
        <f t="shared" si="57"/>
        <v>3.2102560529277513E-2</v>
      </c>
      <c r="M140" s="3">
        <f t="shared" si="57"/>
        <v>3.2102559034326079E-2</v>
      </c>
      <c r="N140" s="3">
        <f t="shared" si="57"/>
        <v>3.2102544084815589E-2</v>
      </c>
      <c r="O140" s="3">
        <f t="shared" si="57"/>
        <v>3.210239459009355E-2</v>
      </c>
      <c r="P140" s="3">
        <f t="shared" si="57"/>
        <v>3.2100899681161692E-2</v>
      </c>
      <c r="Q140" s="3">
        <f t="shared" si="57"/>
        <v>3.2085954420038233E-2</v>
      </c>
      <c r="R140" s="3">
        <f t="shared" si="57"/>
        <v>3.1936883969531919E-2</v>
      </c>
      <c r="S140" s="3">
        <f t="shared" si="57"/>
        <v>3.0483745190106371E-2</v>
      </c>
      <c r="T140" s="3">
        <f t="shared" si="57"/>
        <v>1.913489774607317E-2</v>
      </c>
      <c r="U140" s="3">
        <f t="shared" si="57"/>
        <v>1.8172068944613887E-4</v>
      </c>
      <c r="V140" s="3">
        <f t="shared" si="57"/>
        <v>1.0843929283373269E-24</v>
      </c>
      <c r="W140" s="3">
        <f t="shared" si="57"/>
        <v>6.2088288109333587E-227</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2.4134444755217831E-2</v>
      </c>
      <c r="C141" s="3">
        <f t="shared" si="59"/>
        <v>2.4134444755217831E-2</v>
      </c>
      <c r="D141" s="3">
        <f t="shared" si="59"/>
        <v>2.4134444755217831E-2</v>
      </c>
      <c r="E141" s="3">
        <f t="shared" si="59"/>
        <v>2.4134444755217831E-2</v>
      </c>
      <c r="F141" s="3">
        <f t="shared" si="59"/>
        <v>2.413444475521782E-2</v>
      </c>
      <c r="G141" s="3">
        <f t="shared" si="59"/>
        <v>2.413444475521772E-2</v>
      </c>
      <c r="H141" s="3">
        <f t="shared" si="59"/>
        <v>2.4134444755216707E-2</v>
      </c>
      <c r="I141" s="3">
        <f t="shared" si="59"/>
        <v>2.4134444755206565E-2</v>
      </c>
      <c r="J141" s="3">
        <f t="shared" si="59"/>
        <v>2.4134444755105181E-2</v>
      </c>
      <c r="K141" s="3">
        <f t="shared" si="59"/>
        <v>2.4134444754091336E-2</v>
      </c>
      <c r="L141" s="3">
        <f t="shared" si="59"/>
        <v>2.413444474395289E-2</v>
      </c>
      <c r="M141" s="3">
        <f t="shared" si="59"/>
        <v>2.4134444642568448E-2</v>
      </c>
      <c r="N141" s="3">
        <f t="shared" si="59"/>
        <v>2.4134443628724037E-2</v>
      </c>
      <c r="O141" s="3">
        <f t="shared" si="59"/>
        <v>2.4134433490282263E-2</v>
      </c>
      <c r="P141" s="3">
        <f t="shared" si="59"/>
        <v>2.4134332106098749E-2</v>
      </c>
      <c r="Q141" s="3">
        <f t="shared" si="59"/>
        <v>2.413331828768759E-2</v>
      </c>
      <c r="R141" s="3">
        <f t="shared" si="59"/>
        <v>2.4123182445609091E-2</v>
      </c>
      <c r="S141" s="3">
        <f t="shared" si="59"/>
        <v>2.4022057864516808E-2</v>
      </c>
      <c r="T141" s="3">
        <f t="shared" si="59"/>
        <v>2.3033836612967006E-2</v>
      </c>
      <c r="U141" s="3">
        <f t="shared" si="59"/>
        <v>1.5133069037243249E-2</v>
      </c>
      <c r="V141" s="3">
        <f t="shared" si="59"/>
        <v>2.2674322929054497E-4</v>
      </c>
      <c r="W141" s="3">
        <f t="shared" si="59"/>
        <v>1.2930266325488393E-22</v>
      </c>
      <c r="X141" s="3">
        <f t="shared" si="59"/>
        <v>4.7026092726127807E-205</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4.5522140204717329E-2</v>
      </c>
      <c r="C142" s="3">
        <f t="shared" si="61"/>
        <v>4.5522140204717329E-2</v>
      </c>
      <c r="D142" s="3">
        <f t="shared" si="61"/>
        <v>4.5522140204717329E-2</v>
      </c>
      <c r="E142" s="3">
        <f t="shared" si="61"/>
        <v>4.5522140204717329E-2</v>
      </c>
      <c r="F142" s="3">
        <f t="shared" si="61"/>
        <v>4.5522140204717329E-2</v>
      </c>
      <c r="G142" s="3">
        <f t="shared" si="61"/>
        <v>4.5522140204717308E-2</v>
      </c>
      <c r="H142" s="3">
        <f t="shared" si="61"/>
        <v>4.5522140204717135E-2</v>
      </c>
      <c r="I142" s="3">
        <f t="shared" si="61"/>
        <v>4.5522140204715414E-2</v>
      </c>
      <c r="J142" s="3">
        <f t="shared" si="61"/>
        <v>4.5522140204698157E-2</v>
      </c>
      <c r="K142" s="3">
        <f t="shared" si="61"/>
        <v>4.5522140204525656E-2</v>
      </c>
      <c r="L142" s="3">
        <f t="shared" si="61"/>
        <v>4.5522140202800598E-2</v>
      </c>
      <c r="M142" s="3">
        <f t="shared" si="61"/>
        <v>4.5522140185550036E-2</v>
      </c>
      <c r="N142" s="3">
        <f t="shared" si="61"/>
        <v>4.5522140013044408E-2</v>
      </c>
      <c r="O142" s="3">
        <f t="shared" si="61"/>
        <v>4.5522138287988144E-2</v>
      </c>
      <c r="P142" s="3">
        <f t="shared" si="61"/>
        <v>4.5522121037429114E-2</v>
      </c>
      <c r="Q142" s="3">
        <f t="shared" si="61"/>
        <v>4.5521948532198382E-2</v>
      </c>
      <c r="R142" s="3">
        <f t="shared" si="61"/>
        <v>4.5520223515844463E-2</v>
      </c>
      <c r="S142" s="3">
        <f t="shared" si="61"/>
        <v>4.5502976947139784E-2</v>
      </c>
      <c r="T142" s="3">
        <f t="shared" si="61"/>
        <v>4.5330870240024301E-2</v>
      </c>
      <c r="U142" s="3">
        <f t="shared" si="61"/>
        <v>4.3645202893556487E-2</v>
      </c>
      <c r="V142" s="3">
        <f t="shared" si="61"/>
        <v>2.9878660184790028E-2</v>
      </c>
      <c r="W142" s="3">
        <f t="shared" si="61"/>
        <v>6.754716741082425E-4</v>
      </c>
      <c r="X142" s="3">
        <f t="shared" si="61"/>
        <v>2.355414627141418E-20</v>
      </c>
      <c r="Y142" s="3">
        <f t="shared" si="61"/>
        <v>6.2613737557281423E-185</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3.7432935335074267E-2</v>
      </c>
      <c r="C143" s="3">
        <f t="shared" si="63"/>
        <v>3.7432935335074267E-2</v>
      </c>
      <c r="D143" s="3">
        <f t="shared" si="63"/>
        <v>3.7432935335074267E-2</v>
      </c>
      <c r="E143" s="3">
        <f t="shared" si="63"/>
        <v>3.7432935335074267E-2</v>
      </c>
      <c r="F143" s="3">
        <f t="shared" si="63"/>
        <v>3.7432935335074267E-2</v>
      </c>
      <c r="G143" s="3">
        <f t="shared" si="63"/>
        <v>3.7432935335074267E-2</v>
      </c>
      <c r="H143" s="3">
        <f t="shared" si="63"/>
        <v>3.7432935335074254E-2</v>
      </c>
      <c r="I143" s="3">
        <f t="shared" si="63"/>
        <v>3.7432935335074129E-2</v>
      </c>
      <c r="J143" s="3">
        <f t="shared" si="63"/>
        <v>3.7432935335072845E-2</v>
      </c>
      <c r="K143" s="3">
        <f t="shared" si="63"/>
        <v>3.743293533506005E-2</v>
      </c>
      <c r="L143" s="3">
        <f t="shared" si="63"/>
        <v>3.743293533493209E-2</v>
      </c>
      <c r="M143" s="3">
        <f t="shared" si="63"/>
        <v>3.7432935333652467E-2</v>
      </c>
      <c r="N143" s="3">
        <f t="shared" si="63"/>
        <v>3.7432935320856266E-2</v>
      </c>
      <c r="O143" s="3">
        <f t="shared" si="63"/>
        <v>3.743293519289425E-2</v>
      </c>
      <c r="P143" s="3">
        <f t="shared" si="63"/>
        <v>3.7432933913274104E-2</v>
      </c>
      <c r="Q143" s="3">
        <f t="shared" si="63"/>
        <v>3.743292111707508E-2</v>
      </c>
      <c r="R143" s="3">
        <f t="shared" si="63"/>
        <v>3.7432793155325404E-2</v>
      </c>
      <c r="S143" s="3">
        <f t="shared" si="63"/>
        <v>3.7431513561886981E-2</v>
      </c>
      <c r="T143" s="3">
        <f t="shared" si="63"/>
        <v>3.7418720033028E-2</v>
      </c>
      <c r="U143" s="3">
        <f t="shared" si="63"/>
        <v>3.7291024992989467E-2</v>
      </c>
      <c r="V143" s="3">
        <f t="shared" si="63"/>
        <v>3.6037798334955976E-2</v>
      </c>
      <c r="W143" s="3">
        <f t="shared" si="63"/>
        <v>2.5603394655093318E-2</v>
      </c>
      <c r="X143" s="3">
        <f t="shared" si="63"/>
        <v>8.3886205383688016E-4</v>
      </c>
      <c r="Y143" s="3">
        <f t="shared" si="63"/>
        <v>1.1956953434510872E-18</v>
      </c>
      <c r="Z143" s="3">
        <f t="shared" si="63"/>
        <v>4.1392382348793456E-167</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4.1089114467289377E-2</v>
      </c>
      <c r="C144" s="3">
        <f t="shared" si="65"/>
        <v>4.1089114467289377E-2</v>
      </c>
      <c r="D144" s="3">
        <f t="shared" si="65"/>
        <v>4.1089114467289377E-2</v>
      </c>
      <c r="E144" s="3">
        <f t="shared" si="65"/>
        <v>4.1089114467289377E-2</v>
      </c>
      <c r="F144" s="3">
        <f t="shared" si="65"/>
        <v>4.1089114467289377E-2</v>
      </c>
      <c r="G144" s="3">
        <f t="shared" si="65"/>
        <v>4.1089114467289377E-2</v>
      </c>
      <c r="H144" s="3">
        <f t="shared" si="65"/>
        <v>4.1089114467289377E-2</v>
      </c>
      <c r="I144" s="3">
        <f t="shared" si="65"/>
        <v>4.1089114467289363E-2</v>
      </c>
      <c r="J144" s="3">
        <f t="shared" si="65"/>
        <v>4.1089114467289238E-2</v>
      </c>
      <c r="K144" s="3">
        <f t="shared" si="65"/>
        <v>4.1089114467287968E-2</v>
      </c>
      <c r="L144" s="3">
        <f t="shared" si="65"/>
        <v>4.1089114467275298E-2</v>
      </c>
      <c r="M144" s="3">
        <f t="shared" si="65"/>
        <v>4.1089114467148594E-2</v>
      </c>
      <c r="N144" s="3">
        <f t="shared" si="65"/>
        <v>4.1089114465881524E-2</v>
      </c>
      <c r="O144" s="3">
        <f t="shared" si="65"/>
        <v>4.1089114453210819E-2</v>
      </c>
      <c r="P144" s="3">
        <f t="shared" si="65"/>
        <v>4.1089114326503834E-2</v>
      </c>
      <c r="Q144" s="3">
        <f t="shared" si="65"/>
        <v>4.1089113059433982E-2</v>
      </c>
      <c r="R144" s="3">
        <f t="shared" si="65"/>
        <v>4.1089100388737622E-2</v>
      </c>
      <c r="S144" s="3">
        <f t="shared" si="65"/>
        <v>4.108897368198889E-2</v>
      </c>
      <c r="T144" s="3">
        <f t="shared" si="65"/>
        <v>4.1087706635991379E-2</v>
      </c>
      <c r="U144" s="3">
        <f t="shared" si="65"/>
        <v>4.1075038324746883E-2</v>
      </c>
      <c r="V144" s="3">
        <f t="shared" si="65"/>
        <v>4.0948569840406519E-2</v>
      </c>
      <c r="W144" s="3">
        <f t="shared" si="65"/>
        <v>3.9705104929318093E-2</v>
      </c>
      <c r="X144" s="3">
        <f t="shared" si="65"/>
        <v>2.9169060807750218E-2</v>
      </c>
      <c r="Y144" s="3">
        <f t="shared" si="65"/>
        <v>1.3356215675065562E-3</v>
      </c>
      <c r="Z144" s="3">
        <f t="shared" si="65"/>
        <v>5.4111951788455992E-17</v>
      </c>
      <c r="AA144" s="3">
        <f t="shared" ref="AA144" si="66">$C30*EXP(-AA$129/$A30/EXP(-$B$126))</f>
        <v>6.4474941218706278E-151</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4.624509457562298E-2</v>
      </c>
      <c r="C145" s="3">
        <f t="shared" si="68"/>
        <v>4.624509457562298E-2</v>
      </c>
      <c r="D145" s="3">
        <f t="shared" si="68"/>
        <v>4.624509457562298E-2</v>
      </c>
      <c r="E145" s="3">
        <f t="shared" si="68"/>
        <v>4.624509457562298E-2</v>
      </c>
      <c r="F145" s="3">
        <f t="shared" si="68"/>
        <v>4.624509457562298E-2</v>
      </c>
      <c r="G145" s="3">
        <f t="shared" si="68"/>
        <v>4.624509457562298E-2</v>
      </c>
      <c r="H145" s="3">
        <f t="shared" si="68"/>
        <v>4.624509457562298E-2</v>
      </c>
      <c r="I145" s="3">
        <f t="shared" si="68"/>
        <v>4.624509457562298E-2</v>
      </c>
      <c r="J145" s="3">
        <f t="shared" si="68"/>
        <v>4.6245094575622966E-2</v>
      </c>
      <c r="K145" s="3">
        <f t="shared" si="68"/>
        <v>4.6245094575622835E-2</v>
      </c>
      <c r="L145" s="3">
        <f t="shared" si="68"/>
        <v>4.6245094575621551E-2</v>
      </c>
      <c r="M145" s="3">
        <f t="shared" si="68"/>
        <v>4.6245094575608686E-2</v>
      </c>
      <c r="N145" s="3">
        <f t="shared" si="68"/>
        <v>4.6245094575480046E-2</v>
      </c>
      <c r="O145" s="3">
        <f t="shared" si="68"/>
        <v>4.6245094574193617E-2</v>
      </c>
      <c r="P145" s="3">
        <f t="shared" si="68"/>
        <v>4.6245094561329317E-2</v>
      </c>
      <c r="Q145" s="3">
        <f t="shared" si="68"/>
        <v>4.6245094432686353E-2</v>
      </c>
      <c r="R145" s="3">
        <f t="shared" si="68"/>
        <v>4.6245093146256709E-2</v>
      </c>
      <c r="S145" s="3">
        <f t="shared" si="68"/>
        <v>4.6245080281962232E-2</v>
      </c>
      <c r="T145" s="3">
        <f t="shared" si="68"/>
        <v>4.6244951639214285E-2</v>
      </c>
      <c r="U145" s="3">
        <f t="shared" si="68"/>
        <v>4.6243665231416563E-2</v>
      </c>
      <c r="V145" s="3">
        <f t="shared" si="68"/>
        <v>4.6230803121413783E-2</v>
      </c>
      <c r="W145" s="3">
        <f t="shared" si="68"/>
        <v>4.6102378616422704E-2</v>
      </c>
      <c r="X145" s="3">
        <f t="shared" si="68"/>
        <v>4.4837592220973235E-2</v>
      </c>
      <c r="Y145" s="3">
        <f t="shared" si="68"/>
        <v>3.3949374865679456E-2</v>
      </c>
      <c r="Z145" s="3">
        <f t="shared" si="68"/>
        <v>2.1024552923566784E-3</v>
      </c>
      <c r="AA145" s="3">
        <f t="shared" ref="AA145" si="69">$C31*EXP(-AA$129/$A31/EXP(-$B$126))</f>
        <v>1.7445227908976132E-15</v>
      </c>
      <c r="AB145" s="3">
        <f t="shared" si="67"/>
        <v>2.6988293714970489E-136</v>
      </c>
      <c r="AC145" s="3">
        <f t="shared" si="67"/>
        <v>0</v>
      </c>
      <c r="AD145" s="3">
        <f t="shared" si="67"/>
        <v>0</v>
      </c>
      <c r="AE145" s="3">
        <f t="shared" si="67"/>
        <v>0</v>
      </c>
      <c r="AF145" s="3">
        <f t="shared" si="67"/>
        <v>0</v>
      </c>
    </row>
    <row r="146" spans="1:32" x14ac:dyDescent="0.25">
      <c r="B146" s="3">
        <f t="shared" ref="B146:Z146" si="70">$C32*EXP(-B$129/$A32/EXP(-$B$126))</f>
        <v>4.2152470755880481E-2</v>
      </c>
      <c r="C146" s="3">
        <f t="shared" si="70"/>
        <v>4.2152470755880481E-2</v>
      </c>
      <c r="D146" s="3">
        <f t="shared" si="70"/>
        <v>4.2152470755880481E-2</v>
      </c>
      <c r="E146" s="3">
        <f t="shared" si="70"/>
        <v>4.2152470755880481E-2</v>
      </c>
      <c r="F146" s="3">
        <f t="shared" si="70"/>
        <v>4.2152470755880481E-2</v>
      </c>
      <c r="G146" s="3">
        <f t="shared" si="70"/>
        <v>4.2152470755880481E-2</v>
      </c>
      <c r="H146" s="3">
        <f t="shared" si="70"/>
        <v>4.2152470755880481E-2</v>
      </c>
      <c r="I146" s="3">
        <f t="shared" si="70"/>
        <v>4.2152470755880481E-2</v>
      </c>
      <c r="J146" s="3">
        <f t="shared" si="70"/>
        <v>4.2152470755880481E-2</v>
      </c>
      <c r="K146" s="3">
        <f t="shared" si="70"/>
        <v>4.2152470755880467E-2</v>
      </c>
      <c r="L146" s="3">
        <f t="shared" si="70"/>
        <v>4.2152470755880363E-2</v>
      </c>
      <c r="M146" s="3">
        <f t="shared" si="70"/>
        <v>4.2152470755879308E-2</v>
      </c>
      <c r="N146" s="3">
        <f t="shared" si="70"/>
        <v>4.2152470755868726E-2</v>
      </c>
      <c r="O146" s="3">
        <f t="shared" si="70"/>
        <v>4.215247075576295E-2</v>
      </c>
      <c r="P146" s="3">
        <f t="shared" si="70"/>
        <v>4.2152470754705185E-2</v>
      </c>
      <c r="Q146" s="3">
        <f t="shared" si="70"/>
        <v>4.2152470744127514E-2</v>
      </c>
      <c r="R146" s="3">
        <f t="shared" si="70"/>
        <v>4.2152470638350814E-2</v>
      </c>
      <c r="S146" s="3">
        <f t="shared" si="70"/>
        <v>4.2152469580583864E-2</v>
      </c>
      <c r="T146" s="3">
        <f t="shared" si="70"/>
        <v>4.2152459002915789E-2</v>
      </c>
      <c r="U146" s="3">
        <f t="shared" si="70"/>
        <v>4.2152353226381001E-2</v>
      </c>
      <c r="V146" s="3">
        <f t="shared" si="70"/>
        <v>4.2151295475631879E-2</v>
      </c>
      <c r="W146" s="3">
        <f t="shared" si="70"/>
        <v>4.2140719427878476E-2</v>
      </c>
      <c r="X146" s="3">
        <f t="shared" si="70"/>
        <v>4.2035104788682845E-2</v>
      </c>
      <c r="Y146" s="3">
        <f t="shared" si="70"/>
        <v>4.0993407727874048E-2</v>
      </c>
      <c r="Z146" s="3">
        <f t="shared" si="70"/>
        <v>3.189575594343512E-2</v>
      </c>
      <c r="AA146" s="3">
        <f t="shared" ref="AA146" si="71">$C32*EXP(-AA$129/$A32/EXP(-$B$126))</f>
        <v>2.5937115376807409E-3</v>
      </c>
      <c r="AB146" s="3">
        <f t="shared" si="67"/>
        <v>3.2795134574234082E-14</v>
      </c>
      <c r="AC146" s="3">
        <f t="shared" si="67"/>
        <v>3.425207227474228E-123</v>
      </c>
      <c r="AD146" s="3">
        <f t="shared" si="67"/>
        <v>0</v>
      </c>
      <c r="AE146" s="3">
        <f t="shared" si="67"/>
        <v>0</v>
      </c>
      <c r="AF146" s="3">
        <f t="shared" si="67"/>
        <v>0</v>
      </c>
    </row>
    <row r="147" spans="1:32" x14ac:dyDescent="0.25">
      <c r="B147" s="3">
        <f t="shared" ref="B147:Z147" si="72">$C33*EXP(-B$129/$A33/EXP(-$B$126))</f>
        <v>0.11273931401056794</v>
      </c>
      <c r="C147" s="3">
        <f t="shared" si="72"/>
        <v>0.11273931401056794</v>
      </c>
      <c r="D147" s="3">
        <f t="shared" si="72"/>
        <v>0.11273931401056794</v>
      </c>
      <c r="E147" s="3">
        <f t="shared" si="72"/>
        <v>0.11273931401056794</v>
      </c>
      <c r="F147" s="3">
        <f t="shared" si="72"/>
        <v>0.11273931401056794</v>
      </c>
      <c r="G147" s="3">
        <f t="shared" si="72"/>
        <v>0.11273931401056794</v>
      </c>
      <c r="H147" s="3">
        <f t="shared" si="72"/>
        <v>0.11273931401056794</v>
      </c>
      <c r="I147" s="3">
        <f t="shared" si="72"/>
        <v>0.11273931401056794</v>
      </c>
      <c r="J147" s="3">
        <f t="shared" si="72"/>
        <v>0.11273931401056794</v>
      </c>
      <c r="K147" s="3">
        <f t="shared" si="72"/>
        <v>0.11273931401056794</v>
      </c>
      <c r="L147" s="3">
        <f t="shared" si="72"/>
        <v>0.11273931401056791</v>
      </c>
      <c r="M147" s="3">
        <f t="shared" si="72"/>
        <v>0.11273931401056765</v>
      </c>
      <c r="N147" s="3">
        <f t="shared" si="72"/>
        <v>0.1127393140105651</v>
      </c>
      <c r="O147" s="3">
        <f t="shared" si="72"/>
        <v>0.11273931401053959</v>
      </c>
      <c r="P147" s="3">
        <f t="shared" si="72"/>
        <v>0.11273931401028438</v>
      </c>
      <c r="Q147" s="3">
        <f t="shared" si="72"/>
        <v>0.11273931400773234</v>
      </c>
      <c r="R147" s="3">
        <f t="shared" si="72"/>
        <v>0.11273931398221185</v>
      </c>
      <c r="S147" s="3">
        <f t="shared" si="72"/>
        <v>0.11273931372700699</v>
      </c>
      <c r="T147" s="3">
        <f t="shared" si="72"/>
        <v>0.1127393111749584</v>
      </c>
      <c r="U147" s="3">
        <f t="shared" si="72"/>
        <v>0.11273928565447569</v>
      </c>
      <c r="V147" s="3">
        <f t="shared" si="72"/>
        <v>0.11273903044996639</v>
      </c>
      <c r="W147" s="3">
        <f t="shared" si="72"/>
        <v>0.11273647843664654</v>
      </c>
      <c r="X147" s="3">
        <f t="shared" si="72"/>
        <v>0.11271096148050347</v>
      </c>
      <c r="Y147" s="3">
        <f t="shared" si="72"/>
        <v>0.11245610935866725</v>
      </c>
      <c r="Z147" s="3">
        <f t="shared" si="72"/>
        <v>0.10993906782766412</v>
      </c>
      <c r="AA147" s="3">
        <f t="shared" ref="AA147" si="73">$C33*EXP(-AA$129/$A33/EXP(-$B$126))</f>
        <v>8.7668184179435102E-2</v>
      </c>
      <c r="AB147" s="3">
        <f t="shared" si="67"/>
        <v>9.1146841196572681E-3</v>
      </c>
      <c r="AC147" s="3">
        <f t="shared" si="67"/>
        <v>1.345047839526228E-12</v>
      </c>
      <c r="AD147" s="3">
        <f t="shared" si="67"/>
        <v>6.5871692305744736E-111</v>
      </c>
      <c r="AE147" s="3">
        <f t="shared" si="67"/>
        <v>0</v>
      </c>
      <c r="AF147" s="3">
        <f t="shared" si="67"/>
        <v>0</v>
      </c>
    </row>
    <row r="148" spans="1:32" x14ac:dyDescent="0.25">
      <c r="B148" s="3">
        <f t="shared" ref="B148:Z148" si="74">$C34*EXP(-B$129/$A34/EXP(-$B$126))</f>
        <v>0.14424740982428688</v>
      </c>
      <c r="C148" s="3">
        <f t="shared" si="74"/>
        <v>0.14424740982428688</v>
      </c>
      <c r="D148" s="3">
        <f t="shared" si="74"/>
        <v>0.14424740982428688</v>
      </c>
      <c r="E148" s="3">
        <f t="shared" si="74"/>
        <v>0.14424740982428688</v>
      </c>
      <c r="F148" s="3">
        <f t="shared" si="74"/>
        <v>0.14424740982428688</v>
      </c>
      <c r="G148" s="3">
        <f t="shared" si="74"/>
        <v>0.14424740982428688</v>
      </c>
      <c r="H148" s="3">
        <f t="shared" si="74"/>
        <v>0.14424740982428688</v>
      </c>
      <c r="I148" s="3">
        <f t="shared" si="74"/>
        <v>0.14424740982428688</v>
      </c>
      <c r="J148" s="3">
        <f t="shared" si="74"/>
        <v>0.14424740982428688</v>
      </c>
      <c r="K148" s="3">
        <f t="shared" si="74"/>
        <v>0.14424740982428688</v>
      </c>
      <c r="L148" s="3">
        <f t="shared" si="74"/>
        <v>0.14424740982428688</v>
      </c>
      <c r="M148" s="3">
        <f t="shared" si="74"/>
        <v>0.14424740982428685</v>
      </c>
      <c r="N148" s="3">
        <f t="shared" si="74"/>
        <v>0.14424740982428655</v>
      </c>
      <c r="O148" s="3">
        <f t="shared" si="74"/>
        <v>0.14424740982428361</v>
      </c>
      <c r="P148" s="3">
        <f t="shared" si="74"/>
        <v>0.14424740982425416</v>
      </c>
      <c r="Q148" s="3">
        <f t="shared" si="74"/>
        <v>0.14424740982395959</v>
      </c>
      <c r="R148" s="3">
        <f t="shared" si="74"/>
        <v>0.14424740982101406</v>
      </c>
      <c r="S148" s="3">
        <f t="shared" si="74"/>
        <v>0.14424740979155842</v>
      </c>
      <c r="T148" s="3">
        <f t="shared" si="74"/>
        <v>0.14424740949700221</v>
      </c>
      <c r="U148" s="3">
        <f t="shared" si="74"/>
        <v>0.14424740655144022</v>
      </c>
      <c r="V148" s="3">
        <f t="shared" si="74"/>
        <v>0.14424737709582375</v>
      </c>
      <c r="W148" s="3">
        <f t="shared" si="74"/>
        <v>0.14424708253998952</v>
      </c>
      <c r="X148" s="3">
        <f t="shared" si="74"/>
        <v>0.14424413701472896</v>
      </c>
      <c r="Y148" s="3">
        <f t="shared" si="74"/>
        <v>0.14421468507004004</v>
      </c>
      <c r="Z148" s="3">
        <f t="shared" si="74"/>
        <v>0.14392049616501715</v>
      </c>
      <c r="AA148" s="3">
        <f>$C34*EXP(-AA$129/$A34/EXP(-$B$126))</f>
        <v>0.14101141291954325</v>
      </c>
      <c r="AB148" s="3">
        <f t="shared" si="67"/>
        <v>0.11496626716305497</v>
      </c>
      <c r="AC148" s="3">
        <f t="shared" si="67"/>
        <v>1.4918738220738643E-2</v>
      </c>
      <c r="AD148" s="3">
        <f t="shared" si="67"/>
        <v>2.0199876908676057E-11</v>
      </c>
      <c r="AE148" s="3">
        <f t="shared" si="67"/>
        <v>4.183261547989865E-100</v>
      </c>
      <c r="AF148" s="3">
        <f t="shared" si="67"/>
        <v>0</v>
      </c>
    </row>
    <row r="149" spans="1:32" x14ac:dyDescent="0.25">
      <c r="B149" s="3">
        <f t="shared" ref="B149:Z149" si="75">$C35*EXP(-B$129/$A35/EXP(-$B$126))</f>
        <v>0.12974291069495422</v>
      </c>
      <c r="C149" s="3">
        <f t="shared" si="75"/>
        <v>0.12974291069495422</v>
      </c>
      <c r="D149" s="3">
        <f t="shared" si="75"/>
        <v>0.12974291069495422</v>
      </c>
      <c r="E149" s="3">
        <f t="shared" si="75"/>
        <v>0.12974291069495422</v>
      </c>
      <c r="F149" s="3">
        <f t="shared" si="75"/>
        <v>0.12974291069495422</v>
      </c>
      <c r="G149" s="3">
        <f t="shared" si="75"/>
        <v>0.12974291069495422</v>
      </c>
      <c r="H149" s="3">
        <f t="shared" si="75"/>
        <v>0.12974291069495422</v>
      </c>
      <c r="I149" s="3">
        <f t="shared" si="75"/>
        <v>0.12974291069495422</v>
      </c>
      <c r="J149" s="3">
        <f t="shared" si="75"/>
        <v>0.12974291069495422</v>
      </c>
      <c r="K149" s="3">
        <f t="shared" si="75"/>
        <v>0.12974291069495422</v>
      </c>
      <c r="L149" s="3">
        <f t="shared" si="75"/>
        <v>0.12974291069495422</v>
      </c>
      <c r="M149" s="3">
        <f t="shared" si="75"/>
        <v>0.12974291069495422</v>
      </c>
      <c r="N149" s="3">
        <f t="shared" si="75"/>
        <v>0.12974291069495419</v>
      </c>
      <c r="O149" s="3">
        <f t="shared" si="75"/>
        <v>0.12974291069495397</v>
      </c>
      <c r="P149" s="3">
        <f t="shared" si="75"/>
        <v>0.12974291069495159</v>
      </c>
      <c r="Q149" s="3">
        <f t="shared" si="75"/>
        <v>0.12974291069492766</v>
      </c>
      <c r="R149" s="3">
        <f t="shared" si="75"/>
        <v>0.12974291069468868</v>
      </c>
      <c r="S149" s="3">
        <f t="shared" si="75"/>
        <v>0.12974291069229871</v>
      </c>
      <c r="T149" s="3">
        <f t="shared" si="75"/>
        <v>0.12974291066839913</v>
      </c>
      <c r="U149" s="3">
        <f t="shared" si="75"/>
        <v>0.12974291042940328</v>
      </c>
      <c r="V149" s="3">
        <f t="shared" si="75"/>
        <v>0.12974290803944472</v>
      </c>
      <c r="W149" s="3">
        <f t="shared" si="75"/>
        <v>0.12974288413986154</v>
      </c>
      <c r="X149" s="3">
        <f t="shared" si="75"/>
        <v>0.12974264514427203</v>
      </c>
      <c r="Y149" s="3">
        <f t="shared" si="75"/>
        <v>0.12974025521259017</v>
      </c>
      <c r="Z149" s="3">
        <f t="shared" si="75"/>
        <v>0.12971635831695086</v>
      </c>
      <c r="AA149" s="3">
        <f t="shared" ref="AA149" si="76">$C35*EXP(-AA$129/$A35/EXP(-$B$126))</f>
        <v>0.12947763131352863</v>
      </c>
      <c r="AB149" s="3">
        <f t="shared" si="67"/>
        <v>0.12711439247867362</v>
      </c>
      <c r="AC149" s="3">
        <f t="shared" si="67"/>
        <v>0.10572909878541664</v>
      </c>
      <c r="AD149" s="3">
        <f t="shared" si="67"/>
        <v>1.6756857348732897E-2</v>
      </c>
      <c r="AE149" s="3">
        <f t="shared" si="67"/>
        <v>1.6756101944736682E-10</v>
      </c>
      <c r="AF149" s="3">
        <f t="shared" si="67"/>
        <v>1.6748549777481955E-90</v>
      </c>
    </row>
    <row r="150" spans="1:32" x14ac:dyDescent="0.25">
      <c r="B150" s="3">
        <f t="shared" ref="B150:Z150" si="77">$C36*EXP(-B$129/$A36/EXP(-$B$126))</f>
        <v>0.10714334071735752</v>
      </c>
      <c r="C150" s="3">
        <f t="shared" si="77"/>
        <v>0.10714334071735752</v>
      </c>
      <c r="D150" s="3">
        <f t="shared" si="77"/>
        <v>0.10714334071735752</v>
      </c>
      <c r="E150" s="3">
        <f t="shared" si="77"/>
        <v>0.10714334071735752</v>
      </c>
      <c r="F150" s="3">
        <f t="shared" si="77"/>
        <v>0.10714334071735752</v>
      </c>
      <c r="G150" s="3">
        <f t="shared" si="77"/>
        <v>0.10714334071735752</v>
      </c>
      <c r="H150" s="3">
        <f t="shared" si="77"/>
        <v>0.10714334071735752</v>
      </c>
      <c r="I150" s="3">
        <f t="shared" si="77"/>
        <v>0.10714334071735752</v>
      </c>
      <c r="J150" s="3">
        <f t="shared" si="77"/>
        <v>0.10714334071735752</v>
      </c>
      <c r="K150" s="3">
        <f t="shared" si="77"/>
        <v>0.10714334071735752</v>
      </c>
      <c r="L150" s="3">
        <f t="shared" si="77"/>
        <v>0.10714334071735752</v>
      </c>
      <c r="M150" s="3">
        <f t="shared" si="77"/>
        <v>0.10714334071735752</v>
      </c>
      <c r="N150" s="3">
        <f t="shared" si="77"/>
        <v>0.10714334071735752</v>
      </c>
      <c r="O150" s="3">
        <f t="shared" si="77"/>
        <v>0.1071433407173575</v>
      </c>
      <c r="P150" s="3">
        <f t="shared" si="77"/>
        <v>0.10714334071735732</v>
      </c>
      <c r="Q150" s="3">
        <f t="shared" si="77"/>
        <v>0.10714334071735555</v>
      </c>
      <c r="R150" s="3">
        <f t="shared" si="77"/>
        <v>0.10714334071733775</v>
      </c>
      <c r="S150" s="3">
        <f t="shared" si="77"/>
        <v>0.10714334071715971</v>
      </c>
      <c r="T150" s="3">
        <f t="shared" si="77"/>
        <v>0.1071433407153793</v>
      </c>
      <c r="U150" s="3">
        <f t="shared" si="77"/>
        <v>0.10714334069757527</v>
      </c>
      <c r="V150" s="3">
        <f t="shared" si="77"/>
        <v>0.10714334051953489</v>
      </c>
      <c r="W150" s="3">
        <f t="shared" si="77"/>
        <v>0.10714333873913109</v>
      </c>
      <c r="X150" s="3">
        <f t="shared" si="77"/>
        <v>0.10714332093509489</v>
      </c>
      <c r="Y150" s="3">
        <f t="shared" si="77"/>
        <v>0.10714314289489552</v>
      </c>
      <c r="Z150" s="3">
        <f t="shared" si="77"/>
        <v>0.10714136250917336</v>
      </c>
      <c r="AA150" s="3">
        <f t="shared" ref="AA150" si="78">$C36*EXP(-AA$129/$A36/EXP(-$B$126))</f>
        <v>0.10712356027901677</v>
      </c>
      <c r="AB150" s="3">
        <f t="shared" si="67"/>
        <v>0.1069457005839438</v>
      </c>
      <c r="AC150" s="3">
        <f t="shared" si="67"/>
        <v>0.10518326474997736</v>
      </c>
      <c r="AD150" s="3">
        <f t="shared" si="67"/>
        <v>8.9079919242328304E-2</v>
      </c>
      <c r="AE150" s="3">
        <f t="shared" si="67"/>
        <v>1.6908749683431559E-2</v>
      </c>
      <c r="AF150" s="3">
        <f t="shared" si="67"/>
        <v>1.0266639143783953E-9</v>
      </c>
    </row>
    <row r="151" spans="1:32" x14ac:dyDescent="0.25">
      <c r="B151" s="3">
        <f t="shared" ref="B151:Z151" si="79">$C37*EXP(-B$129/$A37/EXP(-$B$126))</f>
        <v>7.467332001482109E-2</v>
      </c>
      <c r="C151" s="3">
        <f t="shared" si="79"/>
        <v>7.467332001482109E-2</v>
      </c>
      <c r="D151" s="3">
        <f t="shared" si="79"/>
        <v>7.467332001482109E-2</v>
      </c>
      <c r="E151" s="3">
        <f t="shared" si="79"/>
        <v>7.467332001482109E-2</v>
      </c>
      <c r="F151" s="3">
        <f t="shared" si="79"/>
        <v>7.467332001482109E-2</v>
      </c>
      <c r="G151" s="3">
        <f t="shared" si="79"/>
        <v>7.467332001482109E-2</v>
      </c>
      <c r="H151" s="3">
        <f t="shared" si="79"/>
        <v>7.467332001482109E-2</v>
      </c>
      <c r="I151" s="3">
        <f t="shared" si="79"/>
        <v>7.467332001482109E-2</v>
      </c>
      <c r="J151" s="3">
        <f t="shared" si="79"/>
        <v>7.467332001482109E-2</v>
      </c>
      <c r="K151" s="3">
        <f t="shared" si="79"/>
        <v>7.467332001482109E-2</v>
      </c>
      <c r="L151" s="3">
        <f t="shared" si="79"/>
        <v>7.467332001482109E-2</v>
      </c>
      <c r="M151" s="3">
        <f t="shared" si="79"/>
        <v>7.467332001482109E-2</v>
      </c>
      <c r="N151" s="3">
        <f t="shared" si="79"/>
        <v>7.467332001482109E-2</v>
      </c>
      <c r="O151" s="3">
        <f t="shared" si="79"/>
        <v>7.467332001482109E-2</v>
      </c>
      <c r="P151" s="3">
        <f t="shared" si="79"/>
        <v>7.4673320014821076E-2</v>
      </c>
      <c r="Q151" s="3">
        <f t="shared" si="79"/>
        <v>7.4673320014820965E-2</v>
      </c>
      <c r="R151" s="3">
        <f t="shared" si="79"/>
        <v>7.4673320014819841E-2</v>
      </c>
      <c r="S151" s="3">
        <f t="shared" si="79"/>
        <v>7.4673320014808656E-2</v>
      </c>
      <c r="T151" s="3">
        <f t="shared" si="79"/>
        <v>7.4673320014696717E-2</v>
      </c>
      <c r="U151" s="3">
        <f t="shared" si="79"/>
        <v>7.4673320013577377E-2</v>
      </c>
      <c r="V151" s="3">
        <f t="shared" si="79"/>
        <v>7.4673320002383886E-2</v>
      </c>
      <c r="W151" s="3">
        <f t="shared" si="79"/>
        <v>7.4673319890449008E-2</v>
      </c>
      <c r="X151" s="3">
        <f t="shared" si="79"/>
        <v>7.4673318771100367E-2</v>
      </c>
      <c r="Y151" s="3">
        <f t="shared" si="79"/>
        <v>7.4673307577614867E-2</v>
      </c>
      <c r="Z151" s="3">
        <f t="shared" si="79"/>
        <v>7.4673195642852075E-2</v>
      </c>
      <c r="AA151" s="3">
        <f t="shared" ref="AA151" si="80">$C37*EXP(-AA$129/$A37/EXP(-$B$126))</f>
        <v>7.4672076304452453E-2</v>
      </c>
      <c r="AB151" s="3">
        <f t="shared" si="67"/>
        <v>7.4660883843242834E-2</v>
      </c>
      <c r="AC151" s="3">
        <f t="shared" si="67"/>
        <v>7.454905145863594E-2</v>
      </c>
      <c r="AD151" s="3">
        <f t="shared" si="67"/>
        <v>7.3439899414015297E-2</v>
      </c>
      <c r="AE151" s="3">
        <f t="shared" si="67"/>
        <v>6.3216665925220253E-2</v>
      </c>
      <c r="AF151" s="3">
        <f t="shared" si="67"/>
        <v>1.4119740847995834E-2</v>
      </c>
    </row>
    <row r="152" spans="1:32" x14ac:dyDescent="0.25">
      <c r="B152" s="3">
        <f t="shared" ref="B152:Z152" si="81">$C38*EXP(-B$129/$A38/EXP(-$B$126))</f>
        <v>2.5720461590382049E-2</v>
      </c>
      <c r="C152" s="3">
        <f t="shared" si="81"/>
        <v>2.5720461590382049E-2</v>
      </c>
      <c r="D152" s="3">
        <f t="shared" si="81"/>
        <v>2.5720461590382049E-2</v>
      </c>
      <c r="E152" s="3">
        <f t="shared" si="81"/>
        <v>2.5720461590382049E-2</v>
      </c>
      <c r="F152" s="3">
        <f t="shared" si="81"/>
        <v>2.5720461590382049E-2</v>
      </c>
      <c r="G152" s="3">
        <f t="shared" si="81"/>
        <v>2.5720461590382049E-2</v>
      </c>
      <c r="H152" s="3">
        <f t="shared" si="81"/>
        <v>2.5720461590382049E-2</v>
      </c>
      <c r="I152" s="3">
        <f t="shared" si="81"/>
        <v>2.5720461590382049E-2</v>
      </c>
      <c r="J152" s="3">
        <f t="shared" si="81"/>
        <v>2.5720461590382049E-2</v>
      </c>
      <c r="K152" s="3">
        <f t="shared" si="81"/>
        <v>2.5720461590382049E-2</v>
      </c>
      <c r="L152" s="3">
        <f t="shared" si="81"/>
        <v>2.5720461590382049E-2</v>
      </c>
      <c r="M152" s="3">
        <f t="shared" si="81"/>
        <v>2.5720461590382049E-2</v>
      </c>
      <c r="N152" s="3">
        <f t="shared" si="81"/>
        <v>2.5720461590382049E-2</v>
      </c>
      <c r="O152" s="3">
        <f t="shared" si="81"/>
        <v>2.5720461590382049E-2</v>
      </c>
      <c r="P152" s="3">
        <f t="shared" si="81"/>
        <v>2.5720461590382049E-2</v>
      </c>
      <c r="Q152" s="3">
        <f t="shared" si="81"/>
        <v>2.5720461590382045E-2</v>
      </c>
      <c r="R152" s="3">
        <f t="shared" si="81"/>
        <v>2.5720461590382007E-2</v>
      </c>
      <c r="S152" s="3">
        <f t="shared" si="81"/>
        <v>2.5720461590381664E-2</v>
      </c>
      <c r="T152" s="3">
        <f t="shared" si="81"/>
        <v>2.5720461590378184E-2</v>
      </c>
      <c r="U152" s="3">
        <f t="shared" si="81"/>
        <v>2.5720461590343406E-2</v>
      </c>
      <c r="V152" s="3">
        <f t="shared" si="81"/>
        <v>2.5720461589995608E-2</v>
      </c>
      <c r="W152" s="3">
        <f t="shared" si="81"/>
        <v>2.5720461586517643E-2</v>
      </c>
      <c r="X152" s="3">
        <f t="shared" si="81"/>
        <v>2.5720461551737989E-2</v>
      </c>
      <c r="Y152" s="3">
        <f t="shared" si="81"/>
        <v>2.5720461203941444E-2</v>
      </c>
      <c r="Z152" s="3">
        <f t="shared" si="81"/>
        <v>2.5720457725976229E-2</v>
      </c>
      <c r="AA152" s="3">
        <f t="shared" ref="AA152" si="82">$C38*EXP(-AA$129/$A38/EXP(-$B$126))</f>
        <v>2.5720422946349967E-2</v>
      </c>
      <c r="AB152" s="3">
        <f t="shared" si="67"/>
        <v>2.5720075152673966E-2</v>
      </c>
      <c r="AC152" s="3">
        <f t="shared" si="67"/>
        <v>2.5716597474562682E-2</v>
      </c>
      <c r="AD152" s="3">
        <f t="shared" si="67"/>
        <v>2.5681846545385446E-2</v>
      </c>
      <c r="AE152" s="3">
        <f t="shared" si="67"/>
        <v>2.5336909559574093E-2</v>
      </c>
      <c r="AF152" s="3">
        <f t="shared" si="67"/>
        <v>2.2132352923064948E-2</v>
      </c>
    </row>
    <row r="153" spans="1:32" x14ac:dyDescent="0.25">
      <c r="B153" s="3">
        <f t="shared" ref="B153:Z153" si="83">$C39*EXP(-B$129/$A39/EXP(-$B$126))</f>
        <v>2.4141304859351478E-2</v>
      </c>
      <c r="C153" s="3">
        <f t="shared" si="83"/>
        <v>2.4141304859351478E-2</v>
      </c>
      <c r="D153" s="3">
        <f t="shared" si="83"/>
        <v>2.4141304859351478E-2</v>
      </c>
      <c r="E153" s="3">
        <f t="shared" si="83"/>
        <v>2.4141304859351478E-2</v>
      </c>
      <c r="F153" s="3">
        <f t="shared" si="83"/>
        <v>2.4141304859351478E-2</v>
      </c>
      <c r="G153" s="3">
        <f t="shared" si="83"/>
        <v>2.4141304859351478E-2</v>
      </c>
      <c r="H153" s="3">
        <f t="shared" si="83"/>
        <v>2.4141304859351478E-2</v>
      </c>
      <c r="I153" s="3">
        <f t="shared" si="83"/>
        <v>2.4141304859351478E-2</v>
      </c>
      <c r="J153" s="3">
        <f t="shared" si="83"/>
        <v>2.4141304859351478E-2</v>
      </c>
      <c r="K153" s="3">
        <f t="shared" si="83"/>
        <v>2.4141304859351478E-2</v>
      </c>
      <c r="L153" s="3">
        <f t="shared" si="83"/>
        <v>2.4141304859351478E-2</v>
      </c>
      <c r="M153" s="3">
        <f t="shared" si="83"/>
        <v>2.4141304859351478E-2</v>
      </c>
      <c r="N153" s="3">
        <f t="shared" si="83"/>
        <v>2.4141304859351478E-2</v>
      </c>
      <c r="O153" s="3">
        <f t="shared" si="83"/>
        <v>2.4141304859351478E-2</v>
      </c>
      <c r="P153" s="3">
        <f t="shared" si="83"/>
        <v>2.4141304859351478E-2</v>
      </c>
      <c r="Q153" s="3">
        <f t="shared" si="83"/>
        <v>2.4141304859351478E-2</v>
      </c>
      <c r="R153" s="3">
        <f t="shared" si="83"/>
        <v>2.4141304859351467E-2</v>
      </c>
      <c r="S153" s="3">
        <f t="shared" si="83"/>
        <v>2.4141304859351377E-2</v>
      </c>
      <c r="T153" s="3">
        <f t="shared" si="83"/>
        <v>2.4141304859350475E-2</v>
      </c>
      <c r="U153" s="3">
        <f t="shared" si="83"/>
        <v>2.4141304859341444E-2</v>
      </c>
      <c r="V153" s="3">
        <f t="shared" si="83"/>
        <v>2.4141304859251159E-2</v>
      </c>
      <c r="W153" s="3">
        <f t="shared" si="83"/>
        <v>2.4141304858348301E-2</v>
      </c>
      <c r="X153" s="3">
        <f t="shared" si="83"/>
        <v>2.4141304849319707E-2</v>
      </c>
      <c r="Y153" s="3">
        <f t="shared" si="83"/>
        <v>2.4141304759033769E-2</v>
      </c>
      <c r="Z153" s="3">
        <f t="shared" si="83"/>
        <v>2.4141303856174412E-2</v>
      </c>
      <c r="AA153" s="3">
        <f t="shared" ref="AA153" si="84">$C39*EXP(-AA$129/$A39/EXP(-$B$126))</f>
        <v>2.4141294827582694E-2</v>
      </c>
      <c r="AB153" s="3">
        <f t="shared" si="67"/>
        <v>2.4141204541851223E-2</v>
      </c>
      <c r="AC153" s="3">
        <f t="shared" si="67"/>
        <v>2.4140301703107523E-2</v>
      </c>
      <c r="AD153" s="3">
        <f t="shared" si="67"/>
        <v>2.4131275172514465E-2</v>
      </c>
      <c r="AE153" s="3">
        <f t="shared" si="67"/>
        <v>2.4041195294291922E-2</v>
      </c>
      <c r="AF153" s="3">
        <f t="shared" si="67"/>
        <v>2.3158685241826939E-2</v>
      </c>
    </row>
    <row r="154" spans="1:32" x14ac:dyDescent="0.25">
      <c r="B154" s="3">
        <f t="shared" ref="B154:Z154" si="85">$C40*EXP(-B$129/$A40/EXP(-$B$126))</f>
        <v>1.2214190227025473E-2</v>
      </c>
      <c r="C154" s="3">
        <f t="shared" si="85"/>
        <v>1.2214190227025473E-2</v>
      </c>
      <c r="D154" s="3">
        <f t="shared" si="85"/>
        <v>1.2214190227025473E-2</v>
      </c>
      <c r="E154" s="3">
        <f t="shared" si="85"/>
        <v>1.2214190227025473E-2</v>
      </c>
      <c r="F154" s="3">
        <f t="shared" si="85"/>
        <v>1.2214190227025473E-2</v>
      </c>
      <c r="G154" s="3">
        <f t="shared" si="85"/>
        <v>1.2214190227025473E-2</v>
      </c>
      <c r="H154" s="3">
        <f t="shared" si="85"/>
        <v>1.2214190227025473E-2</v>
      </c>
      <c r="I154" s="3">
        <f t="shared" si="85"/>
        <v>1.2214190227025473E-2</v>
      </c>
      <c r="J154" s="3">
        <f t="shared" si="85"/>
        <v>1.2214190227025473E-2</v>
      </c>
      <c r="K154" s="3">
        <f t="shared" si="85"/>
        <v>1.2214190227025473E-2</v>
      </c>
      <c r="L154" s="3">
        <f t="shared" si="85"/>
        <v>1.2214190227025473E-2</v>
      </c>
      <c r="M154" s="3">
        <f t="shared" si="85"/>
        <v>1.2214190227025473E-2</v>
      </c>
      <c r="N154" s="3">
        <f t="shared" si="85"/>
        <v>1.2214190227025473E-2</v>
      </c>
      <c r="O154" s="3">
        <f t="shared" si="85"/>
        <v>1.2214190227025473E-2</v>
      </c>
      <c r="P154" s="3">
        <f t="shared" si="85"/>
        <v>1.2214190227025473E-2</v>
      </c>
      <c r="Q154" s="3">
        <f t="shared" si="85"/>
        <v>1.2214190227025473E-2</v>
      </c>
      <c r="R154" s="3">
        <f t="shared" si="85"/>
        <v>1.2214190227025473E-2</v>
      </c>
      <c r="S154" s="3">
        <f t="shared" si="85"/>
        <v>1.2214190227025468E-2</v>
      </c>
      <c r="T154" s="3">
        <f t="shared" si="85"/>
        <v>1.2214190227025423E-2</v>
      </c>
      <c r="U154" s="3">
        <f t="shared" si="85"/>
        <v>1.2214190227024966E-2</v>
      </c>
      <c r="V154" s="3">
        <f t="shared" si="85"/>
        <v>1.2214190227020397E-2</v>
      </c>
      <c r="W154" s="3">
        <f t="shared" si="85"/>
        <v>1.2214190226974717E-2</v>
      </c>
      <c r="X154" s="3">
        <f t="shared" si="85"/>
        <v>1.2214190226517919E-2</v>
      </c>
      <c r="Y154" s="3">
        <f t="shared" si="85"/>
        <v>1.2214190221949941E-2</v>
      </c>
      <c r="Z154" s="3">
        <f t="shared" si="85"/>
        <v>1.2214190176270156E-2</v>
      </c>
      <c r="AA154" s="3">
        <f t="shared" ref="AA154:AF154" si="86">$C40*EXP(-AA$129/$A40/EXP(-$B$126))</f>
        <v>1.2214189719472315E-2</v>
      </c>
      <c r="AB154" s="3">
        <f t="shared" si="86"/>
        <v>1.2214185151494843E-2</v>
      </c>
      <c r="AC154" s="3">
        <f t="shared" si="86"/>
        <v>1.2214139471814088E-2</v>
      </c>
      <c r="AD154" s="3">
        <f t="shared" si="86"/>
        <v>1.2213682684402467E-2</v>
      </c>
      <c r="AE154" s="3">
        <f t="shared" si="86"/>
        <v>1.220911574974852E-2</v>
      </c>
      <c r="AF154" s="3">
        <f t="shared" si="86"/>
        <v>1.2163540219567051E-2</v>
      </c>
    </row>
    <row r="155" spans="1:32" x14ac:dyDescent="0.25">
      <c r="B155" s="3">
        <f t="shared" ref="B155:Z155" si="87">$C41*EXP(-B$129/$A41/EXP(-$B$126))</f>
        <v>8.0564872453676788E-4</v>
      </c>
      <c r="C155" s="3">
        <f t="shared" si="87"/>
        <v>8.0564872453676788E-4</v>
      </c>
      <c r="D155" s="3">
        <f t="shared" si="87"/>
        <v>8.0564872453676788E-4</v>
      </c>
      <c r="E155" s="3">
        <f t="shared" si="87"/>
        <v>8.0564872453676788E-4</v>
      </c>
      <c r="F155" s="3">
        <f t="shared" si="87"/>
        <v>8.0564872453676788E-4</v>
      </c>
      <c r="G155" s="3">
        <f t="shared" si="87"/>
        <v>8.0564872453676788E-4</v>
      </c>
      <c r="H155" s="3">
        <f t="shared" si="87"/>
        <v>8.0564872453676788E-4</v>
      </c>
      <c r="I155" s="3">
        <f t="shared" si="87"/>
        <v>8.0564872453676788E-4</v>
      </c>
      <c r="J155" s="3">
        <f t="shared" si="87"/>
        <v>8.0564872453676788E-4</v>
      </c>
      <c r="K155" s="3">
        <f t="shared" si="87"/>
        <v>8.0564872453676788E-4</v>
      </c>
      <c r="L155" s="3">
        <f t="shared" si="87"/>
        <v>8.0564872453676788E-4</v>
      </c>
      <c r="M155" s="3">
        <f t="shared" si="87"/>
        <v>8.0564872453676788E-4</v>
      </c>
      <c r="N155" s="3">
        <f t="shared" si="87"/>
        <v>8.0564872453676788E-4</v>
      </c>
      <c r="O155" s="3">
        <f t="shared" si="87"/>
        <v>8.0564872453676788E-4</v>
      </c>
      <c r="P155" s="3">
        <f t="shared" si="87"/>
        <v>8.0564872453676788E-4</v>
      </c>
      <c r="Q155" s="3">
        <f t="shared" si="87"/>
        <v>8.0564872453676788E-4</v>
      </c>
      <c r="R155" s="3">
        <f t="shared" si="87"/>
        <v>8.0564872453676788E-4</v>
      </c>
      <c r="S155" s="3">
        <f t="shared" si="87"/>
        <v>8.0564872453676788E-4</v>
      </c>
      <c r="T155" s="3">
        <f t="shared" si="87"/>
        <v>8.0564872453676756E-4</v>
      </c>
      <c r="U155" s="3">
        <f t="shared" si="87"/>
        <v>8.0564872453676452E-4</v>
      </c>
      <c r="V155" s="3">
        <f t="shared" si="87"/>
        <v>8.0564872453673438E-4</v>
      </c>
      <c r="W155" s="3">
        <f t="shared" si="87"/>
        <v>8.0564872453643308E-4</v>
      </c>
      <c r="X155" s="3">
        <f t="shared" si="87"/>
        <v>8.0564872453342009E-4</v>
      </c>
      <c r="Y155" s="3">
        <f t="shared" si="87"/>
        <v>8.0564872450328956E-4</v>
      </c>
      <c r="Z155" s="3">
        <f t="shared" si="87"/>
        <v>8.0564872420198555E-4</v>
      </c>
      <c r="AA155" s="3">
        <f t="shared" ref="AA155:AF155" si="88">$C41*EXP(-AA$129/$A41/EXP(-$B$126))</f>
        <v>8.0564872118894413E-4</v>
      </c>
      <c r="AB155" s="3">
        <f t="shared" si="88"/>
        <v>8.0564869105853088E-4</v>
      </c>
      <c r="AC155" s="3">
        <f t="shared" si="88"/>
        <v>8.056483897544613E-4</v>
      </c>
      <c r="AD155" s="3">
        <f t="shared" si="88"/>
        <v>8.0564537671996177E-4</v>
      </c>
      <c r="AE155" s="3">
        <f t="shared" si="88"/>
        <v>8.0561524699472272E-4</v>
      </c>
      <c r="AF155" s="3">
        <f t="shared" si="88"/>
        <v>8.0531401170932048E-4</v>
      </c>
    </row>
    <row r="156" spans="1:32" x14ac:dyDescent="0.25">
      <c r="B156" s="3">
        <f t="shared" ref="B156:Z156" si="89">$C42*EXP(-B$129/$A42/EXP(-$B$126))</f>
        <v>2.8733708973087426E-3</v>
      </c>
      <c r="C156" s="3">
        <f t="shared" si="89"/>
        <v>2.8733708973087426E-3</v>
      </c>
      <c r="D156" s="3">
        <f t="shared" si="89"/>
        <v>2.8733708973087426E-3</v>
      </c>
      <c r="E156" s="3">
        <f t="shared" si="89"/>
        <v>2.8733708973087426E-3</v>
      </c>
      <c r="F156" s="3">
        <f t="shared" si="89"/>
        <v>2.8733708973087426E-3</v>
      </c>
      <c r="G156" s="3">
        <f t="shared" si="89"/>
        <v>2.8733708973087426E-3</v>
      </c>
      <c r="H156" s="3">
        <f t="shared" si="89"/>
        <v>2.8733708973087426E-3</v>
      </c>
      <c r="I156" s="3">
        <f t="shared" si="89"/>
        <v>2.8733708973087426E-3</v>
      </c>
      <c r="J156" s="3">
        <f t="shared" si="89"/>
        <v>2.8733708973087426E-3</v>
      </c>
      <c r="K156" s="3">
        <f t="shared" si="89"/>
        <v>2.8733708973087426E-3</v>
      </c>
      <c r="L156" s="3">
        <f t="shared" si="89"/>
        <v>2.8733708973087426E-3</v>
      </c>
      <c r="M156" s="3">
        <f t="shared" si="89"/>
        <v>2.8733708973087426E-3</v>
      </c>
      <c r="N156" s="3">
        <f t="shared" si="89"/>
        <v>2.8733708973087426E-3</v>
      </c>
      <c r="O156" s="3">
        <f t="shared" si="89"/>
        <v>2.8733708973087426E-3</v>
      </c>
      <c r="P156" s="3">
        <f t="shared" si="89"/>
        <v>2.8733708973087426E-3</v>
      </c>
      <c r="Q156" s="3">
        <f t="shared" si="89"/>
        <v>2.8733708973087426E-3</v>
      </c>
      <c r="R156" s="3">
        <f t="shared" si="89"/>
        <v>2.8733708973087426E-3</v>
      </c>
      <c r="S156" s="3">
        <f t="shared" si="89"/>
        <v>2.8733708973087426E-3</v>
      </c>
      <c r="T156" s="3">
        <f t="shared" si="89"/>
        <v>2.8733708973087426E-3</v>
      </c>
      <c r="U156" s="3">
        <f t="shared" si="89"/>
        <v>2.8733708973087413E-3</v>
      </c>
      <c r="V156" s="3">
        <f t="shared" si="89"/>
        <v>2.8733708973087309E-3</v>
      </c>
      <c r="W156" s="3">
        <f t="shared" si="89"/>
        <v>2.8733708973086233E-3</v>
      </c>
      <c r="X156" s="3">
        <f t="shared" si="89"/>
        <v>2.8733708973075487E-3</v>
      </c>
      <c r="Y156" s="3">
        <f t="shared" si="89"/>
        <v>2.8733708972968025E-3</v>
      </c>
      <c r="Z156" s="3">
        <f t="shared" si="89"/>
        <v>2.8733708971893411E-3</v>
      </c>
      <c r="AA156" s="3">
        <f t="shared" ref="AA156:AF156" si="90">$C42*EXP(-AA$129/$A42/EXP(-$B$126))</f>
        <v>2.8733708961147311E-3</v>
      </c>
      <c r="AB156" s="3">
        <f t="shared" si="90"/>
        <v>2.8733708853686266E-3</v>
      </c>
      <c r="AC156" s="3">
        <f t="shared" si="90"/>
        <v>2.8733707779075831E-3</v>
      </c>
      <c r="AD156" s="3">
        <f t="shared" si="90"/>
        <v>2.8733697032973732E-3</v>
      </c>
      <c r="AE156" s="3">
        <f t="shared" si="90"/>
        <v>2.873358957217376E-3</v>
      </c>
      <c r="AF156" s="3">
        <f t="shared" si="90"/>
        <v>2.8732514986277834E-3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1.6248048079890072E-4</v>
      </c>
      <c r="C158" s="3">
        <f t="shared" si="93"/>
        <v>1.6248048079890072E-4</v>
      </c>
      <c r="D158" s="3">
        <f t="shared" si="93"/>
        <v>1.6248048079890072E-4</v>
      </c>
      <c r="E158" s="3">
        <f t="shared" si="93"/>
        <v>1.6248048079890072E-4</v>
      </c>
      <c r="F158" s="3">
        <f t="shared" si="93"/>
        <v>1.6248048079890072E-4</v>
      </c>
      <c r="G158" s="3">
        <f t="shared" si="93"/>
        <v>1.6248048079890072E-4</v>
      </c>
      <c r="H158" s="3">
        <f t="shared" si="93"/>
        <v>1.6248048079890072E-4</v>
      </c>
      <c r="I158" s="3">
        <f t="shared" si="93"/>
        <v>1.6248048079890072E-4</v>
      </c>
      <c r="J158" s="3">
        <f t="shared" si="93"/>
        <v>1.6248048079890072E-4</v>
      </c>
      <c r="K158" s="3">
        <f t="shared" si="93"/>
        <v>1.6248048079890072E-4</v>
      </c>
      <c r="L158" s="3">
        <f t="shared" si="93"/>
        <v>1.6248048079890072E-4</v>
      </c>
      <c r="M158" s="3">
        <f t="shared" si="93"/>
        <v>1.6248048079890072E-4</v>
      </c>
      <c r="N158" s="3">
        <f t="shared" si="93"/>
        <v>1.6248048079890072E-4</v>
      </c>
      <c r="O158" s="3">
        <f t="shared" si="93"/>
        <v>1.6248048079890072E-4</v>
      </c>
      <c r="P158" s="3">
        <f t="shared" si="93"/>
        <v>1.6248048079890072E-4</v>
      </c>
      <c r="Q158" s="3">
        <f t="shared" si="93"/>
        <v>1.6248048079890072E-4</v>
      </c>
      <c r="R158" s="3">
        <f t="shared" si="93"/>
        <v>1.6248048079890072E-4</v>
      </c>
      <c r="S158" s="3">
        <f t="shared" si="93"/>
        <v>1.6248048079890072E-4</v>
      </c>
      <c r="T158" s="3">
        <f t="shared" si="93"/>
        <v>1.6248048079890072E-4</v>
      </c>
      <c r="U158" s="3">
        <f t="shared" si="93"/>
        <v>1.6248048079890072E-4</v>
      </c>
      <c r="V158" s="3">
        <f t="shared" si="93"/>
        <v>1.6248048079890072E-4</v>
      </c>
      <c r="W158" s="3">
        <f t="shared" si="93"/>
        <v>1.6248048079890064E-4</v>
      </c>
      <c r="X158" s="3">
        <f t="shared" si="93"/>
        <v>1.6248048079890005E-4</v>
      </c>
      <c r="Y158" s="3">
        <f t="shared" si="93"/>
        <v>1.6248048079889397E-4</v>
      </c>
      <c r="Z158" s="3">
        <f t="shared" si="93"/>
        <v>1.624804807988332E-4</v>
      </c>
      <c r="AA158" s="3">
        <f t="shared" ref="AA158:AF158" si="94">$C44*EXP(-AA$129/$A44/EXP(-$B$126))</f>
        <v>1.6248048079822554E-4</v>
      </c>
      <c r="AB158" s="3">
        <f t="shared" si="94"/>
        <v>1.6248048079214894E-4</v>
      </c>
      <c r="AC158" s="3">
        <f t="shared" si="94"/>
        <v>1.6248048073138295E-4</v>
      </c>
      <c r="AD158" s="3">
        <f t="shared" si="94"/>
        <v>1.6248048012372306E-4</v>
      </c>
      <c r="AE158" s="3">
        <f t="shared" si="94"/>
        <v>1.6248047404712434E-4</v>
      </c>
      <c r="AF158" s="3">
        <f t="shared" si="94"/>
        <v>1.6248041328114951E-4</v>
      </c>
    </row>
    <row r="159" spans="1:32" x14ac:dyDescent="0.25">
      <c r="A159" s="11" t="s">
        <v>75</v>
      </c>
      <c r="B159" s="3">
        <f t="shared" ref="B159:Z159" si="95">$C45*EXP(-B$129/$A45/EXP(-$B$126))</f>
        <v>1.2901117231804357E-4</v>
      </c>
      <c r="C159" s="3">
        <f t="shared" si="95"/>
        <v>1.2901117231804357E-4</v>
      </c>
      <c r="D159" s="3">
        <f t="shared" si="95"/>
        <v>1.2901117231804357E-4</v>
      </c>
      <c r="E159" s="3">
        <f t="shared" si="95"/>
        <v>1.2901117231804357E-4</v>
      </c>
      <c r="F159" s="3">
        <f t="shared" si="95"/>
        <v>1.2901117231804357E-4</v>
      </c>
      <c r="G159" s="3">
        <f t="shared" si="95"/>
        <v>1.2901117231804357E-4</v>
      </c>
      <c r="H159" s="3">
        <f t="shared" si="95"/>
        <v>1.2901117231804357E-4</v>
      </c>
      <c r="I159" s="3">
        <f t="shared" si="95"/>
        <v>1.2901117231804357E-4</v>
      </c>
      <c r="J159" s="3">
        <f t="shared" si="95"/>
        <v>1.2901117231804357E-4</v>
      </c>
      <c r="K159" s="3">
        <f t="shared" si="95"/>
        <v>1.2901117231804357E-4</v>
      </c>
      <c r="L159" s="3">
        <f t="shared" si="95"/>
        <v>1.2901117231804357E-4</v>
      </c>
      <c r="M159" s="3">
        <f t="shared" si="95"/>
        <v>1.2901117231804357E-4</v>
      </c>
      <c r="N159" s="3">
        <f t="shared" si="95"/>
        <v>1.2901117231804357E-4</v>
      </c>
      <c r="O159" s="3">
        <f t="shared" si="95"/>
        <v>1.2901117231804357E-4</v>
      </c>
      <c r="P159" s="3">
        <f t="shared" si="95"/>
        <v>1.2901117231804357E-4</v>
      </c>
      <c r="Q159" s="3">
        <f t="shared" si="95"/>
        <v>1.2901117231804357E-4</v>
      </c>
      <c r="R159" s="3">
        <f t="shared" si="95"/>
        <v>1.2901117231804357E-4</v>
      </c>
      <c r="S159" s="3">
        <f t="shared" si="95"/>
        <v>1.2901117231804357E-4</v>
      </c>
      <c r="T159" s="3">
        <f t="shared" si="95"/>
        <v>1.2901117231804357E-4</v>
      </c>
      <c r="U159" s="3">
        <f t="shared" si="95"/>
        <v>1.2901117231804357E-4</v>
      </c>
      <c r="V159" s="3">
        <f t="shared" si="95"/>
        <v>1.2901117231804357E-4</v>
      </c>
      <c r="W159" s="3">
        <f t="shared" si="95"/>
        <v>1.2901117231804357E-4</v>
      </c>
      <c r="X159" s="3">
        <f t="shared" si="95"/>
        <v>1.2901117231804352E-4</v>
      </c>
      <c r="Y159" s="3">
        <f t="shared" si="95"/>
        <v>1.2901117231804303E-4</v>
      </c>
      <c r="Z159" s="3">
        <f t="shared" si="95"/>
        <v>1.290111723180382E-4</v>
      </c>
      <c r="AA159" s="3">
        <f t="shared" ref="AA159:AF159" si="96">$C45*EXP(-AA$129/$A45/EXP(-$B$126))</f>
        <v>1.2901117231798996E-4</v>
      </c>
      <c r="AB159" s="3">
        <f t="shared" si="96"/>
        <v>1.2901117231750746E-4</v>
      </c>
      <c r="AC159" s="3">
        <f t="shared" si="96"/>
        <v>1.290111723126826E-4</v>
      </c>
      <c r="AD159" s="3">
        <f t="shared" si="96"/>
        <v>1.2901117226443379E-4</v>
      </c>
      <c r="AE159" s="3">
        <f t="shared" si="96"/>
        <v>1.2901117178194558E-4</v>
      </c>
      <c r="AF159" s="3">
        <f t="shared" si="96"/>
        <v>1.2901116695706371E-4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7.3508598139721321E-5</v>
      </c>
      <c r="C161" s="3">
        <f t="shared" si="99"/>
        <v>7.3508598139721321E-5</v>
      </c>
      <c r="D161" s="3">
        <f t="shared" si="99"/>
        <v>7.3508598139721321E-5</v>
      </c>
      <c r="E161" s="3">
        <f t="shared" si="99"/>
        <v>7.3508598139721321E-5</v>
      </c>
      <c r="F161" s="3">
        <f t="shared" si="99"/>
        <v>7.3508598139721321E-5</v>
      </c>
      <c r="G161" s="3">
        <f t="shared" si="99"/>
        <v>7.3508598139721321E-5</v>
      </c>
      <c r="H161" s="3">
        <f t="shared" si="99"/>
        <v>7.3508598139721321E-5</v>
      </c>
      <c r="I161" s="3">
        <f t="shared" si="99"/>
        <v>7.3508598139721321E-5</v>
      </c>
      <c r="J161" s="3">
        <f t="shared" si="99"/>
        <v>7.3508598139721321E-5</v>
      </c>
      <c r="K161" s="3">
        <f t="shared" si="99"/>
        <v>7.3508598139721321E-5</v>
      </c>
      <c r="L161" s="3">
        <f t="shared" si="99"/>
        <v>7.3508598139721321E-5</v>
      </c>
      <c r="M161" s="3">
        <f t="shared" si="99"/>
        <v>7.3508598139721321E-5</v>
      </c>
      <c r="N161" s="3">
        <f t="shared" si="99"/>
        <v>7.3508598139721321E-5</v>
      </c>
      <c r="O161" s="3">
        <f t="shared" si="99"/>
        <v>7.3508598139721321E-5</v>
      </c>
      <c r="P161" s="3">
        <f t="shared" si="99"/>
        <v>7.3508598139721321E-5</v>
      </c>
      <c r="Q161" s="3">
        <f t="shared" si="99"/>
        <v>7.3508598139721321E-5</v>
      </c>
      <c r="R161" s="3">
        <f t="shared" si="99"/>
        <v>7.3508598139721321E-5</v>
      </c>
      <c r="S161" s="3">
        <f t="shared" si="99"/>
        <v>7.3508598139721321E-5</v>
      </c>
      <c r="T161" s="3">
        <f t="shared" si="99"/>
        <v>7.3508598139721321E-5</v>
      </c>
      <c r="U161" s="3">
        <f t="shared" si="99"/>
        <v>7.3508598139721321E-5</v>
      </c>
      <c r="V161" s="3">
        <f t="shared" si="99"/>
        <v>7.3508598139721321E-5</v>
      </c>
      <c r="W161" s="3">
        <f t="shared" si="99"/>
        <v>7.3508598139721321E-5</v>
      </c>
      <c r="X161" s="3">
        <f t="shared" si="99"/>
        <v>7.3508598139721321E-5</v>
      </c>
      <c r="Y161" s="3">
        <f t="shared" si="99"/>
        <v>7.3508598139721321E-5</v>
      </c>
      <c r="Z161" s="3">
        <f t="shared" si="99"/>
        <v>7.3508598139721294E-5</v>
      </c>
      <c r="AA161" s="3">
        <f t="shared" ref="AA161:AF161" si="100">$C47*EXP(-AA$129/$A47/EXP(-$B$126))</f>
        <v>7.3508598139721023E-5</v>
      </c>
      <c r="AB161" s="3">
        <f t="shared" si="100"/>
        <v>7.3508598139718272E-5</v>
      </c>
      <c r="AC161" s="3">
        <f t="shared" si="100"/>
        <v>7.3508598139690774E-5</v>
      </c>
      <c r="AD161" s="3">
        <f t="shared" si="100"/>
        <v>7.3508598139415861E-5</v>
      </c>
      <c r="AE161" s="3">
        <f t="shared" si="100"/>
        <v>7.3508598136666717E-5</v>
      </c>
      <c r="AF161" s="3">
        <f t="shared" si="100"/>
        <v>7.350859810917528E-5</v>
      </c>
    </row>
    <row r="162" spans="1:34" x14ac:dyDescent="0.25">
      <c r="B162" s="3">
        <f t="shared" ref="B162:Z162" si="101">$C48*EXP(-B$129/$A48/EXP(-$B$126))</f>
        <v>6.9573660063357843E-4</v>
      </c>
      <c r="C162" s="3">
        <f t="shared" si="101"/>
        <v>6.9573660063357843E-4</v>
      </c>
      <c r="D162" s="3">
        <f t="shared" si="101"/>
        <v>6.9573660063357843E-4</v>
      </c>
      <c r="E162" s="3">
        <f t="shared" si="101"/>
        <v>6.9573660063357843E-4</v>
      </c>
      <c r="F162" s="3">
        <f t="shared" si="101"/>
        <v>6.9573660063357843E-4</v>
      </c>
      <c r="G162" s="3">
        <f t="shared" si="101"/>
        <v>6.9573660063357843E-4</v>
      </c>
      <c r="H162" s="3">
        <f t="shared" si="101"/>
        <v>6.9573660063357843E-4</v>
      </c>
      <c r="I162" s="3">
        <f t="shared" si="101"/>
        <v>6.9573660063357843E-4</v>
      </c>
      <c r="J162" s="3">
        <f t="shared" si="101"/>
        <v>6.9573660063357843E-4</v>
      </c>
      <c r="K162" s="3">
        <f t="shared" si="101"/>
        <v>6.9573660063357843E-4</v>
      </c>
      <c r="L162" s="3">
        <f t="shared" si="101"/>
        <v>6.9573660063357843E-4</v>
      </c>
      <c r="M162" s="3">
        <f t="shared" si="101"/>
        <v>6.9573660063357843E-4</v>
      </c>
      <c r="N162" s="3">
        <f t="shared" si="101"/>
        <v>6.9573660063357843E-4</v>
      </c>
      <c r="O162" s="3">
        <f t="shared" si="101"/>
        <v>6.9573660063357843E-4</v>
      </c>
      <c r="P162" s="3">
        <f t="shared" si="101"/>
        <v>6.9573660063357843E-4</v>
      </c>
      <c r="Q162" s="3">
        <f t="shared" si="101"/>
        <v>6.9573660063357843E-4</v>
      </c>
      <c r="R162" s="3">
        <f t="shared" si="101"/>
        <v>6.9573660063357843E-4</v>
      </c>
      <c r="S162" s="3">
        <f t="shared" si="101"/>
        <v>6.9573660063357843E-4</v>
      </c>
      <c r="T162" s="3">
        <f t="shared" si="101"/>
        <v>6.9573660063357843E-4</v>
      </c>
      <c r="U162" s="3">
        <f t="shared" si="101"/>
        <v>6.9573660063357843E-4</v>
      </c>
      <c r="V162" s="3">
        <f t="shared" si="101"/>
        <v>6.9573660063357843E-4</v>
      </c>
      <c r="W162" s="3">
        <f t="shared" si="101"/>
        <v>6.9573660063357843E-4</v>
      </c>
      <c r="X162" s="3">
        <f t="shared" si="101"/>
        <v>6.9573660063357843E-4</v>
      </c>
      <c r="Y162" s="3">
        <f t="shared" si="101"/>
        <v>6.9573660063357843E-4</v>
      </c>
      <c r="Z162" s="3">
        <f t="shared" si="101"/>
        <v>6.9573660063357843E-4</v>
      </c>
      <c r="AA162" s="3">
        <f t="shared" ref="AA162:AF162" si="102">$C48*EXP(-AA$129/$A48/EXP(-$B$126))</f>
        <v>6.9573660063357811E-4</v>
      </c>
      <c r="AB162" s="3">
        <f t="shared" si="102"/>
        <v>6.9573660063357561E-4</v>
      </c>
      <c r="AC162" s="3">
        <f t="shared" si="102"/>
        <v>6.9573660063354959E-4</v>
      </c>
      <c r="AD162" s="3">
        <f t="shared" si="102"/>
        <v>6.9573660063328927E-4</v>
      </c>
      <c r="AE162" s="3">
        <f t="shared" si="102"/>
        <v>6.957366006306873E-4</v>
      </c>
      <c r="AF162" s="3">
        <f t="shared" si="102"/>
        <v>6.9573660060466753E-4</v>
      </c>
    </row>
    <row r="163" spans="1:34" x14ac:dyDescent="0.25">
      <c r="A163" s="79">
        <f>AVERAGE(B163:AF163)</f>
        <v>0.10784087252767589</v>
      </c>
      <c r="B163" s="80">
        <f>IF($A$64&lt;=B129,IF($B$64&gt;=B129,ABS((B131-B130)/B130),0),0)</f>
        <v>1.4614986140633082E-2</v>
      </c>
      <c r="C163" s="80">
        <f t="shared" ref="C163:AF163" si="103">IF($A$64&lt;=C129,IF($B$64&gt;=C129,ABS((C131-C130)/C130),0),0)</f>
        <v>1.4630049050735044E-2</v>
      </c>
      <c r="D163" s="80">
        <f t="shared" si="103"/>
        <v>1.4673595930861693E-2</v>
      </c>
      <c r="E163" s="80">
        <f t="shared" si="103"/>
        <v>1.5150487646494236E-2</v>
      </c>
      <c r="F163" s="80">
        <f t="shared" si="103"/>
        <v>1.9065995406199507E-2</v>
      </c>
      <c r="G163" s="80">
        <f t="shared" si="103"/>
        <v>2.7495191900805079E-2</v>
      </c>
      <c r="H163" s="80">
        <f t="shared" si="103"/>
        <v>2.7700284014714409E-2</v>
      </c>
      <c r="I163" s="80">
        <f t="shared" si="103"/>
        <v>2.7700276176525353E-2</v>
      </c>
      <c r="J163" s="80">
        <f t="shared" si="103"/>
        <v>2.7700272197890837E-2</v>
      </c>
      <c r="K163" s="80">
        <f t="shared" si="103"/>
        <v>2.7700315081719315E-2</v>
      </c>
      <c r="L163" s="80">
        <f t="shared" si="103"/>
        <v>2.7700743909014464E-2</v>
      </c>
      <c r="M163" s="80">
        <f t="shared" si="103"/>
        <v>2.7705014549363003E-2</v>
      </c>
      <c r="N163" s="80">
        <f t="shared" si="103"/>
        <v>2.7747685770823857E-2</v>
      </c>
      <c r="O163" s="80">
        <f t="shared" si="103"/>
        <v>2.8163657867160411E-2</v>
      </c>
      <c r="P163" s="80">
        <f t="shared" si="103"/>
        <v>3.1477195474012183E-2</v>
      </c>
      <c r="Q163" s="80">
        <f t="shared" si="103"/>
        <v>4.4388423538212721E-2</v>
      </c>
      <c r="R163" s="80">
        <f t="shared" si="103"/>
        <v>6.3982739523569573E-2</v>
      </c>
      <c r="S163" s="80">
        <f t="shared" si="103"/>
        <v>7.76740440018686E-2</v>
      </c>
      <c r="T163" s="80">
        <f t="shared" si="103"/>
        <v>8.5788317093115088E-2</v>
      </c>
      <c r="U163" s="80">
        <f t="shared" si="103"/>
        <v>9.4394824919172254E-2</v>
      </c>
      <c r="V163" s="80">
        <f t="shared" si="103"/>
        <v>8.6783334037312893E-2</v>
      </c>
      <c r="W163" s="80">
        <f t="shared" si="103"/>
        <v>3.3297610751370187E-2</v>
      </c>
      <c r="X163" s="80">
        <f t="shared" si="103"/>
        <v>8.6742149499453552E-2</v>
      </c>
      <c r="Y163" s="80">
        <f t="shared" si="103"/>
        <v>0.21858759555747179</v>
      </c>
      <c r="Z163" s="80">
        <f t="shared" si="103"/>
        <v>0.32154006029853899</v>
      </c>
      <c r="AA163" s="80">
        <f t="shared" si="103"/>
        <v>0.36455091641329052</v>
      </c>
      <c r="AB163" s="80">
        <f t="shared" si="103"/>
        <v>0.25135900508070069</v>
      </c>
      <c r="AC163" s="80">
        <f t="shared" si="103"/>
        <v>2.8336053126171407E-2</v>
      </c>
      <c r="AD163" s="80">
        <f t="shared" si="103"/>
        <v>0.20649916543088476</v>
      </c>
      <c r="AE163" s="80">
        <f t="shared" si="103"/>
        <v>0.42400572359139654</v>
      </c>
      <c r="AF163" s="80">
        <f t="shared" si="103"/>
        <v>0.59591133437847055</v>
      </c>
    </row>
    <row r="164" spans="1:34" x14ac:dyDescent="0.25">
      <c r="B164" s="21">
        <f>(B131-B130)^2</f>
        <v>11822.486628951243</v>
      </c>
      <c r="C164" s="21">
        <f t="shared" ref="C164:AF164" si="104">(C131-C130)^2</f>
        <v>11847.113409989828</v>
      </c>
      <c r="D164" s="21">
        <f t="shared" si="104"/>
        <v>11917.617637378147</v>
      </c>
      <c r="E164" s="21">
        <f t="shared" si="104"/>
        <v>12704.815296604012</v>
      </c>
      <c r="F164" s="21">
        <f t="shared" si="104"/>
        <v>20120.267294927315</v>
      </c>
      <c r="G164" s="21">
        <f t="shared" si="104"/>
        <v>41843.516712696262</v>
      </c>
      <c r="H164" s="21">
        <f t="shared" si="104"/>
        <v>42470.080236847527</v>
      </c>
      <c r="I164" s="21">
        <f t="shared" si="104"/>
        <v>42470.055479617629</v>
      </c>
      <c r="J164" s="21">
        <f t="shared" si="104"/>
        <v>42470.042557328467</v>
      </c>
      <c r="K164" s="21">
        <f t="shared" si="104"/>
        <v>42470.174056356154</v>
      </c>
      <c r="L164" s="21">
        <f t="shared" si="104"/>
        <v>42471.489024130613</v>
      </c>
      <c r="M164" s="21">
        <f t="shared" si="104"/>
        <v>42484.584298720976</v>
      </c>
      <c r="N164" s="21">
        <f t="shared" si="104"/>
        <v>42615.546494458067</v>
      </c>
      <c r="O164" s="21">
        <f t="shared" si="104"/>
        <v>43902.756588850942</v>
      </c>
      <c r="P164" s="21">
        <f t="shared" si="104"/>
        <v>54839.964548823482</v>
      </c>
      <c r="Q164" s="21">
        <f t="shared" si="104"/>
        <v>109033.28305939246</v>
      </c>
      <c r="R164" s="21">
        <f t="shared" si="104"/>
        <v>226104.6608519369</v>
      </c>
      <c r="S164" s="21">
        <f t="shared" si="104"/>
        <v>328081.02761944191</v>
      </c>
      <c r="T164" s="21">
        <f t="shared" si="104"/>
        <v>384615.4464810873</v>
      </c>
      <c r="U164" s="21">
        <f t="shared" si="104"/>
        <v>444754.95107452653</v>
      </c>
      <c r="V164" s="21">
        <f t="shared" si="104"/>
        <v>344499.66778681043</v>
      </c>
      <c r="W164" s="21">
        <f t="shared" si="104"/>
        <v>40935.581315789226</v>
      </c>
      <c r="X164" s="21">
        <f t="shared" si="104"/>
        <v>199791.05931945794</v>
      </c>
      <c r="Y164" s="21">
        <f t="shared" si="104"/>
        <v>903901.85837284441</v>
      </c>
      <c r="Z164" s="21">
        <f t="shared" si="104"/>
        <v>1461923.8042686172</v>
      </c>
      <c r="AA164" s="21">
        <f t="shared" si="104"/>
        <v>1479385.1372021933</v>
      </c>
      <c r="AB164" s="21">
        <f t="shared" si="104"/>
        <v>566851.20603838703</v>
      </c>
      <c r="AC164" s="21">
        <f t="shared" si="104"/>
        <v>5857.0509550936831</v>
      </c>
      <c r="AD164" s="21">
        <f t="shared" si="104"/>
        <v>241723.88296717245</v>
      </c>
      <c r="AE164" s="21">
        <f t="shared" si="104"/>
        <v>728090.30452703475</v>
      </c>
      <c r="AF164" s="21">
        <f t="shared" si="104"/>
        <v>904647.01301996328</v>
      </c>
    </row>
    <row r="165" spans="1:34" x14ac:dyDescent="0.25">
      <c r="A165" s="71">
        <f>SUM(B165:AF165)</f>
        <v>8876646.445125429</v>
      </c>
      <c r="B165" s="60">
        <f>IF($A$64&lt;=B129,IF($B$64&gt;=B129,ABS(B164),0),0)</f>
        <v>11822.486628951243</v>
      </c>
      <c r="C165" s="60">
        <f t="shared" ref="C165:AF165" si="105">IF($A$64&lt;=C129,IF($B$64&gt;=C129,ABS(C164),0),0)</f>
        <v>11847.113409989828</v>
      </c>
      <c r="D165" s="60">
        <f t="shared" si="105"/>
        <v>11917.617637378147</v>
      </c>
      <c r="E165" s="60">
        <f t="shared" si="105"/>
        <v>12704.815296604012</v>
      </c>
      <c r="F165" s="60">
        <f t="shared" si="105"/>
        <v>20120.267294927315</v>
      </c>
      <c r="G165" s="60">
        <f t="shared" si="105"/>
        <v>41843.516712696262</v>
      </c>
      <c r="H165" s="60">
        <f t="shared" si="105"/>
        <v>42470.080236847527</v>
      </c>
      <c r="I165" s="60">
        <f t="shared" si="105"/>
        <v>42470.055479617629</v>
      </c>
      <c r="J165" s="60">
        <f t="shared" si="105"/>
        <v>42470.042557328467</v>
      </c>
      <c r="K165" s="60">
        <f t="shared" si="105"/>
        <v>42470.174056356154</v>
      </c>
      <c r="L165" s="60">
        <f t="shared" si="105"/>
        <v>42471.489024130613</v>
      </c>
      <c r="M165" s="60">
        <f t="shared" si="105"/>
        <v>42484.584298720976</v>
      </c>
      <c r="N165" s="60">
        <f t="shared" si="105"/>
        <v>42615.546494458067</v>
      </c>
      <c r="O165" s="60">
        <f t="shared" si="105"/>
        <v>43902.756588850942</v>
      </c>
      <c r="P165" s="60">
        <f t="shared" si="105"/>
        <v>54839.964548823482</v>
      </c>
      <c r="Q165" s="60">
        <f t="shared" si="105"/>
        <v>109033.28305939246</v>
      </c>
      <c r="R165" s="60">
        <f t="shared" si="105"/>
        <v>226104.6608519369</v>
      </c>
      <c r="S165" s="60">
        <f t="shared" si="105"/>
        <v>328081.02761944191</v>
      </c>
      <c r="T165" s="60">
        <f t="shared" si="105"/>
        <v>384615.4464810873</v>
      </c>
      <c r="U165" s="60">
        <f t="shared" si="105"/>
        <v>444754.95107452653</v>
      </c>
      <c r="V165" s="60">
        <f t="shared" si="105"/>
        <v>344499.66778681043</v>
      </c>
      <c r="W165" s="60">
        <f t="shared" si="105"/>
        <v>40935.581315789226</v>
      </c>
      <c r="X165" s="60">
        <f t="shared" si="105"/>
        <v>199791.05931945794</v>
      </c>
      <c r="Y165" s="60">
        <f t="shared" si="105"/>
        <v>903901.85837284441</v>
      </c>
      <c r="Z165" s="60">
        <f t="shared" si="105"/>
        <v>1461923.8042686172</v>
      </c>
      <c r="AA165" s="60">
        <f t="shared" si="105"/>
        <v>1479385.1372021933</v>
      </c>
      <c r="AB165" s="60">
        <f t="shared" si="105"/>
        <v>566851.20603838703</v>
      </c>
      <c r="AC165" s="60">
        <f t="shared" si="105"/>
        <v>5857.0509550936831</v>
      </c>
      <c r="AD165" s="60">
        <f t="shared" si="105"/>
        <v>241723.88296717245</v>
      </c>
      <c r="AE165" s="60">
        <f t="shared" si="105"/>
        <v>728090.30452703475</v>
      </c>
      <c r="AF165" s="60">
        <f t="shared" si="105"/>
        <v>904647.01301996328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7330.7620891719844</v>
      </c>
      <c r="C170" s="27">
        <f t="shared" ref="C170:AF170" si="106">($C$17+SUM(C171:C201))*$B$51</f>
        <v>7328.7980776887052</v>
      </c>
      <c r="D170" s="27">
        <f t="shared" si="106"/>
        <v>7311.21525162118</v>
      </c>
      <c r="E170" s="27">
        <f t="shared" si="106"/>
        <v>7243.703858312404</v>
      </c>
      <c r="F170" s="27">
        <f t="shared" si="106"/>
        <v>7233.649768035295</v>
      </c>
      <c r="G170" s="27">
        <f t="shared" si="106"/>
        <v>7233.649766278857</v>
      </c>
      <c r="H170" s="27">
        <f t="shared" si="106"/>
        <v>7233.6497488490968</v>
      </c>
      <c r="I170" s="27">
        <f t="shared" si="106"/>
        <v>7233.6495745517359</v>
      </c>
      <c r="J170" s="27">
        <f t="shared" si="106"/>
        <v>7233.6478316025214</v>
      </c>
      <c r="K170" s="27">
        <f t="shared" si="106"/>
        <v>7233.6304045501083</v>
      </c>
      <c r="L170" s="27">
        <f t="shared" si="106"/>
        <v>7233.4563776671002</v>
      </c>
      <c r="M170" s="27">
        <f t="shared" si="106"/>
        <v>7231.7401446814411</v>
      </c>
      <c r="N170" s="27">
        <f t="shared" si="106"/>
        <v>7216.685312655206</v>
      </c>
      <c r="O170" s="27">
        <f t="shared" si="106"/>
        <v>7145.3324392014347</v>
      </c>
      <c r="P170" s="27">
        <f t="shared" si="106"/>
        <v>6989.9366520592357</v>
      </c>
      <c r="Q170" s="27">
        <f t="shared" si="106"/>
        <v>6841.3359534949223</v>
      </c>
      <c r="R170" s="27">
        <f t="shared" si="106"/>
        <v>6657.5896424698076</v>
      </c>
      <c r="S170" s="27">
        <f t="shared" si="106"/>
        <v>6443.563123425638</v>
      </c>
      <c r="T170" s="27">
        <f t="shared" si="106"/>
        <v>6239.7215336439704</v>
      </c>
      <c r="U170" s="27">
        <f t="shared" si="106"/>
        <v>5942.8302381012099</v>
      </c>
      <c r="V170" s="27">
        <f t="shared" si="106"/>
        <v>5669.3592156521672</v>
      </c>
      <c r="W170" s="27">
        <f t="shared" si="106"/>
        <v>5379.0952170660121</v>
      </c>
      <c r="X170" s="27">
        <f t="shared" si="106"/>
        <v>5058.637430752894</v>
      </c>
      <c r="Y170" s="27">
        <f t="shared" si="106"/>
        <v>4690.4222946657601</v>
      </c>
      <c r="Z170" s="27">
        <f t="shared" si="106"/>
        <v>3991.3109453409056</v>
      </c>
      <c r="AA170" s="27">
        <f t="shared" si="106"/>
        <v>3056.5099197962054</v>
      </c>
      <c r="AB170" s="27">
        <f t="shared" si="106"/>
        <v>2138.6249452621605</v>
      </c>
      <c r="AC170" s="27">
        <f t="shared" si="106"/>
        <v>1359.6622671816051</v>
      </c>
      <c r="AD170" s="27">
        <f t="shared" si="106"/>
        <v>776.70426224653602</v>
      </c>
      <c r="AE170" s="27">
        <f t="shared" si="106"/>
        <v>431.84628259209859</v>
      </c>
      <c r="AF170" s="27">
        <f t="shared" si="106"/>
        <v>209.76491860797671</v>
      </c>
      <c r="AG170" s="27"/>
      <c r="AH170" s="27"/>
    </row>
    <row r="171" spans="1:34" x14ac:dyDescent="0.25">
      <c r="B171" s="3">
        <f t="shared" ref="B171:AF171" si="107">$C18*EXP(-B$168/$A18/EXP(-$C$126))</f>
        <v>1.3246835193298499E-2</v>
      </c>
      <c r="C171" s="3">
        <f t="shared" si="107"/>
        <v>1.2978929574544952E-2</v>
      </c>
      <c r="D171" s="3">
        <f t="shared" si="107"/>
        <v>1.0580502713444901E-2</v>
      </c>
      <c r="E171" s="3">
        <f t="shared" si="107"/>
        <v>1.371451876312136E-3</v>
      </c>
      <c r="F171" s="3">
        <f t="shared" si="107"/>
        <v>1.8362139135329056E-12</v>
      </c>
      <c r="G171" s="3">
        <f t="shared" si="107"/>
        <v>3.3989930954878959E-101</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3.9093064533791367E-3</v>
      </c>
      <c r="C175" s="3">
        <f t="shared" si="111"/>
        <v>3.9093064533641175E-3</v>
      </c>
      <c r="D175" s="3">
        <f t="shared" si="111"/>
        <v>3.9093064532139286E-3</v>
      </c>
      <c r="E175" s="3">
        <f t="shared" si="111"/>
        <v>3.909306451712031E-3</v>
      </c>
      <c r="F175" s="3">
        <f t="shared" si="111"/>
        <v>3.9093064366930606E-3</v>
      </c>
      <c r="G175" s="3">
        <f t="shared" si="111"/>
        <v>3.9093062865033596E-3</v>
      </c>
      <c r="H175" s="3">
        <f t="shared" si="111"/>
        <v>3.909304784606665E-3</v>
      </c>
      <c r="I175" s="3">
        <f t="shared" si="111"/>
        <v>3.9092897656714523E-3</v>
      </c>
      <c r="J175" s="3">
        <f t="shared" si="111"/>
        <v>3.9091395794928121E-3</v>
      </c>
      <c r="K175" s="3">
        <f t="shared" si="111"/>
        <v>3.9076380350097995E-3</v>
      </c>
      <c r="L175" s="3">
        <f t="shared" si="111"/>
        <v>3.8926542754605283E-3</v>
      </c>
      <c r="M175" s="3">
        <f t="shared" si="111"/>
        <v>3.7459406270175266E-3</v>
      </c>
      <c r="N175" s="3">
        <f t="shared" si="111"/>
        <v>2.5510058093432915E-3</v>
      </c>
      <c r="O175" s="3">
        <f t="shared" si="111"/>
        <v>5.4728938943177923E-5</v>
      </c>
      <c r="P175" s="3">
        <f t="shared" si="111"/>
        <v>1.1305059061464074E-21</v>
      </c>
      <c r="Q175" s="3">
        <f t="shared" si="111"/>
        <v>1.5989353641271959E-188</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2.3295025109814693E-2</v>
      </c>
      <c r="C176" s="3">
        <f t="shared" si="112"/>
        <v>2.3295025109806623E-2</v>
      </c>
      <c r="D176" s="3">
        <f t="shared" si="112"/>
        <v>2.3295025109725889E-2</v>
      </c>
      <c r="E176" s="3">
        <f t="shared" si="112"/>
        <v>2.3295025108918559E-2</v>
      </c>
      <c r="F176" s="3">
        <f t="shared" si="112"/>
        <v>2.3295025100845277E-2</v>
      </c>
      <c r="G176" s="3">
        <f t="shared" si="112"/>
        <v>2.3295025020112436E-2</v>
      </c>
      <c r="H176" s="3">
        <f t="shared" si="112"/>
        <v>2.3295024212784073E-2</v>
      </c>
      <c r="I176" s="3">
        <f t="shared" si="112"/>
        <v>2.3295016139501957E-2</v>
      </c>
      <c r="J176" s="3">
        <f t="shared" si="112"/>
        <v>2.3294935406834676E-2</v>
      </c>
      <c r="K176" s="3">
        <f t="shared" si="112"/>
        <v>2.3294128095550287E-2</v>
      </c>
      <c r="L176" s="3">
        <f t="shared" si="112"/>
        <v>2.328605652135015E-2</v>
      </c>
      <c r="M176" s="3">
        <f t="shared" si="112"/>
        <v>2.3205494446605163E-2</v>
      </c>
      <c r="N176" s="3">
        <f t="shared" si="112"/>
        <v>2.2415045190992522E-2</v>
      </c>
      <c r="O176" s="3">
        <f t="shared" si="112"/>
        <v>1.5849937047319154E-2</v>
      </c>
      <c r="P176" s="3">
        <f t="shared" si="112"/>
        <v>4.9534384401252391E-4</v>
      </c>
      <c r="Q176" s="3">
        <f t="shared" si="112"/>
        <v>4.4024968567733744E-19</v>
      </c>
      <c r="R176" s="3">
        <f t="shared" si="112"/>
        <v>1.3540100861836901E-169</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1.9366384778577946E-2</v>
      </c>
      <c r="C177" s="3">
        <f t="shared" si="113"/>
        <v>1.9366384778577338E-2</v>
      </c>
      <c r="D177" s="3">
        <f t="shared" si="113"/>
        <v>1.9366384778571284E-2</v>
      </c>
      <c r="E177" s="3">
        <f t="shared" si="113"/>
        <v>1.9366384778510739E-2</v>
      </c>
      <c r="F177" s="3">
        <f t="shared" si="113"/>
        <v>1.9366384777905282E-2</v>
      </c>
      <c r="G177" s="3">
        <f t="shared" si="113"/>
        <v>1.936638477185073E-2</v>
      </c>
      <c r="H177" s="3">
        <f t="shared" si="113"/>
        <v>1.9366384711305185E-2</v>
      </c>
      <c r="I177" s="3">
        <f t="shared" si="113"/>
        <v>1.9366384105849756E-2</v>
      </c>
      <c r="J177" s="3">
        <f t="shared" si="113"/>
        <v>1.9366378051296519E-2</v>
      </c>
      <c r="K177" s="3">
        <f t="shared" si="113"/>
        <v>1.9366317505868251E-2</v>
      </c>
      <c r="L177" s="3">
        <f t="shared" si="113"/>
        <v>1.9365712061996089E-2</v>
      </c>
      <c r="M177" s="3">
        <f t="shared" si="113"/>
        <v>1.9359658664207278E-2</v>
      </c>
      <c r="N177" s="3">
        <f t="shared" si="113"/>
        <v>1.9299228659289396E-2</v>
      </c>
      <c r="O177" s="3">
        <f t="shared" si="113"/>
        <v>1.8705206636678681E-2</v>
      </c>
      <c r="P177" s="3">
        <f t="shared" si="113"/>
        <v>1.3683213244452265E-2</v>
      </c>
      <c r="Q177" s="3">
        <f t="shared" si="113"/>
        <v>6.0040450926615607E-4</v>
      </c>
      <c r="R177" s="3">
        <f t="shared" si="113"/>
        <v>1.5885556956889866E-17</v>
      </c>
      <c r="S177" s="3">
        <f t="shared" si="113"/>
        <v>2.6704684630420914E-153</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2.4447536701486274E-2</v>
      </c>
      <c r="C178" s="3">
        <f t="shared" si="114"/>
        <v>2.4447536701486205E-2</v>
      </c>
      <c r="D178" s="3">
        <f t="shared" si="114"/>
        <v>2.4447536701485514E-2</v>
      </c>
      <c r="E178" s="3">
        <f t="shared" si="114"/>
        <v>2.4447536701478621E-2</v>
      </c>
      <c r="F178" s="3">
        <f t="shared" si="114"/>
        <v>2.4447536701409672E-2</v>
      </c>
      <c r="G178" s="3">
        <f t="shared" si="114"/>
        <v>2.4447536700720203E-2</v>
      </c>
      <c r="H178" s="3">
        <f t="shared" si="114"/>
        <v>2.4447536693825503E-2</v>
      </c>
      <c r="I178" s="3">
        <f t="shared" si="114"/>
        <v>2.4447536624878512E-2</v>
      </c>
      <c r="J178" s="3">
        <f t="shared" si="114"/>
        <v>2.4447535935408597E-2</v>
      </c>
      <c r="K178" s="3">
        <f t="shared" si="114"/>
        <v>2.4447529040710542E-2</v>
      </c>
      <c r="L178" s="3">
        <f t="shared" si="114"/>
        <v>2.4447460093836894E-2</v>
      </c>
      <c r="M178" s="3">
        <f t="shared" si="114"/>
        <v>2.4446770635794726E-2</v>
      </c>
      <c r="N178" s="3">
        <f t="shared" si="114"/>
        <v>2.4439877124693567E-2</v>
      </c>
      <c r="O178" s="3">
        <f t="shared" si="114"/>
        <v>2.4371048834233102E-2</v>
      </c>
      <c r="P178" s="3">
        <f t="shared" si="114"/>
        <v>2.3693337356048311E-2</v>
      </c>
      <c r="Q178" s="3">
        <f t="shared" si="114"/>
        <v>1.7870899828585106E-2</v>
      </c>
      <c r="R178" s="3">
        <f t="shared" si="114"/>
        <v>1.0649966552374554E-3</v>
      </c>
      <c r="S178" s="3">
        <f t="shared" si="114"/>
        <v>6.0168124895448549E-16</v>
      </c>
      <c r="T178" s="3">
        <f t="shared" si="114"/>
        <v>1.9931905097014947E-138</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3.2102560695383232E-2</v>
      </c>
      <c r="C179" s="3">
        <f t="shared" si="115"/>
        <v>3.2102560695383218E-2</v>
      </c>
      <c r="D179" s="3">
        <f t="shared" si="115"/>
        <v>3.2102560695383142E-2</v>
      </c>
      <c r="E179" s="3">
        <f t="shared" si="115"/>
        <v>3.2102560695382323E-2</v>
      </c>
      <c r="F179" s="3">
        <f t="shared" si="115"/>
        <v>3.2102560695374156E-2</v>
      </c>
      <c r="G179" s="3">
        <f t="shared" si="115"/>
        <v>3.2102560695292486E-2</v>
      </c>
      <c r="H179" s="3">
        <f t="shared" si="115"/>
        <v>3.2102560694475778E-2</v>
      </c>
      <c r="I179" s="3">
        <f t="shared" si="115"/>
        <v>3.2102560686308707E-2</v>
      </c>
      <c r="J179" s="3">
        <f t="shared" si="115"/>
        <v>3.2102560604637967E-2</v>
      </c>
      <c r="K179" s="3">
        <f t="shared" si="115"/>
        <v>3.2102559787930585E-2</v>
      </c>
      <c r="L179" s="3">
        <f t="shared" si="115"/>
        <v>3.2102551620857935E-2</v>
      </c>
      <c r="M179" s="3">
        <f t="shared" si="115"/>
        <v>3.2102469950245675E-2</v>
      </c>
      <c r="N179" s="3">
        <f t="shared" si="115"/>
        <v>3.2101653255550637E-2</v>
      </c>
      <c r="O179" s="3">
        <f t="shared" si="115"/>
        <v>3.2093487451243213E-2</v>
      </c>
      <c r="P179" s="3">
        <f t="shared" si="115"/>
        <v>3.2011943564985525E-2</v>
      </c>
      <c r="Q179" s="3">
        <f t="shared" si="115"/>
        <v>3.1207813655453949E-2</v>
      </c>
      <c r="R179" s="3">
        <f t="shared" si="115"/>
        <v>2.4197826541490292E-2</v>
      </c>
      <c r="S179" s="3">
        <f t="shared" si="115"/>
        <v>1.9006690834680374E-3</v>
      </c>
      <c r="T179" s="3">
        <f t="shared" si="115"/>
        <v>1.6990572902952618E-14</v>
      </c>
      <c r="U179" s="3">
        <f t="shared" si="115"/>
        <v>5.5363450383558424E-125</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2.4134444755217831E-2</v>
      </c>
      <c r="C180" s="3">
        <f t="shared" si="116"/>
        <v>2.4134444755217831E-2</v>
      </c>
      <c r="D180" s="3">
        <f t="shared" si="116"/>
        <v>2.4134444755217824E-2</v>
      </c>
      <c r="E180" s="3">
        <f t="shared" si="116"/>
        <v>2.4134444755217768E-2</v>
      </c>
      <c r="F180" s="3">
        <f t="shared" si="116"/>
        <v>2.4134444755217213E-2</v>
      </c>
      <c r="G180" s="3">
        <f t="shared" si="116"/>
        <v>2.4134444755211676E-2</v>
      </c>
      <c r="H180" s="3">
        <f t="shared" si="116"/>
        <v>2.413444475515629E-2</v>
      </c>
      <c r="I180" s="3">
        <f t="shared" si="116"/>
        <v>2.4134444754602413E-2</v>
      </c>
      <c r="J180" s="3">
        <f t="shared" si="116"/>
        <v>2.4134444749063677E-2</v>
      </c>
      <c r="K180" s="3">
        <f t="shared" si="116"/>
        <v>2.4134444693676312E-2</v>
      </c>
      <c r="L180" s="3">
        <f t="shared" si="116"/>
        <v>2.413444413980266E-2</v>
      </c>
      <c r="M180" s="3">
        <f t="shared" si="116"/>
        <v>2.4134438601066822E-2</v>
      </c>
      <c r="N180" s="3">
        <f t="shared" si="116"/>
        <v>2.4134383213778355E-2</v>
      </c>
      <c r="O180" s="3">
        <f t="shared" si="116"/>
        <v>2.4133829347884758E-2</v>
      </c>
      <c r="P180" s="3">
        <f t="shared" si="116"/>
        <v>2.4128291387994924E-2</v>
      </c>
      <c r="Q180" s="3">
        <f t="shared" si="116"/>
        <v>2.4072981634386932E-2</v>
      </c>
      <c r="R180" s="3">
        <f t="shared" si="116"/>
        <v>2.3526809681796521E-2</v>
      </c>
      <c r="S180" s="3">
        <f t="shared" si="116"/>
        <v>1.8702281403799481E-2</v>
      </c>
      <c r="T180" s="3">
        <f t="shared" si="116"/>
        <v>1.8845604274475561E-3</v>
      </c>
      <c r="U180" s="3">
        <f t="shared" si="116"/>
        <v>2.0340651947852241E-13</v>
      </c>
      <c r="V180" s="3">
        <f t="shared" si="116"/>
        <v>4.364282755305331E-113</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4.5522140204717329E-2</v>
      </c>
      <c r="C181" s="3">
        <f t="shared" si="117"/>
        <v>4.5522140204717329E-2</v>
      </c>
      <c r="D181" s="3">
        <f t="shared" si="117"/>
        <v>4.5522140204717329E-2</v>
      </c>
      <c r="E181" s="3">
        <f t="shared" si="117"/>
        <v>4.5522140204717322E-2</v>
      </c>
      <c r="F181" s="3">
        <f t="shared" si="117"/>
        <v>4.5522140204717225E-2</v>
      </c>
      <c r="G181" s="3">
        <f t="shared" si="117"/>
        <v>4.5522140204716281E-2</v>
      </c>
      <c r="H181" s="3">
        <f t="shared" si="117"/>
        <v>4.5522140204706858E-2</v>
      </c>
      <c r="I181" s="3">
        <f t="shared" si="117"/>
        <v>4.5522140204612614E-2</v>
      </c>
      <c r="J181" s="3">
        <f t="shared" si="117"/>
        <v>4.5522140203670201E-2</v>
      </c>
      <c r="K181" s="3">
        <f t="shared" si="117"/>
        <v>4.5522140194246039E-2</v>
      </c>
      <c r="L181" s="3">
        <f t="shared" si="117"/>
        <v>4.5522140100004438E-2</v>
      </c>
      <c r="M181" s="3">
        <f t="shared" si="117"/>
        <v>4.5522139157588418E-2</v>
      </c>
      <c r="N181" s="3">
        <f t="shared" si="117"/>
        <v>4.5522129733429312E-2</v>
      </c>
      <c r="O181" s="3">
        <f t="shared" si="117"/>
        <v>4.5522035491945528E-2</v>
      </c>
      <c r="P181" s="3">
        <f t="shared" si="117"/>
        <v>4.5521093087838214E-2</v>
      </c>
      <c r="Q181" s="3">
        <f t="shared" si="117"/>
        <v>4.5511670119737106E-2</v>
      </c>
      <c r="R181" s="3">
        <f t="shared" si="117"/>
        <v>4.5417547653782163E-2</v>
      </c>
      <c r="S181" s="3">
        <f t="shared" si="117"/>
        <v>4.4486962827246027E-2</v>
      </c>
      <c r="T181" s="3">
        <f t="shared" si="117"/>
        <v>3.6167919024786221E-2</v>
      </c>
      <c r="U181" s="3">
        <f t="shared" si="117"/>
        <v>4.5627972234459522E-3</v>
      </c>
      <c r="V181" s="3">
        <f t="shared" si="117"/>
        <v>4.6591601373177943E-12</v>
      </c>
      <c r="W181" s="3">
        <f t="shared" si="117"/>
        <v>5.7421208367647809E-102</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3.7432935335074267E-2</v>
      </c>
      <c r="C182" s="3">
        <f t="shared" si="118"/>
        <v>3.7432935335074267E-2</v>
      </c>
      <c r="D182" s="3">
        <f t="shared" si="118"/>
        <v>3.7432935335074267E-2</v>
      </c>
      <c r="E182" s="3">
        <f t="shared" si="118"/>
        <v>3.7432935335074267E-2</v>
      </c>
      <c r="F182" s="3">
        <f t="shared" si="118"/>
        <v>3.7432935335074261E-2</v>
      </c>
      <c r="G182" s="3">
        <f t="shared" si="118"/>
        <v>3.7432935335074191E-2</v>
      </c>
      <c r="H182" s="3">
        <f t="shared" si="118"/>
        <v>3.743293533507349E-2</v>
      </c>
      <c r="I182" s="3">
        <f t="shared" si="118"/>
        <v>3.7432935335066503E-2</v>
      </c>
      <c r="J182" s="3">
        <f t="shared" si="118"/>
        <v>3.7432935334996593E-2</v>
      </c>
      <c r="K182" s="3">
        <f t="shared" si="118"/>
        <v>3.7432935334297521E-2</v>
      </c>
      <c r="L182" s="3">
        <f t="shared" si="118"/>
        <v>3.7432935327306828E-2</v>
      </c>
      <c r="M182" s="3">
        <f t="shared" si="118"/>
        <v>3.7432935257399859E-2</v>
      </c>
      <c r="N182" s="3">
        <f t="shared" si="118"/>
        <v>3.7432934558330182E-2</v>
      </c>
      <c r="O182" s="3">
        <f t="shared" si="118"/>
        <v>3.743292756763416E-2</v>
      </c>
      <c r="P182" s="3">
        <f t="shared" si="118"/>
        <v>3.7432857660745743E-2</v>
      </c>
      <c r="Q182" s="3">
        <f t="shared" si="118"/>
        <v>3.7432158599041927E-2</v>
      </c>
      <c r="R182" s="3">
        <f t="shared" si="118"/>
        <v>3.7425168699990456E-2</v>
      </c>
      <c r="S182" s="3">
        <f t="shared" si="118"/>
        <v>3.7355341458558448E-2</v>
      </c>
      <c r="T182" s="3">
        <f t="shared" si="118"/>
        <v>3.666419462169275E-2</v>
      </c>
      <c r="U182" s="3">
        <f t="shared" si="118"/>
        <v>3.0418412121079708E-2</v>
      </c>
      <c r="V182" s="3">
        <f t="shared" si="118"/>
        <v>4.6998115023368361E-3</v>
      </c>
      <c r="W182" s="3">
        <f t="shared" si="118"/>
        <v>3.6435056059049769E-11</v>
      </c>
      <c r="X182" s="3">
        <f t="shared" si="118"/>
        <v>2.8569948960621956E-92</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4.1089114467289377E-2</v>
      </c>
      <c r="C183" s="3">
        <f t="shared" si="119"/>
        <v>4.1089114467289377E-2</v>
      </c>
      <c r="D183" s="3">
        <f t="shared" si="119"/>
        <v>4.1089114467289377E-2</v>
      </c>
      <c r="E183" s="3">
        <f t="shared" si="119"/>
        <v>4.1089114467289377E-2</v>
      </c>
      <c r="F183" s="3">
        <f t="shared" si="119"/>
        <v>4.1089114467289377E-2</v>
      </c>
      <c r="G183" s="3">
        <f t="shared" si="119"/>
        <v>4.108911446728937E-2</v>
      </c>
      <c r="H183" s="3">
        <f t="shared" si="119"/>
        <v>4.1089114467289301E-2</v>
      </c>
      <c r="I183" s="3">
        <f t="shared" si="119"/>
        <v>4.1089114467288607E-2</v>
      </c>
      <c r="J183" s="3">
        <f t="shared" si="119"/>
        <v>4.1089114467281689E-2</v>
      </c>
      <c r="K183" s="3">
        <f t="shared" si="119"/>
        <v>4.1089114467212466E-2</v>
      </c>
      <c r="L183" s="3">
        <f t="shared" si="119"/>
        <v>4.1089114466520249E-2</v>
      </c>
      <c r="M183" s="3">
        <f t="shared" si="119"/>
        <v>4.1089114459598119E-2</v>
      </c>
      <c r="N183" s="3">
        <f t="shared" si="119"/>
        <v>4.1089114390376789E-2</v>
      </c>
      <c r="O183" s="3">
        <f t="shared" si="119"/>
        <v>4.1089113698163461E-2</v>
      </c>
      <c r="P183" s="3">
        <f t="shared" si="119"/>
        <v>4.1089106776030913E-2</v>
      </c>
      <c r="Q183" s="3">
        <f t="shared" si="119"/>
        <v>4.1089037554769517E-2</v>
      </c>
      <c r="R183" s="3">
        <f t="shared" si="119"/>
        <v>4.108834534856929E-2</v>
      </c>
      <c r="S183" s="3">
        <f t="shared" si="119"/>
        <v>4.1081423927903232E-2</v>
      </c>
      <c r="T183" s="3">
        <f t="shared" si="119"/>
        <v>4.1012273814902751E-2</v>
      </c>
      <c r="U183" s="3">
        <f t="shared" si="119"/>
        <v>4.0327142279086847E-2</v>
      </c>
      <c r="V183" s="3">
        <f t="shared" si="119"/>
        <v>3.407480976846531E-2</v>
      </c>
      <c r="W183" s="3">
        <f t="shared" si="119"/>
        <v>6.3211102415635673E-3</v>
      </c>
      <c r="X183" s="3">
        <f t="shared" si="119"/>
        <v>3.0506515937393968E-10</v>
      </c>
      <c r="Y183" s="3">
        <f t="shared" si="119"/>
        <v>2.0911494615067152E-83</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4.624509457562298E-2</v>
      </c>
      <c r="C184" s="3">
        <f t="shared" si="120"/>
        <v>4.624509457562298E-2</v>
      </c>
      <c r="D184" s="3">
        <f t="shared" si="120"/>
        <v>4.624509457562298E-2</v>
      </c>
      <c r="E184" s="3">
        <f t="shared" si="120"/>
        <v>4.624509457562298E-2</v>
      </c>
      <c r="F184" s="3">
        <f t="shared" si="120"/>
        <v>4.624509457562298E-2</v>
      </c>
      <c r="G184" s="3">
        <f t="shared" si="120"/>
        <v>4.624509457562298E-2</v>
      </c>
      <c r="H184" s="3">
        <f t="shared" si="120"/>
        <v>4.6245094575622973E-2</v>
      </c>
      <c r="I184" s="3">
        <f t="shared" si="120"/>
        <v>4.6245094575622904E-2</v>
      </c>
      <c r="J184" s="3">
        <f t="shared" si="120"/>
        <v>4.6245094575622203E-2</v>
      </c>
      <c r="K184" s="3">
        <f t="shared" si="120"/>
        <v>4.6245094575615174E-2</v>
      </c>
      <c r="L184" s="3">
        <f t="shared" si="120"/>
        <v>4.6245094575544897E-2</v>
      </c>
      <c r="M184" s="3">
        <f t="shared" si="120"/>
        <v>4.6245094574842105E-2</v>
      </c>
      <c r="N184" s="3">
        <f t="shared" si="120"/>
        <v>4.6245094567814206E-2</v>
      </c>
      <c r="O184" s="3">
        <f t="shared" si="120"/>
        <v>4.6245094497535229E-2</v>
      </c>
      <c r="P184" s="3">
        <f t="shared" si="120"/>
        <v>4.6245093794745458E-2</v>
      </c>
      <c r="Q184" s="3">
        <f t="shared" si="120"/>
        <v>4.6245086766848305E-2</v>
      </c>
      <c r="R184" s="3">
        <f t="shared" si="120"/>
        <v>4.6245016487935567E-2</v>
      </c>
      <c r="S184" s="3">
        <f t="shared" si="120"/>
        <v>4.6244313704682322E-2</v>
      </c>
      <c r="T184" s="3">
        <f t="shared" si="120"/>
        <v>4.6237286459532068E-2</v>
      </c>
      <c r="U184" s="3">
        <f t="shared" si="120"/>
        <v>4.616707271323197E-2</v>
      </c>
      <c r="V184" s="3">
        <f t="shared" si="120"/>
        <v>4.5470772894794259E-2</v>
      </c>
      <c r="W184" s="3">
        <f t="shared" si="120"/>
        <v>3.9060006820105408E-2</v>
      </c>
      <c r="X184" s="3">
        <f t="shared" si="120"/>
        <v>8.5453941732299161E-3</v>
      </c>
      <c r="Y184" s="3">
        <f t="shared" si="120"/>
        <v>2.1464953624243009E-9</v>
      </c>
      <c r="Z184" s="3">
        <f t="shared" si="120"/>
        <v>2.1463893139118215E-75</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4.2152470755880481E-2</v>
      </c>
      <c r="C185" s="3">
        <f t="shared" si="121"/>
        <v>4.2152470755880481E-2</v>
      </c>
      <c r="D185" s="3">
        <f t="shared" si="121"/>
        <v>4.2152470755880481E-2</v>
      </c>
      <c r="E185" s="3">
        <f t="shared" si="121"/>
        <v>4.2152470755880481E-2</v>
      </c>
      <c r="F185" s="3">
        <f t="shared" si="121"/>
        <v>4.2152470755880481E-2</v>
      </c>
      <c r="G185" s="3">
        <f t="shared" si="121"/>
        <v>4.2152470755880481E-2</v>
      </c>
      <c r="H185" s="3">
        <f t="shared" si="121"/>
        <v>4.2152470755880481E-2</v>
      </c>
      <c r="I185" s="3">
        <f t="shared" si="121"/>
        <v>4.2152470755880474E-2</v>
      </c>
      <c r="J185" s="3">
        <f t="shared" si="121"/>
        <v>4.2152470755880418E-2</v>
      </c>
      <c r="K185" s="3">
        <f t="shared" si="121"/>
        <v>4.2152470755879842E-2</v>
      </c>
      <c r="L185" s="3">
        <f t="shared" si="121"/>
        <v>4.2152470755874062E-2</v>
      </c>
      <c r="M185" s="3">
        <f t="shared" si="121"/>
        <v>4.2152470755816275E-2</v>
      </c>
      <c r="N185" s="3">
        <f t="shared" si="121"/>
        <v>4.2152470755238404E-2</v>
      </c>
      <c r="O185" s="3">
        <f t="shared" si="121"/>
        <v>4.2152470749459714E-2</v>
      </c>
      <c r="P185" s="3">
        <f t="shared" si="121"/>
        <v>4.2152470691672814E-2</v>
      </c>
      <c r="Q185" s="3">
        <f t="shared" si="121"/>
        <v>4.2152470113803825E-2</v>
      </c>
      <c r="R185" s="3">
        <f t="shared" si="121"/>
        <v>4.2152464335114381E-2</v>
      </c>
      <c r="S185" s="3">
        <f t="shared" si="121"/>
        <v>4.2152406548263466E-2</v>
      </c>
      <c r="T185" s="3">
        <f t="shared" si="121"/>
        <v>4.2151828684111423E-2</v>
      </c>
      <c r="U185" s="3">
        <f t="shared" si="121"/>
        <v>4.2146050478277408E-2</v>
      </c>
      <c r="V185" s="3">
        <f t="shared" si="121"/>
        <v>4.2088311966481599E-2</v>
      </c>
      <c r="W185" s="3">
        <f t="shared" si="121"/>
        <v>4.1515259495456341E-2</v>
      </c>
      <c r="X185" s="3">
        <f t="shared" si="121"/>
        <v>3.6196805724198311E-2</v>
      </c>
      <c r="Y185" s="3">
        <f t="shared" si="121"/>
        <v>9.189569075230667E-3</v>
      </c>
      <c r="Z185" s="3">
        <f t="shared" si="121"/>
        <v>1.0222194588139977E-8</v>
      </c>
      <c r="AA185" s="3">
        <f t="shared" si="121"/>
        <v>2.965064306117502E-68</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0.11273931401056794</v>
      </c>
      <c r="C186" s="3">
        <f t="shared" si="122"/>
        <v>0.11273931401056794</v>
      </c>
      <c r="D186" s="3">
        <f t="shared" si="122"/>
        <v>0.11273931401056794</v>
      </c>
      <c r="E186" s="3">
        <f t="shared" si="122"/>
        <v>0.11273931401056794</v>
      </c>
      <c r="F186" s="3">
        <f t="shared" si="122"/>
        <v>0.11273931401056794</v>
      </c>
      <c r="G186" s="3">
        <f t="shared" si="122"/>
        <v>0.11273931401056794</v>
      </c>
      <c r="H186" s="3">
        <f t="shared" si="122"/>
        <v>0.11273931401056794</v>
      </c>
      <c r="I186" s="3">
        <f t="shared" si="122"/>
        <v>0.11273931401056794</v>
      </c>
      <c r="J186" s="3">
        <f t="shared" si="122"/>
        <v>0.11273931401056793</v>
      </c>
      <c r="K186" s="3">
        <f t="shared" si="122"/>
        <v>0.11273931401056779</v>
      </c>
      <c r="L186" s="3">
        <f t="shared" si="122"/>
        <v>0.11273931401056639</v>
      </c>
      <c r="M186" s="3">
        <f t="shared" si="122"/>
        <v>0.11273931401055244</v>
      </c>
      <c r="N186" s="3">
        <f t="shared" si="122"/>
        <v>0.11273931401041302</v>
      </c>
      <c r="O186" s="3">
        <f t="shared" si="122"/>
        <v>0.11273931400901882</v>
      </c>
      <c r="P186" s="3">
        <f t="shared" si="122"/>
        <v>0.11273931399507671</v>
      </c>
      <c r="Q186" s="3">
        <f t="shared" si="122"/>
        <v>0.11273931385565568</v>
      </c>
      <c r="R186" s="3">
        <f t="shared" si="122"/>
        <v>0.11273931246144522</v>
      </c>
      <c r="S186" s="3">
        <f t="shared" si="122"/>
        <v>0.11273929851934172</v>
      </c>
      <c r="T186" s="3">
        <f t="shared" si="122"/>
        <v>0.11273915909840157</v>
      </c>
      <c r="U186" s="3">
        <f t="shared" si="122"/>
        <v>0.11273776489848288</v>
      </c>
      <c r="V186" s="3">
        <f t="shared" si="122"/>
        <v>0.11272382384754386</v>
      </c>
      <c r="W186" s="3">
        <f t="shared" si="122"/>
        <v>0.11258450811956991</v>
      </c>
      <c r="X186" s="3">
        <f t="shared" si="122"/>
        <v>0.11120078575570018</v>
      </c>
      <c r="Y186" s="3">
        <f t="shared" si="122"/>
        <v>9.826527388076324E-2</v>
      </c>
      <c r="Z186" s="3">
        <f t="shared" si="122"/>
        <v>2.853134189784522E-2</v>
      </c>
      <c r="AA186" s="3">
        <f t="shared" si="122"/>
        <v>1.2149082724677481E-7</v>
      </c>
      <c r="AB186" s="3">
        <f t="shared" si="122"/>
        <v>2.3809835838102815E-61</v>
      </c>
      <c r="AC186" s="3">
        <f t="shared" si="122"/>
        <v>0</v>
      </c>
      <c r="AD186" s="3">
        <f t="shared" si="122"/>
        <v>0</v>
      </c>
      <c r="AE186" s="3">
        <f t="shared" si="122"/>
        <v>0</v>
      </c>
      <c r="AF186" s="3">
        <f t="shared" si="122"/>
        <v>0</v>
      </c>
      <c r="AG186" s="3"/>
      <c r="AH186" s="3"/>
    </row>
    <row r="187" spans="2:34" x14ac:dyDescent="0.25">
      <c r="B187" s="3">
        <f t="shared" ref="B187:AF187" si="123">$C34*EXP(-B$168/$A34/EXP(-$C$126))</f>
        <v>0.14424740982428688</v>
      </c>
      <c r="C187" s="3">
        <f t="shared" si="123"/>
        <v>0.14424740982428688</v>
      </c>
      <c r="D187" s="3">
        <f t="shared" si="123"/>
        <v>0.14424740982428688</v>
      </c>
      <c r="E187" s="3">
        <f t="shared" si="123"/>
        <v>0.14424740982428688</v>
      </c>
      <c r="F187" s="3">
        <f t="shared" si="123"/>
        <v>0.14424740982428688</v>
      </c>
      <c r="G187" s="3">
        <f t="shared" si="123"/>
        <v>0.14424740982428688</v>
      </c>
      <c r="H187" s="3">
        <f t="shared" si="123"/>
        <v>0.14424740982428688</v>
      </c>
      <c r="I187" s="3">
        <f t="shared" si="123"/>
        <v>0.14424740982428688</v>
      </c>
      <c r="J187" s="3">
        <f t="shared" si="123"/>
        <v>0.14424740982428688</v>
      </c>
      <c r="K187" s="3">
        <f t="shared" si="123"/>
        <v>0.14424740982428685</v>
      </c>
      <c r="L187" s="3">
        <f t="shared" si="123"/>
        <v>0.14424740982428672</v>
      </c>
      <c r="M187" s="3">
        <f t="shared" si="123"/>
        <v>0.14424740982428508</v>
      </c>
      <c r="N187" s="3">
        <f t="shared" si="123"/>
        <v>0.14424740982426901</v>
      </c>
      <c r="O187" s="3">
        <f t="shared" si="123"/>
        <v>0.14424740982410808</v>
      </c>
      <c r="P187" s="3">
        <f t="shared" si="123"/>
        <v>0.1442474098224989</v>
      </c>
      <c r="Q187" s="3">
        <f t="shared" si="123"/>
        <v>0.14424740980640699</v>
      </c>
      <c r="R187" s="3">
        <f t="shared" si="123"/>
        <v>0.14424740964548791</v>
      </c>
      <c r="S187" s="3">
        <f t="shared" si="123"/>
        <v>0.14424740803629701</v>
      </c>
      <c r="T187" s="3">
        <f t="shared" si="123"/>
        <v>0.14424739194438937</v>
      </c>
      <c r="U187" s="3">
        <f t="shared" si="123"/>
        <v>0.14424723102541137</v>
      </c>
      <c r="V187" s="3">
        <f t="shared" si="123"/>
        <v>0.14424562184550502</v>
      </c>
      <c r="W187" s="3">
        <f t="shared" si="123"/>
        <v>0.14422953103374295</v>
      </c>
      <c r="X187" s="3">
        <f t="shared" si="123"/>
        <v>0.1440687216055494</v>
      </c>
      <c r="Y187" s="3">
        <f t="shared" si="123"/>
        <v>0.14247045565219255</v>
      </c>
      <c r="Z187" s="3">
        <f t="shared" si="123"/>
        <v>0.12743124355922264</v>
      </c>
      <c r="AA187" s="3">
        <f t="shared" si="123"/>
        <v>4.1762549283587587E-2</v>
      </c>
      <c r="AB187" s="3">
        <f t="shared" si="123"/>
        <v>5.9689480633870069E-7</v>
      </c>
      <c r="AC187" s="3">
        <f t="shared" si="123"/>
        <v>2.1232727646212253E-55</v>
      </c>
      <c r="AD187" s="3">
        <f t="shared" si="123"/>
        <v>0</v>
      </c>
      <c r="AE187" s="3">
        <f t="shared" si="123"/>
        <v>0</v>
      </c>
      <c r="AF187" s="3">
        <f t="shared" si="123"/>
        <v>0</v>
      </c>
      <c r="AG187" s="3"/>
      <c r="AH187" s="3"/>
    </row>
    <row r="188" spans="2:34" x14ac:dyDescent="0.25">
      <c r="B188" s="3">
        <f t="shared" ref="B188:AF188" si="124">$C35*EXP(-B$168/$A35/EXP(-$C$126))</f>
        <v>0.12974291069495422</v>
      </c>
      <c r="C188" s="3">
        <f t="shared" si="124"/>
        <v>0.12974291069495422</v>
      </c>
      <c r="D188" s="3">
        <f t="shared" si="124"/>
        <v>0.12974291069495422</v>
      </c>
      <c r="E188" s="3">
        <f t="shared" si="124"/>
        <v>0.12974291069495422</v>
      </c>
      <c r="F188" s="3">
        <f t="shared" si="124"/>
        <v>0.12974291069495422</v>
      </c>
      <c r="G188" s="3">
        <f t="shared" si="124"/>
        <v>0.12974291069495422</v>
      </c>
      <c r="H188" s="3">
        <f t="shared" si="124"/>
        <v>0.12974291069495422</v>
      </c>
      <c r="I188" s="3">
        <f t="shared" si="124"/>
        <v>0.12974291069495422</v>
      </c>
      <c r="J188" s="3">
        <f t="shared" si="124"/>
        <v>0.12974291069495422</v>
      </c>
      <c r="K188" s="3">
        <f t="shared" si="124"/>
        <v>0.12974291069495422</v>
      </c>
      <c r="L188" s="3">
        <f t="shared" si="124"/>
        <v>0.12974291069495419</v>
      </c>
      <c r="M188" s="3">
        <f t="shared" si="124"/>
        <v>0.12974291069495408</v>
      </c>
      <c r="N188" s="3">
        <f t="shared" si="124"/>
        <v>0.12974291069495278</v>
      </c>
      <c r="O188" s="3">
        <f t="shared" si="124"/>
        <v>0.12974291069493971</v>
      </c>
      <c r="P188" s="3">
        <f t="shared" si="124"/>
        <v>0.12974291069480914</v>
      </c>
      <c r="Q188" s="3">
        <f t="shared" si="124"/>
        <v>0.12974291069350349</v>
      </c>
      <c r="R188" s="3">
        <f t="shared" si="124"/>
        <v>0.12974291068044691</v>
      </c>
      <c r="S188" s="3">
        <f t="shared" si="124"/>
        <v>0.12974291054988099</v>
      </c>
      <c r="T188" s="3">
        <f t="shared" si="124"/>
        <v>0.12974290924422199</v>
      </c>
      <c r="U188" s="3">
        <f t="shared" si="124"/>
        <v>0.12974289618763282</v>
      </c>
      <c r="V188" s="3">
        <f t="shared" si="124"/>
        <v>0.12974276562181336</v>
      </c>
      <c r="W188" s="3">
        <f t="shared" si="124"/>
        <v>0.12974145997084524</v>
      </c>
      <c r="X188" s="3">
        <f t="shared" si="124"/>
        <v>0.12972840418380185</v>
      </c>
      <c r="Y188" s="3">
        <f t="shared" si="124"/>
        <v>0.12959791855023822</v>
      </c>
      <c r="Z188" s="3">
        <f t="shared" si="124"/>
        <v>0.12830025907671225</v>
      </c>
      <c r="AA188" s="3">
        <f t="shared" si="124"/>
        <v>0.11601725939881076</v>
      </c>
      <c r="AB188" s="3">
        <f t="shared" si="124"/>
        <v>4.2410490043163863E-2</v>
      </c>
      <c r="AC188" s="3">
        <f t="shared" si="124"/>
        <v>1.8070916339531482E-6</v>
      </c>
      <c r="AD188" s="3">
        <f t="shared" si="124"/>
        <v>3.5649137082227337E-50</v>
      </c>
      <c r="AE188" s="3">
        <f t="shared" si="124"/>
        <v>0</v>
      </c>
      <c r="AF188" s="3">
        <f t="shared" si="124"/>
        <v>0</v>
      </c>
      <c r="AG188" s="3"/>
      <c r="AH188" s="3"/>
    </row>
    <row r="189" spans="2:34" x14ac:dyDescent="0.25">
      <c r="B189" s="3">
        <f t="shared" ref="B189:AF189" si="125">$C36*EXP(-B$168/$A36/EXP(-$C$126))</f>
        <v>0.10714334071735752</v>
      </c>
      <c r="C189" s="3">
        <f t="shared" si="125"/>
        <v>0.10714334071735752</v>
      </c>
      <c r="D189" s="3">
        <f t="shared" si="125"/>
        <v>0.10714334071735752</v>
      </c>
      <c r="E189" s="3">
        <f t="shared" si="125"/>
        <v>0.10714334071735752</v>
      </c>
      <c r="F189" s="3">
        <f t="shared" si="125"/>
        <v>0.10714334071735752</v>
      </c>
      <c r="G189" s="3">
        <f t="shared" si="125"/>
        <v>0.10714334071735752</v>
      </c>
      <c r="H189" s="3">
        <f t="shared" si="125"/>
        <v>0.10714334071735752</v>
      </c>
      <c r="I189" s="3">
        <f t="shared" si="125"/>
        <v>0.10714334071735752</v>
      </c>
      <c r="J189" s="3">
        <f t="shared" si="125"/>
        <v>0.10714334071735752</v>
      </c>
      <c r="K189" s="3">
        <f t="shared" si="125"/>
        <v>0.10714334071735752</v>
      </c>
      <c r="L189" s="3">
        <f t="shared" si="125"/>
        <v>0.10714334071735752</v>
      </c>
      <c r="M189" s="3">
        <f t="shared" si="125"/>
        <v>0.10714334071735751</v>
      </c>
      <c r="N189" s="3">
        <f t="shared" si="125"/>
        <v>0.10714334071735741</v>
      </c>
      <c r="O189" s="3">
        <f t="shared" si="125"/>
        <v>0.10714334071735644</v>
      </c>
      <c r="P189" s="3">
        <f t="shared" si="125"/>
        <v>0.10714334071734671</v>
      </c>
      <c r="Q189" s="3">
        <f t="shared" si="125"/>
        <v>0.10714334071724946</v>
      </c>
      <c r="R189" s="3">
        <f t="shared" si="125"/>
        <v>0.10714334071627681</v>
      </c>
      <c r="S189" s="3">
        <f t="shared" si="125"/>
        <v>0.10714334070655028</v>
      </c>
      <c r="T189" s="3">
        <f t="shared" si="125"/>
        <v>0.10714334060928497</v>
      </c>
      <c r="U189" s="3">
        <f t="shared" si="125"/>
        <v>0.10714333963663204</v>
      </c>
      <c r="V189" s="3">
        <f t="shared" si="125"/>
        <v>0.10714332991010318</v>
      </c>
      <c r="W189" s="3">
        <f t="shared" si="125"/>
        <v>0.10714323264486321</v>
      </c>
      <c r="X189" s="3">
        <f t="shared" si="125"/>
        <v>0.1071422599973198</v>
      </c>
      <c r="Y189" s="3">
        <f t="shared" si="125"/>
        <v>0.10713253400750633</v>
      </c>
      <c r="Z189" s="3">
        <f t="shared" si="125"/>
        <v>0.10703532265512453</v>
      </c>
      <c r="AA189" s="3">
        <f t="shared" si="125"/>
        <v>0.10606804744019002</v>
      </c>
      <c r="AB189" s="3">
        <f t="shared" si="125"/>
        <v>9.6863261996620154E-2</v>
      </c>
      <c r="AC189" s="3">
        <f t="shared" si="125"/>
        <v>3.9075473775848461E-2</v>
      </c>
      <c r="AD189" s="3">
        <f t="shared" si="125"/>
        <v>4.4602158052942742E-6</v>
      </c>
      <c r="AE189" s="3">
        <f t="shared" si="125"/>
        <v>1.6744495685387593E-45</v>
      </c>
      <c r="AF189" s="3">
        <f t="shared" si="125"/>
        <v>0</v>
      </c>
      <c r="AG189" s="3"/>
      <c r="AH189" s="3"/>
    </row>
    <row r="190" spans="2:34" x14ac:dyDescent="0.25">
      <c r="B190" s="3">
        <f t="shared" ref="B190:AF190" si="126">$C37*EXP(-B$168/$A37/EXP(-$C$126))</f>
        <v>7.467332001482109E-2</v>
      </c>
      <c r="C190" s="3">
        <f t="shared" si="126"/>
        <v>7.467332001482109E-2</v>
      </c>
      <c r="D190" s="3">
        <f t="shared" si="126"/>
        <v>7.467332001482109E-2</v>
      </c>
      <c r="E190" s="3">
        <f t="shared" si="126"/>
        <v>7.467332001482109E-2</v>
      </c>
      <c r="F190" s="3">
        <f t="shared" si="126"/>
        <v>7.467332001482109E-2</v>
      </c>
      <c r="G190" s="3">
        <f t="shared" si="126"/>
        <v>7.467332001482109E-2</v>
      </c>
      <c r="H190" s="3">
        <f t="shared" si="126"/>
        <v>7.467332001482109E-2</v>
      </c>
      <c r="I190" s="3">
        <f t="shared" si="126"/>
        <v>7.467332001482109E-2</v>
      </c>
      <c r="J190" s="3">
        <f t="shared" si="126"/>
        <v>7.467332001482109E-2</v>
      </c>
      <c r="K190" s="3">
        <f t="shared" si="126"/>
        <v>7.467332001482109E-2</v>
      </c>
      <c r="L190" s="3">
        <f t="shared" si="126"/>
        <v>7.467332001482109E-2</v>
      </c>
      <c r="M190" s="3">
        <f t="shared" si="126"/>
        <v>7.467332001482109E-2</v>
      </c>
      <c r="N190" s="3">
        <f t="shared" si="126"/>
        <v>7.4673320014821076E-2</v>
      </c>
      <c r="O190" s="3">
        <f t="shared" si="126"/>
        <v>7.4673320014821021E-2</v>
      </c>
      <c r="P190" s="3">
        <f t="shared" si="126"/>
        <v>7.467332001482041E-2</v>
      </c>
      <c r="Q190" s="3">
        <f t="shared" si="126"/>
        <v>7.467332001481429E-2</v>
      </c>
      <c r="R190" s="3">
        <f t="shared" si="126"/>
        <v>7.4673320014753145E-2</v>
      </c>
      <c r="S190" s="3">
        <f t="shared" si="126"/>
        <v>7.4673320014141634E-2</v>
      </c>
      <c r="T190" s="3">
        <f t="shared" si="126"/>
        <v>7.4673320008026511E-2</v>
      </c>
      <c r="U190" s="3">
        <f t="shared" si="126"/>
        <v>7.4673319946875344E-2</v>
      </c>
      <c r="V190" s="3">
        <f t="shared" si="126"/>
        <v>7.4673319335363642E-2</v>
      </c>
      <c r="W190" s="3">
        <f t="shared" si="126"/>
        <v>7.4673313220246937E-2</v>
      </c>
      <c r="X190" s="3">
        <f t="shared" si="126"/>
        <v>7.467325206910741E-2</v>
      </c>
      <c r="Y190" s="3">
        <f t="shared" si="126"/>
        <v>7.4672640560466366E-2</v>
      </c>
      <c r="Z190" s="3">
        <f t="shared" si="126"/>
        <v>7.4666525749473814E-2</v>
      </c>
      <c r="AA190" s="3">
        <f t="shared" si="126"/>
        <v>7.460540517299423E-2</v>
      </c>
      <c r="AB190" s="3">
        <f t="shared" si="126"/>
        <v>7.3996944428435338E-2</v>
      </c>
      <c r="AC190" s="3">
        <f t="shared" si="126"/>
        <v>6.817870068596063E-2</v>
      </c>
      <c r="AD190" s="3">
        <f t="shared" si="126"/>
        <v>3.006062858491047E-2</v>
      </c>
      <c r="AE190" s="3">
        <f t="shared" si="126"/>
        <v>8.3462507921537655E-6</v>
      </c>
      <c r="AF190" s="3">
        <f t="shared" si="126"/>
        <v>2.2720880532481882E-41</v>
      </c>
      <c r="AG190" s="3"/>
      <c r="AH190" s="3"/>
    </row>
    <row r="191" spans="2:34" x14ac:dyDescent="0.25">
      <c r="B191" s="3">
        <f t="shared" ref="B191:AF191" si="127">$C38*EXP(-B$168/$A38/EXP(-$C$126))</f>
        <v>2.5720461590382049E-2</v>
      </c>
      <c r="C191" s="3">
        <f t="shared" si="127"/>
        <v>2.5720461590382049E-2</v>
      </c>
      <c r="D191" s="3">
        <f t="shared" si="127"/>
        <v>2.5720461590382049E-2</v>
      </c>
      <c r="E191" s="3">
        <f t="shared" si="127"/>
        <v>2.5720461590382049E-2</v>
      </c>
      <c r="F191" s="3">
        <f t="shared" si="127"/>
        <v>2.5720461590382049E-2</v>
      </c>
      <c r="G191" s="3">
        <f t="shared" si="127"/>
        <v>2.5720461590382049E-2</v>
      </c>
      <c r="H191" s="3">
        <f t="shared" si="127"/>
        <v>2.5720461590382049E-2</v>
      </c>
      <c r="I191" s="3">
        <f t="shared" si="127"/>
        <v>2.5720461590382049E-2</v>
      </c>
      <c r="J191" s="3">
        <f t="shared" si="127"/>
        <v>2.5720461590382049E-2</v>
      </c>
      <c r="K191" s="3">
        <f t="shared" si="127"/>
        <v>2.5720461590382049E-2</v>
      </c>
      <c r="L191" s="3">
        <f t="shared" si="127"/>
        <v>2.5720461590382049E-2</v>
      </c>
      <c r="M191" s="3">
        <f t="shared" si="127"/>
        <v>2.5720461590382049E-2</v>
      </c>
      <c r="N191" s="3">
        <f t="shared" si="127"/>
        <v>2.5720461590382049E-2</v>
      </c>
      <c r="O191" s="3">
        <f t="shared" si="127"/>
        <v>2.5720461590382045E-2</v>
      </c>
      <c r="P191" s="3">
        <f t="shared" si="127"/>
        <v>2.5720461590382028E-2</v>
      </c>
      <c r="Q191" s="3">
        <f t="shared" si="127"/>
        <v>2.5720461590381837E-2</v>
      </c>
      <c r="R191" s="3">
        <f t="shared" si="127"/>
        <v>2.5720461590379939E-2</v>
      </c>
      <c r="S191" s="3">
        <f t="shared" si="127"/>
        <v>2.5720461590360937E-2</v>
      </c>
      <c r="T191" s="3">
        <f t="shared" si="127"/>
        <v>2.5720461590170933E-2</v>
      </c>
      <c r="U191" s="3">
        <f t="shared" si="127"/>
        <v>2.5720461588270883E-2</v>
      </c>
      <c r="V191" s="3">
        <f t="shared" si="127"/>
        <v>2.5720461569270402E-2</v>
      </c>
      <c r="W191" s="3">
        <f t="shared" si="127"/>
        <v>2.5720461379265563E-2</v>
      </c>
      <c r="X191" s="3">
        <f t="shared" si="127"/>
        <v>2.5720459479217264E-2</v>
      </c>
      <c r="Y191" s="3">
        <f t="shared" si="127"/>
        <v>2.5720440478741998E-2</v>
      </c>
      <c r="Z191" s="3">
        <f t="shared" si="127"/>
        <v>2.5720250474761341E-2</v>
      </c>
      <c r="AA191" s="3">
        <f t="shared" si="127"/>
        <v>2.5718350512151725E-2</v>
      </c>
      <c r="AB191" s="3">
        <f t="shared" si="127"/>
        <v>2.5699358603639522E-2</v>
      </c>
      <c r="AC191" s="3">
        <f t="shared" si="127"/>
        <v>2.5510209171628013E-2</v>
      </c>
      <c r="AD191" s="3">
        <f t="shared" si="127"/>
        <v>2.3693617392069131E-2</v>
      </c>
      <c r="AE191" s="3">
        <f t="shared" si="127"/>
        <v>1.1318917280255178E-2</v>
      </c>
      <c r="AF191" s="3">
        <f t="shared" si="127"/>
        <v>7.0071277512366608E-6</v>
      </c>
      <c r="AG191" s="3"/>
      <c r="AH191" s="3"/>
    </row>
    <row r="192" spans="2:34" x14ac:dyDescent="0.25">
      <c r="B192" s="3">
        <f t="shared" ref="B192:AF192" si="128">$C39*EXP(-B$168/$A39/EXP(-$C$126))</f>
        <v>2.4141304859351478E-2</v>
      </c>
      <c r="C192" s="3">
        <f t="shared" si="128"/>
        <v>2.4141304859351478E-2</v>
      </c>
      <c r="D192" s="3">
        <f t="shared" si="128"/>
        <v>2.4141304859351478E-2</v>
      </c>
      <c r="E192" s="3">
        <f t="shared" si="128"/>
        <v>2.4141304859351478E-2</v>
      </c>
      <c r="F192" s="3">
        <f t="shared" si="128"/>
        <v>2.4141304859351478E-2</v>
      </c>
      <c r="G192" s="3">
        <f t="shared" si="128"/>
        <v>2.4141304859351478E-2</v>
      </c>
      <c r="H192" s="3">
        <f t="shared" si="128"/>
        <v>2.4141304859351478E-2</v>
      </c>
      <c r="I192" s="3">
        <f t="shared" si="128"/>
        <v>2.4141304859351478E-2</v>
      </c>
      <c r="J192" s="3">
        <f t="shared" si="128"/>
        <v>2.4141304859351478E-2</v>
      </c>
      <c r="K192" s="3">
        <f t="shared" si="128"/>
        <v>2.4141304859351478E-2</v>
      </c>
      <c r="L192" s="3">
        <f t="shared" si="128"/>
        <v>2.4141304859351478E-2</v>
      </c>
      <c r="M192" s="3">
        <f t="shared" si="128"/>
        <v>2.4141304859351478E-2</v>
      </c>
      <c r="N192" s="3">
        <f t="shared" si="128"/>
        <v>2.4141304859351478E-2</v>
      </c>
      <c r="O192" s="3">
        <f t="shared" si="128"/>
        <v>2.4141304859351478E-2</v>
      </c>
      <c r="P192" s="3">
        <f t="shared" si="128"/>
        <v>2.4141304859351471E-2</v>
      </c>
      <c r="Q192" s="3">
        <f t="shared" si="128"/>
        <v>2.4141304859351426E-2</v>
      </c>
      <c r="R192" s="3">
        <f t="shared" si="128"/>
        <v>2.414130485935093E-2</v>
      </c>
      <c r="S192" s="3">
        <f t="shared" si="128"/>
        <v>2.4141304859345996E-2</v>
      </c>
      <c r="T192" s="3">
        <f t="shared" si="128"/>
        <v>2.4141304859296671E-2</v>
      </c>
      <c r="U192" s="3">
        <f t="shared" si="128"/>
        <v>2.414130485880343E-2</v>
      </c>
      <c r="V192" s="3">
        <f t="shared" si="128"/>
        <v>2.4141304853871018E-2</v>
      </c>
      <c r="W192" s="3">
        <f t="shared" si="128"/>
        <v>2.4141304804546883E-2</v>
      </c>
      <c r="X192" s="3">
        <f t="shared" si="128"/>
        <v>2.4141304311305508E-2</v>
      </c>
      <c r="Y192" s="3">
        <f t="shared" si="128"/>
        <v>2.4141299378892325E-2</v>
      </c>
      <c r="Z192" s="3">
        <f t="shared" si="128"/>
        <v>2.4141250054815912E-2</v>
      </c>
      <c r="AA192" s="3">
        <f t="shared" si="128"/>
        <v>2.4140756819594478E-2</v>
      </c>
      <c r="AB192" s="3">
        <f t="shared" si="128"/>
        <v>2.4135825021603021E-2</v>
      </c>
      <c r="AC192" s="3">
        <f t="shared" si="128"/>
        <v>2.4086562422105755E-2</v>
      </c>
      <c r="AD192" s="3">
        <f t="shared" si="128"/>
        <v>2.3599432831137138E-2</v>
      </c>
      <c r="AE192" s="3">
        <f t="shared" si="128"/>
        <v>1.9238401878327593E-2</v>
      </c>
      <c r="AF192" s="3">
        <f t="shared" si="128"/>
        <v>2.4936945878527884E-3</v>
      </c>
      <c r="AG192" s="3"/>
      <c r="AH192" s="3"/>
    </row>
    <row r="193" spans="1:34" x14ac:dyDescent="0.25">
      <c r="B193" s="3">
        <f t="shared" ref="B193:AF193" si="129">$C40*EXP(-B$168/$A40/EXP(-$C$126))</f>
        <v>1.2214190227025473E-2</v>
      </c>
      <c r="C193" s="3">
        <f t="shared" si="129"/>
        <v>1.2214190227025473E-2</v>
      </c>
      <c r="D193" s="3">
        <f t="shared" si="129"/>
        <v>1.2214190227025473E-2</v>
      </c>
      <c r="E193" s="3">
        <f t="shared" si="129"/>
        <v>1.2214190227025473E-2</v>
      </c>
      <c r="F193" s="3">
        <f t="shared" si="129"/>
        <v>1.2214190227025473E-2</v>
      </c>
      <c r="G193" s="3">
        <f t="shared" si="129"/>
        <v>1.2214190227025473E-2</v>
      </c>
      <c r="H193" s="3">
        <f t="shared" si="129"/>
        <v>1.2214190227025473E-2</v>
      </c>
      <c r="I193" s="3">
        <f t="shared" si="129"/>
        <v>1.2214190227025473E-2</v>
      </c>
      <c r="J193" s="3">
        <f t="shared" si="129"/>
        <v>1.2214190227025473E-2</v>
      </c>
      <c r="K193" s="3">
        <f t="shared" si="129"/>
        <v>1.2214190227025473E-2</v>
      </c>
      <c r="L193" s="3">
        <f t="shared" si="129"/>
        <v>1.2214190227025473E-2</v>
      </c>
      <c r="M193" s="3">
        <f t="shared" si="129"/>
        <v>1.2214190227025473E-2</v>
      </c>
      <c r="N193" s="3">
        <f t="shared" si="129"/>
        <v>1.2214190227025473E-2</v>
      </c>
      <c r="O193" s="3">
        <f t="shared" si="129"/>
        <v>1.2214190227025473E-2</v>
      </c>
      <c r="P193" s="3">
        <f t="shared" si="129"/>
        <v>1.2214190227025473E-2</v>
      </c>
      <c r="Q193" s="3">
        <f t="shared" si="129"/>
        <v>1.2214190227025469E-2</v>
      </c>
      <c r="R193" s="3">
        <f t="shared" si="129"/>
        <v>1.2214190227025445E-2</v>
      </c>
      <c r="S193" s="3">
        <f t="shared" si="129"/>
        <v>1.2214190227025197E-2</v>
      </c>
      <c r="T193" s="3">
        <f t="shared" si="129"/>
        <v>1.2214190227022699E-2</v>
      </c>
      <c r="U193" s="3">
        <f t="shared" si="129"/>
        <v>1.2214190226997745E-2</v>
      </c>
      <c r="V193" s="3">
        <f t="shared" si="129"/>
        <v>1.2214190226748191E-2</v>
      </c>
      <c r="W193" s="3">
        <f t="shared" si="129"/>
        <v>1.2214190224252658E-2</v>
      </c>
      <c r="X193" s="3">
        <f t="shared" si="129"/>
        <v>1.2214190199297321E-2</v>
      </c>
      <c r="Y193" s="3">
        <f t="shared" si="129"/>
        <v>1.221418994974395E-2</v>
      </c>
      <c r="Z193" s="3">
        <f t="shared" si="129"/>
        <v>1.2214187454210539E-2</v>
      </c>
      <c r="AA193" s="3">
        <f t="shared" si="129"/>
        <v>1.2214162498904455E-2</v>
      </c>
      <c r="AB193" s="3">
        <f t="shared" si="129"/>
        <v>1.2213912948647897E-2</v>
      </c>
      <c r="AC193" s="3">
        <f t="shared" si="129"/>
        <v>1.2211417726489034E-2</v>
      </c>
      <c r="AD193" s="3">
        <f t="shared" si="129"/>
        <v>1.2186493524386334E-2</v>
      </c>
      <c r="AE193" s="3">
        <f t="shared" si="129"/>
        <v>1.1940032385522126E-2</v>
      </c>
      <c r="AF193" s="3">
        <f t="shared" si="129"/>
        <v>9.7335873754493419E-3</v>
      </c>
      <c r="AG193" s="3"/>
      <c r="AH193" s="3"/>
    </row>
    <row r="194" spans="1:34" x14ac:dyDescent="0.25">
      <c r="B194" s="3">
        <f t="shared" ref="B194:AF194" si="130">$C41*EXP(-B$168/$A41/EXP(-$C$126))</f>
        <v>8.0564872453676788E-4</v>
      </c>
      <c r="C194" s="3">
        <f t="shared" si="130"/>
        <v>8.0564872453676788E-4</v>
      </c>
      <c r="D194" s="3">
        <f t="shared" si="130"/>
        <v>8.0564872453676788E-4</v>
      </c>
      <c r="E194" s="3">
        <f t="shared" si="130"/>
        <v>8.0564872453676788E-4</v>
      </c>
      <c r="F194" s="3">
        <f t="shared" si="130"/>
        <v>8.0564872453676788E-4</v>
      </c>
      <c r="G194" s="3">
        <f t="shared" si="130"/>
        <v>8.0564872453676788E-4</v>
      </c>
      <c r="H194" s="3">
        <f t="shared" si="130"/>
        <v>8.0564872453676788E-4</v>
      </c>
      <c r="I194" s="3">
        <f t="shared" si="130"/>
        <v>8.0564872453676788E-4</v>
      </c>
      <c r="J194" s="3">
        <f t="shared" si="130"/>
        <v>8.0564872453676788E-4</v>
      </c>
      <c r="K194" s="3">
        <f t="shared" si="130"/>
        <v>8.0564872453676788E-4</v>
      </c>
      <c r="L194" s="3">
        <f t="shared" si="130"/>
        <v>8.0564872453676788E-4</v>
      </c>
      <c r="M194" s="3">
        <f t="shared" si="130"/>
        <v>8.0564872453676788E-4</v>
      </c>
      <c r="N194" s="3">
        <f t="shared" si="130"/>
        <v>8.0564872453676788E-4</v>
      </c>
      <c r="O194" s="3">
        <f t="shared" si="130"/>
        <v>8.0564872453676788E-4</v>
      </c>
      <c r="P194" s="3">
        <f t="shared" si="130"/>
        <v>8.0564872453676788E-4</v>
      </c>
      <c r="Q194" s="3">
        <f t="shared" si="130"/>
        <v>8.0564872453676788E-4</v>
      </c>
      <c r="R194" s="3">
        <f t="shared" si="130"/>
        <v>8.0564872453676767E-4</v>
      </c>
      <c r="S194" s="3">
        <f t="shared" si="130"/>
        <v>8.0564872453676615E-4</v>
      </c>
      <c r="T194" s="3">
        <f t="shared" si="130"/>
        <v>8.0564872453674967E-4</v>
      </c>
      <c r="U194" s="3">
        <f t="shared" si="130"/>
        <v>8.0564872453658498E-4</v>
      </c>
      <c r="V194" s="3">
        <f t="shared" si="130"/>
        <v>8.0564872453493894E-4</v>
      </c>
      <c r="W194" s="3">
        <f t="shared" si="130"/>
        <v>8.0564872451847837E-4</v>
      </c>
      <c r="X194" s="3">
        <f t="shared" si="130"/>
        <v>8.0564872435387284E-4</v>
      </c>
      <c r="Y194" s="3">
        <f t="shared" si="130"/>
        <v>8.0564872270781727E-4</v>
      </c>
      <c r="Z194" s="3">
        <f t="shared" si="130"/>
        <v>8.0564870624726202E-4</v>
      </c>
      <c r="AA194" s="3">
        <f t="shared" si="130"/>
        <v>8.0564854164172752E-4</v>
      </c>
      <c r="AB194" s="3">
        <f t="shared" si="130"/>
        <v>8.0564689558823197E-4</v>
      </c>
      <c r="AC194" s="3">
        <f t="shared" si="130"/>
        <v>8.0563043523824843E-4</v>
      </c>
      <c r="AD194" s="3">
        <f t="shared" si="130"/>
        <v>8.054658502340559E-4</v>
      </c>
      <c r="AE194" s="3">
        <f t="shared" si="130"/>
        <v>8.0382184835911313E-4</v>
      </c>
      <c r="AF194" s="3">
        <f t="shared" si="130"/>
        <v>7.8756525676497815E-4</v>
      </c>
      <c r="AG194" s="3"/>
      <c r="AH194" s="3"/>
    </row>
    <row r="195" spans="1:34" x14ac:dyDescent="0.25">
      <c r="B195" s="3">
        <f t="shared" ref="B195:AF195" si="131">$C42*EXP(-B$168/$A42/EXP(-$C$126))</f>
        <v>2.8733708973087426E-3</v>
      </c>
      <c r="C195" s="3">
        <f t="shared" si="131"/>
        <v>2.8733708973087426E-3</v>
      </c>
      <c r="D195" s="3">
        <f t="shared" si="131"/>
        <v>2.8733708973087426E-3</v>
      </c>
      <c r="E195" s="3">
        <f t="shared" si="131"/>
        <v>2.8733708973087426E-3</v>
      </c>
      <c r="F195" s="3">
        <f t="shared" si="131"/>
        <v>2.8733708973087426E-3</v>
      </c>
      <c r="G195" s="3">
        <f t="shared" si="131"/>
        <v>2.8733708973087426E-3</v>
      </c>
      <c r="H195" s="3">
        <f t="shared" si="131"/>
        <v>2.8733708973087426E-3</v>
      </c>
      <c r="I195" s="3">
        <f t="shared" si="131"/>
        <v>2.8733708973087426E-3</v>
      </c>
      <c r="J195" s="3">
        <f t="shared" si="131"/>
        <v>2.8733708973087426E-3</v>
      </c>
      <c r="K195" s="3">
        <f t="shared" si="131"/>
        <v>2.8733708973087426E-3</v>
      </c>
      <c r="L195" s="3">
        <f t="shared" si="131"/>
        <v>2.8733708973087426E-3</v>
      </c>
      <c r="M195" s="3">
        <f t="shared" si="131"/>
        <v>2.8733708973087426E-3</v>
      </c>
      <c r="N195" s="3">
        <f t="shared" si="131"/>
        <v>2.8733708973087426E-3</v>
      </c>
      <c r="O195" s="3">
        <f t="shared" si="131"/>
        <v>2.8733708973087426E-3</v>
      </c>
      <c r="P195" s="3">
        <f t="shared" si="131"/>
        <v>2.8733708973087426E-3</v>
      </c>
      <c r="Q195" s="3">
        <f t="shared" si="131"/>
        <v>2.8733708973087426E-3</v>
      </c>
      <c r="R195" s="3">
        <f t="shared" si="131"/>
        <v>2.8733708973087426E-3</v>
      </c>
      <c r="S195" s="3">
        <f t="shared" si="131"/>
        <v>2.8733708973087422E-3</v>
      </c>
      <c r="T195" s="3">
        <f t="shared" si="131"/>
        <v>2.8733708973087361E-3</v>
      </c>
      <c r="U195" s="3">
        <f t="shared" si="131"/>
        <v>2.8733708973086775E-3</v>
      </c>
      <c r="V195" s="3">
        <f t="shared" si="131"/>
        <v>2.8733708973080903E-3</v>
      </c>
      <c r="W195" s="3">
        <f t="shared" si="131"/>
        <v>2.8733708973022196E-3</v>
      </c>
      <c r="X195" s="3">
        <f t="shared" si="131"/>
        <v>2.8733708972435122E-3</v>
      </c>
      <c r="Y195" s="3">
        <f t="shared" si="131"/>
        <v>2.8733708966564419E-3</v>
      </c>
      <c r="Z195" s="3">
        <f t="shared" si="131"/>
        <v>2.8733708907857343E-3</v>
      </c>
      <c r="AA195" s="3">
        <f t="shared" si="131"/>
        <v>2.8733708320786587E-3</v>
      </c>
      <c r="AB195" s="3">
        <f t="shared" si="131"/>
        <v>2.8733702450079689E-3</v>
      </c>
      <c r="AC195" s="3">
        <f t="shared" si="131"/>
        <v>2.8733643743076684E-3</v>
      </c>
      <c r="AD195" s="3">
        <f t="shared" si="131"/>
        <v>2.8733056679643675E-3</v>
      </c>
      <c r="AE195" s="3">
        <f t="shared" si="131"/>
        <v>2.8727186704966411E-3</v>
      </c>
      <c r="AF195" s="3">
        <f t="shared" si="131"/>
        <v>2.8668552873636292E-3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1.6248048079890072E-4</v>
      </c>
      <c r="C197" s="3">
        <f t="shared" si="133"/>
        <v>1.6248048079890072E-4</v>
      </c>
      <c r="D197" s="3">
        <f t="shared" si="133"/>
        <v>1.6248048079890072E-4</v>
      </c>
      <c r="E197" s="3">
        <f t="shared" si="133"/>
        <v>1.6248048079890072E-4</v>
      </c>
      <c r="F197" s="3">
        <f t="shared" si="133"/>
        <v>1.6248048079890072E-4</v>
      </c>
      <c r="G197" s="3">
        <f t="shared" si="133"/>
        <v>1.6248048079890072E-4</v>
      </c>
      <c r="H197" s="3">
        <f t="shared" si="133"/>
        <v>1.6248048079890072E-4</v>
      </c>
      <c r="I197" s="3">
        <f t="shared" si="133"/>
        <v>1.6248048079890072E-4</v>
      </c>
      <c r="J197" s="3">
        <f t="shared" si="133"/>
        <v>1.6248048079890072E-4</v>
      </c>
      <c r="K197" s="3">
        <f t="shared" si="133"/>
        <v>1.6248048079890072E-4</v>
      </c>
      <c r="L197" s="3">
        <f t="shared" si="133"/>
        <v>1.6248048079890072E-4</v>
      </c>
      <c r="M197" s="3">
        <f t="shared" si="133"/>
        <v>1.6248048079890072E-4</v>
      </c>
      <c r="N197" s="3">
        <f t="shared" si="133"/>
        <v>1.6248048079890072E-4</v>
      </c>
      <c r="O197" s="3">
        <f t="shared" si="133"/>
        <v>1.6248048079890072E-4</v>
      </c>
      <c r="P197" s="3">
        <f t="shared" si="133"/>
        <v>1.6248048079890072E-4</v>
      </c>
      <c r="Q197" s="3">
        <f t="shared" si="133"/>
        <v>1.6248048079890072E-4</v>
      </c>
      <c r="R197" s="3">
        <f t="shared" si="133"/>
        <v>1.6248048079890072E-4</v>
      </c>
      <c r="S197" s="3">
        <f t="shared" si="133"/>
        <v>1.6248048079890072E-4</v>
      </c>
      <c r="T197" s="3">
        <f t="shared" si="133"/>
        <v>1.6248048079890072E-4</v>
      </c>
      <c r="U197" s="3">
        <f t="shared" si="133"/>
        <v>1.624804807989007E-4</v>
      </c>
      <c r="V197" s="3">
        <f t="shared" si="133"/>
        <v>1.6248048079890037E-4</v>
      </c>
      <c r="W197" s="3">
        <f t="shared" si="133"/>
        <v>1.6248048079889704E-4</v>
      </c>
      <c r="X197" s="3">
        <f t="shared" si="133"/>
        <v>1.6248048079886383E-4</v>
      </c>
      <c r="Y197" s="3">
        <f t="shared" si="133"/>
        <v>1.6248048079853185E-4</v>
      </c>
      <c r="Z197" s="3">
        <f t="shared" si="133"/>
        <v>1.6248048079521216E-4</v>
      </c>
      <c r="AA197" s="3">
        <f t="shared" si="133"/>
        <v>1.6248048076201508E-4</v>
      </c>
      <c r="AB197" s="3">
        <f t="shared" si="133"/>
        <v>1.6248048043004422E-4</v>
      </c>
      <c r="AC197" s="3">
        <f t="shared" si="133"/>
        <v>1.624804771103357E-4</v>
      </c>
      <c r="AD197" s="3">
        <f t="shared" si="133"/>
        <v>1.6248044391325417E-4</v>
      </c>
      <c r="AE197" s="3">
        <f t="shared" si="133"/>
        <v>1.6248011194281193E-4</v>
      </c>
      <c r="AF197" s="3">
        <f t="shared" si="133"/>
        <v>1.6247679227569399E-4</v>
      </c>
      <c r="AG197" s="3"/>
      <c r="AH197" s="3"/>
    </row>
    <row r="198" spans="1:34" x14ac:dyDescent="0.25">
      <c r="B198" s="3">
        <f t="shared" ref="B198:AF198" si="134">$C45*EXP(-B$168/$A45/EXP(-$C$126))</f>
        <v>1.2901117231804357E-4</v>
      </c>
      <c r="C198" s="3">
        <f t="shared" si="134"/>
        <v>1.2901117231804357E-4</v>
      </c>
      <c r="D198" s="3">
        <f t="shared" si="134"/>
        <v>1.2901117231804357E-4</v>
      </c>
      <c r="E198" s="3">
        <f t="shared" si="134"/>
        <v>1.2901117231804357E-4</v>
      </c>
      <c r="F198" s="3">
        <f t="shared" si="134"/>
        <v>1.2901117231804357E-4</v>
      </c>
      <c r="G198" s="3">
        <f t="shared" si="134"/>
        <v>1.2901117231804357E-4</v>
      </c>
      <c r="H198" s="3">
        <f t="shared" si="134"/>
        <v>1.2901117231804357E-4</v>
      </c>
      <c r="I198" s="3">
        <f t="shared" si="134"/>
        <v>1.2901117231804357E-4</v>
      </c>
      <c r="J198" s="3">
        <f t="shared" si="134"/>
        <v>1.2901117231804357E-4</v>
      </c>
      <c r="K198" s="3">
        <f t="shared" si="134"/>
        <v>1.2901117231804357E-4</v>
      </c>
      <c r="L198" s="3">
        <f t="shared" si="134"/>
        <v>1.2901117231804357E-4</v>
      </c>
      <c r="M198" s="3">
        <f t="shared" si="134"/>
        <v>1.2901117231804357E-4</v>
      </c>
      <c r="N198" s="3">
        <f t="shared" si="134"/>
        <v>1.2901117231804357E-4</v>
      </c>
      <c r="O198" s="3">
        <f t="shared" si="134"/>
        <v>1.2901117231804357E-4</v>
      </c>
      <c r="P198" s="3">
        <f t="shared" si="134"/>
        <v>1.2901117231804357E-4</v>
      </c>
      <c r="Q198" s="3">
        <f t="shared" si="134"/>
        <v>1.2901117231804357E-4</v>
      </c>
      <c r="R198" s="3">
        <f t="shared" si="134"/>
        <v>1.2901117231804357E-4</v>
      </c>
      <c r="S198" s="3">
        <f t="shared" si="134"/>
        <v>1.2901117231804357E-4</v>
      </c>
      <c r="T198" s="3">
        <f t="shared" si="134"/>
        <v>1.2901117231804357E-4</v>
      </c>
      <c r="U198" s="3">
        <f t="shared" si="134"/>
        <v>1.2901117231804357E-4</v>
      </c>
      <c r="V198" s="3">
        <f t="shared" si="134"/>
        <v>1.2901117231804354E-4</v>
      </c>
      <c r="W198" s="3">
        <f t="shared" si="134"/>
        <v>1.2901117231804327E-4</v>
      </c>
      <c r="X198" s="3">
        <f t="shared" si="134"/>
        <v>1.2901117231804064E-4</v>
      </c>
      <c r="Y198" s="3">
        <f t="shared" si="134"/>
        <v>1.2901117231801427E-4</v>
      </c>
      <c r="Z198" s="3">
        <f t="shared" si="134"/>
        <v>1.290111723177507E-4</v>
      </c>
      <c r="AA198" s="3">
        <f t="shared" si="134"/>
        <v>1.2901117231511482E-4</v>
      </c>
      <c r="AB198" s="3">
        <f t="shared" si="134"/>
        <v>1.2901117228875599E-4</v>
      </c>
      <c r="AC198" s="3">
        <f t="shared" si="134"/>
        <v>1.2901117202516771E-4</v>
      </c>
      <c r="AD198" s="3">
        <f t="shared" si="134"/>
        <v>1.2901116938928502E-4</v>
      </c>
      <c r="AE198" s="3">
        <f t="shared" si="134"/>
        <v>1.2901114303046096E-4</v>
      </c>
      <c r="AF198" s="3">
        <f t="shared" si="134"/>
        <v>1.2901087944251663E-4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7.3508598139721321E-5</v>
      </c>
      <c r="C200" s="3">
        <f t="shared" si="136"/>
        <v>7.3508598139721321E-5</v>
      </c>
      <c r="D200" s="3">
        <f t="shared" si="136"/>
        <v>7.3508598139721321E-5</v>
      </c>
      <c r="E200" s="3">
        <f t="shared" si="136"/>
        <v>7.3508598139721321E-5</v>
      </c>
      <c r="F200" s="3">
        <f t="shared" si="136"/>
        <v>7.3508598139721321E-5</v>
      </c>
      <c r="G200" s="3">
        <f t="shared" si="136"/>
        <v>7.3508598139721321E-5</v>
      </c>
      <c r="H200" s="3">
        <f t="shared" si="136"/>
        <v>7.3508598139721321E-5</v>
      </c>
      <c r="I200" s="3">
        <f t="shared" si="136"/>
        <v>7.3508598139721321E-5</v>
      </c>
      <c r="J200" s="3">
        <f t="shared" si="136"/>
        <v>7.3508598139721321E-5</v>
      </c>
      <c r="K200" s="3">
        <f t="shared" si="136"/>
        <v>7.3508598139721321E-5</v>
      </c>
      <c r="L200" s="3">
        <f t="shared" si="136"/>
        <v>7.3508598139721321E-5</v>
      </c>
      <c r="M200" s="3">
        <f t="shared" si="136"/>
        <v>7.3508598139721321E-5</v>
      </c>
      <c r="N200" s="3">
        <f t="shared" si="136"/>
        <v>7.3508598139721321E-5</v>
      </c>
      <c r="O200" s="3">
        <f t="shared" si="136"/>
        <v>7.3508598139721321E-5</v>
      </c>
      <c r="P200" s="3">
        <f t="shared" si="136"/>
        <v>7.3508598139721321E-5</v>
      </c>
      <c r="Q200" s="3">
        <f t="shared" si="136"/>
        <v>7.3508598139721321E-5</v>
      </c>
      <c r="R200" s="3">
        <f t="shared" si="136"/>
        <v>7.3508598139721321E-5</v>
      </c>
      <c r="S200" s="3">
        <f t="shared" si="136"/>
        <v>7.3508598139721321E-5</v>
      </c>
      <c r="T200" s="3">
        <f t="shared" si="136"/>
        <v>7.3508598139721321E-5</v>
      </c>
      <c r="U200" s="3">
        <f t="shared" si="136"/>
        <v>7.3508598139721321E-5</v>
      </c>
      <c r="V200" s="3">
        <f t="shared" si="136"/>
        <v>7.3508598139721321E-5</v>
      </c>
      <c r="W200" s="3">
        <f t="shared" si="136"/>
        <v>7.3508598139721321E-5</v>
      </c>
      <c r="X200" s="3">
        <f t="shared" si="136"/>
        <v>7.3508598139721308E-5</v>
      </c>
      <c r="Y200" s="3">
        <f t="shared" si="136"/>
        <v>7.3508598139721158E-5</v>
      </c>
      <c r="Z200" s="3">
        <f t="shared" si="136"/>
        <v>7.3508598139719654E-5</v>
      </c>
      <c r="AA200" s="3">
        <f t="shared" si="136"/>
        <v>7.3508598139704638E-5</v>
      </c>
      <c r="AB200" s="3">
        <f t="shared" si="136"/>
        <v>7.3508598139554449E-5</v>
      </c>
      <c r="AC200" s="3">
        <f t="shared" si="136"/>
        <v>7.3508598138052558E-5</v>
      </c>
      <c r="AD200" s="3">
        <f t="shared" si="136"/>
        <v>7.3508598123033701E-5</v>
      </c>
      <c r="AE200" s="3">
        <f t="shared" si="136"/>
        <v>7.3508597972845124E-5</v>
      </c>
      <c r="AF200" s="3">
        <f t="shared" si="136"/>
        <v>7.3508596470959364E-5</v>
      </c>
      <c r="AG200" s="3"/>
      <c r="AH200" s="3"/>
    </row>
    <row r="201" spans="1:34" x14ac:dyDescent="0.25">
      <c r="B201" s="3">
        <f t="shared" ref="B201:AF201" si="137">$C48*EXP(-B$168/$A48/EXP(-$C$126))</f>
        <v>6.9573660063357843E-4</v>
      </c>
      <c r="C201" s="3">
        <f t="shared" si="137"/>
        <v>6.9573660063357843E-4</v>
      </c>
      <c r="D201" s="3">
        <f t="shared" si="137"/>
        <v>6.9573660063357843E-4</v>
      </c>
      <c r="E201" s="3">
        <f t="shared" si="137"/>
        <v>6.9573660063357843E-4</v>
      </c>
      <c r="F201" s="3">
        <f t="shared" si="137"/>
        <v>6.9573660063357843E-4</v>
      </c>
      <c r="G201" s="3">
        <f t="shared" si="137"/>
        <v>6.9573660063357843E-4</v>
      </c>
      <c r="H201" s="3">
        <f t="shared" si="137"/>
        <v>6.9573660063357843E-4</v>
      </c>
      <c r="I201" s="3">
        <f t="shared" si="137"/>
        <v>6.9573660063357843E-4</v>
      </c>
      <c r="J201" s="3">
        <f t="shared" si="137"/>
        <v>6.9573660063357843E-4</v>
      </c>
      <c r="K201" s="3">
        <f t="shared" si="137"/>
        <v>6.9573660063357843E-4</v>
      </c>
      <c r="L201" s="3">
        <f t="shared" si="137"/>
        <v>6.9573660063357843E-4</v>
      </c>
      <c r="M201" s="3">
        <f t="shared" si="137"/>
        <v>6.9573660063357843E-4</v>
      </c>
      <c r="N201" s="3">
        <f t="shared" si="137"/>
        <v>6.9573660063357843E-4</v>
      </c>
      <c r="O201" s="3">
        <f t="shared" si="137"/>
        <v>6.9573660063357843E-4</v>
      </c>
      <c r="P201" s="3">
        <f t="shared" si="137"/>
        <v>6.9573660063357843E-4</v>
      </c>
      <c r="Q201" s="3">
        <f t="shared" si="137"/>
        <v>6.9573660063357843E-4</v>
      </c>
      <c r="R201" s="3">
        <f t="shared" si="137"/>
        <v>6.9573660063357843E-4</v>
      </c>
      <c r="S201" s="3">
        <f t="shared" si="137"/>
        <v>6.9573660063357843E-4</v>
      </c>
      <c r="T201" s="3">
        <f t="shared" si="137"/>
        <v>6.9573660063357843E-4</v>
      </c>
      <c r="U201" s="3">
        <f t="shared" si="137"/>
        <v>6.9573660063357843E-4</v>
      </c>
      <c r="V201" s="3">
        <f t="shared" si="137"/>
        <v>6.9573660063357843E-4</v>
      </c>
      <c r="W201" s="3">
        <f t="shared" si="137"/>
        <v>6.9573660063357843E-4</v>
      </c>
      <c r="X201" s="3">
        <f t="shared" si="137"/>
        <v>6.9573660063357843E-4</v>
      </c>
      <c r="Y201" s="3">
        <f t="shared" si="137"/>
        <v>6.9573660063357832E-4</v>
      </c>
      <c r="Z201" s="3">
        <f t="shared" si="137"/>
        <v>6.9573660063357691E-4</v>
      </c>
      <c r="AA201" s="3">
        <f t="shared" si="137"/>
        <v>6.9573660063356271E-4</v>
      </c>
      <c r="AB201" s="3">
        <f t="shared" si="137"/>
        <v>6.9573660063342046E-4</v>
      </c>
      <c r="AC201" s="3">
        <f t="shared" si="137"/>
        <v>6.9573660063199897E-4</v>
      </c>
      <c r="AD201" s="3">
        <f t="shared" si="137"/>
        <v>6.957366006177841E-4</v>
      </c>
      <c r="AE201" s="3">
        <f t="shared" si="137"/>
        <v>6.9573660047563522E-4</v>
      </c>
      <c r="AF201" s="3">
        <f t="shared" si="137"/>
        <v>6.9573659905414588E-4</v>
      </c>
      <c r="AG201" s="3"/>
      <c r="AH201" s="3"/>
    </row>
    <row r="202" spans="1:34" x14ac:dyDescent="0.25">
      <c r="A202" s="79">
        <f>AVERAGE(B202:AF202)</f>
        <v>0.14314250170490952</v>
      </c>
      <c r="B202" s="80">
        <f>IF($A$64&lt;=B168,IF($B$64&gt;=B168,ABS((B170-B169)/B169),0),0)</f>
        <v>5.8119147667712086E-3</v>
      </c>
      <c r="C202" s="80">
        <f t="shared" ref="C202:AF202" si="138">IF($A$64&lt;=C168,IF($B$64&gt;=C168,ABS((C170-C169)/C169),0),0)</f>
        <v>6.0883725377061946E-3</v>
      </c>
      <c r="D202" s="80">
        <f t="shared" si="138"/>
        <v>8.4676100056388214E-3</v>
      </c>
      <c r="E202" s="80">
        <f t="shared" si="138"/>
        <v>1.7622012466322404E-2</v>
      </c>
      <c r="F202" s="80">
        <f t="shared" si="138"/>
        <v>1.8985141415616646E-2</v>
      </c>
      <c r="G202" s="80">
        <f t="shared" si="138"/>
        <v>1.8985017648396944E-2</v>
      </c>
      <c r="H202" s="80">
        <f t="shared" si="138"/>
        <v>1.898498694407769E-2</v>
      </c>
      <c r="I202" s="80">
        <f t="shared" si="138"/>
        <v>1.8984994047926917E-2</v>
      </c>
      <c r="J202" s="80">
        <f t="shared" si="138"/>
        <v>1.8985230423675625E-2</v>
      </c>
      <c r="K202" s="80">
        <f t="shared" si="138"/>
        <v>1.8987577316277978E-2</v>
      </c>
      <c r="L202" s="80">
        <f t="shared" si="138"/>
        <v>1.9011153740215614E-2</v>
      </c>
      <c r="M202" s="80">
        <f t="shared" si="138"/>
        <v>1.9243550901745968E-2</v>
      </c>
      <c r="N202" s="80">
        <f t="shared" si="138"/>
        <v>2.1281748434233916E-2</v>
      </c>
      <c r="O202" s="80">
        <f t="shared" si="138"/>
        <v>3.0923825931349957E-2</v>
      </c>
      <c r="P202" s="80">
        <f t="shared" si="138"/>
        <v>5.1662265173203908E-2</v>
      </c>
      <c r="Q202" s="80">
        <f t="shared" si="138"/>
        <v>6.877345646977305E-2</v>
      </c>
      <c r="R202" s="80">
        <f t="shared" si="138"/>
        <v>7.8591290216453211E-2</v>
      </c>
      <c r="S202" s="80">
        <f t="shared" si="138"/>
        <v>8.9192573015982907E-2</v>
      </c>
      <c r="T202" s="80">
        <f t="shared" si="138"/>
        <v>8.7411145858944661E-2</v>
      </c>
      <c r="U202" s="80">
        <f t="shared" si="138"/>
        <v>5.5144625429262073E-2</v>
      </c>
      <c r="V202" s="80">
        <f t="shared" si="138"/>
        <v>5.122530456867095E-2</v>
      </c>
      <c r="W202" s="80">
        <f t="shared" si="138"/>
        <v>0.17995549894840079</v>
      </c>
      <c r="X202" s="80">
        <f t="shared" si="138"/>
        <v>0.28799295588991264</v>
      </c>
      <c r="Y202" s="80">
        <f t="shared" si="138"/>
        <v>0.35138437508974701</v>
      </c>
      <c r="Z202" s="80">
        <f t="shared" si="138"/>
        <v>0.27962744899866854</v>
      </c>
      <c r="AA202" s="80">
        <f t="shared" si="138"/>
        <v>8.4075141633157116E-2</v>
      </c>
      <c r="AB202" s="80">
        <f t="shared" si="138"/>
        <v>0.15332689956420703</v>
      </c>
      <c r="AC202" s="80">
        <f t="shared" si="138"/>
        <v>0.37706350665698479</v>
      </c>
      <c r="AD202" s="80">
        <f t="shared" si="138"/>
        <v>0.56509079513845228</v>
      </c>
      <c r="AE202" s="80">
        <f t="shared" si="138"/>
        <v>0.67717437255628543</v>
      </c>
      <c r="AF202" s="80">
        <f t="shared" si="138"/>
        <v>0.75736276106413336</v>
      </c>
    </row>
    <row r="203" spans="1:34" x14ac:dyDescent="0.25">
      <c r="B203" s="21">
        <f>(B170-B169)^2</f>
        <v>1836.536717879331</v>
      </c>
      <c r="C203" s="21">
        <f t="shared" ref="C203:AF203" si="139">(C170-C169)^2</f>
        <v>2015.4517544111404</v>
      </c>
      <c r="D203" s="21">
        <f t="shared" si="139"/>
        <v>3898.4056160131818</v>
      </c>
      <c r="E203" s="21">
        <f t="shared" si="139"/>
        <v>16883.99197378787</v>
      </c>
      <c r="F203" s="21">
        <f t="shared" si="139"/>
        <v>19597.084155378467</v>
      </c>
      <c r="G203" s="21">
        <f t="shared" si="139"/>
        <v>19596.823688780794</v>
      </c>
      <c r="H203" s="21">
        <f t="shared" si="139"/>
        <v>19596.758980117851</v>
      </c>
      <c r="I203" s="21">
        <f t="shared" si="139"/>
        <v>19596.77298507858</v>
      </c>
      <c r="J203" s="21">
        <f t="shared" si="139"/>
        <v>19597.260973719702</v>
      </c>
      <c r="K203" s="21">
        <f t="shared" si="139"/>
        <v>19602.105712105898</v>
      </c>
      <c r="L203" s="21">
        <f t="shared" si="139"/>
        <v>19650.813878773148</v>
      </c>
      <c r="M203" s="21">
        <f t="shared" si="139"/>
        <v>20134.168813164331</v>
      </c>
      <c r="N203" s="21">
        <f t="shared" si="139"/>
        <v>24624.916806898837</v>
      </c>
      <c r="O203" s="21">
        <f t="shared" si="139"/>
        <v>51989.481541286819</v>
      </c>
      <c r="P203" s="21">
        <f t="shared" si="139"/>
        <v>144999.76715453892</v>
      </c>
      <c r="Q203" s="21">
        <f t="shared" si="139"/>
        <v>255277.68107643139</v>
      </c>
      <c r="R203" s="21">
        <f t="shared" si="139"/>
        <v>322461.78694564314</v>
      </c>
      <c r="S203" s="21">
        <f t="shared" si="139"/>
        <v>398158.90492015786</v>
      </c>
      <c r="T203" s="21">
        <f t="shared" si="139"/>
        <v>357201.86941857298</v>
      </c>
      <c r="U203" s="21">
        <f t="shared" si="139"/>
        <v>120299.09371759371</v>
      </c>
      <c r="V203" s="21">
        <f t="shared" si="139"/>
        <v>76321.243179559562</v>
      </c>
      <c r="W203" s="21">
        <f t="shared" si="139"/>
        <v>673003.69841397402</v>
      </c>
      <c r="X203" s="21">
        <f t="shared" si="139"/>
        <v>1279392.6794501352</v>
      </c>
      <c r="Y203" s="21">
        <f t="shared" si="139"/>
        <v>1487411.0254126939</v>
      </c>
      <c r="Z203" s="21">
        <f t="shared" si="139"/>
        <v>760717.89492322865</v>
      </c>
      <c r="AA203" s="21">
        <f t="shared" si="139"/>
        <v>56191.168389797378</v>
      </c>
      <c r="AB203" s="21">
        <f t="shared" si="139"/>
        <v>149994.19101030577</v>
      </c>
      <c r="AC203" s="21">
        <f t="shared" si="139"/>
        <v>677335.04647340265</v>
      </c>
      <c r="AD203" s="21">
        <f t="shared" si="139"/>
        <v>1018475.6346566399</v>
      </c>
      <c r="AE203" s="21">
        <f t="shared" si="139"/>
        <v>820584.65502330649</v>
      </c>
      <c r="AF203" s="21">
        <f t="shared" si="139"/>
        <v>428705.14922558784</v>
      </c>
      <c r="AG203" s="3"/>
      <c r="AH203" s="3"/>
    </row>
    <row r="204" spans="1:34" x14ac:dyDescent="0.25">
      <c r="A204" s="71">
        <f>SUM(B204:AF204)</f>
        <v>9285152.062988963</v>
      </c>
      <c r="B204" s="60">
        <f>IF($A$64&lt;=B168,IF($B$64&gt;=B168,ABS(B203),0),0)</f>
        <v>1836.536717879331</v>
      </c>
      <c r="C204" s="60">
        <f t="shared" ref="C204" si="140">IF($A$64&lt;=C168,IF($B$64&gt;=C168,ABS(C203),0),0)</f>
        <v>2015.4517544111404</v>
      </c>
      <c r="D204" s="60">
        <f t="shared" ref="D204" si="141">IF($A$64&lt;=D168,IF($B$64&gt;=D168,ABS(D203),0),0)</f>
        <v>3898.4056160131818</v>
      </c>
      <c r="E204" s="60">
        <f t="shared" ref="E204" si="142">IF($A$64&lt;=E168,IF($B$64&gt;=E168,ABS(E203),0),0)</f>
        <v>16883.99197378787</v>
      </c>
      <c r="F204" s="60">
        <f t="shared" ref="F204" si="143">IF($A$64&lt;=F168,IF($B$64&gt;=F168,ABS(F203),0),0)</f>
        <v>19597.084155378467</v>
      </c>
      <c r="G204" s="60">
        <f t="shared" ref="G204" si="144">IF($A$64&lt;=G168,IF($B$64&gt;=G168,ABS(G203),0),0)</f>
        <v>19596.823688780794</v>
      </c>
      <c r="H204" s="60">
        <f t="shared" ref="H204" si="145">IF($A$64&lt;=H168,IF($B$64&gt;=H168,ABS(H203),0),0)</f>
        <v>19596.758980117851</v>
      </c>
      <c r="I204" s="60">
        <f t="shared" ref="I204" si="146">IF($A$64&lt;=I168,IF($B$64&gt;=I168,ABS(I203),0),0)</f>
        <v>19596.77298507858</v>
      </c>
      <c r="J204" s="60">
        <f t="shared" ref="J204" si="147">IF($A$64&lt;=J168,IF($B$64&gt;=J168,ABS(J203),0),0)</f>
        <v>19597.260973719702</v>
      </c>
      <c r="K204" s="60">
        <f t="shared" ref="K204" si="148">IF($A$64&lt;=K168,IF($B$64&gt;=K168,ABS(K203),0),0)</f>
        <v>19602.105712105898</v>
      </c>
      <c r="L204" s="60">
        <f t="shared" ref="L204" si="149">IF($A$64&lt;=L168,IF($B$64&gt;=L168,ABS(L203),0),0)</f>
        <v>19650.813878773148</v>
      </c>
      <c r="M204" s="60">
        <f t="shared" ref="M204" si="150">IF($A$64&lt;=M168,IF($B$64&gt;=M168,ABS(M203),0),0)</f>
        <v>20134.168813164331</v>
      </c>
      <c r="N204" s="60">
        <f t="shared" ref="N204" si="151">IF($A$64&lt;=N168,IF($B$64&gt;=N168,ABS(N203),0),0)</f>
        <v>24624.916806898837</v>
      </c>
      <c r="O204" s="60">
        <f t="shared" ref="O204" si="152">IF($A$64&lt;=O168,IF($B$64&gt;=O168,ABS(O203),0),0)</f>
        <v>51989.481541286819</v>
      </c>
      <c r="P204" s="60">
        <f t="shared" ref="P204" si="153">IF($A$64&lt;=P168,IF($B$64&gt;=P168,ABS(P203),0),0)</f>
        <v>144999.76715453892</v>
      </c>
      <c r="Q204" s="60">
        <f t="shared" ref="Q204" si="154">IF($A$64&lt;=Q168,IF($B$64&gt;=Q168,ABS(Q203),0),0)</f>
        <v>255277.68107643139</v>
      </c>
      <c r="R204" s="60">
        <f t="shared" ref="R204" si="155">IF($A$64&lt;=R168,IF($B$64&gt;=R168,ABS(R203),0),0)</f>
        <v>322461.78694564314</v>
      </c>
      <c r="S204" s="60">
        <f t="shared" ref="S204" si="156">IF($A$64&lt;=S168,IF($B$64&gt;=S168,ABS(S203),0),0)</f>
        <v>398158.90492015786</v>
      </c>
      <c r="T204" s="60">
        <f t="shared" ref="T204" si="157">IF($A$64&lt;=T168,IF($B$64&gt;=T168,ABS(T203),0),0)</f>
        <v>357201.86941857298</v>
      </c>
      <c r="U204" s="60">
        <f t="shared" ref="U204" si="158">IF($A$64&lt;=U168,IF($B$64&gt;=U168,ABS(U203),0),0)</f>
        <v>120299.09371759371</v>
      </c>
      <c r="V204" s="60">
        <f t="shared" ref="V204" si="159">IF($A$64&lt;=V168,IF($B$64&gt;=V168,ABS(V203),0),0)</f>
        <v>76321.243179559562</v>
      </c>
      <c r="W204" s="60">
        <f t="shared" ref="W204" si="160">IF($A$64&lt;=W168,IF($B$64&gt;=W168,ABS(W203),0),0)</f>
        <v>673003.69841397402</v>
      </c>
      <c r="X204" s="60">
        <f t="shared" ref="X204" si="161">IF($A$64&lt;=X168,IF($B$64&gt;=X168,ABS(X203),0),0)</f>
        <v>1279392.6794501352</v>
      </c>
      <c r="Y204" s="60">
        <f t="shared" ref="Y204" si="162">IF($A$64&lt;=Y168,IF($B$64&gt;=Y168,ABS(Y203),0),0)</f>
        <v>1487411.0254126939</v>
      </c>
      <c r="Z204" s="60">
        <f t="shared" ref="Z204" si="163">IF($A$64&lt;=Z168,IF($B$64&gt;=Z168,ABS(Z203),0),0)</f>
        <v>760717.89492322865</v>
      </c>
      <c r="AA204" s="60">
        <f t="shared" ref="AA204" si="164">IF($A$64&lt;=AA168,IF($B$64&gt;=AA168,ABS(AA203),0),0)</f>
        <v>56191.168389797378</v>
      </c>
      <c r="AB204" s="60">
        <f t="shared" ref="AB204" si="165">IF($A$64&lt;=AB168,IF($B$64&gt;=AB168,ABS(AB203),0),0)</f>
        <v>149994.19101030577</v>
      </c>
      <c r="AC204" s="60">
        <f t="shared" ref="AC204" si="166">IF($A$64&lt;=AC168,IF($B$64&gt;=AC168,ABS(AC203),0),0)</f>
        <v>677335.04647340265</v>
      </c>
      <c r="AD204" s="60">
        <f t="shared" ref="AD204" si="167">IF($A$64&lt;=AD168,IF($B$64&gt;=AD168,ABS(AD203),0),0)</f>
        <v>1018475.6346566399</v>
      </c>
      <c r="AE204" s="60">
        <f t="shared" ref="AE204" si="168">IF($A$64&lt;=AE168,IF($B$64&gt;=AE168,ABS(AE203),0),0)</f>
        <v>820584.65502330649</v>
      </c>
      <c r="AF204" s="60">
        <f t="shared" ref="AF204" si="169">IF($A$64&lt;=AF168,IF($B$64&gt;=AF168,ABS(AF203),0),0)</f>
        <v>428705.14922558784</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7323.0919007332441</v>
      </c>
      <c r="C209" s="27">
        <f t="shared" ref="C209:AF209" si="170">($C$17+SUM(C210:C240))*$B$51</f>
        <v>7275.4404245424603</v>
      </c>
      <c r="D209" s="27">
        <f t="shared" si="170"/>
        <v>7233.6704910017033</v>
      </c>
      <c r="E209" s="27">
        <f t="shared" si="170"/>
        <v>7233.649767494243</v>
      </c>
      <c r="F209" s="27">
        <f t="shared" si="170"/>
        <v>7233.6497610029501</v>
      </c>
      <c r="G209" s="27">
        <f t="shared" si="170"/>
        <v>7233.6496960900613</v>
      </c>
      <c r="H209" s="27">
        <f t="shared" si="170"/>
        <v>7233.6490469645505</v>
      </c>
      <c r="I209" s="27">
        <f t="shared" si="170"/>
        <v>7233.6425560478683</v>
      </c>
      <c r="J209" s="27">
        <f t="shared" si="170"/>
        <v>7233.5776807063721</v>
      </c>
      <c r="K209" s="27">
        <f t="shared" si="170"/>
        <v>7232.9322927419862</v>
      </c>
      <c r="L209" s="27">
        <f t="shared" si="170"/>
        <v>7226.7985313045338</v>
      </c>
      <c r="M209" s="27">
        <f t="shared" si="170"/>
        <v>7185.9595726432299</v>
      </c>
      <c r="N209" s="27">
        <f t="shared" si="170"/>
        <v>7055.3398722931979</v>
      </c>
      <c r="O209" s="27">
        <f t="shared" si="170"/>
        <v>6908.7732637267954</v>
      </c>
      <c r="P209" s="27">
        <f t="shared" si="170"/>
        <v>6743.3102647847891</v>
      </c>
      <c r="Q209" s="27">
        <f t="shared" si="170"/>
        <v>6540.6927398204716</v>
      </c>
      <c r="R209" s="27">
        <f t="shared" si="170"/>
        <v>6339.4537973221895</v>
      </c>
      <c r="S209" s="27">
        <f t="shared" si="170"/>
        <v>6085.9871256527395</v>
      </c>
      <c r="T209" s="27">
        <f t="shared" si="170"/>
        <v>5796.7386036169155</v>
      </c>
      <c r="U209" s="27">
        <f t="shared" si="170"/>
        <v>5518.625274840716</v>
      </c>
      <c r="V209" s="27">
        <f t="shared" si="170"/>
        <v>5211.612241430109</v>
      </c>
      <c r="W209" s="27">
        <f t="shared" si="170"/>
        <v>4872.6704453826187</v>
      </c>
      <c r="X209" s="27">
        <f t="shared" si="170"/>
        <v>4361.3757008434031</v>
      </c>
      <c r="Y209" s="27">
        <f t="shared" si="170"/>
        <v>3488.8680564689662</v>
      </c>
      <c r="Z209" s="27">
        <f t="shared" si="170"/>
        <v>2514.9812396026946</v>
      </c>
      <c r="AA209" s="27">
        <f t="shared" si="170"/>
        <v>1658.0593866598554</v>
      </c>
      <c r="AB209" s="27">
        <f t="shared" si="170"/>
        <v>976.52533618536006</v>
      </c>
      <c r="AC209" s="27">
        <f t="shared" si="170"/>
        <v>529.03866651073781</v>
      </c>
      <c r="AD209" s="27">
        <f t="shared" si="170"/>
        <v>287.32688221600165</v>
      </c>
      <c r="AE209" s="27">
        <f t="shared" si="170"/>
        <v>158.08285331306359</v>
      </c>
      <c r="AF209" s="27">
        <f t="shared" si="170"/>
        <v>115.19583564506559</v>
      </c>
      <c r="AG209" s="27"/>
      <c r="AH209" s="27"/>
    </row>
    <row r="210" spans="1:34" x14ac:dyDescent="0.25">
      <c r="B210" s="3">
        <f t="shared" ref="B210:AF210" si="171">$C18*EXP(-B$207/$A18/EXP(-$D$126))</f>
        <v>1.220056504817716E-2</v>
      </c>
      <c r="C210" s="3">
        <f t="shared" si="171"/>
        <v>5.7005530464722233E-3</v>
      </c>
      <c r="D210" s="3">
        <f t="shared" si="171"/>
        <v>2.8267503685408599E-6</v>
      </c>
      <c r="E210" s="3">
        <f t="shared" si="171"/>
        <v>2.5409265931975789E-39</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3.9093064533186556E-3</v>
      </c>
      <c r="C214" s="3">
        <f t="shared" si="175"/>
        <v>3.9093064527593105E-3</v>
      </c>
      <c r="D214" s="3">
        <f t="shared" si="175"/>
        <v>3.9093064471658594E-3</v>
      </c>
      <c r="E214" s="3">
        <f t="shared" si="175"/>
        <v>3.9093063912313463E-3</v>
      </c>
      <c r="F214" s="3">
        <f t="shared" si="175"/>
        <v>3.9093058318862553E-3</v>
      </c>
      <c r="G214" s="3">
        <f t="shared" si="175"/>
        <v>3.9093002384397542E-3</v>
      </c>
      <c r="H214" s="3">
        <f t="shared" si="175"/>
        <v>3.9092443044149057E-3</v>
      </c>
      <c r="I214" s="3">
        <f t="shared" si="175"/>
        <v>3.9086850081810637E-3</v>
      </c>
      <c r="J214" s="3">
        <f t="shared" si="175"/>
        <v>3.9030964449775114E-3</v>
      </c>
      <c r="K214" s="3">
        <f t="shared" si="175"/>
        <v>3.847648406424372E-3</v>
      </c>
      <c r="L214" s="3">
        <f t="shared" si="175"/>
        <v>3.3346967845627566E-3</v>
      </c>
      <c r="M214" s="3">
        <f t="shared" si="175"/>
        <v>7.9738132443500122E-4</v>
      </c>
      <c r="N214" s="3">
        <f t="shared" si="175"/>
        <v>4.872626804700315E-10</v>
      </c>
      <c r="O214" s="3">
        <f t="shared" si="175"/>
        <v>3.5378063070006696E-72</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2.3295025109782184E-2</v>
      </c>
      <c r="C215" s="3">
        <f t="shared" si="176"/>
        <v>2.3295025109481511E-2</v>
      </c>
      <c r="D215" s="3">
        <f t="shared" si="176"/>
        <v>2.3295025106474816E-2</v>
      </c>
      <c r="E215" s="3">
        <f t="shared" si="176"/>
        <v>2.3295025076407828E-2</v>
      </c>
      <c r="F215" s="3">
        <f t="shared" si="176"/>
        <v>2.3295024775737947E-2</v>
      </c>
      <c r="G215" s="3">
        <f t="shared" si="176"/>
        <v>2.3295021769039376E-2</v>
      </c>
      <c r="H215" s="3">
        <f t="shared" si="176"/>
        <v>2.3294991702074982E-2</v>
      </c>
      <c r="I215" s="3">
        <f t="shared" si="176"/>
        <v>2.3294691034565478E-2</v>
      </c>
      <c r="J215" s="3">
        <f t="shared" si="176"/>
        <v>2.3291684572900838E-2</v>
      </c>
      <c r="K215" s="3">
        <f t="shared" si="176"/>
        <v>2.3261641289107102E-2</v>
      </c>
      <c r="L215" s="3">
        <f t="shared" si="176"/>
        <v>2.2963331583784607E-2</v>
      </c>
      <c r="M215" s="3">
        <f t="shared" si="176"/>
        <v>2.0182749187380476E-2</v>
      </c>
      <c r="N215" s="3">
        <f t="shared" si="176"/>
        <v>5.5518098882909404E-3</v>
      </c>
      <c r="O215" s="3">
        <f t="shared" si="176"/>
        <v>1.3771372147169284E-8</v>
      </c>
      <c r="P215" s="3">
        <f t="shared" si="176"/>
        <v>1.2145167219869465E-64</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1.9366384778575507E-2</v>
      </c>
      <c r="C216" s="3">
        <f t="shared" si="177"/>
        <v>1.9366384778552955E-2</v>
      </c>
      <c r="D216" s="3">
        <f t="shared" si="177"/>
        <v>1.9366384778327472E-2</v>
      </c>
      <c r="E216" s="3">
        <f t="shared" si="177"/>
        <v>1.9366384776072599E-2</v>
      </c>
      <c r="F216" s="3">
        <f t="shared" si="177"/>
        <v>1.9366384753523879E-2</v>
      </c>
      <c r="G216" s="3">
        <f t="shared" si="177"/>
        <v>1.9366384528036681E-2</v>
      </c>
      <c r="H216" s="3">
        <f t="shared" si="177"/>
        <v>1.936638227316486E-2</v>
      </c>
      <c r="I216" s="3">
        <f t="shared" si="177"/>
        <v>1.9366359724461091E-2</v>
      </c>
      <c r="J216" s="3">
        <f t="shared" si="177"/>
        <v>1.9366134238867374E-2</v>
      </c>
      <c r="K216" s="3">
        <f t="shared" si="177"/>
        <v>1.9363879527320191E-2</v>
      </c>
      <c r="L216" s="3">
        <f t="shared" si="177"/>
        <v>1.9341346844630288E-2</v>
      </c>
      <c r="M216" s="3">
        <f t="shared" si="177"/>
        <v>1.9117457097607645E-2</v>
      </c>
      <c r="N216" s="3">
        <f t="shared" si="177"/>
        <v>1.7016264807908032E-2</v>
      </c>
      <c r="O216" s="3">
        <f t="shared" si="177"/>
        <v>5.3113552188334464E-3</v>
      </c>
      <c r="P216" s="3">
        <f t="shared" si="177"/>
        <v>4.6624744973746978E-8</v>
      </c>
      <c r="Q216" s="3">
        <f t="shared" si="177"/>
        <v>1.2668572653040351E-58</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2.4447536701485997E-2</v>
      </c>
      <c r="C217" s="3">
        <f t="shared" si="178"/>
        <v>2.4447536701483429E-2</v>
      </c>
      <c r="D217" s="3">
        <f t="shared" si="178"/>
        <v>2.4447536701457748E-2</v>
      </c>
      <c r="E217" s="3">
        <f t="shared" si="178"/>
        <v>2.4447536701200975E-2</v>
      </c>
      <c r="F217" s="3">
        <f t="shared" si="178"/>
        <v>2.4447536698633209E-2</v>
      </c>
      <c r="G217" s="3">
        <f t="shared" si="178"/>
        <v>2.4447536672955576E-2</v>
      </c>
      <c r="H217" s="3">
        <f t="shared" si="178"/>
        <v>2.4447536416179222E-2</v>
      </c>
      <c r="I217" s="3">
        <f t="shared" si="178"/>
        <v>2.4447533848415824E-2</v>
      </c>
      <c r="J217" s="3">
        <f t="shared" si="178"/>
        <v>2.4447508170796696E-2</v>
      </c>
      <c r="K217" s="3">
        <f t="shared" si="178"/>
        <v>2.4447251396088724E-2</v>
      </c>
      <c r="L217" s="3">
        <f t="shared" si="178"/>
        <v>2.4444683797335581E-2</v>
      </c>
      <c r="M217" s="3">
        <f t="shared" si="178"/>
        <v>2.4419022636696451E-2</v>
      </c>
      <c r="N217" s="3">
        <f t="shared" si="178"/>
        <v>2.4163887973709875E-2</v>
      </c>
      <c r="O217" s="3">
        <f t="shared" si="178"/>
        <v>2.1754653743721923E-2</v>
      </c>
      <c r="P217" s="3">
        <f t="shared" si="178"/>
        <v>7.6103703491041987E-3</v>
      </c>
      <c r="Q217" s="3">
        <f t="shared" si="178"/>
        <v>2.0890169114549503E-7</v>
      </c>
      <c r="R217" s="3">
        <f t="shared" si="178"/>
        <v>5.0734524790171022E-53</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3.2102560695383198E-2</v>
      </c>
      <c r="C218" s="3">
        <f t="shared" si="179"/>
        <v>3.2102560695382892E-2</v>
      </c>
      <c r="D218" s="3">
        <f t="shared" si="179"/>
        <v>3.2102560695379853E-2</v>
      </c>
      <c r="E218" s="3">
        <f t="shared" si="179"/>
        <v>3.210256069534944E-2</v>
      </c>
      <c r="F218" s="3">
        <f t="shared" si="179"/>
        <v>3.2102560695045274E-2</v>
      </c>
      <c r="G218" s="3">
        <f t="shared" si="179"/>
        <v>3.2102560692003644E-2</v>
      </c>
      <c r="H218" s="3">
        <f t="shared" si="179"/>
        <v>3.2102560661587357E-2</v>
      </c>
      <c r="I218" s="3">
        <f t="shared" si="179"/>
        <v>3.2102560357424495E-2</v>
      </c>
      <c r="J218" s="3">
        <f t="shared" si="179"/>
        <v>3.2102557315796011E-2</v>
      </c>
      <c r="K218" s="3">
        <f t="shared" si="179"/>
        <v>3.2102526899527042E-2</v>
      </c>
      <c r="L218" s="3">
        <f t="shared" si="179"/>
        <v>3.2102222738422379E-2</v>
      </c>
      <c r="M218" s="3">
        <f t="shared" si="179"/>
        <v>3.209918128587174E-2</v>
      </c>
      <c r="N218" s="3">
        <f t="shared" si="179"/>
        <v>3.2068782604416826E-2</v>
      </c>
      <c r="O218" s="3">
        <f t="shared" si="179"/>
        <v>3.1766374654695111E-2</v>
      </c>
      <c r="P218" s="3">
        <f t="shared" si="179"/>
        <v>2.8894784188163439E-2</v>
      </c>
      <c r="Q218" s="3">
        <f t="shared" si="179"/>
        <v>1.1203080829697013E-2</v>
      </c>
      <c r="R218" s="3">
        <f t="shared" si="179"/>
        <v>8.6003794378183377E-7</v>
      </c>
      <c r="S218" s="3">
        <f t="shared" si="179"/>
        <v>6.1139099815710539E-48</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2.4134444755217827E-2</v>
      </c>
      <c r="C219" s="3">
        <f t="shared" si="180"/>
        <v>2.4134444755217806E-2</v>
      </c>
      <c r="D219" s="3">
        <f t="shared" si="180"/>
        <v>2.4134444755217602E-2</v>
      </c>
      <c r="E219" s="3">
        <f t="shared" si="180"/>
        <v>2.4134444755215541E-2</v>
      </c>
      <c r="F219" s="3">
        <f t="shared" si="180"/>
        <v>2.4134444755194912E-2</v>
      </c>
      <c r="G219" s="3">
        <f t="shared" si="180"/>
        <v>2.4134444754988636E-2</v>
      </c>
      <c r="H219" s="3">
        <f t="shared" si="180"/>
        <v>2.4134444752925865E-2</v>
      </c>
      <c r="I219" s="3">
        <f t="shared" si="180"/>
        <v>2.4134444732298185E-2</v>
      </c>
      <c r="J219" s="3">
        <f t="shared" si="180"/>
        <v>2.413444452602137E-2</v>
      </c>
      <c r="K219" s="3">
        <f t="shared" si="180"/>
        <v>2.4134442463253324E-2</v>
      </c>
      <c r="L219" s="3">
        <f t="shared" si="180"/>
        <v>2.4134421835582537E-2</v>
      </c>
      <c r="M219" s="3">
        <f t="shared" si="180"/>
        <v>2.4134215559844352E-2</v>
      </c>
      <c r="N219" s="3">
        <f t="shared" si="180"/>
        <v>2.413215289942661E-2</v>
      </c>
      <c r="O219" s="3">
        <f t="shared" si="180"/>
        <v>2.4111535988593145E-2</v>
      </c>
      <c r="P219" s="3">
        <f t="shared" si="180"/>
        <v>2.3906333156240859E-2</v>
      </c>
      <c r="Q219" s="3">
        <f t="shared" si="180"/>
        <v>2.1947945301602902E-2</v>
      </c>
      <c r="R219" s="3">
        <f t="shared" si="180"/>
        <v>9.3369038398087995E-3</v>
      </c>
      <c r="S219" s="3">
        <f t="shared" si="180"/>
        <v>1.8125627677826451E-6</v>
      </c>
      <c r="T219" s="3">
        <f t="shared" si="180"/>
        <v>1.3778271632318991E-43</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4.5522140204717329E-2</v>
      </c>
      <c r="C220" s="3">
        <f t="shared" si="181"/>
        <v>4.5522140204717322E-2</v>
      </c>
      <c r="D220" s="3">
        <f t="shared" si="181"/>
        <v>4.5522140204717287E-2</v>
      </c>
      <c r="E220" s="3">
        <f t="shared" si="181"/>
        <v>4.552214020471694E-2</v>
      </c>
      <c r="F220" s="3">
        <f t="shared" si="181"/>
        <v>4.5522140204713429E-2</v>
      </c>
      <c r="G220" s="3">
        <f t="shared" si="181"/>
        <v>4.5522140204678332E-2</v>
      </c>
      <c r="H220" s="3">
        <f t="shared" si="181"/>
        <v>4.5522140204327349E-2</v>
      </c>
      <c r="I220" s="3">
        <f t="shared" si="181"/>
        <v>4.5522140200817553E-2</v>
      </c>
      <c r="J220" s="3">
        <f t="shared" si="181"/>
        <v>4.5522140165719552E-2</v>
      </c>
      <c r="K220" s="3">
        <f t="shared" si="181"/>
        <v>4.5522139814739557E-2</v>
      </c>
      <c r="L220" s="3">
        <f t="shared" si="181"/>
        <v>4.5522136304939724E-2</v>
      </c>
      <c r="M220" s="3">
        <f t="shared" si="181"/>
        <v>4.552210120695626E-2</v>
      </c>
      <c r="N220" s="3">
        <f t="shared" si="181"/>
        <v>4.5521750228610026E-2</v>
      </c>
      <c r="O220" s="3">
        <f t="shared" si="181"/>
        <v>4.5518240593977848E-2</v>
      </c>
      <c r="P220" s="3">
        <f t="shared" si="181"/>
        <v>4.5483159126428668E-2</v>
      </c>
      <c r="Q220" s="3">
        <f t="shared" si="181"/>
        <v>4.5133828092416207E-2</v>
      </c>
      <c r="R220" s="3">
        <f t="shared" si="181"/>
        <v>4.1784735338520188E-2</v>
      </c>
      <c r="S220" s="3">
        <f t="shared" si="181"/>
        <v>1.9327358786774607E-2</v>
      </c>
      <c r="T220" s="3">
        <f t="shared" si="181"/>
        <v>8.6640517949443833E-6</v>
      </c>
      <c r="U220" s="3">
        <f t="shared" si="181"/>
        <v>2.8392677571876527E-39</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3.7432935335074267E-2</v>
      </c>
      <c r="C221" s="3">
        <f t="shared" si="182"/>
        <v>3.7432935335074267E-2</v>
      </c>
      <c r="D221" s="3">
        <f t="shared" si="182"/>
        <v>3.7432935335074261E-2</v>
      </c>
      <c r="E221" s="3">
        <f t="shared" si="182"/>
        <v>3.743293533507424E-2</v>
      </c>
      <c r="F221" s="3">
        <f t="shared" si="182"/>
        <v>3.7432935335073976E-2</v>
      </c>
      <c r="G221" s="3">
        <f t="shared" si="182"/>
        <v>3.7432935335071374E-2</v>
      </c>
      <c r="H221" s="3">
        <f t="shared" si="182"/>
        <v>3.7432935335045339E-2</v>
      </c>
      <c r="I221" s="3">
        <f t="shared" si="182"/>
        <v>3.7432935334784985E-2</v>
      </c>
      <c r="J221" s="3">
        <f t="shared" si="182"/>
        <v>3.743293533218147E-2</v>
      </c>
      <c r="K221" s="3">
        <f t="shared" si="182"/>
        <v>3.7432935306146317E-2</v>
      </c>
      <c r="L221" s="3">
        <f t="shared" si="182"/>
        <v>3.7432935045794764E-2</v>
      </c>
      <c r="M221" s="3">
        <f t="shared" si="182"/>
        <v>3.7432932442279347E-2</v>
      </c>
      <c r="N221" s="3">
        <f t="shared" si="182"/>
        <v>3.7432906407135119E-2</v>
      </c>
      <c r="O221" s="3">
        <f t="shared" si="182"/>
        <v>3.7432646056688772E-2</v>
      </c>
      <c r="P221" s="3">
        <f t="shared" si="182"/>
        <v>3.743004265181555E-2</v>
      </c>
      <c r="Q221" s="3">
        <f t="shared" si="182"/>
        <v>3.7404018559543901E-2</v>
      </c>
      <c r="R221" s="3">
        <f t="shared" si="182"/>
        <v>3.714477072544279E-2</v>
      </c>
      <c r="S221" s="3">
        <f t="shared" si="182"/>
        <v>3.4649092477317511E-2</v>
      </c>
      <c r="T221" s="3">
        <f t="shared" si="182"/>
        <v>1.728357924464784E-2</v>
      </c>
      <c r="U221" s="3">
        <f t="shared" si="182"/>
        <v>1.6483593500159559E-5</v>
      </c>
      <c r="V221" s="3">
        <f t="shared" si="182"/>
        <v>1.0262047082545248E-35</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4.1089114467289377E-2</v>
      </c>
      <c r="C222" s="3">
        <f t="shared" si="183"/>
        <v>4.1089114467289377E-2</v>
      </c>
      <c r="D222" s="3">
        <f t="shared" si="183"/>
        <v>4.1089114467289377E-2</v>
      </c>
      <c r="E222" s="3">
        <f t="shared" si="183"/>
        <v>4.108911446728937E-2</v>
      </c>
      <c r="F222" s="3">
        <f t="shared" si="183"/>
        <v>4.1089114467289349E-2</v>
      </c>
      <c r="G222" s="3">
        <f t="shared" si="183"/>
        <v>4.1089114467289092E-2</v>
      </c>
      <c r="H222" s="3">
        <f t="shared" si="183"/>
        <v>4.1089114467286511E-2</v>
      </c>
      <c r="I222" s="3">
        <f t="shared" si="183"/>
        <v>4.1089114467260733E-2</v>
      </c>
      <c r="J222" s="3">
        <f t="shared" si="183"/>
        <v>4.1089114467002939E-2</v>
      </c>
      <c r="K222" s="3">
        <f t="shared" si="183"/>
        <v>4.1089114464424953E-2</v>
      </c>
      <c r="L222" s="3">
        <f t="shared" si="183"/>
        <v>4.1089114438645144E-2</v>
      </c>
      <c r="M222" s="3">
        <f t="shared" si="183"/>
        <v>4.1089114180847076E-2</v>
      </c>
      <c r="N222" s="3">
        <f t="shared" si="183"/>
        <v>4.1089111602866484E-2</v>
      </c>
      <c r="O222" s="3">
        <f t="shared" si="183"/>
        <v>4.1089085823069402E-2</v>
      </c>
      <c r="P222" s="3">
        <f t="shared" si="183"/>
        <v>4.1088828025988233E-2</v>
      </c>
      <c r="Q222" s="3">
        <f t="shared" si="183"/>
        <v>4.1086250144134293E-2</v>
      </c>
      <c r="R222" s="3">
        <f t="shared" si="183"/>
        <v>4.1060480219310039E-2</v>
      </c>
      <c r="S222" s="3">
        <f t="shared" si="183"/>
        <v>4.0803668281432587E-2</v>
      </c>
      <c r="T222" s="3">
        <f t="shared" si="183"/>
        <v>3.8322254227502205E-2</v>
      </c>
      <c r="U222" s="3">
        <f t="shared" si="183"/>
        <v>2.0463006463085593E-2</v>
      </c>
      <c r="V222" s="3">
        <f t="shared" si="183"/>
        <v>3.8561452064606749E-5</v>
      </c>
      <c r="W222" s="3">
        <f t="shared" si="183"/>
        <v>2.1776734575496872E-32</v>
      </c>
      <c r="X222" s="3">
        <f t="shared" si="183"/>
        <v>7.1843344696728839E-305</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4.624509457562298E-2</v>
      </c>
      <c r="C223" s="3">
        <f t="shared" si="184"/>
        <v>4.624509457562298E-2</v>
      </c>
      <c r="D223" s="3">
        <f t="shared" si="184"/>
        <v>4.624509457562298E-2</v>
      </c>
      <c r="E223" s="3">
        <f t="shared" si="184"/>
        <v>4.624509457562298E-2</v>
      </c>
      <c r="F223" s="3">
        <f t="shared" si="184"/>
        <v>4.6245094575622973E-2</v>
      </c>
      <c r="G223" s="3">
        <f t="shared" si="184"/>
        <v>4.6245094575622953E-2</v>
      </c>
      <c r="H223" s="3">
        <f t="shared" si="184"/>
        <v>4.6245094575622689E-2</v>
      </c>
      <c r="I223" s="3">
        <f t="shared" si="184"/>
        <v>4.6245094575620073E-2</v>
      </c>
      <c r="J223" s="3">
        <f t="shared" si="184"/>
        <v>4.6245094575593899E-2</v>
      </c>
      <c r="K223" s="3">
        <f t="shared" si="184"/>
        <v>4.6245094575332164E-2</v>
      </c>
      <c r="L223" s="3">
        <f t="shared" si="184"/>
        <v>4.6245094572714793E-2</v>
      </c>
      <c r="M223" s="3">
        <f t="shared" si="184"/>
        <v>4.6245094546541091E-2</v>
      </c>
      <c r="N223" s="3">
        <f t="shared" si="184"/>
        <v>4.6245094284804077E-2</v>
      </c>
      <c r="O223" s="3">
        <f t="shared" si="184"/>
        <v>4.6245091667434034E-2</v>
      </c>
      <c r="P223" s="3">
        <f t="shared" si="184"/>
        <v>4.6245065493741765E-2</v>
      </c>
      <c r="Q223" s="3">
        <f t="shared" si="184"/>
        <v>4.6244803757633783E-2</v>
      </c>
      <c r="R223" s="3">
        <f t="shared" si="184"/>
        <v>4.624218647802765E-2</v>
      </c>
      <c r="S223" s="3">
        <f t="shared" si="184"/>
        <v>4.6216021827625867E-2</v>
      </c>
      <c r="T223" s="3">
        <f t="shared" si="184"/>
        <v>4.5955188186345301E-2</v>
      </c>
      <c r="U223" s="3">
        <f t="shared" si="184"/>
        <v>4.3426461279860031E-2</v>
      </c>
      <c r="V223" s="3">
        <f t="shared" si="184"/>
        <v>2.4657745403025136E-2</v>
      </c>
      <c r="W223" s="3">
        <f t="shared" si="184"/>
        <v>8.5889998104859264E-5</v>
      </c>
      <c r="X223" s="3">
        <f t="shared" si="184"/>
        <v>2.2585769102656077E-29</v>
      </c>
      <c r="Y223" s="3">
        <f t="shared" si="184"/>
        <v>3.5707364115114655E-275</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4.2152470755880481E-2</v>
      </c>
      <c r="C224" s="3">
        <f t="shared" si="185"/>
        <v>4.2152470755880481E-2</v>
      </c>
      <c r="D224" s="3">
        <f t="shared" si="185"/>
        <v>4.2152470755880481E-2</v>
      </c>
      <c r="E224" s="3">
        <f t="shared" si="185"/>
        <v>4.2152470755880481E-2</v>
      </c>
      <c r="F224" s="3">
        <f t="shared" si="185"/>
        <v>4.2152470755880481E-2</v>
      </c>
      <c r="G224" s="3">
        <f t="shared" si="185"/>
        <v>4.2152470755880474E-2</v>
      </c>
      <c r="H224" s="3">
        <f t="shared" si="185"/>
        <v>4.215247075588046E-2</v>
      </c>
      <c r="I224" s="3">
        <f t="shared" si="185"/>
        <v>4.2152470755880245E-2</v>
      </c>
      <c r="J224" s="3">
        <f t="shared" si="185"/>
        <v>4.2152470755878087E-2</v>
      </c>
      <c r="K224" s="3">
        <f t="shared" si="185"/>
        <v>4.2152470755856569E-2</v>
      </c>
      <c r="L224" s="3">
        <f t="shared" si="185"/>
        <v>4.2152470755641352E-2</v>
      </c>
      <c r="M224" s="3">
        <f t="shared" si="185"/>
        <v>4.215247075348922E-2</v>
      </c>
      <c r="N224" s="3">
        <f t="shared" si="185"/>
        <v>4.2152470731967893E-2</v>
      </c>
      <c r="O224" s="3">
        <f t="shared" si="185"/>
        <v>4.2152470516754595E-2</v>
      </c>
      <c r="P224" s="3">
        <f t="shared" si="185"/>
        <v>4.2152468364621713E-2</v>
      </c>
      <c r="Q224" s="3">
        <f t="shared" si="185"/>
        <v>4.2152446843298913E-2</v>
      </c>
      <c r="R224" s="3">
        <f t="shared" si="185"/>
        <v>4.2152231630675281E-2</v>
      </c>
      <c r="S224" s="3">
        <f t="shared" si="185"/>
        <v>4.2150079564871143E-2</v>
      </c>
      <c r="T224" s="3">
        <f t="shared" si="185"/>
        <v>4.21285649489129E-2</v>
      </c>
      <c r="U224" s="3">
        <f t="shared" si="185"/>
        <v>4.1914021857806898E-2</v>
      </c>
      <c r="V224" s="3">
        <f t="shared" si="185"/>
        <v>3.9827773947509248E-2</v>
      </c>
      <c r="W224" s="3">
        <f t="shared" si="185"/>
        <v>2.3903033123459698E-2</v>
      </c>
      <c r="X224" s="3">
        <f t="shared" si="185"/>
        <v>1.4491815996517217E-4</v>
      </c>
      <c r="Y224" s="3">
        <f t="shared" si="185"/>
        <v>9.7234590488652966E-27</v>
      </c>
      <c r="Z224" s="3">
        <f t="shared" si="185"/>
        <v>1.7980450669420524E-248</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0.11273931401056794</v>
      </c>
      <c r="C225" s="3">
        <f t="shared" si="186"/>
        <v>0.11273931401056794</v>
      </c>
      <c r="D225" s="3">
        <f t="shared" si="186"/>
        <v>0.11273931401056794</v>
      </c>
      <c r="E225" s="3">
        <f t="shared" si="186"/>
        <v>0.11273931401056794</v>
      </c>
      <c r="F225" s="3">
        <f t="shared" si="186"/>
        <v>0.11273931401056794</v>
      </c>
      <c r="G225" s="3">
        <f t="shared" si="186"/>
        <v>0.11273931401056794</v>
      </c>
      <c r="H225" s="3">
        <f t="shared" si="186"/>
        <v>0.11273931401056794</v>
      </c>
      <c r="I225" s="3">
        <f t="shared" si="186"/>
        <v>0.11273931401056787</v>
      </c>
      <c r="J225" s="3">
        <f t="shared" si="186"/>
        <v>0.11273931401056737</v>
      </c>
      <c r="K225" s="3">
        <f t="shared" si="186"/>
        <v>0.11273931401056217</v>
      </c>
      <c r="L225" s="3">
        <f t="shared" si="186"/>
        <v>0.11273931401051025</v>
      </c>
      <c r="M225" s="3">
        <f t="shared" si="186"/>
        <v>0.112739314009991</v>
      </c>
      <c r="N225" s="3">
        <f t="shared" si="186"/>
        <v>0.11273931400479861</v>
      </c>
      <c r="O225" s="3">
        <f t="shared" si="186"/>
        <v>0.11273931395287463</v>
      </c>
      <c r="P225" s="3">
        <f t="shared" si="186"/>
        <v>0.11273931343363475</v>
      </c>
      <c r="Q225" s="3">
        <f t="shared" si="186"/>
        <v>0.1127393082412361</v>
      </c>
      <c r="R225" s="3">
        <f t="shared" si="186"/>
        <v>0.11273925631726281</v>
      </c>
      <c r="S225" s="3">
        <f t="shared" si="186"/>
        <v>0.11273873707884517</v>
      </c>
      <c r="T225" s="3">
        <f t="shared" si="186"/>
        <v>0.11273354482619596</v>
      </c>
      <c r="U225" s="3">
        <f t="shared" si="186"/>
        <v>0.11268163545017008</v>
      </c>
      <c r="V225" s="3">
        <f t="shared" si="186"/>
        <v>0.11216385449833458</v>
      </c>
      <c r="W225" s="3">
        <f t="shared" si="186"/>
        <v>0.10711511596231157</v>
      </c>
      <c r="X225" s="3">
        <f t="shared" si="186"/>
        <v>6.7581703035948973E-2</v>
      </c>
      <c r="Y225" s="3">
        <f t="shared" si="186"/>
        <v>6.754805140204382E-4</v>
      </c>
      <c r="Z225" s="3">
        <f t="shared" si="186"/>
        <v>6.7212455294868203E-24</v>
      </c>
      <c r="AA225" s="3">
        <f t="shared" si="186"/>
        <v>6.3946843929282826E-224</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0.14424740982428688</v>
      </c>
      <c r="C226" s="3">
        <f t="shared" si="187"/>
        <v>0.14424740982428688</v>
      </c>
      <c r="D226" s="3">
        <f t="shared" si="187"/>
        <v>0.14424740982428688</v>
      </c>
      <c r="E226" s="3">
        <f t="shared" si="187"/>
        <v>0.14424740982428688</v>
      </c>
      <c r="F226" s="3">
        <f t="shared" si="187"/>
        <v>0.14424740982428688</v>
      </c>
      <c r="G226" s="3">
        <f t="shared" si="187"/>
        <v>0.14424740982428688</v>
      </c>
      <c r="H226" s="3">
        <f t="shared" si="187"/>
        <v>0.14424740982428688</v>
      </c>
      <c r="I226" s="3">
        <f t="shared" si="187"/>
        <v>0.14424740982428688</v>
      </c>
      <c r="J226" s="3">
        <f t="shared" si="187"/>
        <v>0.14424740982428683</v>
      </c>
      <c r="K226" s="3">
        <f t="shared" si="187"/>
        <v>0.14424740982428622</v>
      </c>
      <c r="L226" s="3">
        <f t="shared" si="187"/>
        <v>0.14424740982428022</v>
      </c>
      <c r="M226" s="3">
        <f t="shared" si="187"/>
        <v>0.1442474098242203</v>
      </c>
      <c r="N226" s="3">
        <f t="shared" si="187"/>
        <v>0.144247409823621</v>
      </c>
      <c r="O226" s="3">
        <f t="shared" si="187"/>
        <v>0.14424740981762796</v>
      </c>
      <c r="P226" s="3">
        <f t="shared" si="187"/>
        <v>0.14424740975769754</v>
      </c>
      <c r="Q226" s="3">
        <f t="shared" si="187"/>
        <v>0.1442474091583934</v>
      </c>
      <c r="R226" s="3">
        <f t="shared" si="187"/>
        <v>0.14424740316535231</v>
      </c>
      <c r="S226" s="3">
        <f t="shared" si="187"/>
        <v>0.14424734323495508</v>
      </c>
      <c r="T226" s="3">
        <f t="shared" si="187"/>
        <v>0.14424674393235218</v>
      </c>
      <c r="U226" s="3">
        <f t="shared" si="187"/>
        <v>0.14424075104326681</v>
      </c>
      <c r="V226" s="3">
        <f t="shared" si="187"/>
        <v>0.14418083584466929</v>
      </c>
      <c r="W226" s="3">
        <f t="shared" si="187"/>
        <v>0.14358305098184368</v>
      </c>
      <c r="X226" s="3">
        <f t="shared" si="187"/>
        <v>0.13773983622657829</v>
      </c>
      <c r="Y226" s="3">
        <f t="shared" si="187"/>
        <v>9.0912460363173783E-2</v>
      </c>
      <c r="Z226" s="3">
        <f t="shared" si="187"/>
        <v>1.4264675640711067E-3</v>
      </c>
      <c r="AA226" s="3">
        <f t="shared" si="187"/>
        <v>1.2901695775394517E-21</v>
      </c>
      <c r="AB226" s="3">
        <f t="shared" si="187"/>
        <v>4.7260222047206932E-202</v>
      </c>
      <c r="AC226" s="3">
        <f t="shared" si="187"/>
        <v>0</v>
      </c>
      <c r="AD226" s="3">
        <f t="shared" si="187"/>
        <v>0</v>
      </c>
      <c r="AE226" s="3">
        <f t="shared" si="187"/>
        <v>0</v>
      </c>
      <c r="AF226" s="3">
        <f t="shared" si="187"/>
        <v>0</v>
      </c>
      <c r="AG226" s="3"/>
      <c r="AH226" s="3"/>
    </row>
    <row r="227" spans="2:34" x14ac:dyDescent="0.25">
      <c r="B227" s="3">
        <f t="shared" ref="B227:AF227" si="188">$C35*EXP(-B$207/$A35/EXP(-$D$126))</f>
        <v>0.12974291069495422</v>
      </c>
      <c r="C227" s="3">
        <f t="shared" si="188"/>
        <v>0.12974291069495422</v>
      </c>
      <c r="D227" s="3">
        <f t="shared" si="188"/>
        <v>0.12974291069495422</v>
      </c>
      <c r="E227" s="3">
        <f t="shared" si="188"/>
        <v>0.12974291069495422</v>
      </c>
      <c r="F227" s="3">
        <f t="shared" si="188"/>
        <v>0.12974291069495422</v>
      </c>
      <c r="G227" s="3">
        <f t="shared" si="188"/>
        <v>0.12974291069495422</v>
      </c>
      <c r="H227" s="3">
        <f t="shared" si="188"/>
        <v>0.12974291069495422</v>
      </c>
      <c r="I227" s="3">
        <f t="shared" si="188"/>
        <v>0.12974291069495422</v>
      </c>
      <c r="J227" s="3">
        <f t="shared" si="188"/>
        <v>0.12974291069495422</v>
      </c>
      <c r="K227" s="3">
        <f t="shared" si="188"/>
        <v>0.12974291069495417</v>
      </c>
      <c r="L227" s="3">
        <f t="shared" si="188"/>
        <v>0.12974291069495367</v>
      </c>
      <c r="M227" s="3">
        <f t="shared" si="188"/>
        <v>0.12974291069494881</v>
      </c>
      <c r="N227" s="3">
        <f t="shared" si="188"/>
        <v>0.12974291069490018</v>
      </c>
      <c r="O227" s="3">
        <f t="shared" si="188"/>
        <v>0.12974291069441393</v>
      </c>
      <c r="P227" s="3">
        <f t="shared" si="188"/>
        <v>0.12974291068955132</v>
      </c>
      <c r="Q227" s="3">
        <f t="shared" si="188"/>
        <v>0.12974291064092522</v>
      </c>
      <c r="R227" s="3">
        <f t="shared" si="188"/>
        <v>0.12974291015466419</v>
      </c>
      <c r="S227" s="3">
        <f t="shared" si="188"/>
        <v>0.12974290529205393</v>
      </c>
      <c r="T227" s="3">
        <f t="shared" si="188"/>
        <v>0.1297428566659615</v>
      </c>
      <c r="U227" s="3">
        <f t="shared" si="188"/>
        <v>0.12974237040603945</v>
      </c>
      <c r="V227" s="3">
        <f t="shared" si="188"/>
        <v>0.12973750790705191</v>
      </c>
      <c r="W227" s="3">
        <f t="shared" si="188"/>
        <v>0.12968889293909999</v>
      </c>
      <c r="X227" s="3">
        <f t="shared" si="188"/>
        <v>0.12920374406356014</v>
      </c>
      <c r="Y227" s="3">
        <f t="shared" si="188"/>
        <v>0.12445096167826993</v>
      </c>
      <c r="Z227" s="3">
        <f t="shared" si="188"/>
        <v>8.5551935204868257E-2</v>
      </c>
      <c r="AA227" s="3">
        <f t="shared" si="188"/>
        <v>2.016255880512581E-3</v>
      </c>
      <c r="AB227" s="3">
        <f t="shared" si="188"/>
        <v>1.0658687738910979E-19</v>
      </c>
      <c r="AC227" s="3">
        <f t="shared" si="188"/>
        <v>1.816706039907433E-182</v>
      </c>
      <c r="AD227" s="3">
        <f t="shared" si="188"/>
        <v>0</v>
      </c>
      <c r="AE227" s="3">
        <f t="shared" si="188"/>
        <v>0</v>
      </c>
      <c r="AF227" s="3">
        <f t="shared" si="188"/>
        <v>0</v>
      </c>
      <c r="AG227" s="3"/>
      <c r="AH227" s="3"/>
    </row>
    <row r="228" spans="2:34" x14ac:dyDescent="0.25">
      <c r="B228" s="3">
        <f t="shared" ref="B228:AF228" si="189">$C36*EXP(-B$207/$A36/EXP(-$D$126))</f>
        <v>0.10714334071735752</v>
      </c>
      <c r="C228" s="3">
        <f t="shared" si="189"/>
        <v>0.10714334071735752</v>
      </c>
      <c r="D228" s="3">
        <f t="shared" si="189"/>
        <v>0.10714334071735752</v>
      </c>
      <c r="E228" s="3">
        <f t="shared" si="189"/>
        <v>0.10714334071735752</v>
      </c>
      <c r="F228" s="3">
        <f t="shared" si="189"/>
        <v>0.10714334071735752</v>
      </c>
      <c r="G228" s="3">
        <f t="shared" si="189"/>
        <v>0.10714334071735752</v>
      </c>
      <c r="H228" s="3">
        <f t="shared" si="189"/>
        <v>0.10714334071735752</v>
      </c>
      <c r="I228" s="3">
        <f t="shared" si="189"/>
        <v>0.10714334071735752</v>
      </c>
      <c r="J228" s="3">
        <f t="shared" si="189"/>
        <v>0.10714334071735752</v>
      </c>
      <c r="K228" s="3">
        <f t="shared" si="189"/>
        <v>0.10714334071735752</v>
      </c>
      <c r="L228" s="3">
        <f t="shared" si="189"/>
        <v>0.10714334071735748</v>
      </c>
      <c r="M228" s="3">
        <f t="shared" si="189"/>
        <v>0.10714334071735712</v>
      </c>
      <c r="N228" s="3">
        <f t="shared" si="189"/>
        <v>0.1071433407173535</v>
      </c>
      <c r="O228" s="3">
        <f t="shared" si="189"/>
        <v>0.10714334071731726</v>
      </c>
      <c r="P228" s="3">
        <f t="shared" si="189"/>
        <v>0.10714334071695504</v>
      </c>
      <c r="Q228" s="3">
        <f t="shared" si="189"/>
        <v>0.10714334071333262</v>
      </c>
      <c r="R228" s="3">
        <f t="shared" si="189"/>
        <v>0.10714334067710853</v>
      </c>
      <c r="S228" s="3">
        <f t="shared" si="189"/>
        <v>0.10714334031486752</v>
      </c>
      <c r="T228" s="3">
        <f t="shared" si="189"/>
        <v>0.10714333669245756</v>
      </c>
      <c r="U228" s="3">
        <f t="shared" si="189"/>
        <v>0.10714330046836468</v>
      </c>
      <c r="V228" s="3">
        <f t="shared" si="189"/>
        <v>0.10714293822810946</v>
      </c>
      <c r="W228" s="3">
        <f t="shared" si="189"/>
        <v>0.10713931589291485</v>
      </c>
      <c r="X228" s="3">
        <f t="shared" si="189"/>
        <v>0.10710309927588747</v>
      </c>
      <c r="Y228" s="3">
        <f t="shared" si="189"/>
        <v>0.10674160575575672</v>
      </c>
      <c r="Z228" s="3">
        <f t="shared" si="189"/>
        <v>0.10319310168358835</v>
      </c>
      <c r="AA228" s="3">
        <f t="shared" si="189"/>
        <v>7.3590204745319784E-2</v>
      </c>
      <c r="AB228" s="3">
        <f t="shared" si="189"/>
        <v>2.503303236524593E-3</v>
      </c>
      <c r="AC228" s="3">
        <f t="shared" si="189"/>
        <v>5.1933543617988397E-18</v>
      </c>
      <c r="AD228" s="3">
        <f t="shared" si="189"/>
        <v>7.6699568336619717E-165</v>
      </c>
      <c r="AE228" s="3">
        <f t="shared" si="189"/>
        <v>0</v>
      </c>
      <c r="AF228" s="3">
        <f t="shared" si="189"/>
        <v>0</v>
      </c>
      <c r="AG228" s="3"/>
      <c r="AH228" s="3"/>
    </row>
    <row r="229" spans="2:34" x14ac:dyDescent="0.25">
      <c r="B229" s="3">
        <f t="shared" ref="B229:AF229" si="190">$C37*EXP(-B$207/$A37/EXP(-$D$126))</f>
        <v>7.467332001482109E-2</v>
      </c>
      <c r="C229" s="3">
        <f t="shared" si="190"/>
        <v>7.467332001482109E-2</v>
      </c>
      <c r="D229" s="3">
        <f t="shared" si="190"/>
        <v>7.467332001482109E-2</v>
      </c>
      <c r="E229" s="3">
        <f t="shared" si="190"/>
        <v>7.467332001482109E-2</v>
      </c>
      <c r="F229" s="3">
        <f t="shared" si="190"/>
        <v>7.467332001482109E-2</v>
      </c>
      <c r="G229" s="3">
        <f t="shared" si="190"/>
        <v>7.467332001482109E-2</v>
      </c>
      <c r="H229" s="3">
        <f t="shared" si="190"/>
        <v>7.467332001482109E-2</v>
      </c>
      <c r="I229" s="3">
        <f t="shared" si="190"/>
        <v>7.467332001482109E-2</v>
      </c>
      <c r="J229" s="3">
        <f t="shared" si="190"/>
        <v>7.467332001482109E-2</v>
      </c>
      <c r="K229" s="3">
        <f t="shared" si="190"/>
        <v>7.467332001482109E-2</v>
      </c>
      <c r="L229" s="3">
        <f t="shared" si="190"/>
        <v>7.467332001482109E-2</v>
      </c>
      <c r="M229" s="3">
        <f t="shared" si="190"/>
        <v>7.4673320014821062E-2</v>
      </c>
      <c r="N229" s="3">
        <f t="shared" si="190"/>
        <v>7.4673320014820826E-2</v>
      </c>
      <c r="O229" s="3">
        <f t="shared" si="190"/>
        <v>7.4673320014818564E-2</v>
      </c>
      <c r="P229" s="3">
        <f t="shared" si="190"/>
        <v>7.4673320014795791E-2</v>
      </c>
      <c r="Q229" s="3">
        <f t="shared" si="190"/>
        <v>7.4673320014568043E-2</v>
      </c>
      <c r="R229" s="3">
        <f t="shared" si="190"/>
        <v>7.4673320012290614E-2</v>
      </c>
      <c r="S229" s="3">
        <f t="shared" si="190"/>
        <v>7.4673319989516346E-2</v>
      </c>
      <c r="T229" s="3">
        <f t="shared" si="190"/>
        <v>7.4673319761773632E-2</v>
      </c>
      <c r="U229" s="3">
        <f t="shared" si="190"/>
        <v>7.4673317484346621E-2</v>
      </c>
      <c r="V229" s="3">
        <f t="shared" si="190"/>
        <v>7.467329471008026E-2</v>
      </c>
      <c r="W229" s="3">
        <f t="shared" si="190"/>
        <v>7.4673066967798712E-2</v>
      </c>
      <c r="X229" s="3">
        <f t="shared" si="190"/>
        <v>7.4670789583184655E-2</v>
      </c>
      <c r="Y229" s="3">
        <f t="shared" si="190"/>
        <v>7.4648019556765893E-2</v>
      </c>
      <c r="Z229" s="3">
        <f t="shared" si="190"/>
        <v>7.4420700834072012E-2</v>
      </c>
      <c r="AA229" s="3">
        <f t="shared" si="190"/>
        <v>7.218524069739321E-2</v>
      </c>
      <c r="AB229" s="3">
        <f t="shared" si="190"/>
        <v>5.3210206329857422E-2</v>
      </c>
      <c r="AC229" s="3">
        <f t="shared" si="190"/>
        <v>2.5203466800267074E-3</v>
      </c>
      <c r="AD229" s="3">
        <f t="shared" si="190"/>
        <v>1.4325628527373125E-16</v>
      </c>
      <c r="AE229" s="3">
        <f t="shared" si="190"/>
        <v>5.0425209114861695E-149</v>
      </c>
      <c r="AF229" s="3">
        <f t="shared" si="190"/>
        <v>0</v>
      </c>
      <c r="AG229" s="3"/>
      <c r="AH229" s="3"/>
    </row>
    <row r="230" spans="2:34" x14ac:dyDescent="0.25">
      <c r="B230" s="3">
        <f t="shared" ref="B230:AF230" si="191">$C38*EXP(-B$207/$A38/EXP(-$D$126))</f>
        <v>2.5720461590382049E-2</v>
      </c>
      <c r="C230" s="3">
        <f t="shared" si="191"/>
        <v>2.5720461590382049E-2</v>
      </c>
      <c r="D230" s="3">
        <f t="shared" si="191"/>
        <v>2.5720461590382049E-2</v>
      </c>
      <c r="E230" s="3">
        <f t="shared" si="191"/>
        <v>2.5720461590382049E-2</v>
      </c>
      <c r="F230" s="3">
        <f t="shared" si="191"/>
        <v>2.5720461590382049E-2</v>
      </c>
      <c r="G230" s="3">
        <f t="shared" si="191"/>
        <v>2.5720461590382049E-2</v>
      </c>
      <c r="H230" s="3">
        <f t="shared" si="191"/>
        <v>2.5720461590382049E-2</v>
      </c>
      <c r="I230" s="3">
        <f t="shared" si="191"/>
        <v>2.5720461590382049E-2</v>
      </c>
      <c r="J230" s="3">
        <f t="shared" si="191"/>
        <v>2.5720461590382049E-2</v>
      </c>
      <c r="K230" s="3">
        <f t="shared" si="191"/>
        <v>2.5720461590382049E-2</v>
      </c>
      <c r="L230" s="3">
        <f t="shared" si="191"/>
        <v>2.5720461590382049E-2</v>
      </c>
      <c r="M230" s="3">
        <f t="shared" si="191"/>
        <v>2.5720461590382049E-2</v>
      </c>
      <c r="N230" s="3">
        <f t="shared" si="191"/>
        <v>2.5720461590382042E-2</v>
      </c>
      <c r="O230" s="3">
        <f t="shared" si="191"/>
        <v>2.5720461590381969E-2</v>
      </c>
      <c r="P230" s="3">
        <f t="shared" si="191"/>
        <v>2.5720461590381265E-2</v>
      </c>
      <c r="Q230" s="3">
        <f t="shared" si="191"/>
        <v>2.5720461590374187E-2</v>
      </c>
      <c r="R230" s="3">
        <f t="shared" si="191"/>
        <v>2.5720461590303424E-2</v>
      </c>
      <c r="S230" s="3">
        <f t="shared" si="191"/>
        <v>2.5720461589595796E-2</v>
      </c>
      <c r="T230" s="3">
        <f t="shared" si="191"/>
        <v>2.5720461582519526E-2</v>
      </c>
      <c r="U230" s="3">
        <f t="shared" si="191"/>
        <v>2.5720461511756831E-2</v>
      </c>
      <c r="V230" s="3">
        <f t="shared" si="191"/>
        <v>2.5720460804129895E-2</v>
      </c>
      <c r="W230" s="3">
        <f t="shared" si="191"/>
        <v>2.5720453727861574E-2</v>
      </c>
      <c r="X230" s="3">
        <f t="shared" si="191"/>
        <v>2.572038296528547E-2</v>
      </c>
      <c r="Y230" s="3">
        <f t="shared" si="191"/>
        <v>2.5719675350231883E-2</v>
      </c>
      <c r="Z230" s="3">
        <f t="shared" si="191"/>
        <v>2.5712600270336235E-2</v>
      </c>
      <c r="AA230" s="3">
        <f t="shared" si="191"/>
        <v>2.5641956426492675E-2</v>
      </c>
      <c r="AB230" s="3">
        <f t="shared" si="191"/>
        <v>2.4946105420756298E-2</v>
      </c>
      <c r="AC230" s="3">
        <f t="shared" si="191"/>
        <v>1.8946051257717117E-2</v>
      </c>
      <c r="AD230" s="3">
        <f t="shared" si="191"/>
        <v>1.2097015974528796E-3</v>
      </c>
      <c r="AE230" s="3">
        <f t="shared" si="191"/>
        <v>1.3623030102980136E-15</v>
      </c>
      <c r="AF230" s="3">
        <f t="shared" si="191"/>
        <v>4.4691850535463415E-135</v>
      </c>
      <c r="AG230" s="3"/>
      <c r="AH230" s="3"/>
    </row>
    <row r="231" spans="2:34" x14ac:dyDescent="0.25">
      <c r="B231" s="3">
        <f t="shared" ref="B231:AF231" si="192">$C39*EXP(-B$207/$A39/EXP(-$D$126))</f>
        <v>2.4141304859351478E-2</v>
      </c>
      <c r="C231" s="3">
        <f t="shared" si="192"/>
        <v>2.4141304859351478E-2</v>
      </c>
      <c r="D231" s="3">
        <f t="shared" si="192"/>
        <v>2.4141304859351478E-2</v>
      </c>
      <c r="E231" s="3">
        <f t="shared" si="192"/>
        <v>2.4141304859351478E-2</v>
      </c>
      <c r="F231" s="3">
        <f t="shared" si="192"/>
        <v>2.4141304859351478E-2</v>
      </c>
      <c r="G231" s="3">
        <f t="shared" si="192"/>
        <v>2.4141304859351478E-2</v>
      </c>
      <c r="H231" s="3">
        <f t="shared" si="192"/>
        <v>2.4141304859351478E-2</v>
      </c>
      <c r="I231" s="3">
        <f t="shared" si="192"/>
        <v>2.4141304859351478E-2</v>
      </c>
      <c r="J231" s="3">
        <f t="shared" si="192"/>
        <v>2.4141304859351478E-2</v>
      </c>
      <c r="K231" s="3">
        <f t="shared" si="192"/>
        <v>2.4141304859351478E-2</v>
      </c>
      <c r="L231" s="3">
        <f t="shared" si="192"/>
        <v>2.4141304859351478E-2</v>
      </c>
      <c r="M231" s="3">
        <f t="shared" si="192"/>
        <v>2.4141304859351478E-2</v>
      </c>
      <c r="N231" s="3">
        <f t="shared" si="192"/>
        <v>2.4141304859351474E-2</v>
      </c>
      <c r="O231" s="3">
        <f t="shared" si="192"/>
        <v>2.4141304859351457E-2</v>
      </c>
      <c r="P231" s="3">
        <f t="shared" si="192"/>
        <v>2.4141304859351273E-2</v>
      </c>
      <c r="Q231" s="3">
        <f t="shared" si="192"/>
        <v>2.4141304859349434E-2</v>
      </c>
      <c r="R231" s="3">
        <f t="shared" si="192"/>
        <v>2.4141304859331067E-2</v>
      </c>
      <c r="S231" s="3">
        <f t="shared" si="192"/>
        <v>2.414130485914737E-2</v>
      </c>
      <c r="T231" s="3">
        <f t="shared" si="192"/>
        <v>2.4141304857310412E-2</v>
      </c>
      <c r="U231" s="3">
        <f t="shared" si="192"/>
        <v>2.4141304838940836E-2</v>
      </c>
      <c r="V231" s="3">
        <f t="shared" si="192"/>
        <v>2.4141304655245041E-2</v>
      </c>
      <c r="W231" s="3">
        <f t="shared" si="192"/>
        <v>2.4141302818287205E-2</v>
      </c>
      <c r="X231" s="3">
        <f t="shared" si="192"/>
        <v>2.4141284448716497E-2</v>
      </c>
      <c r="Y231" s="3">
        <f t="shared" si="192"/>
        <v>2.4141100753778205E-2</v>
      </c>
      <c r="Z231" s="3">
        <f t="shared" si="192"/>
        <v>2.4139263881270596E-2</v>
      </c>
      <c r="AA231" s="3">
        <f t="shared" si="192"/>
        <v>2.4120902841559839E-2</v>
      </c>
      <c r="AB231" s="3">
        <f t="shared" si="192"/>
        <v>2.3938058821645861E-2</v>
      </c>
      <c r="AC231" s="3">
        <f t="shared" si="192"/>
        <v>2.2184141897269766E-2</v>
      </c>
      <c r="AD231" s="3">
        <f t="shared" si="192"/>
        <v>1.0365247607507117E-2</v>
      </c>
      <c r="AE231" s="3">
        <f t="shared" si="192"/>
        <v>5.13984647729403E-6</v>
      </c>
      <c r="AF231" s="3">
        <f t="shared" si="192"/>
        <v>4.620136515928196E-39</v>
      </c>
      <c r="AG231" s="3"/>
      <c r="AH231" s="3"/>
    </row>
    <row r="232" spans="2:34" x14ac:dyDescent="0.25">
      <c r="B232" s="3">
        <f t="shared" ref="B232:AF232" si="193">$C40*EXP(-B$207/$A40/EXP(-$D$126))</f>
        <v>1.2214190227025473E-2</v>
      </c>
      <c r="C232" s="3">
        <f t="shared" si="193"/>
        <v>1.2214190227025473E-2</v>
      </c>
      <c r="D232" s="3">
        <f t="shared" si="193"/>
        <v>1.2214190227025473E-2</v>
      </c>
      <c r="E232" s="3">
        <f t="shared" si="193"/>
        <v>1.2214190227025473E-2</v>
      </c>
      <c r="F232" s="3">
        <f t="shared" si="193"/>
        <v>1.2214190227025473E-2</v>
      </c>
      <c r="G232" s="3">
        <f t="shared" si="193"/>
        <v>1.2214190227025473E-2</v>
      </c>
      <c r="H232" s="3">
        <f t="shared" si="193"/>
        <v>1.2214190227025473E-2</v>
      </c>
      <c r="I232" s="3">
        <f t="shared" si="193"/>
        <v>1.2214190227025473E-2</v>
      </c>
      <c r="J232" s="3">
        <f t="shared" si="193"/>
        <v>1.2214190227025473E-2</v>
      </c>
      <c r="K232" s="3">
        <f t="shared" si="193"/>
        <v>1.2214190227025473E-2</v>
      </c>
      <c r="L232" s="3">
        <f t="shared" si="193"/>
        <v>1.2214190227025473E-2</v>
      </c>
      <c r="M232" s="3">
        <f t="shared" si="193"/>
        <v>1.2214190227025473E-2</v>
      </c>
      <c r="N232" s="3">
        <f t="shared" si="193"/>
        <v>1.2214190227025473E-2</v>
      </c>
      <c r="O232" s="3">
        <f t="shared" si="193"/>
        <v>1.2214190227025471E-2</v>
      </c>
      <c r="P232" s="3">
        <f t="shared" si="193"/>
        <v>1.2214190227025462E-2</v>
      </c>
      <c r="Q232" s="3">
        <f t="shared" si="193"/>
        <v>1.221419022702537E-2</v>
      </c>
      <c r="R232" s="3">
        <f t="shared" si="193"/>
        <v>1.2214190227024439E-2</v>
      </c>
      <c r="S232" s="3">
        <f t="shared" si="193"/>
        <v>1.2214190227015146E-2</v>
      </c>
      <c r="T232" s="3">
        <f t="shared" si="193"/>
        <v>1.2214190226922206E-2</v>
      </c>
      <c r="U232" s="3">
        <f t="shared" si="193"/>
        <v>1.2214190225992804E-2</v>
      </c>
      <c r="V232" s="3">
        <f t="shared" si="193"/>
        <v>1.2214190216698796E-2</v>
      </c>
      <c r="W232" s="3">
        <f t="shared" si="193"/>
        <v>1.2214190123758692E-2</v>
      </c>
      <c r="X232" s="3">
        <f t="shared" si="193"/>
        <v>1.2214189194357709E-2</v>
      </c>
      <c r="Y232" s="3">
        <f t="shared" si="193"/>
        <v>1.2214179900351759E-2</v>
      </c>
      <c r="Z232" s="3">
        <f t="shared" si="193"/>
        <v>1.2214086960681219E-2</v>
      </c>
      <c r="AA232" s="3">
        <f t="shared" si="193"/>
        <v>1.2213157602870551E-2</v>
      </c>
      <c r="AB232" s="3">
        <f t="shared" si="193"/>
        <v>1.2203867913141694E-2</v>
      </c>
      <c r="AC232" s="3">
        <f t="shared" si="193"/>
        <v>1.2111358761125486E-2</v>
      </c>
      <c r="AD232" s="3">
        <f t="shared" si="193"/>
        <v>1.1223971973976295E-2</v>
      </c>
      <c r="AE232" s="3">
        <f t="shared" si="193"/>
        <v>5.2442528175634662E-3</v>
      </c>
      <c r="AF232" s="3">
        <f t="shared" si="193"/>
        <v>2.6004834029117396E-6</v>
      </c>
      <c r="AG232" s="3"/>
      <c r="AH232" s="3"/>
    </row>
    <row r="233" spans="2:34" x14ac:dyDescent="0.25">
      <c r="B233" s="3">
        <f t="shared" ref="B233:AF233" si="194">$C41*EXP(-B$207/$A41/EXP(-$D$126))</f>
        <v>8.0564872453676788E-4</v>
      </c>
      <c r="C233" s="3">
        <f t="shared" si="194"/>
        <v>8.0564872453676788E-4</v>
      </c>
      <c r="D233" s="3">
        <f t="shared" si="194"/>
        <v>8.0564872453676788E-4</v>
      </c>
      <c r="E233" s="3">
        <f t="shared" si="194"/>
        <v>8.0564872453676788E-4</v>
      </c>
      <c r="F233" s="3">
        <f t="shared" si="194"/>
        <v>8.0564872453676788E-4</v>
      </c>
      <c r="G233" s="3">
        <f t="shared" si="194"/>
        <v>8.0564872453676788E-4</v>
      </c>
      <c r="H233" s="3">
        <f t="shared" si="194"/>
        <v>8.0564872453676788E-4</v>
      </c>
      <c r="I233" s="3">
        <f t="shared" si="194"/>
        <v>8.0564872453676788E-4</v>
      </c>
      <c r="J233" s="3">
        <f t="shared" si="194"/>
        <v>8.0564872453676788E-4</v>
      </c>
      <c r="K233" s="3">
        <f t="shared" si="194"/>
        <v>8.0564872453676788E-4</v>
      </c>
      <c r="L233" s="3">
        <f t="shared" si="194"/>
        <v>8.0564872453676788E-4</v>
      </c>
      <c r="M233" s="3">
        <f t="shared" si="194"/>
        <v>8.0564872453676788E-4</v>
      </c>
      <c r="N233" s="3">
        <f t="shared" si="194"/>
        <v>8.0564872453676788E-4</v>
      </c>
      <c r="O233" s="3">
        <f t="shared" si="194"/>
        <v>8.0564872453676788E-4</v>
      </c>
      <c r="P233" s="3">
        <f t="shared" si="194"/>
        <v>8.0564872453676778E-4</v>
      </c>
      <c r="Q233" s="3">
        <f t="shared" si="194"/>
        <v>8.0564872453676713E-4</v>
      </c>
      <c r="R233" s="3">
        <f t="shared" si="194"/>
        <v>8.0564872453676105E-4</v>
      </c>
      <c r="S233" s="3">
        <f t="shared" si="194"/>
        <v>8.0564872453669969E-4</v>
      </c>
      <c r="T233" s="3">
        <f t="shared" si="194"/>
        <v>8.0564872453608679E-4</v>
      </c>
      <c r="U233" s="3">
        <f t="shared" si="194"/>
        <v>8.0564872452995638E-4</v>
      </c>
      <c r="V233" s="3">
        <f t="shared" si="194"/>
        <v>8.0564872446865299E-4</v>
      </c>
      <c r="W233" s="3">
        <f t="shared" si="194"/>
        <v>8.056487238556196E-4</v>
      </c>
      <c r="X233" s="3">
        <f t="shared" si="194"/>
        <v>8.0564871772528487E-4</v>
      </c>
      <c r="Y233" s="3">
        <f t="shared" si="194"/>
        <v>8.0564865642193987E-4</v>
      </c>
      <c r="Z233" s="3">
        <f t="shared" si="194"/>
        <v>8.0564804338874643E-4</v>
      </c>
      <c r="AA233" s="3">
        <f t="shared" si="194"/>
        <v>8.0564191308246853E-4</v>
      </c>
      <c r="AB233" s="3">
        <f t="shared" si="194"/>
        <v>8.0558061258518741E-4</v>
      </c>
      <c r="AC233" s="3">
        <f t="shared" si="194"/>
        <v>8.0496786409001196E-4</v>
      </c>
      <c r="AD233" s="3">
        <f t="shared" si="194"/>
        <v>7.9886595483982445E-4</v>
      </c>
      <c r="AE233" s="3">
        <f t="shared" si="194"/>
        <v>7.4033386880307118E-4</v>
      </c>
      <c r="AF233" s="3">
        <f t="shared" si="194"/>
        <v>3.4591123235250943E-4</v>
      </c>
      <c r="AG233" s="3"/>
      <c r="AH233" s="3"/>
    </row>
    <row r="234" spans="2:34" x14ac:dyDescent="0.25">
      <c r="B234" s="3">
        <f t="shared" ref="B234:AF234" si="195">$C42*EXP(-B$207/$A42/EXP(-$D$126))</f>
        <v>2.8733708973087426E-3</v>
      </c>
      <c r="C234" s="3">
        <f t="shared" si="195"/>
        <v>2.8733708973087426E-3</v>
      </c>
      <c r="D234" s="3">
        <f t="shared" si="195"/>
        <v>2.8733708973087426E-3</v>
      </c>
      <c r="E234" s="3">
        <f t="shared" si="195"/>
        <v>2.8733708973087426E-3</v>
      </c>
      <c r="F234" s="3">
        <f t="shared" si="195"/>
        <v>2.8733708973087426E-3</v>
      </c>
      <c r="G234" s="3">
        <f t="shared" si="195"/>
        <v>2.8733708973087426E-3</v>
      </c>
      <c r="H234" s="3">
        <f t="shared" si="195"/>
        <v>2.8733708973087426E-3</v>
      </c>
      <c r="I234" s="3">
        <f t="shared" si="195"/>
        <v>2.8733708973087426E-3</v>
      </c>
      <c r="J234" s="3">
        <f t="shared" si="195"/>
        <v>2.8733708973087426E-3</v>
      </c>
      <c r="K234" s="3">
        <f t="shared" si="195"/>
        <v>2.8733708973087426E-3</v>
      </c>
      <c r="L234" s="3">
        <f t="shared" si="195"/>
        <v>2.8733708973087426E-3</v>
      </c>
      <c r="M234" s="3">
        <f t="shared" si="195"/>
        <v>2.8733708973087426E-3</v>
      </c>
      <c r="N234" s="3">
        <f t="shared" si="195"/>
        <v>2.8733708973087426E-3</v>
      </c>
      <c r="O234" s="3">
        <f t="shared" si="195"/>
        <v>2.8733708973087426E-3</v>
      </c>
      <c r="P234" s="3">
        <f t="shared" si="195"/>
        <v>2.8733708973087426E-3</v>
      </c>
      <c r="Q234" s="3">
        <f t="shared" si="195"/>
        <v>2.8733708973087422E-3</v>
      </c>
      <c r="R234" s="3">
        <f t="shared" si="195"/>
        <v>2.87337089730874E-3</v>
      </c>
      <c r="S234" s="3">
        <f t="shared" si="195"/>
        <v>2.8733708973087183E-3</v>
      </c>
      <c r="T234" s="3">
        <f t="shared" si="195"/>
        <v>2.8733708973084993E-3</v>
      </c>
      <c r="U234" s="3">
        <f t="shared" si="195"/>
        <v>2.8733708973063135E-3</v>
      </c>
      <c r="V234" s="3">
        <f t="shared" si="195"/>
        <v>2.8733708972844491E-3</v>
      </c>
      <c r="W234" s="3">
        <f t="shared" si="195"/>
        <v>2.8733708970658089E-3</v>
      </c>
      <c r="X234" s="3">
        <f t="shared" si="195"/>
        <v>2.8733708948794063E-3</v>
      </c>
      <c r="Y234" s="3">
        <f t="shared" si="195"/>
        <v>2.8733708730153793E-3</v>
      </c>
      <c r="Z234" s="3">
        <f t="shared" si="195"/>
        <v>2.8733706543751184E-3</v>
      </c>
      <c r="AA234" s="3">
        <f t="shared" si="195"/>
        <v>2.8733684679734233E-3</v>
      </c>
      <c r="AB234" s="3">
        <f t="shared" si="195"/>
        <v>2.873346604047975E-3</v>
      </c>
      <c r="AC234" s="3">
        <f t="shared" si="195"/>
        <v>2.8731279739434225E-3</v>
      </c>
      <c r="AD234" s="3">
        <f t="shared" si="195"/>
        <v>2.8709425876332546E-3</v>
      </c>
      <c r="AE234" s="3">
        <f t="shared" si="195"/>
        <v>2.8491799410560025E-3</v>
      </c>
      <c r="AF234" s="3">
        <f t="shared" si="195"/>
        <v>2.6404234601548737E-3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1.6248048079890072E-4</v>
      </c>
      <c r="C236" s="3">
        <f t="shared" si="197"/>
        <v>1.6248048079890072E-4</v>
      </c>
      <c r="D236" s="3">
        <f t="shared" si="197"/>
        <v>1.6248048079890072E-4</v>
      </c>
      <c r="E236" s="3">
        <f t="shared" si="197"/>
        <v>1.6248048079890072E-4</v>
      </c>
      <c r="F236" s="3">
        <f t="shared" si="197"/>
        <v>1.6248048079890072E-4</v>
      </c>
      <c r="G236" s="3">
        <f t="shared" si="197"/>
        <v>1.6248048079890072E-4</v>
      </c>
      <c r="H236" s="3">
        <f t="shared" si="197"/>
        <v>1.6248048079890072E-4</v>
      </c>
      <c r="I236" s="3">
        <f t="shared" si="197"/>
        <v>1.6248048079890072E-4</v>
      </c>
      <c r="J236" s="3">
        <f t="shared" si="197"/>
        <v>1.6248048079890072E-4</v>
      </c>
      <c r="K236" s="3">
        <f t="shared" si="197"/>
        <v>1.6248048079890072E-4</v>
      </c>
      <c r="L236" s="3">
        <f t="shared" si="197"/>
        <v>1.6248048079890072E-4</v>
      </c>
      <c r="M236" s="3">
        <f t="shared" si="197"/>
        <v>1.6248048079890072E-4</v>
      </c>
      <c r="N236" s="3">
        <f t="shared" si="197"/>
        <v>1.6248048079890072E-4</v>
      </c>
      <c r="O236" s="3">
        <f t="shared" si="197"/>
        <v>1.6248048079890072E-4</v>
      </c>
      <c r="P236" s="3">
        <f t="shared" si="197"/>
        <v>1.6248048079890072E-4</v>
      </c>
      <c r="Q236" s="3">
        <f t="shared" si="197"/>
        <v>1.6248048079890072E-4</v>
      </c>
      <c r="R236" s="3">
        <f t="shared" si="197"/>
        <v>1.6248048079890072E-4</v>
      </c>
      <c r="S236" s="3">
        <f t="shared" si="197"/>
        <v>1.624804807989007E-4</v>
      </c>
      <c r="T236" s="3">
        <f t="shared" si="197"/>
        <v>1.6248048079890059E-4</v>
      </c>
      <c r="U236" s="3">
        <f t="shared" si="197"/>
        <v>1.6248048079889934E-4</v>
      </c>
      <c r="V236" s="3">
        <f t="shared" si="197"/>
        <v>1.6248048079888698E-4</v>
      </c>
      <c r="W236" s="3">
        <f t="shared" si="197"/>
        <v>1.6248048079876335E-4</v>
      </c>
      <c r="X236" s="3">
        <f t="shared" si="197"/>
        <v>1.6248048079752701E-4</v>
      </c>
      <c r="Y236" s="3">
        <f t="shared" si="197"/>
        <v>1.6248048078516356E-4</v>
      </c>
      <c r="Z236" s="3">
        <f t="shared" si="197"/>
        <v>1.6248048066152905E-4</v>
      </c>
      <c r="AA236" s="3">
        <f t="shared" si="197"/>
        <v>1.624804794251841E-4</v>
      </c>
      <c r="AB236" s="3">
        <f t="shared" si="197"/>
        <v>1.6248046706173505E-4</v>
      </c>
      <c r="AC236" s="3">
        <f t="shared" si="197"/>
        <v>1.6248034342729615E-4</v>
      </c>
      <c r="AD236" s="3">
        <f t="shared" si="197"/>
        <v>1.6247910708808136E-4</v>
      </c>
      <c r="AE236" s="3">
        <f t="shared" si="197"/>
        <v>1.6246674421333446E-4</v>
      </c>
      <c r="AF236" s="3">
        <f t="shared" si="197"/>
        <v>1.6234316719139833E-4</v>
      </c>
      <c r="AG236" s="3"/>
      <c r="AH236" s="3"/>
    </row>
    <row r="237" spans="2:34" x14ac:dyDescent="0.25">
      <c r="B237" s="3">
        <f t="shared" ref="B237:AF237" si="198">$C45*EXP(-B$207/$A45/EXP(-$D$126))</f>
        <v>1.2901117231804357E-4</v>
      </c>
      <c r="C237" s="3">
        <f t="shared" si="198"/>
        <v>1.2901117231804357E-4</v>
      </c>
      <c r="D237" s="3">
        <f t="shared" si="198"/>
        <v>1.2901117231804357E-4</v>
      </c>
      <c r="E237" s="3">
        <f t="shared" si="198"/>
        <v>1.2901117231804357E-4</v>
      </c>
      <c r="F237" s="3">
        <f t="shared" si="198"/>
        <v>1.2901117231804357E-4</v>
      </c>
      <c r="G237" s="3">
        <f t="shared" si="198"/>
        <v>1.2901117231804357E-4</v>
      </c>
      <c r="H237" s="3">
        <f t="shared" si="198"/>
        <v>1.2901117231804357E-4</v>
      </c>
      <c r="I237" s="3">
        <f t="shared" si="198"/>
        <v>1.2901117231804357E-4</v>
      </c>
      <c r="J237" s="3">
        <f t="shared" si="198"/>
        <v>1.2901117231804357E-4</v>
      </c>
      <c r="K237" s="3">
        <f t="shared" si="198"/>
        <v>1.2901117231804357E-4</v>
      </c>
      <c r="L237" s="3">
        <f t="shared" si="198"/>
        <v>1.2901117231804357E-4</v>
      </c>
      <c r="M237" s="3">
        <f t="shared" si="198"/>
        <v>1.2901117231804357E-4</v>
      </c>
      <c r="N237" s="3">
        <f t="shared" si="198"/>
        <v>1.2901117231804357E-4</v>
      </c>
      <c r="O237" s="3">
        <f t="shared" si="198"/>
        <v>1.2901117231804357E-4</v>
      </c>
      <c r="P237" s="3">
        <f t="shared" si="198"/>
        <v>1.2901117231804357E-4</v>
      </c>
      <c r="Q237" s="3">
        <f t="shared" si="198"/>
        <v>1.2901117231804357E-4</v>
      </c>
      <c r="R237" s="3">
        <f t="shared" si="198"/>
        <v>1.2901117231804357E-4</v>
      </c>
      <c r="S237" s="3">
        <f t="shared" si="198"/>
        <v>1.2901117231804357E-4</v>
      </c>
      <c r="T237" s="3">
        <f t="shared" si="198"/>
        <v>1.2901117231804354E-4</v>
      </c>
      <c r="U237" s="3">
        <f t="shared" si="198"/>
        <v>1.2901117231804346E-4</v>
      </c>
      <c r="V237" s="3">
        <f t="shared" si="198"/>
        <v>1.2901117231804249E-4</v>
      </c>
      <c r="W237" s="3">
        <f t="shared" si="198"/>
        <v>1.2901117231803265E-4</v>
      </c>
      <c r="X237" s="3">
        <f t="shared" si="198"/>
        <v>1.290111723179345E-4</v>
      </c>
      <c r="Y237" s="3">
        <f t="shared" si="198"/>
        <v>1.2901117231695281E-4</v>
      </c>
      <c r="Z237" s="3">
        <f t="shared" si="198"/>
        <v>1.2901117230713612E-4</v>
      </c>
      <c r="AA237" s="3">
        <f t="shared" si="198"/>
        <v>1.2901117220896906E-4</v>
      </c>
      <c r="AB237" s="3">
        <f t="shared" si="198"/>
        <v>1.2901117122729846E-4</v>
      </c>
      <c r="AC237" s="3">
        <f t="shared" si="198"/>
        <v>1.2901116141059279E-4</v>
      </c>
      <c r="AD237" s="3">
        <f t="shared" si="198"/>
        <v>1.2901106324357713E-4</v>
      </c>
      <c r="AE237" s="3">
        <f t="shared" si="198"/>
        <v>1.2901008157752901E-4</v>
      </c>
      <c r="AF237" s="3">
        <f t="shared" si="198"/>
        <v>1.290002653278695E-4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7.3508598139721321E-5</v>
      </c>
      <c r="C239" s="3">
        <f t="shared" si="200"/>
        <v>7.3508598139721321E-5</v>
      </c>
      <c r="D239" s="3">
        <f t="shared" si="200"/>
        <v>7.3508598139721321E-5</v>
      </c>
      <c r="E239" s="3">
        <f t="shared" si="200"/>
        <v>7.3508598139721321E-5</v>
      </c>
      <c r="F239" s="3">
        <f t="shared" si="200"/>
        <v>7.3508598139721321E-5</v>
      </c>
      <c r="G239" s="3">
        <f t="shared" si="200"/>
        <v>7.3508598139721321E-5</v>
      </c>
      <c r="H239" s="3">
        <f t="shared" si="200"/>
        <v>7.3508598139721321E-5</v>
      </c>
      <c r="I239" s="3">
        <f t="shared" si="200"/>
        <v>7.3508598139721321E-5</v>
      </c>
      <c r="J239" s="3">
        <f t="shared" si="200"/>
        <v>7.3508598139721321E-5</v>
      </c>
      <c r="K239" s="3">
        <f t="shared" si="200"/>
        <v>7.3508598139721321E-5</v>
      </c>
      <c r="L239" s="3">
        <f t="shared" si="200"/>
        <v>7.3508598139721321E-5</v>
      </c>
      <c r="M239" s="3">
        <f t="shared" si="200"/>
        <v>7.3508598139721321E-5</v>
      </c>
      <c r="N239" s="3">
        <f t="shared" si="200"/>
        <v>7.3508598139721321E-5</v>
      </c>
      <c r="O239" s="3">
        <f t="shared" si="200"/>
        <v>7.3508598139721321E-5</v>
      </c>
      <c r="P239" s="3">
        <f t="shared" si="200"/>
        <v>7.3508598139721321E-5</v>
      </c>
      <c r="Q239" s="3">
        <f t="shared" si="200"/>
        <v>7.3508598139721321E-5</v>
      </c>
      <c r="R239" s="3">
        <f t="shared" si="200"/>
        <v>7.3508598139721321E-5</v>
      </c>
      <c r="S239" s="3">
        <f t="shared" si="200"/>
        <v>7.3508598139721321E-5</v>
      </c>
      <c r="T239" s="3">
        <f t="shared" si="200"/>
        <v>7.3508598139721321E-5</v>
      </c>
      <c r="U239" s="3">
        <f t="shared" si="200"/>
        <v>7.3508598139721321E-5</v>
      </c>
      <c r="V239" s="3">
        <f t="shared" si="200"/>
        <v>7.3508598139721308E-5</v>
      </c>
      <c r="W239" s="3">
        <f t="shared" si="200"/>
        <v>7.3508598139721253E-5</v>
      </c>
      <c r="X239" s="3">
        <f t="shared" si="200"/>
        <v>7.3508598139720698E-5</v>
      </c>
      <c r="Y239" s="3">
        <f t="shared" si="200"/>
        <v>7.35085981397151E-5</v>
      </c>
      <c r="Z239" s="3">
        <f t="shared" si="200"/>
        <v>7.3508598139659169E-5</v>
      </c>
      <c r="AA239" s="3">
        <f t="shared" si="200"/>
        <v>7.3508598139099829E-5</v>
      </c>
      <c r="AB239" s="3">
        <f t="shared" si="200"/>
        <v>7.3508598133506417E-5</v>
      </c>
      <c r="AC239" s="3">
        <f t="shared" si="200"/>
        <v>7.3508598077572332E-5</v>
      </c>
      <c r="AD239" s="3">
        <f t="shared" si="200"/>
        <v>7.3508597518231387E-5</v>
      </c>
      <c r="AE239" s="3">
        <f t="shared" si="200"/>
        <v>7.3508591924822242E-5</v>
      </c>
      <c r="AF239" s="3">
        <f t="shared" si="200"/>
        <v>7.3508535990754088E-5</v>
      </c>
      <c r="AG239" s="3"/>
      <c r="AH239" s="3"/>
    </row>
    <row r="240" spans="2:34" x14ac:dyDescent="0.25">
      <c r="B240" s="3">
        <f t="shared" ref="B240:AF240" si="201">$C48*EXP(-B$207/$A48/EXP(-$D$126))</f>
        <v>6.9573660063357843E-4</v>
      </c>
      <c r="C240" s="3">
        <f t="shared" si="201"/>
        <v>6.9573660063357843E-4</v>
      </c>
      <c r="D240" s="3">
        <f t="shared" si="201"/>
        <v>6.9573660063357843E-4</v>
      </c>
      <c r="E240" s="3">
        <f t="shared" si="201"/>
        <v>6.9573660063357843E-4</v>
      </c>
      <c r="F240" s="3">
        <f t="shared" si="201"/>
        <v>6.9573660063357843E-4</v>
      </c>
      <c r="G240" s="3">
        <f t="shared" si="201"/>
        <v>6.9573660063357843E-4</v>
      </c>
      <c r="H240" s="3">
        <f t="shared" si="201"/>
        <v>6.9573660063357843E-4</v>
      </c>
      <c r="I240" s="3">
        <f t="shared" si="201"/>
        <v>6.9573660063357843E-4</v>
      </c>
      <c r="J240" s="3">
        <f t="shared" si="201"/>
        <v>6.9573660063357843E-4</v>
      </c>
      <c r="K240" s="3">
        <f t="shared" si="201"/>
        <v>6.9573660063357843E-4</v>
      </c>
      <c r="L240" s="3">
        <f t="shared" si="201"/>
        <v>6.9573660063357843E-4</v>
      </c>
      <c r="M240" s="3">
        <f t="shared" si="201"/>
        <v>6.9573660063357843E-4</v>
      </c>
      <c r="N240" s="3">
        <f t="shared" si="201"/>
        <v>6.9573660063357843E-4</v>
      </c>
      <c r="O240" s="3">
        <f t="shared" si="201"/>
        <v>6.9573660063357843E-4</v>
      </c>
      <c r="P240" s="3">
        <f t="shared" si="201"/>
        <v>6.9573660063357843E-4</v>
      </c>
      <c r="Q240" s="3">
        <f t="shared" si="201"/>
        <v>6.9573660063357843E-4</v>
      </c>
      <c r="R240" s="3">
        <f t="shared" si="201"/>
        <v>6.9573660063357843E-4</v>
      </c>
      <c r="S240" s="3">
        <f t="shared" si="201"/>
        <v>6.9573660063357843E-4</v>
      </c>
      <c r="T240" s="3">
        <f t="shared" si="201"/>
        <v>6.9573660063357843E-4</v>
      </c>
      <c r="U240" s="3">
        <f t="shared" si="201"/>
        <v>6.9573660063357843E-4</v>
      </c>
      <c r="V240" s="3">
        <f t="shared" si="201"/>
        <v>6.9573660063357843E-4</v>
      </c>
      <c r="W240" s="3">
        <f t="shared" si="201"/>
        <v>6.9573660063357832E-4</v>
      </c>
      <c r="X240" s="3">
        <f t="shared" si="201"/>
        <v>6.9573660063357778E-4</v>
      </c>
      <c r="Y240" s="3">
        <f t="shared" si="201"/>
        <v>6.9573660063357258E-4</v>
      </c>
      <c r="Z240" s="3">
        <f t="shared" si="201"/>
        <v>6.9573660063351956E-4</v>
      </c>
      <c r="AA240" s="3">
        <f t="shared" si="201"/>
        <v>6.9573660063299025E-4</v>
      </c>
      <c r="AB240" s="3">
        <f t="shared" si="201"/>
        <v>6.957366006276962E-4</v>
      </c>
      <c r="AC240" s="3">
        <f t="shared" si="201"/>
        <v>6.9573660057475623E-4</v>
      </c>
      <c r="AD240" s="3">
        <f t="shared" si="201"/>
        <v>6.9573660004535712E-4</v>
      </c>
      <c r="AE240" s="3">
        <f t="shared" si="201"/>
        <v>6.9573659475136455E-4</v>
      </c>
      <c r="AF240" s="3">
        <f t="shared" si="201"/>
        <v>6.9573654181144236E-4</v>
      </c>
      <c r="AG240" s="3"/>
      <c r="AH240" s="3"/>
    </row>
    <row r="241" spans="1:34" x14ac:dyDescent="0.25">
      <c r="A241" s="79">
        <f>AVERAGE(B241:AF241)</f>
        <v>0.16022550495922008</v>
      </c>
      <c r="B241" s="80">
        <f>IF($A$64&lt;=B207,IF($B$64&gt;=B207,ABS((B209-B208)/B208),0),0)</f>
        <v>1.0746176107879807E-3</v>
      </c>
      <c r="C241" s="80">
        <f t="shared" ref="C241:AF241" si="202">IF($A$64&lt;=C207,IF($B$64&gt;=C207,ABS((C209-C208)/C208),0),0)</f>
        <v>7.5846104920496886E-3</v>
      </c>
      <c r="D241" s="80">
        <f t="shared" si="202"/>
        <v>1.327703174895796E-2</v>
      </c>
      <c r="E241" s="80">
        <f t="shared" si="202"/>
        <v>1.327850278687435E-2</v>
      </c>
      <c r="F241" s="80">
        <f t="shared" si="202"/>
        <v>1.3278106854974899E-2</v>
      </c>
      <c r="G241" s="80">
        <f t="shared" si="202"/>
        <v>1.3277999971165168E-2</v>
      </c>
      <c r="H241" s="80">
        <f t="shared" si="202"/>
        <v>1.3278047181429909E-2</v>
      </c>
      <c r="I241" s="80">
        <f t="shared" si="202"/>
        <v>1.3278916055286E-2</v>
      </c>
      <c r="J241" s="80">
        <f t="shared" si="202"/>
        <v>1.328772418564758E-2</v>
      </c>
      <c r="K241" s="80">
        <f t="shared" si="202"/>
        <v>1.3375429120151787E-2</v>
      </c>
      <c r="L241" s="80">
        <f t="shared" si="202"/>
        <v>1.4208823371813272E-2</v>
      </c>
      <c r="M241" s="80">
        <f t="shared" si="202"/>
        <v>1.9746821432759906E-2</v>
      </c>
      <c r="N241" s="80">
        <f t="shared" si="202"/>
        <v>3.7245810206507954E-2</v>
      </c>
      <c r="O241" s="80">
        <f t="shared" si="202"/>
        <v>5.4341999132621312E-2</v>
      </c>
      <c r="P241" s="80">
        <f t="shared" si="202"/>
        <v>6.1993989914621982E-2</v>
      </c>
      <c r="Q241" s="80">
        <f t="shared" si="202"/>
        <v>7.1626914692884583E-2</v>
      </c>
      <c r="R241" s="80">
        <f t="shared" si="202"/>
        <v>7.8731758674268792E-2</v>
      </c>
      <c r="S241" s="80">
        <f t="shared" si="202"/>
        <v>8.2506628324459166E-2</v>
      </c>
      <c r="T241" s="80">
        <f t="shared" si="202"/>
        <v>5.6220241745046064E-2</v>
      </c>
      <c r="U241" s="80">
        <f t="shared" si="202"/>
        <v>4.8517383646669354E-2</v>
      </c>
      <c r="V241" s="80">
        <f t="shared" si="202"/>
        <v>0.18469081161643147</v>
      </c>
      <c r="W241" s="80">
        <f t="shared" si="202"/>
        <v>0.29687234315843342</v>
      </c>
      <c r="X241" s="80">
        <f t="shared" si="202"/>
        <v>0.32518161166009796</v>
      </c>
      <c r="Y241" s="80">
        <f t="shared" si="202"/>
        <v>0.19343200830989357</v>
      </c>
      <c r="Z241" s="80">
        <f t="shared" si="202"/>
        <v>2.9660338093813604E-2</v>
      </c>
      <c r="AA241" s="80">
        <f t="shared" si="202"/>
        <v>0.25552042062164804</v>
      </c>
      <c r="AB241" s="80">
        <f t="shared" si="202"/>
        <v>0.46288824230590903</v>
      </c>
      <c r="AC241" s="80">
        <f t="shared" si="202"/>
        <v>0.61177768964755985</v>
      </c>
      <c r="AD241" s="80">
        <f t="shared" si="202"/>
        <v>0.67445597277206737</v>
      </c>
      <c r="AE241" s="80">
        <f t="shared" si="202"/>
        <v>0.69243254623185291</v>
      </c>
      <c r="AF241" s="80">
        <f t="shared" si="202"/>
        <v>0.59994731216913777</v>
      </c>
    </row>
    <row r="242" spans="1:34" x14ac:dyDescent="0.25">
      <c r="B242" s="21">
        <f>(B209-B208)^2</f>
        <v>62.062716167796601</v>
      </c>
      <c r="C242" s="21">
        <f t="shared" ref="C242:AF242" si="203">(C209-C208)^2</f>
        <v>3091.705809149355</v>
      </c>
      <c r="D242" s="21">
        <f t="shared" si="203"/>
        <v>9473.9034876943369</v>
      </c>
      <c r="E242" s="21">
        <f t="shared" si="203"/>
        <v>9475.9768986183863</v>
      </c>
      <c r="F242" s="21">
        <f t="shared" si="203"/>
        <v>9475.4041857479624</v>
      </c>
      <c r="G242" s="21">
        <f t="shared" si="203"/>
        <v>9475.2494166046909</v>
      </c>
      <c r="H242" s="21">
        <f t="shared" si="203"/>
        <v>9475.3160018343478</v>
      </c>
      <c r="I242" s="21">
        <f t="shared" si="203"/>
        <v>9476.5557948741898</v>
      </c>
      <c r="J242" s="21">
        <f t="shared" si="203"/>
        <v>9489.1310899830642</v>
      </c>
      <c r="K242" s="21">
        <f t="shared" si="203"/>
        <v>9614.8030837063143</v>
      </c>
      <c r="L242" s="21">
        <f t="shared" si="203"/>
        <v>10850.213232290564</v>
      </c>
      <c r="M242" s="21">
        <f t="shared" si="203"/>
        <v>20954.988103168824</v>
      </c>
      <c r="N242" s="21">
        <f t="shared" si="203"/>
        <v>74500.621607746521</v>
      </c>
      <c r="O242" s="21">
        <f t="shared" si="203"/>
        <v>157617.66873119288</v>
      </c>
      <c r="P242" s="21">
        <f t="shared" si="203"/>
        <v>198625.14133610041</v>
      </c>
      <c r="Q242" s="21">
        <f t="shared" si="203"/>
        <v>254656.57998416605</v>
      </c>
      <c r="R242" s="21">
        <f t="shared" si="203"/>
        <v>293515.73425947415</v>
      </c>
      <c r="S242" s="21">
        <f t="shared" si="203"/>
        <v>299525.54523552215</v>
      </c>
      <c r="T242" s="21">
        <f t="shared" si="203"/>
        <v>119237.13546562979</v>
      </c>
      <c r="U242" s="21">
        <f t="shared" si="203"/>
        <v>65208.661687141968</v>
      </c>
      <c r="V242" s="21">
        <f t="shared" si="203"/>
        <v>660122.79585099977</v>
      </c>
      <c r="W242" s="21">
        <f t="shared" si="203"/>
        <v>1244168.2159546886</v>
      </c>
      <c r="X242" s="21">
        <f t="shared" si="203"/>
        <v>1145376.2028506172</v>
      </c>
      <c r="Y242" s="21">
        <f t="shared" si="203"/>
        <v>319764.61955271586</v>
      </c>
      <c r="Z242" s="21">
        <f t="shared" si="203"/>
        <v>5909.8182870024903</v>
      </c>
      <c r="AA242" s="21">
        <f t="shared" si="203"/>
        <v>323851.42396849178</v>
      </c>
      <c r="AB242" s="21">
        <f t="shared" si="203"/>
        <v>708255.59087186866</v>
      </c>
      <c r="AC242" s="21">
        <f t="shared" si="203"/>
        <v>695026.1108754467</v>
      </c>
      <c r="AD242" s="21">
        <f t="shared" si="203"/>
        <v>354356.38883270812</v>
      </c>
      <c r="AE242" s="21">
        <f t="shared" si="203"/>
        <v>126661.23639044362</v>
      </c>
      <c r="AF242" s="21">
        <f t="shared" si="203"/>
        <v>29844.574932075444</v>
      </c>
      <c r="AG242" s="3"/>
      <c r="AH242" s="3"/>
    </row>
    <row r="243" spans="1:34" x14ac:dyDescent="0.25">
      <c r="A243" s="71">
        <f>SUM(B243:AF243)</f>
        <v>7187139.3764938721</v>
      </c>
      <c r="B243" s="60">
        <f>IF($A$64&lt;=B207,IF($B$64&gt;=B207,ABS(B242),0),0)</f>
        <v>62.062716167796601</v>
      </c>
      <c r="C243" s="60">
        <f t="shared" ref="C243" si="204">IF($A$64&lt;=C207,IF($B$64&gt;=C207,ABS(C242),0),0)</f>
        <v>3091.705809149355</v>
      </c>
      <c r="D243" s="60">
        <f t="shared" ref="D243" si="205">IF($A$64&lt;=D207,IF($B$64&gt;=D207,ABS(D242),0),0)</f>
        <v>9473.9034876943369</v>
      </c>
      <c r="E243" s="60">
        <f t="shared" ref="E243" si="206">IF($A$64&lt;=E207,IF($B$64&gt;=E207,ABS(E242),0),0)</f>
        <v>9475.9768986183863</v>
      </c>
      <c r="F243" s="60">
        <f t="shared" ref="F243" si="207">IF($A$64&lt;=F207,IF($B$64&gt;=F207,ABS(F242),0),0)</f>
        <v>9475.4041857479624</v>
      </c>
      <c r="G243" s="60">
        <f t="shared" ref="G243" si="208">IF($A$64&lt;=G207,IF($B$64&gt;=G207,ABS(G242),0),0)</f>
        <v>9475.2494166046909</v>
      </c>
      <c r="H243" s="60">
        <f t="shared" ref="H243" si="209">IF($A$64&lt;=H207,IF($B$64&gt;=H207,ABS(H242),0),0)</f>
        <v>9475.3160018343478</v>
      </c>
      <c r="I243" s="60">
        <f t="shared" ref="I243" si="210">IF($A$64&lt;=I207,IF($B$64&gt;=I207,ABS(I242),0),0)</f>
        <v>9476.5557948741898</v>
      </c>
      <c r="J243" s="60">
        <f t="shared" ref="J243" si="211">IF($A$64&lt;=J207,IF($B$64&gt;=J207,ABS(J242),0),0)</f>
        <v>9489.1310899830642</v>
      </c>
      <c r="K243" s="60">
        <f t="shared" ref="K243" si="212">IF($A$64&lt;=K207,IF($B$64&gt;=K207,ABS(K242),0),0)</f>
        <v>9614.8030837063143</v>
      </c>
      <c r="L243" s="60">
        <f t="shared" ref="L243" si="213">IF($A$64&lt;=L207,IF($B$64&gt;=L207,ABS(L242),0),0)</f>
        <v>10850.213232290564</v>
      </c>
      <c r="M243" s="60">
        <f t="shared" ref="M243" si="214">IF($A$64&lt;=M207,IF($B$64&gt;=M207,ABS(M242),0),0)</f>
        <v>20954.988103168824</v>
      </c>
      <c r="N243" s="60">
        <f t="shared" ref="N243" si="215">IF($A$64&lt;=N207,IF($B$64&gt;=N207,ABS(N242),0),0)</f>
        <v>74500.621607746521</v>
      </c>
      <c r="O243" s="60">
        <f t="shared" ref="O243" si="216">IF($A$64&lt;=O207,IF($B$64&gt;=O207,ABS(O242),0),0)</f>
        <v>157617.66873119288</v>
      </c>
      <c r="P243" s="60">
        <f t="shared" ref="P243" si="217">IF($A$64&lt;=P207,IF($B$64&gt;=P207,ABS(P242),0),0)</f>
        <v>198625.14133610041</v>
      </c>
      <c r="Q243" s="60">
        <f t="shared" ref="Q243" si="218">IF($A$64&lt;=Q207,IF($B$64&gt;=Q207,ABS(Q242),0),0)</f>
        <v>254656.57998416605</v>
      </c>
      <c r="R243" s="60">
        <f t="shared" ref="R243" si="219">IF($A$64&lt;=R207,IF($B$64&gt;=R207,ABS(R242),0),0)</f>
        <v>293515.73425947415</v>
      </c>
      <c r="S243" s="60">
        <f t="shared" ref="S243" si="220">IF($A$64&lt;=S207,IF($B$64&gt;=S207,ABS(S242),0),0)</f>
        <v>299525.54523552215</v>
      </c>
      <c r="T243" s="60">
        <f t="shared" ref="T243" si="221">IF($A$64&lt;=T207,IF($B$64&gt;=T207,ABS(T242),0),0)</f>
        <v>119237.13546562979</v>
      </c>
      <c r="U243" s="60">
        <f t="shared" ref="U243" si="222">IF($A$64&lt;=U207,IF($B$64&gt;=U207,ABS(U242),0),0)</f>
        <v>65208.661687141968</v>
      </c>
      <c r="V243" s="60">
        <f t="shared" ref="V243" si="223">IF($A$64&lt;=V207,IF($B$64&gt;=V207,ABS(V242),0),0)</f>
        <v>660122.79585099977</v>
      </c>
      <c r="W243" s="60">
        <f t="shared" ref="W243" si="224">IF($A$64&lt;=W207,IF($B$64&gt;=W207,ABS(W242),0),0)</f>
        <v>1244168.2159546886</v>
      </c>
      <c r="X243" s="60">
        <f t="shared" ref="X243" si="225">IF($A$64&lt;=X207,IF($B$64&gt;=X207,ABS(X242),0),0)</f>
        <v>1145376.2028506172</v>
      </c>
      <c r="Y243" s="60">
        <f t="shared" ref="Y243" si="226">IF($A$64&lt;=Y207,IF($B$64&gt;=Y207,ABS(Y242),0),0)</f>
        <v>319764.61955271586</v>
      </c>
      <c r="Z243" s="60">
        <f t="shared" ref="Z243" si="227">IF($A$64&lt;=Z207,IF($B$64&gt;=Z207,ABS(Z242),0),0)</f>
        <v>5909.8182870024903</v>
      </c>
      <c r="AA243" s="60">
        <f t="shared" ref="AA243" si="228">IF($A$64&lt;=AA207,IF($B$64&gt;=AA207,ABS(AA242),0),0)</f>
        <v>323851.42396849178</v>
      </c>
      <c r="AB243" s="60">
        <f t="shared" ref="AB243" si="229">IF($A$64&lt;=AB207,IF($B$64&gt;=AB207,ABS(AB242),0),0)</f>
        <v>708255.59087186866</v>
      </c>
      <c r="AC243" s="60">
        <f t="shared" ref="AC243" si="230">IF($A$64&lt;=AC207,IF($B$64&gt;=AC207,ABS(AC242),0),0)</f>
        <v>695026.1108754467</v>
      </c>
      <c r="AD243" s="60">
        <f t="shared" ref="AD243" si="231">IF($A$64&lt;=AD207,IF($B$64&gt;=AD207,ABS(AD242),0),0)</f>
        <v>354356.38883270812</v>
      </c>
      <c r="AE243" s="60">
        <f t="shared" ref="AE243" si="232">IF($A$64&lt;=AE207,IF($B$64&gt;=AE207,ABS(AE242),0),0)</f>
        <v>126661.23639044362</v>
      </c>
      <c r="AF243" s="60">
        <f t="shared" ref="AF243" si="233">IF($A$64&lt;=AF207,IF($B$64&gt;=AF207,ABS(AF242),0),0)</f>
        <v>29844.574932075444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7233.6497684756123</v>
      </c>
      <c r="C248" s="27">
        <f t="shared" ref="C248:AF248" si="234">($C$17+SUM(C249:C279))*$B$51</f>
        <v>7233.649766573234</v>
      </c>
      <c r="D248" s="27">
        <f t="shared" si="234"/>
        <v>7233.6497517928592</v>
      </c>
      <c r="E248" s="27">
        <f t="shared" si="234"/>
        <v>7233.6496039892945</v>
      </c>
      <c r="F248" s="27">
        <f t="shared" si="234"/>
        <v>7233.6481259711845</v>
      </c>
      <c r="G248" s="27">
        <f t="shared" si="234"/>
        <v>7233.6333475445363</v>
      </c>
      <c r="H248" s="27">
        <f t="shared" si="234"/>
        <v>7233.485738520114</v>
      </c>
      <c r="I248" s="27">
        <f t="shared" si="234"/>
        <v>7232.0269719497819</v>
      </c>
      <c r="J248" s="27">
        <f t="shared" si="234"/>
        <v>7218.988012405769</v>
      </c>
      <c r="K248" s="27">
        <f t="shared" si="234"/>
        <v>7153.5251338567477</v>
      </c>
      <c r="L248" s="27">
        <f t="shared" si="234"/>
        <v>6999.2028664963409</v>
      </c>
      <c r="M248" s="27">
        <f t="shared" si="234"/>
        <v>6851.8549124824594</v>
      </c>
      <c r="N248" s="27">
        <f t="shared" si="234"/>
        <v>6670.9372959702705</v>
      </c>
      <c r="O248" s="27">
        <f t="shared" si="234"/>
        <v>6457.6989626787254</v>
      </c>
      <c r="P248" s="27">
        <f t="shared" si="234"/>
        <v>6256.6415181919974</v>
      </c>
      <c r="Q248" s="27">
        <f t="shared" si="234"/>
        <v>5964.9152982642245</v>
      </c>
      <c r="R248" s="27">
        <f t="shared" si="234"/>
        <v>5690.2928678729477</v>
      </c>
      <c r="S248" s="27">
        <f t="shared" si="234"/>
        <v>5402.6916133348459</v>
      </c>
      <c r="T248" s="27">
        <f t="shared" si="234"/>
        <v>5085.105290705741</v>
      </c>
      <c r="U248" s="27">
        <f t="shared" si="234"/>
        <v>4725.322780663605</v>
      </c>
      <c r="V248" s="27">
        <f t="shared" si="234"/>
        <v>4059.3920273344756</v>
      </c>
      <c r="W248" s="27">
        <f t="shared" si="234"/>
        <v>3135.8442452440686</v>
      </c>
      <c r="X248" s="27">
        <f t="shared" si="234"/>
        <v>2208.0014800076497</v>
      </c>
      <c r="Y248" s="27">
        <f t="shared" si="234"/>
        <v>1414.4467296069063</v>
      </c>
      <c r="Z248" s="27">
        <f t="shared" si="234"/>
        <v>812.32109734925734</v>
      </c>
      <c r="AA248" s="27">
        <f t="shared" si="234"/>
        <v>448.31263750908118</v>
      </c>
      <c r="AB248" s="27">
        <f t="shared" si="234"/>
        <v>219.95849598901316</v>
      </c>
      <c r="AC248" s="27">
        <f t="shared" si="234"/>
        <v>131.8806683586819</v>
      </c>
      <c r="AD248" s="27">
        <f t="shared" si="234"/>
        <v>111.52005811980061</v>
      </c>
      <c r="AE248" s="27">
        <f t="shared" si="234"/>
        <v>96.333093870179937</v>
      </c>
      <c r="AF248" s="27">
        <f t="shared" si="234"/>
        <v>93.058271853913283</v>
      </c>
      <c r="AG248" s="27"/>
      <c r="AH248" s="27"/>
    </row>
    <row r="249" spans="1:34" x14ac:dyDescent="0.25">
      <c r="B249" s="3">
        <f t="shared" ref="B249:AF249" si="235">$C18*EXP(-B$246/$A18/EXP(-$E$126))</f>
        <v>5.7883340118329189E-11</v>
      </c>
      <c r="C249" s="3">
        <f t="shared" si="235"/>
        <v>3.2934675007842205E-86</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3.9093064392296583E-3</v>
      </c>
      <c r="C253" s="3">
        <f t="shared" si="239"/>
        <v>3.9093063118693355E-3</v>
      </c>
      <c r="D253" s="3">
        <f t="shared" si="239"/>
        <v>3.9093050382663381E-3</v>
      </c>
      <c r="E253" s="3">
        <f t="shared" si="239"/>
        <v>3.9092923022591829E-3</v>
      </c>
      <c r="F253" s="3">
        <f t="shared" si="239"/>
        <v>3.9091649444696844E-3</v>
      </c>
      <c r="G253" s="3">
        <f t="shared" si="239"/>
        <v>3.9078915947523638E-3</v>
      </c>
      <c r="H253" s="3">
        <f t="shared" si="239"/>
        <v>3.8951808878644302E-3</v>
      </c>
      <c r="I253" s="3">
        <f t="shared" si="239"/>
        <v>3.7703256135429601E-3</v>
      </c>
      <c r="J253" s="3">
        <f t="shared" si="239"/>
        <v>2.7220189015401118E-3</v>
      </c>
      <c r="K253" s="3">
        <f t="shared" si="239"/>
        <v>1.0471621065193995E-4</v>
      </c>
      <c r="L253" s="3">
        <f t="shared" si="239"/>
        <v>7.4343282550011176E-19</v>
      </c>
      <c r="M253" s="3">
        <f t="shared" si="239"/>
        <v>2.4183540486192946E-160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2.3295025102208797E-2</v>
      </c>
      <c r="C254" s="3">
        <f t="shared" si="240"/>
        <v>2.3295025033747641E-2</v>
      </c>
      <c r="D254" s="3">
        <f t="shared" si="240"/>
        <v>2.3295024349136113E-2</v>
      </c>
      <c r="E254" s="3">
        <f t="shared" si="240"/>
        <v>2.3295017503021927E-2</v>
      </c>
      <c r="F254" s="3">
        <f t="shared" si="240"/>
        <v>2.3294949041990726E-2</v>
      </c>
      <c r="G254" s="3">
        <f t="shared" si="240"/>
        <v>2.3294264442744513E-2</v>
      </c>
      <c r="H254" s="3">
        <f t="shared" si="240"/>
        <v>2.3287419556741754E-2</v>
      </c>
      <c r="I254" s="3">
        <f t="shared" si="240"/>
        <v>2.3219081222430635E-2</v>
      </c>
      <c r="J254" s="3">
        <f t="shared" si="240"/>
        <v>2.2546631206044786E-2</v>
      </c>
      <c r="K254" s="3">
        <f t="shared" si="240"/>
        <v>1.6805365617109609E-2</v>
      </c>
      <c r="L254" s="3">
        <f t="shared" si="240"/>
        <v>8.8942843121432851E-4</v>
      </c>
      <c r="M254" s="3">
        <f t="shared" si="240"/>
        <v>1.5337035840617093E-16</v>
      </c>
      <c r="N254" s="3">
        <f t="shared" si="240"/>
        <v>3.5648862638703158E-144</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1.9366384778007541E-2</v>
      </c>
      <c r="C255" s="3">
        <f t="shared" si="241"/>
        <v>1.93663847728733E-2</v>
      </c>
      <c r="D255" s="3">
        <f t="shared" si="241"/>
        <v>1.9366384721530898E-2</v>
      </c>
      <c r="E255" s="3">
        <f t="shared" si="241"/>
        <v>1.936638420810689E-2</v>
      </c>
      <c r="F255" s="3">
        <f t="shared" si="241"/>
        <v>1.9366379073867544E-2</v>
      </c>
      <c r="G255" s="3">
        <f t="shared" si="241"/>
        <v>1.9366327731548966E-2</v>
      </c>
      <c r="H255" s="3">
        <f t="shared" si="241"/>
        <v>1.936581431584939E-2</v>
      </c>
      <c r="I255" s="3">
        <f t="shared" si="241"/>
        <v>1.9360680907400778E-2</v>
      </c>
      <c r="J255" s="3">
        <f t="shared" si="241"/>
        <v>1.9309421604256045E-2</v>
      </c>
      <c r="K255" s="3">
        <f t="shared" si="241"/>
        <v>1.8804233870424403E-2</v>
      </c>
      <c r="L255" s="3">
        <f t="shared" si="241"/>
        <v>1.4425119919900135E-2</v>
      </c>
      <c r="M255" s="3">
        <f t="shared" si="241"/>
        <v>1.0180223565433842E-3</v>
      </c>
      <c r="N255" s="3">
        <f t="shared" si="241"/>
        <v>3.1198674887450765E-15</v>
      </c>
      <c r="O255" s="3">
        <f t="shared" si="241"/>
        <v>2.2799455628644173E-130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2.4447536701421319E-2</v>
      </c>
      <c r="C256" s="3">
        <f t="shared" si="242"/>
        <v>2.4447536700836651E-2</v>
      </c>
      <c r="D256" s="3">
        <f t="shared" si="242"/>
        <v>2.4447536694989971E-2</v>
      </c>
      <c r="E256" s="3">
        <f t="shared" si="242"/>
        <v>2.444753663652317E-2</v>
      </c>
      <c r="F256" s="3">
        <f t="shared" si="242"/>
        <v>2.4447536051855182E-2</v>
      </c>
      <c r="G256" s="3">
        <f t="shared" si="242"/>
        <v>2.4447530205176073E-2</v>
      </c>
      <c r="H256" s="3">
        <f t="shared" si="242"/>
        <v>2.4447471738461863E-2</v>
      </c>
      <c r="I256" s="3">
        <f t="shared" si="242"/>
        <v>2.4446887079010066E-2</v>
      </c>
      <c r="J256" s="3">
        <f t="shared" si="242"/>
        <v>2.4441041253451711E-2</v>
      </c>
      <c r="K256" s="3">
        <f t="shared" si="242"/>
        <v>2.4382659825830287E-2</v>
      </c>
      <c r="L256" s="3">
        <f t="shared" si="242"/>
        <v>2.3806460796314363E-2</v>
      </c>
      <c r="M256" s="3">
        <f t="shared" si="242"/>
        <v>1.8742710373153962E-2</v>
      </c>
      <c r="N256" s="3">
        <f t="shared" si="242"/>
        <v>1.7147783071157876E-3</v>
      </c>
      <c r="O256" s="3">
        <f t="shared" si="242"/>
        <v>7.046344091350586E-14</v>
      </c>
      <c r="P256" s="3">
        <f t="shared" si="242"/>
        <v>9.6721385705797554E-118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3.2102560695375537E-2</v>
      </c>
      <c r="C257" s="3">
        <f t="shared" si="243"/>
        <v>3.210256069530628E-2</v>
      </c>
      <c r="D257" s="3">
        <f t="shared" si="243"/>
        <v>3.2102560694613716E-2</v>
      </c>
      <c r="E257" s="3">
        <f t="shared" si="243"/>
        <v>3.2102560687688068E-2</v>
      </c>
      <c r="F257" s="3">
        <f t="shared" si="243"/>
        <v>3.2102560618431572E-2</v>
      </c>
      <c r="G257" s="3">
        <f t="shared" si="243"/>
        <v>3.2102559925866678E-2</v>
      </c>
      <c r="H257" s="3">
        <f t="shared" si="243"/>
        <v>3.2102553000218512E-2</v>
      </c>
      <c r="I257" s="3">
        <f t="shared" si="243"/>
        <v>3.2102483743819049E-2</v>
      </c>
      <c r="J257" s="3">
        <f t="shared" si="243"/>
        <v>3.2101791188041892E-2</v>
      </c>
      <c r="K257" s="3">
        <f t="shared" si="243"/>
        <v>3.2094866451955528E-2</v>
      </c>
      <c r="L257" s="3">
        <f t="shared" si="243"/>
        <v>3.2025701194060376E-2</v>
      </c>
      <c r="M257" s="3">
        <f t="shared" si="243"/>
        <v>3.1342193752206392E-2</v>
      </c>
      <c r="N257" s="3">
        <f t="shared" si="243"/>
        <v>2.526020253658089E-2</v>
      </c>
      <c r="O257" s="3">
        <f t="shared" si="243"/>
        <v>2.9208631008555259E-3</v>
      </c>
      <c r="P257" s="3">
        <f t="shared" si="243"/>
        <v>1.2481159736970217E-12</v>
      </c>
      <c r="Q257" s="3">
        <f t="shared" si="243"/>
        <v>2.5333333040700546E-106</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2.4134444755217307E-2</v>
      </c>
      <c r="C258" s="3">
        <f t="shared" si="244"/>
        <v>2.4134444755212613E-2</v>
      </c>
      <c r="D258" s="3">
        <f t="shared" si="244"/>
        <v>2.4134444755165643E-2</v>
      </c>
      <c r="E258" s="3">
        <f t="shared" si="244"/>
        <v>2.413444475469596E-2</v>
      </c>
      <c r="F258" s="3">
        <f t="shared" si="244"/>
        <v>2.413444474999913E-2</v>
      </c>
      <c r="G258" s="3">
        <f t="shared" si="244"/>
        <v>2.4134444703030847E-2</v>
      </c>
      <c r="H258" s="3">
        <f t="shared" si="244"/>
        <v>2.4134444233347995E-2</v>
      </c>
      <c r="I258" s="3">
        <f t="shared" si="244"/>
        <v>2.4134439536519985E-2</v>
      </c>
      <c r="J258" s="3">
        <f t="shared" si="244"/>
        <v>2.4134392568290159E-2</v>
      </c>
      <c r="K258" s="3">
        <f t="shared" si="244"/>
        <v>2.4133922891019143E-2</v>
      </c>
      <c r="L258" s="3">
        <f t="shared" si="244"/>
        <v>2.4129226620998773E-2</v>
      </c>
      <c r="M258" s="3">
        <f t="shared" si="244"/>
        <v>2.4082314153594468E-2</v>
      </c>
      <c r="N258" s="3">
        <f t="shared" si="244"/>
        <v>2.3618176776346068E-2</v>
      </c>
      <c r="O258" s="3">
        <f t="shared" si="244"/>
        <v>1.9441415538529731E-2</v>
      </c>
      <c r="P258" s="3">
        <f t="shared" si="244"/>
        <v>2.7767899158545736E-3</v>
      </c>
      <c r="Q258" s="3">
        <f t="shared" si="244"/>
        <v>9.8105742524720033E-12</v>
      </c>
      <c r="R258" s="3">
        <f t="shared" si="244"/>
        <v>2.9730929394850184E-96</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4.5522140204717239E-2</v>
      </c>
      <c r="C259" s="3">
        <f t="shared" si="245"/>
        <v>4.5522140204716441E-2</v>
      </c>
      <c r="D259" s="3">
        <f t="shared" si="245"/>
        <v>4.5522140204708447E-2</v>
      </c>
      <c r="E259" s="3">
        <f t="shared" si="245"/>
        <v>4.5522140204628532E-2</v>
      </c>
      <c r="F259" s="3">
        <f t="shared" si="245"/>
        <v>4.5522140203829366E-2</v>
      </c>
      <c r="G259" s="3">
        <f t="shared" si="245"/>
        <v>4.5522140195837717E-2</v>
      </c>
      <c r="H259" s="3">
        <f t="shared" si="245"/>
        <v>4.5522140115921171E-2</v>
      </c>
      <c r="I259" s="3">
        <f t="shared" si="245"/>
        <v>4.5522139316755812E-2</v>
      </c>
      <c r="J259" s="3">
        <f t="shared" si="245"/>
        <v>4.5522131325102896E-2</v>
      </c>
      <c r="K259" s="3">
        <f t="shared" si="245"/>
        <v>4.5522051408650947E-2</v>
      </c>
      <c r="L259" s="3">
        <f t="shared" si="245"/>
        <v>4.5521252251847756E-2</v>
      </c>
      <c r="M259" s="3">
        <f t="shared" si="245"/>
        <v>4.5513261455397705E-2</v>
      </c>
      <c r="N259" s="3">
        <f t="shared" si="245"/>
        <v>4.5433430598985643E-2</v>
      </c>
      <c r="O259" s="3">
        <f t="shared" si="245"/>
        <v>4.4642782992121023E-2</v>
      </c>
      <c r="P259" s="3">
        <f t="shared" si="245"/>
        <v>3.7454892482625589E-2</v>
      </c>
      <c r="Q259" s="3">
        <f t="shared" si="245"/>
        <v>6.4726406874995018E-3</v>
      </c>
      <c r="R259" s="3">
        <f t="shared" si="245"/>
        <v>1.5374851887748045E-10</v>
      </c>
      <c r="S259" s="3">
        <f t="shared" si="245"/>
        <v>8.7923579168826774E-87</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3.7432935335074261E-2</v>
      </c>
      <c r="C260" s="3">
        <f t="shared" si="246"/>
        <v>3.7432935335074198E-2</v>
      </c>
      <c r="D260" s="3">
        <f t="shared" si="246"/>
        <v>3.7432935335073608E-2</v>
      </c>
      <c r="E260" s="3">
        <f t="shared" si="246"/>
        <v>3.7432935335067682E-2</v>
      </c>
      <c r="F260" s="3">
        <f t="shared" si="246"/>
        <v>3.7432935335008403E-2</v>
      </c>
      <c r="G260" s="3">
        <f t="shared" si="246"/>
        <v>3.7432935334415593E-2</v>
      </c>
      <c r="H260" s="3">
        <f t="shared" si="246"/>
        <v>3.7432935328487502E-2</v>
      </c>
      <c r="I260" s="3">
        <f t="shared" si="246"/>
        <v>3.7432935269206651E-2</v>
      </c>
      <c r="J260" s="3">
        <f t="shared" si="246"/>
        <v>3.7432934676398098E-2</v>
      </c>
      <c r="K260" s="3">
        <f t="shared" si="246"/>
        <v>3.743292874831311E-2</v>
      </c>
      <c r="L260" s="3">
        <f t="shared" si="246"/>
        <v>3.7432869467514895E-2</v>
      </c>
      <c r="M260" s="3">
        <f t="shared" si="246"/>
        <v>3.7432276664696097E-2</v>
      </c>
      <c r="N260" s="3">
        <f t="shared" si="246"/>
        <v>3.7426349152816854E-2</v>
      </c>
      <c r="O260" s="3">
        <f t="shared" si="246"/>
        <v>3.73671256346556E-2</v>
      </c>
      <c r="P260" s="3">
        <f t="shared" si="246"/>
        <v>3.6780020408308009E-2</v>
      </c>
      <c r="Q260" s="3">
        <f t="shared" si="246"/>
        <v>3.1393136085989023E-2</v>
      </c>
      <c r="R260" s="3">
        <f t="shared" si="246"/>
        <v>6.4426133843915861E-3</v>
      </c>
      <c r="S260" s="3">
        <f t="shared" si="246"/>
        <v>8.5375989235176525E-10</v>
      </c>
      <c r="T260" s="3">
        <f t="shared" si="246"/>
        <v>1.4258457054734522E-78</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4.1089114467289377E-2</v>
      </c>
      <c r="C261" s="3">
        <f t="shared" si="247"/>
        <v>4.108911446728937E-2</v>
      </c>
      <c r="D261" s="3">
        <f t="shared" si="247"/>
        <v>4.1089114467289314E-2</v>
      </c>
      <c r="E261" s="3">
        <f t="shared" si="247"/>
        <v>4.1089114467288725E-2</v>
      </c>
      <c r="F261" s="3">
        <f t="shared" si="247"/>
        <v>4.1089114467282854E-2</v>
      </c>
      <c r="G261" s="3">
        <f t="shared" si="247"/>
        <v>4.1089114467224158E-2</v>
      </c>
      <c r="H261" s="3">
        <f t="shared" si="247"/>
        <v>4.1089114466637162E-2</v>
      </c>
      <c r="I261" s="3">
        <f t="shared" si="247"/>
        <v>4.1089114460767219E-2</v>
      </c>
      <c r="J261" s="3">
        <f t="shared" si="247"/>
        <v>4.1089114402067778E-2</v>
      </c>
      <c r="K261" s="3">
        <f t="shared" si="247"/>
        <v>4.1089113815073387E-2</v>
      </c>
      <c r="L261" s="3">
        <f t="shared" si="247"/>
        <v>4.1089107945129988E-2</v>
      </c>
      <c r="M261" s="3">
        <f t="shared" si="247"/>
        <v>4.1089049245742096E-2</v>
      </c>
      <c r="N261" s="3">
        <f t="shared" si="247"/>
        <v>4.1088462256475285E-2</v>
      </c>
      <c r="O261" s="3">
        <f t="shared" si="247"/>
        <v>4.1082592824995497E-2</v>
      </c>
      <c r="P261" s="3">
        <f t="shared" si="247"/>
        <v>4.1023944604662056E-2</v>
      </c>
      <c r="Q261" s="3">
        <f t="shared" si="247"/>
        <v>4.0442047576090059E-2</v>
      </c>
      <c r="R261" s="3">
        <f t="shared" si="247"/>
        <v>3.5058257181339161E-2</v>
      </c>
      <c r="S261" s="3">
        <f t="shared" si="247"/>
        <v>8.401603681130413E-3</v>
      </c>
      <c r="T261" s="3">
        <f t="shared" si="247"/>
        <v>5.2490520266028635E-9</v>
      </c>
      <c r="U261" s="3">
        <f t="shared" si="247"/>
        <v>4.7562835611801483E-71</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4.624509457562298E-2</v>
      </c>
      <c r="C262" s="3">
        <f t="shared" si="248"/>
        <v>4.624509457562298E-2</v>
      </c>
      <c r="D262" s="3">
        <f t="shared" si="248"/>
        <v>4.6245094575622973E-2</v>
      </c>
      <c r="E262" s="3">
        <f t="shared" si="248"/>
        <v>4.6245094575622911E-2</v>
      </c>
      <c r="F262" s="3">
        <f t="shared" si="248"/>
        <v>4.6245094575622321E-2</v>
      </c>
      <c r="G262" s="3">
        <f t="shared" si="248"/>
        <v>4.6245094575616361E-2</v>
      </c>
      <c r="H262" s="3">
        <f t="shared" si="248"/>
        <v>4.6245094575556762E-2</v>
      </c>
      <c r="I262" s="3">
        <f t="shared" si="248"/>
        <v>4.6245094574960795E-2</v>
      </c>
      <c r="J262" s="3">
        <f t="shared" si="248"/>
        <v>4.6245094569001166E-2</v>
      </c>
      <c r="K262" s="3">
        <f t="shared" si="248"/>
        <v>4.6245094509404845E-2</v>
      </c>
      <c r="L262" s="3">
        <f t="shared" si="248"/>
        <v>4.6245093913441671E-2</v>
      </c>
      <c r="M262" s="3">
        <f t="shared" si="248"/>
        <v>4.6245087953810278E-2</v>
      </c>
      <c r="N262" s="3">
        <f t="shared" si="248"/>
        <v>4.6245028357538659E-2</v>
      </c>
      <c r="O262" s="3">
        <f t="shared" si="248"/>
        <v>4.6244432399046513E-2</v>
      </c>
      <c r="P262" s="3">
        <f t="shared" si="248"/>
        <v>4.6238473236514359E-2</v>
      </c>
      <c r="Q262" s="3">
        <f t="shared" si="248"/>
        <v>4.6178923829986097E-2</v>
      </c>
      <c r="R262" s="3">
        <f t="shared" si="248"/>
        <v>4.5587631582424439E-2</v>
      </c>
      <c r="S262" s="3">
        <f t="shared" si="248"/>
        <v>4.0075527814698537E-2</v>
      </c>
      <c r="T262" s="3">
        <f t="shared" si="248"/>
        <v>1.1045909018916956E-2</v>
      </c>
      <c r="U262" s="3">
        <f t="shared" si="248"/>
        <v>2.7952687556488035E-8</v>
      </c>
      <c r="V262" s="3">
        <f t="shared" si="248"/>
        <v>3.0105417486868398E-64</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4.2152470755880481E-2</v>
      </c>
      <c r="C263" s="3">
        <f t="shared" si="249"/>
        <v>4.2152470755880481E-2</v>
      </c>
      <c r="D263" s="3">
        <f t="shared" si="249"/>
        <v>4.2152470755880481E-2</v>
      </c>
      <c r="E263" s="3">
        <f t="shared" si="249"/>
        <v>4.2152470755880474E-2</v>
      </c>
      <c r="F263" s="3">
        <f t="shared" si="249"/>
        <v>4.2152470755880425E-2</v>
      </c>
      <c r="G263" s="3">
        <f t="shared" si="249"/>
        <v>4.2152470755879939E-2</v>
      </c>
      <c r="H263" s="3">
        <f t="shared" si="249"/>
        <v>4.2152470755875041E-2</v>
      </c>
      <c r="I263" s="3">
        <f t="shared" si="249"/>
        <v>4.2152470755826038E-2</v>
      </c>
      <c r="J263" s="3">
        <f t="shared" si="249"/>
        <v>4.2152470755336E-2</v>
      </c>
      <c r="K263" s="3">
        <f t="shared" si="249"/>
        <v>4.215247075043569E-2</v>
      </c>
      <c r="L263" s="3">
        <f t="shared" si="249"/>
        <v>4.2152470701432611E-2</v>
      </c>
      <c r="M263" s="3">
        <f t="shared" si="249"/>
        <v>4.215247021140181E-2</v>
      </c>
      <c r="N263" s="3">
        <f t="shared" si="249"/>
        <v>4.2152465311094039E-2</v>
      </c>
      <c r="O263" s="3">
        <f t="shared" si="249"/>
        <v>4.2152416308047731E-2</v>
      </c>
      <c r="P263" s="3">
        <f t="shared" si="249"/>
        <v>4.2151926280717796E-2</v>
      </c>
      <c r="Q263" s="3">
        <f t="shared" si="249"/>
        <v>4.2147026320722258E-2</v>
      </c>
      <c r="R263" s="3">
        <f t="shared" si="249"/>
        <v>4.2098058037675648E-2</v>
      </c>
      <c r="S263" s="3">
        <f t="shared" si="249"/>
        <v>4.1611493469456605E-2</v>
      </c>
      <c r="T263" s="3">
        <f t="shared" si="249"/>
        <v>3.7044668313095504E-2</v>
      </c>
      <c r="U263" s="3">
        <f t="shared" si="249"/>
        <v>1.1583766217846254E-2</v>
      </c>
      <c r="V263" s="3">
        <f t="shared" si="249"/>
        <v>1.0353579409192453E-7</v>
      </c>
      <c r="W263" s="3">
        <f t="shared" si="249"/>
        <v>3.3689756019583522E-58</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0.11273931401056794</v>
      </c>
      <c r="C264" s="3">
        <f t="shared" si="250"/>
        <v>0.11273931401056794</v>
      </c>
      <c r="D264" s="3">
        <f t="shared" si="250"/>
        <v>0.11273931401056794</v>
      </c>
      <c r="E264" s="3">
        <f t="shared" si="250"/>
        <v>0.11273931401056794</v>
      </c>
      <c r="F264" s="3">
        <f t="shared" si="250"/>
        <v>0.11273931401056793</v>
      </c>
      <c r="G264" s="3">
        <f t="shared" si="250"/>
        <v>0.11273931401056782</v>
      </c>
      <c r="H264" s="3">
        <f t="shared" si="250"/>
        <v>0.11273931401056662</v>
      </c>
      <c r="I264" s="3">
        <f t="shared" si="250"/>
        <v>0.1127393140105548</v>
      </c>
      <c r="J264" s="3">
        <f t="shared" si="250"/>
        <v>0.11273931401043658</v>
      </c>
      <c r="K264" s="3">
        <f t="shared" si="250"/>
        <v>0.11273931400925429</v>
      </c>
      <c r="L264" s="3">
        <f t="shared" si="250"/>
        <v>0.11273931399743144</v>
      </c>
      <c r="M264" s="3">
        <f t="shared" si="250"/>
        <v>0.1127393138792029</v>
      </c>
      <c r="N264" s="3">
        <f t="shared" si="250"/>
        <v>0.1127393126969175</v>
      </c>
      <c r="O264" s="3">
        <f t="shared" si="250"/>
        <v>0.11273930087406413</v>
      </c>
      <c r="P264" s="3">
        <f t="shared" si="250"/>
        <v>0.11273918264559876</v>
      </c>
      <c r="Q264" s="3">
        <f t="shared" si="250"/>
        <v>0.11273800036776416</v>
      </c>
      <c r="R264" s="3">
        <f t="shared" si="250"/>
        <v>0.11272617827130649</v>
      </c>
      <c r="S264" s="3">
        <f t="shared" si="250"/>
        <v>0.11260802546910897</v>
      </c>
      <c r="T264" s="3">
        <f t="shared" si="250"/>
        <v>0.1114332873110504</v>
      </c>
      <c r="U264" s="3">
        <f t="shared" si="250"/>
        <v>0.10033926923728793</v>
      </c>
      <c r="V264" s="3">
        <f t="shared" si="250"/>
        <v>3.5158541151825276E-2</v>
      </c>
      <c r="W264" s="3">
        <f t="shared" si="250"/>
        <v>9.8091183126434293E-7</v>
      </c>
      <c r="X264" s="3">
        <f t="shared" si="250"/>
        <v>2.8029879888600244E-52</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0.14424740982428688</v>
      </c>
      <c r="C265" s="3">
        <f t="shared" si="251"/>
        <v>0.14424740982428688</v>
      </c>
      <c r="D265" s="3">
        <f t="shared" si="251"/>
        <v>0.14424740982428688</v>
      </c>
      <c r="E265" s="3">
        <f t="shared" si="251"/>
        <v>0.14424740982428688</v>
      </c>
      <c r="F265" s="3">
        <f t="shared" si="251"/>
        <v>0.14424740982428688</v>
      </c>
      <c r="G265" s="3">
        <f t="shared" si="251"/>
        <v>0.14424740982428685</v>
      </c>
      <c r="H265" s="3">
        <f t="shared" si="251"/>
        <v>0.14424740982428674</v>
      </c>
      <c r="I265" s="3">
        <f t="shared" si="251"/>
        <v>0.14424740982428536</v>
      </c>
      <c r="J265" s="3">
        <f t="shared" si="251"/>
        <v>0.14424740982427173</v>
      </c>
      <c r="K265" s="3">
        <f t="shared" si="251"/>
        <v>0.14424740982413525</v>
      </c>
      <c r="L265" s="3">
        <f t="shared" si="251"/>
        <v>0.14424740982277068</v>
      </c>
      <c r="M265" s="3">
        <f t="shared" si="251"/>
        <v>0.14424740980912479</v>
      </c>
      <c r="N265" s="3">
        <f t="shared" si="251"/>
        <v>0.144247409672666</v>
      </c>
      <c r="O265" s="3">
        <f t="shared" si="251"/>
        <v>0.14424740830807797</v>
      </c>
      <c r="P265" s="3">
        <f t="shared" si="251"/>
        <v>0.14424739466219846</v>
      </c>
      <c r="Q265" s="3">
        <f t="shared" si="251"/>
        <v>0.14424725820347439</v>
      </c>
      <c r="R265" s="3">
        <f t="shared" si="251"/>
        <v>0.1442458936233337</v>
      </c>
      <c r="S265" s="3">
        <f t="shared" si="251"/>
        <v>0.14423224853189837</v>
      </c>
      <c r="T265" s="3">
        <f t="shared" si="251"/>
        <v>0.14409586858984647</v>
      </c>
      <c r="U265" s="3">
        <f t="shared" si="251"/>
        <v>0.14273914162036461</v>
      </c>
      <c r="V265" s="3">
        <f t="shared" si="251"/>
        <v>0.12985497589901787</v>
      </c>
      <c r="W265" s="3">
        <f t="shared" si="251"/>
        <v>5.0421266262813715E-2</v>
      </c>
      <c r="X265" s="3">
        <f t="shared" si="251"/>
        <v>3.9279438467742696E-6</v>
      </c>
      <c r="Y265" s="3">
        <f t="shared" si="251"/>
        <v>3.233556800190074E-47</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0.12974291069495422</v>
      </c>
      <c r="C266" s="3">
        <f t="shared" si="252"/>
        <v>0.12974291069495422</v>
      </c>
      <c r="D266" s="3">
        <f t="shared" si="252"/>
        <v>0.12974291069495422</v>
      </c>
      <c r="E266" s="3">
        <f t="shared" si="252"/>
        <v>0.12974291069495422</v>
      </c>
      <c r="F266" s="3">
        <f t="shared" si="252"/>
        <v>0.12974291069495422</v>
      </c>
      <c r="G266" s="3">
        <f t="shared" si="252"/>
        <v>0.12974291069495422</v>
      </c>
      <c r="H266" s="3">
        <f t="shared" si="252"/>
        <v>0.12974291069495419</v>
      </c>
      <c r="I266" s="3">
        <f t="shared" si="252"/>
        <v>0.12974291069495408</v>
      </c>
      <c r="J266" s="3">
        <f t="shared" si="252"/>
        <v>0.129742910694953</v>
      </c>
      <c r="K266" s="3">
        <f t="shared" si="252"/>
        <v>0.12974291069494193</v>
      </c>
      <c r="L266" s="3">
        <f t="shared" si="252"/>
        <v>0.12974291069483118</v>
      </c>
      <c r="M266" s="3">
        <f t="shared" si="252"/>
        <v>0.12974291069372401</v>
      </c>
      <c r="N266" s="3">
        <f t="shared" si="252"/>
        <v>0.12974291068265206</v>
      </c>
      <c r="O266" s="3">
        <f t="shared" si="252"/>
        <v>0.12974291057193266</v>
      </c>
      <c r="P266" s="3">
        <f t="shared" si="252"/>
        <v>0.12974290946473857</v>
      </c>
      <c r="Q266" s="3">
        <f t="shared" si="252"/>
        <v>0.12974289839279818</v>
      </c>
      <c r="R266" s="3">
        <f t="shared" si="252"/>
        <v>0.12974278767344627</v>
      </c>
      <c r="S266" s="3">
        <f t="shared" si="252"/>
        <v>0.12974168048512388</v>
      </c>
      <c r="T266" s="3">
        <f t="shared" si="252"/>
        <v>0.12973060912155046</v>
      </c>
      <c r="U266" s="3">
        <f t="shared" si="252"/>
        <v>0.12961994743446079</v>
      </c>
      <c r="V266" s="3">
        <f t="shared" si="252"/>
        <v>0.12851850906267395</v>
      </c>
      <c r="W266" s="3">
        <f t="shared" si="252"/>
        <v>0.11800599076023274</v>
      </c>
      <c r="X266" s="3">
        <f t="shared" si="252"/>
        <v>5.0267562181947723E-2</v>
      </c>
      <c r="Y266" s="3">
        <f t="shared" si="252"/>
        <v>9.8883881844725736E-6</v>
      </c>
      <c r="Z266" s="3">
        <f t="shared" si="252"/>
        <v>8.580297353592096E-43</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0.10714334071735752</v>
      </c>
      <c r="C267" s="3">
        <f t="shared" si="253"/>
        <v>0.10714334071735752</v>
      </c>
      <c r="D267" s="3">
        <f t="shared" si="253"/>
        <v>0.10714334071735752</v>
      </c>
      <c r="E267" s="3">
        <f t="shared" si="253"/>
        <v>0.10714334071735752</v>
      </c>
      <c r="F267" s="3">
        <f t="shared" si="253"/>
        <v>0.10714334071735752</v>
      </c>
      <c r="G267" s="3">
        <f t="shared" si="253"/>
        <v>0.10714334071735752</v>
      </c>
      <c r="H267" s="3">
        <f t="shared" si="253"/>
        <v>0.10714334071735752</v>
      </c>
      <c r="I267" s="3">
        <f t="shared" si="253"/>
        <v>0.10714334071735751</v>
      </c>
      <c r="J267" s="3">
        <f t="shared" si="253"/>
        <v>0.10714334071735743</v>
      </c>
      <c r="K267" s="3">
        <f t="shared" si="253"/>
        <v>0.10714334071735661</v>
      </c>
      <c r="L267" s="3">
        <f t="shared" si="253"/>
        <v>0.10714334071734836</v>
      </c>
      <c r="M267" s="3">
        <f t="shared" si="253"/>
        <v>0.10714334071726589</v>
      </c>
      <c r="N267" s="3">
        <f t="shared" si="253"/>
        <v>0.10714334071644108</v>
      </c>
      <c r="O267" s="3">
        <f t="shared" si="253"/>
        <v>0.10714334070819302</v>
      </c>
      <c r="P267" s="3">
        <f t="shared" si="253"/>
        <v>0.10714334062571239</v>
      </c>
      <c r="Q267" s="3">
        <f t="shared" si="253"/>
        <v>0.10714333980090623</v>
      </c>
      <c r="R267" s="3">
        <f t="shared" si="253"/>
        <v>0.10714333155284496</v>
      </c>
      <c r="S267" s="3">
        <f t="shared" si="253"/>
        <v>0.10714324907226713</v>
      </c>
      <c r="T267" s="3">
        <f t="shared" si="253"/>
        <v>0.10714242426998107</v>
      </c>
      <c r="U267" s="3">
        <f t="shared" si="253"/>
        <v>0.10713417659633119</v>
      </c>
      <c r="V267" s="3">
        <f t="shared" si="253"/>
        <v>0.10705173477095929</v>
      </c>
      <c r="W267" s="3">
        <f t="shared" si="253"/>
        <v>0.10623079770656739</v>
      </c>
      <c r="X267" s="3">
        <f t="shared" si="253"/>
        <v>9.8359831337112555E-2</v>
      </c>
      <c r="Y267" s="3">
        <f t="shared" si="253"/>
        <v>4.5550285362972232E-2</v>
      </c>
      <c r="Z267" s="3">
        <f t="shared" si="253"/>
        <v>2.0664474676186416E-5</v>
      </c>
      <c r="AA267" s="3">
        <f t="shared" si="253"/>
        <v>7.6305710672727332E-39</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7.467332001482109E-2</v>
      </c>
      <c r="C268" s="3">
        <f t="shared" si="254"/>
        <v>7.467332001482109E-2</v>
      </c>
      <c r="D268" s="3">
        <f t="shared" si="254"/>
        <v>7.467332001482109E-2</v>
      </c>
      <c r="E268" s="3">
        <f t="shared" si="254"/>
        <v>7.467332001482109E-2</v>
      </c>
      <c r="F268" s="3">
        <f t="shared" si="254"/>
        <v>7.467332001482109E-2</v>
      </c>
      <c r="G268" s="3">
        <f t="shared" si="254"/>
        <v>7.467332001482109E-2</v>
      </c>
      <c r="H268" s="3">
        <f t="shared" si="254"/>
        <v>7.467332001482109E-2</v>
      </c>
      <c r="I268" s="3">
        <f t="shared" si="254"/>
        <v>7.467332001482109E-2</v>
      </c>
      <c r="J268" s="3">
        <f t="shared" si="254"/>
        <v>7.4673320014821076E-2</v>
      </c>
      <c r="K268" s="3">
        <f t="shared" si="254"/>
        <v>7.4673320014821035E-2</v>
      </c>
      <c r="L268" s="3">
        <f t="shared" si="254"/>
        <v>7.4673320014820521E-2</v>
      </c>
      <c r="M268" s="3">
        <f t="shared" si="254"/>
        <v>7.4673320014815331E-2</v>
      </c>
      <c r="N268" s="3">
        <f t="shared" si="254"/>
        <v>7.467332001476347E-2</v>
      </c>
      <c r="O268" s="3">
        <f t="shared" si="254"/>
        <v>7.4673320014244912E-2</v>
      </c>
      <c r="P268" s="3">
        <f t="shared" si="254"/>
        <v>7.4673320009059324E-2</v>
      </c>
      <c r="Q268" s="3">
        <f t="shared" si="254"/>
        <v>7.4673319957203346E-2</v>
      </c>
      <c r="R268" s="3">
        <f t="shared" si="254"/>
        <v>7.4673319438643637E-2</v>
      </c>
      <c r="S268" s="3">
        <f t="shared" si="254"/>
        <v>7.467331425304681E-2</v>
      </c>
      <c r="T268" s="3">
        <f t="shared" si="254"/>
        <v>7.4673262397098247E-2</v>
      </c>
      <c r="U268" s="3">
        <f t="shared" si="254"/>
        <v>7.4672743839593159E-2</v>
      </c>
      <c r="V268" s="3">
        <f t="shared" si="254"/>
        <v>7.466755846259579E-2</v>
      </c>
      <c r="W268" s="3">
        <f t="shared" si="254"/>
        <v>7.4615724492877011E-2</v>
      </c>
      <c r="X268" s="3">
        <f t="shared" si="254"/>
        <v>7.4099359743105553E-2</v>
      </c>
      <c r="Y268" s="3">
        <f t="shared" si="254"/>
        <v>6.9128225402074736E-2</v>
      </c>
      <c r="Z268" s="3">
        <f t="shared" si="254"/>
        <v>3.4519534900551221E-2</v>
      </c>
      <c r="AA268" s="3">
        <f t="shared" si="254"/>
        <v>3.3278229282187666E-5</v>
      </c>
      <c r="AB268" s="3">
        <f t="shared" si="254"/>
        <v>2.3073471984672153E-35</v>
      </c>
      <c r="AC268" s="3">
        <f t="shared" si="254"/>
        <v>0</v>
      </c>
      <c r="AD268" s="3">
        <f t="shared" si="254"/>
        <v>0</v>
      </c>
      <c r="AE268" s="3">
        <f t="shared" si="254"/>
        <v>0</v>
      </c>
      <c r="AF268" s="3">
        <f t="shared" si="254"/>
        <v>0</v>
      </c>
      <c r="AG268" s="3"/>
      <c r="AH268" s="3"/>
    </row>
    <row r="269" spans="2:34" x14ac:dyDescent="0.25">
      <c r="B269" s="3">
        <f t="shared" ref="B269:AF269" si="255">$C38*EXP(-B$246/$A38/EXP(-$E$126))</f>
        <v>2.5720461590382049E-2</v>
      </c>
      <c r="C269" s="3">
        <f t="shared" si="255"/>
        <v>2.5720461590382049E-2</v>
      </c>
      <c r="D269" s="3">
        <f t="shared" si="255"/>
        <v>2.5720461590382049E-2</v>
      </c>
      <c r="E269" s="3">
        <f t="shared" si="255"/>
        <v>2.5720461590382049E-2</v>
      </c>
      <c r="F269" s="3">
        <f t="shared" si="255"/>
        <v>2.5720461590382049E-2</v>
      </c>
      <c r="G269" s="3">
        <f t="shared" si="255"/>
        <v>2.5720461590382049E-2</v>
      </c>
      <c r="H269" s="3">
        <f t="shared" si="255"/>
        <v>2.5720461590382049E-2</v>
      </c>
      <c r="I269" s="3">
        <f t="shared" si="255"/>
        <v>2.5720461590382049E-2</v>
      </c>
      <c r="J269" s="3">
        <f t="shared" si="255"/>
        <v>2.5720461590382049E-2</v>
      </c>
      <c r="K269" s="3">
        <f t="shared" si="255"/>
        <v>2.5720461590382045E-2</v>
      </c>
      <c r="L269" s="3">
        <f t="shared" si="255"/>
        <v>2.5720461590382031E-2</v>
      </c>
      <c r="M269" s="3">
        <f t="shared" si="255"/>
        <v>2.5720461590381868E-2</v>
      </c>
      <c r="N269" s="3">
        <f t="shared" si="255"/>
        <v>2.5720461590380259E-2</v>
      </c>
      <c r="O269" s="3">
        <f t="shared" si="255"/>
        <v>2.5720461590364146E-2</v>
      </c>
      <c r="P269" s="3">
        <f t="shared" si="255"/>
        <v>2.5720461590203022E-2</v>
      </c>
      <c r="Q269" s="3">
        <f t="shared" si="255"/>
        <v>2.5720461588591786E-2</v>
      </c>
      <c r="R269" s="3">
        <f t="shared" si="255"/>
        <v>2.5720461572479446E-2</v>
      </c>
      <c r="S269" s="3">
        <f t="shared" si="255"/>
        <v>2.5720461411356033E-2</v>
      </c>
      <c r="T269" s="3">
        <f t="shared" si="255"/>
        <v>2.5720459800121952E-2</v>
      </c>
      <c r="U269" s="3">
        <f t="shared" si="255"/>
        <v>2.5720443687786709E-2</v>
      </c>
      <c r="V269" s="3">
        <f t="shared" si="255"/>
        <v>2.57202825649894E-2</v>
      </c>
      <c r="W269" s="3">
        <f t="shared" si="255"/>
        <v>2.5718671392528692E-2</v>
      </c>
      <c r="X269" s="3">
        <f t="shared" si="255"/>
        <v>2.570256521787587E-2</v>
      </c>
      <c r="Y269" s="3">
        <f t="shared" si="255"/>
        <v>2.5542057182537853E-2</v>
      </c>
      <c r="Z269" s="3">
        <f t="shared" si="255"/>
        <v>2.3991085761573459E-2</v>
      </c>
      <c r="AA269" s="3">
        <f t="shared" si="255"/>
        <v>1.2823016675249691E-2</v>
      </c>
      <c r="AB269" s="3">
        <f t="shared" si="255"/>
        <v>2.4400192077571744E-5</v>
      </c>
      <c r="AC269" s="3">
        <f t="shared" si="255"/>
        <v>1.5185308727622017E-32</v>
      </c>
      <c r="AD269" s="3">
        <f t="shared" si="255"/>
        <v>1.3235106284323085E-304</v>
      </c>
      <c r="AE269" s="3">
        <f t="shared" si="255"/>
        <v>0</v>
      </c>
      <c r="AF269" s="3">
        <f t="shared" si="255"/>
        <v>0</v>
      </c>
      <c r="AG269" s="3"/>
      <c r="AH269" s="3"/>
    </row>
    <row r="270" spans="2:34" x14ac:dyDescent="0.25">
      <c r="B270" s="3">
        <f t="shared" ref="B270:AF270" si="256">$C39*EXP(-B$246/$A39/EXP(-$E$126))</f>
        <v>2.4141304859351478E-2</v>
      </c>
      <c r="C270" s="3">
        <f t="shared" si="256"/>
        <v>2.4141304859351478E-2</v>
      </c>
      <c r="D270" s="3">
        <f t="shared" si="256"/>
        <v>2.4141304859351478E-2</v>
      </c>
      <c r="E270" s="3">
        <f t="shared" si="256"/>
        <v>2.4141304859351478E-2</v>
      </c>
      <c r="F270" s="3">
        <f t="shared" si="256"/>
        <v>2.4141304859351478E-2</v>
      </c>
      <c r="G270" s="3">
        <f t="shared" si="256"/>
        <v>2.4141304859351478E-2</v>
      </c>
      <c r="H270" s="3">
        <f t="shared" si="256"/>
        <v>2.4141304859351478E-2</v>
      </c>
      <c r="I270" s="3">
        <f t="shared" si="256"/>
        <v>2.4141304859351478E-2</v>
      </c>
      <c r="J270" s="3">
        <f t="shared" si="256"/>
        <v>2.4141304859351478E-2</v>
      </c>
      <c r="K270" s="3">
        <f t="shared" si="256"/>
        <v>2.4141304859351478E-2</v>
      </c>
      <c r="L270" s="3">
        <f t="shared" si="256"/>
        <v>2.4141304859351471E-2</v>
      </c>
      <c r="M270" s="3">
        <f t="shared" si="256"/>
        <v>2.4141304859351433E-2</v>
      </c>
      <c r="N270" s="3">
        <f t="shared" si="256"/>
        <v>2.4141304859351013E-2</v>
      </c>
      <c r="O270" s="3">
        <f t="shared" si="256"/>
        <v>2.4141304859346829E-2</v>
      </c>
      <c r="P270" s="3">
        <f t="shared" si="256"/>
        <v>2.4141304859305001E-2</v>
      </c>
      <c r="Q270" s="3">
        <f t="shared" si="256"/>
        <v>2.4141304858886738E-2</v>
      </c>
      <c r="R270" s="3">
        <f t="shared" si="256"/>
        <v>2.4141304854704067E-2</v>
      </c>
      <c r="S270" s="3">
        <f t="shared" si="256"/>
        <v>2.4141304812877375E-2</v>
      </c>
      <c r="T270" s="3">
        <f t="shared" si="256"/>
        <v>2.4141304394610479E-2</v>
      </c>
      <c r="U270" s="3">
        <f t="shared" si="256"/>
        <v>2.4141300211941902E-2</v>
      </c>
      <c r="V270" s="3">
        <f t="shared" si="256"/>
        <v>2.4141258385295992E-2</v>
      </c>
      <c r="W270" s="3">
        <f t="shared" si="256"/>
        <v>2.4140840122822596E-2</v>
      </c>
      <c r="X270" s="3">
        <f t="shared" si="256"/>
        <v>2.4136657896634217E-2</v>
      </c>
      <c r="Y270" s="3">
        <f t="shared" si="256"/>
        <v>2.409487546377298E-2</v>
      </c>
      <c r="Z270" s="3">
        <f t="shared" si="256"/>
        <v>2.3681008622766314E-2</v>
      </c>
      <c r="AA270" s="3">
        <f t="shared" si="256"/>
        <v>1.9913852945245673E-2</v>
      </c>
      <c r="AB270" s="3">
        <f t="shared" si="256"/>
        <v>3.5213264892817587E-3</v>
      </c>
      <c r="AC270" s="3">
        <f t="shared" si="256"/>
        <v>1.0524858689760388E-10</v>
      </c>
      <c r="AD270" s="3">
        <f t="shared" si="256"/>
        <v>5.9884726717929761E-86</v>
      </c>
      <c r="AE270" s="3">
        <f t="shared" si="256"/>
        <v>0</v>
      </c>
      <c r="AF270" s="3">
        <f t="shared" si="256"/>
        <v>0</v>
      </c>
      <c r="AG270" s="3"/>
      <c r="AH270" s="3"/>
    </row>
    <row r="271" spans="2:34" x14ac:dyDescent="0.25">
      <c r="B271" s="3">
        <f t="shared" ref="B271:AF271" si="257">$C40*EXP(-B$246/$A40/EXP(-$E$126))</f>
        <v>1.2214190227025473E-2</v>
      </c>
      <c r="C271" s="3">
        <f t="shared" si="257"/>
        <v>1.2214190227025473E-2</v>
      </c>
      <c r="D271" s="3">
        <f t="shared" si="257"/>
        <v>1.2214190227025473E-2</v>
      </c>
      <c r="E271" s="3">
        <f t="shared" si="257"/>
        <v>1.2214190227025473E-2</v>
      </c>
      <c r="F271" s="3">
        <f t="shared" si="257"/>
        <v>1.2214190227025473E-2</v>
      </c>
      <c r="G271" s="3">
        <f t="shared" si="257"/>
        <v>1.2214190227025473E-2</v>
      </c>
      <c r="H271" s="3">
        <f t="shared" si="257"/>
        <v>1.2214190227025473E-2</v>
      </c>
      <c r="I271" s="3">
        <f t="shared" si="257"/>
        <v>1.2214190227025473E-2</v>
      </c>
      <c r="J271" s="3">
        <f t="shared" si="257"/>
        <v>1.2214190227025473E-2</v>
      </c>
      <c r="K271" s="3">
        <f t="shared" si="257"/>
        <v>1.2214190227025473E-2</v>
      </c>
      <c r="L271" s="3">
        <f t="shared" si="257"/>
        <v>1.2214190227025473E-2</v>
      </c>
      <c r="M271" s="3">
        <f t="shared" si="257"/>
        <v>1.2214190227025469E-2</v>
      </c>
      <c r="N271" s="3">
        <f t="shared" si="257"/>
        <v>1.221419022702545E-2</v>
      </c>
      <c r="O271" s="3">
        <f t="shared" si="257"/>
        <v>1.2214190227025239E-2</v>
      </c>
      <c r="P271" s="3">
        <f t="shared" si="257"/>
        <v>1.2214190227023122E-2</v>
      </c>
      <c r="Q271" s="3">
        <f t="shared" si="257"/>
        <v>1.2214190227001959E-2</v>
      </c>
      <c r="R271" s="3">
        <f t="shared" si="257"/>
        <v>1.221419022679034E-2</v>
      </c>
      <c r="S271" s="3">
        <f t="shared" si="257"/>
        <v>1.2214190224674135E-2</v>
      </c>
      <c r="T271" s="3">
        <f t="shared" si="257"/>
        <v>1.2214190203512099E-2</v>
      </c>
      <c r="U271" s="3">
        <f t="shared" si="257"/>
        <v>1.2214189991891746E-2</v>
      </c>
      <c r="V271" s="3">
        <f t="shared" si="257"/>
        <v>1.2214187875688421E-2</v>
      </c>
      <c r="W271" s="3">
        <f t="shared" si="257"/>
        <v>1.2214166713675319E-2</v>
      </c>
      <c r="X271" s="3">
        <f t="shared" si="257"/>
        <v>1.2213955095560862E-2</v>
      </c>
      <c r="Y271" s="3">
        <f t="shared" si="257"/>
        <v>1.221183911605872E-2</v>
      </c>
      <c r="Z271" s="3">
        <f t="shared" si="257"/>
        <v>1.2190699472361401E-2</v>
      </c>
      <c r="AA271" s="3">
        <f t="shared" si="257"/>
        <v>1.1981305309362984E-2</v>
      </c>
      <c r="AB271" s="3">
        <f t="shared" si="257"/>
        <v>1.0075328961848675E-2</v>
      </c>
      <c r="AC271" s="3">
        <f t="shared" si="257"/>
        <v>1.7816001182260279E-3</v>
      </c>
      <c r="AD271" s="3">
        <f t="shared" si="257"/>
        <v>5.3250073638624702E-11</v>
      </c>
      <c r="AE271" s="3">
        <f t="shared" si="257"/>
        <v>3.0298422064907311E-86</v>
      </c>
      <c r="AF271" s="3">
        <f t="shared" si="257"/>
        <v>0</v>
      </c>
      <c r="AG271" s="3"/>
      <c r="AH271" s="3"/>
    </row>
    <row r="272" spans="2:34" x14ac:dyDescent="0.25">
      <c r="B272" s="3">
        <f t="shared" ref="B272:AF272" si="258">$C41*EXP(-B$246/$A41/EXP(-$E$126))</f>
        <v>8.0564872453676788E-4</v>
      </c>
      <c r="C272" s="3">
        <f t="shared" si="258"/>
        <v>8.0564872453676788E-4</v>
      </c>
      <c r="D272" s="3">
        <f t="shared" si="258"/>
        <v>8.0564872453676788E-4</v>
      </c>
      <c r="E272" s="3">
        <f t="shared" si="258"/>
        <v>8.0564872453676788E-4</v>
      </c>
      <c r="F272" s="3">
        <f t="shared" si="258"/>
        <v>8.0564872453676788E-4</v>
      </c>
      <c r="G272" s="3">
        <f t="shared" si="258"/>
        <v>8.0564872453676788E-4</v>
      </c>
      <c r="H272" s="3">
        <f t="shared" si="258"/>
        <v>8.0564872453676788E-4</v>
      </c>
      <c r="I272" s="3">
        <f t="shared" si="258"/>
        <v>8.0564872453676788E-4</v>
      </c>
      <c r="J272" s="3">
        <f t="shared" si="258"/>
        <v>8.0564872453676788E-4</v>
      </c>
      <c r="K272" s="3">
        <f t="shared" si="258"/>
        <v>8.0564872453676788E-4</v>
      </c>
      <c r="L272" s="3">
        <f t="shared" si="258"/>
        <v>8.0564872453676788E-4</v>
      </c>
      <c r="M272" s="3">
        <f t="shared" si="258"/>
        <v>8.0564872453676788E-4</v>
      </c>
      <c r="N272" s="3">
        <f t="shared" si="258"/>
        <v>8.0564872453676767E-4</v>
      </c>
      <c r="O272" s="3">
        <f t="shared" si="258"/>
        <v>8.0564872453676637E-4</v>
      </c>
      <c r="P272" s="3">
        <f t="shared" si="258"/>
        <v>8.0564872453675238E-4</v>
      </c>
      <c r="Q272" s="3">
        <f t="shared" si="258"/>
        <v>8.0564872453661274E-4</v>
      </c>
      <c r="R272" s="3">
        <f t="shared" si="258"/>
        <v>8.0564872453521693E-4</v>
      </c>
      <c r="S272" s="3">
        <f t="shared" si="258"/>
        <v>8.0564872452125848E-4</v>
      </c>
      <c r="T272" s="3">
        <f t="shared" si="258"/>
        <v>8.0564872438167352E-4</v>
      </c>
      <c r="U272" s="3">
        <f t="shared" si="258"/>
        <v>8.0564872298582437E-4</v>
      </c>
      <c r="V272" s="3">
        <f t="shared" si="258"/>
        <v>8.0564870902733311E-4</v>
      </c>
      <c r="W272" s="3">
        <f t="shared" si="258"/>
        <v>8.0564856944243402E-4</v>
      </c>
      <c r="X272" s="3">
        <f t="shared" si="258"/>
        <v>8.0564717359477261E-4</v>
      </c>
      <c r="Y272" s="3">
        <f t="shared" si="258"/>
        <v>8.0563321525117121E-4</v>
      </c>
      <c r="Z272" s="3">
        <f t="shared" si="258"/>
        <v>8.0549364511550454E-4</v>
      </c>
      <c r="AA272" s="3">
        <f t="shared" si="258"/>
        <v>8.0409927294138983E-4</v>
      </c>
      <c r="AB272" s="3">
        <f t="shared" si="258"/>
        <v>7.9028762131246304E-4</v>
      </c>
      <c r="AC272" s="3">
        <f t="shared" si="258"/>
        <v>6.6456930639916217E-4</v>
      </c>
      <c r="AD272" s="3">
        <f t="shared" si="258"/>
        <v>1.1751445132297601E-4</v>
      </c>
      <c r="AE272" s="3">
        <f t="shared" si="258"/>
        <v>3.5123780710016518E-12</v>
      </c>
      <c r="AF272" s="3">
        <f t="shared" si="258"/>
        <v>1.998485747999832E-87</v>
      </c>
      <c r="AG272" s="3"/>
      <c r="AH272" s="3"/>
    </row>
    <row r="273" spans="1:34" x14ac:dyDescent="0.25">
      <c r="B273" s="3">
        <f t="shared" ref="B273:AF273" si="259">$C42*EXP(-B$246/$A42/EXP(-$E$126))</f>
        <v>2.8733708973087426E-3</v>
      </c>
      <c r="C273" s="3">
        <f t="shared" si="259"/>
        <v>2.8733708973087426E-3</v>
      </c>
      <c r="D273" s="3">
        <f t="shared" si="259"/>
        <v>2.8733708973087426E-3</v>
      </c>
      <c r="E273" s="3">
        <f t="shared" si="259"/>
        <v>2.8733708973087426E-3</v>
      </c>
      <c r="F273" s="3">
        <f t="shared" si="259"/>
        <v>2.8733708973087426E-3</v>
      </c>
      <c r="G273" s="3">
        <f t="shared" si="259"/>
        <v>2.8733708973087426E-3</v>
      </c>
      <c r="H273" s="3">
        <f t="shared" si="259"/>
        <v>2.8733708973087426E-3</v>
      </c>
      <c r="I273" s="3">
        <f t="shared" si="259"/>
        <v>2.8733708973087426E-3</v>
      </c>
      <c r="J273" s="3">
        <f t="shared" si="259"/>
        <v>2.8733708973087426E-3</v>
      </c>
      <c r="K273" s="3">
        <f t="shared" si="259"/>
        <v>2.8733708973087426E-3</v>
      </c>
      <c r="L273" s="3">
        <f t="shared" si="259"/>
        <v>2.8733708973087426E-3</v>
      </c>
      <c r="M273" s="3">
        <f t="shared" si="259"/>
        <v>2.8733708973087426E-3</v>
      </c>
      <c r="N273" s="3">
        <f t="shared" si="259"/>
        <v>2.8733708973087426E-3</v>
      </c>
      <c r="O273" s="3">
        <f t="shared" si="259"/>
        <v>2.8733708973087422E-3</v>
      </c>
      <c r="P273" s="3">
        <f t="shared" si="259"/>
        <v>2.873370897308737E-3</v>
      </c>
      <c r="Q273" s="3">
        <f t="shared" si="259"/>
        <v>2.8733708973086875E-3</v>
      </c>
      <c r="R273" s="3">
        <f t="shared" si="259"/>
        <v>2.8733708973081892E-3</v>
      </c>
      <c r="S273" s="3">
        <f t="shared" si="259"/>
        <v>2.873370897303211E-3</v>
      </c>
      <c r="T273" s="3">
        <f t="shared" si="259"/>
        <v>2.8733708972534279E-3</v>
      </c>
      <c r="U273" s="3">
        <f t="shared" si="259"/>
        <v>2.8733708967555939E-3</v>
      </c>
      <c r="V273" s="3">
        <f t="shared" si="259"/>
        <v>2.873370891777255E-3</v>
      </c>
      <c r="W273" s="3">
        <f t="shared" si="259"/>
        <v>2.8733708419938675E-3</v>
      </c>
      <c r="X273" s="3">
        <f t="shared" si="259"/>
        <v>2.8733703441600417E-3</v>
      </c>
      <c r="Y273" s="3">
        <f t="shared" si="259"/>
        <v>2.8733653658265259E-3</v>
      </c>
      <c r="Z273" s="3">
        <f t="shared" si="259"/>
        <v>2.8733155829657612E-3</v>
      </c>
      <c r="AA273" s="3">
        <f t="shared" si="259"/>
        <v>2.8728178017942106E-3</v>
      </c>
      <c r="AB273" s="3">
        <f t="shared" si="259"/>
        <v>2.8678447306490639E-3</v>
      </c>
      <c r="AC273" s="3">
        <f t="shared" si="259"/>
        <v>2.8185850513053846E-3</v>
      </c>
      <c r="AD273" s="3">
        <f t="shared" si="259"/>
        <v>2.3702068235135171E-3</v>
      </c>
      <c r="AE273" s="3">
        <f t="shared" si="259"/>
        <v>4.1911889656226226E-4</v>
      </c>
      <c r="AF273" s="3">
        <f t="shared" si="259"/>
        <v>1.2527004167187726E-11</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1.6248048079890072E-4</v>
      </c>
      <c r="C275" s="3">
        <f t="shared" si="261"/>
        <v>1.6248048079890072E-4</v>
      </c>
      <c r="D275" s="3">
        <f t="shared" si="261"/>
        <v>1.6248048079890072E-4</v>
      </c>
      <c r="E275" s="3">
        <f t="shared" si="261"/>
        <v>1.6248048079890072E-4</v>
      </c>
      <c r="F275" s="3">
        <f t="shared" si="261"/>
        <v>1.6248048079890072E-4</v>
      </c>
      <c r="G275" s="3">
        <f t="shared" si="261"/>
        <v>1.6248048079890072E-4</v>
      </c>
      <c r="H275" s="3">
        <f t="shared" si="261"/>
        <v>1.6248048079890072E-4</v>
      </c>
      <c r="I275" s="3">
        <f t="shared" si="261"/>
        <v>1.6248048079890072E-4</v>
      </c>
      <c r="J275" s="3">
        <f t="shared" si="261"/>
        <v>1.6248048079890072E-4</v>
      </c>
      <c r="K275" s="3">
        <f t="shared" si="261"/>
        <v>1.6248048079890072E-4</v>
      </c>
      <c r="L275" s="3">
        <f t="shared" si="261"/>
        <v>1.6248048079890072E-4</v>
      </c>
      <c r="M275" s="3">
        <f t="shared" si="261"/>
        <v>1.6248048079890072E-4</v>
      </c>
      <c r="N275" s="3">
        <f t="shared" si="261"/>
        <v>1.6248048079890072E-4</v>
      </c>
      <c r="O275" s="3">
        <f t="shared" si="261"/>
        <v>1.6248048079890072E-4</v>
      </c>
      <c r="P275" s="3">
        <f t="shared" si="261"/>
        <v>1.6248048079890072E-4</v>
      </c>
      <c r="Q275" s="3">
        <f t="shared" si="261"/>
        <v>1.624804807989007E-4</v>
      </c>
      <c r="R275" s="3">
        <f t="shared" si="261"/>
        <v>1.6248048079890042E-4</v>
      </c>
      <c r="S275" s="3">
        <f t="shared" si="261"/>
        <v>1.6248048079889761E-4</v>
      </c>
      <c r="T275" s="3">
        <f t="shared" si="261"/>
        <v>1.6248048079886944E-4</v>
      </c>
      <c r="U275" s="3">
        <f t="shared" si="261"/>
        <v>1.6248048079858793E-4</v>
      </c>
      <c r="V275" s="3">
        <f t="shared" si="261"/>
        <v>1.6248048079577283E-4</v>
      </c>
      <c r="W275" s="3">
        <f t="shared" si="261"/>
        <v>1.6248048076762182E-4</v>
      </c>
      <c r="X275" s="3">
        <f t="shared" si="261"/>
        <v>1.6248048048611173E-4</v>
      </c>
      <c r="Y275" s="3">
        <f t="shared" si="261"/>
        <v>1.6248047767101093E-4</v>
      </c>
      <c r="Z275" s="3">
        <f t="shared" si="261"/>
        <v>1.6248044952000564E-4</v>
      </c>
      <c r="AA275" s="3">
        <f t="shared" si="261"/>
        <v>1.6248016801022073E-4</v>
      </c>
      <c r="AB275" s="3">
        <f t="shared" si="261"/>
        <v>1.624773529391973E-4</v>
      </c>
      <c r="AC275" s="3">
        <f t="shared" si="261"/>
        <v>1.624492049113315E-4</v>
      </c>
      <c r="AD275" s="3">
        <f t="shared" si="261"/>
        <v>1.6216799269766727E-4</v>
      </c>
      <c r="AE275" s="3">
        <f t="shared" si="261"/>
        <v>1.5938250600979934E-4</v>
      </c>
      <c r="AF275" s="3">
        <f t="shared" si="261"/>
        <v>1.3402806600359721E-4</v>
      </c>
      <c r="AG275" s="3"/>
      <c r="AH275" s="3"/>
    </row>
    <row r="276" spans="1:34" x14ac:dyDescent="0.25">
      <c r="B276" s="3">
        <f t="shared" ref="B276:AF276" si="262">$C45*EXP(-B$246/$A45/EXP(-$E$126))</f>
        <v>1.2901117231804357E-4</v>
      </c>
      <c r="C276" s="3">
        <f t="shared" si="262"/>
        <v>1.2901117231804357E-4</v>
      </c>
      <c r="D276" s="3">
        <f t="shared" si="262"/>
        <v>1.2901117231804357E-4</v>
      </c>
      <c r="E276" s="3">
        <f t="shared" si="262"/>
        <v>1.2901117231804357E-4</v>
      </c>
      <c r="F276" s="3">
        <f t="shared" si="262"/>
        <v>1.2901117231804357E-4</v>
      </c>
      <c r="G276" s="3">
        <f t="shared" si="262"/>
        <v>1.2901117231804357E-4</v>
      </c>
      <c r="H276" s="3">
        <f t="shared" si="262"/>
        <v>1.2901117231804357E-4</v>
      </c>
      <c r="I276" s="3">
        <f t="shared" si="262"/>
        <v>1.2901117231804357E-4</v>
      </c>
      <c r="J276" s="3">
        <f t="shared" si="262"/>
        <v>1.2901117231804357E-4</v>
      </c>
      <c r="K276" s="3">
        <f t="shared" si="262"/>
        <v>1.2901117231804357E-4</v>
      </c>
      <c r="L276" s="3">
        <f t="shared" si="262"/>
        <v>1.2901117231804357E-4</v>
      </c>
      <c r="M276" s="3">
        <f t="shared" si="262"/>
        <v>1.2901117231804357E-4</v>
      </c>
      <c r="N276" s="3">
        <f t="shared" si="262"/>
        <v>1.2901117231804357E-4</v>
      </c>
      <c r="O276" s="3">
        <f t="shared" si="262"/>
        <v>1.2901117231804357E-4</v>
      </c>
      <c r="P276" s="3">
        <f t="shared" si="262"/>
        <v>1.2901117231804357E-4</v>
      </c>
      <c r="Q276" s="3">
        <f t="shared" si="262"/>
        <v>1.2901117231804357E-4</v>
      </c>
      <c r="R276" s="3">
        <f t="shared" si="262"/>
        <v>1.2901117231804354E-4</v>
      </c>
      <c r="S276" s="3">
        <f t="shared" si="262"/>
        <v>1.2901117231804333E-4</v>
      </c>
      <c r="T276" s="3">
        <f t="shared" si="262"/>
        <v>1.290111723180411E-4</v>
      </c>
      <c r="U276" s="3">
        <f t="shared" si="262"/>
        <v>1.2901117231801874E-4</v>
      </c>
      <c r="V276" s="3">
        <f t="shared" si="262"/>
        <v>1.2901117231779521E-4</v>
      </c>
      <c r="W276" s="3">
        <f t="shared" si="262"/>
        <v>1.2901117231555999E-4</v>
      </c>
      <c r="X276" s="3">
        <f t="shared" si="262"/>
        <v>1.2901117229320781E-4</v>
      </c>
      <c r="Y276" s="3">
        <f t="shared" si="262"/>
        <v>1.2901117206968589E-4</v>
      </c>
      <c r="Z276" s="3">
        <f t="shared" si="262"/>
        <v>1.2901116983446691E-4</v>
      </c>
      <c r="AA276" s="3">
        <f t="shared" si="262"/>
        <v>1.2901114748227927E-4</v>
      </c>
      <c r="AB276" s="3">
        <f t="shared" si="262"/>
        <v>1.2901092396061569E-4</v>
      </c>
      <c r="AC276" s="3">
        <f t="shared" si="262"/>
        <v>1.2900868876527957E-4</v>
      </c>
      <c r="AD276" s="3">
        <f t="shared" si="262"/>
        <v>1.2898633894174659E-4</v>
      </c>
      <c r="AE276" s="3">
        <f t="shared" si="262"/>
        <v>1.2876305355277807E-4</v>
      </c>
      <c r="AF276" s="3">
        <f t="shared" si="262"/>
        <v>1.265513484832755E-4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7.3508598139721321E-5</v>
      </c>
      <c r="C278" s="3">
        <f t="shared" si="264"/>
        <v>7.3508598139721321E-5</v>
      </c>
      <c r="D278" s="3">
        <f t="shared" si="264"/>
        <v>7.3508598139721321E-5</v>
      </c>
      <c r="E278" s="3">
        <f t="shared" si="264"/>
        <v>7.3508598139721321E-5</v>
      </c>
      <c r="F278" s="3">
        <f t="shared" si="264"/>
        <v>7.3508598139721321E-5</v>
      </c>
      <c r="G278" s="3">
        <f t="shared" si="264"/>
        <v>7.3508598139721321E-5</v>
      </c>
      <c r="H278" s="3">
        <f t="shared" si="264"/>
        <v>7.3508598139721321E-5</v>
      </c>
      <c r="I278" s="3">
        <f t="shared" si="264"/>
        <v>7.3508598139721321E-5</v>
      </c>
      <c r="J278" s="3">
        <f t="shared" si="264"/>
        <v>7.3508598139721321E-5</v>
      </c>
      <c r="K278" s="3">
        <f t="shared" si="264"/>
        <v>7.3508598139721321E-5</v>
      </c>
      <c r="L278" s="3">
        <f t="shared" si="264"/>
        <v>7.3508598139721321E-5</v>
      </c>
      <c r="M278" s="3">
        <f t="shared" si="264"/>
        <v>7.3508598139721321E-5</v>
      </c>
      <c r="N278" s="3">
        <f t="shared" si="264"/>
        <v>7.3508598139721321E-5</v>
      </c>
      <c r="O278" s="3">
        <f t="shared" si="264"/>
        <v>7.3508598139721321E-5</v>
      </c>
      <c r="P278" s="3">
        <f t="shared" si="264"/>
        <v>7.3508598139721321E-5</v>
      </c>
      <c r="Q278" s="3">
        <f t="shared" si="264"/>
        <v>7.3508598139721321E-5</v>
      </c>
      <c r="R278" s="3">
        <f t="shared" si="264"/>
        <v>7.3508598139721321E-5</v>
      </c>
      <c r="S278" s="3">
        <f t="shared" si="264"/>
        <v>7.3508598139721321E-5</v>
      </c>
      <c r="T278" s="3">
        <f t="shared" si="264"/>
        <v>7.3508598139721308E-5</v>
      </c>
      <c r="U278" s="3">
        <f t="shared" si="264"/>
        <v>7.3508598139721186E-5</v>
      </c>
      <c r="V278" s="3">
        <f t="shared" si="264"/>
        <v>7.3508598139719912E-5</v>
      </c>
      <c r="W278" s="3">
        <f t="shared" si="264"/>
        <v>7.3508598139707172E-5</v>
      </c>
      <c r="X278" s="3">
        <f t="shared" si="264"/>
        <v>7.3508598139579806E-5</v>
      </c>
      <c r="Y278" s="3">
        <f t="shared" si="264"/>
        <v>7.350859813830622E-5</v>
      </c>
      <c r="Z278" s="3">
        <f t="shared" si="264"/>
        <v>7.3508598125570274E-5</v>
      </c>
      <c r="AA278" s="3">
        <f t="shared" si="264"/>
        <v>7.3508597998210915E-5</v>
      </c>
      <c r="AB278" s="3">
        <f t="shared" si="264"/>
        <v>7.350859672461723E-5</v>
      </c>
      <c r="AC278" s="3">
        <f t="shared" si="264"/>
        <v>7.3508583988681647E-5</v>
      </c>
      <c r="AD278" s="3">
        <f t="shared" si="264"/>
        <v>7.3508456629447187E-5</v>
      </c>
      <c r="AE278" s="3">
        <f t="shared" si="264"/>
        <v>7.3507183049238784E-5</v>
      </c>
      <c r="AF278" s="3">
        <f t="shared" si="264"/>
        <v>7.3494448460698439E-5</v>
      </c>
      <c r="AG278" s="3"/>
      <c r="AH278" s="3"/>
    </row>
    <row r="279" spans="1:34" x14ac:dyDescent="0.25">
      <c r="B279" s="3">
        <f t="shared" ref="B279:AF279" si="265">$C48*EXP(-B$246/$A48/EXP(-$E$126))</f>
        <v>6.9573660063357843E-4</v>
      </c>
      <c r="C279" s="3">
        <f t="shared" si="265"/>
        <v>6.9573660063357843E-4</v>
      </c>
      <c r="D279" s="3">
        <f t="shared" si="265"/>
        <v>6.9573660063357843E-4</v>
      </c>
      <c r="E279" s="3">
        <f t="shared" si="265"/>
        <v>6.9573660063357843E-4</v>
      </c>
      <c r="F279" s="3">
        <f t="shared" si="265"/>
        <v>6.9573660063357843E-4</v>
      </c>
      <c r="G279" s="3">
        <f t="shared" si="265"/>
        <v>6.9573660063357843E-4</v>
      </c>
      <c r="H279" s="3">
        <f t="shared" si="265"/>
        <v>6.9573660063357843E-4</v>
      </c>
      <c r="I279" s="3">
        <f t="shared" si="265"/>
        <v>6.9573660063357843E-4</v>
      </c>
      <c r="J279" s="3">
        <f t="shared" si="265"/>
        <v>6.9573660063357843E-4</v>
      </c>
      <c r="K279" s="3">
        <f t="shared" si="265"/>
        <v>6.9573660063357843E-4</v>
      </c>
      <c r="L279" s="3">
        <f t="shared" si="265"/>
        <v>6.9573660063357843E-4</v>
      </c>
      <c r="M279" s="3">
        <f t="shared" si="265"/>
        <v>6.9573660063357843E-4</v>
      </c>
      <c r="N279" s="3">
        <f t="shared" si="265"/>
        <v>6.9573660063357843E-4</v>
      </c>
      <c r="O279" s="3">
        <f t="shared" si="265"/>
        <v>6.9573660063357843E-4</v>
      </c>
      <c r="P279" s="3">
        <f t="shared" si="265"/>
        <v>6.9573660063357843E-4</v>
      </c>
      <c r="Q279" s="3">
        <f t="shared" si="265"/>
        <v>6.9573660063357843E-4</v>
      </c>
      <c r="R279" s="3">
        <f t="shared" si="265"/>
        <v>6.9573660063357843E-4</v>
      </c>
      <c r="S279" s="3">
        <f t="shared" si="265"/>
        <v>6.9573660063357843E-4</v>
      </c>
      <c r="T279" s="3">
        <f t="shared" si="265"/>
        <v>6.9573660063357843E-4</v>
      </c>
      <c r="U279" s="3">
        <f t="shared" si="265"/>
        <v>6.9573660063357832E-4</v>
      </c>
      <c r="V279" s="3">
        <f t="shared" si="265"/>
        <v>6.9573660063357713E-4</v>
      </c>
      <c r="W279" s="3">
        <f t="shared" si="265"/>
        <v>6.957366006335651E-4</v>
      </c>
      <c r="X279" s="3">
        <f t="shared" si="265"/>
        <v>6.9573660063344453E-4</v>
      </c>
      <c r="Y279" s="3">
        <f t="shared" si="265"/>
        <v>6.9573660063223901E-4</v>
      </c>
      <c r="Z279" s="3">
        <f t="shared" si="265"/>
        <v>6.9573660062018496E-4</v>
      </c>
      <c r="AA279" s="3">
        <f t="shared" si="265"/>
        <v>6.9573660049964314E-4</v>
      </c>
      <c r="AB279" s="3">
        <f t="shared" si="265"/>
        <v>6.9573659929422532E-4</v>
      </c>
      <c r="AC279" s="3">
        <f t="shared" si="265"/>
        <v>6.9573658724004714E-4</v>
      </c>
      <c r="AD279" s="3">
        <f t="shared" si="265"/>
        <v>6.9573646669827721E-4</v>
      </c>
      <c r="AE279" s="3">
        <f t="shared" si="265"/>
        <v>6.9573526128172613E-4</v>
      </c>
      <c r="AF279" s="3">
        <f t="shared" si="265"/>
        <v>6.9572320723108102E-4</v>
      </c>
      <c r="AG279" s="3"/>
      <c r="AH279" s="3"/>
    </row>
    <row r="280" spans="1:34" x14ac:dyDescent="0.25">
      <c r="A280" s="79">
        <f>AVERAGE(B280:AF280)</f>
        <v>4.4661102614877782E-2</v>
      </c>
      <c r="B280" s="80">
        <f>IF($D$61&lt;=B246,IF($E$61&gt;=B246,ABS((B248-B247)/B247),0),0)</f>
        <v>7.3542757650799069E-3</v>
      </c>
      <c r="C280" s="80">
        <f t="shared" ref="C280:AF280" si="266">IF($D$61&lt;=C246,IF($E$61&gt;=C246,ABS((C248-C247)/C247),0),0)</f>
        <v>7.3641468579317502E-3</v>
      </c>
      <c r="D280" s="80">
        <f t="shared" si="266"/>
        <v>7.3588579880611389E-3</v>
      </c>
      <c r="E280" s="80">
        <f t="shared" si="266"/>
        <v>7.3575142108382331E-3</v>
      </c>
      <c r="F280" s="80">
        <f t="shared" si="266"/>
        <v>7.3573284826363413E-3</v>
      </c>
      <c r="G280" s="80">
        <f t="shared" si="266"/>
        <v>7.3592076569045642E-3</v>
      </c>
      <c r="H280" s="80">
        <f t="shared" si="266"/>
        <v>7.3791244761455725E-3</v>
      </c>
      <c r="I280" s="80">
        <f t="shared" si="266"/>
        <v>7.5763211597406786E-3</v>
      </c>
      <c r="J280" s="80">
        <f t="shared" si="266"/>
        <v>9.3359402305764356E-3</v>
      </c>
      <c r="K280" s="80">
        <f t="shared" si="266"/>
        <v>1.8027429418188193E-2</v>
      </c>
      <c r="L280" s="80">
        <f t="shared" si="266"/>
        <v>3.6537040010402103E-2</v>
      </c>
      <c r="M280" s="80">
        <f t="shared" si="266"/>
        <v>4.2187283057528051E-2</v>
      </c>
      <c r="N280" s="80">
        <f t="shared" si="266"/>
        <v>4.8639510144019599E-2</v>
      </c>
      <c r="O280" s="80">
        <f t="shared" si="266"/>
        <v>5.7926358209051523E-2</v>
      </c>
      <c r="P280" s="80">
        <f t="shared" si="266"/>
        <v>6.1598100973952526E-2</v>
      </c>
      <c r="Q280" s="80">
        <f t="shared" si="266"/>
        <v>7.6334420350285231E-2</v>
      </c>
      <c r="R280" s="80">
        <f t="shared" si="266"/>
        <v>8.1787192014051463E-2</v>
      </c>
      <c r="S280" s="80">
        <f t="shared" si="266"/>
        <v>5.6905472780752177E-2</v>
      </c>
      <c r="T280" s="80">
        <f t="shared" si="266"/>
        <v>3.5787310863984782E-2</v>
      </c>
      <c r="U280" s="80">
        <f t="shared" si="266"/>
        <v>0.16539807322918432</v>
      </c>
      <c r="V280" s="80">
        <f t="shared" si="266"/>
        <v>0.19932248924301696</v>
      </c>
      <c r="W280" s="80">
        <f t="shared" si="266"/>
        <v>9.3461864025497415E-2</v>
      </c>
      <c r="X280" s="80">
        <f t="shared" si="266"/>
        <v>7.7663553284455858E-2</v>
      </c>
      <c r="Y280" s="80">
        <f t="shared" si="266"/>
        <v>0.26447536662892629</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2872.1440931832217</v>
      </c>
      <c r="C281" s="21">
        <f t="shared" ref="C281:AF281" si="267">(C248-C247)^2</f>
        <v>2879.9166700878604</v>
      </c>
      <c r="D281" s="21">
        <f t="shared" si="267"/>
        <v>2875.7508340371146</v>
      </c>
      <c r="E281" s="21">
        <f t="shared" si="267"/>
        <v>2874.6927661883051</v>
      </c>
      <c r="F281" s="21">
        <f t="shared" si="267"/>
        <v>2874.5453839818633</v>
      </c>
      <c r="G281" s="21">
        <f t="shared" si="267"/>
        <v>2876.013114974005</v>
      </c>
      <c r="H281" s="21">
        <f t="shared" si="267"/>
        <v>2891.5993796733278</v>
      </c>
      <c r="I281" s="21">
        <f t="shared" si="267"/>
        <v>3048.1939089193379</v>
      </c>
      <c r="J281" s="21">
        <f t="shared" si="267"/>
        <v>4628.2408532825557</v>
      </c>
      <c r="K281" s="21">
        <f t="shared" si="267"/>
        <v>17246.823100624766</v>
      </c>
      <c r="L281" s="21">
        <f t="shared" si="267"/>
        <v>70452.08303776785</v>
      </c>
      <c r="M281" s="21">
        <f t="shared" si="267"/>
        <v>91078.995551767221</v>
      </c>
      <c r="N281" s="21">
        <f t="shared" si="267"/>
        <v>116322.00505571181</v>
      </c>
      <c r="O281" s="21">
        <f t="shared" si="267"/>
        <v>157666.10424988469</v>
      </c>
      <c r="P281" s="21">
        <f t="shared" si="267"/>
        <v>168670.61767299948</v>
      </c>
      <c r="Q281" s="21">
        <f t="shared" si="267"/>
        <v>243007.60568802213</v>
      </c>
      <c r="R281" s="21">
        <f t="shared" si="267"/>
        <v>256893.51522987557</v>
      </c>
      <c r="S281" s="21">
        <f t="shared" si="267"/>
        <v>106271.78609102321</v>
      </c>
      <c r="T281" s="21">
        <f t="shared" si="267"/>
        <v>30868.594690306447</v>
      </c>
      <c r="U281" s="21">
        <f t="shared" si="267"/>
        <v>449754.2339886119</v>
      </c>
      <c r="V281" s="21">
        <f t="shared" si="267"/>
        <v>455158.47991434101</v>
      </c>
      <c r="W281" s="21">
        <f t="shared" si="267"/>
        <v>71840.70107569969</v>
      </c>
      <c r="X281" s="21">
        <f t="shared" si="267"/>
        <v>34566.427181344632</v>
      </c>
      <c r="Y281" s="21">
        <f t="shared" si="267"/>
        <v>258671.87015673023</v>
      </c>
      <c r="Z281" s="21">
        <f t="shared" si="267"/>
        <v>385274.83672875899</v>
      </c>
      <c r="AA281" s="21">
        <f t="shared" si="267"/>
        <v>230457.46861070878</v>
      </c>
      <c r="AB281" s="21">
        <f t="shared" si="267"/>
        <v>102924.87867118568</v>
      </c>
      <c r="AC281" s="21">
        <f t="shared" si="267"/>
        <v>28977.411733802215</v>
      </c>
      <c r="AD281" s="21">
        <f t="shared" si="267"/>
        <v>3185.0241891539708</v>
      </c>
      <c r="AE281" s="21">
        <f t="shared" si="267"/>
        <v>369.51563831178424</v>
      </c>
      <c r="AF281" s="21">
        <f t="shared" si="267"/>
        <v>55.849937183941357</v>
      </c>
      <c r="AG281" s="3"/>
      <c r="AH281" s="3"/>
    </row>
    <row r="282" spans="1:34" s="3" customFormat="1" x14ac:dyDescent="0.25">
      <c r="A282" s="71">
        <f>SUM(B282:AF282)</f>
        <v>2556290.9396890379</v>
      </c>
      <c r="B282" s="21">
        <f>IF($D$61&lt;=B246,IF($E$61&gt;=B246,ABS(B281),0),0)</f>
        <v>2872.1440931832217</v>
      </c>
      <c r="C282" s="21">
        <f t="shared" ref="C282:AF282" si="268">IF($D$61&lt;=C246,IF($E$61&gt;=C246,ABS(C281),0),0)</f>
        <v>2879.9166700878604</v>
      </c>
      <c r="D282" s="21">
        <f t="shared" si="268"/>
        <v>2875.7508340371146</v>
      </c>
      <c r="E282" s="21">
        <f t="shared" si="268"/>
        <v>2874.6927661883051</v>
      </c>
      <c r="F282" s="21">
        <f t="shared" si="268"/>
        <v>2874.5453839818633</v>
      </c>
      <c r="G282" s="21">
        <f t="shared" si="268"/>
        <v>2876.013114974005</v>
      </c>
      <c r="H282" s="21">
        <f t="shared" si="268"/>
        <v>2891.5993796733278</v>
      </c>
      <c r="I282" s="21">
        <f t="shared" si="268"/>
        <v>3048.1939089193379</v>
      </c>
      <c r="J282" s="21">
        <f t="shared" si="268"/>
        <v>4628.2408532825557</v>
      </c>
      <c r="K282" s="21">
        <f t="shared" si="268"/>
        <v>17246.823100624766</v>
      </c>
      <c r="L282" s="21">
        <f t="shared" si="268"/>
        <v>70452.08303776785</v>
      </c>
      <c r="M282" s="21">
        <f t="shared" si="268"/>
        <v>91078.995551767221</v>
      </c>
      <c r="N282" s="21">
        <f t="shared" si="268"/>
        <v>116322.00505571181</v>
      </c>
      <c r="O282" s="21">
        <f t="shared" si="268"/>
        <v>157666.10424988469</v>
      </c>
      <c r="P282" s="21">
        <f t="shared" si="268"/>
        <v>168670.61767299948</v>
      </c>
      <c r="Q282" s="21">
        <f t="shared" si="268"/>
        <v>243007.60568802213</v>
      </c>
      <c r="R282" s="21">
        <f t="shared" si="268"/>
        <v>256893.51522987557</v>
      </c>
      <c r="S282" s="21">
        <f t="shared" si="268"/>
        <v>106271.78609102321</v>
      </c>
      <c r="T282" s="21">
        <f t="shared" si="268"/>
        <v>30868.594690306447</v>
      </c>
      <c r="U282" s="21">
        <f t="shared" si="268"/>
        <v>449754.2339886119</v>
      </c>
      <c r="V282" s="21">
        <f t="shared" si="268"/>
        <v>455158.47991434101</v>
      </c>
      <c r="W282" s="21">
        <f t="shared" si="268"/>
        <v>71840.70107569969</v>
      </c>
      <c r="X282" s="21">
        <f t="shared" si="268"/>
        <v>34566.427181344632</v>
      </c>
      <c r="Y282" s="21">
        <f t="shared" si="268"/>
        <v>258671.87015673023</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7233.6489151400983</v>
      </c>
      <c r="C287" s="27">
        <f t="shared" ref="C287:AF287" si="269">($C$17+SUM(C288:C318))*$B$51</f>
        <v>7233.6412379397152</v>
      </c>
      <c r="D287" s="27">
        <f t="shared" si="269"/>
        <v>7233.5645132510354</v>
      </c>
      <c r="E287" s="27">
        <f t="shared" si="269"/>
        <v>7232.8019696365391</v>
      </c>
      <c r="F287" s="27">
        <f t="shared" si="269"/>
        <v>7225.6198930416922</v>
      </c>
      <c r="G287" s="27">
        <f t="shared" si="269"/>
        <v>7180.2835763201047</v>
      </c>
      <c r="H287" s="27">
        <f t="shared" si="269"/>
        <v>7042.6138682949222</v>
      </c>
      <c r="I287" s="27">
        <f t="shared" si="269"/>
        <v>6896.7241323918061</v>
      </c>
      <c r="J287" s="27">
        <f t="shared" si="269"/>
        <v>6728.1958724845999</v>
      </c>
      <c r="K287" s="27">
        <f t="shared" si="269"/>
        <v>6522.9865058214136</v>
      </c>
      <c r="L287" s="27">
        <f t="shared" si="269"/>
        <v>6323.3555091457847</v>
      </c>
      <c r="M287" s="27">
        <f t="shared" si="269"/>
        <v>6061.4540746575221</v>
      </c>
      <c r="N287" s="27">
        <f t="shared" si="269"/>
        <v>5776.0135211907909</v>
      </c>
      <c r="O287" s="27">
        <f t="shared" si="269"/>
        <v>5496.543709241022</v>
      </c>
      <c r="P287" s="27">
        <f t="shared" si="269"/>
        <v>5187.9036620962415</v>
      </c>
      <c r="Q287" s="27">
        <f t="shared" si="269"/>
        <v>4846.7051400956452</v>
      </c>
      <c r="R287" s="27">
        <f t="shared" si="269"/>
        <v>4307.1892907529736</v>
      </c>
      <c r="S287" s="27">
        <f t="shared" si="269"/>
        <v>3424.4430284490713</v>
      </c>
      <c r="T287" s="27">
        <f t="shared" si="269"/>
        <v>2457.5292211422175</v>
      </c>
      <c r="U287" s="27">
        <f t="shared" si="269"/>
        <v>1610.9837697932915</v>
      </c>
      <c r="V287" s="27">
        <f t="shared" si="269"/>
        <v>942.67843880542739</v>
      </c>
      <c r="W287" s="27">
        <f t="shared" si="269"/>
        <v>510.32813886360162</v>
      </c>
      <c r="X287" s="27">
        <f t="shared" si="269"/>
        <v>271.37674441509307</v>
      </c>
      <c r="Y287" s="27">
        <f t="shared" si="269"/>
        <v>152.4330509006588</v>
      </c>
      <c r="Z287" s="27">
        <f t="shared" si="269"/>
        <v>114.52073070893231</v>
      </c>
      <c r="AA287" s="27">
        <f t="shared" si="269"/>
        <v>101.02184283866399</v>
      </c>
      <c r="AB287" s="27">
        <f t="shared" si="269"/>
        <v>93.163180205270478</v>
      </c>
      <c r="AC287" s="27">
        <f t="shared" si="269"/>
        <v>92.441097432140822</v>
      </c>
      <c r="AD287" s="27">
        <f t="shared" si="269"/>
        <v>91.485699304221228</v>
      </c>
      <c r="AE287" s="27">
        <f t="shared" si="269"/>
        <v>91.046181663410508</v>
      </c>
      <c r="AF287" s="27">
        <f t="shared" si="269"/>
        <v>90.322160429283514</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3.90923294536234E-3</v>
      </c>
      <c r="C292" s="3">
        <f t="shared" si="274"/>
        <v>3.9085714353918584E-3</v>
      </c>
      <c r="D292" s="3">
        <f t="shared" si="274"/>
        <v>3.9019624892050677E-3</v>
      </c>
      <c r="E292" s="3">
        <f t="shared" si="274"/>
        <v>3.8364845434493036E-3</v>
      </c>
      <c r="F292" s="3">
        <f t="shared" si="274"/>
        <v>3.2391949043391452E-3</v>
      </c>
      <c r="G292" s="3">
        <f t="shared" si="274"/>
        <v>5.9631173736152099E-4</v>
      </c>
      <c r="H292" s="3">
        <f t="shared" si="274"/>
        <v>2.6658525815722901E-11</v>
      </c>
      <c r="I292" s="3">
        <f t="shared" si="274"/>
        <v>8.5008793017705329E-85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2.3294985596043739E-2</v>
      </c>
      <c r="C293" s="3">
        <f t="shared" si="275"/>
        <v>2.3294629975113151E-2</v>
      </c>
      <c r="D293" s="3">
        <f t="shared" si="275"/>
        <v>2.3291074064383337E-2</v>
      </c>
      <c r="E293" s="3">
        <f t="shared" si="275"/>
        <v>2.3255544797833073E-2</v>
      </c>
      <c r="F293" s="3">
        <f t="shared" si="275"/>
        <v>2.2903219420304634E-2</v>
      </c>
      <c r="G293" s="3">
        <f t="shared" si="275"/>
        <v>1.9660596570110139E-2</v>
      </c>
      <c r="H293" s="3">
        <f t="shared" si="275"/>
        <v>4.2716756648090107E-3</v>
      </c>
      <c r="I293" s="3">
        <f t="shared" si="275"/>
        <v>1.0014149256304811E-9</v>
      </c>
      <c r="J293" s="3">
        <f t="shared" si="275"/>
        <v>5.0207888160030591E-76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1.9366381815242761E-2</v>
      </c>
      <c r="C294" s="3">
        <f t="shared" si="276"/>
        <v>1.9366355145245897E-2</v>
      </c>
      <c r="D294" s="3">
        <f t="shared" si="276"/>
        <v>1.9366088447297314E-2</v>
      </c>
      <c r="E294" s="3">
        <f t="shared" si="276"/>
        <v>1.9363421669804402E-2</v>
      </c>
      <c r="F294" s="3">
        <f t="shared" si="276"/>
        <v>1.9336774083881503E-2</v>
      </c>
      <c r="G294" s="3">
        <f t="shared" si="276"/>
        <v>1.907230687599356E-2</v>
      </c>
      <c r="H294" s="3">
        <f t="shared" si="276"/>
        <v>1.661863130295969E-2</v>
      </c>
      <c r="I294" s="3">
        <f t="shared" si="276"/>
        <v>4.1929098105203426E-3</v>
      </c>
      <c r="J294" s="3">
        <f t="shared" si="276"/>
        <v>4.382462426919522E-9</v>
      </c>
      <c r="K294" s="3">
        <f t="shared" si="276"/>
        <v>6.8193818064280083E-69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2.4447536364032765E-2</v>
      </c>
      <c r="C295" s="3">
        <f t="shared" si="277"/>
        <v>2.4447533326951321E-2</v>
      </c>
      <c r="D295" s="3">
        <f t="shared" si="277"/>
        <v>2.4447502956157621E-2</v>
      </c>
      <c r="E295" s="3">
        <f t="shared" si="277"/>
        <v>2.4447199250295728E-2</v>
      </c>
      <c r="F295" s="3">
        <f t="shared" si="277"/>
        <v>2.4444162399176926E-2</v>
      </c>
      <c r="G295" s="3">
        <f t="shared" si="277"/>
        <v>2.4413814628466111E-2</v>
      </c>
      <c r="H295" s="3">
        <f t="shared" si="277"/>
        <v>2.4112401467406074E-2</v>
      </c>
      <c r="I295" s="3">
        <f t="shared" si="277"/>
        <v>2.1295542032821382E-2</v>
      </c>
      <c r="J295" s="3">
        <f t="shared" si="277"/>
        <v>6.1485261568540121E-3</v>
      </c>
      <c r="K295" s="3">
        <f t="shared" si="277"/>
        <v>2.4751087663865671E-8</v>
      </c>
      <c r="L295" s="3">
        <f t="shared" si="277"/>
        <v>2.7658391685322317E-62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3.2102560655410381E-2</v>
      </c>
      <c r="C296" s="3">
        <f t="shared" si="278"/>
        <v>3.2102560295654725E-2</v>
      </c>
      <c r="D296" s="3">
        <f t="shared" si="278"/>
        <v>3.2102556698098403E-2</v>
      </c>
      <c r="E296" s="3">
        <f t="shared" si="278"/>
        <v>3.2102520722557377E-2</v>
      </c>
      <c r="F296" s="3">
        <f t="shared" si="278"/>
        <v>3.2102160969364434E-2</v>
      </c>
      <c r="G296" s="3">
        <f t="shared" si="278"/>
        <v>3.2098563659161847E-2</v>
      </c>
      <c r="H296" s="3">
        <f t="shared" si="278"/>
        <v>3.2062612720629109E-2</v>
      </c>
      <c r="I296" s="3">
        <f t="shared" si="278"/>
        <v>3.1705310522259965E-2</v>
      </c>
      <c r="J296" s="3">
        <f t="shared" si="278"/>
        <v>2.834412329702107E-2</v>
      </c>
      <c r="K296" s="3">
        <f t="shared" si="278"/>
        <v>9.2421540538036844E-3</v>
      </c>
      <c r="L296" s="3">
        <f t="shared" si="278"/>
        <v>1.2556683609091471E-7</v>
      </c>
      <c r="M296" s="3">
        <f t="shared" si="278"/>
        <v>2.6908682405469371E-56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2.4134444752506957E-2</v>
      </c>
      <c r="C297" s="3">
        <f t="shared" si="279"/>
        <v>2.4134444728109092E-2</v>
      </c>
      <c r="D297" s="3">
        <f t="shared" si="279"/>
        <v>2.4134444484130421E-2</v>
      </c>
      <c r="E297" s="3">
        <f t="shared" si="279"/>
        <v>2.4134442044343878E-2</v>
      </c>
      <c r="F297" s="3">
        <f t="shared" si="279"/>
        <v>2.4134417646492021E-2</v>
      </c>
      <c r="G297" s="3">
        <f t="shared" si="279"/>
        <v>2.4134173669329954E-2</v>
      </c>
      <c r="H297" s="3">
        <f t="shared" si="279"/>
        <v>2.4131734033356573E-2</v>
      </c>
      <c r="I297" s="3">
        <f t="shared" si="279"/>
        <v>2.410735123327697E-2</v>
      </c>
      <c r="J297" s="3">
        <f t="shared" si="279"/>
        <v>2.3864874139759708E-2</v>
      </c>
      <c r="K297" s="3">
        <f t="shared" si="279"/>
        <v>2.1570274762843119E-2</v>
      </c>
      <c r="L297" s="3">
        <f t="shared" si="279"/>
        <v>7.8491199531706638E-3</v>
      </c>
      <c r="M297" s="3">
        <f t="shared" si="279"/>
        <v>3.1950220231327288E-7</v>
      </c>
      <c r="N297" s="3">
        <f t="shared" si="279"/>
        <v>3.9902743362773218E-51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4.5522140204256073E-2</v>
      </c>
      <c r="C298" s="3">
        <f t="shared" si="280"/>
        <v>4.5522140200104776E-2</v>
      </c>
      <c r="D298" s="3">
        <f t="shared" si="280"/>
        <v>4.5522140158591809E-2</v>
      </c>
      <c r="E298" s="3">
        <f t="shared" si="280"/>
        <v>4.5522139743462101E-2</v>
      </c>
      <c r="F298" s="3">
        <f t="shared" si="280"/>
        <v>4.5522135592165301E-2</v>
      </c>
      <c r="G298" s="3">
        <f t="shared" si="280"/>
        <v>4.5522094079218062E-2</v>
      </c>
      <c r="H298" s="3">
        <f t="shared" si="280"/>
        <v>4.5521678951827807E-2</v>
      </c>
      <c r="I298" s="3">
        <f t="shared" si="280"/>
        <v>4.5517527886130352E-2</v>
      </c>
      <c r="J298" s="3">
        <f t="shared" si="280"/>
        <v>4.547603804264197E-2</v>
      </c>
      <c r="K298" s="3">
        <f t="shared" si="280"/>
        <v>4.50632139507154E-2</v>
      </c>
      <c r="L298" s="3">
        <f t="shared" si="280"/>
        <v>4.1135575673092561E-2</v>
      </c>
      <c r="M298" s="3">
        <f t="shared" si="280"/>
        <v>1.652615211605803E-2</v>
      </c>
      <c r="N298" s="3">
        <f t="shared" si="280"/>
        <v>1.8101451912921359E-6</v>
      </c>
      <c r="O298" s="3">
        <f t="shared" si="280"/>
        <v>4.4991457334857359E-46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3.7432935335040052E-2</v>
      </c>
      <c r="C299" s="3">
        <f t="shared" si="281"/>
        <v>3.7432935334732118E-2</v>
      </c>
      <c r="D299" s="3">
        <f t="shared" si="281"/>
        <v>3.7432935331652747E-2</v>
      </c>
      <c r="E299" s="3">
        <f t="shared" si="281"/>
        <v>3.7432935300859067E-2</v>
      </c>
      <c r="F299" s="3">
        <f t="shared" si="281"/>
        <v>3.7432934992922252E-2</v>
      </c>
      <c r="G299" s="3">
        <f t="shared" si="281"/>
        <v>3.7432931913554263E-2</v>
      </c>
      <c r="H299" s="3">
        <f t="shared" si="281"/>
        <v>3.7432901119888326E-2</v>
      </c>
      <c r="I299" s="3">
        <f t="shared" si="281"/>
        <v>3.7432593184622193E-2</v>
      </c>
      <c r="J299" s="3">
        <f t="shared" si="281"/>
        <v>3.7429513971282052E-2</v>
      </c>
      <c r="K299" s="3">
        <f t="shared" si="281"/>
        <v>3.7398735765765426E-2</v>
      </c>
      <c r="L299" s="3">
        <f t="shared" si="281"/>
        <v>3.7092342269078135E-2</v>
      </c>
      <c r="M299" s="3">
        <f t="shared" si="281"/>
        <v>3.4163128115214145E-2</v>
      </c>
      <c r="N299" s="3">
        <f t="shared" si="281"/>
        <v>1.5006912141451971E-2</v>
      </c>
      <c r="O299" s="3">
        <f t="shared" si="281"/>
        <v>4.0144720944309408E-6</v>
      </c>
      <c r="P299" s="3">
        <f t="shared" si="281"/>
        <v>7.5335465756238654E-42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4.1089114467285991E-2</v>
      </c>
      <c r="C300" s="3">
        <f t="shared" si="282"/>
        <v>4.1089114467255494E-2</v>
      </c>
      <c r="D300" s="3">
        <f t="shared" si="282"/>
        <v>4.1089114466950578E-2</v>
      </c>
      <c r="E300" s="3">
        <f t="shared" si="282"/>
        <v>4.1089114463901413E-2</v>
      </c>
      <c r="F300" s="3">
        <f t="shared" si="282"/>
        <v>4.1089114433409756E-2</v>
      </c>
      <c r="G300" s="3">
        <f t="shared" si="282"/>
        <v>4.1089114128493129E-2</v>
      </c>
      <c r="H300" s="3">
        <f t="shared" si="282"/>
        <v>4.1089111079327043E-2</v>
      </c>
      <c r="I300" s="3">
        <f t="shared" si="282"/>
        <v>4.1089080587678586E-2</v>
      </c>
      <c r="J300" s="3">
        <f t="shared" si="282"/>
        <v>4.1088775672438557E-2</v>
      </c>
      <c r="K300" s="3">
        <f t="shared" si="282"/>
        <v>4.1085726644485378E-2</v>
      </c>
      <c r="L300" s="3">
        <f t="shared" si="282"/>
        <v>4.1055248806249549E-2</v>
      </c>
      <c r="M300" s="3">
        <f t="shared" si="282"/>
        <v>4.0751711144231317E-2</v>
      </c>
      <c r="N300" s="3">
        <f t="shared" si="282"/>
        <v>3.7837066456483437E-2</v>
      </c>
      <c r="O300" s="3">
        <f t="shared" si="282"/>
        <v>1.8014969982306971E-2</v>
      </c>
      <c r="P300" s="3">
        <f t="shared" si="282"/>
        <v>1.0784360403904368E-5</v>
      </c>
      <c r="Q300" s="3">
        <f t="shared" si="282"/>
        <v>6.3738655292704688E-38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4.6245094575622633E-2</v>
      </c>
      <c r="C301" s="3">
        <f t="shared" si="283"/>
        <v>4.6245094575619539E-2</v>
      </c>
      <c r="D301" s="3">
        <f t="shared" si="283"/>
        <v>4.6245094575588584E-2</v>
      </c>
      <c r="E301" s="3">
        <f t="shared" si="283"/>
        <v>4.6245094575279005E-2</v>
      </c>
      <c r="F301" s="3">
        <f t="shared" si="283"/>
        <v>4.6245094572183253E-2</v>
      </c>
      <c r="G301" s="3">
        <f t="shared" si="283"/>
        <v>4.6245094541225704E-2</v>
      </c>
      <c r="H301" s="3">
        <f t="shared" si="283"/>
        <v>4.6245094231650206E-2</v>
      </c>
      <c r="I301" s="3">
        <f t="shared" si="283"/>
        <v>4.6245091135895339E-2</v>
      </c>
      <c r="J301" s="3">
        <f t="shared" si="283"/>
        <v>4.6245060178358062E-2</v>
      </c>
      <c r="K301" s="3">
        <f t="shared" si="283"/>
        <v>4.6244750604125098E-2</v>
      </c>
      <c r="L301" s="3">
        <f t="shared" si="283"/>
        <v>4.6241654975772699E-2</v>
      </c>
      <c r="M301" s="3">
        <f t="shared" si="283"/>
        <v>4.6210710087152627E-2</v>
      </c>
      <c r="N301" s="3">
        <f t="shared" si="283"/>
        <v>4.5902397874023039E-2</v>
      </c>
      <c r="O301" s="3">
        <f t="shared" si="283"/>
        <v>4.293017736533547E-2</v>
      </c>
      <c r="P301" s="3">
        <f t="shared" si="283"/>
        <v>2.1980409543555651E-2</v>
      </c>
      <c r="Q301" s="3">
        <f t="shared" si="283"/>
        <v>2.7212394145128718E-5</v>
      </c>
      <c r="R301" s="3">
        <f t="shared" si="283"/>
        <v>2.3018471360184796E-34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4.2152470755880453E-2</v>
      </c>
      <c r="C302" s="3">
        <f t="shared" si="284"/>
        <v>4.2152470755880203E-2</v>
      </c>
      <c r="D302" s="3">
        <f t="shared" si="284"/>
        <v>4.2152470755877657E-2</v>
      </c>
      <c r="E302" s="3">
        <f t="shared" si="284"/>
        <v>4.2152470755852198E-2</v>
      </c>
      <c r="F302" s="3">
        <f t="shared" si="284"/>
        <v>4.2152470755597651E-2</v>
      </c>
      <c r="G302" s="3">
        <f t="shared" si="284"/>
        <v>4.215247075305216E-2</v>
      </c>
      <c r="H302" s="3">
        <f t="shared" si="284"/>
        <v>4.2152470727597313E-2</v>
      </c>
      <c r="I302" s="3">
        <f t="shared" si="284"/>
        <v>4.2152470473048813E-2</v>
      </c>
      <c r="J302" s="3">
        <f t="shared" si="284"/>
        <v>4.2152467927563941E-2</v>
      </c>
      <c r="K302" s="3">
        <f t="shared" si="284"/>
        <v>4.2152442472723643E-2</v>
      </c>
      <c r="L302" s="3">
        <f t="shared" si="284"/>
        <v>4.2152187925166083E-2</v>
      </c>
      <c r="M302" s="3">
        <f t="shared" si="284"/>
        <v>4.2149642534131976E-2</v>
      </c>
      <c r="N302" s="3">
        <f t="shared" si="284"/>
        <v>4.2124197076052222E-2</v>
      </c>
      <c r="O302" s="3">
        <f t="shared" si="284"/>
        <v>4.1870585835908684E-2</v>
      </c>
      <c r="P302" s="3">
        <f t="shared" si="284"/>
        <v>3.9416953240461822E-2</v>
      </c>
      <c r="Q302" s="3">
        <f t="shared" si="284"/>
        <v>2.1548805426840557E-2</v>
      </c>
      <c r="R302" s="3">
        <f t="shared" si="284"/>
        <v>5.1383617435494584E-5</v>
      </c>
      <c r="S302" s="3">
        <f t="shared" si="284"/>
        <v>3.0537918657637076E-31</v>
      </c>
      <c r="T302" s="3">
        <f t="shared" si="284"/>
        <v>1.6787538345706016E-293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0.11273931401056793</v>
      </c>
      <c r="C303" s="3">
        <f t="shared" si="285"/>
        <v>0.11273931401056787</v>
      </c>
      <c r="D303" s="3">
        <f t="shared" si="285"/>
        <v>0.11273931401056725</v>
      </c>
      <c r="E303" s="3">
        <f t="shared" si="285"/>
        <v>0.11273931401056111</v>
      </c>
      <c r="F303" s="3">
        <f t="shared" si="285"/>
        <v>0.11273931401049971</v>
      </c>
      <c r="G303" s="3">
        <f t="shared" si="285"/>
        <v>0.11273931400988556</v>
      </c>
      <c r="H303" s="3">
        <f t="shared" si="285"/>
        <v>0.11273931400374412</v>
      </c>
      <c r="I303" s="3">
        <f t="shared" si="285"/>
        <v>0.11273931394232983</v>
      </c>
      <c r="J303" s="3">
        <f t="shared" si="285"/>
        <v>0.11273931332818687</v>
      </c>
      <c r="K303" s="3">
        <f t="shared" si="285"/>
        <v>0.11273930718675745</v>
      </c>
      <c r="L303" s="3">
        <f t="shared" si="285"/>
        <v>0.11273924577248158</v>
      </c>
      <c r="M303" s="3">
        <f t="shared" si="285"/>
        <v>0.11273863163156296</v>
      </c>
      <c r="N303" s="3">
        <f t="shared" si="285"/>
        <v>0.11273249040637623</v>
      </c>
      <c r="O303" s="3">
        <f t="shared" si="285"/>
        <v>0.11267109655074628</v>
      </c>
      <c r="P303" s="3">
        <f t="shared" si="285"/>
        <v>0.11205899391570848</v>
      </c>
      <c r="Q303" s="3">
        <f t="shared" si="285"/>
        <v>0.10611791258230692</v>
      </c>
      <c r="R303" s="3">
        <f t="shared" si="285"/>
        <v>6.1547227433758255E-2</v>
      </c>
      <c r="S303" s="3">
        <f t="shared" si="285"/>
        <v>2.6509799662205534E-4</v>
      </c>
      <c r="T303" s="3">
        <f t="shared" si="285"/>
        <v>5.8262077420865665E-28</v>
      </c>
      <c r="U303" s="3">
        <f t="shared" si="285"/>
        <v>1.5317262971183594E-264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0.14424740982428688</v>
      </c>
      <c r="C304" s="3">
        <f t="shared" si="286"/>
        <v>0.14424740982428688</v>
      </c>
      <c r="D304" s="3">
        <f t="shared" si="286"/>
        <v>0.1442474098242868</v>
      </c>
      <c r="E304" s="3">
        <f t="shared" si="286"/>
        <v>0.1442474098242861</v>
      </c>
      <c r="F304" s="3">
        <f t="shared" si="286"/>
        <v>0.144247409824279</v>
      </c>
      <c r="G304" s="3">
        <f t="shared" si="286"/>
        <v>0.14424740982420811</v>
      </c>
      <c r="H304" s="3">
        <f t="shared" si="286"/>
        <v>0.14424740982349929</v>
      </c>
      <c r="I304" s="3">
        <f t="shared" si="286"/>
        <v>0.14424740981641088</v>
      </c>
      <c r="J304" s="3">
        <f t="shared" si="286"/>
        <v>0.1442474097455268</v>
      </c>
      <c r="K304" s="3">
        <f t="shared" si="286"/>
        <v>0.14424740903668601</v>
      </c>
      <c r="L304" s="3">
        <f t="shared" si="286"/>
        <v>0.14424740194827823</v>
      </c>
      <c r="M304" s="3">
        <f t="shared" si="286"/>
        <v>0.14424733106421961</v>
      </c>
      <c r="N304" s="3">
        <f t="shared" si="286"/>
        <v>0.1442466222255491</v>
      </c>
      <c r="O304" s="3">
        <f t="shared" si="286"/>
        <v>0.14423953403042128</v>
      </c>
      <c r="P304" s="3">
        <f t="shared" si="286"/>
        <v>0.14416867123335736</v>
      </c>
      <c r="Q304" s="3">
        <f t="shared" si="286"/>
        <v>0.14346195520610908</v>
      </c>
      <c r="R304" s="3">
        <f t="shared" si="286"/>
        <v>0.13658255819224363</v>
      </c>
      <c r="S304" s="3">
        <f t="shared" si="286"/>
        <v>8.3556495469937528E-2</v>
      </c>
      <c r="T304" s="3">
        <f t="shared" si="286"/>
        <v>6.135217357464642E-4</v>
      </c>
      <c r="U304" s="3">
        <f t="shared" si="286"/>
        <v>2.7946493443725977E-25</v>
      </c>
      <c r="V304" s="3">
        <f t="shared" si="286"/>
        <v>1.0747340749073322E-238</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0.12974291069495422</v>
      </c>
      <c r="C305" s="3">
        <f t="shared" si="287"/>
        <v>0.12974291069495422</v>
      </c>
      <c r="D305" s="3">
        <f t="shared" si="287"/>
        <v>0.12974291069495422</v>
      </c>
      <c r="E305" s="3">
        <f t="shared" si="287"/>
        <v>0.12974291069495417</v>
      </c>
      <c r="F305" s="3">
        <f t="shared" si="287"/>
        <v>0.12974291069495358</v>
      </c>
      <c r="G305" s="3">
        <f t="shared" si="287"/>
        <v>0.12974291069494784</v>
      </c>
      <c r="H305" s="3">
        <f t="shared" si="287"/>
        <v>0.12974291069489033</v>
      </c>
      <c r="I305" s="3">
        <f t="shared" si="287"/>
        <v>0.12974291069431518</v>
      </c>
      <c r="J305" s="3">
        <f t="shared" si="287"/>
        <v>0.12974291068856381</v>
      </c>
      <c r="K305" s="3">
        <f t="shared" si="287"/>
        <v>0.12974291063105017</v>
      </c>
      <c r="L305" s="3">
        <f t="shared" si="287"/>
        <v>0.12974291005591371</v>
      </c>
      <c r="M305" s="3">
        <f t="shared" si="287"/>
        <v>0.1297429043045491</v>
      </c>
      <c r="N305" s="3">
        <f t="shared" si="287"/>
        <v>0.12974284679091727</v>
      </c>
      <c r="O305" s="3">
        <f t="shared" si="287"/>
        <v>0.12974227165600102</v>
      </c>
      <c r="P305" s="3">
        <f t="shared" si="287"/>
        <v>0.12973652044705947</v>
      </c>
      <c r="Q305" s="3">
        <f t="shared" si="287"/>
        <v>0.12967902237744128</v>
      </c>
      <c r="R305" s="3">
        <f t="shared" si="287"/>
        <v>0.12910544136421462</v>
      </c>
      <c r="S305" s="3">
        <f t="shared" si="287"/>
        <v>0.12350733077570968</v>
      </c>
      <c r="T305" s="3">
        <f t="shared" si="287"/>
        <v>7.9282005559074165E-2</v>
      </c>
      <c r="U305" s="3">
        <f t="shared" si="287"/>
        <v>9.4187559994730094E-4</v>
      </c>
      <c r="V305" s="3">
        <f t="shared" si="287"/>
        <v>5.2745174278261813E-23</v>
      </c>
      <c r="W305" s="3">
        <f t="shared" si="287"/>
        <v>1.5998327582028696E-215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0.10714334071735752</v>
      </c>
      <c r="C306" s="3">
        <f t="shared" si="288"/>
        <v>0.10714334071735752</v>
      </c>
      <c r="D306" s="3">
        <f t="shared" si="288"/>
        <v>0.10714334071735752</v>
      </c>
      <c r="E306" s="3">
        <f t="shared" si="288"/>
        <v>0.10714334071735752</v>
      </c>
      <c r="F306" s="3">
        <f t="shared" si="288"/>
        <v>0.10714334071735748</v>
      </c>
      <c r="G306" s="3">
        <f t="shared" si="288"/>
        <v>0.10714334071735705</v>
      </c>
      <c r="H306" s="3">
        <f t="shared" si="288"/>
        <v>0.10714334071735276</v>
      </c>
      <c r="I306" s="3">
        <f t="shared" si="288"/>
        <v>0.10714334071730992</v>
      </c>
      <c r="J306" s="3">
        <f t="shared" si="288"/>
        <v>0.10714334071688147</v>
      </c>
      <c r="K306" s="3">
        <f t="shared" si="288"/>
        <v>0.10714334071259697</v>
      </c>
      <c r="L306" s="3">
        <f t="shared" si="288"/>
        <v>0.10714334066975209</v>
      </c>
      <c r="M306" s="3">
        <f t="shared" si="288"/>
        <v>0.10714334024130318</v>
      </c>
      <c r="N306" s="3">
        <f t="shared" si="288"/>
        <v>0.10714333595681412</v>
      </c>
      <c r="O306" s="3">
        <f t="shared" si="288"/>
        <v>0.10714329311193299</v>
      </c>
      <c r="P306" s="3">
        <f t="shared" si="288"/>
        <v>0.10714286466406399</v>
      </c>
      <c r="Q306" s="3">
        <f t="shared" si="288"/>
        <v>0.10713858027960382</v>
      </c>
      <c r="R306" s="3">
        <f t="shared" si="288"/>
        <v>0.10709574585659239</v>
      </c>
      <c r="S306" s="3">
        <f t="shared" si="288"/>
        <v>0.10666834239299315</v>
      </c>
      <c r="T306" s="3">
        <f t="shared" si="288"/>
        <v>0.10248700724145778</v>
      </c>
      <c r="U306" s="3">
        <f t="shared" si="288"/>
        <v>6.870707526685392E-2</v>
      </c>
      <c r="V306" s="3">
        <f t="shared" si="288"/>
        <v>1.2598764751210088E-3</v>
      </c>
      <c r="W306" s="3">
        <f t="shared" si="288"/>
        <v>5.4149321038604674E-21</v>
      </c>
      <c r="X306" s="3">
        <f t="shared" si="288"/>
        <v>1.1647789236899071E-194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7.467332001482109E-2</v>
      </c>
      <c r="C307" s="3">
        <f t="shared" si="289"/>
        <v>7.467332001482109E-2</v>
      </c>
      <c r="D307" s="3">
        <f t="shared" si="289"/>
        <v>7.467332001482109E-2</v>
      </c>
      <c r="E307" s="3">
        <f t="shared" si="289"/>
        <v>7.467332001482109E-2</v>
      </c>
      <c r="F307" s="3">
        <f t="shared" si="289"/>
        <v>7.467332001482109E-2</v>
      </c>
      <c r="G307" s="3">
        <f t="shared" si="289"/>
        <v>7.4673320014821062E-2</v>
      </c>
      <c r="H307" s="3">
        <f t="shared" si="289"/>
        <v>7.4673320014820785E-2</v>
      </c>
      <c r="I307" s="3">
        <f t="shared" si="289"/>
        <v>7.4673320014818093E-2</v>
      </c>
      <c r="J307" s="3">
        <f t="shared" si="289"/>
        <v>7.4673320014791156E-2</v>
      </c>
      <c r="K307" s="3">
        <f t="shared" si="289"/>
        <v>7.4673320014521788E-2</v>
      </c>
      <c r="L307" s="3">
        <f t="shared" si="289"/>
        <v>7.4673320011828109E-2</v>
      </c>
      <c r="M307" s="3">
        <f t="shared" si="289"/>
        <v>7.4673319984891309E-2</v>
      </c>
      <c r="N307" s="3">
        <f t="shared" si="289"/>
        <v>7.4673319715523379E-2</v>
      </c>
      <c r="O307" s="3">
        <f t="shared" si="289"/>
        <v>7.467331702184396E-2</v>
      </c>
      <c r="P307" s="3">
        <f t="shared" si="289"/>
        <v>7.4673290085055188E-2</v>
      </c>
      <c r="Q307" s="3">
        <f t="shared" si="289"/>
        <v>7.4673020717701849E-2</v>
      </c>
      <c r="R307" s="3">
        <f t="shared" si="289"/>
        <v>7.4670327097610428E-2</v>
      </c>
      <c r="S307" s="3">
        <f t="shared" si="289"/>
        <v>7.4643396240182014E-2</v>
      </c>
      <c r="T307" s="3">
        <f t="shared" si="289"/>
        <v>7.4374621301970922E-2</v>
      </c>
      <c r="U307" s="3">
        <f t="shared" si="289"/>
        <v>7.1739530105684249E-2</v>
      </c>
      <c r="V307" s="3">
        <f t="shared" si="289"/>
        <v>5.001452294608752E-2</v>
      </c>
      <c r="W307" s="3">
        <f t="shared" si="289"/>
        <v>1.356663562530279E-3</v>
      </c>
      <c r="X307" s="3">
        <f t="shared" si="289"/>
        <v>2.9257179867105718E-19</v>
      </c>
      <c r="Y307" s="3">
        <f t="shared" si="289"/>
        <v>6.3655432054588011E-176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2.5720461590382049E-2</v>
      </c>
      <c r="C308" s="3">
        <f t="shared" si="290"/>
        <v>2.5720461590382049E-2</v>
      </c>
      <c r="D308" s="3">
        <f t="shared" si="290"/>
        <v>2.5720461590382049E-2</v>
      </c>
      <c r="E308" s="3">
        <f t="shared" si="290"/>
        <v>2.5720461590382049E-2</v>
      </c>
      <c r="F308" s="3">
        <f t="shared" si="290"/>
        <v>2.5720461590382049E-2</v>
      </c>
      <c r="G308" s="3">
        <f t="shared" si="290"/>
        <v>2.5720461590382049E-2</v>
      </c>
      <c r="H308" s="3">
        <f t="shared" si="290"/>
        <v>2.5720461590382042E-2</v>
      </c>
      <c r="I308" s="3">
        <f t="shared" si="290"/>
        <v>2.5720461590381955E-2</v>
      </c>
      <c r="J308" s="3">
        <f t="shared" si="290"/>
        <v>2.5720461590381119E-2</v>
      </c>
      <c r="K308" s="3">
        <f t="shared" si="290"/>
        <v>2.5720461590372747E-2</v>
      </c>
      <c r="L308" s="3">
        <f t="shared" si="290"/>
        <v>2.5720461590289054E-2</v>
      </c>
      <c r="M308" s="3">
        <f t="shared" si="290"/>
        <v>2.5720461589452091E-2</v>
      </c>
      <c r="N308" s="3">
        <f t="shared" si="290"/>
        <v>2.572046158108247E-2</v>
      </c>
      <c r="O308" s="3">
        <f t="shared" si="290"/>
        <v>2.5720461497386257E-2</v>
      </c>
      <c r="P308" s="3">
        <f t="shared" si="290"/>
        <v>2.5720460660424146E-2</v>
      </c>
      <c r="Q308" s="3">
        <f t="shared" si="290"/>
        <v>2.5720452290804569E-2</v>
      </c>
      <c r="R308" s="3">
        <f t="shared" si="290"/>
        <v>2.5720368594758552E-2</v>
      </c>
      <c r="S308" s="3">
        <f t="shared" si="290"/>
        <v>2.5719531649277615E-2</v>
      </c>
      <c r="T308" s="3">
        <f t="shared" si="290"/>
        <v>2.5711163692211724E-2</v>
      </c>
      <c r="U308" s="3">
        <f t="shared" si="290"/>
        <v>2.5627633715730447E-2</v>
      </c>
      <c r="V308" s="3">
        <f t="shared" si="290"/>
        <v>2.4807114813322484E-2</v>
      </c>
      <c r="W308" s="3">
        <f t="shared" si="290"/>
        <v>1.7916523417216935E-2</v>
      </c>
      <c r="X308" s="3">
        <f t="shared" si="290"/>
        <v>6.9187651645285066E-4</v>
      </c>
      <c r="Y308" s="3">
        <f t="shared" si="290"/>
        <v>5.1024302411099984E-18</v>
      </c>
      <c r="Z308" s="3">
        <f t="shared" si="290"/>
        <v>2.428074084546357E-159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2.4141304859351478E-2</v>
      </c>
      <c r="C309" s="3">
        <f t="shared" si="291"/>
        <v>2.4141304859351478E-2</v>
      </c>
      <c r="D309" s="3">
        <f t="shared" si="291"/>
        <v>2.4141304859351478E-2</v>
      </c>
      <c r="E309" s="3">
        <f t="shared" si="291"/>
        <v>2.4141304859351478E-2</v>
      </c>
      <c r="F309" s="3">
        <f t="shared" si="291"/>
        <v>2.4141304859351478E-2</v>
      </c>
      <c r="G309" s="3">
        <f t="shared" si="291"/>
        <v>2.4141304859351478E-2</v>
      </c>
      <c r="H309" s="3">
        <f t="shared" si="291"/>
        <v>2.4141304859351474E-2</v>
      </c>
      <c r="I309" s="3">
        <f t="shared" si="291"/>
        <v>2.4141304859351453E-2</v>
      </c>
      <c r="J309" s="3">
        <f t="shared" si="291"/>
        <v>2.4141304859351235E-2</v>
      </c>
      <c r="K309" s="3">
        <f t="shared" si="291"/>
        <v>2.4141304859349063E-2</v>
      </c>
      <c r="L309" s="3">
        <f t="shared" si="291"/>
        <v>2.4141304859327337E-2</v>
      </c>
      <c r="M309" s="3">
        <f t="shared" si="291"/>
        <v>2.4141304859110067E-2</v>
      </c>
      <c r="N309" s="3">
        <f t="shared" si="291"/>
        <v>2.414130485693736E-2</v>
      </c>
      <c r="O309" s="3">
        <f t="shared" si="291"/>
        <v>2.414130483521032E-2</v>
      </c>
      <c r="P309" s="3">
        <f t="shared" si="291"/>
        <v>2.4141304617939875E-2</v>
      </c>
      <c r="Q309" s="3">
        <f t="shared" si="291"/>
        <v>2.4141302445235571E-2</v>
      </c>
      <c r="R309" s="3">
        <f t="shared" si="291"/>
        <v>2.4141280718203265E-2</v>
      </c>
      <c r="S309" s="3">
        <f t="shared" si="291"/>
        <v>2.414106344895571E-2</v>
      </c>
      <c r="T309" s="3">
        <f t="shared" si="291"/>
        <v>2.4138890864024397E-2</v>
      </c>
      <c r="U309" s="3">
        <f t="shared" si="291"/>
        <v>2.4117175765555495E-2</v>
      </c>
      <c r="V309" s="3">
        <f t="shared" si="291"/>
        <v>2.3901096293883112E-2</v>
      </c>
      <c r="W309" s="3">
        <f t="shared" si="291"/>
        <v>2.1843969038916059E-2</v>
      </c>
      <c r="X309" s="3">
        <f t="shared" si="291"/>
        <v>8.8811429282373584E-3</v>
      </c>
      <c r="Y309" s="3">
        <f t="shared" si="291"/>
        <v>1.0960791852610695E-6</v>
      </c>
      <c r="Z309" s="3">
        <f t="shared" si="291"/>
        <v>8.9861288456469343E-46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1.2214190227025473E-2</v>
      </c>
      <c r="C310" s="3">
        <f t="shared" si="292"/>
        <v>1.2214190227025473E-2</v>
      </c>
      <c r="D310" s="3">
        <f t="shared" si="292"/>
        <v>1.2214190227025473E-2</v>
      </c>
      <c r="E310" s="3">
        <f t="shared" si="292"/>
        <v>1.2214190227025473E-2</v>
      </c>
      <c r="F310" s="3">
        <f t="shared" si="292"/>
        <v>1.2214190227025473E-2</v>
      </c>
      <c r="G310" s="3">
        <f t="shared" si="292"/>
        <v>1.2214190227025473E-2</v>
      </c>
      <c r="H310" s="3">
        <f t="shared" si="292"/>
        <v>1.2214190227025473E-2</v>
      </c>
      <c r="I310" s="3">
        <f t="shared" si="292"/>
        <v>1.2214190227025471E-2</v>
      </c>
      <c r="J310" s="3">
        <f t="shared" si="292"/>
        <v>1.2214190227025461E-2</v>
      </c>
      <c r="K310" s="3">
        <f t="shared" si="292"/>
        <v>1.2214190227025351E-2</v>
      </c>
      <c r="L310" s="3">
        <f t="shared" si="292"/>
        <v>1.2214190227024252E-2</v>
      </c>
      <c r="M310" s="3">
        <f t="shared" si="292"/>
        <v>1.2214190227013259E-2</v>
      </c>
      <c r="N310" s="3">
        <f t="shared" si="292"/>
        <v>1.2214190226903333E-2</v>
      </c>
      <c r="O310" s="3">
        <f t="shared" si="292"/>
        <v>1.2214190225804061E-2</v>
      </c>
      <c r="P310" s="3">
        <f t="shared" si="292"/>
        <v>1.2214190214811356E-2</v>
      </c>
      <c r="Q310" s="3">
        <f t="shared" si="292"/>
        <v>1.2214190104884302E-2</v>
      </c>
      <c r="R310" s="3">
        <f t="shared" si="292"/>
        <v>1.2214189005613826E-2</v>
      </c>
      <c r="S310" s="3">
        <f t="shared" si="292"/>
        <v>1.22141780129145E-2</v>
      </c>
      <c r="T310" s="3">
        <f t="shared" si="292"/>
        <v>1.2214068086465388E-2</v>
      </c>
      <c r="U310" s="3">
        <f t="shared" si="292"/>
        <v>1.2212968876385816E-2</v>
      </c>
      <c r="V310" s="3">
        <f t="shared" si="292"/>
        <v>1.2201982214933876E-2</v>
      </c>
      <c r="W310" s="3">
        <f t="shared" si="292"/>
        <v>1.2092657727855073E-2</v>
      </c>
      <c r="X310" s="3">
        <f t="shared" si="292"/>
        <v>1.1051862967184406E-2</v>
      </c>
      <c r="Y310" s="3">
        <f t="shared" si="292"/>
        <v>4.4933763850330335E-3</v>
      </c>
      <c r="Z310" s="3">
        <f t="shared" si="292"/>
        <v>5.5455658882812518E-7</v>
      </c>
      <c r="AA310" s="3">
        <f t="shared" si="292"/>
        <v>4.5464935621645176E-46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8.0564872453676788E-4</v>
      </c>
      <c r="C311" s="3">
        <f t="shared" si="293"/>
        <v>8.0564872453676788E-4</v>
      </c>
      <c r="D311" s="3">
        <f t="shared" si="293"/>
        <v>8.0564872453676788E-4</v>
      </c>
      <c r="E311" s="3">
        <f t="shared" si="293"/>
        <v>8.0564872453676788E-4</v>
      </c>
      <c r="F311" s="3">
        <f t="shared" si="293"/>
        <v>8.0564872453676788E-4</v>
      </c>
      <c r="G311" s="3">
        <f t="shared" si="293"/>
        <v>8.0564872453676788E-4</v>
      </c>
      <c r="H311" s="3">
        <f t="shared" si="293"/>
        <v>8.0564872453676788E-4</v>
      </c>
      <c r="I311" s="3">
        <f t="shared" si="293"/>
        <v>8.0564872453676788E-4</v>
      </c>
      <c r="J311" s="3">
        <f t="shared" si="293"/>
        <v>8.0564872453676778E-4</v>
      </c>
      <c r="K311" s="3">
        <f t="shared" si="293"/>
        <v>8.0564872453676713E-4</v>
      </c>
      <c r="L311" s="3">
        <f t="shared" si="293"/>
        <v>8.0564872453675986E-4</v>
      </c>
      <c r="M311" s="3">
        <f t="shared" si="293"/>
        <v>8.0564872453668733E-4</v>
      </c>
      <c r="N311" s="3">
        <f t="shared" si="293"/>
        <v>8.0564872453596221E-4</v>
      </c>
      <c r="O311" s="3">
        <f t="shared" si="293"/>
        <v>8.056487245287115E-4</v>
      </c>
      <c r="P311" s="3">
        <f t="shared" si="293"/>
        <v>8.0564872445620342E-4</v>
      </c>
      <c r="Q311" s="3">
        <f t="shared" si="293"/>
        <v>8.0564872373112403E-4</v>
      </c>
      <c r="R311" s="3">
        <f t="shared" si="293"/>
        <v>8.0564871648032891E-4</v>
      </c>
      <c r="S311" s="3">
        <f t="shared" si="293"/>
        <v>8.0564864397238199E-4</v>
      </c>
      <c r="T311" s="3">
        <f t="shared" si="293"/>
        <v>8.0564791889327098E-4</v>
      </c>
      <c r="U311" s="3">
        <f t="shared" si="293"/>
        <v>8.0564066813805318E-4</v>
      </c>
      <c r="V311" s="3">
        <f t="shared" si="293"/>
        <v>8.0556816417486402E-4</v>
      </c>
      <c r="W311" s="3">
        <f t="shared" si="293"/>
        <v>8.0484348332241688E-4</v>
      </c>
      <c r="X311" s="3">
        <f t="shared" si="293"/>
        <v>7.9763243355664593E-4</v>
      </c>
      <c r="Y311" s="3">
        <f t="shared" si="293"/>
        <v>7.2898154832779535E-4</v>
      </c>
      <c r="Z311" s="3">
        <f t="shared" si="293"/>
        <v>2.9638337754520929E-4</v>
      </c>
      <c r="AA311" s="3">
        <f t="shared" si="293"/>
        <v>3.6578586068218114E-8</v>
      </c>
      <c r="AB311" s="3">
        <f t="shared" si="293"/>
        <v>2.9988698975457926E-47</v>
      </c>
      <c r="AC311" s="3">
        <f t="shared" si="293"/>
        <v>0</v>
      </c>
      <c r="AD311" s="3">
        <f t="shared" si="293"/>
        <v>0</v>
      </c>
      <c r="AE311" s="3">
        <f t="shared" si="293"/>
        <v>0</v>
      </c>
      <c r="AF311" s="3">
        <f t="shared" si="293"/>
        <v>0</v>
      </c>
      <c r="AG311" s="3"/>
      <c r="AH311" s="3"/>
    </row>
    <row r="312" spans="1:34" x14ac:dyDescent="0.25">
      <c r="B312" s="3">
        <f t="shared" ref="B312:AF312" si="294">$C42*EXP(-B$285/$A42/EXP(-$F$126))</f>
        <v>2.8733708973087426E-3</v>
      </c>
      <c r="C312" s="3">
        <f t="shared" si="294"/>
        <v>2.8733708973087426E-3</v>
      </c>
      <c r="D312" s="3">
        <f t="shared" si="294"/>
        <v>2.8733708973087426E-3</v>
      </c>
      <c r="E312" s="3">
        <f t="shared" si="294"/>
        <v>2.8733708973087426E-3</v>
      </c>
      <c r="F312" s="3">
        <f t="shared" si="294"/>
        <v>2.8733708973087426E-3</v>
      </c>
      <c r="G312" s="3">
        <f t="shared" si="294"/>
        <v>2.8733708973087426E-3</v>
      </c>
      <c r="H312" s="3">
        <f t="shared" si="294"/>
        <v>2.8733708973087426E-3</v>
      </c>
      <c r="I312" s="3">
        <f t="shared" si="294"/>
        <v>2.8733708973087426E-3</v>
      </c>
      <c r="J312" s="3">
        <f t="shared" si="294"/>
        <v>2.8733708973087426E-3</v>
      </c>
      <c r="K312" s="3">
        <f t="shared" si="294"/>
        <v>2.8733708973087422E-3</v>
      </c>
      <c r="L312" s="3">
        <f t="shared" si="294"/>
        <v>2.8733708973087396E-3</v>
      </c>
      <c r="M312" s="3">
        <f t="shared" si="294"/>
        <v>2.873370897308714E-3</v>
      </c>
      <c r="N312" s="3">
        <f t="shared" si="294"/>
        <v>2.8733708973084551E-3</v>
      </c>
      <c r="O312" s="3">
        <f t="shared" si="294"/>
        <v>2.8733708973058695E-3</v>
      </c>
      <c r="P312" s="3">
        <f t="shared" si="294"/>
        <v>2.8733708972800091E-3</v>
      </c>
      <c r="Q312" s="3">
        <f t="shared" si="294"/>
        <v>2.8733708970214069E-3</v>
      </c>
      <c r="R312" s="3">
        <f t="shared" si="294"/>
        <v>2.8733708944353891E-3</v>
      </c>
      <c r="S312" s="3">
        <f t="shared" si="294"/>
        <v>2.8733708685752058E-3</v>
      </c>
      <c r="T312" s="3">
        <f t="shared" si="294"/>
        <v>2.8733706099733883E-3</v>
      </c>
      <c r="U312" s="3">
        <f t="shared" si="294"/>
        <v>2.8733680239564898E-3</v>
      </c>
      <c r="V312" s="3">
        <f t="shared" si="294"/>
        <v>2.8733421639155171E-3</v>
      </c>
      <c r="W312" s="3">
        <f t="shared" si="294"/>
        <v>2.8730835763060261E-3</v>
      </c>
      <c r="X312" s="3">
        <f t="shared" si="294"/>
        <v>2.870498979809016E-3</v>
      </c>
      <c r="Y312" s="3">
        <f t="shared" si="294"/>
        <v>2.8447805495490724E-3</v>
      </c>
      <c r="Z312" s="3">
        <f t="shared" si="294"/>
        <v>2.5999350608350148E-3</v>
      </c>
      <c r="AA312" s="3">
        <f t="shared" si="294"/>
        <v>1.0570604105084858E-3</v>
      </c>
      <c r="AB312" s="3">
        <f t="shared" si="294"/>
        <v>1.3045864962245623E-7</v>
      </c>
      <c r="AC312" s="3">
        <f t="shared" si="294"/>
        <v>1.0695561509611844E-46</v>
      </c>
      <c r="AD312" s="3">
        <f t="shared" si="294"/>
        <v>0</v>
      </c>
      <c r="AE312" s="3">
        <f t="shared" si="294"/>
        <v>0</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1.6248048079890072E-4</v>
      </c>
      <c r="C314" s="3">
        <f t="shared" si="296"/>
        <v>1.6248048079890072E-4</v>
      </c>
      <c r="D314" s="3">
        <f t="shared" si="296"/>
        <v>1.6248048079890072E-4</v>
      </c>
      <c r="E314" s="3">
        <f t="shared" si="296"/>
        <v>1.6248048079890072E-4</v>
      </c>
      <c r="F314" s="3">
        <f t="shared" si="296"/>
        <v>1.6248048079890072E-4</v>
      </c>
      <c r="G314" s="3">
        <f t="shared" si="296"/>
        <v>1.6248048079890072E-4</v>
      </c>
      <c r="H314" s="3">
        <f t="shared" si="296"/>
        <v>1.6248048079890072E-4</v>
      </c>
      <c r="I314" s="3">
        <f t="shared" si="296"/>
        <v>1.6248048079890072E-4</v>
      </c>
      <c r="J314" s="3">
        <f t="shared" si="296"/>
        <v>1.6248048079890072E-4</v>
      </c>
      <c r="K314" s="3">
        <f t="shared" si="296"/>
        <v>1.6248048079890072E-4</v>
      </c>
      <c r="L314" s="3">
        <f t="shared" si="296"/>
        <v>1.6248048079890072E-4</v>
      </c>
      <c r="M314" s="3">
        <f t="shared" si="296"/>
        <v>1.624804807989007E-4</v>
      </c>
      <c r="N314" s="3">
        <f t="shared" si="296"/>
        <v>1.6248048079890056E-4</v>
      </c>
      <c r="O314" s="3">
        <f t="shared" si="296"/>
        <v>1.624804807988991E-4</v>
      </c>
      <c r="P314" s="3">
        <f t="shared" si="296"/>
        <v>1.6248048079888446E-4</v>
      </c>
      <c r="Q314" s="3">
        <f t="shared" si="296"/>
        <v>1.6248048079873826E-4</v>
      </c>
      <c r="R314" s="3">
        <f t="shared" si="296"/>
        <v>1.6248048079727594E-4</v>
      </c>
      <c r="S314" s="3">
        <f t="shared" si="296"/>
        <v>1.6248048078265276E-4</v>
      </c>
      <c r="T314" s="3">
        <f t="shared" si="296"/>
        <v>1.6248048063642121E-4</v>
      </c>
      <c r="U314" s="3">
        <f t="shared" si="296"/>
        <v>1.6248047917410564E-4</v>
      </c>
      <c r="V314" s="3">
        <f t="shared" si="296"/>
        <v>1.6248046455095077E-4</v>
      </c>
      <c r="W314" s="3">
        <f t="shared" si="296"/>
        <v>1.6248031831947422E-4</v>
      </c>
      <c r="X314" s="3">
        <f t="shared" si="296"/>
        <v>1.624788560119473E-4</v>
      </c>
      <c r="Y314" s="3">
        <f t="shared" si="296"/>
        <v>1.624642336604931E-4</v>
      </c>
      <c r="Z314" s="3">
        <f t="shared" si="296"/>
        <v>1.6231808250336308E-4</v>
      </c>
      <c r="AA314" s="3">
        <f t="shared" si="296"/>
        <v>1.6086378263628273E-4</v>
      </c>
      <c r="AB314" s="3">
        <f t="shared" si="296"/>
        <v>1.4701850677406703E-4</v>
      </c>
      <c r="AC314" s="3">
        <f t="shared" si="296"/>
        <v>5.9773586449896957E-5</v>
      </c>
      <c r="AD314" s="3">
        <f t="shared" si="296"/>
        <v>7.3770442009019938E-9</v>
      </c>
      <c r="AE314" s="3">
        <f t="shared" si="296"/>
        <v>6.0480182983812715E-48</v>
      </c>
      <c r="AF314" s="3">
        <f t="shared" si="296"/>
        <v>0</v>
      </c>
      <c r="AG314" s="3"/>
      <c r="AH314" s="3"/>
    </row>
    <row r="315" spans="1:34" x14ac:dyDescent="0.25">
      <c r="B315" s="3">
        <f t="shared" ref="B315:AF315" si="297">$C45*EXP(-B$285/$A45/EXP(-$F$126))</f>
        <v>1.2901117231804357E-4</v>
      </c>
      <c r="C315" s="3">
        <f t="shared" si="297"/>
        <v>1.2901117231804357E-4</v>
      </c>
      <c r="D315" s="3">
        <f t="shared" si="297"/>
        <v>1.2901117231804357E-4</v>
      </c>
      <c r="E315" s="3">
        <f t="shared" si="297"/>
        <v>1.2901117231804357E-4</v>
      </c>
      <c r="F315" s="3">
        <f t="shared" si="297"/>
        <v>1.2901117231804357E-4</v>
      </c>
      <c r="G315" s="3">
        <f t="shared" si="297"/>
        <v>1.2901117231804357E-4</v>
      </c>
      <c r="H315" s="3">
        <f t="shared" si="297"/>
        <v>1.2901117231804357E-4</v>
      </c>
      <c r="I315" s="3">
        <f t="shared" si="297"/>
        <v>1.2901117231804357E-4</v>
      </c>
      <c r="J315" s="3">
        <f t="shared" si="297"/>
        <v>1.2901117231804357E-4</v>
      </c>
      <c r="K315" s="3">
        <f t="shared" si="297"/>
        <v>1.2901117231804357E-4</v>
      </c>
      <c r="L315" s="3">
        <f t="shared" si="297"/>
        <v>1.2901117231804357E-4</v>
      </c>
      <c r="M315" s="3">
        <f t="shared" si="297"/>
        <v>1.2901117231804357E-4</v>
      </c>
      <c r="N315" s="3">
        <f t="shared" si="297"/>
        <v>1.2901117231804354E-4</v>
      </c>
      <c r="O315" s="3">
        <f t="shared" si="297"/>
        <v>1.2901117231804344E-4</v>
      </c>
      <c r="P315" s="3">
        <f t="shared" si="297"/>
        <v>1.2901117231804227E-4</v>
      </c>
      <c r="Q315" s="3">
        <f t="shared" si="297"/>
        <v>1.2901117231803067E-4</v>
      </c>
      <c r="R315" s="3">
        <f t="shared" si="297"/>
        <v>1.2901117231791455E-4</v>
      </c>
      <c r="S315" s="3">
        <f t="shared" si="297"/>
        <v>1.2901117231675348E-4</v>
      </c>
      <c r="T315" s="3">
        <f t="shared" si="297"/>
        <v>1.2901117230514251E-4</v>
      </c>
      <c r="U315" s="3">
        <f t="shared" si="297"/>
        <v>1.2901117218903319E-4</v>
      </c>
      <c r="V315" s="3">
        <f t="shared" si="297"/>
        <v>1.2901117102793959E-4</v>
      </c>
      <c r="W315" s="3">
        <f t="shared" si="297"/>
        <v>1.2901115941700426E-4</v>
      </c>
      <c r="X315" s="3">
        <f t="shared" si="297"/>
        <v>1.2901104330770839E-4</v>
      </c>
      <c r="Y315" s="3">
        <f t="shared" si="297"/>
        <v>1.2900988222049709E-4</v>
      </c>
      <c r="Z315" s="3">
        <f t="shared" si="297"/>
        <v>1.2899827192310089E-4</v>
      </c>
      <c r="AA315" s="3">
        <f t="shared" si="297"/>
        <v>1.2888222640166798E-4</v>
      </c>
      <c r="AB315" s="3">
        <f t="shared" si="297"/>
        <v>1.2772749735463724E-4</v>
      </c>
      <c r="AC315" s="3">
        <f t="shared" si="297"/>
        <v>1.167342059680743E-4</v>
      </c>
      <c r="AD315" s="3">
        <f t="shared" si="297"/>
        <v>4.7460842210945153E-5</v>
      </c>
      <c r="AE315" s="3">
        <f t="shared" si="297"/>
        <v>5.8574489435338381E-9</v>
      </c>
      <c r="AF315" s="3">
        <f t="shared" si="297"/>
        <v>4.8021887123836345E-48</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7.3508598139721321E-5</v>
      </c>
      <c r="C317" s="3">
        <f t="shared" si="299"/>
        <v>7.3508598139721321E-5</v>
      </c>
      <c r="D317" s="3">
        <f t="shared" si="299"/>
        <v>7.3508598139721321E-5</v>
      </c>
      <c r="E317" s="3">
        <f t="shared" si="299"/>
        <v>7.3508598139721321E-5</v>
      </c>
      <c r="F317" s="3">
        <f t="shared" si="299"/>
        <v>7.3508598139721321E-5</v>
      </c>
      <c r="G317" s="3">
        <f t="shared" si="299"/>
        <v>7.3508598139721321E-5</v>
      </c>
      <c r="H317" s="3">
        <f t="shared" si="299"/>
        <v>7.3508598139721321E-5</v>
      </c>
      <c r="I317" s="3">
        <f t="shared" si="299"/>
        <v>7.3508598139721321E-5</v>
      </c>
      <c r="J317" s="3">
        <f t="shared" si="299"/>
        <v>7.3508598139721321E-5</v>
      </c>
      <c r="K317" s="3">
        <f t="shared" si="299"/>
        <v>7.3508598139721321E-5</v>
      </c>
      <c r="L317" s="3">
        <f t="shared" si="299"/>
        <v>7.3508598139721321E-5</v>
      </c>
      <c r="M317" s="3">
        <f t="shared" si="299"/>
        <v>7.3508598139721321E-5</v>
      </c>
      <c r="N317" s="3">
        <f t="shared" si="299"/>
        <v>7.3508598139721321E-5</v>
      </c>
      <c r="O317" s="3">
        <f t="shared" si="299"/>
        <v>7.3508598139721321E-5</v>
      </c>
      <c r="P317" s="3">
        <f t="shared" si="299"/>
        <v>7.3508598139721308E-5</v>
      </c>
      <c r="Q317" s="3">
        <f t="shared" si="299"/>
        <v>7.3508598139721253E-5</v>
      </c>
      <c r="R317" s="3">
        <f t="shared" si="299"/>
        <v>7.3508598139720589E-5</v>
      </c>
      <c r="S317" s="3">
        <f t="shared" si="299"/>
        <v>7.3508598139713962E-5</v>
      </c>
      <c r="T317" s="3">
        <f t="shared" si="299"/>
        <v>7.3508598139647812E-5</v>
      </c>
      <c r="U317" s="3">
        <f t="shared" si="299"/>
        <v>7.3508598138986246E-5</v>
      </c>
      <c r="V317" s="3">
        <f t="shared" si="299"/>
        <v>7.3508598132370498E-5</v>
      </c>
      <c r="W317" s="3">
        <f t="shared" si="299"/>
        <v>7.3508598066213159E-5</v>
      </c>
      <c r="X317" s="3">
        <f t="shared" si="299"/>
        <v>7.3508597404639743E-5</v>
      </c>
      <c r="Y317" s="3">
        <f t="shared" si="299"/>
        <v>7.3508590788905903E-5</v>
      </c>
      <c r="Z317" s="3">
        <f t="shared" si="299"/>
        <v>7.3508524631600168E-5</v>
      </c>
      <c r="AA317" s="3">
        <f t="shared" si="299"/>
        <v>7.3507863061817596E-5</v>
      </c>
      <c r="AB317" s="3">
        <f t="shared" si="299"/>
        <v>7.3501247691456673E-5</v>
      </c>
      <c r="AC317" s="3">
        <f t="shared" si="299"/>
        <v>7.3435126723422233E-5</v>
      </c>
      <c r="AD317" s="3">
        <f t="shared" si="299"/>
        <v>7.2777179725861511E-5</v>
      </c>
      <c r="AE317" s="3">
        <f t="shared" si="299"/>
        <v>6.6513369977853399E-5</v>
      </c>
      <c r="AF317" s="3">
        <f t="shared" si="299"/>
        <v>2.7042463956969621E-5</v>
      </c>
      <c r="AG317" s="3"/>
      <c r="AH317" s="3"/>
    </row>
    <row r="318" spans="1:34" x14ac:dyDescent="0.25">
      <c r="B318" s="3">
        <f t="shared" ref="B318:AF318" si="300">$C48*EXP(-B$285/$A48/EXP(-$F$126))</f>
        <v>6.9573660063357843E-4</v>
      </c>
      <c r="C318" s="3">
        <f t="shared" si="300"/>
        <v>6.9573660063357843E-4</v>
      </c>
      <c r="D318" s="3">
        <f t="shared" si="300"/>
        <v>6.9573660063357843E-4</v>
      </c>
      <c r="E318" s="3">
        <f t="shared" si="300"/>
        <v>6.9573660063357843E-4</v>
      </c>
      <c r="F318" s="3">
        <f t="shared" si="300"/>
        <v>6.9573660063357843E-4</v>
      </c>
      <c r="G318" s="3">
        <f t="shared" si="300"/>
        <v>6.9573660063357843E-4</v>
      </c>
      <c r="H318" s="3">
        <f t="shared" si="300"/>
        <v>6.9573660063357843E-4</v>
      </c>
      <c r="I318" s="3">
        <f t="shared" si="300"/>
        <v>6.9573660063357843E-4</v>
      </c>
      <c r="J318" s="3">
        <f t="shared" si="300"/>
        <v>6.9573660063357843E-4</v>
      </c>
      <c r="K318" s="3">
        <f t="shared" si="300"/>
        <v>6.9573660063357843E-4</v>
      </c>
      <c r="L318" s="3">
        <f t="shared" si="300"/>
        <v>6.9573660063357843E-4</v>
      </c>
      <c r="M318" s="3">
        <f t="shared" si="300"/>
        <v>6.9573660063357843E-4</v>
      </c>
      <c r="N318" s="3">
        <f t="shared" si="300"/>
        <v>6.9573660063357843E-4</v>
      </c>
      <c r="O318" s="3">
        <f t="shared" si="300"/>
        <v>6.9573660063357843E-4</v>
      </c>
      <c r="P318" s="3">
        <f t="shared" si="300"/>
        <v>6.9573660063357843E-4</v>
      </c>
      <c r="Q318" s="3">
        <f t="shared" si="300"/>
        <v>6.9573660063357832E-4</v>
      </c>
      <c r="R318" s="3">
        <f t="shared" si="300"/>
        <v>6.9573660063357778E-4</v>
      </c>
      <c r="S318" s="3">
        <f t="shared" si="300"/>
        <v>6.9573660063357149E-4</v>
      </c>
      <c r="T318" s="3">
        <f t="shared" si="300"/>
        <v>6.9573660063350883E-4</v>
      </c>
      <c r="U318" s="3">
        <f t="shared" si="300"/>
        <v>6.957366006328827E-4</v>
      </c>
      <c r="V318" s="3">
        <f t="shared" si="300"/>
        <v>6.9573660062662111E-4</v>
      </c>
      <c r="W318" s="3">
        <f t="shared" si="300"/>
        <v>6.9573660056400518E-4</v>
      </c>
      <c r="X318" s="3">
        <f t="shared" si="300"/>
        <v>6.9573659993784601E-4</v>
      </c>
      <c r="Y318" s="3">
        <f t="shared" si="300"/>
        <v>6.9573659367625407E-4</v>
      </c>
      <c r="Z318" s="3">
        <f t="shared" si="300"/>
        <v>6.9573653106033858E-4</v>
      </c>
      <c r="AA318" s="3">
        <f t="shared" si="300"/>
        <v>6.9573590490149223E-4</v>
      </c>
      <c r="AB318" s="3">
        <f t="shared" si="300"/>
        <v>6.9572964334402483E-4</v>
      </c>
      <c r="AC318" s="3">
        <f t="shared" si="300"/>
        <v>6.9566703086870469E-4</v>
      </c>
      <c r="AD318" s="3">
        <f t="shared" si="300"/>
        <v>6.9504121594779651E-4</v>
      </c>
      <c r="AE318" s="3">
        <f t="shared" si="300"/>
        <v>6.8881394704232936E-4</v>
      </c>
      <c r="AF318" s="3">
        <f t="shared" si="300"/>
        <v>6.2952888636396841E-4</v>
      </c>
      <c r="AG318" s="3"/>
      <c r="AH318" s="3"/>
    </row>
    <row r="319" spans="1:34" x14ac:dyDescent="0.25">
      <c r="A319" s="79">
        <f>AVERAGE(B319:AF319)</f>
        <v>3.3149295424211877E-4</v>
      </c>
      <c r="B319" s="80">
        <f>IF($A$64&lt;=B285,IF($B$64&gt;=B285,ABS((B287-B286)/B286),0),0)</f>
        <v>5.1210218631599471E-5</v>
      </c>
      <c r="C319" s="80">
        <f t="shared" ref="C319:AF319" si="301">IF($A$64&lt;=C285,IF($B$64&gt;=C285,ABS((C287-C286)/C286),0),0)</f>
        <v>4.1137796249151719E-5</v>
      </c>
      <c r="D319" s="80">
        <f t="shared" si="301"/>
        <v>4.3790868714875635E-5</v>
      </c>
      <c r="E319" s="80">
        <f t="shared" si="301"/>
        <v>1.9045585059446309E-5</v>
      </c>
      <c r="F319" s="80">
        <f t="shared" si="301"/>
        <v>1.9519516183855729E-4</v>
      </c>
      <c r="G319" s="80">
        <f t="shared" si="301"/>
        <v>4.5426103436209408E-5</v>
      </c>
      <c r="H319" s="80">
        <f t="shared" si="301"/>
        <v>7.7552462693244178E-6</v>
      </c>
      <c r="I319" s="80">
        <f t="shared" si="301"/>
        <v>7.8165012592710692E-6</v>
      </c>
      <c r="J319" s="80">
        <f t="shared" si="301"/>
        <v>1.723638511576288E-5</v>
      </c>
      <c r="K319" s="80">
        <f t="shared" si="301"/>
        <v>3.6511651612620595E-5</v>
      </c>
      <c r="L319" s="80">
        <f t="shared" si="301"/>
        <v>6.5043712328292293E-5</v>
      </c>
      <c r="M319" s="80">
        <f t="shared" si="301"/>
        <v>9.8718285535546473E-5</v>
      </c>
      <c r="N319" s="80">
        <f t="shared" si="301"/>
        <v>1.2706598683349216E-4</v>
      </c>
      <c r="O319" s="80">
        <f t="shared" si="301"/>
        <v>1.4123096364102557E-4</v>
      </c>
      <c r="P319" s="80">
        <f t="shared" si="301"/>
        <v>1.3414732667268103E-4</v>
      </c>
      <c r="Q319" s="80">
        <f t="shared" si="301"/>
        <v>1.0919177861328145E-4</v>
      </c>
      <c r="R319" s="80">
        <f t="shared" si="301"/>
        <v>7.9296781407583883E-5</v>
      </c>
      <c r="S319" s="80">
        <f t="shared" si="301"/>
        <v>5.9024005394541275E-5</v>
      </c>
      <c r="T319" s="80">
        <f t="shared" si="301"/>
        <v>4.1274292260858213E-5</v>
      </c>
      <c r="U319" s="80">
        <f t="shared" si="301"/>
        <v>2.7969880506307476E-5</v>
      </c>
      <c r="V319" s="80">
        <f t="shared" si="301"/>
        <v>1.3445532622569866E-5</v>
      </c>
      <c r="W319" s="80">
        <f t="shared" si="301"/>
        <v>6.7331848082633672E-6</v>
      </c>
      <c r="X319" s="80">
        <f t="shared" si="301"/>
        <v>3.3438703340888176E-5</v>
      </c>
      <c r="Y319" s="80">
        <f t="shared" si="301"/>
        <v>1.5364153675445343E-4</v>
      </c>
      <c r="Z319" s="80">
        <f t="shared" si="301"/>
        <v>3.0963190180045104E-4</v>
      </c>
      <c r="AA319" s="80">
        <f t="shared" si="301"/>
        <v>4.2877739835622553E-4</v>
      </c>
      <c r="AB319" s="80">
        <f t="shared" si="301"/>
        <v>1.1100590418967136E-3</v>
      </c>
      <c r="AC319" s="80">
        <f t="shared" si="301"/>
        <v>2.0605316053188649E-3</v>
      </c>
      <c r="AD319" s="80">
        <f t="shared" si="301"/>
        <v>2.7887290884225733E-3</v>
      </c>
      <c r="AE319" s="80">
        <f t="shared" si="301"/>
        <v>1.7950843362876017E-3</v>
      </c>
      <c r="AF319" s="80">
        <f t="shared" si="301"/>
        <v>2.281207205166479E-4</v>
      </c>
    </row>
    <row r="320" spans="1:34" x14ac:dyDescent="0.25">
      <c r="B320" s="21">
        <f>(B287-B286)^2</f>
        <v>0.13720932675682576</v>
      </c>
      <c r="C320" s="21">
        <f t="shared" ref="C320:AF320" si="302">(C287-C286)^2</f>
        <v>8.8544225941099799E-2</v>
      </c>
      <c r="D320" s="21">
        <f t="shared" si="302"/>
        <v>0.10033069121064153</v>
      </c>
      <c r="E320" s="21">
        <f t="shared" si="302"/>
        <v>1.8975151099629675E-2</v>
      </c>
      <c r="F320" s="21">
        <f t="shared" si="302"/>
        <v>1.9900220196156975</v>
      </c>
      <c r="G320" s="21">
        <f t="shared" si="302"/>
        <v>0.10637870722336826</v>
      </c>
      <c r="H320" s="21">
        <f t="shared" si="302"/>
        <v>2.9830853431329204E-3</v>
      </c>
      <c r="I320" s="21">
        <f t="shared" si="302"/>
        <v>2.906054296499024E-3</v>
      </c>
      <c r="J320" s="21">
        <f t="shared" si="302"/>
        <v>1.3449452394069321E-2</v>
      </c>
      <c r="K320" s="21">
        <f t="shared" si="302"/>
        <v>5.6718430514397712E-2</v>
      </c>
      <c r="L320" s="21">
        <f t="shared" si="302"/>
        <v>0.16918518760587645</v>
      </c>
      <c r="M320" s="21">
        <f t="shared" si="302"/>
        <v>0.35798357861025359</v>
      </c>
      <c r="N320" s="21">
        <f t="shared" si="302"/>
        <v>0.53879729275707033</v>
      </c>
      <c r="O320" s="21">
        <f t="shared" si="302"/>
        <v>0.60244381985180473</v>
      </c>
      <c r="P320" s="21">
        <f t="shared" si="302"/>
        <v>0.48446719741271499</v>
      </c>
      <c r="Q320" s="21">
        <f t="shared" si="302"/>
        <v>0.28001303020754359</v>
      </c>
      <c r="R320" s="21">
        <f t="shared" si="302"/>
        <v>0.11667234204617943</v>
      </c>
      <c r="S320" s="21">
        <f t="shared" si="302"/>
        <v>4.0849428014273999E-2</v>
      </c>
      <c r="T320" s="21">
        <f t="shared" si="302"/>
        <v>1.0289458081835824E-2</v>
      </c>
      <c r="U320" s="21">
        <f t="shared" si="302"/>
        <v>2.0302020316581293E-3</v>
      </c>
      <c r="V320" s="21">
        <f t="shared" si="302"/>
        <v>1.6065522253006772E-4</v>
      </c>
      <c r="W320" s="21">
        <f t="shared" si="302"/>
        <v>1.1806855614637519E-5</v>
      </c>
      <c r="X320" s="21">
        <f t="shared" si="302"/>
        <v>8.2340797502202109E-5</v>
      </c>
      <c r="Y320" s="21">
        <f t="shared" si="302"/>
        <v>5.4866724054554797E-4</v>
      </c>
      <c r="Z320" s="21">
        <f t="shared" si="302"/>
        <v>1.2565816695776397E-3</v>
      </c>
      <c r="AA320" s="21">
        <f t="shared" si="302"/>
        <v>1.8778757518070112E-3</v>
      </c>
      <c r="AB320" s="21">
        <f t="shared" si="302"/>
        <v>1.067129479207098E-2</v>
      </c>
      <c r="AC320" s="21">
        <f t="shared" si="302"/>
        <v>3.6431776365116561E-2</v>
      </c>
      <c r="AD320" s="21">
        <f t="shared" si="302"/>
        <v>6.4729192553942466E-2</v>
      </c>
      <c r="AE320" s="21">
        <f t="shared" si="302"/>
        <v>2.680734354213693E-2</v>
      </c>
      <c r="AF320" s="21">
        <f t="shared" si="302"/>
        <v>4.2434587293119745E-4</v>
      </c>
      <c r="AG320" s="3"/>
      <c r="AH320" s="3"/>
    </row>
    <row r="321" spans="1:34" x14ac:dyDescent="0.25">
      <c r="A321" s="71">
        <f>SUM(B321:AF321)</f>
        <v>5.2632505616783476</v>
      </c>
      <c r="B321" s="60">
        <f>IF($A$64&lt;=B285,IF($B$64&gt;=B285,ABS(B320),0),0)</f>
        <v>0.13720932675682576</v>
      </c>
      <c r="C321" s="60">
        <f t="shared" ref="C321" si="303">IF($A$64&lt;=C285,IF($B$64&gt;=C285,ABS(C320),0),0)</f>
        <v>8.8544225941099799E-2</v>
      </c>
      <c r="D321" s="60">
        <f t="shared" ref="D321" si="304">IF($A$64&lt;=D285,IF($B$64&gt;=D285,ABS(D320),0),0)</f>
        <v>0.10033069121064153</v>
      </c>
      <c r="E321" s="60">
        <f t="shared" ref="E321" si="305">IF($A$64&lt;=E285,IF($B$64&gt;=E285,ABS(E320),0),0)</f>
        <v>1.8975151099629675E-2</v>
      </c>
      <c r="F321" s="60">
        <f t="shared" ref="F321" si="306">IF($A$64&lt;=F285,IF($B$64&gt;=F285,ABS(F320),0),0)</f>
        <v>1.9900220196156975</v>
      </c>
      <c r="G321" s="60">
        <f t="shared" ref="G321" si="307">IF($A$64&lt;=G285,IF($B$64&gt;=G285,ABS(G320),0),0)</f>
        <v>0.10637870722336826</v>
      </c>
      <c r="H321" s="60">
        <f t="shared" ref="H321" si="308">IF($A$64&lt;=H285,IF($B$64&gt;=H285,ABS(H320),0),0)</f>
        <v>2.9830853431329204E-3</v>
      </c>
      <c r="I321" s="60">
        <f t="shared" ref="I321" si="309">IF($A$64&lt;=I285,IF($B$64&gt;=I285,ABS(I320),0),0)</f>
        <v>2.906054296499024E-3</v>
      </c>
      <c r="J321" s="60">
        <f t="shared" ref="J321" si="310">IF($A$64&lt;=J285,IF($B$64&gt;=J285,ABS(J320),0),0)</f>
        <v>1.3449452394069321E-2</v>
      </c>
      <c r="K321" s="60">
        <f t="shared" ref="K321" si="311">IF($A$64&lt;=K285,IF($B$64&gt;=K285,ABS(K320),0),0)</f>
        <v>5.6718430514397712E-2</v>
      </c>
      <c r="L321" s="60">
        <f t="shared" ref="L321" si="312">IF($A$64&lt;=L285,IF($B$64&gt;=L285,ABS(L320),0),0)</f>
        <v>0.16918518760587645</v>
      </c>
      <c r="M321" s="60">
        <f t="shared" ref="M321" si="313">IF($A$64&lt;=M285,IF($B$64&gt;=M285,ABS(M320),0),0)</f>
        <v>0.35798357861025359</v>
      </c>
      <c r="N321" s="60">
        <f t="shared" ref="N321" si="314">IF($A$64&lt;=N285,IF($B$64&gt;=N285,ABS(N320),0),0)</f>
        <v>0.53879729275707033</v>
      </c>
      <c r="O321" s="60">
        <f t="shared" ref="O321" si="315">IF($A$64&lt;=O285,IF($B$64&gt;=O285,ABS(O320),0),0)</f>
        <v>0.60244381985180473</v>
      </c>
      <c r="P321" s="60">
        <f t="shared" ref="P321" si="316">IF($A$64&lt;=P285,IF($B$64&gt;=P285,ABS(P320),0),0)</f>
        <v>0.48446719741271499</v>
      </c>
      <c r="Q321" s="60">
        <f t="shared" ref="Q321" si="317">IF($A$64&lt;=Q285,IF($B$64&gt;=Q285,ABS(Q320),0),0)</f>
        <v>0.28001303020754359</v>
      </c>
      <c r="R321" s="60">
        <f t="shared" ref="R321" si="318">IF($A$64&lt;=R285,IF($B$64&gt;=R285,ABS(R320),0),0)</f>
        <v>0.11667234204617943</v>
      </c>
      <c r="S321" s="60">
        <f t="shared" ref="S321" si="319">IF($A$64&lt;=S285,IF($B$64&gt;=S285,ABS(S320),0),0)</f>
        <v>4.0849428014273999E-2</v>
      </c>
      <c r="T321" s="60">
        <f t="shared" ref="T321" si="320">IF($A$64&lt;=T285,IF($B$64&gt;=T285,ABS(T320),0),0)</f>
        <v>1.0289458081835824E-2</v>
      </c>
      <c r="U321" s="60">
        <f t="shared" ref="U321" si="321">IF($A$64&lt;=U285,IF($B$64&gt;=U285,ABS(U320),0),0)</f>
        <v>2.0302020316581293E-3</v>
      </c>
      <c r="V321" s="60">
        <f t="shared" ref="V321" si="322">IF($A$64&lt;=V285,IF($B$64&gt;=V285,ABS(V320),0),0)</f>
        <v>1.6065522253006772E-4</v>
      </c>
      <c r="W321" s="60">
        <f t="shared" ref="W321" si="323">IF($A$64&lt;=W285,IF($B$64&gt;=W285,ABS(W320),0),0)</f>
        <v>1.1806855614637519E-5</v>
      </c>
      <c r="X321" s="60">
        <f t="shared" ref="X321" si="324">IF($A$64&lt;=X285,IF($B$64&gt;=X285,ABS(X320),0),0)</f>
        <v>8.2340797502202109E-5</v>
      </c>
      <c r="Y321" s="60">
        <f t="shared" ref="Y321" si="325">IF($A$64&lt;=Y285,IF($B$64&gt;=Y285,ABS(Y320),0),0)</f>
        <v>5.4866724054554797E-4</v>
      </c>
      <c r="Z321" s="60">
        <f t="shared" ref="Z321" si="326">IF($A$64&lt;=Z285,IF($B$64&gt;=Z285,ABS(Z320),0),0)</f>
        <v>1.2565816695776397E-3</v>
      </c>
      <c r="AA321" s="60">
        <f t="shared" ref="AA321" si="327">IF($A$64&lt;=AA285,IF($B$64&gt;=AA285,ABS(AA320),0),0)</f>
        <v>1.8778757518070112E-3</v>
      </c>
      <c r="AB321" s="60">
        <f t="shared" ref="AB321" si="328">IF($A$64&lt;=AB285,IF($B$64&gt;=AB285,ABS(AB320),0),0)</f>
        <v>1.067129479207098E-2</v>
      </c>
      <c r="AC321" s="60">
        <f t="shared" ref="AC321" si="329">IF($A$64&lt;=AC285,IF($B$64&gt;=AC285,ABS(AC320),0),0)</f>
        <v>3.6431776365116561E-2</v>
      </c>
      <c r="AD321" s="60">
        <f t="shared" ref="AD321" si="330">IF($A$64&lt;=AD285,IF($B$64&gt;=AD285,ABS(AD320),0),0)</f>
        <v>6.4729192553942466E-2</v>
      </c>
      <c r="AE321" s="60">
        <f t="shared" ref="AE321" si="331">IF($A$64&lt;=AE285,IF($B$64&gt;=AE285,ABS(AE320),0),0)</f>
        <v>2.680734354213693E-2</v>
      </c>
      <c r="AF321" s="60">
        <f t="shared" ref="AF321" si="332">IF($A$64&lt;=AF285,IF($B$64&gt;=AF285,ABS(AF320),0),0)</f>
        <v>4.2434587293119745E-4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6715.2134922423029</v>
      </c>
      <c r="C326" s="27">
        <f t="shared" ref="C326:AF326" si="333">($C$17+SUM(C327:C357))*$B$51</f>
        <v>6507.8411641400535</v>
      </c>
      <c r="D326" s="27">
        <f t="shared" si="333"/>
        <v>6309.0694807946566</v>
      </c>
      <c r="E326" s="27">
        <f t="shared" si="333"/>
        <v>6039.9496788050537</v>
      </c>
      <c r="F326" s="27">
        <f t="shared" si="333"/>
        <v>5757.5659980942173</v>
      </c>
      <c r="G326" s="27">
        <f t="shared" si="333"/>
        <v>5476.7135212163521</v>
      </c>
      <c r="H326" s="27">
        <f t="shared" si="333"/>
        <v>5166.4974877778495</v>
      </c>
      <c r="I326" s="27">
        <f t="shared" si="333"/>
        <v>4822.7941945041357</v>
      </c>
      <c r="J326" s="27">
        <f t="shared" si="333"/>
        <v>4257.4504968046285</v>
      </c>
      <c r="K326" s="27">
        <f t="shared" si="333"/>
        <v>3366.2422201641202</v>
      </c>
      <c r="L326" s="27">
        <f t="shared" si="333"/>
        <v>2406.8608732125999</v>
      </c>
      <c r="M326" s="27">
        <f t="shared" si="333"/>
        <v>1570.4872232310479</v>
      </c>
      <c r="N326" s="27">
        <f t="shared" si="333"/>
        <v>914.76330029368103</v>
      </c>
      <c r="O326" s="27">
        <f t="shared" si="333"/>
        <v>496.00050893292996</v>
      </c>
      <c r="P326" s="27">
        <f t="shared" si="333"/>
        <v>258.62468245591828</v>
      </c>
      <c r="Q326" s="27">
        <f t="shared" si="333"/>
        <v>147.59447157046961</v>
      </c>
      <c r="R326" s="27">
        <f t="shared" si="333"/>
        <v>113.91375921882747</v>
      </c>
      <c r="S326" s="27">
        <f t="shared" si="333"/>
        <v>99.909748767522103</v>
      </c>
      <c r="T326" s="27">
        <f t="shared" si="333"/>
        <v>93.144432382055768</v>
      </c>
      <c r="U326" s="27">
        <f t="shared" si="333"/>
        <v>92.36504595319353</v>
      </c>
      <c r="V326" s="27">
        <f t="shared" si="333"/>
        <v>91.434211147602269</v>
      </c>
      <c r="W326" s="27">
        <f t="shared" si="333"/>
        <v>91.030868299092106</v>
      </c>
      <c r="X326" s="27">
        <f t="shared" si="333"/>
        <v>90.222973259337024</v>
      </c>
      <c r="Y326" s="27">
        <f t="shared" si="333"/>
        <v>87.116461809336954</v>
      </c>
      <c r="Z326" s="27">
        <f t="shared" si="333"/>
        <v>85.50889650934235</v>
      </c>
      <c r="AA326" s="27">
        <f t="shared" si="333"/>
        <v>85.508847153107936</v>
      </c>
      <c r="AB326" s="27">
        <f t="shared" si="333"/>
        <v>85.508847153107936</v>
      </c>
      <c r="AC326" s="27">
        <f t="shared" si="333"/>
        <v>85.508847153107936</v>
      </c>
      <c r="AD326" s="27">
        <f t="shared" si="333"/>
        <v>85.508847153107936</v>
      </c>
      <c r="AE326" s="27">
        <f t="shared" si="333"/>
        <v>85.508847153107936</v>
      </c>
      <c r="AF326" s="27">
        <f t="shared" si="333"/>
        <v>85.508847153107936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2.0563793590617694E-87</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4.1158140622763761E-10</v>
      </c>
      <c r="C333" s="3">
        <f t="shared" si="340"/>
        <v>3.6401598877511167E-79</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4.9671057416835048E-3</v>
      </c>
      <c r="C334" s="3">
        <f t="shared" si="341"/>
        <v>2.9303405455387827E-9</v>
      </c>
      <c r="D334" s="3">
        <f t="shared" si="341"/>
        <v>1.4964595470044166E-71</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2.7803766867110107E-2</v>
      </c>
      <c r="C335" s="3">
        <f t="shared" si="342"/>
        <v>7.6239370445179699E-3</v>
      </c>
      <c r="D335" s="3">
        <f t="shared" si="342"/>
        <v>1.832044136956111E-8</v>
      </c>
      <c r="E335" s="3">
        <f t="shared" si="342"/>
        <v>1.1762570555431252E-64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2.3823472357547833E-2</v>
      </c>
      <c r="C336" s="3">
        <f t="shared" si="343"/>
        <v>2.1198972516183162E-2</v>
      </c>
      <c r="D336" s="3">
        <f t="shared" si="343"/>
        <v>6.5980000167919972E-3</v>
      </c>
      <c r="E336" s="3">
        <f t="shared" si="343"/>
        <v>5.628430624472439E-8</v>
      </c>
      <c r="F336" s="3">
        <f t="shared" si="343"/>
        <v>1.1485168418514455E-58</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4.5468915548889745E-2</v>
      </c>
      <c r="C337" s="3">
        <f t="shared" si="344"/>
        <v>4.4992685304030167E-2</v>
      </c>
      <c r="D337" s="3">
        <f t="shared" si="344"/>
        <v>4.0496276352554025E-2</v>
      </c>
      <c r="E337" s="3">
        <f t="shared" si="344"/>
        <v>1.4130153077126917E-2</v>
      </c>
      <c r="F337" s="3">
        <f t="shared" si="344"/>
        <v>3.779763432130673E-7</v>
      </c>
      <c r="G337" s="3">
        <f t="shared" si="344"/>
        <v>7.089933181254313E-53</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3.7428985110724747E-2</v>
      </c>
      <c r="C338" s="3">
        <f t="shared" si="345"/>
        <v>3.7393451844975945E-2</v>
      </c>
      <c r="D338" s="3">
        <f t="shared" si="345"/>
        <v>3.7039969259268869E-2</v>
      </c>
      <c r="E338" s="3">
        <f t="shared" si="345"/>
        <v>3.3683810824263159E-2</v>
      </c>
      <c r="F338" s="3">
        <f t="shared" si="345"/>
        <v>1.3029484686777599E-2</v>
      </c>
      <c r="G338" s="3">
        <f t="shared" si="345"/>
        <v>9.7720896341947776E-7</v>
      </c>
      <c r="H338" s="3">
        <f t="shared" si="345"/>
        <v>5.5028726537064923E-48</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4.1088723300388576E-2</v>
      </c>
      <c r="C339" s="3">
        <f t="shared" si="346"/>
        <v>4.1085202965852427E-2</v>
      </c>
      <c r="D339" s="3">
        <f t="shared" si="346"/>
        <v>4.1050016204758351E-2</v>
      </c>
      <c r="E339" s="3">
        <f t="shared" si="346"/>
        <v>4.0699801775108631E-2</v>
      </c>
      <c r="F339" s="3">
        <f t="shared" si="346"/>
        <v>3.7357852705987162E-2</v>
      </c>
      <c r="G339" s="3">
        <f t="shared" si="346"/>
        <v>1.5859081080464285E-2</v>
      </c>
      <c r="H339" s="3">
        <f t="shared" si="346"/>
        <v>3.0146657007728818E-6</v>
      </c>
      <c r="I339" s="3">
        <f t="shared" si="346"/>
        <v>1.8571653111097609E-43</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4.6245054861089888E-2</v>
      </c>
      <c r="C340" s="3">
        <f t="shared" si="347"/>
        <v>4.6244697431826784E-2</v>
      </c>
      <c r="D340" s="3">
        <f t="shared" si="347"/>
        <v>4.6241123291134174E-2</v>
      </c>
      <c r="E340" s="3">
        <f t="shared" si="347"/>
        <v>4.6205397073703358E-2</v>
      </c>
      <c r="F340" s="3">
        <f t="shared" si="347"/>
        <v>4.5849649514069529E-2</v>
      </c>
      <c r="G340" s="3">
        <f t="shared" si="347"/>
        <v>4.2439392059597937E-2</v>
      </c>
      <c r="H340" s="3">
        <f t="shared" si="347"/>
        <v>1.9592979895232964E-2</v>
      </c>
      <c r="I340" s="3">
        <f t="shared" si="347"/>
        <v>8.6181466670134929E-6</v>
      </c>
      <c r="J340" s="3">
        <f t="shared" si="347"/>
        <v>2.3364030283746726E-39</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4.2152467490351175E-2</v>
      </c>
      <c r="C341" s="3">
        <f t="shared" si="348"/>
        <v>4.2152438100598814E-2</v>
      </c>
      <c r="D341" s="3">
        <f t="shared" si="348"/>
        <v>4.2152144204202185E-2</v>
      </c>
      <c r="E341" s="3">
        <f t="shared" si="348"/>
        <v>4.2149205352934781E-2</v>
      </c>
      <c r="F341" s="3">
        <f t="shared" si="348"/>
        <v>4.2119828107237439E-2</v>
      </c>
      <c r="G341" s="3">
        <f t="shared" si="348"/>
        <v>4.1827179446774769E-2</v>
      </c>
      <c r="H341" s="3">
        <f t="shared" si="348"/>
        <v>3.9010226673217803E-2</v>
      </c>
      <c r="I341" s="3">
        <f t="shared" si="348"/>
        <v>1.9425733056994392E-2</v>
      </c>
      <c r="J341" s="3">
        <f t="shared" si="348"/>
        <v>1.8212385860676955E-5</v>
      </c>
      <c r="K341" s="3">
        <f t="shared" si="348"/>
        <v>9.5556692301616548E-36</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0.11273931322270161</v>
      </c>
      <c r="C342" s="3">
        <f t="shared" si="349"/>
        <v>0.11273930613190483</v>
      </c>
      <c r="D342" s="3">
        <f t="shared" si="349"/>
        <v>0.11273923522396168</v>
      </c>
      <c r="E342" s="3">
        <f t="shared" si="349"/>
        <v>0.11273852614698283</v>
      </c>
      <c r="F342" s="3">
        <f t="shared" si="349"/>
        <v>0.11273143562247681</v>
      </c>
      <c r="G342" s="3">
        <f t="shared" si="349"/>
        <v>0.11266055489993784</v>
      </c>
      <c r="H342" s="3">
        <f t="shared" si="349"/>
        <v>0.11195419422955019</v>
      </c>
      <c r="I342" s="3">
        <f t="shared" si="349"/>
        <v>0.10512964408220091</v>
      </c>
      <c r="J342" s="3">
        <f t="shared" si="349"/>
        <v>5.6049720305504203E-2</v>
      </c>
      <c r="K342" s="3">
        <f t="shared" si="349"/>
        <v>1.0400542817420143E-4</v>
      </c>
      <c r="L342" s="3">
        <f t="shared" si="349"/>
        <v>5.0336332689760966E-32</v>
      </c>
      <c r="M342" s="3">
        <f t="shared" si="349"/>
        <v>3.5492551584221345E-305</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0.14424740973335173</v>
      </c>
      <c r="C343" s="3">
        <f t="shared" si="350"/>
        <v>0.14424740891493543</v>
      </c>
      <c r="D343" s="3">
        <f t="shared" si="350"/>
        <v>0.1442474007307725</v>
      </c>
      <c r="E343" s="3">
        <f t="shared" si="350"/>
        <v>0.14424731888916881</v>
      </c>
      <c r="F343" s="3">
        <f t="shared" si="350"/>
        <v>0.1442465004756858</v>
      </c>
      <c r="G343" s="3">
        <f t="shared" si="350"/>
        <v>0.14423831659623929</v>
      </c>
      <c r="H343" s="3">
        <f t="shared" si="350"/>
        <v>0.14415650333477931</v>
      </c>
      <c r="I343" s="3">
        <f t="shared" si="350"/>
        <v>0.14334091866875773</v>
      </c>
      <c r="J343" s="3">
        <f t="shared" si="350"/>
        <v>0.13543459824447301</v>
      </c>
      <c r="K343" s="3">
        <f t="shared" si="350"/>
        <v>7.679342300427229E-2</v>
      </c>
      <c r="L343" s="3">
        <f t="shared" si="350"/>
        <v>2.6379590645878037E-4</v>
      </c>
      <c r="M343" s="3">
        <f t="shared" si="350"/>
        <v>6.0354312616595744E-29</v>
      </c>
      <c r="N343" s="3">
        <f t="shared" si="350"/>
        <v>2.3719791598367016E-275</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0.12974291068757596</v>
      </c>
      <c r="C344" s="3">
        <f t="shared" si="351"/>
        <v>0.12974291062117163</v>
      </c>
      <c r="D344" s="3">
        <f t="shared" si="351"/>
        <v>0.1297429099571282</v>
      </c>
      <c r="E344" s="3">
        <f t="shared" si="351"/>
        <v>0.12974290331669408</v>
      </c>
      <c r="F344" s="3">
        <f t="shared" si="351"/>
        <v>0.12974283691237162</v>
      </c>
      <c r="G344" s="3">
        <f t="shared" si="351"/>
        <v>0.12974217287101636</v>
      </c>
      <c r="H344" s="3">
        <f t="shared" si="351"/>
        <v>0.12973553264438681</v>
      </c>
      <c r="I344" s="3">
        <f t="shared" si="351"/>
        <v>0.129669149066858</v>
      </c>
      <c r="J344" s="3">
        <f t="shared" si="351"/>
        <v>0.12900717863397704</v>
      </c>
      <c r="K344" s="3">
        <f t="shared" si="351"/>
        <v>0.12257052395816781</v>
      </c>
      <c r="L344" s="3">
        <f t="shared" si="351"/>
        <v>7.3469603277645623E-2</v>
      </c>
      <c r="M344" s="3">
        <f t="shared" si="351"/>
        <v>4.3986987124974971E-4</v>
      </c>
      <c r="N344" s="3">
        <f t="shared" si="351"/>
        <v>2.6030914758705864E-26</v>
      </c>
      <c r="O344" s="3">
        <f t="shared" si="351"/>
        <v>1.3713287116762405E-248</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0.10714334071680788</v>
      </c>
      <c r="C345" s="3">
        <f t="shared" si="352"/>
        <v>0.10714334071186107</v>
      </c>
      <c r="D345" s="3">
        <f t="shared" si="352"/>
        <v>0.10714334066239305</v>
      </c>
      <c r="E345" s="3">
        <f t="shared" si="352"/>
        <v>0.10714334016771274</v>
      </c>
      <c r="F345" s="3">
        <f t="shared" si="352"/>
        <v>0.1071433352209098</v>
      </c>
      <c r="G345" s="3">
        <f t="shared" si="352"/>
        <v>0.10714328575289286</v>
      </c>
      <c r="H345" s="3">
        <f t="shared" si="352"/>
        <v>0.10714279107397977</v>
      </c>
      <c r="I345" s="3">
        <f t="shared" si="352"/>
        <v>0.10713784441046291</v>
      </c>
      <c r="J345" s="3">
        <f t="shared" si="352"/>
        <v>0.10708839033456213</v>
      </c>
      <c r="K345" s="3">
        <f t="shared" si="352"/>
        <v>0.1065951033594995</v>
      </c>
      <c r="L345" s="3">
        <f t="shared" si="352"/>
        <v>0.10178549637281033</v>
      </c>
      <c r="M345" s="3">
        <f t="shared" si="352"/>
        <v>6.414640727475282E-2</v>
      </c>
      <c r="N345" s="3">
        <f t="shared" si="352"/>
        <v>6.3392331050509017E-4</v>
      </c>
      <c r="O345" s="3">
        <f t="shared" si="352"/>
        <v>5.6322324063454519E-24</v>
      </c>
      <c r="P345" s="3">
        <f t="shared" si="352"/>
        <v>1.7263109258013379E-224</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7.4673320014786534E-2</v>
      </c>
      <c r="C346" s="3">
        <f t="shared" si="353"/>
        <v>7.4673320014475533E-2</v>
      </c>
      <c r="D346" s="3">
        <f t="shared" si="353"/>
        <v>7.4673320011365438E-2</v>
      </c>
      <c r="E346" s="3">
        <f t="shared" si="353"/>
        <v>7.4673319980264649E-2</v>
      </c>
      <c r="F346" s="3">
        <f t="shared" si="353"/>
        <v>7.4673319669256707E-2</v>
      </c>
      <c r="G346" s="3">
        <f t="shared" si="353"/>
        <v>7.4673316559177277E-2</v>
      </c>
      <c r="H346" s="3">
        <f t="shared" si="353"/>
        <v>7.4673285458390137E-2</v>
      </c>
      <c r="I346" s="3">
        <f t="shared" si="353"/>
        <v>7.4672974451231167E-2</v>
      </c>
      <c r="J346" s="3">
        <f t="shared" si="353"/>
        <v>7.4669864450882931E-2</v>
      </c>
      <c r="K346" s="3">
        <f t="shared" si="353"/>
        <v>7.4638771570448278E-2</v>
      </c>
      <c r="L346" s="3">
        <f t="shared" si="353"/>
        <v>7.4328553974418274E-2</v>
      </c>
      <c r="M346" s="3">
        <f t="shared" si="353"/>
        <v>7.1296414963567756E-2</v>
      </c>
      <c r="N346" s="3">
        <f t="shared" si="353"/>
        <v>4.7009732388824062E-2</v>
      </c>
      <c r="O346" s="3">
        <f t="shared" si="353"/>
        <v>7.3011058116499922E-4</v>
      </c>
      <c r="P346" s="3">
        <f t="shared" si="353"/>
        <v>5.9620728558843902E-22</v>
      </c>
      <c r="Q346" s="3">
        <f t="shared" si="353"/>
        <v>7.8611057966030759E-203</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2.5720461590380977E-2</v>
      </c>
      <c r="C347" s="3">
        <f t="shared" si="354"/>
        <v>2.5720461590371311E-2</v>
      </c>
      <c r="D347" s="3">
        <f t="shared" si="354"/>
        <v>2.5720461590274676E-2</v>
      </c>
      <c r="E347" s="3">
        <f t="shared" si="354"/>
        <v>2.5720461589308335E-2</v>
      </c>
      <c r="F347" s="3">
        <f t="shared" si="354"/>
        <v>2.5720461579644902E-2</v>
      </c>
      <c r="G347" s="3">
        <f t="shared" si="354"/>
        <v>2.5720461483010586E-2</v>
      </c>
      <c r="H347" s="3">
        <f t="shared" si="354"/>
        <v>2.5720460516667442E-2</v>
      </c>
      <c r="I347" s="3">
        <f t="shared" si="354"/>
        <v>2.5720450853237993E-2</v>
      </c>
      <c r="J347" s="3">
        <f t="shared" si="354"/>
        <v>2.5720354219143197E-2</v>
      </c>
      <c r="K347" s="3">
        <f t="shared" si="354"/>
        <v>2.5719387898163495E-2</v>
      </c>
      <c r="L347" s="3">
        <f t="shared" si="354"/>
        <v>2.5709726684913819E-2</v>
      </c>
      <c r="M347" s="3">
        <f t="shared" si="354"/>
        <v>2.5613313929884526E-2</v>
      </c>
      <c r="N347" s="3">
        <f t="shared" si="354"/>
        <v>2.4668849729749958E-2</v>
      </c>
      <c r="O347" s="3">
        <f t="shared" si="354"/>
        <v>1.6942604368323236E-2</v>
      </c>
      <c r="P347" s="3">
        <f t="shared" si="354"/>
        <v>3.9563332959579938E-4</v>
      </c>
      <c r="Q347" s="3">
        <f t="shared" si="354"/>
        <v>1.9073038480491432E-20</v>
      </c>
      <c r="R347" s="3">
        <f t="shared" si="354"/>
        <v>1.2932724455569829E-183</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2.41413048593512E-2</v>
      </c>
      <c r="C348" s="3">
        <f t="shared" si="355"/>
        <v>2.4141304859348692E-2</v>
      </c>
      <c r="D348" s="3">
        <f t="shared" si="355"/>
        <v>2.4141304859323604E-2</v>
      </c>
      <c r="E348" s="3">
        <f t="shared" si="355"/>
        <v>2.4141304859072749E-2</v>
      </c>
      <c r="F348" s="3">
        <f t="shared" si="355"/>
        <v>2.4141304856564176E-2</v>
      </c>
      <c r="G348" s="3">
        <f t="shared" si="355"/>
        <v>2.4141304831478479E-2</v>
      </c>
      <c r="H348" s="3">
        <f t="shared" si="355"/>
        <v>2.414130458062148E-2</v>
      </c>
      <c r="I348" s="3">
        <f t="shared" si="355"/>
        <v>2.4141302072051642E-2</v>
      </c>
      <c r="J348" s="3">
        <f t="shared" si="355"/>
        <v>2.4141276986367598E-2</v>
      </c>
      <c r="K348" s="3">
        <f t="shared" si="355"/>
        <v>2.4141026130960839E-2</v>
      </c>
      <c r="L348" s="3">
        <f t="shared" si="355"/>
        <v>2.4138517720255832E-2</v>
      </c>
      <c r="M348" s="3">
        <f t="shared" si="355"/>
        <v>2.4113447943954574E-2</v>
      </c>
      <c r="N348" s="3">
        <f t="shared" si="355"/>
        <v>2.3864177761299715E-2</v>
      </c>
      <c r="O348" s="3">
        <f t="shared" si="355"/>
        <v>2.1508894534304497E-2</v>
      </c>
      <c r="P348" s="3">
        <f t="shared" si="355"/>
        <v>7.6091165634250574E-3</v>
      </c>
      <c r="Q348" s="3">
        <f t="shared" si="355"/>
        <v>2.3361230099664871E-7</v>
      </c>
      <c r="R348" s="3">
        <f t="shared" si="355"/>
        <v>1.7382426718978139E-52</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1.2214190227025459E-2</v>
      </c>
      <c r="C349" s="3">
        <f t="shared" si="356"/>
        <v>1.2214190227025332E-2</v>
      </c>
      <c r="D349" s="3">
        <f t="shared" si="356"/>
        <v>1.2214190227024063E-2</v>
      </c>
      <c r="E349" s="3">
        <f t="shared" si="356"/>
        <v>1.221419022701137E-2</v>
      </c>
      <c r="F349" s="3">
        <f t="shared" si="356"/>
        <v>1.221419022688445E-2</v>
      </c>
      <c r="G349" s="3">
        <f t="shared" si="356"/>
        <v>1.221419022561525E-2</v>
      </c>
      <c r="H349" s="3">
        <f t="shared" si="356"/>
        <v>1.2214190212923247E-2</v>
      </c>
      <c r="I349" s="3">
        <f t="shared" si="356"/>
        <v>1.2214190086003218E-2</v>
      </c>
      <c r="J349" s="3">
        <f t="shared" si="356"/>
        <v>1.221418881680301E-2</v>
      </c>
      <c r="K349" s="3">
        <f t="shared" si="356"/>
        <v>1.2214176124808162E-2</v>
      </c>
      <c r="L349" s="3">
        <f t="shared" si="356"/>
        <v>1.221404920558505E-2</v>
      </c>
      <c r="M349" s="3">
        <f t="shared" si="356"/>
        <v>1.2212780085887628E-2</v>
      </c>
      <c r="N349" s="3">
        <f t="shared" si="356"/>
        <v>1.2200096139494652E-2</v>
      </c>
      <c r="O349" s="3">
        <f t="shared" si="356"/>
        <v>1.2073978953758006E-2</v>
      </c>
      <c r="P349" s="3">
        <f t="shared" si="356"/>
        <v>1.0882333450723054E-2</v>
      </c>
      <c r="Q349" s="3">
        <f t="shared" si="356"/>
        <v>3.8498000711540939E-3</v>
      </c>
      <c r="R349" s="3">
        <f t="shared" si="356"/>
        <v>1.1819514729506846E-7</v>
      </c>
      <c r="S349" s="3">
        <f t="shared" si="356"/>
        <v>8.7945646596102311E-53</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8.0564872453676778E-4</v>
      </c>
      <c r="C350" s="3">
        <f t="shared" si="357"/>
        <v>8.0564872453676702E-4</v>
      </c>
      <c r="D350" s="3">
        <f t="shared" si="357"/>
        <v>8.0564872453675856E-4</v>
      </c>
      <c r="E350" s="3">
        <f t="shared" si="357"/>
        <v>8.0564872453667486E-4</v>
      </c>
      <c r="F350" s="3">
        <f t="shared" si="357"/>
        <v>8.0564872453583764E-4</v>
      </c>
      <c r="G350" s="3">
        <f t="shared" si="357"/>
        <v>8.0564872452746608E-4</v>
      </c>
      <c r="H350" s="3">
        <f t="shared" si="357"/>
        <v>8.0564872444374952E-4</v>
      </c>
      <c r="I350" s="3">
        <f t="shared" si="357"/>
        <v>8.0564872360658422E-4</v>
      </c>
      <c r="J350" s="3">
        <f t="shared" si="357"/>
        <v>8.0564871523493146E-4</v>
      </c>
      <c r="K350" s="3">
        <f t="shared" si="357"/>
        <v>8.0564863151840903E-4</v>
      </c>
      <c r="L350" s="3">
        <f t="shared" si="357"/>
        <v>8.0564779435366286E-4</v>
      </c>
      <c r="M350" s="3">
        <f t="shared" si="357"/>
        <v>8.0563942275404653E-4</v>
      </c>
      <c r="N350" s="3">
        <f t="shared" si="357"/>
        <v>8.055557115422096E-4</v>
      </c>
      <c r="O350" s="3">
        <f t="shared" si="357"/>
        <v>8.0471907767261548E-4</v>
      </c>
      <c r="P350" s="3">
        <f t="shared" si="357"/>
        <v>7.9640038048988456E-4</v>
      </c>
      <c r="Q350" s="3">
        <f t="shared" si="357"/>
        <v>7.1779937119040153E-4</v>
      </c>
      <c r="R350" s="3">
        <f t="shared" si="357"/>
        <v>2.5393304504003818E-4</v>
      </c>
      <c r="S350" s="3">
        <f t="shared" si="357"/>
        <v>7.796159049006165E-9</v>
      </c>
      <c r="T350" s="3">
        <f t="shared" si="357"/>
        <v>5.8009001572563598E-54</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2.8733708973087426E-3</v>
      </c>
      <c r="C351" s="3">
        <f t="shared" si="358"/>
        <v>2.8733708973087422E-3</v>
      </c>
      <c r="D351" s="3">
        <f t="shared" si="358"/>
        <v>2.8733708973087396E-3</v>
      </c>
      <c r="E351" s="3">
        <f t="shared" si="358"/>
        <v>2.8733708973087092E-3</v>
      </c>
      <c r="F351" s="3">
        <f t="shared" si="358"/>
        <v>2.8733708973084108E-3</v>
      </c>
      <c r="G351" s="3">
        <f t="shared" si="358"/>
        <v>2.8733708973054249E-3</v>
      </c>
      <c r="H351" s="3">
        <f t="shared" si="358"/>
        <v>2.8733708972755673E-3</v>
      </c>
      <c r="I351" s="3">
        <f t="shared" si="358"/>
        <v>2.8733708969769897E-3</v>
      </c>
      <c r="J351" s="3">
        <f t="shared" si="358"/>
        <v>2.873370893991214E-3</v>
      </c>
      <c r="K351" s="3">
        <f t="shared" si="358"/>
        <v>2.8733708641334576E-3</v>
      </c>
      <c r="L351" s="3">
        <f t="shared" si="358"/>
        <v>2.8733705655559117E-3</v>
      </c>
      <c r="M351" s="3">
        <f t="shared" si="358"/>
        <v>2.8733675797821562E-3</v>
      </c>
      <c r="N351" s="3">
        <f t="shared" si="358"/>
        <v>2.8733377222152426E-3</v>
      </c>
      <c r="O351" s="3">
        <f t="shared" si="358"/>
        <v>2.873039163609556E-3</v>
      </c>
      <c r="P351" s="3">
        <f t="shared" si="358"/>
        <v>2.8700552832416244E-3</v>
      </c>
      <c r="Q351" s="3">
        <f t="shared" si="358"/>
        <v>2.8403863944810462E-3</v>
      </c>
      <c r="R351" s="3">
        <f t="shared" si="358"/>
        <v>2.5600534829505433E-3</v>
      </c>
      <c r="S351" s="3">
        <f t="shared" si="358"/>
        <v>9.0565999704470045E-4</v>
      </c>
      <c r="T351" s="3">
        <f t="shared" si="358"/>
        <v>2.7805240472620125E-8</v>
      </c>
      <c r="U351" s="3">
        <f t="shared" si="358"/>
        <v>2.0689088410880292E-53</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1.6248048079890072E-4</v>
      </c>
      <c r="C353" s="3">
        <f t="shared" si="360"/>
        <v>1.6248048079890072E-4</v>
      </c>
      <c r="D353" s="3">
        <f t="shared" si="360"/>
        <v>1.6248048079890072E-4</v>
      </c>
      <c r="E353" s="3">
        <f t="shared" si="360"/>
        <v>1.624804807989007E-4</v>
      </c>
      <c r="F353" s="3">
        <f t="shared" si="360"/>
        <v>1.6248048079890053E-4</v>
      </c>
      <c r="G353" s="3">
        <f t="shared" si="360"/>
        <v>1.6248048079889885E-4</v>
      </c>
      <c r="H353" s="3">
        <f t="shared" si="360"/>
        <v>1.6248048079888197E-4</v>
      </c>
      <c r="I353" s="3">
        <f t="shared" si="360"/>
        <v>1.6248048079871313E-4</v>
      </c>
      <c r="J353" s="3">
        <f t="shared" si="360"/>
        <v>1.6248048079702475E-4</v>
      </c>
      <c r="K353" s="3">
        <f t="shared" si="360"/>
        <v>1.624804807801411E-4</v>
      </c>
      <c r="L353" s="3">
        <f t="shared" si="360"/>
        <v>1.6248048061130447E-4</v>
      </c>
      <c r="M353" s="3">
        <f t="shared" si="360"/>
        <v>1.6248047892293815E-4</v>
      </c>
      <c r="N353" s="3">
        <f t="shared" si="360"/>
        <v>1.6248046203927609E-4</v>
      </c>
      <c r="O353" s="3">
        <f t="shared" si="360"/>
        <v>1.6248029320275177E-4</v>
      </c>
      <c r="P353" s="3">
        <f t="shared" si="360"/>
        <v>1.6247860484715795E-4</v>
      </c>
      <c r="Q353" s="3">
        <f t="shared" si="360"/>
        <v>1.6246172225610643E-4</v>
      </c>
      <c r="R353" s="3">
        <f t="shared" si="360"/>
        <v>1.6229299279716956E-4</v>
      </c>
      <c r="S353" s="3">
        <f t="shared" si="360"/>
        <v>1.6061530638533078E-4</v>
      </c>
      <c r="T353" s="3">
        <f t="shared" si="360"/>
        <v>1.447633235132645E-4</v>
      </c>
      <c r="U353" s="3">
        <f t="shared" si="360"/>
        <v>5.1212348499102416E-5</v>
      </c>
      <c r="V353" s="3">
        <f t="shared" si="360"/>
        <v>1.5723027072320677E-9</v>
      </c>
      <c r="W353" s="3">
        <f t="shared" si="360"/>
        <v>1.1699057143786457E-54</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1.2901117231804357E-4</v>
      </c>
      <c r="C354" s="3">
        <f t="shared" si="361"/>
        <v>1.2901117231804357E-4</v>
      </c>
      <c r="D354" s="3">
        <f t="shared" si="361"/>
        <v>1.2901117231804357E-4</v>
      </c>
      <c r="E354" s="3">
        <f t="shared" si="361"/>
        <v>1.2901117231804357E-4</v>
      </c>
      <c r="F354" s="3">
        <f t="shared" si="361"/>
        <v>1.2901117231804354E-4</v>
      </c>
      <c r="G354" s="3">
        <f t="shared" si="361"/>
        <v>1.2901117231804344E-4</v>
      </c>
      <c r="H354" s="3">
        <f t="shared" si="361"/>
        <v>1.2901117231804208E-4</v>
      </c>
      <c r="I354" s="3">
        <f t="shared" si="361"/>
        <v>1.2901117231802866E-4</v>
      </c>
      <c r="J354" s="3">
        <f t="shared" si="361"/>
        <v>1.290111723178946E-4</v>
      </c>
      <c r="K354" s="3">
        <f t="shared" si="361"/>
        <v>1.2901117231655404E-4</v>
      </c>
      <c r="L354" s="3">
        <f t="shared" si="361"/>
        <v>1.2901117230314823E-4</v>
      </c>
      <c r="M354" s="3">
        <f t="shared" si="361"/>
        <v>1.2901117216909021E-4</v>
      </c>
      <c r="N354" s="3">
        <f t="shared" si="361"/>
        <v>1.2901117082851E-4</v>
      </c>
      <c r="O354" s="3">
        <f t="shared" si="361"/>
        <v>1.2901115742270874E-4</v>
      </c>
      <c r="P354" s="3">
        <f t="shared" si="361"/>
        <v>1.2901102336477252E-4</v>
      </c>
      <c r="Q354" s="3">
        <f t="shared" si="361"/>
        <v>1.29009682793072E-4</v>
      </c>
      <c r="R354" s="3">
        <f t="shared" si="361"/>
        <v>1.2899627784219658E-4</v>
      </c>
      <c r="S354" s="3">
        <f t="shared" si="361"/>
        <v>1.2886230491698729E-4</v>
      </c>
      <c r="T354" s="3">
        <f t="shared" si="361"/>
        <v>1.2753020465664121E-4</v>
      </c>
      <c r="U354" s="3">
        <f t="shared" si="361"/>
        <v>1.1494356727204374E-4</v>
      </c>
      <c r="V354" s="3">
        <f t="shared" si="361"/>
        <v>4.0663131254558065E-5</v>
      </c>
      <c r="W354" s="3">
        <f t="shared" si="361"/>
        <v>1.2484245153724032E-9</v>
      </c>
      <c r="X354" s="3">
        <f t="shared" si="361"/>
        <v>9.289171657509551E-55</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7.3508598139721321E-5</v>
      </c>
      <c r="C356" s="3">
        <f t="shared" si="363"/>
        <v>7.3508598139721321E-5</v>
      </c>
      <c r="D356" s="3">
        <f t="shared" si="363"/>
        <v>7.3508598139721321E-5</v>
      </c>
      <c r="E356" s="3">
        <f t="shared" si="363"/>
        <v>7.3508598139721321E-5</v>
      </c>
      <c r="F356" s="3">
        <f t="shared" si="363"/>
        <v>7.3508598139721321E-5</v>
      </c>
      <c r="G356" s="3">
        <f t="shared" si="363"/>
        <v>7.3508598139721321E-5</v>
      </c>
      <c r="H356" s="3">
        <f t="shared" si="363"/>
        <v>7.3508598139721308E-5</v>
      </c>
      <c r="I356" s="3">
        <f t="shared" si="363"/>
        <v>7.350859813972124E-5</v>
      </c>
      <c r="J356" s="3">
        <f t="shared" si="363"/>
        <v>7.3508598139720467E-5</v>
      </c>
      <c r="K356" s="3">
        <f t="shared" si="363"/>
        <v>7.3508598139712837E-5</v>
      </c>
      <c r="L356" s="3">
        <f t="shared" si="363"/>
        <v>7.3508598139636442E-5</v>
      </c>
      <c r="M356" s="3">
        <f t="shared" si="363"/>
        <v>7.3508598138872608E-5</v>
      </c>
      <c r="N356" s="3">
        <f t="shared" si="363"/>
        <v>7.3508598131234186E-5</v>
      </c>
      <c r="O356" s="3">
        <f t="shared" si="363"/>
        <v>7.3508598054849975E-5</v>
      </c>
      <c r="P356" s="3">
        <f t="shared" si="363"/>
        <v>7.350859729100782E-5</v>
      </c>
      <c r="Q356" s="3">
        <f t="shared" si="363"/>
        <v>7.3508589652586728E-5</v>
      </c>
      <c r="R356" s="3">
        <f t="shared" si="363"/>
        <v>7.3508513268419508E-5</v>
      </c>
      <c r="S356" s="3">
        <f t="shared" si="363"/>
        <v>7.3507749431112694E-5</v>
      </c>
      <c r="T356" s="3">
        <f t="shared" si="363"/>
        <v>7.3500111494573717E-5</v>
      </c>
      <c r="U356" s="3">
        <f t="shared" si="363"/>
        <v>7.3423775765319718E-5</v>
      </c>
      <c r="V356" s="3">
        <f t="shared" si="363"/>
        <v>7.2664765355909597E-5</v>
      </c>
      <c r="W356" s="3">
        <f t="shared" si="363"/>
        <v>6.5493091362018094E-5</v>
      </c>
      <c r="X356" s="3">
        <f t="shared" si="363"/>
        <v>2.3169231941596698E-5</v>
      </c>
      <c r="Y356" s="3">
        <f t="shared" si="363"/>
        <v>7.1133324625600143E-10</v>
      </c>
      <c r="Z356" s="3">
        <f t="shared" si="363"/>
        <v>5.2928283198559622E-55</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6.9573660063357843E-4</v>
      </c>
      <c r="C357" s="3">
        <f t="shared" si="364"/>
        <v>6.9573660063357843E-4</v>
      </c>
      <c r="D357" s="3">
        <f t="shared" si="364"/>
        <v>6.9573660063357843E-4</v>
      </c>
      <c r="E357" s="3">
        <f t="shared" si="364"/>
        <v>6.9573660063357843E-4</v>
      </c>
      <c r="F357" s="3">
        <f t="shared" si="364"/>
        <v>6.9573660063357843E-4</v>
      </c>
      <c r="G357" s="3">
        <f t="shared" si="364"/>
        <v>6.9573660063357843E-4</v>
      </c>
      <c r="H357" s="3">
        <f t="shared" si="364"/>
        <v>6.9573660063357843E-4</v>
      </c>
      <c r="I357" s="3">
        <f t="shared" si="364"/>
        <v>6.9573660063357832E-4</v>
      </c>
      <c r="J357" s="3">
        <f t="shared" si="364"/>
        <v>6.9573660063357767E-4</v>
      </c>
      <c r="K357" s="3">
        <f t="shared" si="364"/>
        <v>6.9573660063357041E-4</v>
      </c>
      <c r="L357" s="3">
        <f t="shared" si="364"/>
        <v>6.9573660063349809E-4</v>
      </c>
      <c r="M357" s="3">
        <f t="shared" si="364"/>
        <v>6.9573660063277515E-4</v>
      </c>
      <c r="N357" s="3">
        <f t="shared" si="364"/>
        <v>6.9573660062554558E-4</v>
      </c>
      <c r="O357" s="3">
        <f t="shared" si="364"/>
        <v>6.9573660055325022E-4</v>
      </c>
      <c r="P357" s="3">
        <f t="shared" si="364"/>
        <v>6.9573659983029684E-4</v>
      </c>
      <c r="Q357" s="3">
        <f t="shared" si="364"/>
        <v>6.9573659260076237E-4</v>
      </c>
      <c r="R357" s="3">
        <f t="shared" si="364"/>
        <v>6.9573652030542198E-4</v>
      </c>
      <c r="S357" s="3">
        <f t="shared" si="364"/>
        <v>6.9573579735243154E-4</v>
      </c>
      <c r="T357" s="3">
        <f t="shared" si="364"/>
        <v>6.9572856786384487E-4</v>
      </c>
      <c r="U357" s="3">
        <f t="shared" si="364"/>
        <v>6.9565627710959353E-4</v>
      </c>
      <c r="V357" s="3">
        <f t="shared" si="364"/>
        <v>6.9493378256987837E-4</v>
      </c>
      <c r="W357" s="3">
        <f t="shared" si="364"/>
        <v>6.8774997910399306E-4</v>
      </c>
      <c r="X357" s="3">
        <f t="shared" si="364"/>
        <v>6.1987225851573816E-4</v>
      </c>
      <c r="Y357" s="3">
        <f t="shared" si="364"/>
        <v>2.1928975763757535E-4</v>
      </c>
      <c r="Z357" s="3">
        <f t="shared" si="364"/>
        <v>6.7325535677760756E-9</v>
      </c>
      <c r="AA357" s="3">
        <f t="shared" si="364"/>
        <v>5.0095015769371356E-54</v>
      </c>
      <c r="AB357" s="3">
        <f t="shared" si="364"/>
        <v>0</v>
      </c>
      <c r="AC357" s="3">
        <f t="shared" si="364"/>
        <v>0</v>
      </c>
      <c r="AD357" s="3">
        <f t="shared" si="364"/>
        <v>0</v>
      </c>
      <c r="AE357" s="3">
        <f t="shared" si="364"/>
        <v>0</v>
      </c>
      <c r="AF357" s="3">
        <f t="shared" si="364"/>
        <v>0</v>
      </c>
      <c r="AG357" s="3"/>
      <c r="AH357" s="3"/>
    </row>
    <row r="358" spans="1:34" x14ac:dyDescent="0.25">
      <c r="A358" s="79">
        <f>AVERAGE(B358:AF358)</f>
        <v>0.13948647874902148</v>
      </c>
      <c r="B358" s="80">
        <f>IF($A$64&lt;=B324,IF($B$64&gt;=B324,ABS((B326-B325)/B325),0),0)</f>
        <v>1.9659374878241438E-2</v>
      </c>
      <c r="C358" s="80">
        <f t="shared" ref="C358:AF358" si="365">IF($A$64&lt;=C324,IF($B$64&gt;=C324,ABS((C326-C325)/C325),0),0)</f>
        <v>2.7383676917234603E-2</v>
      </c>
      <c r="D358" s="80">
        <f t="shared" si="365"/>
        <v>3.4661855737065449E-2</v>
      </c>
      <c r="E358" s="80">
        <f t="shared" si="365"/>
        <v>3.6840368532473307E-2</v>
      </c>
      <c r="F358" s="80">
        <f t="shared" si="365"/>
        <v>3.7972846623225948E-2</v>
      </c>
      <c r="G358" s="80">
        <f t="shared" si="365"/>
        <v>4.1728576834402703E-2</v>
      </c>
      <c r="H358" s="80">
        <f t="shared" si="365"/>
        <v>4.5130015113237124E-2</v>
      </c>
      <c r="I358" s="80">
        <f t="shared" si="365"/>
        <v>5.4562303682200441E-2</v>
      </c>
      <c r="J358" s="80">
        <f t="shared" si="365"/>
        <v>4.3678479721682442E-2</v>
      </c>
      <c r="K358" s="80">
        <f t="shared" si="365"/>
        <v>2.6886625899410765E-2</v>
      </c>
      <c r="L358" s="80">
        <f t="shared" si="365"/>
        <v>0.10953126212317049</v>
      </c>
      <c r="M358" s="80">
        <f t="shared" si="365"/>
        <v>0.14281820192651931</v>
      </c>
      <c r="N358" s="80">
        <f t="shared" si="365"/>
        <v>0.17226466648683042</v>
      </c>
      <c r="O358" s="80">
        <f t="shared" si="365"/>
        <v>0.21384401163196415</v>
      </c>
      <c r="P358" s="80">
        <f t="shared" si="365"/>
        <v>0.27001442463240305</v>
      </c>
      <c r="Q358" s="80">
        <f t="shared" si="365"/>
        <v>0.40539689726157935</v>
      </c>
      <c r="R358" s="80">
        <f t="shared" si="365"/>
        <v>0.46911856877433017</v>
      </c>
      <c r="S358" s="80">
        <f t="shared" si="365"/>
        <v>0.46205810917986101</v>
      </c>
      <c r="T358" s="80">
        <f t="shared" si="365"/>
        <v>0.41083841858965636</v>
      </c>
      <c r="U358" s="80">
        <f t="shared" si="365"/>
        <v>0.3027162433573794</v>
      </c>
      <c r="V358" s="80">
        <f t="shared" si="365"/>
        <v>0.20934552287870833</v>
      </c>
      <c r="W358" s="80">
        <f t="shared" si="365"/>
        <v>0.13880886862603947</v>
      </c>
      <c r="X358" s="80">
        <f t="shared" si="365"/>
        <v>9.5681816955213522E-2</v>
      </c>
      <c r="Y358" s="80">
        <f t="shared" si="365"/>
        <v>9.4059525793717749E-2</v>
      </c>
      <c r="Z358" s="80">
        <f t="shared" si="365"/>
        <v>8.9001340983525176E-2</v>
      </c>
      <c r="AA358" s="80">
        <f t="shared" si="365"/>
        <v>7.4390799086525169E-2</v>
      </c>
      <c r="AB358" s="80">
        <f t="shared" si="365"/>
        <v>7.1832628463135803E-2</v>
      </c>
      <c r="AC358" s="80">
        <f t="shared" si="365"/>
        <v>6.1232297016578147E-2</v>
      </c>
      <c r="AD358" s="80">
        <f t="shared" si="365"/>
        <v>5.917068359793657E-2</v>
      </c>
      <c r="AE358" s="80">
        <f t="shared" si="365"/>
        <v>5.2956457615910175E-2</v>
      </c>
      <c r="AF358" s="80">
        <f t="shared" si="365"/>
        <v>5.0495972299508474E-2</v>
      </c>
    </row>
    <row r="359" spans="1:34" x14ac:dyDescent="0.25">
      <c r="B359" s="21">
        <f>(B326-B325)^2</f>
        <v>16762.887260680222</v>
      </c>
      <c r="C359" s="21">
        <f t="shared" ref="C359:AF359" si="366">(C326-C325)^2</f>
        <v>30087.91482078538</v>
      </c>
      <c r="D359" s="21">
        <f t="shared" si="366"/>
        <v>44672.202396409244</v>
      </c>
      <c r="E359" s="21">
        <f t="shared" si="366"/>
        <v>46056.483663018022</v>
      </c>
      <c r="F359" s="21">
        <f t="shared" si="366"/>
        <v>44366.194115056831</v>
      </c>
      <c r="G359" s="21">
        <f t="shared" si="366"/>
        <v>48128.024869155779</v>
      </c>
      <c r="H359" s="21">
        <f t="shared" si="366"/>
        <v>49771.732938029985</v>
      </c>
      <c r="I359" s="21">
        <f t="shared" si="366"/>
        <v>62264.193880726307</v>
      </c>
      <c r="J359" s="21">
        <f t="shared" si="366"/>
        <v>31746.860559417586</v>
      </c>
      <c r="K359" s="21">
        <f t="shared" si="366"/>
        <v>8650.4052101303605</v>
      </c>
      <c r="L359" s="21">
        <f t="shared" si="366"/>
        <v>87647.756456104573</v>
      </c>
      <c r="M359" s="21">
        <f t="shared" si="366"/>
        <v>68468.380629008228</v>
      </c>
      <c r="N359" s="21">
        <f t="shared" si="366"/>
        <v>36243.229746704092</v>
      </c>
      <c r="O359" s="21">
        <f t="shared" si="366"/>
        <v>18202.916480388809</v>
      </c>
      <c r="P359" s="21">
        <f t="shared" si="366"/>
        <v>9151.3531484723408</v>
      </c>
      <c r="Q359" s="21">
        <f t="shared" si="366"/>
        <v>10126.204171292924</v>
      </c>
      <c r="R359" s="21">
        <f t="shared" si="366"/>
        <v>10132.638415071955</v>
      </c>
      <c r="S359" s="21">
        <f t="shared" si="366"/>
        <v>7364.4140289008965</v>
      </c>
      <c r="T359" s="21">
        <f t="shared" si="366"/>
        <v>4218.7817654288074</v>
      </c>
      <c r="U359" s="21">
        <f t="shared" si="366"/>
        <v>1607.9319139239051</v>
      </c>
      <c r="V359" s="21">
        <f t="shared" si="366"/>
        <v>586.09947246619799</v>
      </c>
      <c r="W359" s="21">
        <f t="shared" si="366"/>
        <v>215.28446988232443</v>
      </c>
      <c r="X359" s="21">
        <f t="shared" si="366"/>
        <v>91.127733974873735</v>
      </c>
      <c r="Y359" s="21">
        <f t="shared" si="366"/>
        <v>81.810058092605701</v>
      </c>
      <c r="Z359" s="21">
        <f t="shared" si="366"/>
        <v>69.787915869597057</v>
      </c>
      <c r="AA359" s="21">
        <f t="shared" si="366"/>
        <v>47.228616539682058</v>
      </c>
      <c r="AB359" s="21">
        <f t="shared" si="366"/>
        <v>43.793839686376302</v>
      </c>
      <c r="AC359" s="21">
        <f t="shared" si="366"/>
        <v>31.107630069387355</v>
      </c>
      <c r="AD359" s="21">
        <f t="shared" si="366"/>
        <v>28.921019121598381</v>
      </c>
      <c r="AE359" s="21">
        <f t="shared" si="366"/>
        <v>22.86230746496102</v>
      </c>
      <c r="AF359" s="21">
        <f t="shared" si="366"/>
        <v>20.679591604593217</v>
      </c>
      <c r="AG359" s="3"/>
      <c r="AH359" s="3"/>
    </row>
    <row r="360" spans="1:34" x14ac:dyDescent="0.25">
      <c r="A360" s="71">
        <f>SUM(B360:AF360)</f>
        <v>636909.20912347885</v>
      </c>
      <c r="B360" s="60">
        <f>IF($A$64&lt;=B324,IF($B$64&gt;=B324,ABS(B359),0),0)</f>
        <v>16762.887260680222</v>
      </c>
      <c r="C360" s="60">
        <f t="shared" ref="C360:AF360" si="367">IF($A$64&lt;=C324,IF($B$64&gt;=C324,ABS(C359),0),0)</f>
        <v>30087.91482078538</v>
      </c>
      <c r="D360" s="60">
        <f t="shared" si="367"/>
        <v>44672.202396409244</v>
      </c>
      <c r="E360" s="60">
        <f t="shared" si="367"/>
        <v>46056.483663018022</v>
      </c>
      <c r="F360" s="60">
        <f t="shared" si="367"/>
        <v>44366.194115056831</v>
      </c>
      <c r="G360" s="60">
        <f t="shared" si="367"/>
        <v>48128.024869155779</v>
      </c>
      <c r="H360" s="60">
        <f t="shared" si="367"/>
        <v>49771.732938029985</v>
      </c>
      <c r="I360" s="60">
        <f t="shared" si="367"/>
        <v>62264.193880726307</v>
      </c>
      <c r="J360" s="60">
        <f t="shared" si="367"/>
        <v>31746.860559417586</v>
      </c>
      <c r="K360" s="60">
        <f t="shared" si="367"/>
        <v>8650.4052101303605</v>
      </c>
      <c r="L360" s="60">
        <f t="shared" si="367"/>
        <v>87647.756456104573</v>
      </c>
      <c r="M360" s="60">
        <f t="shared" si="367"/>
        <v>68468.380629008228</v>
      </c>
      <c r="N360" s="60">
        <f t="shared" si="367"/>
        <v>36243.229746704092</v>
      </c>
      <c r="O360" s="60">
        <f t="shared" si="367"/>
        <v>18202.916480388809</v>
      </c>
      <c r="P360" s="60">
        <f t="shared" si="367"/>
        <v>9151.3531484723408</v>
      </c>
      <c r="Q360" s="60">
        <f t="shared" si="367"/>
        <v>10126.204171292924</v>
      </c>
      <c r="R360" s="60">
        <f t="shared" si="367"/>
        <v>10132.638415071955</v>
      </c>
      <c r="S360" s="60">
        <f t="shared" si="367"/>
        <v>7364.4140289008965</v>
      </c>
      <c r="T360" s="60">
        <f t="shared" si="367"/>
        <v>4218.7817654288074</v>
      </c>
      <c r="U360" s="60">
        <f t="shared" si="367"/>
        <v>1607.9319139239051</v>
      </c>
      <c r="V360" s="60">
        <f t="shared" si="367"/>
        <v>586.09947246619799</v>
      </c>
      <c r="W360" s="60">
        <f t="shared" si="367"/>
        <v>215.28446988232443</v>
      </c>
      <c r="X360" s="60">
        <f t="shared" si="367"/>
        <v>91.127733974873735</v>
      </c>
      <c r="Y360" s="60">
        <f t="shared" si="367"/>
        <v>81.810058092605701</v>
      </c>
      <c r="Z360" s="60">
        <f t="shared" si="367"/>
        <v>69.787915869597057</v>
      </c>
      <c r="AA360" s="60">
        <f t="shared" si="367"/>
        <v>47.228616539682058</v>
      </c>
      <c r="AB360" s="60">
        <f t="shared" si="367"/>
        <v>43.793839686376302</v>
      </c>
      <c r="AC360" s="60">
        <f t="shared" si="367"/>
        <v>31.107630069387355</v>
      </c>
      <c r="AD360" s="60">
        <f t="shared" si="367"/>
        <v>28.921019121598381</v>
      </c>
      <c r="AE360" s="60">
        <f t="shared" si="367"/>
        <v>22.86230746496102</v>
      </c>
      <c r="AF360" s="60">
        <f t="shared" si="367"/>
        <v>20.679591604593217</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6359.4481107280935</v>
      </c>
      <c r="C365" s="27">
        <f t="shared" ref="C365:AF365" si="368">($C$17+SUM(C366:C396))*$B$51</f>
        <v>6116.7626806774342</v>
      </c>
      <c r="D365" s="27">
        <f t="shared" si="368"/>
        <v>5822.4507772258994</v>
      </c>
      <c r="E365" s="27">
        <f t="shared" si="368"/>
        <v>5545.8118579781567</v>
      </c>
      <c r="F365" s="27">
        <f t="shared" si="368"/>
        <v>5240.785841926966</v>
      </c>
      <c r="G365" s="27">
        <f t="shared" si="368"/>
        <v>4904.2391639538373</v>
      </c>
      <c r="H365" s="27">
        <f t="shared" si="368"/>
        <v>4426.806813016723</v>
      </c>
      <c r="I365" s="27">
        <f t="shared" si="368"/>
        <v>3569.8776046967655</v>
      </c>
      <c r="J365" s="27">
        <f t="shared" si="368"/>
        <v>2590.8888707315045</v>
      </c>
      <c r="K365" s="27">
        <f t="shared" si="368"/>
        <v>1722.6574025556702</v>
      </c>
      <c r="L365" s="27">
        <f t="shared" si="368"/>
        <v>1025.5091968402403</v>
      </c>
      <c r="M365" s="27">
        <f t="shared" si="368"/>
        <v>558.41224204842479</v>
      </c>
      <c r="N365" s="27">
        <f t="shared" si="368"/>
        <v>310.05857756868335</v>
      </c>
      <c r="O365" s="27">
        <f t="shared" si="368"/>
        <v>165.41124448298194</v>
      </c>
      <c r="P365" s="27">
        <f t="shared" si="368"/>
        <v>116.07158399316684</v>
      </c>
      <c r="Q365" s="27">
        <f t="shared" si="368"/>
        <v>103.98275763141638</v>
      </c>
      <c r="R365" s="27">
        <f t="shared" si="368"/>
        <v>93.224702271971012</v>
      </c>
      <c r="S365" s="27">
        <f t="shared" si="368"/>
        <v>92.636324873794251</v>
      </c>
      <c r="T365" s="27">
        <f t="shared" si="368"/>
        <v>91.622840740699104</v>
      </c>
      <c r="U365" s="27">
        <f t="shared" si="368"/>
        <v>91.079523814294419</v>
      </c>
      <c r="V365" s="27">
        <f t="shared" si="368"/>
        <v>90.548949399783069</v>
      </c>
      <c r="W365" s="27">
        <f t="shared" si="368"/>
        <v>88.100185455616227</v>
      </c>
      <c r="X365" s="27">
        <f t="shared" si="368"/>
        <v>85.514678179912025</v>
      </c>
      <c r="Y365" s="27">
        <f t="shared" si="368"/>
        <v>85.508847153107936</v>
      </c>
      <c r="Z365" s="27">
        <f t="shared" si="368"/>
        <v>85.508847153107936</v>
      </c>
      <c r="AA365" s="27">
        <f t="shared" si="368"/>
        <v>85.508847153107936</v>
      </c>
      <c r="AB365" s="27">
        <f t="shared" si="368"/>
        <v>85.508847153107936</v>
      </c>
      <c r="AC365" s="27">
        <f t="shared" si="368"/>
        <v>85.508847153107936</v>
      </c>
      <c r="AD365" s="27">
        <f t="shared" si="368"/>
        <v>85.508847153107936</v>
      </c>
      <c r="AE365" s="27">
        <f t="shared" si="368"/>
        <v>85.508847153107936</v>
      </c>
      <c r="AF365" s="27">
        <f t="shared" si="368"/>
        <v>85.508847153107936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6.0390510506554774E-43</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6.9731085521495156E-6</v>
      </c>
      <c r="C374" s="3">
        <f t="shared" si="377"/>
        <v>7.5059761221224793E-39</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1.1277011477767867E-2</v>
      </c>
      <c r="C375" s="3">
        <f t="shared" si="378"/>
        <v>1.197303959802766E-5</v>
      </c>
      <c r="D375" s="3">
        <f t="shared" si="378"/>
        <v>2.1792566633629355E-35</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4.2502447376998098E-2</v>
      </c>
      <c r="C376" s="3">
        <f t="shared" si="379"/>
        <v>2.2915816443054585E-2</v>
      </c>
      <c r="D376" s="3">
        <f t="shared" si="379"/>
        <v>4.7571768883492732E-5</v>
      </c>
      <c r="E376" s="3">
        <f t="shared" si="379"/>
        <v>7.0711321641515836E-32</v>
      </c>
      <c r="F376" s="3">
        <f t="shared" si="379"/>
        <v>3.7229353732218278E-300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3.7201880060584558E-2</v>
      </c>
      <c r="C377" s="3">
        <f t="shared" si="380"/>
        <v>3.5185516158988996E-2</v>
      </c>
      <c r="D377" s="3">
        <f t="shared" si="380"/>
        <v>2.0153677626454234E-2</v>
      </c>
      <c r="E377" s="3">
        <f t="shared" si="380"/>
        <v>7.660517656845173E-5</v>
      </c>
      <c r="F377" s="3">
        <f t="shared" si="380"/>
        <v>4.8227663617620875E-29</v>
      </c>
      <c r="G377" s="3">
        <f t="shared" si="380"/>
        <v>4.7171238048496777E-271</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4.1066171060755233E-2</v>
      </c>
      <c r="C378" s="3">
        <f t="shared" si="381"/>
        <v>4.0860256047311833E-2</v>
      </c>
      <c r="D378" s="3">
        <f t="shared" si="381"/>
        <v>3.8857047909625825E-2</v>
      </c>
      <c r="E378" s="3">
        <f t="shared" si="381"/>
        <v>2.3504823439912566E-2</v>
      </c>
      <c r="F378" s="3">
        <f t="shared" si="381"/>
        <v>1.5418030403655626E-4</v>
      </c>
      <c r="G378" s="3">
        <f t="shared" si="381"/>
        <v>2.2737773842197154E-26</v>
      </c>
      <c r="H378" s="3">
        <f t="shared" si="381"/>
        <v>1.1064668077875653E-244</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4.6242764587431151E-2</v>
      </c>
      <c r="C379" s="3">
        <f t="shared" si="382"/>
        <v>4.622179997567475E-2</v>
      </c>
      <c r="D379" s="3">
        <f t="shared" si="382"/>
        <v>4.6012675895977663E-2</v>
      </c>
      <c r="E379" s="3">
        <f t="shared" si="382"/>
        <v>4.397277352694836E-2</v>
      </c>
      <c r="F379" s="3">
        <f t="shared" si="382"/>
        <v>2.7941360135043978E-2</v>
      </c>
      <c r="G379" s="3">
        <f t="shared" si="382"/>
        <v>2.9983641876550496E-4</v>
      </c>
      <c r="H379" s="3">
        <f t="shared" si="382"/>
        <v>6.0708957167607779E-24</v>
      </c>
      <c r="I379" s="3">
        <f t="shared" si="382"/>
        <v>7.0296982047184546E-221</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4.2152279168178305E-2</v>
      </c>
      <c r="C380" s="3">
        <f t="shared" si="383"/>
        <v>4.2150554918043717E-2</v>
      </c>
      <c r="D380" s="3">
        <f t="shared" si="383"/>
        <v>4.2133316295421733E-2</v>
      </c>
      <c r="E380" s="3">
        <f t="shared" si="383"/>
        <v>4.19613173551832E-2</v>
      </c>
      <c r="F380" s="3">
        <f t="shared" si="383"/>
        <v>4.0279476742067097E-2</v>
      </c>
      <c r="G380" s="3">
        <f t="shared" si="383"/>
        <v>2.6756597124443619E-2</v>
      </c>
      <c r="H380" s="3">
        <f t="shared" si="383"/>
        <v>4.476117445276509E-4</v>
      </c>
      <c r="I380" s="3">
        <f t="shared" si="383"/>
        <v>7.6843548084639849E-22</v>
      </c>
      <c r="J380" s="3">
        <f t="shared" si="383"/>
        <v>1.708703742886969E-199</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0.11273926778657377</v>
      </c>
      <c r="C381" s="3">
        <f t="shared" si="384"/>
        <v>0.1127388517714791</v>
      </c>
      <c r="D381" s="3">
        <f t="shared" si="384"/>
        <v>0.11273469170496314</v>
      </c>
      <c r="E381" s="3">
        <f t="shared" si="384"/>
        <v>0.11269309948172984</v>
      </c>
      <c r="F381" s="3">
        <f t="shared" si="384"/>
        <v>0.1122780202905649</v>
      </c>
      <c r="G381" s="3">
        <f t="shared" si="384"/>
        <v>0.10821039274233682</v>
      </c>
      <c r="H381" s="3">
        <f t="shared" si="384"/>
        <v>7.4818886680873248E-2</v>
      </c>
      <c r="I381" s="3">
        <f t="shared" si="384"/>
        <v>1.8682454101062852E-3</v>
      </c>
      <c r="J381" s="3">
        <f t="shared" si="384"/>
        <v>1.7606002057243837E-19</v>
      </c>
      <c r="K381" s="3">
        <f t="shared" si="384"/>
        <v>9.7258818927245358E-180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0.14424740448913512</v>
      </c>
      <c r="C382" s="3">
        <f t="shared" si="385"/>
        <v>0.1442473564727782</v>
      </c>
      <c r="D382" s="3">
        <f t="shared" si="385"/>
        <v>0.14424687631008809</v>
      </c>
      <c r="E382" s="3">
        <f t="shared" si="385"/>
        <v>0.1442420747710946</v>
      </c>
      <c r="F382" s="3">
        <f t="shared" si="385"/>
        <v>0.14419406817085539</v>
      </c>
      <c r="G382" s="3">
        <f t="shared" si="385"/>
        <v>0.14371488005639244</v>
      </c>
      <c r="H382" s="3">
        <f t="shared" si="385"/>
        <v>0.13900971602453782</v>
      </c>
      <c r="I382" s="3">
        <f t="shared" si="385"/>
        <v>9.9650469667979261E-2</v>
      </c>
      <c r="J382" s="3">
        <f t="shared" si="385"/>
        <v>3.5712585068967606E-3</v>
      </c>
      <c r="K382" s="3">
        <f t="shared" si="385"/>
        <v>1.2480749526947832E-17</v>
      </c>
      <c r="L382" s="3">
        <f t="shared" si="385"/>
        <v>3.3918330202229424E-162</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0.12974291026207274</v>
      </c>
      <c r="C383" s="3">
        <f t="shared" si="386"/>
        <v>0.12974290636613967</v>
      </c>
      <c r="D383" s="3">
        <f t="shared" si="386"/>
        <v>0.12974286740681507</v>
      </c>
      <c r="E383" s="3">
        <f t="shared" si="386"/>
        <v>0.12974247781421258</v>
      </c>
      <c r="F383" s="3">
        <f t="shared" si="386"/>
        <v>0.12973858195253005</v>
      </c>
      <c r="G383" s="3">
        <f t="shared" si="386"/>
        <v>0.12969962976922156</v>
      </c>
      <c r="H383" s="3">
        <f t="shared" si="386"/>
        <v>0.1293107505736</v>
      </c>
      <c r="I383" s="3">
        <f t="shared" si="386"/>
        <v>0.12548551406657465</v>
      </c>
      <c r="J383" s="3">
        <f t="shared" si="386"/>
        <v>9.2935836057898707E-2</v>
      </c>
      <c r="K383" s="3">
        <f t="shared" si="386"/>
        <v>4.6140189208771559E-3</v>
      </c>
      <c r="L383" s="3">
        <f t="shared" si="386"/>
        <v>4.197985941823612E-16</v>
      </c>
      <c r="M383" s="3">
        <f t="shared" si="386"/>
        <v>1.6317629483886413E-146</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0.10714334068510994</v>
      </c>
      <c r="C384" s="3">
        <f t="shared" si="387"/>
        <v>0.10714334039488173</v>
      </c>
      <c r="D384" s="3">
        <f t="shared" si="387"/>
        <v>0.10714333749259958</v>
      </c>
      <c r="E384" s="3">
        <f t="shared" si="387"/>
        <v>0.1071433084697825</v>
      </c>
      <c r="F384" s="3">
        <f t="shared" si="387"/>
        <v>0.10714301824204409</v>
      </c>
      <c r="G384" s="3">
        <f t="shared" si="387"/>
        <v>0.10714011600789854</v>
      </c>
      <c r="H384" s="3">
        <f t="shared" si="387"/>
        <v>0.10711109798987287</v>
      </c>
      <c r="I384" s="3">
        <f t="shared" si="387"/>
        <v>0.10682134971959896</v>
      </c>
      <c r="J384" s="3">
        <f t="shared" si="387"/>
        <v>0.10396662825185062</v>
      </c>
      <c r="K384" s="3">
        <f t="shared" si="387"/>
        <v>7.9296303790757056E-2</v>
      </c>
      <c r="L384" s="3">
        <f t="shared" si="387"/>
        <v>5.2825399518297237E-3</v>
      </c>
      <c r="M384" s="3">
        <f t="shared" si="387"/>
        <v>9.093713165331396E-15</v>
      </c>
      <c r="N384" s="3">
        <f t="shared" si="387"/>
        <v>2.078384351221203E-132</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7.467332001279367E-2</v>
      </c>
      <c r="C385" s="3">
        <f t="shared" si="388"/>
        <v>7.4673319994546877E-2</v>
      </c>
      <c r="D385" s="3">
        <f t="shared" si="388"/>
        <v>7.4673319812078962E-2</v>
      </c>
      <c r="E385" s="3">
        <f t="shared" si="388"/>
        <v>7.4673317987399859E-2</v>
      </c>
      <c r="F385" s="3">
        <f t="shared" si="388"/>
        <v>7.4673299740611293E-2</v>
      </c>
      <c r="G385" s="3">
        <f t="shared" si="388"/>
        <v>7.467311727297081E-2</v>
      </c>
      <c r="H385" s="3">
        <f t="shared" si="388"/>
        <v>7.4671292621088473E-2</v>
      </c>
      <c r="I385" s="3">
        <f t="shared" si="388"/>
        <v>7.4653048554299911E-2</v>
      </c>
      <c r="J385" s="3">
        <f t="shared" si="388"/>
        <v>7.4470852868337045E-2</v>
      </c>
      <c r="K385" s="3">
        <f t="shared" si="388"/>
        <v>7.2673174149867376E-2</v>
      </c>
      <c r="L385" s="3">
        <f t="shared" si="388"/>
        <v>5.6918329654584633E-2</v>
      </c>
      <c r="M385" s="3">
        <f t="shared" si="388"/>
        <v>4.9434747467264782E-3</v>
      </c>
      <c r="N385" s="3">
        <f t="shared" si="388"/>
        <v>1.2073524090456155E-13</v>
      </c>
      <c r="O385" s="3">
        <f t="shared" si="388"/>
        <v>9.1169880081817277E-120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2.5720461590319054E-2</v>
      </c>
      <c r="C386" s="3">
        <f t="shared" si="389"/>
        <v>2.5720461589752101E-2</v>
      </c>
      <c r="D386" s="3">
        <f t="shared" si="389"/>
        <v>2.5720461584082581E-2</v>
      </c>
      <c r="E386" s="3">
        <f t="shared" si="389"/>
        <v>2.5720461527387366E-2</v>
      </c>
      <c r="F386" s="3">
        <f t="shared" si="389"/>
        <v>2.5720460960435242E-2</v>
      </c>
      <c r="G386" s="3">
        <f t="shared" si="389"/>
        <v>2.5720455290914681E-2</v>
      </c>
      <c r="H386" s="3">
        <f t="shared" si="389"/>
        <v>2.572039859577779E-2</v>
      </c>
      <c r="I386" s="3">
        <f t="shared" si="389"/>
        <v>2.5719831651282297E-2</v>
      </c>
      <c r="J386" s="3">
        <f t="shared" si="389"/>
        <v>2.5714162893613161E-2</v>
      </c>
      <c r="K386" s="3">
        <f t="shared" si="389"/>
        <v>2.5657543989479441E-2</v>
      </c>
      <c r="L386" s="3">
        <f t="shared" si="389"/>
        <v>2.5098166524283778E-2</v>
      </c>
      <c r="M386" s="3">
        <f t="shared" si="389"/>
        <v>2.0133122667203521E-2</v>
      </c>
      <c r="N386" s="3">
        <f t="shared" si="389"/>
        <v>2.2212762388524755E-3</v>
      </c>
      <c r="O386" s="3">
        <f t="shared" si="389"/>
        <v>5.9363142669602255E-13</v>
      </c>
      <c r="P386" s="3">
        <f t="shared" si="389"/>
        <v>1.1032146439369931E-108</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2.4141304859335126E-2</v>
      </c>
      <c r="C387" s="3">
        <f t="shared" si="390"/>
        <v>2.4141304859187945E-2</v>
      </c>
      <c r="D387" s="3">
        <f t="shared" si="390"/>
        <v>2.4141304857716171E-2</v>
      </c>
      <c r="E387" s="3">
        <f t="shared" si="390"/>
        <v>2.4141304842998427E-2</v>
      </c>
      <c r="F387" s="3">
        <f t="shared" si="390"/>
        <v>2.4141304695820993E-2</v>
      </c>
      <c r="G387" s="3">
        <f t="shared" si="390"/>
        <v>2.4141303224046673E-2</v>
      </c>
      <c r="H387" s="3">
        <f t="shared" si="390"/>
        <v>2.4141288506308409E-2</v>
      </c>
      <c r="I387" s="3">
        <f t="shared" si="390"/>
        <v>2.4141141329419268E-2</v>
      </c>
      <c r="J387" s="3">
        <f t="shared" si="390"/>
        <v>2.4139669609876315E-2</v>
      </c>
      <c r="K387" s="3">
        <f t="shared" si="390"/>
        <v>2.4124957348179057E-2</v>
      </c>
      <c r="L387" s="3">
        <f t="shared" si="390"/>
        <v>2.3978326993342521E-2</v>
      </c>
      <c r="M387" s="3">
        <f t="shared" si="390"/>
        <v>2.2560157135935358E-2</v>
      </c>
      <c r="N387" s="3">
        <f t="shared" si="390"/>
        <v>1.2262373467721816E-2</v>
      </c>
      <c r="O387" s="3">
        <f t="shared" si="390"/>
        <v>2.7599341912625821E-5</v>
      </c>
      <c r="P387" s="3">
        <f t="shared" si="390"/>
        <v>9.2074761737380596E-32</v>
      </c>
      <c r="Q387" s="3">
        <f t="shared" si="390"/>
        <v>1.5723867422564986E-296</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1.2214190227024645E-2</v>
      </c>
      <c r="C388" s="3">
        <f t="shared" si="391"/>
        <v>1.22141902270172E-2</v>
      </c>
      <c r="D388" s="3">
        <f t="shared" si="391"/>
        <v>1.2214190226942735E-2</v>
      </c>
      <c r="E388" s="3">
        <f t="shared" si="391"/>
        <v>1.2214190226198096E-2</v>
      </c>
      <c r="F388" s="3">
        <f t="shared" si="391"/>
        <v>1.2214190218751718E-2</v>
      </c>
      <c r="G388" s="3">
        <f t="shared" si="391"/>
        <v>1.2214190144287922E-2</v>
      </c>
      <c r="H388" s="3">
        <f t="shared" si="391"/>
        <v>1.2214189399649982E-2</v>
      </c>
      <c r="I388" s="3">
        <f t="shared" si="391"/>
        <v>1.2214181953273081E-2</v>
      </c>
      <c r="J388" s="3">
        <f t="shared" si="391"/>
        <v>1.2214107489753753E-2</v>
      </c>
      <c r="K388" s="3">
        <f t="shared" si="391"/>
        <v>1.2213362879528117E-2</v>
      </c>
      <c r="L388" s="3">
        <f t="shared" si="391"/>
        <v>1.2205919273472561E-2</v>
      </c>
      <c r="M388" s="3">
        <f t="shared" si="391"/>
        <v>1.2131732270845156E-2</v>
      </c>
      <c r="N388" s="3">
        <f t="shared" si="391"/>
        <v>1.1414215280213441E-2</v>
      </c>
      <c r="O388" s="3">
        <f t="shared" si="391"/>
        <v>6.2040955549909644E-3</v>
      </c>
      <c r="P388" s="3">
        <f t="shared" si="391"/>
        <v>1.3963769325043212E-5</v>
      </c>
      <c r="Q388" s="3">
        <f t="shared" si="391"/>
        <v>4.6584832987301265E-32</v>
      </c>
      <c r="R388" s="3">
        <f t="shared" si="391"/>
        <v>7.9554236576132082E-297</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8.0564872453676246E-4</v>
      </c>
      <c r="C389" s="3">
        <f t="shared" si="392"/>
        <v>8.0564872453671335E-4</v>
      </c>
      <c r="D389" s="3">
        <f t="shared" si="392"/>
        <v>8.0564872453622221E-4</v>
      </c>
      <c r="E389" s="3">
        <f t="shared" si="392"/>
        <v>8.0564872453131044E-4</v>
      </c>
      <c r="F389" s="3">
        <f t="shared" si="392"/>
        <v>8.0564872448219413E-4</v>
      </c>
      <c r="G389" s="3">
        <f t="shared" si="392"/>
        <v>8.0564872399103049E-4</v>
      </c>
      <c r="H389" s="3">
        <f t="shared" si="392"/>
        <v>8.0564871907939397E-4</v>
      </c>
      <c r="I389" s="3">
        <f t="shared" si="392"/>
        <v>8.0564866996303054E-4</v>
      </c>
      <c r="J389" s="3">
        <f t="shared" si="392"/>
        <v>8.0564817879956072E-4</v>
      </c>
      <c r="K389" s="3">
        <f t="shared" si="392"/>
        <v>8.0564326718133173E-4</v>
      </c>
      <c r="L389" s="3">
        <f t="shared" si="392"/>
        <v>8.0559415264590945E-4</v>
      </c>
      <c r="M389" s="3">
        <f t="shared" si="392"/>
        <v>8.0510317194124156E-4</v>
      </c>
      <c r="N389" s="3">
        <f t="shared" si="392"/>
        <v>8.0020979277053495E-4</v>
      </c>
      <c r="O389" s="3">
        <f t="shared" si="392"/>
        <v>7.5288232876421428E-4</v>
      </c>
      <c r="P389" s="3">
        <f t="shared" si="392"/>
        <v>4.092225172425487E-4</v>
      </c>
      <c r="Q389" s="3">
        <f t="shared" si="392"/>
        <v>9.2105106743424278E-7</v>
      </c>
      <c r="R389" s="3">
        <f t="shared" si="392"/>
        <v>3.0727383953735554E-33</v>
      </c>
      <c r="S389" s="3">
        <f t="shared" si="392"/>
        <v>5.2474022458929435E-298</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2.8733708973087409E-3</v>
      </c>
      <c r="C390" s="3">
        <f t="shared" si="393"/>
        <v>2.8733708973087231E-3</v>
      </c>
      <c r="D390" s="3">
        <f t="shared" si="393"/>
        <v>2.8733708973085479E-3</v>
      </c>
      <c r="E390" s="3">
        <f t="shared" si="393"/>
        <v>2.8733708973067962E-3</v>
      </c>
      <c r="F390" s="3">
        <f t="shared" si="393"/>
        <v>2.8733708972892786E-3</v>
      </c>
      <c r="G390" s="3">
        <f t="shared" si="393"/>
        <v>2.8733708971141036E-3</v>
      </c>
      <c r="H390" s="3">
        <f t="shared" si="393"/>
        <v>2.8733708953623534E-3</v>
      </c>
      <c r="I390" s="3">
        <f t="shared" si="393"/>
        <v>2.8733708778448512E-3</v>
      </c>
      <c r="J390" s="3">
        <f t="shared" si="393"/>
        <v>2.8733707026698339E-3</v>
      </c>
      <c r="K390" s="3">
        <f t="shared" si="393"/>
        <v>2.8733689509202473E-3</v>
      </c>
      <c r="L390" s="3">
        <f t="shared" si="393"/>
        <v>2.8733514334831215E-3</v>
      </c>
      <c r="M390" s="3">
        <f t="shared" si="393"/>
        <v>2.8731762649854631E-3</v>
      </c>
      <c r="N390" s="3">
        <f t="shared" si="393"/>
        <v>2.8714251672365726E-3</v>
      </c>
      <c r="O390" s="3">
        <f t="shared" si="393"/>
        <v>2.8539727802714102E-3</v>
      </c>
      <c r="P390" s="3">
        <f t="shared" si="393"/>
        <v>2.6851779276544957E-3</v>
      </c>
      <c r="Q390" s="3">
        <f t="shared" si="393"/>
        <v>1.4595046646964582E-3</v>
      </c>
      <c r="R390" s="3">
        <f t="shared" si="393"/>
        <v>3.2849568943616251E-6</v>
      </c>
      <c r="S390" s="3">
        <f t="shared" si="393"/>
        <v>1.095901577376183E-32</v>
      </c>
      <c r="T390" s="3">
        <f t="shared" si="393"/>
        <v>1.8715021125976108E-297</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1.6248048079890072E-4</v>
      </c>
      <c r="C392" s="3">
        <f t="shared" si="395"/>
        <v>1.624804807989007E-4</v>
      </c>
      <c r="D392" s="3">
        <f t="shared" si="395"/>
        <v>1.6248048079890061E-4</v>
      </c>
      <c r="E392" s="3">
        <f t="shared" si="395"/>
        <v>1.6248048079889961E-4</v>
      </c>
      <c r="F392" s="3">
        <f t="shared" si="395"/>
        <v>1.6248048079888972E-4</v>
      </c>
      <c r="G392" s="3">
        <f t="shared" si="395"/>
        <v>1.6248048079879068E-4</v>
      </c>
      <c r="H392" s="3">
        <f t="shared" si="395"/>
        <v>1.6248048079780009E-4</v>
      </c>
      <c r="I392" s="3">
        <f t="shared" si="395"/>
        <v>1.6248048078789447E-4</v>
      </c>
      <c r="J392" s="3">
        <f t="shared" si="395"/>
        <v>1.6248048068883826E-4</v>
      </c>
      <c r="K392" s="3">
        <f t="shared" si="395"/>
        <v>1.6248047969827622E-4</v>
      </c>
      <c r="L392" s="3">
        <f t="shared" si="395"/>
        <v>1.6248046979265592E-4</v>
      </c>
      <c r="M392" s="3">
        <f t="shared" si="395"/>
        <v>1.624803707364863E-4</v>
      </c>
      <c r="N392" s="3">
        <f t="shared" si="395"/>
        <v>1.6247938017811136E-4</v>
      </c>
      <c r="O392" s="3">
        <f t="shared" si="395"/>
        <v>1.6246947492649661E-4</v>
      </c>
      <c r="P392" s="3">
        <f t="shared" si="395"/>
        <v>1.6237045561630868E-4</v>
      </c>
      <c r="Q392" s="3">
        <f t="shared" si="395"/>
        <v>1.6138357563229966E-4</v>
      </c>
      <c r="R392" s="3">
        <f t="shared" si="395"/>
        <v>1.5183873447195261E-4</v>
      </c>
      <c r="S392" s="3">
        <f t="shared" si="395"/>
        <v>8.2530598423694615E-5</v>
      </c>
      <c r="T392" s="3">
        <f t="shared" si="395"/>
        <v>1.8575443083225125E-7</v>
      </c>
      <c r="U392" s="3">
        <f t="shared" si="395"/>
        <v>6.1969937597381864E-34</v>
      </c>
      <c r="V392" s="3">
        <f t="shared" si="395"/>
        <v>1.0582781476482138E-298</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1.2901117231804357E-4</v>
      </c>
      <c r="C393" s="3">
        <f t="shared" si="396"/>
        <v>1.2901117231804357E-4</v>
      </c>
      <c r="D393" s="3">
        <f t="shared" si="396"/>
        <v>1.2901117231804354E-4</v>
      </c>
      <c r="E393" s="3">
        <f t="shared" si="396"/>
        <v>1.2901117231804349E-4</v>
      </c>
      <c r="F393" s="3">
        <f t="shared" si="396"/>
        <v>1.290111723180427E-4</v>
      </c>
      <c r="G393" s="3">
        <f t="shared" si="396"/>
        <v>1.2901117231803484E-4</v>
      </c>
      <c r="H393" s="3">
        <f t="shared" si="396"/>
        <v>1.2901117231795618E-4</v>
      </c>
      <c r="I393" s="3">
        <f t="shared" si="396"/>
        <v>1.2901117231716965E-4</v>
      </c>
      <c r="J393" s="3">
        <f t="shared" si="396"/>
        <v>1.2901117230930449E-4</v>
      </c>
      <c r="K393" s="3">
        <f t="shared" si="396"/>
        <v>1.2901117223065284E-4</v>
      </c>
      <c r="L393" s="3">
        <f t="shared" si="396"/>
        <v>1.290111714441364E-4</v>
      </c>
      <c r="M393" s="3">
        <f t="shared" si="396"/>
        <v>1.2901116357897204E-4</v>
      </c>
      <c r="N393" s="3">
        <f t="shared" si="396"/>
        <v>1.2901108492735489E-4</v>
      </c>
      <c r="O393" s="3">
        <f t="shared" si="396"/>
        <v>1.2901029841382063E-4</v>
      </c>
      <c r="P393" s="3">
        <f t="shared" si="396"/>
        <v>1.2900243354219644E-4</v>
      </c>
      <c r="Q393" s="3">
        <f t="shared" si="396"/>
        <v>1.289238111918276E-4</v>
      </c>
      <c r="R393" s="3">
        <f t="shared" si="396"/>
        <v>1.2814021833779243E-4</v>
      </c>
      <c r="S393" s="3">
        <f t="shared" si="396"/>
        <v>1.2056151631997922E-4</v>
      </c>
      <c r="T393" s="3">
        <f t="shared" si="396"/>
        <v>6.5530143697251775E-5</v>
      </c>
      <c r="U393" s="3">
        <f t="shared" si="396"/>
        <v>1.4749092793859955E-7</v>
      </c>
      <c r="V393" s="3">
        <f t="shared" si="396"/>
        <v>4.920476760411167E-34</v>
      </c>
      <c r="W393" s="3">
        <f t="shared" si="396"/>
        <v>8.4028373005397574E-299</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7.3508598139721321E-5</v>
      </c>
      <c r="C395" s="3">
        <f t="shared" si="398"/>
        <v>7.3508598139721321E-5</v>
      </c>
      <c r="D395" s="3">
        <f t="shared" si="398"/>
        <v>7.3508598139721321E-5</v>
      </c>
      <c r="E395" s="3">
        <f t="shared" si="398"/>
        <v>7.3508598139721321E-5</v>
      </c>
      <c r="F395" s="3">
        <f t="shared" si="398"/>
        <v>7.3508598139721308E-5</v>
      </c>
      <c r="G395" s="3">
        <f t="shared" si="398"/>
        <v>7.3508598139721267E-5</v>
      </c>
      <c r="H395" s="3">
        <f t="shared" si="398"/>
        <v>7.350859813972082E-5</v>
      </c>
      <c r="I395" s="3">
        <f t="shared" si="398"/>
        <v>7.3508598139716347E-5</v>
      </c>
      <c r="J395" s="3">
        <f t="shared" si="398"/>
        <v>7.3508598139671529E-5</v>
      </c>
      <c r="K395" s="3">
        <f t="shared" si="398"/>
        <v>7.3508598139223374E-5</v>
      </c>
      <c r="L395" s="3">
        <f t="shared" si="398"/>
        <v>7.3508598134741933E-5</v>
      </c>
      <c r="M395" s="3">
        <f t="shared" si="398"/>
        <v>7.3508598089927425E-5</v>
      </c>
      <c r="N395" s="3">
        <f t="shared" si="398"/>
        <v>7.3508597641782337E-5</v>
      </c>
      <c r="O395" s="3">
        <f t="shared" si="398"/>
        <v>7.3508593160331672E-5</v>
      </c>
      <c r="P395" s="3">
        <f t="shared" si="398"/>
        <v>7.3508548345839914E-5</v>
      </c>
      <c r="Q395" s="3">
        <f t="shared" si="398"/>
        <v>7.3508100202425027E-5</v>
      </c>
      <c r="R395" s="3">
        <f t="shared" si="398"/>
        <v>7.350361891853886E-5</v>
      </c>
      <c r="S395" s="3">
        <f t="shared" si="398"/>
        <v>7.3458821102549587E-5</v>
      </c>
      <c r="T395" s="3">
        <f t="shared" si="398"/>
        <v>7.3012341846703219E-5</v>
      </c>
      <c r="U395" s="3">
        <f t="shared" si="398"/>
        <v>6.8694113037226609E-5</v>
      </c>
      <c r="V395" s="3">
        <f t="shared" si="398"/>
        <v>3.733807632725278E-5</v>
      </c>
      <c r="W395" s="3">
        <f t="shared" si="398"/>
        <v>8.4038081014916585E-8</v>
      </c>
      <c r="X395" s="3">
        <f t="shared" si="398"/>
        <v>2.8036126045365384E-34</v>
      </c>
      <c r="Y395" s="3">
        <f t="shared" si="398"/>
        <v>4.7878085227851901E-299</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6.9573660063357843E-4</v>
      </c>
      <c r="C396" s="3">
        <f t="shared" si="399"/>
        <v>6.9573660063357843E-4</v>
      </c>
      <c r="D396" s="3">
        <f t="shared" si="399"/>
        <v>6.9573660063357843E-4</v>
      </c>
      <c r="E396" s="3">
        <f t="shared" si="399"/>
        <v>6.9573660063357843E-4</v>
      </c>
      <c r="F396" s="3">
        <f t="shared" si="399"/>
        <v>6.9573660063357843E-4</v>
      </c>
      <c r="G396" s="3">
        <f t="shared" si="399"/>
        <v>6.9573660063357832E-4</v>
      </c>
      <c r="H396" s="3">
        <f t="shared" si="399"/>
        <v>6.95736600633578E-4</v>
      </c>
      <c r="I396" s="3">
        <f t="shared" si="399"/>
        <v>6.9573660063357377E-4</v>
      </c>
      <c r="J396" s="3">
        <f t="shared" si="399"/>
        <v>6.9573660063353127E-4</v>
      </c>
      <c r="K396" s="3">
        <f t="shared" si="399"/>
        <v>6.9573660063310713E-4</v>
      </c>
      <c r="L396" s="3">
        <f t="shared" si="399"/>
        <v>6.9573660062886562E-4</v>
      </c>
      <c r="M396" s="3">
        <f t="shared" si="399"/>
        <v>6.9573660058645001E-4</v>
      </c>
      <c r="N396" s="3">
        <f t="shared" si="399"/>
        <v>6.9573660016229429E-4</v>
      </c>
      <c r="O396" s="3">
        <f t="shared" si="399"/>
        <v>6.9573659592073688E-4</v>
      </c>
      <c r="P396" s="3">
        <f t="shared" si="399"/>
        <v>6.9573655350516463E-4</v>
      </c>
      <c r="Q396" s="3">
        <f t="shared" si="399"/>
        <v>6.9573612934958364E-4</v>
      </c>
      <c r="R396" s="3">
        <f t="shared" si="399"/>
        <v>6.9573188780799584E-4</v>
      </c>
      <c r="S396" s="3">
        <f t="shared" si="399"/>
        <v>6.9568947381430885E-4</v>
      </c>
      <c r="T396" s="3">
        <f t="shared" si="399"/>
        <v>6.9526547606437296E-4</v>
      </c>
      <c r="U396" s="3">
        <f t="shared" si="399"/>
        <v>6.9103968523748856E-4</v>
      </c>
      <c r="V396" s="3">
        <f t="shared" si="399"/>
        <v>6.5016895842873179E-4</v>
      </c>
      <c r="W396" s="3">
        <f t="shared" si="399"/>
        <v>3.5339357511271431E-4</v>
      </c>
      <c r="X396" s="3">
        <f t="shared" si="399"/>
        <v>7.9539496451767042E-7</v>
      </c>
      <c r="Y396" s="3">
        <f t="shared" si="399"/>
        <v>2.6535343515409602E-33</v>
      </c>
      <c r="Z396" s="3">
        <f t="shared" si="399"/>
        <v>4.53151564636772E-298</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0.16478067673022639</v>
      </c>
      <c r="B397" s="80">
        <f>IF($A$64&lt;=B363,IF($B$64&gt;=B363,ABS((B365-B364)/B364),0),0)</f>
        <v>3.1721844546243085E-2</v>
      </c>
      <c r="C397" s="80">
        <f t="shared" ref="C397:AF397" si="400">IF($A$64&lt;=C363,IF($B$64&gt;=C363,ABS((C365-C364)/C364),0),0)</f>
        <v>4.7029637580289864E-2</v>
      </c>
      <c r="D397" s="80">
        <f t="shared" si="400"/>
        <v>4.7659473261542726E-2</v>
      </c>
      <c r="E397" s="80">
        <f t="shared" si="400"/>
        <v>5.124282523308768E-2</v>
      </c>
      <c r="F397" s="80">
        <f t="shared" si="400"/>
        <v>5.5247987566337586E-2</v>
      </c>
      <c r="G397" s="80">
        <f t="shared" si="400"/>
        <v>6.129031348069288E-2</v>
      </c>
      <c r="H397" s="80">
        <f t="shared" si="400"/>
        <v>6.5294419818065219E-2</v>
      </c>
      <c r="I397" s="80">
        <f t="shared" si="400"/>
        <v>8.705664980024016E-4</v>
      </c>
      <c r="J397" s="80">
        <f t="shared" si="400"/>
        <v>9.1217450889535631E-2</v>
      </c>
      <c r="K397" s="80">
        <f t="shared" si="400"/>
        <v>0.13977316945937882</v>
      </c>
      <c r="L397" s="80">
        <f t="shared" si="400"/>
        <v>0.17730653054579115</v>
      </c>
      <c r="M397" s="80">
        <f t="shared" si="400"/>
        <v>0.22617251353781948</v>
      </c>
      <c r="N397" s="80">
        <f t="shared" si="400"/>
        <v>0.23390560108579481</v>
      </c>
      <c r="O397" s="80">
        <f t="shared" si="400"/>
        <v>0.37597570181386808</v>
      </c>
      <c r="P397" s="80">
        <f t="shared" si="400"/>
        <v>0.4827486614736799</v>
      </c>
      <c r="Q397" s="80">
        <f t="shared" si="400"/>
        <v>0.48648457395544425</v>
      </c>
      <c r="R397" s="80">
        <f t="shared" si="400"/>
        <v>0.50892424184057306</v>
      </c>
      <c r="S397" s="80">
        <f t="shared" si="400"/>
        <v>0.45464057537839164</v>
      </c>
      <c r="T397" s="80">
        <f t="shared" si="400"/>
        <v>0.35610032966977406</v>
      </c>
      <c r="U397" s="80">
        <f t="shared" si="400"/>
        <v>0.25170581920178509</v>
      </c>
      <c r="V397" s="80">
        <f t="shared" si="400"/>
        <v>0.17137989963990907</v>
      </c>
      <c r="W397" s="80">
        <f t="shared" si="400"/>
        <v>0.1356281881652554</v>
      </c>
      <c r="X397" s="80">
        <f t="shared" si="400"/>
        <v>0.12293797581291764</v>
      </c>
      <c r="Y397" s="80">
        <f t="shared" si="400"/>
        <v>9.7178408458405183E-2</v>
      </c>
      <c r="Z397" s="80">
        <f t="shared" si="400"/>
        <v>7.98520976813792E-2</v>
      </c>
      <c r="AA397" s="80">
        <f t="shared" si="400"/>
        <v>7.0618520102837798E-2</v>
      </c>
      <c r="AB397" s="80">
        <f t="shared" si="400"/>
        <v>6.8158210690350121E-2</v>
      </c>
      <c r="AC397" s="80">
        <f t="shared" si="400"/>
        <v>5.8371845289172802E-2</v>
      </c>
      <c r="AD397" s="80">
        <f t="shared" si="400"/>
        <v>5.8214909680437833E-2</v>
      </c>
      <c r="AE397" s="80">
        <f t="shared" si="400"/>
        <v>5.1561705708226463E-2</v>
      </c>
      <c r="AF397" s="80">
        <f t="shared" si="400"/>
        <v>4.8986980572028264E-2</v>
      </c>
    </row>
    <row r="398" spans="1:34" x14ac:dyDescent="0.25">
      <c r="B398" s="21">
        <f>(B365-B364)^2</f>
        <v>38232.303879113751</v>
      </c>
      <c r="C398" s="21">
        <f t="shared" ref="C398:AF398" si="401">(C365-C364)^2</f>
        <v>75486.37594979674</v>
      </c>
      <c r="D398" s="21">
        <f t="shared" si="401"/>
        <v>70156.810869788707</v>
      </c>
      <c r="E398" s="21">
        <f t="shared" si="401"/>
        <v>73078.614844582844</v>
      </c>
      <c r="F398" s="21">
        <f t="shared" si="401"/>
        <v>75286.427195596087</v>
      </c>
      <c r="G398" s="21">
        <f t="shared" si="401"/>
        <v>80215.550227931439</v>
      </c>
      <c r="H398" s="21">
        <f t="shared" si="401"/>
        <v>73619.687494640079</v>
      </c>
      <c r="I398" s="21">
        <f t="shared" si="401"/>
        <v>9.6417244920792751</v>
      </c>
      <c r="J398" s="21">
        <f t="shared" si="401"/>
        <v>67629.079488068382</v>
      </c>
      <c r="K398" s="21">
        <f t="shared" si="401"/>
        <v>78346.479765158205</v>
      </c>
      <c r="L398" s="21">
        <f t="shared" si="401"/>
        <v>48848.640660219207</v>
      </c>
      <c r="M398" s="21">
        <f t="shared" si="401"/>
        <v>26637.974989396265</v>
      </c>
      <c r="N398" s="21">
        <f t="shared" si="401"/>
        <v>8961.9841072951021</v>
      </c>
      <c r="O398" s="21">
        <f t="shared" si="401"/>
        <v>9932.2264917507673</v>
      </c>
      <c r="P398" s="21">
        <f t="shared" si="401"/>
        <v>11735.206402159734</v>
      </c>
      <c r="Q398" s="21">
        <f t="shared" si="401"/>
        <v>9704.0677553378737</v>
      </c>
      <c r="R398" s="21">
        <f t="shared" si="401"/>
        <v>9334.0751928300106</v>
      </c>
      <c r="S398" s="21">
        <f t="shared" si="401"/>
        <v>5963.9414885635069</v>
      </c>
      <c r="T398" s="21">
        <f t="shared" si="401"/>
        <v>2567.5319207286843</v>
      </c>
      <c r="U398" s="21">
        <f t="shared" si="401"/>
        <v>938.60589867355975</v>
      </c>
      <c r="V398" s="21">
        <f t="shared" si="401"/>
        <v>350.7322261323589</v>
      </c>
      <c r="W398" s="21">
        <f t="shared" si="401"/>
        <v>191.09634222642941</v>
      </c>
      <c r="X398" s="21">
        <f t="shared" si="401"/>
        <v>143.67884684405709</v>
      </c>
      <c r="Y398" s="21">
        <f t="shared" si="401"/>
        <v>84.714507975913989</v>
      </c>
      <c r="Z398" s="21">
        <f t="shared" si="401"/>
        <v>55.065486483155055</v>
      </c>
      <c r="AA398" s="21">
        <f t="shared" si="401"/>
        <v>42.215437940471588</v>
      </c>
      <c r="AB398" s="21">
        <f t="shared" si="401"/>
        <v>39.117770828525046</v>
      </c>
      <c r="AC398" s="21">
        <f t="shared" si="401"/>
        <v>28.097655087875292</v>
      </c>
      <c r="AD398" s="21">
        <f t="shared" si="401"/>
        <v>27.937461180643595</v>
      </c>
      <c r="AE398" s="21">
        <f t="shared" si="401"/>
        <v>21.61018537886013</v>
      </c>
      <c r="AF398" s="21">
        <f t="shared" si="401"/>
        <v>19.400392680214331</v>
      </c>
      <c r="AG398" s="3"/>
      <c r="AH398" s="3"/>
    </row>
    <row r="399" spans="1:34" x14ac:dyDescent="0.25">
      <c r="A399" s="71">
        <f>SUM(B399:AF399)</f>
        <v>767688.89265888161</v>
      </c>
      <c r="B399" s="60">
        <f>IF($A$64&lt;=B363,IF($B$64&gt;=B363,ABS(B398),0),0)</f>
        <v>38232.303879113751</v>
      </c>
      <c r="C399" s="60">
        <f t="shared" ref="C399" si="402">IF($A$64&lt;=C363,IF($B$64&gt;=C363,ABS(C398),0),0)</f>
        <v>75486.37594979674</v>
      </c>
      <c r="D399" s="60">
        <f t="shared" ref="D399" si="403">IF($A$64&lt;=D363,IF($B$64&gt;=D363,ABS(D398),0),0)</f>
        <v>70156.810869788707</v>
      </c>
      <c r="E399" s="60">
        <f t="shared" ref="E399" si="404">IF($A$64&lt;=E363,IF($B$64&gt;=E363,ABS(E398),0),0)</f>
        <v>73078.614844582844</v>
      </c>
      <c r="F399" s="60">
        <f t="shared" ref="F399" si="405">IF($A$64&lt;=F363,IF($B$64&gt;=F363,ABS(F398),0),0)</f>
        <v>75286.427195596087</v>
      </c>
      <c r="G399" s="60">
        <f t="shared" ref="G399" si="406">IF($A$64&lt;=G363,IF($B$64&gt;=G363,ABS(G398),0),0)</f>
        <v>80215.550227931439</v>
      </c>
      <c r="H399" s="60">
        <f t="shared" ref="H399" si="407">IF($A$64&lt;=H363,IF($B$64&gt;=H363,ABS(H398),0),0)</f>
        <v>73619.687494640079</v>
      </c>
      <c r="I399" s="60">
        <f t="shared" ref="I399" si="408">IF($A$64&lt;=I363,IF($B$64&gt;=I363,ABS(I398),0),0)</f>
        <v>9.6417244920792751</v>
      </c>
      <c r="J399" s="60">
        <f t="shared" ref="J399" si="409">IF($A$64&lt;=J363,IF($B$64&gt;=J363,ABS(J398),0),0)</f>
        <v>67629.079488068382</v>
      </c>
      <c r="K399" s="60">
        <f t="shared" ref="K399" si="410">IF($A$64&lt;=K363,IF($B$64&gt;=K363,ABS(K398),0),0)</f>
        <v>78346.479765158205</v>
      </c>
      <c r="L399" s="60">
        <f t="shared" ref="L399" si="411">IF($A$64&lt;=L363,IF($B$64&gt;=L363,ABS(L398),0),0)</f>
        <v>48848.640660219207</v>
      </c>
      <c r="M399" s="60">
        <f t="shared" ref="M399" si="412">IF($A$64&lt;=M363,IF($B$64&gt;=M363,ABS(M398),0),0)</f>
        <v>26637.974989396265</v>
      </c>
      <c r="N399" s="60">
        <f t="shared" ref="N399" si="413">IF($A$64&lt;=N363,IF($B$64&gt;=N363,ABS(N398),0),0)</f>
        <v>8961.9841072951021</v>
      </c>
      <c r="O399" s="60">
        <f t="shared" ref="O399" si="414">IF($A$64&lt;=O363,IF($B$64&gt;=O363,ABS(O398),0),0)</f>
        <v>9932.2264917507673</v>
      </c>
      <c r="P399" s="60">
        <f t="shared" ref="P399" si="415">IF($A$64&lt;=P363,IF($B$64&gt;=P363,ABS(P398),0),0)</f>
        <v>11735.206402159734</v>
      </c>
      <c r="Q399" s="60">
        <f t="shared" ref="Q399" si="416">IF($A$64&lt;=Q363,IF($B$64&gt;=Q363,ABS(Q398),0),0)</f>
        <v>9704.0677553378737</v>
      </c>
      <c r="R399" s="60">
        <f t="shared" ref="R399" si="417">IF($A$64&lt;=R363,IF($B$64&gt;=R363,ABS(R398),0),0)</f>
        <v>9334.0751928300106</v>
      </c>
      <c r="S399" s="60">
        <f t="shared" ref="S399" si="418">IF($A$64&lt;=S363,IF($B$64&gt;=S363,ABS(S398),0),0)</f>
        <v>5963.9414885635069</v>
      </c>
      <c r="T399" s="60">
        <f t="shared" ref="T399" si="419">IF($A$64&lt;=T363,IF($B$64&gt;=T363,ABS(T398),0),0)</f>
        <v>2567.5319207286843</v>
      </c>
      <c r="U399" s="60">
        <f t="shared" ref="U399" si="420">IF($A$64&lt;=U363,IF($B$64&gt;=U363,ABS(U398),0),0)</f>
        <v>938.60589867355975</v>
      </c>
      <c r="V399" s="60">
        <f t="shared" ref="V399" si="421">IF($A$64&lt;=V363,IF($B$64&gt;=V363,ABS(V398),0),0)</f>
        <v>350.7322261323589</v>
      </c>
      <c r="W399" s="60">
        <f t="shared" ref="W399" si="422">IF($A$64&lt;=W363,IF($B$64&gt;=W363,ABS(W398),0),0)</f>
        <v>191.09634222642941</v>
      </c>
      <c r="X399" s="60">
        <f t="shared" ref="X399" si="423">IF($A$64&lt;=X363,IF($B$64&gt;=X363,ABS(X398),0),0)</f>
        <v>143.67884684405709</v>
      </c>
      <c r="Y399" s="60">
        <f t="shared" ref="Y399" si="424">IF($A$64&lt;=Y363,IF($B$64&gt;=Y363,ABS(Y398),0),0)</f>
        <v>84.714507975913989</v>
      </c>
      <c r="Z399" s="60">
        <f t="shared" ref="Z399" si="425">IF($A$64&lt;=Z363,IF($B$64&gt;=Z363,ABS(Z398),0),0)</f>
        <v>55.065486483155055</v>
      </c>
      <c r="AA399" s="60">
        <f t="shared" ref="AA399" si="426">IF($A$64&lt;=AA363,IF($B$64&gt;=AA363,ABS(AA398),0),0)</f>
        <v>42.215437940471588</v>
      </c>
      <c r="AB399" s="60">
        <f t="shared" ref="AB399" si="427">IF($A$64&lt;=AB363,IF($B$64&gt;=AB363,ABS(AB398),0),0)</f>
        <v>39.117770828525046</v>
      </c>
      <c r="AC399" s="60">
        <f t="shared" ref="AC399" si="428">IF($A$64&lt;=AC363,IF($B$64&gt;=AC363,ABS(AC398),0),0)</f>
        <v>28.097655087875292</v>
      </c>
      <c r="AD399" s="60">
        <f t="shared" ref="AD399" si="429">IF($A$64&lt;=AD363,IF($B$64&gt;=AD363,ABS(AD398),0),0)</f>
        <v>27.937461180643595</v>
      </c>
      <c r="AE399" s="60">
        <f t="shared" ref="AE399" si="430">IF($A$64&lt;=AE363,IF($B$64&gt;=AE363,ABS(AE398),0),0)</f>
        <v>21.61018537886013</v>
      </c>
      <c r="AF399" s="60">
        <f t="shared" ref="AF399" si="431">IF($A$64&lt;=AF363,IF($B$64&gt;=AF363,ABS(AF398),0),0)</f>
        <v>19.400392680214331</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30" t="s">
        <v>162</v>
      </c>
      <c r="K402" s="130"/>
      <c r="L402" s="130"/>
      <c r="M402" s="130"/>
      <c r="N402" s="130"/>
      <c r="O402" s="130"/>
      <c r="P402" s="130"/>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-21.601432961392756</v>
      </c>
      <c r="C403" s="107">
        <f t="shared" ref="C403:H403" si="432">IF(C125=$B$2,0,C126)</f>
        <v>-17.60083092062002</v>
      </c>
      <c r="D403" s="107">
        <f t="shared" si="432"/>
        <v>-13.983378315651946</v>
      </c>
      <c r="E403" s="107">
        <f t="shared" si="432"/>
        <v>-8.5553694671339517</v>
      </c>
      <c r="F403" s="107">
        <f t="shared" si="432"/>
        <v>0</v>
      </c>
      <c r="G403" s="107">
        <f t="shared" si="432"/>
        <v>18.564414953206096</v>
      </c>
      <c r="H403" s="107">
        <f t="shared" si="432"/>
        <v>22.63634100105423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4.1554385428399519E-25</v>
      </c>
      <c r="C404" s="3">
        <f t="shared" ref="C404:H419" si="433">$A404/EXP(-C$403)</f>
        <v>2.2701588870349419E-23</v>
      </c>
      <c r="D404" s="3">
        <f t="shared" si="433"/>
        <v>8.4546563362260539E-22</v>
      </c>
      <c r="E404" s="3">
        <f t="shared" si="433"/>
        <v>1.9250865058659276E-19</v>
      </c>
      <c r="F404" s="3">
        <f t="shared" si="433"/>
        <v>1.0000000000000001E-15</v>
      </c>
      <c r="G404" s="3">
        <f t="shared" si="433"/>
        <v>1.1545771918054734E-7</v>
      </c>
      <c r="H404" s="3">
        <f t="shared" si="433"/>
        <v>6.7738876183229333E-6</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4.1554385428399515E-24</v>
      </c>
      <c r="C405" s="3">
        <f t="shared" si="433"/>
        <v>2.2701588870349416E-22</v>
      </c>
      <c r="D405" s="3">
        <f t="shared" si="433"/>
        <v>8.4546563362260543E-21</v>
      </c>
      <c r="E405" s="3">
        <f t="shared" si="433"/>
        <v>1.9250865058659272E-18</v>
      </c>
      <c r="F405" s="3">
        <f t="shared" si="433"/>
        <v>1E-14</v>
      </c>
      <c r="G405" s="3">
        <f t="shared" si="433"/>
        <v>1.1545771918054734E-6</v>
      </c>
      <c r="H405" s="3">
        <f t="shared" si="433"/>
        <v>6.7738876183229317E-5</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4.1554385428399514E-23</v>
      </c>
      <c r="C406" s="3">
        <f t="shared" si="433"/>
        <v>2.2701588870349419E-21</v>
      </c>
      <c r="D406" s="3">
        <f t="shared" si="433"/>
        <v>8.4546563362260534E-20</v>
      </c>
      <c r="E406" s="3">
        <f t="shared" si="433"/>
        <v>1.9250865058659275E-17</v>
      </c>
      <c r="F406" s="3">
        <f t="shared" si="433"/>
        <v>1E-13</v>
      </c>
      <c r="G406" s="3">
        <f t="shared" si="433"/>
        <v>1.1545771918054733E-5</v>
      </c>
      <c r="H406" s="3">
        <f t="shared" si="433"/>
        <v>6.7738876183229323E-4</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4.155438542839951E-22</v>
      </c>
      <c r="C407" s="3">
        <f t="shared" si="433"/>
        <v>2.2701588870349417E-20</v>
      </c>
      <c r="D407" s="3">
        <f t="shared" si="433"/>
        <v>8.4546563362260539E-19</v>
      </c>
      <c r="E407" s="3">
        <f t="shared" si="433"/>
        <v>1.9250865058659275E-16</v>
      </c>
      <c r="F407" s="3">
        <f t="shared" si="433"/>
        <v>9.9999999999999998E-13</v>
      </c>
      <c r="G407" s="3">
        <f t="shared" si="433"/>
        <v>1.1545771918054733E-4</v>
      </c>
      <c r="H407" s="3">
        <f t="shared" si="433"/>
        <v>6.7738876183229321E-3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4.1554385428399507E-21</v>
      </c>
      <c r="C408" s="3">
        <f t="shared" si="433"/>
        <v>2.2701588870349415E-19</v>
      </c>
      <c r="D408" s="3">
        <f t="shared" si="433"/>
        <v>8.4546563362260533E-18</v>
      </c>
      <c r="E408" s="3">
        <f t="shared" si="433"/>
        <v>1.9250865058659272E-15</v>
      </c>
      <c r="F408" s="3">
        <f t="shared" si="433"/>
        <v>9.9999999999999994E-12</v>
      </c>
      <c r="G408" s="3">
        <f t="shared" si="433"/>
        <v>1.1545771918054731E-3</v>
      </c>
      <c r="H408" s="3">
        <f t="shared" si="433"/>
        <v>6.7738876183229324E-2</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4.1554385428399515E-20</v>
      </c>
      <c r="C409" s="3">
        <f t="shared" si="433"/>
        <v>2.270158887034942E-18</v>
      </c>
      <c r="D409" s="3">
        <f t="shared" si="433"/>
        <v>8.4546563362260545E-17</v>
      </c>
      <c r="E409" s="3">
        <f t="shared" si="433"/>
        <v>1.9250865058659276E-14</v>
      </c>
      <c r="F409" s="3">
        <f t="shared" si="433"/>
        <v>1E-10</v>
      </c>
      <c r="G409" s="3">
        <f t="shared" si="433"/>
        <v>1.1545771918054733E-2</v>
      </c>
      <c r="H409" s="3">
        <f t="shared" si="433"/>
        <v>0.67738876183229324</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4.1554385428399516E-19</v>
      </c>
      <c r="C410" s="3">
        <f t="shared" si="433"/>
        <v>2.2701588870349419E-17</v>
      </c>
      <c r="D410" s="3">
        <f t="shared" si="433"/>
        <v>8.4546563362260538E-16</v>
      </c>
      <c r="E410" s="3">
        <f t="shared" si="433"/>
        <v>1.9250865058659276E-13</v>
      </c>
      <c r="F410" s="3">
        <f t="shared" si="433"/>
        <v>1.0000000000000001E-9</v>
      </c>
      <c r="G410" s="3">
        <f t="shared" si="433"/>
        <v>0.11545771918054734</v>
      </c>
      <c r="H410" s="3">
        <f t="shared" si="433"/>
        <v>6.7738876183229326</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4.1554385428399511E-18</v>
      </c>
      <c r="C411" s="3">
        <f t="shared" si="433"/>
        <v>2.2701588870349417E-16</v>
      </c>
      <c r="D411" s="3">
        <f t="shared" si="433"/>
        <v>8.4546563362260538E-15</v>
      </c>
      <c r="E411" s="3">
        <f t="shared" si="433"/>
        <v>1.9250865058659273E-12</v>
      </c>
      <c r="F411" s="3">
        <f t="shared" si="433"/>
        <v>1E-8</v>
      </c>
      <c r="G411" s="3">
        <f t="shared" si="433"/>
        <v>1.1545771918054732</v>
      </c>
      <c r="H411" s="3">
        <f t="shared" si="433"/>
        <v>67.738876183229323</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4.155438542839951E-17</v>
      </c>
      <c r="C412" s="3">
        <f t="shared" si="433"/>
        <v>2.2701588870349416E-15</v>
      </c>
      <c r="D412" s="3">
        <f t="shared" si="433"/>
        <v>8.4546563362260538E-14</v>
      </c>
      <c r="E412" s="3">
        <f t="shared" si="433"/>
        <v>1.9250865058659274E-11</v>
      </c>
      <c r="F412" s="3">
        <f t="shared" si="433"/>
        <v>9.9999999999999995E-8</v>
      </c>
      <c r="G412" s="3">
        <f t="shared" si="433"/>
        <v>11.545771918054733</v>
      </c>
      <c r="H412" s="3">
        <f t="shared" si="433"/>
        <v>677.3887618322932</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4.1554385428399507E-16</v>
      </c>
      <c r="C413" s="3">
        <f t="shared" si="433"/>
        <v>2.2701588870349418E-14</v>
      </c>
      <c r="D413" s="3">
        <f t="shared" si="433"/>
        <v>8.4546563362260536E-13</v>
      </c>
      <c r="E413" s="3">
        <f t="shared" si="433"/>
        <v>1.9250865058659273E-10</v>
      </c>
      <c r="F413" s="3">
        <f t="shared" si="433"/>
        <v>9.9999999999999995E-7</v>
      </c>
      <c r="G413" s="3">
        <f t="shared" si="433"/>
        <v>115.45771918054733</v>
      </c>
      <c r="H413" s="3">
        <f t="shared" si="433"/>
        <v>6773.8876183229322</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4.1554385428399511E-15</v>
      </c>
      <c r="C414" s="3">
        <f t="shared" si="433"/>
        <v>2.270158887034942E-13</v>
      </c>
      <c r="D414" s="3">
        <f t="shared" si="433"/>
        <v>8.4546563362260552E-12</v>
      </c>
      <c r="E414" s="3">
        <f t="shared" si="433"/>
        <v>1.9250865058659275E-9</v>
      </c>
      <c r="F414" s="3">
        <f t="shared" si="433"/>
        <v>1.0000000000000001E-5</v>
      </c>
      <c r="G414" s="3">
        <f t="shared" si="433"/>
        <v>1154.5771918054734</v>
      </c>
      <c r="H414" s="3">
        <f t="shared" si="433"/>
        <v>67738.876183229324</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4.1554385428399513E-14</v>
      </c>
      <c r="C415" s="3">
        <f t="shared" si="433"/>
        <v>2.2701588870349418E-12</v>
      </c>
      <c r="D415" s="3">
        <f t="shared" si="433"/>
        <v>8.4546563362260539E-11</v>
      </c>
      <c r="E415" s="3">
        <f t="shared" si="433"/>
        <v>1.9250865058659276E-8</v>
      </c>
      <c r="F415" s="3">
        <f t="shared" si="433"/>
        <v>1E-4</v>
      </c>
      <c r="G415" s="3">
        <f t="shared" si="433"/>
        <v>11545.771918054734</v>
      </c>
      <c r="H415" s="3">
        <f t="shared" si="433"/>
        <v>677388.76183229324</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4.1554385428399512E-13</v>
      </c>
      <c r="C416" s="3">
        <f t="shared" si="433"/>
        <v>2.270158887034942E-11</v>
      </c>
      <c r="D416" s="3">
        <f t="shared" si="433"/>
        <v>8.4546563362260539E-10</v>
      </c>
      <c r="E416" s="3">
        <f t="shared" si="433"/>
        <v>1.9250865058659276E-7</v>
      </c>
      <c r="F416" s="3">
        <f t="shared" si="433"/>
        <v>1E-3</v>
      </c>
      <c r="G416" s="3">
        <f t="shared" si="433"/>
        <v>115457.71918054733</v>
      </c>
      <c r="H416" s="3">
        <f t="shared" si="433"/>
        <v>6773887.6183229322</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4.1554385428399516E-12</v>
      </c>
      <c r="C417" s="3">
        <f t="shared" si="433"/>
        <v>2.270158887034942E-10</v>
      </c>
      <c r="D417" s="3">
        <f t="shared" si="433"/>
        <v>8.4546563362260539E-9</v>
      </c>
      <c r="E417" s="3">
        <f t="shared" si="433"/>
        <v>1.9250865058659274E-6</v>
      </c>
      <c r="F417" s="3">
        <f t="shared" si="433"/>
        <v>0.01</v>
      </c>
      <c r="G417" s="3">
        <f t="shared" si="433"/>
        <v>1154577.1918054733</v>
      </c>
      <c r="H417" s="3">
        <f t="shared" si="433"/>
        <v>67738876.183229327</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4.1554385428399514E-11</v>
      </c>
      <c r="C418" s="3">
        <f t="shared" si="433"/>
        <v>2.2701588870349419E-9</v>
      </c>
      <c r="D418" s="3">
        <f t="shared" si="433"/>
        <v>8.4546563362260545E-8</v>
      </c>
      <c r="E418" s="3">
        <f t="shared" si="433"/>
        <v>1.9250865058659274E-5</v>
      </c>
      <c r="F418" s="3">
        <f t="shared" si="433"/>
        <v>0.1</v>
      </c>
      <c r="G418" s="3">
        <f t="shared" si="433"/>
        <v>11545771.918054733</v>
      </c>
      <c r="H418" s="3">
        <f t="shared" si="433"/>
        <v>677388761.83229327</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4.155438542839951E-10</v>
      </c>
      <c r="C419" s="3">
        <f t="shared" si="433"/>
        <v>2.2701588870349417E-8</v>
      </c>
      <c r="D419" s="3">
        <f t="shared" si="433"/>
        <v>8.4546563362260537E-7</v>
      </c>
      <c r="E419" s="3">
        <f t="shared" si="433"/>
        <v>1.9250865058659274E-4</v>
      </c>
      <c r="F419" s="3">
        <f t="shared" si="433"/>
        <v>1</v>
      </c>
      <c r="G419" s="3">
        <f t="shared" si="433"/>
        <v>115457719.18054733</v>
      </c>
      <c r="H419" s="3">
        <f t="shared" si="433"/>
        <v>6773887618.3229322</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4.1554385428399509E-9</v>
      </c>
      <c r="C420" s="3">
        <f t="shared" si="434"/>
        <v>2.2701588870349418E-7</v>
      </c>
      <c r="D420" s="3">
        <f t="shared" si="434"/>
        <v>8.4546563362260542E-6</v>
      </c>
      <c r="E420" s="3">
        <f t="shared" si="434"/>
        <v>1.9250865058659274E-3</v>
      </c>
      <c r="F420" s="3">
        <f t="shared" si="434"/>
        <v>10</v>
      </c>
      <c r="G420" s="3">
        <f t="shared" si="434"/>
        <v>1154577191.8054733</v>
      </c>
      <c r="H420" s="3">
        <f t="shared" si="434"/>
        <v>67738876183.229324</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4.1554385428399509E-8</v>
      </c>
      <c r="C421" s="3">
        <f t="shared" si="434"/>
        <v>2.2701588870349417E-6</v>
      </c>
      <c r="D421" s="3">
        <f t="shared" si="434"/>
        <v>8.4546563362260542E-5</v>
      </c>
      <c r="E421" s="3">
        <f t="shared" si="434"/>
        <v>1.9250865058659274E-2</v>
      </c>
      <c r="F421" s="3">
        <f t="shared" si="434"/>
        <v>100</v>
      </c>
      <c r="G421" s="3">
        <f t="shared" si="434"/>
        <v>11545771918.054733</v>
      </c>
      <c r="H421" s="3">
        <f t="shared" si="434"/>
        <v>677388761832.29321</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4.1554385428399509E-7</v>
      </c>
      <c r="C422" s="3">
        <f t="shared" si="434"/>
        <v>2.2701588870349416E-5</v>
      </c>
      <c r="D422" s="3">
        <f t="shared" si="434"/>
        <v>8.4546563362260534E-4</v>
      </c>
      <c r="E422" s="3">
        <f t="shared" si="434"/>
        <v>0.19250865058659275</v>
      </c>
      <c r="F422" s="3">
        <f t="shared" si="434"/>
        <v>1000</v>
      </c>
      <c r="G422" s="3">
        <f t="shared" si="434"/>
        <v>115457719180.54733</v>
      </c>
      <c r="H422" s="3">
        <f t="shared" si="434"/>
        <v>6773887618322.9326</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4.1554385428399512E-6</v>
      </c>
      <c r="C423" s="3">
        <f t="shared" si="434"/>
        <v>2.2701588870349418E-4</v>
      </c>
      <c r="D423" s="3">
        <f t="shared" si="434"/>
        <v>8.4546563362260536E-3</v>
      </c>
      <c r="E423" s="3">
        <f t="shared" si="434"/>
        <v>1.9250865058659274</v>
      </c>
      <c r="F423" s="3">
        <f t="shared" si="434"/>
        <v>10000</v>
      </c>
      <c r="G423" s="3">
        <f t="shared" si="434"/>
        <v>1154577191805.4734</v>
      </c>
      <c r="H423" s="3">
        <f t="shared" si="434"/>
        <v>67738876183229.32</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4.1554385428399512E-5</v>
      </c>
      <c r="C424" s="3">
        <f t="shared" si="434"/>
        <v>2.2701588870349416E-3</v>
      </c>
      <c r="D424" s="3">
        <f t="shared" si="434"/>
        <v>8.4546563362260532E-2</v>
      </c>
      <c r="E424" s="3">
        <f t="shared" si="434"/>
        <v>19.250865058659276</v>
      </c>
      <c r="F424" s="3">
        <f t="shared" si="434"/>
        <v>100000</v>
      </c>
      <c r="G424" s="3">
        <f t="shared" si="434"/>
        <v>11545771918054.732</v>
      </c>
      <c r="H424" s="3">
        <f t="shared" si="434"/>
        <v>677388761832293.25</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4.155438542839951E-4</v>
      </c>
      <c r="C425" s="3">
        <f t="shared" si="434"/>
        <v>2.2701588870349419E-2</v>
      </c>
      <c r="D425" s="3">
        <f t="shared" si="434"/>
        <v>0.84546563362260541</v>
      </c>
      <c r="E425" s="3">
        <f t="shared" si="434"/>
        <v>192.50865058659275</v>
      </c>
      <c r="F425" s="3">
        <f t="shared" si="434"/>
        <v>1000000</v>
      </c>
      <c r="G425" s="3">
        <f t="shared" si="434"/>
        <v>115457719180547.33</v>
      </c>
      <c r="H425" s="3">
        <f t="shared" si="434"/>
        <v>6773887618322932</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4.155438542839951E-3</v>
      </c>
      <c r="C426" s="3">
        <f t="shared" si="434"/>
        <v>0.22701588870349418</v>
      </c>
      <c r="D426" s="3">
        <f t="shared" si="434"/>
        <v>8.4546563362260532</v>
      </c>
      <c r="E426" s="3">
        <f t="shared" si="434"/>
        <v>1925.0865058659274</v>
      </c>
      <c r="F426" s="3">
        <f t="shared" si="434"/>
        <v>10000000</v>
      </c>
      <c r="G426" s="3">
        <f t="shared" si="434"/>
        <v>1154577191805473.2</v>
      </c>
      <c r="H426" s="3">
        <f t="shared" si="434"/>
        <v>6.7738876183229328E+16</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4.155438542839951E-2</v>
      </c>
      <c r="C427" s="3">
        <f t="shared" si="434"/>
        <v>2.2701588870349418</v>
      </c>
      <c r="D427" s="3">
        <f t="shared" si="434"/>
        <v>84.546563362260542</v>
      </c>
      <c r="E427" s="3">
        <f t="shared" si="434"/>
        <v>19250.865058659274</v>
      </c>
      <c r="F427" s="3">
        <f t="shared" si="434"/>
        <v>100000000</v>
      </c>
      <c r="G427" s="3">
        <f t="shared" si="434"/>
        <v>1.1545771918054732E+16</v>
      </c>
      <c r="H427" s="3">
        <f t="shared" si="434"/>
        <v>6.7738876183229325E+17</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0.4155438542839951</v>
      </c>
      <c r="C428" s="3">
        <f t="shared" si="434"/>
        <v>22.701588870349418</v>
      </c>
      <c r="D428" s="3">
        <f t="shared" si="434"/>
        <v>845.46563362260542</v>
      </c>
      <c r="E428" s="3">
        <f t="shared" si="434"/>
        <v>192508.65058659273</v>
      </c>
      <c r="F428" s="3">
        <f t="shared" si="434"/>
        <v>1000000000</v>
      </c>
      <c r="G428" s="3">
        <f t="shared" si="434"/>
        <v>1.1545771918054733E+17</v>
      </c>
      <c r="H428" s="3">
        <f t="shared" si="434"/>
        <v>6.7738876183229327E+18</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4.155438542839951</v>
      </c>
      <c r="C429" s="3">
        <f t="shared" si="434"/>
        <v>227.01588870349417</v>
      </c>
      <c r="D429" s="3">
        <f t="shared" si="434"/>
        <v>8454.6563362260531</v>
      </c>
      <c r="E429" s="3">
        <f t="shared" si="434"/>
        <v>1925086.5058659273</v>
      </c>
      <c r="F429" s="3">
        <f t="shared" si="434"/>
        <v>10000000000</v>
      </c>
      <c r="G429" s="3">
        <f t="shared" si="434"/>
        <v>1.1545771918054733E+18</v>
      </c>
      <c r="H429" s="3">
        <f t="shared" si="434"/>
        <v>6.7738876183229325E+19</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41.554385428399513</v>
      </c>
      <c r="C430" s="3">
        <f t="shared" si="434"/>
        <v>2270.1588870349419</v>
      </c>
      <c r="D430" s="3">
        <f t="shared" si="434"/>
        <v>84546.563362260538</v>
      </c>
      <c r="E430" s="3">
        <f t="shared" si="434"/>
        <v>19250865.058659274</v>
      </c>
      <c r="F430" s="3">
        <f t="shared" si="434"/>
        <v>100000000000</v>
      </c>
      <c r="G430" s="3">
        <f t="shared" si="434"/>
        <v>1.1545771918054732E+19</v>
      </c>
      <c r="H430" s="3">
        <f t="shared" si="434"/>
        <v>6.7738876183229327E+20</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415.54385428399513</v>
      </c>
      <c r="C431" s="3">
        <f t="shared" si="434"/>
        <v>22701.588870349417</v>
      </c>
      <c r="D431" s="3">
        <f t="shared" si="434"/>
        <v>845465.63362260535</v>
      </c>
      <c r="E431" s="3">
        <f t="shared" si="434"/>
        <v>192508650.58659273</v>
      </c>
      <c r="F431" s="3">
        <f t="shared" si="434"/>
        <v>1000000000000</v>
      </c>
      <c r="G431" s="3">
        <f t="shared" si="434"/>
        <v>1.1545771918054733E+20</v>
      </c>
      <c r="H431" s="3">
        <f t="shared" si="434"/>
        <v>6.7738876183229319E+21</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4155.438542839951</v>
      </c>
      <c r="C432" s="3">
        <f t="shared" si="434"/>
        <v>227015.88870349419</v>
      </c>
      <c r="D432" s="3">
        <f t="shared" si="434"/>
        <v>8454656.3362260535</v>
      </c>
      <c r="E432" s="3">
        <f t="shared" si="434"/>
        <v>1925086505.8659275</v>
      </c>
      <c r="F432" s="3">
        <f t="shared" si="434"/>
        <v>10000000000000</v>
      </c>
      <c r="G432" s="3">
        <f t="shared" si="434"/>
        <v>1.1545771918054733E+21</v>
      </c>
      <c r="H432" s="3">
        <f t="shared" si="434"/>
        <v>6.7738876183229321E+22</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41554.38542839951</v>
      </c>
      <c r="C433" s="3">
        <f t="shared" si="434"/>
        <v>2270158.8870349419</v>
      </c>
      <c r="D433" s="3">
        <f t="shared" si="434"/>
        <v>84546563.362260535</v>
      </c>
      <c r="E433" s="3">
        <f t="shared" si="434"/>
        <v>19250865058.659275</v>
      </c>
      <c r="F433" s="3">
        <f t="shared" si="434"/>
        <v>100000000000000</v>
      </c>
      <c r="G433" s="3">
        <f t="shared" si="434"/>
        <v>1.1545771918054734E+22</v>
      </c>
      <c r="H433" s="3">
        <f t="shared" si="434"/>
        <v>6.7738876183229321E+23</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415543.85428399511</v>
      </c>
      <c r="C434" s="3">
        <f t="shared" si="434"/>
        <v>22701588.870349418</v>
      </c>
      <c r="D434" s="3">
        <f t="shared" si="434"/>
        <v>845465633.62260532</v>
      </c>
      <c r="E434" s="3">
        <f t="shared" si="434"/>
        <v>192508650586.59274</v>
      </c>
      <c r="F434" s="3">
        <f t="shared" si="434"/>
        <v>1000000000000000</v>
      </c>
      <c r="G434" s="3">
        <f t="shared" si="434"/>
        <v>1.1545771918054732E+23</v>
      </c>
      <c r="H434" s="3">
        <f t="shared" si="434"/>
        <v>6.7738876183229321E+24</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163</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4.1554385428399511E-15</v>
      </c>
      <c r="C438" s="92">
        <f t="shared" si="435"/>
        <v>2.270158887034942E-13</v>
      </c>
      <c r="D438" s="92">
        <f t="shared" si="435"/>
        <v>8.4546563362260552E-12</v>
      </c>
      <c r="E438" s="92">
        <f t="shared" si="435"/>
        <v>1.9250865058659275E-9</v>
      </c>
      <c r="F438" s="92">
        <f t="shared" si="435"/>
        <v>1.0000000000000001E-5</v>
      </c>
      <c r="G438" s="92">
        <f t="shared" si="435"/>
        <v>1154.5771918054734</v>
      </c>
      <c r="H438" s="92">
        <f t="shared" si="435"/>
        <v>67738.876183229324</v>
      </c>
      <c r="I438" s="92">
        <f t="shared" si="435"/>
        <v>1.0000000000000001E-5</v>
      </c>
      <c r="J438" s="92">
        <f t="shared" si="435"/>
        <v>7439.7323437678724</v>
      </c>
      <c r="K438" s="92">
        <f t="shared" si="435"/>
        <v>7373.6377383352474</v>
      </c>
      <c r="L438" s="92">
        <f t="shared" si="435"/>
        <v>7330.962888127252</v>
      </c>
      <c r="M438" s="92">
        <f t="shared" si="435"/>
        <v>7264.6309792458533</v>
      </c>
      <c r="N438" s="92">
        <f t="shared" si="435"/>
        <v>6323.7668304163335</v>
      </c>
      <c r="O438" s="92">
        <f t="shared" si="435"/>
        <v>2702.914511015118</v>
      </c>
      <c r="P438" s="92">
        <f t="shared" si="435"/>
        <v>1246.5264827258</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4.1554385428399513E-14</v>
      </c>
      <c r="C439" s="92">
        <f t="shared" si="436"/>
        <v>2.2701588870349418E-12</v>
      </c>
      <c r="D439" s="92">
        <f t="shared" si="436"/>
        <v>8.4546563362260539E-11</v>
      </c>
      <c r="E439" s="92">
        <f t="shared" si="436"/>
        <v>1.9250865058659276E-8</v>
      </c>
      <c r="F439" s="92">
        <f t="shared" si="436"/>
        <v>1E-4</v>
      </c>
      <c r="G439" s="92">
        <f t="shared" si="436"/>
        <v>11545.771918054734</v>
      </c>
      <c r="H439" s="92">
        <f t="shared" si="436"/>
        <v>677388.76183229324</v>
      </c>
      <c r="I439" s="92">
        <f t="shared" si="436"/>
        <v>1E-4</v>
      </c>
      <c r="J439" s="92">
        <f t="shared" si="436"/>
        <v>7439.7322172544646</v>
      </c>
      <c r="K439" s="92">
        <f t="shared" si="436"/>
        <v>7373.6350664128558</v>
      </c>
      <c r="L439" s="92">
        <f t="shared" si="436"/>
        <v>7330.7179509954649</v>
      </c>
      <c r="M439" s="92">
        <f t="shared" si="436"/>
        <v>7153.647880511483</v>
      </c>
      <c r="N439" s="92">
        <f t="shared" si="436"/>
        <v>6060.8557573682765</v>
      </c>
      <c r="O439" s="92">
        <f t="shared" si="436"/>
        <v>1832.1518571214692</v>
      </c>
      <c r="P439" s="92">
        <f t="shared" si="436"/>
        <v>721.62368462950201</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4.1554385428399512E-13</v>
      </c>
      <c r="C440" s="92">
        <f t="shared" si="436"/>
        <v>2.270158887034942E-11</v>
      </c>
      <c r="D440" s="92">
        <f t="shared" si="436"/>
        <v>8.4546563362260539E-10</v>
      </c>
      <c r="E440" s="92">
        <f t="shared" si="436"/>
        <v>1.9250865058659276E-7</v>
      </c>
      <c r="F440" s="92">
        <f t="shared" si="436"/>
        <v>1E-3</v>
      </c>
      <c r="G440" s="92">
        <f t="shared" si="436"/>
        <v>115457.71918054733</v>
      </c>
      <c r="H440" s="92">
        <f t="shared" si="436"/>
        <v>6773887.6183229322</v>
      </c>
      <c r="I440" s="92">
        <f t="shared" si="436"/>
        <v>1E-3</v>
      </c>
      <c r="J440" s="92">
        <f t="shared" si="436"/>
        <v>7439.7315214307937</v>
      </c>
      <c r="K440" s="92">
        <f t="shared" si="436"/>
        <v>7373.6085958444728</v>
      </c>
      <c r="L440" s="92">
        <f t="shared" si="436"/>
        <v>7328.2878922672335</v>
      </c>
      <c r="M440" s="92">
        <f t="shared" si="436"/>
        <v>7011.9974153857656</v>
      </c>
      <c r="N440" s="92">
        <f t="shared" si="436"/>
        <v>5776.7475493188331</v>
      </c>
      <c r="O440" s="92">
        <f t="shared" si="436"/>
        <v>1105.139847553852</v>
      </c>
      <c r="P440" s="92">
        <f t="shared" si="436"/>
        <v>404.72633399765499</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4.1554385428399516E-12</v>
      </c>
      <c r="C441" s="92">
        <f t="shared" si="436"/>
        <v>2.270158887034942E-10</v>
      </c>
      <c r="D441" s="92">
        <f t="shared" si="436"/>
        <v>8.4546563362260539E-9</v>
      </c>
      <c r="E441" s="92">
        <f t="shared" si="436"/>
        <v>1.9250865058659274E-6</v>
      </c>
      <c r="F441" s="92">
        <f t="shared" si="436"/>
        <v>0.01</v>
      </c>
      <c r="G441" s="92">
        <f t="shared" si="436"/>
        <v>1154577.1918054733</v>
      </c>
      <c r="H441" s="92">
        <f t="shared" si="436"/>
        <v>67738876.183229327</v>
      </c>
      <c r="I441" s="92">
        <f t="shared" si="436"/>
        <v>0.01</v>
      </c>
      <c r="J441" s="92">
        <f t="shared" si="436"/>
        <v>7439.7241836618095</v>
      </c>
      <c r="K441" s="92">
        <f t="shared" si="436"/>
        <v>7373.3444598084343</v>
      </c>
      <c r="L441" s="92">
        <f t="shared" si="436"/>
        <v>7305.7841813741479</v>
      </c>
      <c r="M441" s="92">
        <f t="shared" si="436"/>
        <v>6854.7708758756735</v>
      </c>
      <c r="N441" s="92">
        <f t="shared" si="436"/>
        <v>5495.7675366958674</v>
      </c>
      <c r="O441" s="92">
        <f t="shared" si="436"/>
        <v>630.91869332772831</v>
      </c>
      <c r="P441" s="92">
        <f t="shared" si="436"/>
        <v>265.07180083177406</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4.1554385428399514E-11</v>
      </c>
      <c r="C442" s="92">
        <f t="shared" si="436"/>
        <v>2.2701588870349419E-9</v>
      </c>
      <c r="D442" s="92">
        <f t="shared" si="436"/>
        <v>8.4546563362260545E-8</v>
      </c>
      <c r="E442" s="92">
        <f t="shared" si="436"/>
        <v>1.9250865058659274E-5</v>
      </c>
      <c r="F442" s="92">
        <f t="shared" si="436"/>
        <v>0.1</v>
      </c>
      <c r="G442" s="92">
        <f t="shared" si="436"/>
        <v>11545771.918054733</v>
      </c>
      <c r="H442" s="92">
        <f t="shared" si="436"/>
        <v>677388761.83229327</v>
      </c>
      <c r="I442" s="92">
        <f t="shared" si="436"/>
        <v>0.1</v>
      </c>
      <c r="J442" s="92">
        <f t="shared" si="436"/>
        <v>7439.6508067680606</v>
      </c>
      <c r="K442" s="92">
        <f t="shared" si="436"/>
        <v>7370.7250016112393</v>
      </c>
      <c r="L442" s="92">
        <f t="shared" si="436"/>
        <v>7188.9840707641179</v>
      </c>
      <c r="M442" s="92">
        <f t="shared" si="436"/>
        <v>6667.3368038637464</v>
      </c>
      <c r="N442" s="92">
        <f t="shared" si="436"/>
        <v>5188.5996988750203</v>
      </c>
      <c r="O442" s="92">
        <f t="shared" si="436"/>
        <v>354.28738756335468</v>
      </c>
      <c r="P442" s="92">
        <f t="shared" si="436"/>
        <v>224.4007416662501</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4.155438542839951E-10</v>
      </c>
      <c r="C443" s="92">
        <f t="shared" si="436"/>
        <v>2.2701588870349417E-8</v>
      </c>
      <c r="D443" s="92">
        <f t="shared" si="436"/>
        <v>8.4546563362260537E-7</v>
      </c>
      <c r="E443" s="92">
        <f t="shared" si="436"/>
        <v>1.9250865058659274E-4</v>
      </c>
      <c r="F443" s="92">
        <f t="shared" si="436"/>
        <v>1</v>
      </c>
      <c r="G443" s="92">
        <f t="shared" si="436"/>
        <v>115457719.18054733</v>
      </c>
      <c r="H443" s="92">
        <f t="shared" si="436"/>
        <v>6773887618.3229322</v>
      </c>
      <c r="I443" s="92">
        <f t="shared" si="436"/>
        <v>1</v>
      </c>
      <c r="J443" s="92">
        <f t="shared" si="436"/>
        <v>7438.9188882303606</v>
      </c>
      <c r="K443" s="92">
        <f t="shared" si="436"/>
        <v>7346.5860708392247</v>
      </c>
      <c r="L443" s="92">
        <f t="shared" si="436"/>
        <v>7045.3278356909095</v>
      </c>
      <c r="M443" s="92">
        <f t="shared" si="436"/>
        <v>6457.8733144157241</v>
      </c>
      <c r="N443" s="92">
        <f t="shared" si="436"/>
        <v>4846.1759775211867</v>
      </c>
      <c r="O443" s="92">
        <f t="shared" si="436"/>
        <v>248.22351395532451</v>
      </c>
      <c r="P443" s="92">
        <f t="shared" si="436"/>
        <v>202.49198438372559</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4.1554385428399509E-9</v>
      </c>
      <c r="C444" s="92">
        <f t="shared" si="436"/>
        <v>2.2701588870349418E-7</v>
      </c>
      <c r="D444" s="92">
        <f t="shared" si="436"/>
        <v>8.4546563362260542E-6</v>
      </c>
      <c r="E444" s="92">
        <f t="shared" si="436"/>
        <v>1.9250865058659274E-3</v>
      </c>
      <c r="F444" s="92">
        <f t="shared" si="436"/>
        <v>10</v>
      </c>
      <c r="G444" s="92">
        <f t="shared" si="436"/>
        <v>1154577191.8054733</v>
      </c>
      <c r="H444" s="92">
        <f t="shared" si="436"/>
        <v>67738876183.229324</v>
      </c>
      <c r="I444" s="92">
        <f t="shared" si="436"/>
        <v>10</v>
      </c>
      <c r="J444" s="92">
        <f t="shared" si="436"/>
        <v>7431.7642795214106</v>
      </c>
      <c r="K444" s="92">
        <f t="shared" si="436"/>
        <v>7225.4468313347925</v>
      </c>
      <c r="L444" s="92">
        <f t="shared" si="436"/>
        <v>6881.2247214769232</v>
      </c>
      <c r="M444" s="92">
        <f t="shared" si="436"/>
        <v>6197.1395066404111</v>
      </c>
      <c r="N444" s="92">
        <f t="shared" si="436"/>
        <v>4307.5308640863095</v>
      </c>
      <c r="O444" s="92">
        <f t="shared" si="436"/>
        <v>214.57476664013214</v>
      </c>
      <c r="P444" s="92">
        <f t="shared" si="436"/>
        <v>189.83771999127222</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4.1554385428399509E-8</v>
      </c>
      <c r="C445" s="92">
        <f t="shared" si="436"/>
        <v>2.2701588870349417E-6</v>
      </c>
      <c r="D445" s="92">
        <f t="shared" si="436"/>
        <v>8.4546563362260542E-5</v>
      </c>
      <c r="E445" s="92">
        <f t="shared" si="436"/>
        <v>1.9250865058659274E-2</v>
      </c>
      <c r="F445" s="92">
        <f t="shared" si="436"/>
        <v>100</v>
      </c>
      <c r="G445" s="92">
        <f t="shared" si="436"/>
        <v>11545771918.054733</v>
      </c>
      <c r="H445" s="92">
        <f t="shared" si="436"/>
        <v>677388761832.29321</v>
      </c>
      <c r="I445" s="92">
        <f t="shared" si="436"/>
        <v>100</v>
      </c>
      <c r="J445" s="92">
        <f t="shared" si="436"/>
        <v>7374.1954046997607</v>
      </c>
      <c r="K445" s="92">
        <f t="shared" si="436"/>
        <v>7074.5614632967963</v>
      </c>
      <c r="L445" s="92">
        <f t="shared" si="436"/>
        <v>6633.2763958157147</v>
      </c>
      <c r="M445" s="92">
        <f t="shared" si="436"/>
        <v>5728.6851502202007</v>
      </c>
      <c r="N445" s="92">
        <f t="shared" si="436"/>
        <v>3424.2409160347711</v>
      </c>
      <c r="O445" s="92">
        <f t="shared" si="436"/>
        <v>185.72591291449908</v>
      </c>
      <c r="P445" s="92">
        <f t="shared" si="436"/>
        <v>169.86288435020435</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4.1554385428399509E-7</v>
      </c>
      <c r="C446" s="92">
        <f t="shared" si="436"/>
        <v>2.2701588870349416E-5</v>
      </c>
      <c r="D446" s="92">
        <f t="shared" si="436"/>
        <v>8.4546563362260534E-4</v>
      </c>
      <c r="E446" s="92">
        <f t="shared" si="436"/>
        <v>0.19250865058659275</v>
      </c>
      <c r="F446" s="92">
        <f t="shared" si="436"/>
        <v>1000</v>
      </c>
      <c r="G446" s="92">
        <f t="shared" si="436"/>
        <v>115457719180.54733</v>
      </c>
      <c r="H446" s="92">
        <f t="shared" si="436"/>
        <v>6773887618322.9326</v>
      </c>
      <c r="I446" s="92">
        <f t="shared" si="436"/>
        <v>1000</v>
      </c>
      <c r="J446" s="92">
        <f t="shared" si="436"/>
        <v>7229.1163160436472</v>
      </c>
      <c r="K446" s="92">
        <f t="shared" si="436"/>
        <v>6837.385209483964</v>
      </c>
      <c r="L446" s="92">
        <f t="shared" si="436"/>
        <v>6142.0459094556854</v>
      </c>
      <c r="M446" s="92">
        <f t="shared" si="436"/>
        <v>4909.4106843846976</v>
      </c>
      <c r="N446" s="92">
        <f t="shared" si="436"/>
        <v>2457.6306581082695</v>
      </c>
      <c r="O446" s="92">
        <f t="shared" si="436"/>
        <v>158.09658219581334</v>
      </c>
      <c r="P446" s="92">
        <f t="shared" si="436"/>
        <v>142.29365996368665</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4.1554385428399512E-6</v>
      </c>
      <c r="C447" s="92">
        <f t="shared" si="436"/>
        <v>2.2701588870349418E-4</v>
      </c>
      <c r="D447" s="92">
        <f t="shared" si="436"/>
        <v>8.4546563362260536E-3</v>
      </c>
      <c r="E447" s="92">
        <f t="shared" si="436"/>
        <v>1.9250865058659274</v>
      </c>
      <c r="F447" s="92">
        <f t="shared" si="436"/>
        <v>10000</v>
      </c>
      <c r="G447" s="92">
        <f t="shared" si="436"/>
        <v>1154577191805.4734</v>
      </c>
      <c r="H447" s="92">
        <f t="shared" si="436"/>
        <v>67738876183229.32</v>
      </c>
      <c r="I447" s="92">
        <f t="shared" si="436"/>
        <v>10000</v>
      </c>
      <c r="J447" s="92">
        <f t="shared" si="436"/>
        <v>7065.0007195804155</v>
      </c>
      <c r="K447" s="92">
        <f t="shared" si="436"/>
        <v>6289.6718355453368</v>
      </c>
      <c r="L447" s="92">
        <f t="shared" si="436"/>
        <v>5263.2654078154883</v>
      </c>
      <c r="M447" s="92">
        <f t="shared" si="436"/>
        <v>4054.6855956010618</v>
      </c>
      <c r="N447" s="92">
        <f t="shared" si="436"/>
        <v>1610.938712030013</v>
      </c>
      <c r="O447" s="92">
        <f t="shared" si="436"/>
        <v>132.46407229952649</v>
      </c>
      <c r="P447" s="92">
        <f t="shared" si="436"/>
        <v>121.71619952615258</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4.1554385428399512E-5</v>
      </c>
      <c r="C448" s="92">
        <f t="shared" si="436"/>
        <v>2.2701588870349416E-3</v>
      </c>
      <c r="D448" s="92">
        <f t="shared" si="436"/>
        <v>8.4546563362260532E-2</v>
      </c>
      <c r="E448" s="92">
        <f t="shared" si="436"/>
        <v>19.250865058659276</v>
      </c>
      <c r="F448" s="92">
        <f t="shared" si="436"/>
        <v>100000</v>
      </c>
      <c r="G448" s="92">
        <f t="shared" si="436"/>
        <v>11545771918054.732</v>
      </c>
      <c r="H448" s="92">
        <f t="shared" si="436"/>
        <v>677388761832293.25</v>
      </c>
      <c r="I448" s="92">
        <f t="shared" si="436"/>
        <v>100000</v>
      </c>
      <c r="J448" s="92">
        <f t="shared" si="436"/>
        <v>6763.2909836921517</v>
      </c>
      <c r="K448" s="92">
        <f t="shared" si="436"/>
        <v>5393.096219252795</v>
      </c>
      <c r="L448" s="92">
        <f t="shared" si="436"/>
        <v>4399.1328288595505</v>
      </c>
      <c r="M448" s="92">
        <f t="shared" si="436"/>
        <v>3384.7376862720757</v>
      </c>
      <c r="N448" s="92">
        <f t="shared" si="436"/>
        <v>942.69111378955085</v>
      </c>
      <c r="O448" s="92">
        <f t="shared" si="436"/>
        <v>115.64370251909122</v>
      </c>
      <c r="P448" s="92">
        <f t="shared" si="436"/>
        <v>109.27679567564616</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4.155438542839951E-4</v>
      </c>
      <c r="C449" s="92">
        <f t="shared" si="436"/>
        <v>2.2701588870349419E-2</v>
      </c>
      <c r="D449" s="92">
        <f t="shared" si="436"/>
        <v>0.84546563362260541</v>
      </c>
      <c r="E449" s="92">
        <f t="shared" si="436"/>
        <v>192.50865058659275</v>
      </c>
      <c r="F449" s="92">
        <f t="shared" si="436"/>
        <v>1000000</v>
      </c>
      <c r="G449" s="92">
        <f t="shared" si="436"/>
        <v>115457719180547.33</v>
      </c>
      <c r="H449" s="92">
        <f t="shared" si="436"/>
        <v>6773887618322932</v>
      </c>
      <c r="I449" s="92">
        <f t="shared" si="436"/>
        <v>1000000</v>
      </c>
      <c r="J449" s="92">
        <f t="shared" si="436"/>
        <v>6076.274832146727</v>
      </c>
      <c r="K449" s="92">
        <f t="shared" si="436"/>
        <v>4558.7271908643725</v>
      </c>
      <c r="L449" s="92">
        <f t="shared" si="436"/>
        <v>3757.2475587809995</v>
      </c>
      <c r="M449" s="92">
        <f t="shared" si="436"/>
        <v>2867.8130883318549</v>
      </c>
      <c r="N449" s="92">
        <f t="shared" si="436"/>
        <v>510.32470275306576</v>
      </c>
      <c r="O449" s="92">
        <f t="shared" si="436"/>
        <v>105.70344373363407</v>
      </c>
      <c r="P449" s="92">
        <f t="shared" si="436"/>
        <v>101.92394551670053</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4.155438542839951E-3</v>
      </c>
      <c r="C450" s="92">
        <f t="shared" si="436"/>
        <v>0.22701588870349418</v>
      </c>
      <c r="D450" s="92">
        <f t="shared" si="436"/>
        <v>8.4546563362260532</v>
      </c>
      <c r="E450" s="92">
        <f t="shared" si="436"/>
        <v>1925.0865058659274</v>
      </c>
      <c r="F450" s="92">
        <f t="shared" si="436"/>
        <v>10000000</v>
      </c>
      <c r="G450" s="92">
        <f t="shared" si="436"/>
        <v>1154577191805473.2</v>
      </c>
      <c r="H450" s="92">
        <f t="shared" si="436"/>
        <v>6.7738876183229328E+16</v>
      </c>
      <c r="I450" s="92">
        <f t="shared" si="436"/>
        <v>10000000</v>
      </c>
      <c r="J450" s="92">
        <f t="shared" si="436"/>
        <v>5152.9727387836929</v>
      </c>
      <c r="K450" s="92">
        <f t="shared" si="436"/>
        <v>3927.5350129983676</v>
      </c>
      <c r="L450" s="92">
        <f t="shared" si="436"/>
        <v>3291.1531992809396</v>
      </c>
      <c r="M450" s="92">
        <f t="shared" si="436"/>
        <v>2393.9219661874804</v>
      </c>
      <c r="N450" s="92">
        <f t="shared" si="436"/>
        <v>271.36767023207187</v>
      </c>
      <c r="O450" s="92">
        <f t="shared" si="436"/>
        <v>99.769058005183027</v>
      </c>
      <c r="P450" s="92">
        <f t="shared" si="436"/>
        <v>97.501289329192588</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4.155438542839951E-2</v>
      </c>
      <c r="C451" s="92">
        <f t="shared" si="436"/>
        <v>2.2701588870349418</v>
      </c>
      <c r="D451" s="92">
        <f t="shared" si="436"/>
        <v>84.546563362260542</v>
      </c>
      <c r="E451" s="92">
        <f t="shared" si="436"/>
        <v>19250.865058659274</v>
      </c>
      <c r="F451" s="92">
        <f t="shared" si="436"/>
        <v>100000000</v>
      </c>
      <c r="G451" s="92">
        <f t="shared" si="436"/>
        <v>1.1545771918054732E+16</v>
      </c>
      <c r="H451" s="92">
        <f t="shared" si="436"/>
        <v>6.7738876183229325E+17</v>
      </c>
      <c r="I451" s="92">
        <f t="shared" si="436"/>
        <v>100000000</v>
      </c>
      <c r="J451" s="92">
        <f t="shared" si="436"/>
        <v>4349.4578522571974</v>
      </c>
      <c r="K451" s="92">
        <f t="shared" si="436"/>
        <v>3470.8276794707381</v>
      </c>
      <c r="L451" s="92">
        <f t="shared" si="436"/>
        <v>2923.3907186801598</v>
      </c>
      <c r="M451" s="92">
        <f t="shared" si="436"/>
        <v>1923.0446750969861</v>
      </c>
      <c r="N451" s="92">
        <f t="shared" si="436"/>
        <v>152.45647454769647</v>
      </c>
      <c r="O451" s="92">
        <f t="shared" si="436"/>
        <v>96.16135307969536</v>
      </c>
      <c r="P451" s="92">
        <f t="shared" si="436"/>
        <v>94.712895608864457</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0.4155438542839951</v>
      </c>
      <c r="C452" s="92">
        <f t="shared" si="436"/>
        <v>22.701588870349418</v>
      </c>
      <c r="D452" s="92">
        <f t="shared" si="436"/>
        <v>845.46563362260542</v>
      </c>
      <c r="E452" s="92">
        <f t="shared" si="436"/>
        <v>192508.65058659273</v>
      </c>
      <c r="F452" s="92">
        <f t="shared" si="436"/>
        <v>1000000000</v>
      </c>
      <c r="G452" s="92">
        <f t="shared" si="436"/>
        <v>1.1545771918054733E+17</v>
      </c>
      <c r="H452" s="92">
        <f t="shared" si="436"/>
        <v>6.7738876183229327E+18</v>
      </c>
      <c r="I452" s="92">
        <f t="shared" si="436"/>
        <v>1000000000</v>
      </c>
      <c r="J452" s="92">
        <f t="shared" si="436"/>
        <v>3760.3414331574859</v>
      </c>
      <c r="K452" s="92">
        <f t="shared" si="436"/>
        <v>3119.1195128427248</v>
      </c>
      <c r="L452" s="92">
        <f t="shared" si="436"/>
        <v>2591.8565821190209</v>
      </c>
      <c r="M452" s="92">
        <f t="shared" si="436"/>
        <v>1433.0262098856042</v>
      </c>
      <c r="N452" s="92">
        <f t="shared" si="436"/>
        <v>114.48528241321054</v>
      </c>
      <c r="O452" s="92">
        <f t="shared" si="436"/>
        <v>93.862812708921865</v>
      </c>
      <c r="P452" s="92">
        <f t="shared" si="436"/>
        <v>92.92945942455529</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4.155438542839951</v>
      </c>
      <c r="C453" s="92">
        <f t="shared" si="436"/>
        <v>227.01588870349417</v>
      </c>
      <c r="D453" s="92">
        <f t="shared" si="436"/>
        <v>8454.6563362260531</v>
      </c>
      <c r="E453" s="92">
        <f t="shared" si="436"/>
        <v>1925086.5058659273</v>
      </c>
      <c r="F453" s="92">
        <f t="shared" si="436"/>
        <v>10000000000</v>
      </c>
      <c r="G453" s="92">
        <f t="shared" si="436"/>
        <v>1.1545771918054733E+18</v>
      </c>
      <c r="H453" s="92">
        <f t="shared" si="436"/>
        <v>6.7738876183229325E+19</v>
      </c>
      <c r="I453" s="92">
        <f t="shared" si="436"/>
        <v>10000000000</v>
      </c>
      <c r="J453" s="92">
        <f t="shared" si="436"/>
        <v>3336.4331784463179</v>
      </c>
      <c r="K453" s="92">
        <f t="shared" si="436"/>
        <v>2819.4631556550398</v>
      </c>
      <c r="L453" s="92">
        <f t="shared" si="436"/>
        <v>2227.1388397843657</v>
      </c>
      <c r="M453" s="92">
        <f t="shared" si="436"/>
        <v>928.3724969127901</v>
      </c>
      <c r="N453" s="92">
        <f t="shared" si="436"/>
        <v>101.06517730245214</v>
      </c>
      <c r="O453" s="92">
        <f t="shared" si="436"/>
        <v>92.381155101656375</v>
      </c>
      <c r="P453" s="92">
        <f t="shared" si="436"/>
        <v>92.006187989209394</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41.554385428399513</v>
      </c>
      <c r="C454" s="92">
        <f t="shared" si="437"/>
        <v>2270.1588870349419</v>
      </c>
      <c r="D454" s="92">
        <f t="shared" si="437"/>
        <v>84546.563362260538</v>
      </c>
      <c r="E454" s="92">
        <f t="shared" si="437"/>
        <v>19250865.058659274</v>
      </c>
      <c r="F454" s="92">
        <f t="shared" si="437"/>
        <v>100000000000</v>
      </c>
      <c r="G454" s="92">
        <f t="shared" si="437"/>
        <v>1.1545771918054732E+19</v>
      </c>
      <c r="H454" s="92">
        <f t="shared" si="437"/>
        <v>6.7738876183229327E+20</v>
      </c>
      <c r="I454" s="92">
        <f t="shared" si="437"/>
        <v>100000000000</v>
      </c>
      <c r="J454" s="92">
        <f t="shared" si="437"/>
        <v>2995.2983606085086</v>
      </c>
      <c r="K454" s="92">
        <f t="shared" si="437"/>
        <v>2525.9157804368465</v>
      </c>
      <c r="L454" s="92">
        <f t="shared" si="437"/>
        <v>1818.1045605438685</v>
      </c>
      <c r="M454" s="92">
        <f t="shared" si="437"/>
        <v>540.77757065756475</v>
      </c>
      <c r="N454" s="92">
        <f t="shared" si="437"/>
        <v>93.059878245985715</v>
      </c>
      <c r="O454" s="92">
        <f t="shared" si="437"/>
        <v>92.126538569786135</v>
      </c>
      <c r="P454" s="92">
        <f t="shared" si="437"/>
        <v>91.763267256404887</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415.54385428399513</v>
      </c>
      <c r="C455" s="92">
        <f t="shared" si="437"/>
        <v>22701.588870349417</v>
      </c>
      <c r="D455" s="92">
        <f t="shared" si="437"/>
        <v>845465.63362260535</v>
      </c>
      <c r="E455" s="92">
        <f t="shared" si="437"/>
        <v>192508650.58659273</v>
      </c>
      <c r="F455" s="92">
        <f t="shared" si="437"/>
        <v>1000000000000</v>
      </c>
      <c r="G455" s="92">
        <f t="shared" si="437"/>
        <v>1.1545771918054733E+20</v>
      </c>
      <c r="H455" s="92">
        <f t="shared" si="437"/>
        <v>6.7738876183229319E+21</v>
      </c>
      <c r="I455" s="92">
        <f t="shared" si="437"/>
        <v>1000000000000</v>
      </c>
      <c r="J455" s="92">
        <f t="shared" si="437"/>
        <v>2700.8479980556854</v>
      </c>
      <c r="K455" s="92">
        <f t="shared" si="437"/>
        <v>2182.665940608038</v>
      </c>
      <c r="L455" s="92">
        <f t="shared" si="437"/>
        <v>1362.7209266527218</v>
      </c>
      <c r="M455" s="92">
        <f t="shared" si="437"/>
        <v>302.10819766520217</v>
      </c>
      <c r="N455" s="92">
        <f t="shared" si="437"/>
        <v>92.631968530961771</v>
      </c>
      <c r="O455" s="92">
        <f t="shared" si="437"/>
        <v>91.086268606556416</v>
      </c>
      <c r="P455" s="92">
        <f t="shared" si="437"/>
        <v>90.809569282014081</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4155.438542839951</v>
      </c>
      <c r="C456" s="92">
        <f t="shared" si="437"/>
        <v>227015.88870349419</v>
      </c>
      <c r="D456" s="92">
        <f t="shared" si="437"/>
        <v>8454656.3362260535</v>
      </c>
      <c r="E456" s="92">
        <f t="shared" si="437"/>
        <v>1925086505.8659275</v>
      </c>
      <c r="F456" s="92">
        <f t="shared" si="437"/>
        <v>10000000000000</v>
      </c>
      <c r="G456" s="92">
        <f t="shared" si="437"/>
        <v>1.1545771918054733E+21</v>
      </c>
      <c r="H456" s="92">
        <f t="shared" si="437"/>
        <v>6.7738876183229321E+22</v>
      </c>
      <c r="I456" s="92">
        <f t="shared" si="437"/>
        <v>10000000000000</v>
      </c>
      <c r="J456" s="92">
        <f t="shared" si="437"/>
        <v>2380.901782740345</v>
      </c>
      <c r="K456" s="92">
        <f t="shared" si="437"/>
        <v>1785.8998006119411</v>
      </c>
      <c r="L456" s="92">
        <f t="shared" si="437"/>
        <v>882.60529508909428</v>
      </c>
      <c r="M456" s="92">
        <f t="shared" si="437"/>
        <v>167.95607666429018</v>
      </c>
      <c r="N456" s="92">
        <f t="shared" si="437"/>
        <v>91.23127997996707</v>
      </c>
      <c r="O456" s="92">
        <f t="shared" si="437"/>
        <v>90.886673770022838</v>
      </c>
      <c r="P456" s="92">
        <f t="shared" si="437"/>
        <v>90.794437108888047</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41554.38542839951</v>
      </c>
      <c r="C457" s="92">
        <f t="shared" si="437"/>
        <v>2270158.8870349419</v>
      </c>
      <c r="D457" s="92">
        <f t="shared" si="437"/>
        <v>84546563.362260535</v>
      </c>
      <c r="E457" s="92">
        <f t="shared" si="437"/>
        <v>19250865058.659275</v>
      </c>
      <c r="F457" s="92">
        <f t="shared" si="437"/>
        <v>100000000000000</v>
      </c>
      <c r="G457" s="92">
        <f t="shared" si="437"/>
        <v>1.1545771918054734E+22</v>
      </c>
      <c r="H457" s="92">
        <f t="shared" si="437"/>
        <v>6.7738876183229321E+23</v>
      </c>
      <c r="I457" s="92">
        <f t="shared" si="437"/>
        <v>100000000000000</v>
      </c>
      <c r="J457" s="92">
        <f t="shared" si="437"/>
        <v>2012.430565108212</v>
      </c>
      <c r="K457" s="92">
        <f t="shared" si="437"/>
        <v>1337.7075606161161</v>
      </c>
      <c r="L457" s="92">
        <f t="shared" si="437"/>
        <v>513.97783275284667</v>
      </c>
      <c r="M457" s="92">
        <f t="shared" si="437"/>
        <v>115.55588342611547</v>
      </c>
      <c r="N457" s="92">
        <f t="shared" si="437"/>
        <v>91.209911146223277</v>
      </c>
      <c r="O457" s="92">
        <f t="shared" si="437"/>
        <v>90.290301687552557</v>
      </c>
      <c r="P457" s="92">
        <f t="shared" si="437"/>
        <v>90.157522811707935</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415543.85428399511</v>
      </c>
      <c r="C458" s="92">
        <f t="shared" si="437"/>
        <v>22701588.870349418</v>
      </c>
      <c r="D458" s="92">
        <f t="shared" si="437"/>
        <v>845465633.62260532</v>
      </c>
      <c r="E458" s="92">
        <f t="shared" si="437"/>
        <v>192508650586.59274</v>
      </c>
      <c r="F458" s="92">
        <f t="shared" si="437"/>
        <v>1000000000000000</v>
      </c>
      <c r="G458" s="92">
        <f t="shared" si="437"/>
        <v>1.1545771918054732E+23</v>
      </c>
      <c r="H458" s="92">
        <f t="shared" si="437"/>
        <v>6.7738876183229321E+24</v>
      </c>
      <c r="I458" s="92">
        <f t="shared" si="437"/>
        <v>1000000000000000</v>
      </c>
      <c r="J458" s="92">
        <f t="shared" si="437"/>
        <v>1596.0920370512245</v>
      </c>
      <c r="K458" s="92">
        <f t="shared" si="437"/>
        <v>864.52071218722244</v>
      </c>
      <c r="L458" s="92">
        <f t="shared" si="437"/>
        <v>287.95166024173568</v>
      </c>
      <c r="M458" s="92">
        <f t="shared" si="437"/>
        <v>100.53155340781859</v>
      </c>
      <c r="N458" s="92">
        <f t="shared" si="437"/>
        <v>90.301560772176387</v>
      </c>
      <c r="O458" s="92">
        <f t="shared" si="437"/>
        <v>90.056329050223439</v>
      </c>
      <c r="P458" s="92">
        <f t="shared" si="437"/>
        <v>89.913434838716469</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8"/>
      <c r="B532" s="128"/>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28"/>
      <c r="B581" s="128"/>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28"/>
      <c r="B596" s="128"/>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8"/>
      <c r="B650" s="128"/>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64" zoomScale="110" zoomScaleNormal="110" workbookViewId="0">
      <selection activeCell="U85" sqref="U85"/>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-14.381383136335893</v>
      </c>
      <c r="C4" s="10">
        <f>LOG10('Mastercurve bestimmen'!C438)</f>
        <v>-12.643943745737406</v>
      </c>
      <c r="D4" s="10">
        <f>LOG10('Mastercurve bestimmen'!D438)</f>
        <v>-11.072904040853228</v>
      </c>
      <c r="E4" s="10">
        <f>LOG10('Mastercurve bestimmen'!E438)</f>
        <v>-8.7155497502198394</v>
      </c>
      <c r="F4" s="10">
        <f>LOG10('Mastercurve bestimmen'!F438)</f>
        <v>-5</v>
      </c>
      <c r="G4" s="10">
        <f>LOG10('Mastercurve bestimmen'!G438)</f>
        <v>3.0624229739396225</v>
      </c>
      <c r="H4" s="10">
        <f>LOG10('Mastercurve bestimmen'!H438)</f>
        <v>4.8308379872381835</v>
      </c>
      <c r="I4" s="3">
        <f>'Mastercurve bestimmen'!I438</f>
        <v>1.0000000000000001E-5</v>
      </c>
      <c r="J4" s="3">
        <f>'Mastercurve bestimmen'!J438</f>
        <v>7439.7323437678724</v>
      </c>
      <c r="K4" s="3">
        <f>'Mastercurve bestimmen'!K438</f>
        <v>7373.6377383352474</v>
      </c>
      <c r="L4" s="3">
        <f>'Mastercurve bestimmen'!L438</f>
        <v>7330.962888127252</v>
      </c>
      <c r="M4" s="3">
        <f>'Mastercurve bestimmen'!M438</f>
        <v>7264.6309792458533</v>
      </c>
      <c r="N4" s="3">
        <f>'Mastercurve bestimmen'!N438</f>
        <v>6323.7668304163335</v>
      </c>
      <c r="O4" s="3">
        <f>'Mastercurve bestimmen'!O438</f>
        <v>2702.914511015118</v>
      </c>
      <c r="P4" s="3">
        <f>'Mastercurve bestimmen'!P438</f>
        <v>1246.5264827258</v>
      </c>
      <c r="Q4" s="3"/>
    </row>
    <row r="5" spans="1:17" x14ac:dyDescent="0.25">
      <c r="A5" s="10">
        <f>LOG10('Mastercurve bestimmen'!A439)</f>
        <v>-4</v>
      </c>
      <c r="B5" s="10">
        <f>LOG10('Mastercurve bestimmen'!B439)</f>
        <v>-13.381383136335893</v>
      </c>
      <c r="C5" s="10">
        <f>LOG10('Mastercurve bestimmen'!C439)</f>
        <v>-11.643943745737406</v>
      </c>
      <c r="D5" s="10">
        <f>LOG10('Mastercurve bestimmen'!D439)</f>
        <v>-10.072904040853228</v>
      </c>
      <c r="E5" s="10">
        <f>LOG10('Mastercurve bestimmen'!E439)</f>
        <v>-7.7155497502198394</v>
      </c>
      <c r="F5" s="10">
        <f>LOG10('Mastercurve bestimmen'!F439)</f>
        <v>-4</v>
      </c>
      <c r="G5" s="10">
        <f>LOG10('Mastercurve bestimmen'!G439)</f>
        <v>4.0624229739396229</v>
      </c>
      <c r="H5" s="10">
        <f>LOG10('Mastercurve bestimmen'!H439)</f>
        <v>5.8308379872381835</v>
      </c>
      <c r="I5" s="3">
        <f>'Mastercurve bestimmen'!I439</f>
        <v>1E-4</v>
      </c>
      <c r="J5" s="3">
        <f>'Mastercurve bestimmen'!J439</f>
        <v>7439.7322172544646</v>
      </c>
      <c r="K5" s="3">
        <f>'Mastercurve bestimmen'!K439</f>
        <v>7373.6350664128558</v>
      </c>
      <c r="L5" s="3">
        <f>'Mastercurve bestimmen'!L439</f>
        <v>7330.7179509954649</v>
      </c>
      <c r="M5" s="3">
        <f>'Mastercurve bestimmen'!M439</f>
        <v>7153.647880511483</v>
      </c>
      <c r="N5" s="3">
        <f>'Mastercurve bestimmen'!N439</f>
        <v>6060.8557573682765</v>
      </c>
      <c r="O5" s="3">
        <f>'Mastercurve bestimmen'!O439</f>
        <v>1832.1518571214692</v>
      </c>
      <c r="P5" s="3">
        <f>'Mastercurve bestimmen'!P439</f>
        <v>721.62368462950201</v>
      </c>
    </row>
    <row r="6" spans="1:17" x14ac:dyDescent="0.25">
      <c r="A6" s="10">
        <f>LOG10('Mastercurve bestimmen'!A440)</f>
        <v>-3</v>
      </c>
      <c r="B6" s="10">
        <f>LOG10('Mastercurve bestimmen'!B440)</f>
        <v>-12.381383136335893</v>
      </c>
      <c r="C6" s="10">
        <f>LOG10('Mastercurve bestimmen'!C440)</f>
        <v>-10.643943745737406</v>
      </c>
      <c r="D6" s="10">
        <f>LOG10('Mastercurve bestimmen'!D440)</f>
        <v>-9.0729040408532278</v>
      </c>
      <c r="E6" s="10">
        <f>LOG10('Mastercurve bestimmen'!E440)</f>
        <v>-6.7155497502198394</v>
      </c>
      <c r="F6" s="10">
        <f>LOG10('Mastercurve bestimmen'!F440)</f>
        <v>-3</v>
      </c>
      <c r="G6" s="10">
        <f>LOG10('Mastercurve bestimmen'!G440)</f>
        <v>5.0624229739396229</v>
      </c>
      <c r="H6" s="10">
        <f>LOG10('Mastercurve bestimmen'!H440)</f>
        <v>6.8308379872381835</v>
      </c>
      <c r="I6" s="3">
        <f>'Mastercurve bestimmen'!I440</f>
        <v>1E-3</v>
      </c>
      <c r="J6" s="3">
        <f>'Mastercurve bestimmen'!J440</f>
        <v>7439.7315214307937</v>
      </c>
      <c r="K6" s="3">
        <f>'Mastercurve bestimmen'!K440</f>
        <v>7373.6085958444728</v>
      </c>
      <c r="L6" s="3">
        <f>'Mastercurve bestimmen'!L440</f>
        <v>7328.2878922672335</v>
      </c>
      <c r="M6" s="3">
        <f>'Mastercurve bestimmen'!M440</f>
        <v>7011.9974153857656</v>
      </c>
      <c r="N6" s="3">
        <f>'Mastercurve bestimmen'!N440</f>
        <v>5776.7475493188331</v>
      </c>
      <c r="O6" s="3">
        <f>'Mastercurve bestimmen'!O440</f>
        <v>1105.139847553852</v>
      </c>
      <c r="P6" s="3">
        <f>'Mastercurve bestimmen'!P440</f>
        <v>404.72633399765499</v>
      </c>
    </row>
    <row r="7" spans="1:17" x14ac:dyDescent="0.25">
      <c r="A7" s="10">
        <f>LOG10('Mastercurve bestimmen'!A441)</f>
        <v>-2</v>
      </c>
      <c r="B7" s="10">
        <f>LOG10('Mastercurve bestimmen'!B441)</f>
        <v>-11.381383136335893</v>
      </c>
      <c r="C7" s="10">
        <f>LOG10('Mastercurve bestimmen'!C441)</f>
        <v>-9.6439437457374062</v>
      </c>
      <c r="D7" s="10">
        <f>LOG10('Mastercurve bestimmen'!D441)</f>
        <v>-8.0729040408532278</v>
      </c>
      <c r="E7" s="10">
        <f>LOG10('Mastercurve bestimmen'!E441)</f>
        <v>-5.7155497502198394</v>
      </c>
      <c r="F7" s="10">
        <f>LOG10('Mastercurve bestimmen'!F441)</f>
        <v>-2</v>
      </c>
      <c r="G7" s="10">
        <f>LOG10('Mastercurve bestimmen'!G441)</f>
        <v>6.0624229739396229</v>
      </c>
      <c r="H7" s="10">
        <f>LOG10('Mastercurve bestimmen'!H441)</f>
        <v>7.8308379872381835</v>
      </c>
      <c r="I7" s="3">
        <f>'Mastercurve bestimmen'!I441</f>
        <v>0.01</v>
      </c>
      <c r="J7" s="3">
        <f>'Mastercurve bestimmen'!J441</f>
        <v>7439.7241836618095</v>
      </c>
      <c r="K7" s="3">
        <f>'Mastercurve bestimmen'!K441</f>
        <v>7373.3444598084343</v>
      </c>
      <c r="L7" s="3">
        <f>'Mastercurve bestimmen'!L441</f>
        <v>7305.7841813741479</v>
      </c>
      <c r="M7" s="3">
        <f>'Mastercurve bestimmen'!M441</f>
        <v>6854.7708758756735</v>
      </c>
      <c r="N7" s="3">
        <f>'Mastercurve bestimmen'!N441</f>
        <v>5495.7675366958674</v>
      </c>
      <c r="O7" s="3">
        <f>'Mastercurve bestimmen'!O441</f>
        <v>630.91869332772831</v>
      </c>
      <c r="P7" s="3">
        <f>'Mastercurve bestimmen'!P441</f>
        <v>265.07180083177406</v>
      </c>
    </row>
    <row r="8" spans="1:17" x14ac:dyDescent="0.25">
      <c r="A8" s="10">
        <f>LOG10('Mastercurve bestimmen'!A442)</f>
        <v>-1</v>
      </c>
      <c r="B8" s="10">
        <f>LOG10('Mastercurve bestimmen'!B442)</f>
        <v>-10.381383136335893</v>
      </c>
      <c r="C8" s="10">
        <f>LOG10('Mastercurve bestimmen'!C442)</f>
        <v>-8.6439437457374062</v>
      </c>
      <c r="D8" s="10">
        <f>LOG10('Mastercurve bestimmen'!D442)</f>
        <v>-7.0729040408532278</v>
      </c>
      <c r="E8" s="10">
        <f>LOG10('Mastercurve bestimmen'!E442)</f>
        <v>-4.7155497502198394</v>
      </c>
      <c r="F8" s="10">
        <f>LOG10('Mastercurve bestimmen'!F442)</f>
        <v>-1</v>
      </c>
      <c r="G8" s="10">
        <f>LOG10('Mastercurve bestimmen'!G442)</f>
        <v>7.0624229739396229</v>
      </c>
      <c r="H8" s="10">
        <f>LOG10('Mastercurve bestimmen'!H442)</f>
        <v>8.8308379872381835</v>
      </c>
      <c r="I8" s="3">
        <f>'Mastercurve bestimmen'!I442</f>
        <v>0.1</v>
      </c>
      <c r="J8" s="3">
        <f>'Mastercurve bestimmen'!J442</f>
        <v>7439.6508067680606</v>
      </c>
      <c r="K8" s="3">
        <f>'Mastercurve bestimmen'!K442</f>
        <v>7370.7250016112393</v>
      </c>
      <c r="L8" s="3">
        <f>'Mastercurve bestimmen'!L442</f>
        <v>7188.9840707641179</v>
      </c>
      <c r="M8" s="3">
        <f>'Mastercurve bestimmen'!M442</f>
        <v>6667.3368038637464</v>
      </c>
      <c r="N8" s="3">
        <f>'Mastercurve bestimmen'!N442</f>
        <v>5188.5996988750203</v>
      </c>
      <c r="O8" s="3">
        <f>'Mastercurve bestimmen'!O442</f>
        <v>354.28738756335468</v>
      </c>
      <c r="P8" s="3">
        <f>'Mastercurve bestimmen'!P442</f>
        <v>224.4007416662501</v>
      </c>
    </row>
    <row r="9" spans="1:17" x14ac:dyDescent="0.25">
      <c r="A9" s="10">
        <f>LOG10('Mastercurve bestimmen'!A443)</f>
        <v>0</v>
      </c>
      <c r="B9" s="10">
        <f>LOG10('Mastercurve bestimmen'!B443)</f>
        <v>-9.3813831363358933</v>
      </c>
      <c r="C9" s="10">
        <f>LOG10('Mastercurve bestimmen'!C443)</f>
        <v>-7.6439437457374062</v>
      </c>
      <c r="D9" s="10">
        <f>LOG10('Mastercurve bestimmen'!D443)</f>
        <v>-6.0729040408532278</v>
      </c>
      <c r="E9" s="10">
        <f>LOG10('Mastercurve bestimmen'!E443)</f>
        <v>-3.7155497502198394</v>
      </c>
      <c r="F9" s="10">
        <f>LOG10('Mastercurve bestimmen'!F443)</f>
        <v>0</v>
      </c>
      <c r="G9" s="10">
        <f>LOG10('Mastercurve bestimmen'!G443)</f>
        <v>8.062422973939622</v>
      </c>
      <c r="H9" s="10">
        <f>LOG10('Mastercurve bestimmen'!H443)</f>
        <v>9.8308379872381835</v>
      </c>
      <c r="I9" s="3">
        <f>'Mastercurve bestimmen'!I443</f>
        <v>1</v>
      </c>
      <c r="J9" s="3">
        <f>'Mastercurve bestimmen'!J443</f>
        <v>7438.9188882303606</v>
      </c>
      <c r="K9" s="3">
        <f>'Mastercurve bestimmen'!K443</f>
        <v>7346.5860708392247</v>
      </c>
      <c r="L9" s="3">
        <f>'Mastercurve bestimmen'!L443</f>
        <v>7045.3278356909095</v>
      </c>
      <c r="M9" s="3">
        <f>'Mastercurve bestimmen'!M443</f>
        <v>6457.8733144157241</v>
      </c>
      <c r="N9" s="3">
        <f>'Mastercurve bestimmen'!N443</f>
        <v>4846.1759775211867</v>
      </c>
      <c r="O9" s="3">
        <f>'Mastercurve bestimmen'!O443</f>
        <v>248.22351395532451</v>
      </c>
      <c r="P9" s="3">
        <f>'Mastercurve bestimmen'!P443</f>
        <v>202.49198438372559</v>
      </c>
    </row>
    <row r="10" spans="1:17" x14ac:dyDescent="0.25">
      <c r="A10" s="10">
        <f>LOG10('Mastercurve bestimmen'!A444)</f>
        <v>1</v>
      </c>
      <c r="B10" s="10">
        <f>LOG10('Mastercurve bestimmen'!B444)</f>
        <v>-8.3813831363358933</v>
      </c>
      <c r="C10" s="10">
        <f>LOG10('Mastercurve bestimmen'!C444)</f>
        <v>-6.6439437457374062</v>
      </c>
      <c r="D10" s="10">
        <f>LOG10('Mastercurve bestimmen'!D444)</f>
        <v>-5.0729040408532278</v>
      </c>
      <c r="E10" s="10">
        <f>LOG10('Mastercurve bestimmen'!E444)</f>
        <v>-2.7155497502198394</v>
      </c>
      <c r="F10" s="10">
        <f>LOG10('Mastercurve bestimmen'!F444)</f>
        <v>1</v>
      </c>
      <c r="G10" s="10">
        <f>LOG10('Mastercurve bestimmen'!G444)</f>
        <v>9.062422973939622</v>
      </c>
      <c r="H10" s="10">
        <f>LOG10('Mastercurve bestimmen'!H444)</f>
        <v>10.830837987238183</v>
      </c>
      <c r="I10" s="3">
        <f>'Mastercurve bestimmen'!I444</f>
        <v>10</v>
      </c>
      <c r="J10" s="3">
        <f>'Mastercurve bestimmen'!J444</f>
        <v>7431.7642795214106</v>
      </c>
      <c r="K10" s="3">
        <f>'Mastercurve bestimmen'!K444</f>
        <v>7225.4468313347925</v>
      </c>
      <c r="L10" s="3">
        <f>'Mastercurve bestimmen'!L444</f>
        <v>6881.2247214769232</v>
      </c>
      <c r="M10" s="3">
        <f>'Mastercurve bestimmen'!M444</f>
        <v>6197.1395066404111</v>
      </c>
      <c r="N10" s="3">
        <f>'Mastercurve bestimmen'!N444</f>
        <v>4307.5308640863095</v>
      </c>
      <c r="O10" s="3">
        <f>'Mastercurve bestimmen'!O444</f>
        <v>214.57476664013214</v>
      </c>
      <c r="P10" s="3">
        <f>'Mastercurve bestimmen'!P444</f>
        <v>189.83771999127222</v>
      </c>
    </row>
    <row r="11" spans="1:17" x14ac:dyDescent="0.25">
      <c r="A11" s="10">
        <f>LOG10('Mastercurve bestimmen'!A445)</f>
        <v>2</v>
      </c>
      <c r="B11" s="10">
        <f>LOG10('Mastercurve bestimmen'!B445)</f>
        <v>-7.3813831363358942</v>
      </c>
      <c r="C11" s="10">
        <f>LOG10('Mastercurve bestimmen'!C445)</f>
        <v>-5.6439437457374062</v>
      </c>
      <c r="D11" s="10">
        <f>LOG10('Mastercurve bestimmen'!D445)</f>
        <v>-4.0729040408532278</v>
      </c>
      <c r="E11" s="10">
        <f>LOG10('Mastercurve bestimmen'!E445)</f>
        <v>-1.7155497502198394</v>
      </c>
      <c r="F11" s="10">
        <f>LOG10('Mastercurve bestimmen'!F445)</f>
        <v>2</v>
      </c>
      <c r="G11" s="10">
        <f>LOG10('Mastercurve bestimmen'!G445)</f>
        <v>10.062422973939622</v>
      </c>
      <c r="H11" s="10">
        <f>LOG10('Mastercurve bestimmen'!H445)</f>
        <v>11.830837987238183</v>
      </c>
      <c r="I11" s="3">
        <f>'Mastercurve bestimmen'!I445</f>
        <v>100</v>
      </c>
      <c r="J11" s="3">
        <f>'Mastercurve bestimmen'!J445</f>
        <v>7374.1954046997607</v>
      </c>
      <c r="K11" s="3">
        <f>'Mastercurve bestimmen'!K445</f>
        <v>7074.5614632967963</v>
      </c>
      <c r="L11" s="3">
        <f>'Mastercurve bestimmen'!L445</f>
        <v>6633.2763958157147</v>
      </c>
      <c r="M11" s="3">
        <f>'Mastercurve bestimmen'!M445</f>
        <v>5728.6851502202007</v>
      </c>
      <c r="N11" s="3">
        <f>'Mastercurve bestimmen'!N445</f>
        <v>3424.2409160347711</v>
      </c>
      <c r="O11" s="3">
        <f>'Mastercurve bestimmen'!O445</f>
        <v>185.72591291449908</v>
      </c>
      <c r="P11" s="3">
        <f>'Mastercurve bestimmen'!P445</f>
        <v>169.86288435020435</v>
      </c>
    </row>
    <row r="12" spans="1:17" x14ac:dyDescent="0.25">
      <c r="A12" s="10">
        <f>LOG10('Mastercurve bestimmen'!A446)</f>
        <v>3</v>
      </c>
      <c r="B12" s="10">
        <f>LOG10('Mastercurve bestimmen'!B446)</f>
        <v>-6.3813831363358942</v>
      </c>
      <c r="C12" s="10">
        <f>LOG10('Mastercurve bestimmen'!C446)</f>
        <v>-4.6439437457374062</v>
      </c>
      <c r="D12" s="10">
        <f>LOG10('Mastercurve bestimmen'!D446)</f>
        <v>-3.0729040408532278</v>
      </c>
      <c r="E12" s="10">
        <f>LOG10('Mastercurve bestimmen'!E446)</f>
        <v>-0.71554975021983924</v>
      </c>
      <c r="F12" s="10">
        <f>LOG10('Mastercurve bestimmen'!F446)</f>
        <v>3</v>
      </c>
      <c r="G12" s="10">
        <f>LOG10('Mastercurve bestimmen'!G446)</f>
        <v>11.062422973939622</v>
      </c>
      <c r="H12" s="10">
        <f>LOG10('Mastercurve bestimmen'!H446)</f>
        <v>12.830837987238183</v>
      </c>
      <c r="I12" s="3">
        <f>'Mastercurve bestimmen'!I446</f>
        <v>1000</v>
      </c>
      <c r="J12" s="3">
        <f>'Mastercurve bestimmen'!J446</f>
        <v>7229.1163160436472</v>
      </c>
      <c r="K12" s="3">
        <f>'Mastercurve bestimmen'!K446</f>
        <v>6837.385209483964</v>
      </c>
      <c r="L12" s="3">
        <f>'Mastercurve bestimmen'!L446</f>
        <v>6142.0459094556854</v>
      </c>
      <c r="M12" s="3">
        <f>'Mastercurve bestimmen'!M446</f>
        <v>4909.4106843846976</v>
      </c>
      <c r="N12" s="3">
        <f>'Mastercurve bestimmen'!N446</f>
        <v>2457.6306581082695</v>
      </c>
      <c r="O12" s="3">
        <f>'Mastercurve bestimmen'!O446</f>
        <v>158.09658219581334</v>
      </c>
      <c r="P12" s="3">
        <f>'Mastercurve bestimmen'!P446</f>
        <v>142.29365996368665</v>
      </c>
    </row>
    <row r="13" spans="1:17" x14ac:dyDescent="0.25">
      <c r="A13" s="10">
        <f>LOG10('Mastercurve bestimmen'!A447)</f>
        <v>4</v>
      </c>
      <c r="B13" s="10">
        <f>LOG10('Mastercurve bestimmen'!B447)</f>
        <v>-5.3813831363358942</v>
      </c>
      <c r="C13" s="10">
        <f>LOG10('Mastercurve bestimmen'!C447)</f>
        <v>-3.6439437457374062</v>
      </c>
      <c r="D13" s="10">
        <f>LOG10('Mastercurve bestimmen'!D447)</f>
        <v>-2.0729040408532278</v>
      </c>
      <c r="E13" s="10">
        <f>LOG10('Mastercurve bestimmen'!E447)</f>
        <v>0.28445024978016076</v>
      </c>
      <c r="F13" s="10">
        <f>LOG10('Mastercurve bestimmen'!F447)</f>
        <v>4</v>
      </c>
      <c r="G13" s="10">
        <f>LOG10('Mastercurve bestimmen'!G447)</f>
        <v>12.062422973939622</v>
      </c>
      <c r="H13" s="10">
        <f>LOG10('Mastercurve bestimmen'!H447)</f>
        <v>13.830837987238183</v>
      </c>
      <c r="I13" s="3">
        <f>'Mastercurve bestimmen'!I447</f>
        <v>10000</v>
      </c>
      <c r="J13" s="3">
        <f>'Mastercurve bestimmen'!J447</f>
        <v>7065.0007195804155</v>
      </c>
      <c r="K13" s="3">
        <f>'Mastercurve bestimmen'!K447</f>
        <v>6289.6718355453368</v>
      </c>
      <c r="L13" s="3">
        <f>'Mastercurve bestimmen'!L447</f>
        <v>5263.2654078154883</v>
      </c>
      <c r="M13" s="3">
        <f>'Mastercurve bestimmen'!M447</f>
        <v>4054.6855956010618</v>
      </c>
      <c r="N13" s="3">
        <f>'Mastercurve bestimmen'!N447</f>
        <v>1610.938712030013</v>
      </c>
      <c r="O13" s="3">
        <f>'Mastercurve bestimmen'!O447</f>
        <v>132.46407229952649</v>
      </c>
      <c r="P13" s="3">
        <f>'Mastercurve bestimmen'!P447</f>
        <v>121.71619952615258</v>
      </c>
    </row>
    <row r="14" spans="1:17" x14ac:dyDescent="0.25">
      <c r="A14" s="10">
        <f>LOG10('Mastercurve bestimmen'!A448)</f>
        <v>5</v>
      </c>
      <c r="B14" s="10">
        <f>LOG10('Mastercurve bestimmen'!B448)</f>
        <v>-4.3813831363358942</v>
      </c>
      <c r="C14" s="10">
        <f>LOG10('Mastercurve bestimmen'!C448)</f>
        <v>-2.6439437457374062</v>
      </c>
      <c r="D14" s="10">
        <f>LOG10('Mastercurve bestimmen'!D448)</f>
        <v>-1.072904040853228</v>
      </c>
      <c r="E14" s="10">
        <f>LOG10('Mastercurve bestimmen'!E448)</f>
        <v>1.2844502497801609</v>
      </c>
      <c r="F14" s="10">
        <f>LOG10('Mastercurve bestimmen'!F448)</f>
        <v>5</v>
      </c>
      <c r="G14" s="10">
        <f>LOG10('Mastercurve bestimmen'!G448)</f>
        <v>13.062422973939622</v>
      </c>
      <c r="H14" s="10">
        <f>LOG10('Mastercurve bestimmen'!H448)</f>
        <v>14.830837987238183</v>
      </c>
      <c r="I14" s="3">
        <f>'Mastercurve bestimmen'!I448</f>
        <v>100000</v>
      </c>
      <c r="J14" s="3">
        <f>'Mastercurve bestimmen'!J448</f>
        <v>6763.2909836921517</v>
      </c>
      <c r="K14" s="3">
        <f>'Mastercurve bestimmen'!K448</f>
        <v>5393.096219252795</v>
      </c>
      <c r="L14" s="3">
        <f>'Mastercurve bestimmen'!L448</f>
        <v>4399.1328288595505</v>
      </c>
      <c r="M14" s="3">
        <f>'Mastercurve bestimmen'!M448</f>
        <v>3384.7376862720757</v>
      </c>
      <c r="N14" s="3">
        <f>'Mastercurve bestimmen'!N448</f>
        <v>942.69111378955085</v>
      </c>
      <c r="O14" s="3">
        <f>'Mastercurve bestimmen'!O448</f>
        <v>115.64370251909122</v>
      </c>
      <c r="P14" s="3">
        <f>'Mastercurve bestimmen'!P448</f>
        <v>109.27679567564616</v>
      </c>
    </row>
    <row r="15" spans="1:17" x14ac:dyDescent="0.25">
      <c r="A15" s="10">
        <f>LOG10('Mastercurve bestimmen'!A449)</f>
        <v>6</v>
      </c>
      <c r="B15" s="10">
        <f>LOG10('Mastercurve bestimmen'!B449)</f>
        <v>-3.3813831363358942</v>
      </c>
      <c r="C15" s="10">
        <f>LOG10('Mastercurve bestimmen'!C449)</f>
        <v>-1.6439437457374062</v>
      </c>
      <c r="D15" s="10">
        <f>LOG10('Mastercurve bestimmen'!D449)</f>
        <v>-7.2904040853227867E-2</v>
      </c>
      <c r="E15" s="10">
        <f>LOG10('Mastercurve bestimmen'!E449)</f>
        <v>2.2844502497801606</v>
      </c>
      <c r="F15" s="10">
        <f>LOG10('Mastercurve bestimmen'!F449)</f>
        <v>6</v>
      </c>
      <c r="G15" s="10">
        <f>LOG10('Mastercurve bestimmen'!G449)</f>
        <v>14.062422973939622</v>
      </c>
      <c r="H15" s="10">
        <f>LOG10('Mastercurve bestimmen'!H449)</f>
        <v>15.830837987238183</v>
      </c>
      <c r="I15" s="3">
        <f>'Mastercurve bestimmen'!I449</f>
        <v>1000000</v>
      </c>
      <c r="J15" s="3">
        <f>'Mastercurve bestimmen'!J449</f>
        <v>6076.274832146727</v>
      </c>
      <c r="K15" s="3">
        <f>'Mastercurve bestimmen'!K449</f>
        <v>4558.7271908643725</v>
      </c>
      <c r="L15" s="3">
        <f>'Mastercurve bestimmen'!L449</f>
        <v>3757.2475587809995</v>
      </c>
      <c r="M15" s="3">
        <f>'Mastercurve bestimmen'!M449</f>
        <v>2867.8130883318549</v>
      </c>
      <c r="N15" s="3">
        <f>'Mastercurve bestimmen'!N449</f>
        <v>510.32470275306576</v>
      </c>
      <c r="O15" s="3">
        <f>'Mastercurve bestimmen'!O449</f>
        <v>105.70344373363407</v>
      </c>
      <c r="P15" s="3">
        <f>'Mastercurve bestimmen'!P449</f>
        <v>101.92394551670053</v>
      </c>
    </row>
    <row r="16" spans="1:17" x14ac:dyDescent="0.25">
      <c r="A16" s="10">
        <f>LOG10('Mastercurve bestimmen'!A450)</f>
        <v>7</v>
      </c>
      <c r="B16" s="10">
        <f>LOG10('Mastercurve bestimmen'!B450)</f>
        <v>-2.3813831363358942</v>
      </c>
      <c r="C16" s="10">
        <f>LOG10('Mastercurve bestimmen'!C450)</f>
        <v>-0.6439437457374062</v>
      </c>
      <c r="D16" s="10">
        <f>LOG10('Mastercurve bestimmen'!D450)</f>
        <v>0.92709595914677212</v>
      </c>
      <c r="E16" s="10">
        <f>LOG10('Mastercurve bestimmen'!E450)</f>
        <v>3.2844502497801606</v>
      </c>
      <c r="F16" s="10">
        <f>LOG10('Mastercurve bestimmen'!F450)</f>
        <v>7</v>
      </c>
      <c r="G16" s="10">
        <f>LOG10('Mastercurve bestimmen'!G450)</f>
        <v>15.062422973939622</v>
      </c>
      <c r="H16" s="10">
        <f>LOG10('Mastercurve bestimmen'!H450)</f>
        <v>16.830837987238183</v>
      </c>
      <c r="I16" s="3">
        <f>'Mastercurve bestimmen'!I450</f>
        <v>10000000</v>
      </c>
      <c r="J16" s="3">
        <f>'Mastercurve bestimmen'!J450</f>
        <v>5152.9727387836929</v>
      </c>
      <c r="K16" s="3">
        <f>'Mastercurve bestimmen'!K450</f>
        <v>3927.5350129983676</v>
      </c>
      <c r="L16" s="3">
        <f>'Mastercurve bestimmen'!L450</f>
        <v>3291.1531992809396</v>
      </c>
      <c r="M16" s="3">
        <f>'Mastercurve bestimmen'!M450</f>
        <v>2393.9219661874804</v>
      </c>
      <c r="N16" s="3">
        <f>'Mastercurve bestimmen'!N450</f>
        <v>271.36767023207187</v>
      </c>
      <c r="O16" s="3">
        <f>'Mastercurve bestimmen'!O450</f>
        <v>99.769058005183027</v>
      </c>
      <c r="P16" s="3">
        <f>'Mastercurve bestimmen'!P450</f>
        <v>97.501289329192588</v>
      </c>
    </row>
    <row r="17" spans="1:16" x14ac:dyDescent="0.25">
      <c r="A17" s="10">
        <f>LOG10('Mastercurve bestimmen'!A451)</f>
        <v>8</v>
      </c>
      <c r="B17" s="10">
        <f>LOG10('Mastercurve bestimmen'!B451)</f>
        <v>-1.3813831363358942</v>
      </c>
      <c r="C17" s="10">
        <f>LOG10('Mastercurve bestimmen'!C451)</f>
        <v>0.35605625426259374</v>
      </c>
      <c r="D17" s="10">
        <f>LOG10('Mastercurve bestimmen'!D451)</f>
        <v>1.9270959591467722</v>
      </c>
      <c r="E17" s="10">
        <f>LOG10('Mastercurve bestimmen'!E451)</f>
        <v>4.2844502497801606</v>
      </c>
      <c r="F17" s="10">
        <f>LOG10('Mastercurve bestimmen'!F451)</f>
        <v>8</v>
      </c>
      <c r="G17" s="10">
        <f>LOG10('Mastercurve bestimmen'!G451)</f>
        <v>16.062422973939622</v>
      </c>
      <c r="H17" s="10">
        <f>LOG10('Mastercurve bestimmen'!H451)</f>
        <v>17.830837987238183</v>
      </c>
      <c r="I17" s="3">
        <f>'Mastercurve bestimmen'!I451</f>
        <v>100000000</v>
      </c>
      <c r="J17" s="3">
        <f>'Mastercurve bestimmen'!J451</f>
        <v>4349.4578522571974</v>
      </c>
      <c r="K17" s="3">
        <f>'Mastercurve bestimmen'!K451</f>
        <v>3470.8276794707381</v>
      </c>
      <c r="L17" s="3">
        <f>'Mastercurve bestimmen'!L451</f>
        <v>2923.3907186801598</v>
      </c>
      <c r="M17" s="3">
        <f>'Mastercurve bestimmen'!M451</f>
        <v>1923.0446750969861</v>
      </c>
      <c r="N17" s="3">
        <f>'Mastercurve bestimmen'!N451</f>
        <v>152.45647454769647</v>
      </c>
      <c r="O17" s="3">
        <f>'Mastercurve bestimmen'!O451</f>
        <v>96.16135307969536</v>
      </c>
      <c r="P17" s="3">
        <f>'Mastercurve bestimmen'!P451</f>
        <v>94.712895608864457</v>
      </c>
    </row>
    <row r="18" spans="1:16" x14ac:dyDescent="0.25">
      <c r="A18" s="10">
        <f>LOG10('Mastercurve bestimmen'!A452)</f>
        <v>9</v>
      </c>
      <c r="B18" s="10">
        <f>LOG10('Mastercurve bestimmen'!B452)</f>
        <v>-0.38138313633589405</v>
      </c>
      <c r="C18" s="10">
        <f>LOG10('Mastercurve bestimmen'!C452)</f>
        <v>1.3560562542625938</v>
      </c>
      <c r="D18" s="10">
        <f>LOG10('Mastercurve bestimmen'!D452)</f>
        <v>2.9270959591467722</v>
      </c>
      <c r="E18" s="10">
        <f>LOG10('Mastercurve bestimmen'!E452)</f>
        <v>5.2844502497801606</v>
      </c>
      <c r="F18" s="10">
        <f>LOG10('Mastercurve bestimmen'!F452)</f>
        <v>9</v>
      </c>
      <c r="G18" s="10">
        <f>LOG10('Mastercurve bestimmen'!G452)</f>
        <v>17.062422973939622</v>
      </c>
      <c r="H18" s="10">
        <f>LOG10('Mastercurve bestimmen'!H452)</f>
        <v>18.830837987238183</v>
      </c>
      <c r="I18" s="3">
        <f>'Mastercurve bestimmen'!I452</f>
        <v>1000000000</v>
      </c>
      <c r="J18" s="3">
        <f>'Mastercurve bestimmen'!J452</f>
        <v>3760.3414331574859</v>
      </c>
      <c r="K18" s="3">
        <f>'Mastercurve bestimmen'!K452</f>
        <v>3119.1195128427248</v>
      </c>
      <c r="L18" s="3">
        <f>'Mastercurve bestimmen'!L452</f>
        <v>2591.8565821190209</v>
      </c>
      <c r="M18" s="3">
        <f>'Mastercurve bestimmen'!M452</f>
        <v>1433.0262098856042</v>
      </c>
      <c r="N18" s="3">
        <f>'Mastercurve bestimmen'!N452</f>
        <v>114.48528241321054</v>
      </c>
      <c r="O18" s="3">
        <f>'Mastercurve bestimmen'!O452</f>
        <v>93.862812708921865</v>
      </c>
      <c r="P18" s="3">
        <f>'Mastercurve bestimmen'!P452</f>
        <v>92.92945942455529</v>
      </c>
    </row>
    <row r="19" spans="1:16" x14ac:dyDescent="0.25">
      <c r="A19" s="10">
        <f>LOG10('Mastercurve bestimmen'!A453)</f>
        <v>10</v>
      </c>
      <c r="B19" s="10">
        <f>LOG10('Mastercurve bestimmen'!B453)</f>
        <v>0.61861686366410595</v>
      </c>
      <c r="C19" s="10">
        <f>LOG10('Mastercurve bestimmen'!C453)</f>
        <v>2.3560562542625938</v>
      </c>
      <c r="D19" s="10">
        <f>LOG10('Mastercurve bestimmen'!D453)</f>
        <v>3.9270959591467722</v>
      </c>
      <c r="E19" s="10">
        <f>LOG10('Mastercurve bestimmen'!E453)</f>
        <v>6.2844502497801606</v>
      </c>
      <c r="F19" s="10">
        <f>LOG10('Mastercurve bestimmen'!F453)</f>
        <v>10</v>
      </c>
      <c r="G19" s="10">
        <f>LOG10('Mastercurve bestimmen'!G453)</f>
        <v>18.062422973939622</v>
      </c>
      <c r="H19" s="10">
        <f>LOG10('Mastercurve bestimmen'!H453)</f>
        <v>19.830837987238183</v>
      </c>
      <c r="I19" s="3">
        <f>'Mastercurve bestimmen'!I453</f>
        <v>10000000000</v>
      </c>
      <c r="J19" s="3">
        <f>'Mastercurve bestimmen'!J453</f>
        <v>3336.4331784463179</v>
      </c>
      <c r="K19" s="3">
        <f>'Mastercurve bestimmen'!K453</f>
        <v>2819.4631556550398</v>
      </c>
      <c r="L19" s="3">
        <f>'Mastercurve bestimmen'!L453</f>
        <v>2227.1388397843657</v>
      </c>
      <c r="M19" s="3">
        <f>'Mastercurve bestimmen'!M453</f>
        <v>928.3724969127901</v>
      </c>
      <c r="N19" s="3">
        <f>'Mastercurve bestimmen'!N453</f>
        <v>101.06517730245214</v>
      </c>
      <c r="O19" s="3">
        <f>'Mastercurve bestimmen'!O453</f>
        <v>92.381155101656375</v>
      </c>
      <c r="P19" s="3">
        <f>'Mastercurve bestimmen'!P453</f>
        <v>92.006187989209394</v>
      </c>
    </row>
    <row r="20" spans="1:16" x14ac:dyDescent="0.25">
      <c r="A20" s="10">
        <f>LOG10('Mastercurve bestimmen'!A454)</f>
        <v>11</v>
      </c>
      <c r="B20" s="10">
        <f>LOG10('Mastercurve bestimmen'!B454)</f>
        <v>1.6186168636641061</v>
      </c>
      <c r="C20" s="10">
        <f>LOG10('Mastercurve bestimmen'!C454)</f>
        <v>3.3560562542625938</v>
      </c>
      <c r="D20" s="10">
        <f>LOG10('Mastercurve bestimmen'!D454)</f>
        <v>4.9270959591467722</v>
      </c>
      <c r="E20" s="10">
        <f>LOG10('Mastercurve bestimmen'!E454)</f>
        <v>7.2844502497801606</v>
      </c>
      <c r="F20" s="10">
        <f>LOG10('Mastercurve bestimmen'!F454)</f>
        <v>11</v>
      </c>
      <c r="G20" s="10">
        <f>LOG10('Mastercurve bestimmen'!G454)</f>
        <v>19.062422973939622</v>
      </c>
      <c r="H20" s="10">
        <f>LOG10('Mastercurve bestimmen'!H454)</f>
        <v>20.830837987238183</v>
      </c>
      <c r="I20" s="3">
        <f>'Mastercurve bestimmen'!I454</f>
        <v>100000000000</v>
      </c>
      <c r="J20" s="3">
        <f>'Mastercurve bestimmen'!J454</f>
        <v>2995.2983606085086</v>
      </c>
      <c r="K20" s="3">
        <f>'Mastercurve bestimmen'!K454</f>
        <v>2525.9157804368465</v>
      </c>
      <c r="L20" s="3">
        <f>'Mastercurve bestimmen'!L454</f>
        <v>1818.1045605438685</v>
      </c>
      <c r="M20" s="3">
        <f>'Mastercurve bestimmen'!M454</f>
        <v>540.77757065756475</v>
      </c>
      <c r="N20" s="3">
        <f>'Mastercurve bestimmen'!N454</f>
        <v>93.059878245985715</v>
      </c>
      <c r="O20" s="3">
        <f>'Mastercurve bestimmen'!O454</f>
        <v>92.126538569786135</v>
      </c>
      <c r="P20" s="3">
        <f>'Mastercurve bestimmen'!P454</f>
        <v>91.763267256404887</v>
      </c>
    </row>
    <row r="21" spans="1:16" x14ac:dyDescent="0.25">
      <c r="A21" s="10">
        <f>LOG10('Mastercurve bestimmen'!A455)</f>
        <v>12</v>
      </c>
      <c r="B21" s="10">
        <f>LOG10('Mastercurve bestimmen'!B455)</f>
        <v>2.6186168636641058</v>
      </c>
      <c r="C21" s="10">
        <f>LOG10('Mastercurve bestimmen'!C455)</f>
        <v>4.3560562542625938</v>
      </c>
      <c r="D21" s="10">
        <f>LOG10('Mastercurve bestimmen'!D455)</f>
        <v>5.9270959591467722</v>
      </c>
      <c r="E21" s="10">
        <f>LOG10('Mastercurve bestimmen'!E455)</f>
        <v>8.2844502497801606</v>
      </c>
      <c r="F21" s="10">
        <f>LOG10('Mastercurve bestimmen'!F455)</f>
        <v>12</v>
      </c>
      <c r="G21" s="10">
        <f>LOG10('Mastercurve bestimmen'!G455)</f>
        <v>20.062422973939622</v>
      </c>
      <c r="H21" s="10">
        <f>LOG10('Mastercurve bestimmen'!H455)</f>
        <v>21.830837987238183</v>
      </c>
      <c r="I21" s="3">
        <f>'Mastercurve bestimmen'!I455</f>
        <v>1000000000000</v>
      </c>
      <c r="J21" s="3">
        <f>'Mastercurve bestimmen'!J455</f>
        <v>2700.8479980556854</v>
      </c>
      <c r="K21" s="3">
        <f>'Mastercurve bestimmen'!K455</f>
        <v>2182.665940608038</v>
      </c>
      <c r="L21" s="3">
        <f>'Mastercurve bestimmen'!L455</f>
        <v>1362.7209266527218</v>
      </c>
      <c r="M21" s="3">
        <f>'Mastercurve bestimmen'!M455</f>
        <v>302.10819766520217</v>
      </c>
      <c r="N21" s="3">
        <f>'Mastercurve bestimmen'!N455</f>
        <v>92.631968530961771</v>
      </c>
      <c r="O21" s="3">
        <f>'Mastercurve bestimmen'!O455</f>
        <v>91.086268606556416</v>
      </c>
      <c r="P21" s="3">
        <f>'Mastercurve bestimmen'!P455</f>
        <v>90.809569282014081</v>
      </c>
    </row>
    <row r="22" spans="1:16" x14ac:dyDescent="0.25">
      <c r="A22" s="10">
        <f>LOG10('Mastercurve bestimmen'!A456)</f>
        <v>13</v>
      </c>
      <c r="B22" s="10">
        <f>LOG10('Mastercurve bestimmen'!B456)</f>
        <v>3.6186168636641058</v>
      </c>
      <c r="C22" s="10">
        <f>LOG10('Mastercurve bestimmen'!C456)</f>
        <v>5.3560562542625938</v>
      </c>
      <c r="D22" s="10">
        <f>LOG10('Mastercurve bestimmen'!D456)</f>
        <v>6.9270959591467722</v>
      </c>
      <c r="E22" s="10">
        <f>LOG10('Mastercurve bestimmen'!E456)</f>
        <v>9.2844502497801606</v>
      </c>
      <c r="F22" s="10">
        <f>LOG10('Mastercurve bestimmen'!F456)</f>
        <v>13</v>
      </c>
      <c r="G22" s="10">
        <f>LOG10('Mastercurve bestimmen'!G456)</f>
        <v>21.062422973939622</v>
      </c>
      <c r="H22" s="10">
        <f>LOG10('Mastercurve bestimmen'!H456)</f>
        <v>22.830837987238183</v>
      </c>
      <c r="I22" s="3">
        <f>'Mastercurve bestimmen'!I456</f>
        <v>10000000000000</v>
      </c>
      <c r="J22" s="3">
        <f>'Mastercurve bestimmen'!J456</f>
        <v>2380.901782740345</v>
      </c>
      <c r="K22" s="3">
        <f>'Mastercurve bestimmen'!K456</f>
        <v>1785.8998006119411</v>
      </c>
      <c r="L22" s="3">
        <f>'Mastercurve bestimmen'!L456</f>
        <v>882.60529508909428</v>
      </c>
      <c r="M22" s="3">
        <f>'Mastercurve bestimmen'!M456</f>
        <v>167.95607666429018</v>
      </c>
      <c r="N22" s="3">
        <f>'Mastercurve bestimmen'!N456</f>
        <v>91.23127997996707</v>
      </c>
      <c r="O22" s="3">
        <f>'Mastercurve bestimmen'!O456</f>
        <v>90.886673770022838</v>
      </c>
      <c r="P22" s="3">
        <f>'Mastercurve bestimmen'!P456</f>
        <v>90.794437108888047</v>
      </c>
    </row>
    <row r="23" spans="1:16" x14ac:dyDescent="0.25">
      <c r="A23" s="10">
        <f>LOG10('Mastercurve bestimmen'!A457)</f>
        <v>14</v>
      </c>
      <c r="B23" s="10">
        <f>LOG10('Mastercurve bestimmen'!B457)</f>
        <v>4.6186168636641058</v>
      </c>
      <c r="C23" s="10">
        <f>LOG10('Mastercurve bestimmen'!C457)</f>
        <v>6.3560562542625938</v>
      </c>
      <c r="D23" s="10">
        <f>LOG10('Mastercurve bestimmen'!D457)</f>
        <v>7.9270959591467722</v>
      </c>
      <c r="E23" s="10">
        <f>LOG10('Mastercurve bestimmen'!E457)</f>
        <v>10.284450249780161</v>
      </c>
      <c r="F23" s="10">
        <f>LOG10('Mastercurve bestimmen'!F457)</f>
        <v>14</v>
      </c>
      <c r="G23" s="10">
        <f>LOG10('Mastercurve bestimmen'!G457)</f>
        <v>22.062422973939622</v>
      </c>
      <c r="H23" s="10">
        <f>LOG10('Mastercurve bestimmen'!H457)</f>
        <v>23.830837987238183</v>
      </c>
      <c r="I23" s="3">
        <f>'Mastercurve bestimmen'!I457</f>
        <v>100000000000000</v>
      </c>
      <c r="J23" s="3">
        <f>'Mastercurve bestimmen'!J457</f>
        <v>2012.430565108212</v>
      </c>
      <c r="K23" s="3">
        <f>'Mastercurve bestimmen'!K457</f>
        <v>1337.7075606161161</v>
      </c>
      <c r="L23" s="3">
        <f>'Mastercurve bestimmen'!L457</f>
        <v>513.97783275284667</v>
      </c>
      <c r="M23" s="3">
        <f>'Mastercurve bestimmen'!M457</f>
        <v>115.55588342611547</v>
      </c>
      <c r="N23" s="3">
        <f>'Mastercurve bestimmen'!N457</f>
        <v>91.209911146223277</v>
      </c>
      <c r="O23" s="3">
        <f>'Mastercurve bestimmen'!O457</f>
        <v>90.290301687552557</v>
      </c>
      <c r="P23" s="3">
        <f>'Mastercurve bestimmen'!P457</f>
        <v>90.157522811707935</v>
      </c>
    </row>
    <row r="24" spans="1:16" x14ac:dyDescent="0.25">
      <c r="A24" s="10">
        <f>LOG10('Mastercurve bestimmen'!A458)</f>
        <v>15</v>
      </c>
      <c r="B24" s="10">
        <f>LOG10('Mastercurve bestimmen'!B458)</f>
        <v>5.6186168636641058</v>
      </c>
      <c r="C24" s="10">
        <f>LOG10('Mastercurve bestimmen'!C458)</f>
        <v>7.3560562542625938</v>
      </c>
      <c r="D24" s="10">
        <f>LOG10('Mastercurve bestimmen'!D458)</f>
        <v>8.9270959591467722</v>
      </c>
      <c r="E24" s="10">
        <f>LOG10('Mastercurve bestimmen'!E458)</f>
        <v>11.284450249780161</v>
      </c>
      <c r="F24" s="10">
        <f>LOG10('Mastercurve bestimmen'!F458)</f>
        <v>15</v>
      </c>
      <c r="G24" s="10">
        <f>LOG10('Mastercurve bestimmen'!G458)</f>
        <v>23.062422973939622</v>
      </c>
      <c r="H24" s="10">
        <f>LOG10('Mastercurve bestimmen'!H458)</f>
        <v>24.830837987238183</v>
      </c>
      <c r="I24" s="3">
        <f>'Mastercurve bestimmen'!I458</f>
        <v>1000000000000000</v>
      </c>
      <c r="J24" s="3">
        <f>'Mastercurve bestimmen'!J458</f>
        <v>1596.0920370512245</v>
      </c>
      <c r="K24" s="3">
        <f>'Mastercurve bestimmen'!K458</f>
        <v>864.52071218722244</v>
      </c>
      <c r="L24" s="3">
        <f>'Mastercurve bestimmen'!L458</f>
        <v>287.95166024173568</v>
      </c>
      <c r="M24" s="3">
        <f>'Mastercurve bestimmen'!M458</f>
        <v>100.53155340781859</v>
      </c>
      <c r="N24" s="3">
        <f>'Mastercurve bestimmen'!N458</f>
        <v>90.301560772176387</v>
      </c>
      <c r="O24" s="3">
        <f>'Mastercurve bestimmen'!O458</f>
        <v>90.056329050223439</v>
      </c>
      <c r="P24" s="3">
        <f>'Mastercurve bestimmen'!P458</f>
        <v>89.913434838716469</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164</v>
      </c>
      <c r="B36" s="3"/>
      <c r="C36" s="3"/>
      <c r="D36" s="3"/>
      <c r="E36" s="3"/>
      <c r="F36" s="3"/>
      <c r="G36" s="3"/>
      <c r="H36" s="3"/>
      <c r="I36" s="3"/>
      <c r="J36" s="3"/>
      <c r="K36" s="3"/>
      <c r="L36" s="3"/>
      <c r="M36" s="3"/>
      <c r="N36" s="3"/>
      <c r="O36" s="3"/>
      <c r="P36" s="3"/>
    </row>
    <row r="37" spans="1:16" x14ac:dyDescent="0.25">
      <c r="A37" s="119">
        <f>-15</f>
        <v>-15</v>
      </c>
      <c r="B37" s="3"/>
      <c r="C37" s="3">
        <v>6964.0379871978712</v>
      </c>
      <c r="D37" s="3">
        <v>5734.9669093347929</v>
      </c>
      <c r="E37" s="3">
        <v>5196.6880734843644</v>
      </c>
      <c r="F37" s="3">
        <v>3563.1970672167072</v>
      </c>
      <c r="G37" s="3">
        <v>942.69111378955085</v>
      </c>
      <c r="H37" s="3">
        <v>116.55310700220932</v>
      </c>
      <c r="I37" s="3"/>
      <c r="J37" s="3"/>
      <c r="K37" s="3"/>
      <c r="L37" s="3"/>
      <c r="M37" s="3"/>
      <c r="N37" s="3"/>
      <c r="O37" s="3"/>
      <c r="P37" s="3"/>
    </row>
    <row r="38" spans="1:16" x14ac:dyDescent="0.25">
      <c r="A38" s="120">
        <f>A37+1</f>
        <v>-14</v>
      </c>
      <c r="B38" s="3">
        <v>7439.7300389875654</v>
      </c>
      <c r="C38" s="3">
        <v>6964.0379871978712</v>
      </c>
      <c r="D38" s="3">
        <v>5734.9669093347929</v>
      </c>
      <c r="E38" s="3">
        <v>5196.6880734843644</v>
      </c>
      <c r="F38" s="3">
        <v>3563.1970672167072</v>
      </c>
      <c r="G38" s="3">
        <v>942.69111378955085</v>
      </c>
      <c r="H38" s="3">
        <v>116.55310700220932</v>
      </c>
      <c r="I38" s="3"/>
      <c r="J38" s="3"/>
      <c r="K38" s="3"/>
      <c r="L38" s="3"/>
      <c r="M38" s="3"/>
      <c r="N38" s="3"/>
      <c r="O38" s="3"/>
      <c r="P38" s="3"/>
    </row>
    <row r="39" spans="1:16" x14ac:dyDescent="0.25">
      <c r="A39" s="120">
        <f t="shared" ref="A39:A67" si="0">A38+1</f>
        <v>-13</v>
      </c>
      <c r="B39" s="3">
        <v>7439.7339342688329</v>
      </c>
      <c r="C39" s="3">
        <v>6964.0379871978712</v>
      </c>
      <c r="D39" s="3">
        <v>5734.9669093347929</v>
      </c>
      <c r="E39" s="3">
        <v>5196.6880734843644</v>
      </c>
      <c r="F39" s="3">
        <v>3563.1970672167072</v>
      </c>
      <c r="G39" s="3">
        <v>942.69111378955085</v>
      </c>
      <c r="H39" s="3">
        <v>116.55310700220932</v>
      </c>
      <c r="I39" s="3"/>
      <c r="J39" s="3"/>
      <c r="K39" s="3"/>
      <c r="L39" s="3"/>
      <c r="M39" s="3"/>
      <c r="N39" s="3"/>
      <c r="O39" s="3"/>
      <c r="P39" s="3"/>
    </row>
    <row r="40" spans="1:16" x14ac:dyDescent="0.25">
      <c r="A40" s="120">
        <f t="shared" si="0"/>
        <v>-12</v>
      </c>
      <c r="B40" s="3">
        <v>7439.7200593190755</v>
      </c>
      <c r="C40" s="3">
        <v>7373.6737720784022</v>
      </c>
      <c r="D40" s="3">
        <v>5734.9669093347929</v>
      </c>
      <c r="E40" s="3">
        <v>5196.6880734843644</v>
      </c>
      <c r="F40" s="3">
        <v>3563.1970672167072</v>
      </c>
      <c r="G40" s="3">
        <v>942.69111378955085</v>
      </c>
      <c r="H40" s="3">
        <v>116.55310700220932</v>
      </c>
      <c r="I40" s="3"/>
      <c r="J40" s="3"/>
      <c r="K40" s="3"/>
      <c r="L40" s="3"/>
      <c r="M40" s="3"/>
      <c r="N40" s="3"/>
      <c r="O40" s="3"/>
      <c r="P40" s="3"/>
    </row>
    <row r="41" spans="1:16" x14ac:dyDescent="0.25">
      <c r="A41" s="120">
        <f t="shared" si="0"/>
        <v>-11</v>
      </c>
      <c r="B41" s="3">
        <v>7439.7529302284693</v>
      </c>
      <c r="C41" s="3">
        <v>7373.5786437015904</v>
      </c>
      <c r="D41" s="3">
        <v>7331.0342438510579</v>
      </c>
      <c r="E41" s="3">
        <v>5196.6880734843644</v>
      </c>
      <c r="F41" s="3">
        <v>3563.1970672167072</v>
      </c>
      <c r="G41" s="3">
        <v>942.69111378955085</v>
      </c>
      <c r="H41" s="3">
        <v>116.55310700220932</v>
      </c>
      <c r="I41" s="3"/>
      <c r="J41" s="3"/>
      <c r="K41" s="3"/>
      <c r="L41" s="3"/>
      <c r="M41" s="3"/>
      <c r="N41" s="3"/>
      <c r="O41" s="3"/>
      <c r="P41" s="3"/>
    </row>
    <row r="42" spans="1:16" x14ac:dyDescent="0.25">
      <c r="A42" s="120">
        <f t="shared" si="0"/>
        <v>-10</v>
      </c>
      <c r="B42" s="3">
        <v>7439.3932480893973</v>
      </c>
      <c r="C42" s="3">
        <v>7373.7142437830016</v>
      </c>
      <c r="D42" s="3">
        <v>7330.6107135920884</v>
      </c>
      <c r="E42" s="3">
        <v>5196.6880734843644</v>
      </c>
      <c r="F42" s="3">
        <v>3563.1970672167072</v>
      </c>
      <c r="G42" s="3">
        <v>942.69111378955085</v>
      </c>
      <c r="H42" s="3">
        <v>116.55310700220932</v>
      </c>
      <c r="I42" s="3"/>
      <c r="J42" s="3"/>
      <c r="K42" s="3"/>
      <c r="L42" s="3"/>
      <c r="M42" s="3"/>
      <c r="N42" s="3"/>
      <c r="O42" s="3"/>
      <c r="P42" s="3"/>
    </row>
    <row r="43" spans="1:16" x14ac:dyDescent="0.25">
      <c r="A43" s="120">
        <f t="shared" si="0"/>
        <v>-9</v>
      </c>
      <c r="B43" s="3">
        <v>7438.3918806461825</v>
      </c>
      <c r="C43" s="3">
        <v>7371.5557775451944</v>
      </c>
      <c r="D43" s="3">
        <v>7328.2127822020148</v>
      </c>
      <c r="E43" s="3">
        <v>5196.6880734843644</v>
      </c>
      <c r="F43" s="3">
        <v>3563.1970672167072</v>
      </c>
      <c r="G43" s="3">
        <v>942.69111378955085</v>
      </c>
      <c r="H43" s="3">
        <v>116.55310700220932</v>
      </c>
      <c r="I43" s="3"/>
      <c r="J43" s="3"/>
      <c r="K43" s="3"/>
      <c r="L43" s="3"/>
      <c r="M43" s="3"/>
      <c r="N43" s="3"/>
      <c r="O43" s="3"/>
      <c r="P43" s="3"/>
    </row>
    <row r="44" spans="1:16" x14ac:dyDescent="0.25">
      <c r="A44" s="120">
        <f t="shared" si="0"/>
        <v>-8</v>
      </c>
      <c r="B44" s="3">
        <v>7419.8635420750343</v>
      </c>
      <c r="C44" s="3">
        <v>7364.1562551734442</v>
      </c>
      <c r="D44" s="3">
        <v>7300.3897068319957</v>
      </c>
      <c r="E44" s="3">
        <v>7199.0257425394557</v>
      </c>
      <c r="F44" s="3">
        <v>3563.1970672167072</v>
      </c>
      <c r="G44" s="3">
        <v>942.69111378955085</v>
      </c>
      <c r="H44" s="3">
        <v>116.55310700220932</v>
      </c>
      <c r="I44" s="3"/>
      <c r="J44" s="3"/>
      <c r="K44" s="3"/>
      <c r="L44" s="3"/>
      <c r="M44" s="3"/>
      <c r="N44" s="3"/>
      <c r="O44" s="3"/>
      <c r="P44" s="3"/>
    </row>
    <row r="45" spans="1:16" x14ac:dyDescent="0.25">
      <c r="A45" s="120">
        <f t="shared" si="0"/>
        <v>-7</v>
      </c>
      <c r="B45" s="3">
        <v>7324.215456474134</v>
      </c>
      <c r="C45" s="3">
        <v>7276.0321319314353</v>
      </c>
      <c r="D45" s="3">
        <v>7178.6922207463094</v>
      </c>
      <c r="E45" s="3">
        <v>7059.7420165217936</v>
      </c>
      <c r="F45" s="3">
        <v>3563.1970672167072</v>
      </c>
      <c r="G45" s="3">
        <v>942.69111378955085</v>
      </c>
      <c r="H45" s="3">
        <v>116.55310700220932</v>
      </c>
      <c r="I45" s="3"/>
      <c r="J45" s="3"/>
      <c r="K45" s="3"/>
      <c r="L45" s="3"/>
      <c r="M45" s="3"/>
      <c r="N45" s="3"/>
      <c r="O45" s="3"/>
      <c r="P45" s="3"/>
    </row>
    <row r="46" spans="1:16" x14ac:dyDescent="0.25">
      <c r="A46" s="120">
        <f t="shared" si="0"/>
        <v>-6</v>
      </c>
      <c r="B46" s="3">
        <v>7174.6898703842944</v>
      </c>
      <c r="C46" s="3">
        <v>7130.8691606148059</v>
      </c>
      <c r="D46" s="3">
        <v>7034.4990127537512</v>
      </c>
      <c r="E46" s="3">
        <v>6900.5094135135978</v>
      </c>
      <c r="F46" s="3">
        <v>3563.1970672167072</v>
      </c>
      <c r="G46" s="3">
        <v>942.69111378955085</v>
      </c>
      <c r="H46" s="3">
        <v>116.55310700220932</v>
      </c>
      <c r="I46" s="3"/>
      <c r="J46" s="3"/>
      <c r="K46" s="3"/>
      <c r="L46" s="3"/>
      <c r="M46" s="3"/>
      <c r="N46" s="3"/>
      <c r="O46" s="3"/>
      <c r="P46" s="3"/>
    </row>
    <row r="47" spans="1:16" x14ac:dyDescent="0.25">
      <c r="A47" s="120">
        <f t="shared" si="0"/>
        <v>-5</v>
      </c>
      <c r="B47" s="3">
        <v>6964.0379871978712</v>
      </c>
      <c r="C47" s="3">
        <v>6945.8179644100592</v>
      </c>
      <c r="D47" s="3">
        <v>6867.1705713885058</v>
      </c>
      <c r="E47" s="3">
        <v>6723.7587418931198</v>
      </c>
      <c r="F47" s="3">
        <v>6323.7668304163335</v>
      </c>
      <c r="G47" s="3">
        <v>942.69111378955085</v>
      </c>
      <c r="H47" s="3">
        <v>116.55310700220932</v>
      </c>
      <c r="I47" s="3"/>
      <c r="J47" s="3"/>
      <c r="K47" s="3"/>
      <c r="L47" s="3"/>
      <c r="M47" s="3"/>
      <c r="N47" s="3"/>
      <c r="O47" s="3"/>
      <c r="P47" s="3"/>
    </row>
    <row r="48" spans="1:16" x14ac:dyDescent="0.25">
      <c r="A48" s="120">
        <f t="shared" si="0"/>
        <v>-4</v>
      </c>
      <c r="B48" s="3">
        <v>6964.0379871978712</v>
      </c>
      <c r="C48" s="3">
        <v>6530.0440291415716</v>
      </c>
      <c r="D48" s="3">
        <v>6608.8024829862097</v>
      </c>
      <c r="E48" s="3">
        <v>6519.6043043577192</v>
      </c>
      <c r="F48" s="3">
        <v>6060.8557573682765</v>
      </c>
      <c r="G48" s="3">
        <v>942.69111378955085</v>
      </c>
      <c r="H48" s="3">
        <v>116.55310700220932</v>
      </c>
      <c r="I48" s="3"/>
      <c r="J48" s="3"/>
      <c r="K48" s="3"/>
      <c r="L48" s="3"/>
      <c r="M48" s="3"/>
      <c r="N48" s="3"/>
      <c r="O48" s="3"/>
      <c r="P48" s="3"/>
    </row>
    <row r="49" spans="1:16" x14ac:dyDescent="0.25">
      <c r="A49" s="120">
        <f t="shared" si="0"/>
        <v>-3</v>
      </c>
      <c r="B49" s="3">
        <v>6964.0379871978712</v>
      </c>
      <c r="C49" s="3">
        <v>5734.9669093347929</v>
      </c>
      <c r="D49" s="3">
        <v>6088.3933088676185</v>
      </c>
      <c r="E49" s="3">
        <v>6283.26467299667</v>
      </c>
      <c r="F49" s="3">
        <v>5776.7475493188331</v>
      </c>
      <c r="G49" s="3">
        <v>942.69111378955085</v>
      </c>
      <c r="H49" s="3">
        <v>116.55310700220932</v>
      </c>
      <c r="I49" s="3"/>
      <c r="J49" s="3"/>
      <c r="K49" s="3"/>
      <c r="L49" s="3"/>
      <c r="M49" s="3"/>
      <c r="N49" s="3"/>
      <c r="O49" s="3"/>
      <c r="P49" s="3"/>
    </row>
    <row r="50" spans="1:16" x14ac:dyDescent="0.25">
      <c r="A50" s="120">
        <f t="shared" si="0"/>
        <v>-2</v>
      </c>
      <c r="B50" s="3">
        <v>6964.0379871978712</v>
      </c>
      <c r="C50" s="3">
        <v>5734.9669093347929</v>
      </c>
      <c r="D50" s="3">
        <v>5196.6880734843644</v>
      </c>
      <c r="E50" s="3">
        <v>5897.8863088129201</v>
      </c>
      <c r="F50" s="3">
        <v>5495.7675366958674</v>
      </c>
      <c r="G50" s="3">
        <v>942.69111378955085</v>
      </c>
      <c r="H50" s="3">
        <v>116.55310700220932</v>
      </c>
      <c r="I50" s="3"/>
      <c r="J50" s="3"/>
      <c r="K50" s="3"/>
      <c r="L50" s="3"/>
      <c r="M50" s="3"/>
      <c r="N50" s="3"/>
      <c r="O50" s="3"/>
      <c r="P50" s="3"/>
    </row>
    <row r="51" spans="1:16" x14ac:dyDescent="0.25">
      <c r="A51" s="120">
        <f t="shared" si="0"/>
        <v>-1</v>
      </c>
      <c r="B51" s="3">
        <v>6964.0379871978712</v>
      </c>
      <c r="C51" s="3">
        <v>5734.9669093347929</v>
      </c>
      <c r="D51" s="3">
        <v>5196.6880734843644</v>
      </c>
      <c r="E51" s="3">
        <v>5163.5021242051052</v>
      </c>
      <c r="F51" s="3">
        <v>5188.5996988750203</v>
      </c>
      <c r="G51" s="3">
        <v>942.69111378955085</v>
      </c>
      <c r="H51" s="3">
        <v>116.55310700220932</v>
      </c>
      <c r="I51" s="3"/>
      <c r="J51" s="3"/>
      <c r="K51" s="3"/>
      <c r="L51" s="3"/>
      <c r="M51" s="3"/>
      <c r="N51" s="3"/>
      <c r="O51" s="3"/>
      <c r="P51" s="3"/>
    </row>
    <row r="52" spans="1:16" x14ac:dyDescent="0.25">
      <c r="A52" s="120">
        <f t="shared" si="0"/>
        <v>0</v>
      </c>
      <c r="B52" s="3">
        <v>6964.0379871978712</v>
      </c>
      <c r="C52" s="3">
        <v>5734.9669093347929</v>
      </c>
      <c r="D52" s="3">
        <v>5196.6880734843644</v>
      </c>
      <c r="E52" s="3">
        <v>4281.763953450989</v>
      </c>
      <c r="F52" s="3">
        <v>4846.1759775211867</v>
      </c>
      <c r="G52" s="3">
        <v>942.69111378955085</v>
      </c>
      <c r="H52" s="3">
        <v>116.55310700220932</v>
      </c>
      <c r="I52" s="3"/>
      <c r="J52" s="3"/>
      <c r="K52" s="3"/>
      <c r="L52" s="3"/>
      <c r="M52" s="3"/>
      <c r="N52" s="3"/>
      <c r="O52" s="3"/>
      <c r="P52" s="3"/>
    </row>
    <row r="53" spans="1:16" x14ac:dyDescent="0.25">
      <c r="A53" s="120">
        <f t="shared" si="0"/>
        <v>1</v>
      </c>
      <c r="B53" s="3">
        <v>6964.0379871978712</v>
      </c>
      <c r="C53" s="3">
        <v>5734.9669093347929</v>
      </c>
      <c r="D53" s="3">
        <v>5196.6880734843644</v>
      </c>
      <c r="E53" s="3">
        <v>3563.1970672167072</v>
      </c>
      <c r="F53" s="3">
        <v>4307.5308640863095</v>
      </c>
      <c r="G53" s="3">
        <v>942.69111378955085</v>
      </c>
      <c r="H53" s="3">
        <v>116.55310700220932</v>
      </c>
      <c r="I53" s="3"/>
      <c r="J53" s="3"/>
      <c r="K53" s="3"/>
      <c r="L53" s="3"/>
      <c r="M53" s="3"/>
      <c r="N53" s="3"/>
      <c r="O53" s="3"/>
      <c r="P53" s="3"/>
    </row>
    <row r="54" spans="1:16" x14ac:dyDescent="0.25">
      <c r="A54" s="120">
        <f t="shared" si="0"/>
        <v>2</v>
      </c>
      <c r="B54" s="3">
        <v>6964.0379871978712</v>
      </c>
      <c r="C54" s="3">
        <v>5734.9669093347929</v>
      </c>
      <c r="D54" s="3">
        <v>5196.6880734843644</v>
      </c>
      <c r="E54" s="3">
        <v>3563.1970672167072</v>
      </c>
      <c r="F54" s="3">
        <v>3424.2409160347711</v>
      </c>
      <c r="G54" s="3">
        <v>942.69111378955085</v>
      </c>
      <c r="H54" s="3">
        <v>116.55310700220932</v>
      </c>
      <c r="I54" s="3"/>
      <c r="J54" s="3"/>
      <c r="K54" s="3"/>
      <c r="L54" s="3"/>
      <c r="M54" s="3"/>
      <c r="N54" s="3"/>
      <c r="O54" s="3"/>
      <c r="P54" s="3"/>
    </row>
    <row r="55" spans="1:16" x14ac:dyDescent="0.25">
      <c r="A55" s="120">
        <f t="shared" si="0"/>
        <v>3</v>
      </c>
      <c r="B55" s="3">
        <v>6964.0379871978712</v>
      </c>
      <c r="C55" s="3">
        <v>5734.9669093347929</v>
      </c>
      <c r="D55" s="3">
        <v>5196.6880734843644</v>
      </c>
      <c r="E55" s="3">
        <v>3563.1970672167072</v>
      </c>
      <c r="F55" s="3">
        <v>2457.6306581082695</v>
      </c>
      <c r="G55" s="3">
        <v>942.69111378955085</v>
      </c>
      <c r="H55" s="3">
        <v>116.55310700220932</v>
      </c>
      <c r="I55" s="3"/>
      <c r="J55" s="3"/>
      <c r="K55" s="3"/>
      <c r="L55" s="3"/>
      <c r="M55" s="3"/>
      <c r="N55" s="3"/>
      <c r="O55" s="3"/>
      <c r="P55" s="3"/>
    </row>
    <row r="56" spans="1:16" x14ac:dyDescent="0.25">
      <c r="A56" s="120">
        <f t="shared" si="0"/>
        <v>4</v>
      </c>
      <c r="B56" s="3">
        <v>6964.0379871978712</v>
      </c>
      <c r="C56" s="3">
        <v>5734.9669093347929</v>
      </c>
      <c r="D56" s="3">
        <v>5196.6880734843644</v>
      </c>
      <c r="E56" s="3">
        <v>3563.1970672167072</v>
      </c>
      <c r="F56" s="3">
        <v>1610.938712030013</v>
      </c>
      <c r="G56" s="3">
        <v>1914.0032936977775</v>
      </c>
      <c r="H56" s="3">
        <v>116.55310700220932</v>
      </c>
      <c r="I56" s="3"/>
      <c r="J56" s="3"/>
      <c r="K56" s="3"/>
      <c r="L56" s="3"/>
      <c r="M56" s="3"/>
      <c r="N56" s="3"/>
      <c r="O56" s="3"/>
      <c r="P56" s="3"/>
    </row>
    <row r="57" spans="1:16" x14ac:dyDescent="0.25">
      <c r="A57" s="120">
        <f t="shared" si="0"/>
        <v>5</v>
      </c>
      <c r="B57" s="3">
        <v>6964.0379871978712</v>
      </c>
      <c r="C57" s="3">
        <v>5734.9669093347929</v>
      </c>
      <c r="D57" s="3">
        <v>5196.6880734843644</v>
      </c>
      <c r="E57" s="3">
        <v>3563.1970672167072</v>
      </c>
      <c r="F57" s="3">
        <v>942.69111378955085</v>
      </c>
      <c r="G57" s="3">
        <v>1151.8284155015867</v>
      </c>
      <c r="H57" s="3">
        <v>1176.6255159041525</v>
      </c>
      <c r="I57" s="3"/>
      <c r="J57" s="3"/>
      <c r="K57" s="3"/>
      <c r="L57" s="3"/>
      <c r="M57" s="3"/>
      <c r="N57" s="3"/>
      <c r="O57" s="3"/>
      <c r="P57" s="3"/>
    </row>
    <row r="58" spans="1:16" x14ac:dyDescent="0.25">
      <c r="A58" s="120">
        <f t="shared" si="0"/>
        <v>6</v>
      </c>
      <c r="B58" s="3">
        <v>6964.0379871978712</v>
      </c>
      <c r="C58" s="3">
        <v>5734.9669093347929</v>
      </c>
      <c r="D58" s="3">
        <v>5196.6880734843644</v>
      </c>
      <c r="E58" s="3">
        <v>3563.1970672167072</v>
      </c>
      <c r="F58" s="3">
        <v>942.69111378955085</v>
      </c>
      <c r="G58" s="3">
        <v>651.88962612703097</v>
      </c>
      <c r="H58" s="3">
        <v>685.85264915570053</v>
      </c>
      <c r="I58" s="3"/>
      <c r="J58" s="3"/>
      <c r="K58" s="3"/>
      <c r="L58" s="3"/>
      <c r="M58" s="3"/>
      <c r="N58" s="3"/>
      <c r="O58" s="3"/>
      <c r="P58" s="3"/>
    </row>
    <row r="59" spans="1:16" x14ac:dyDescent="0.25">
      <c r="A59" s="120">
        <f t="shared" si="0"/>
        <v>7</v>
      </c>
      <c r="B59" s="3">
        <v>6964.0379871978712</v>
      </c>
      <c r="C59" s="3">
        <v>5734.9669093347929</v>
      </c>
      <c r="D59" s="3">
        <v>5196.6880734843644</v>
      </c>
      <c r="E59" s="3">
        <v>3563.1970672167072</v>
      </c>
      <c r="F59" s="3">
        <v>942.69111378955085</v>
      </c>
      <c r="G59" s="3">
        <v>366.64964830415806</v>
      </c>
      <c r="H59" s="3">
        <v>361.68195399269734</v>
      </c>
      <c r="I59" s="3"/>
      <c r="J59" s="3"/>
      <c r="K59" s="3"/>
      <c r="L59" s="3"/>
      <c r="M59" s="3"/>
      <c r="N59" s="3"/>
      <c r="O59" s="3"/>
      <c r="P59" s="3"/>
    </row>
    <row r="60" spans="1:16" x14ac:dyDescent="0.25">
      <c r="A60" s="120">
        <f t="shared" si="0"/>
        <v>8</v>
      </c>
      <c r="B60" s="3">
        <v>6964.0379871978712</v>
      </c>
      <c r="C60" s="3">
        <v>5734.9669093347929</v>
      </c>
      <c r="D60" s="3">
        <v>5196.6880734843644</v>
      </c>
      <c r="E60" s="3">
        <v>3563.1970672167072</v>
      </c>
      <c r="F60" s="3">
        <v>942.69111378955085</v>
      </c>
      <c r="G60" s="3">
        <v>251.47093805707132</v>
      </c>
      <c r="H60" s="3">
        <v>256.16364712671782</v>
      </c>
      <c r="I60" s="3"/>
      <c r="J60" s="3"/>
      <c r="K60" s="3"/>
      <c r="L60" s="3"/>
      <c r="M60" s="3"/>
      <c r="N60" s="3"/>
      <c r="O60" s="3"/>
      <c r="P60" s="3"/>
    </row>
    <row r="61" spans="1:16" x14ac:dyDescent="0.25">
      <c r="A61" s="120">
        <f t="shared" si="0"/>
        <v>9</v>
      </c>
      <c r="B61" s="3">
        <v>6964.0379871978712</v>
      </c>
      <c r="C61" s="3">
        <v>5734.9669093347929</v>
      </c>
      <c r="D61" s="3">
        <v>5196.6880734843644</v>
      </c>
      <c r="E61" s="3">
        <v>3563.1970672167072</v>
      </c>
      <c r="F61" s="3">
        <v>942.69111378955085</v>
      </c>
      <c r="G61" s="3">
        <v>216.25704021017427</v>
      </c>
      <c r="H61" s="3">
        <v>219.67415898017248</v>
      </c>
      <c r="I61" s="3"/>
      <c r="J61" s="3"/>
      <c r="K61" s="3"/>
      <c r="L61" s="3"/>
      <c r="M61" s="3"/>
      <c r="N61" s="3"/>
      <c r="O61" s="3"/>
      <c r="P61" s="3"/>
    </row>
    <row r="62" spans="1:16" x14ac:dyDescent="0.25">
      <c r="A62" s="120">
        <f t="shared" si="0"/>
        <v>10</v>
      </c>
      <c r="B62" s="3">
        <v>6964.0379871978712</v>
      </c>
      <c r="C62" s="3">
        <v>5734.9669093347929</v>
      </c>
      <c r="D62" s="3">
        <v>5196.6880734843644</v>
      </c>
      <c r="E62" s="3">
        <v>3563.1970672167072</v>
      </c>
      <c r="F62" s="3">
        <v>942.69111378955085</v>
      </c>
      <c r="G62" s="3">
        <v>187.5258097578926</v>
      </c>
      <c r="H62" s="3">
        <v>200.11275529599467</v>
      </c>
      <c r="I62" s="3"/>
      <c r="J62" s="3"/>
      <c r="K62" s="3"/>
      <c r="L62" s="3"/>
      <c r="M62" s="3"/>
      <c r="N62" s="3"/>
      <c r="O62" s="3"/>
      <c r="P62" s="3"/>
    </row>
    <row r="63" spans="1:16" x14ac:dyDescent="0.25">
      <c r="A63" s="120">
        <f t="shared" si="0"/>
        <v>11</v>
      </c>
      <c r="B63" s="3">
        <v>6964.0379871978712</v>
      </c>
      <c r="C63" s="3">
        <v>5734.9669093347929</v>
      </c>
      <c r="D63" s="3">
        <v>5196.6880734843644</v>
      </c>
      <c r="E63" s="3">
        <v>3563.1970672167072</v>
      </c>
      <c r="F63" s="3">
        <v>942.69111378955085</v>
      </c>
      <c r="G63" s="3">
        <v>159.80645692674565</v>
      </c>
      <c r="H63" s="3">
        <v>187.25520688696966</v>
      </c>
      <c r="I63" s="3"/>
      <c r="J63" s="3"/>
      <c r="K63" s="3"/>
      <c r="L63" s="3"/>
      <c r="M63" s="3"/>
      <c r="N63" s="3"/>
      <c r="O63" s="3"/>
      <c r="P63" s="3"/>
    </row>
    <row r="64" spans="1:16" x14ac:dyDescent="0.25">
      <c r="A64" s="120">
        <f t="shared" si="0"/>
        <v>12</v>
      </c>
      <c r="B64" s="3">
        <v>6964.0379871978712</v>
      </c>
      <c r="C64" s="3">
        <v>5734.9669093347929</v>
      </c>
      <c r="D64" s="3">
        <v>5196.6880734843644</v>
      </c>
      <c r="E64" s="3">
        <v>3563.1970672167072</v>
      </c>
      <c r="F64" s="3">
        <v>942.69111378955085</v>
      </c>
      <c r="G64" s="3">
        <v>133.82211753108493</v>
      </c>
      <c r="H64" s="3">
        <v>165.38357596376929</v>
      </c>
      <c r="I64" s="3"/>
      <c r="J64" s="3"/>
      <c r="K64" s="3"/>
      <c r="L64" s="3"/>
      <c r="M64" s="3"/>
      <c r="N64" s="3"/>
      <c r="O64" s="3"/>
      <c r="P64" s="3"/>
    </row>
    <row r="65" spans="1:16" x14ac:dyDescent="0.25">
      <c r="A65" s="120">
        <f t="shared" si="0"/>
        <v>13</v>
      </c>
      <c r="B65" s="3">
        <v>6964.0379871978712</v>
      </c>
      <c r="C65" s="3">
        <v>5734.9669093347929</v>
      </c>
      <c r="D65" s="3">
        <v>5196.6880734843644</v>
      </c>
      <c r="E65" s="3">
        <v>3563.1970672167072</v>
      </c>
      <c r="F65" s="3">
        <v>942.69111378955085</v>
      </c>
      <c r="G65" s="3">
        <v>116.55310700220932</v>
      </c>
      <c r="H65" s="3">
        <v>138.08410897255112</v>
      </c>
      <c r="I65" s="3"/>
      <c r="J65" s="3"/>
      <c r="K65" s="3"/>
      <c r="L65" s="3"/>
      <c r="M65" s="3"/>
      <c r="N65" s="3"/>
      <c r="O65" s="3"/>
      <c r="P65" s="3"/>
    </row>
    <row r="66" spans="1:16" x14ac:dyDescent="0.25">
      <c r="A66" s="120">
        <f t="shared" si="0"/>
        <v>14</v>
      </c>
      <c r="B66" s="3">
        <v>6964.0379871978712</v>
      </c>
      <c r="C66" s="3">
        <v>5734.9669093347929</v>
      </c>
      <c r="D66" s="3">
        <v>5196.6880734843644</v>
      </c>
      <c r="E66" s="3">
        <v>3563.1970672167072</v>
      </c>
      <c r="F66" s="3">
        <v>942.69111378955085</v>
      </c>
      <c r="G66" s="3">
        <v>116.55310700220932</v>
      </c>
      <c r="H66" s="3">
        <v>119.20571487717096</v>
      </c>
      <c r="I66" s="3"/>
      <c r="J66" s="3"/>
      <c r="K66" s="3"/>
      <c r="L66" s="3"/>
      <c r="M66" s="3"/>
      <c r="N66" s="3"/>
      <c r="O66" s="3"/>
      <c r="P66" s="3"/>
    </row>
    <row r="67" spans="1:16" x14ac:dyDescent="0.25">
      <c r="A67" s="120">
        <f t="shared" si="0"/>
        <v>15</v>
      </c>
      <c r="B67" s="3">
        <v>6964.0379871978712</v>
      </c>
      <c r="C67" s="3">
        <v>5734.9669093347929</v>
      </c>
      <c r="D67" s="3">
        <v>5196.6880734843644</v>
      </c>
      <c r="E67" s="3">
        <v>3563.1970672167072</v>
      </c>
      <c r="F67" s="3">
        <v>942.69111378955085</v>
      </c>
      <c r="G67" s="3">
        <v>116.55310700220932</v>
      </c>
      <c r="H67" s="3">
        <v>119.20571487717096</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t="str">
        <f t="shared" ref="B72:H79" si="1">IF($A72&gt;=10^B$4,IF($A72&lt;=10^INDEX($B$4:$H$34,$A$1,COLUMN(B4)-1),B37,"nv"),"nv")</f>
        <v>nv</v>
      </c>
      <c r="C72" s="122" t="str">
        <f t="shared" si="1"/>
        <v>nv</v>
      </c>
      <c r="D72" s="122" t="str">
        <f t="shared" si="1"/>
        <v>nv</v>
      </c>
      <c r="E72" s="122" t="str">
        <f t="shared" si="1"/>
        <v>nv</v>
      </c>
      <c r="F72" s="122" t="str">
        <f t="shared" si="1"/>
        <v>nv</v>
      </c>
      <c r="G72" s="122" t="str">
        <f t="shared" si="1"/>
        <v>nv</v>
      </c>
      <c r="H72" s="122" t="str">
        <f t="shared" si="1"/>
        <v>nv</v>
      </c>
      <c r="I72" s="122"/>
      <c r="J72" s="122">
        <f>IF(ISERROR(AVERAGE(B72:H72)),IF(J71&gt;0,J71,J73),AVERAGE(B72:H72))</f>
        <v>7439.7300389875654</v>
      </c>
      <c r="K72" s="3"/>
      <c r="L72" s="3"/>
      <c r="M72" s="3"/>
      <c r="N72" s="3"/>
      <c r="O72" s="3"/>
      <c r="P72" s="3"/>
    </row>
    <row r="73" spans="1:16" x14ac:dyDescent="0.25">
      <c r="A73" s="121">
        <f t="shared" ref="A73:A102" si="2">10^A38</f>
        <v>1E-14</v>
      </c>
      <c r="B73" s="122">
        <f t="shared" si="1"/>
        <v>7439.7300389875654</v>
      </c>
      <c r="C73" s="122" t="str">
        <f t="shared" si="1"/>
        <v>nv</v>
      </c>
      <c r="D73" s="122" t="str">
        <f t="shared" si="1"/>
        <v>nv</v>
      </c>
      <c r="E73" s="122" t="str">
        <f t="shared" si="1"/>
        <v>nv</v>
      </c>
      <c r="F73" s="122" t="str">
        <f t="shared" si="1"/>
        <v>nv</v>
      </c>
      <c r="G73" s="122" t="str">
        <f t="shared" si="1"/>
        <v>nv</v>
      </c>
      <c r="H73" s="122" t="str">
        <f t="shared" si="1"/>
        <v>nv</v>
      </c>
      <c r="I73" s="122"/>
      <c r="J73" s="122">
        <f t="shared" ref="J73:J102" si="3">IF(ISERROR(AVERAGE(B73:H73)),IF(J72&gt;0,J72,J74),AVERAGE(B73:H73))</f>
        <v>7439.7300389875654</v>
      </c>
      <c r="K73" s="3"/>
      <c r="L73" s="3"/>
      <c r="M73" s="3"/>
      <c r="N73" s="3"/>
      <c r="O73" s="3"/>
      <c r="P73" s="3"/>
    </row>
    <row r="74" spans="1:16" x14ac:dyDescent="0.25">
      <c r="A74" s="121">
        <f t="shared" si="2"/>
        <v>1E-13</v>
      </c>
      <c r="B74" s="122">
        <f t="shared" si="1"/>
        <v>7439.7339342688329</v>
      </c>
      <c r="C74" s="122" t="str">
        <f t="shared" si="1"/>
        <v>nv</v>
      </c>
      <c r="D74" s="122" t="str">
        <f t="shared" si="1"/>
        <v>nv</v>
      </c>
      <c r="E74" s="122" t="str">
        <f t="shared" si="1"/>
        <v>nv</v>
      </c>
      <c r="F74" s="122" t="str">
        <f t="shared" si="1"/>
        <v>nv</v>
      </c>
      <c r="G74" s="122" t="str">
        <f t="shared" si="1"/>
        <v>nv</v>
      </c>
      <c r="H74" s="122" t="str">
        <f t="shared" si="1"/>
        <v>nv</v>
      </c>
      <c r="I74" s="122"/>
      <c r="J74" s="122">
        <f t="shared" si="3"/>
        <v>7439.7339342688329</v>
      </c>
      <c r="K74" s="3"/>
      <c r="L74" s="3"/>
      <c r="M74" s="3"/>
      <c r="N74" s="3"/>
      <c r="O74" s="3"/>
      <c r="P74" s="3"/>
    </row>
    <row r="75" spans="1:16" x14ac:dyDescent="0.25">
      <c r="A75" s="121">
        <f t="shared" si="2"/>
        <v>9.9999999999999998E-13</v>
      </c>
      <c r="B75" s="122">
        <f t="shared" si="1"/>
        <v>7439.7200593190755</v>
      </c>
      <c r="C75" s="122">
        <f t="shared" si="1"/>
        <v>7373.6737720784022</v>
      </c>
      <c r="D75" s="122" t="str">
        <f t="shared" si="1"/>
        <v>nv</v>
      </c>
      <c r="E75" s="122" t="str">
        <f t="shared" si="1"/>
        <v>nv</v>
      </c>
      <c r="F75" s="122" t="str">
        <f t="shared" si="1"/>
        <v>nv</v>
      </c>
      <c r="G75" s="122" t="str">
        <f t="shared" si="1"/>
        <v>nv</v>
      </c>
      <c r="H75" s="122" t="str">
        <f t="shared" si="1"/>
        <v>nv</v>
      </c>
      <c r="I75" s="122"/>
      <c r="J75" s="122">
        <f t="shared" si="3"/>
        <v>7406.6969156987388</v>
      </c>
      <c r="K75" s="3"/>
      <c r="L75" s="3"/>
      <c r="M75" s="3"/>
      <c r="N75" s="3"/>
      <c r="O75" s="3"/>
      <c r="P75" s="3"/>
    </row>
    <row r="76" spans="1:16" x14ac:dyDescent="0.25">
      <c r="A76" s="121">
        <f t="shared" si="2"/>
        <v>9.9999999999999994E-12</v>
      </c>
      <c r="B76" s="122">
        <f t="shared" si="1"/>
        <v>7439.7529302284693</v>
      </c>
      <c r="C76" s="122">
        <f t="shared" si="1"/>
        <v>7373.5786437015904</v>
      </c>
      <c r="D76" s="122">
        <f t="shared" si="1"/>
        <v>7331.0342438510579</v>
      </c>
      <c r="E76" s="122" t="str">
        <f t="shared" si="1"/>
        <v>nv</v>
      </c>
      <c r="F76" s="122" t="str">
        <f t="shared" si="1"/>
        <v>nv</v>
      </c>
      <c r="G76" s="122" t="str">
        <f t="shared" si="1"/>
        <v>nv</v>
      </c>
      <c r="H76" s="122" t="str">
        <f t="shared" si="1"/>
        <v>nv</v>
      </c>
      <c r="I76" s="122"/>
      <c r="J76" s="122">
        <f t="shared" si="3"/>
        <v>7381.4552725937056</v>
      </c>
      <c r="K76" s="3"/>
      <c r="L76" s="3"/>
      <c r="M76" s="3"/>
      <c r="N76" s="3"/>
      <c r="O76" s="3"/>
      <c r="P76" s="3"/>
    </row>
    <row r="77" spans="1:16" x14ac:dyDescent="0.25">
      <c r="A77" s="121">
        <f t="shared" si="2"/>
        <v>1E-10</v>
      </c>
      <c r="B77" s="122">
        <f t="shared" si="1"/>
        <v>7439.3932480893973</v>
      </c>
      <c r="C77" s="122">
        <f t="shared" si="1"/>
        <v>7373.7142437830016</v>
      </c>
      <c r="D77" s="122">
        <f t="shared" si="1"/>
        <v>7330.6107135920884</v>
      </c>
      <c r="E77" s="122" t="str">
        <f t="shared" si="1"/>
        <v>nv</v>
      </c>
      <c r="F77" s="122" t="str">
        <f t="shared" si="1"/>
        <v>nv</v>
      </c>
      <c r="G77" s="122" t="str">
        <f t="shared" si="1"/>
        <v>nv</v>
      </c>
      <c r="H77" s="122" t="str">
        <f t="shared" si="1"/>
        <v>nv</v>
      </c>
      <c r="I77" s="122"/>
      <c r="J77" s="122">
        <f t="shared" si="3"/>
        <v>7381.2394018214954</v>
      </c>
      <c r="K77" s="3"/>
      <c r="L77" s="3"/>
      <c r="M77" s="3"/>
      <c r="N77" s="3"/>
      <c r="O77" s="3"/>
      <c r="P77" s="3"/>
    </row>
    <row r="78" spans="1:16" x14ac:dyDescent="0.25">
      <c r="A78" s="121">
        <f t="shared" si="2"/>
        <v>1.0000000000000001E-9</v>
      </c>
      <c r="B78" s="122">
        <f t="shared" si="1"/>
        <v>7438.3918806461825</v>
      </c>
      <c r="C78" s="122">
        <f t="shared" si="1"/>
        <v>7371.5557775451944</v>
      </c>
      <c r="D78" s="122">
        <f t="shared" si="1"/>
        <v>7328.2127822020148</v>
      </c>
      <c r="E78" s="122" t="str">
        <f t="shared" si="1"/>
        <v>nv</v>
      </c>
      <c r="F78" s="122" t="str">
        <f t="shared" si="1"/>
        <v>nv</v>
      </c>
      <c r="G78" s="122" t="str">
        <f t="shared" si="1"/>
        <v>nv</v>
      </c>
      <c r="H78" s="122" t="str">
        <f t="shared" si="1"/>
        <v>nv</v>
      </c>
      <c r="I78" s="122"/>
      <c r="J78" s="122">
        <f t="shared" si="3"/>
        <v>7379.3868134644645</v>
      </c>
    </row>
    <row r="79" spans="1:16" x14ac:dyDescent="0.25">
      <c r="A79" s="121">
        <f t="shared" si="2"/>
        <v>1E-8</v>
      </c>
      <c r="B79" s="122">
        <f t="shared" si="1"/>
        <v>7419.8635420750343</v>
      </c>
      <c r="C79" s="122">
        <f t="shared" si="1"/>
        <v>7364.1562551734442</v>
      </c>
      <c r="D79" s="122">
        <f t="shared" si="1"/>
        <v>7300.3897068319957</v>
      </c>
      <c r="E79" s="122">
        <f t="shared" si="1"/>
        <v>7199.0257425394557</v>
      </c>
      <c r="F79" s="122" t="str">
        <f t="shared" si="1"/>
        <v>nv</v>
      </c>
      <c r="G79" s="122" t="str">
        <f t="shared" si="1"/>
        <v>nv</v>
      </c>
      <c r="H79" s="122" t="str">
        <f t="shared" si="1"/>
        <v>nv</v>
      </c>
      <c r="I79" s="122"/>
      <c r="J79" s="122">
        <f t="shared" si="3"/>
        <v>7320.8588116549827</v>
      </c>
    </row>
    <row r="80" spans="1:16" x14ac:dyDescent="0.25">
      <c r="A80" s="121">
        <f t="shared" si="2"/>
        <v>9.9999999999999995E-8</v>
      </c>
      <c r="B80" s="122">
        <f>IF($A80&gt;=10^B$4,IF($A80&lt;=10^INDEX($B$4:$H$34,$A$1,COLUMN(B12)-1),B45,"nv"),"nv")</f>
        <v>7324.215456474134</v>
      </c>
      <c r="C80" s="122">
        <f t="shared" ref="C80:H80" si="4">IF($A80&gt;=10^C$4,IF($A80&lt;=10^INDEX($B$4:$H$34,$A$1,COLUMN(C12)-1),C45,"nv"),"nv")</f>
        <v>7276.0321319314353</v>
      </c>
      <c r="D80" s="122">
        <f t="shared" si="4"/>
        <v>7178.6922207463094</v>
      </c>
      <c r="E80" s="122">
        <f t="shared" si="4"/>
        <v>7059.7420165217936</v>
      </c>
      <c r="F80" s="122" t="str">
        <f t="shared" si="4"/>
        <v>nv</v>
      </c>
      <c r="G80" s="122" t="str">
        <f t="shared" si="4"/>
        <v>nv</v>
      </c>
      <c r="H80" s="122" t="str">
        <f t="shared" si="4"/>
        <v>nv</v>
      </c>
      <c r="I80" s="122"/>
      <c r="J80" s="122">
        <f t="shared" si="3"/>
        <v>7209.6704564184183</v>
      </c>
    </row>
    <row r="81" spans="1:10" x14ac:dyDescent="0.25">
      <c r="A81" s="121">
        <f t="shared" si="2"/>
        <v>9.9999999999999995E-7</v>
      </c>
      <c r="B81" s="122">
        <f t="shared" ref="B81:H102" si="5">IF($A81&gt;=10^B$4,IF($A81&lt;=10^INDEX($B$4:$H$34,$A$1,COLUMN(B13)-1),B46,"nv"),"nv")</f>
        <v>7174.6898703842944</v>
      </c>
      <c r="C81" s="122">
        <f t="shared" si="5"/>
        <v>7130.8691606148059</v>
      </c>
      <c r="D81" s="122">
        <f t="shared" si="5"/>
        <v>7034.4990127537512</v>
      </c>
      <c r="E81" s="122">
        <f t="shared" si="5"/>
        <v>6900.5094135135978</v>
      </c>
      <c r="F81" s="122" t="str">
        <f t="shared" si="5"/>
        <v>nv</v>
      </c>
      <c r="G81" s="122" t="str">
        <f t="shared" si="5"/>
        <v>nv</v>
      </c>
      <c r="H81" s="122" t="str">
        <f t="shared" si="5"/>
        <v>nv</v>
      </c>
      <c r="I81" s="122"/>
      <c r="J81" s="122">
        <f t="shared" si="3"/>
        <v>7060.1418643166126</v>
      </c>
    </row>
    <row r="82" spans="1:10" x14ac:dyDescent="0.25">
      <c r="A82" s="121">
        <f t="shared" si="2"/>
        <v>1.0000000000000001E-5</v>
      </c>
      <c r="B82" s="122">
        <f t="shared" si="5"/>
        <v>6964.0379871978712</v>
      </c>
      <c r="C82" s="122">
        <f t="shared" si="5"/>
        <v>6945.8179644100592</v>
      </c>
      <c r="D82" s="122">
        <f t="shared" si="5"/>
        <v>6867.1705713885058</v>
      </c>
      <c r="E82" s="122">
        <f t="shared" si="5"/>
        <v>6723.7587418931198</v>
      </c>
      <c r="F82" s="122">
        <f t="shared" si="5"/>
        <v>6323.7668304163335</v>
      </c>
      <c r="G82" s="122" t="str">
        <f t="shared" si="5"/>
        <v>nv</v>
      </c>
      <c r="H82" s="122" t="str">
        <f t="shared" si="5"/>
        <v>nv</v>
      </c>
      <c r="I82" s="122"/>
      <c r="J82" s="122">
        <f t="shared" si="3"/>
        <v>6764.9104190611779</v>
      </c>
    </row>
    <row r="83" spans="1:10" x14ac:dyDescent="0.25">
      <c r="A83" s="121">
        <f t="shared" si="2"/>
        <v>1E-4</v>
      </c>
      <c r="B83" s="122" t="str">
        <f t="shared" si="5"/>
        <v>nv</v>
      </c>
      <c r="C83" s="122">
        <f t="shared" si="5"/>
        <v>6530.0440291415716</v>
      </c>
      <c r="D83" s="122">
        <f t="shared" si="5"/>
        <v>6608.8024829862097</v>
      </c>
      <c r="E83" s="122">
        <f t="shared" si="5"/>
        <v>6519.6043043577192</v>
      </c>
      <c r="F83" s="122">
        <f t="shared" si="5"/>
        <v>6060.8557573682765</v>
      </c>
      <c r="G83" s="122" t="str">
        <f t="shared" si="5"/>
        <v>nv</v>
      </c>
      <c r="H83" s="122" t="str">
        <f t="shared" si="5"/>
        <v>nv</v>
      </c>
      <c r="I83" s="122"/>
      <c r="J83" s="122">
        <f t="shared" si="3"/>
        <v>6429.8266434634443</v>
      </c>
    </row>
    <row r="84" spans="1:10" x14ac:dyDescent="0.25">
      <c r="A84" s="121">
        <f t="shared" si="2"/>
        <v>1E-3</v>
      </c>
      <c r="B84" s="122" t="str">
        <f t="shared" si="5"/>
        <v>nv</v>
      </c>
      <c r="C84" s="122">
        <f t="shared" si="5"/>
        <v>5734.9669093347929</v>
      </c>
      <c r="D84" s="122">
        <f t="shared" si="5"/>
        <v>6088.3933088676185</v>
      </c>
      <c r="E84" s="122">
        <f t="shared" si="5"/>
        <v>6283.26467299667</v>
      </c>
      <c r="F84" s="122">
        <f t="shared" si="5"/>
        <v>5776.7475493188331</v>
      </c>
      <c r="G84" s="122" t="str">
        <f t="shared" si="5"/>
        <v>nv</v>
      </c>
      <c r="H84" s="122" t="str">
        <f t="shared" si="5"/>
        <v>nv</v>
      </c>
      <c r="I84" s="122"/>
      <c r="J84" s="122">
        <f t="shared" si="3"/>
        <v>5970.8431101294782</v>
      </c>
    </row>
    <row r="85" spans="1:10" x14ac:dyDescent="0.25">
      <c r="A85" s="121">
        <f t="shared" si="2"/>
        <v>0.01</v>
      </c>
      <c r="B85" s="122" t="str">
        <f t="shared" si="5"/>
        <v>nv</v>
      </c>
      <c r="C85" s="122" t="str">
        <f t="shared" si="5"/>
        <v>nv</v>
      </c>
      <c r="D85" s="122">
        <f t="shared" si="5"/>
        <v>5196.6880734843644</v>
      </c>
      <c r="E85" s="122">
        <f t="shared" si="5"/>
        <v>5897.8863088129201</v>
      </c>
      <c r="F85" s="122">
        <f t="shared" si="5"/>
        <v>5495.7675366958674</v>
      </c>
      <c r="G85" s="122" t="str">
        <f t="shared" si="5"/>
        <v>nv</v>
      </c>
      <c r="H85" s="122" t="str">
        <f t="shared" si="5"/>
        <v>nv</v>
      </c>
      <c r="I85" s="122"/>
      <c r="J85" s="122">
        <f t="shared" si="3"/>
        <v>5530.1139729977176</v>
      </c>
    </row>
    <row r="86" spans="1:10" x14ac:dyDescent="0.25">
      <c r="A86" s="121">
        <f t="shared" si="2"/>
        <v>0.1</v>
      </c>
      <c r="B86" s="122" t="str">
        <f t="shared" si="5"/>
        <v>nv</v>
      </c>
      <c r="C86" s="122" t="str">
        <f t="shared" si="5"/>
        <v>nv</v>
      </c>
      <c r="D86" s="122" t="str">
        <f t="shared" si="5"/>
        <v>nv</v>
      </c>
      <c r="E86" s="122">
        <f t="shared" si="5"/>
        <v>5163.5021242051052</v>
      </c>
      <c r="F86" s="122">
        <f t="shared" si="5"/>
        <v>5188.5996988750203</v>
      </c>
      <c r="G86" s="122" t="str">
        <f t="shared" si="5"/>
        <v>nv</v>
      </c>
      <c r="H86" s="122" t="str">
        <f t="shared" si="5"/>
        <v>nv</v>
      </c>
      <c r="I86" s="122"/>
      <c r="J86" s="122">
        <f t="shared" si="3"/>
        <v>5176.0509115400628</v>
      </c>
    </row>
    <row r="87" spans="1:10" x14ac:dyDescent="0.25">
      <c r="A87" s="121">
        <f t="shared" si="2"/>
        <v>1</v>
      </c>
      <c r="B87" s="122" t="str">
        <f t="shared" si="5"/>
        <v>nv</v>
      </c>
      <c r="C87" s="122" t="str">
        <f t="shared" si="5"/>
        <v>nv</v>
      </c>
      <c r="D87" s="122" t="str">
        <f t="shared" si="5"/>
        <v>nv</v>
      </c>
      <c r="E87" s="122">
        <f t="shared" si="5"/>
        <v>4281.763953450989</v>
      </c>
      <c r="F87" s="122">
        <f t="shared" si="5"/>
        <v>4846.1759775211867</v>
      </c>
      <c r="G87" s="122" t="str">
        <f t="shared" si="5"/>
        <v>nv</v>
      </c>
      <c r="H87" s="122" t="str">
        <f t="shared" si="5"/>
        <v>nv</v>
      </c>
      <c r="I87" s="122"/>
      <c r="J87" s="122">
        <f t="shared" si="3"/>
        <v>4563.9699654860879</v>
      </c>
    </row>
    <row r="88" spans="1:10" x14ac:dyDescent="0.25">
      <c r="A88" s="121">
        <f t="shared" si="2"/>
        <v>10</v>
      </c>
      <c r="B88" s="122" t="str">
        <f t="shared" si="5"/>
        <v>nv</v>
      </c>
      <c r="C88" s="122" t="str">
        <f t="shared" si="5"/>
        <v>nv</v>
      </c>
      <c r="D88" s="122" t="str">
        <f t="shared" si="5"/>
        <v>nv</v>
      </c>
      <c r="E88" s="122">
        <f t="shared" si="5"/>
        <v>3563.1970672167072</v>
      </c>
      <c r="F88" s="122">
        <f t="shared" si="5"/>
        <v>4307.5308640863095</v>
      </c>
      <c r="G88" s="122" t="str">
        <f t="shared" si="5"/>
        <v>nv</v>
      </c>
      <c r="H88" s="122" t="str">
        <f t="shared" si="5"/>
        <v>nv</v>
      </c>
      <c r="I88" s="122"/>
      <c r="J88" s="122">
        <f t="shared" si="3"/>
        <v>3935.3639656515084</v>
      </c>
    </row>
    <row r="89" spans="1:10" x14ac:dyDescent="0.25">
      <c r="A89" s="121">
        <f t="shared" si="2"/>
        <v>100</v>
      </c>
      <c r="B89" s="122" t="str">
        <f t="shared" si="5"/>
        <v>nv</v>
      </c>
      <c r="C89" s="122" t="str">
        <f t="shared" si="5"/>
        <v>nv</v>
      </c>
      <c r="D89" s="122" t="str">
        <f t="shared" si="5"/>
        <v>nv</v>
      </c>
      <c r="E89" s="122" t="str">
        <f t="shared" si="5"/>
        <v>nv</v>
      </c>
      <c r="F89" s="122">
        <f t="shared" si="5"/>
        <v>3424.2409160347711</v>
      </c>
      <c r="G89" s="122" t="str">
        <f t="shared" si="5"/>
        <v>nv</v>
      </c>
      <c r="H89" s="122" t="str">
        <f t="shared" si="5"/>
        <v>nv</v>
      </c>
      <c r="I89" s="122"/>
      <c r="J89" s="122">
        <f t="shared" si="3"/>
        <v>3424.2409160347711</v>
      </c>
    </row>
    <row r="90" spans="1:10" x14ac:dyDescent="0.25">
      <c r="A90" s="121">
        <f t="shared" si="2"/>
        <v>1000</v>
      </c>
      <c r="B90" s="122" t="str">
        <f t="shared" si="5"/>
        <v>nv</v>
      </c>
      <c r="C90" s="122" t="str">
        <f t="shared" si="5"/>
        <v>nv</v>
      </c>
      <c r="D90" s="122" t="str">
        <f t="shared" si="5"/>
        <v>nv</v>
      </c>
      <c r="E90" s="122" t="str">
        <f t="shared" si="5"/>
        <v>nv</v>
      </c>
      <c r="F90" s="122">
        <f t="shared" si="5"/>
        <v>2457.6306581082695</v>
      </c>
      <c r="G90" s="122" t="str">
        <f t="shared" si="5"/>
        <v>nv</v>
      </c>
      <c r="H90" s="122" t="str">
        <f t="shared" si="5"/>
        <v>nv</v>
      </c>
      <c r="I90" s="122"/>
      <c r="J90" s="122">
        <f t="shared" si="3"/>
        <v>2457.6306581082695</v>
      </c>
    </row>
    <row r="91" spans="1:10" x14ac:dyDescent="0.25">
      <c r="A91" s="121">
        <f t="shared" si="2"/>
        <v>10000</v>
      </c>
      <c r="B91" s="122" t="str">
        <f t="shared" si="5"/>
        <v>nv</v>
      </c>
      <c r="C91" s="122" t="str">
        <f t="shared" si="5"/>
        <v>nv</v>
      </c>
      <c r="D91" s="122" t="str">
        <f t="shared" si="5"/>
        <v>nv</v>
      </c>
      <c r="E91" s="122" t="str">
        <f t="shared" si="5"/>
        <v>nv</v>
      </c>
      <c r="F91" s="122">
        <f t="shared" si="5"/>
        <v>1610.938712030013</v>
      </c>
      <c r="G91" s="122">
        <f t="shared" si="5"/>
        <v>1914.0032936977775</v>
      </c>
      <c r="H91" s="122" t="str">
        <f t="shared" si="5"/>
        <v>nv</v>
      </c>
      <c r="I91" s="122"/>
      <c r="J91" s="122">
        <f t="shared" si="3"/>
        <v>1762.4710028638951</v>
      </c>
    </row>
    <row r="92" spans="1:10" x14ac:dyDescent="0.25">
      <c r="A92" s="121">
        <f t="shared" si="2"/>
        <v>100000</v>
      </c>
      <c r="B92" s="122" t="str">
        <f t="shared" si="5"/>
        <v>nv</v>
      </c>
      <c r="C92" s="122" t="str">
        <f t="shared" si="5"/>
        <v>nv</v>
      </c>
      <c r="D92" s="122" t="str">
        <f t="shared" si="5"/>
        <v>nv</v>
      </c>
      <c r="E92" s="122" t="str">
        <f t="shared" si="5"/>
        <v>nv</v>
      </c>
      <c r="F92" s="122">
        <f t="shared" si="5"/>
        <v>942.69111378955085</v>
      </c>
      <c r="G92" s="122">
        <f t="shared" si="5"/>
        <v>1151.8284155015867</v>
      </c>
      <c r="H92" s="122">
        <f t="shared" si="5"/>
        <v>1176.6255159041525</v>
      </c>
      <c r="I92" s="122"/>
      <c r="J92" s="122">
        <f t="shared" si="3"/>
        <v>1090.3816817317634</v>
      </c>
    </row>
    <row r="93" spans="1:10" x14ac:dyDescent="0.25">
      <c r="A93" s="121">
        <f t="shared" si="2"/>
        <v>1000000</v>
      </c>
      <c r="B93" s="122" t="str">
        <f t="shared" si="5"/>
        <v>nv</v>
      </c>
      <c r="C93" s="122" t="str">
        <f t="shared" si="5"/>
        <v>nv</v>
      </c>
      <c r="D93" s="122" t="str">
        <f t="shared" si="5"/>
        <v>nv</v>
      </c>
      <c r="E93" s="122" t="str">
        <f t="shared" si="5"/>
        <v>nv</v>
      </c>
      <c r="F93" s="122" t="str">
        <f t="shared" si="5"/>
        <v>nv</v>
      </c>
      <c r="G93" s="122">
        <f t="shared" si="5"/>
        <v>651.88962612703097</v>
      </c>
      <c r="H93" s="122">
        <f t="shared" si="5"/>
        <v>685.85264915570053</v>
      </c>
      <c r="I93" s="122"/>
      <c r="J93" s="122">
        <f t="shared" si="3"/>
        <v>668.87113764136575</v>
      </c>
    </row>
    <row r="94" spans="1:10" x14ac:dyDescent="0.25">
      <c r="A94" s="121">
        <f t="shared" si="2"/>
        <v>10000000</v>
      </c>
      <c r="B94" s="122" t="str">
        <f t="shared" si="5"/>
        <v>nv</v>
      </c>
      <c r="C94" s="122" t="str">
        <f t="shared" si="5"/>
        <v>nv</v>
      </c>
      <c r="D94" s="122" t="str">
        <f t="shared" si="5"/>
        <v>nv</v>
      </c>
      <c r="E94" s="122" t="str">
        <f t="shared" si="5"/>
        <v>nv</v>
      </c>
      <c r="F94" s="122" t="str">
        <f t="shared" si="5"/>
        <v>nv</v>
      </c>
      <c r="G94" s="122">
        <f t="shared" si="5"/>
        <v>366.64964830415806</v>
      </c>
      <c r="H94" s="122">
        <f t="shared" si="5"/>
        <v>361.68195399269734</v>
      </c>
      <c r="I94" s="122"/>
      <c r="J94" s="122">
        <f t="shared" si="3"/>
        <v>364.1658011484277</v>
      </c>
    </row>
    <row r="95" spans="1:10" x14ac:dyDescent="0.25">
      <c r="A95" s="121">
        <f t="shared" si="2"/>
        <v>100000000</v>
      </c>
      <c r="B95" s="122" t="str">
        <f t="shared" si="5"/>
        <v>nv</v>
      </c>
      <c r="C95" s="122" t="str">
        <f t="shared" si="5"/>
        <v>nv</v>
      </c>
      <c r="D95" s="122" t="str">
        <f t="shared" si="5"/>
        <v>nv</v>
      </c>
      <c r="E95" s="122" t="str">
        <f t="shared" si="5"/>
        <v>nv</v>
      </c>
      <c r="F95" s="122" t="str">
        <f t="shared" si="5"/>
        <v>nv</v>
      </c>
      <c r="G95" s="122">
        <f t="shared" si="5"/>
        <v>251.47093805707132</v>
      </c>
      <c r="H95" s="122">
        <f t="shared" si="5"/>
        <v>256.16364712671782</v>
      </c>
      <c r="I95" s="122"/>
      <c r="J95" s="122">
        <f t="shared" si="3"/>
        <v>253.81729259189456</v>
      </c>
    </row>
    <row r="96" spans="1:10" x14ac:dyDescent="0.25">
      <c r="A96" s="121">
        <f t="shared" si="2"/>
        <v>1000000000</v>
      </c>
      <c r="B96" s="122" t="str">
        <f t="shared" si="5"/>
        <v>nv</v>
      </c>
      <c r="C96" s="122" t="str">
        <f t="shared" si="5"/>
        <v>nv</v>
      </c>
      <c r="D96" s="122" t="str">
        <f t="shared" si="5"/>
        <v>nv</v>
      </c>
      <c r="E96" s="122" t="str">
        <f t="shared" si="5"/>
        <v>nv</v>
      </c>
      <c r="F96" s="122" t="str">
        <f t="shared" si="5"/>
        <v>nv</v>
      </c>
      <c r="G96" s="122">
        <f t="shared" si="5"/>
        <v>216.25704021017427</v>
      </c>
      <c r="H96" s="122">
        <f t="shared" si="5"/>
        <v>219.67415898017248</v>
      </c>
      <c r="I96" s="122"/>
      <c r="J96" s="122">
        <f t="shared" si="3"/>
        <v>217.96559959517339</v>
      </c>
    </row>
    <row r="97" spans="1:36" x14ac:dyDescent="0.25">
      <c r="A97" s="121">
        <f t="shared" si="2"/>
        <v>10000000000</v>
      </c>
      <c r="B97" s="122" t="str">
        <f t="shared" si="5"/>
        <v>nv</v>
      </c>
      <c r="C97" s="122" t="str">
        <f t="shared" si="5"/>
        <v>nv</v>
      </c>
      <c r="D97" s="122" t="str">
        <f t="shared" si="5"/>
        <v>nv</v>
      </c>
      <c r="E97" s="122" t="str">
        <f t="shared" si="5"/>
        <v>nv</v>
      </c>
      <c r="F97" s="122" t="str">
        <f t="shared" si="5"/>
        <v>nv</v>
      </c>
      <c r="G97" s="122">
        <f t="shared" si="5"/>
        <v>187.5258097578926</v>
      </c>
      <c r="H97" s="122">
        <f t="shared" si="5"/>
        <v>200.11275529599467</v>
      </c>
      <c r="I97" s="122"/>
      <c r="J97" s="122">
        <f t="shared" si="3"/>
        <v>193.81928252694365</v>
      </c>
    </row>
    <row r="98" spans="1:36" x14ac:dyDescent="0.25">
      <c r="A98" s="121">
        <f t="shared" si="2"/>
        <v>100000000000</v>
      </c>
      <c r="B98" s="122" t="str">
        <f t="shared" si="5"/>
        <v>nv</v>
      </c>
      <c r="C98" s="122" t="str">
        <f t="shared" si="5"/>
        <v>nv</v>
      </c>
      <c r="D98" s="122" t="str">
        <f t="shared" si="5"/>
        <v>nv</v>
      </c>
      <c r="E98" s="122" t="str">
        <f t="shared" si="5"/>
        <v>nv</v>
      </c>
      <c r="F98" s="122" t="str">
        <f t="shared" si="5"/>
        <v>nv</v>
      </c>
      <c r="G98" s="122">
        <f t="shared" si="5"/>
        <v>159.80645692674565</v>
      </c>
      <c r="H98" s="122">
        <f t="shared" si="5"/>
        <v>187.25520688696966</v>
      </c>
      <c r="I98" s="122"/>
      <c r="J98" s="122">
        <f t="shared" si="3"/>
        <v>173.53083190685766</v>
      </c>
    </row>
    <row r="99" spans="1:36" x14ac:dyDescent="0.25">
      <c r="A99" s="121">
        <f t="shared" si="2"/>
        <v>1000000000000</v>
      </c>
      <c r="B99" s="122" t="str">
        <f t="shared" si="5"/>
        <v>nv</v>
      </c>
      <c r="C99" s="122" t="str">
        <f t="shared" si="5"/>
        <v>nv</v>
      </c>
      <c r="D99" s="122" t="str">
        <f t="shared" si="5"/>
        <v>nv</v>
      </c>
      <c r="E99" s="122" t="str">
        <f t="shared" si="5"/>
        <v>nv</v>
      </c>
      <c r="F99" s="122" t="str">
        <f t="shared" si="5"/>
        <v>nv</v>
      </c>
      <c r="G99" s="122">
        <f t="shared" si="5"/>
        <v>133.82211753108493</v>
      </c>
      <c r="H99" s="122">
        <f t="shared" si="5"/>
        <v>165.38357596376929</v>
      </c>
      <c r="I99" s="122"/>
      <c r="J99" s="122">
        <f t="shared" si="3"/>
        <v>149.60284674742712</v>
      </c>
    </row>
    <row r="100" spans="1:36" x14ac:dyDescent="0.25">
      <c r="A100" s="121">
        <f t="shared" si="2"/>
        <v>10000000000000</v>
      </c>
      <c r="B100" s="122" t="str">
        <f t="shared" si="5"/>
        <v>nv</v>
      </c>
      <c r="C100" s="122" t="str">
        <f t="shared" si="5"/>
        <v>nv</v>
      </c>
      <c r="D100" s="122" t="str">
        <f t="shared" si="5"/>
        <v>nv</v>
      </c>
      <c r="E100" s="122" t="str">
        <f t="shared" si="5"/>
        <v>nv</v>
      </c>
      <c r="F100" s="122" t="str">
        <f t="shared" si="5"/>
        <v>nv</v>
      </c>
      <c r="G100" s="122">
        <f t="shared" si="5"/>
        <v>116.55310700220932</v>
      </c>
      <c r="H100" s="122">
        <f t="shared" si="5"/>
        <v>138.08410897255112</v>
      </c>
      <c r="I100" s="122"/>
      <c r="J100" s="122">
        <f t="shared" si="3"/>
        <v>127.31860798738022</v>
      </c>
    </row>
    <row r="101" spans="1:36" x14ac:dyDescent="0.25">
      <c r="A101" s="121">
        <f t="shared" si="2"/>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119.20571487717096</v>
      </c>
      <c r="I101" s="122"/>
      <c r="J101" s="122">
        <f t="shared" si="3"/>
        <v>119.20571487717096</v>
      </c>
    </row>
    <row r="102" spans="1:36" x14ac:dyDescent="0.25">
      <c r="A102" s="121">
        <f t="shared" si="2"/>
        <v>1000000000000000</v>
      </c>
      <c r="B102" s="122" t="str">
        <f t="shared" si="5"/>
        <v>nv</v>
      </c>
      <c r="C102" s="122" t="str">
        <f t="shared" si="5"/>
        <v>nv</v>
      </c>
      <c r="D102" s="122" t="str">
        <f t="shared" si="5"/>
        <v>nv</v>
      </c>
      <c r="E102" s="122" t="str">
        <f t="shared" si="5"/>
        <v>nv</v>
      </c>
      <c r="F102" s="122" t="str">
        <f t="shared" si="5"/>
        <v>nv</v>
      </c>
      <c r="G102" s="122" t="str">
        <f t="shared" si="5"/>
        <v>nv</v>
      </c>
      <c r="H102" s="122" t="str">
        <f t="shared" si="5"/>
        <v>nv</v>
      </c>
      <c r="I102" s="122"/>
      <c r="J102" s="122">
        <f t="shared" si="3"/>
        <v>119.20571487717096</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1" t="s">
        <v>26</v>
      </c>
      <c r="B108" s="131"/>
      <c r="C108" s="131"/>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7439.7300389875654</v>
      </c>
      <c r="G109" s="26">
        <f t="shared" ref="G109:AJ109" si="7">INDEX($J$72:$J$102,COLUMN(B72),1)</f>
        <v>7439.7300389875654</v>
      </c>
      <c r="H109" s="26">
        <f t="shared" si="7"/>
        <v>7439.7339342688329</v>
      </c>
      <c r="I109" s="26">
        <f t="shared" si="7"/>
        <v>7406.6969156987388</v>
      </c>
      <c r="J109" s="26">
        <f t="shared" si="7"/>
        <v>7381.4552725937056</v>
      </c>
      <c r="K109" s="26">
        <f t="shared" si="7"/>
        <v>7381.2394018214954</v>
      </c>
      <c r="L109" s="26">
        <f t="shared" si="7"/>
        <v>7379.3868134644645</v>
      </c>
      <c r="M109" s="26">
        <f t="shared" si="7"/>
        <v>7320.8588116549827</v>
      </c>
      <c r="N109" s="26">
        <f t="shared" si="7"/>
        <v>7209.6704564184183</v>
      </c>
      <c r="O109" s="26">
        <f t="shared" si="7"/>
        <v>7060.1418643166126</v>
      </c>
      <c r="P109" s="26">
        <f t="shared" si="7"/>
        <v>6764.9104190611779</v>
      </c>
      <c r="Q109" s="26">
        <f t="shared" si="7"/>
        <v>6429.8266434634443</v>
      </c>
      <c r="R109" s="26">
        <f t="shared" si="7"/>
        <v>5970.8431101294782</v>
      </c>
      <c r="S109" s="26">
        <f t="shared" si="7"/>
        <v>5530.1139729977176</v>
      </c>
      <c r="T109" s="26">
        <f t="shared" si="7"/>
        <v>5176.0509115400628</v>
      </c>
      <c r="U109" s="26">
        <f t="shared" si="7"/>
        <v>4563.9699654860879</v>
      </c>
      <c r="V109" s="26">
        <f t="shared" si="7"/>
        <v>3935.3639656515084</v>
      </c>
      <c r="W109" s="26">
        <f t="shared" si="7"/>
        <v>3424.2409160347711</v>
      </c>
      <c r="X109" s="26">
        <f t="shared" si="7"/>
        <v>2457.6306581082695</v>
      </c>
      <c r="Y109" s="26">
        <f t="shared" si="7"/>
        <v>1762.4710028638951</v>
      </c>
      <c r="Z109" s="26">
        <f t="shared" si="7"/>
        <v>1090.3816817317634</v>
      </c>
      <c r="AA109" s="26">
        <f t="shared" si="7"/>
        <v>668.87113764136575</v>
      </c>
      <c r="AB109" s="26">
        <f t="shared" si="7"/>
        <v>364.1658011484277</v>
      </c>
      <c r="AC109" s="26">
        <f t="shared" si="7"/>
        <v>253.81729259189456</v>
      </c>
      <c r="AD109" s="26">
        <f t="shared" si="7"/>
        <v>217.96559959517339</v>
      </c>
      <c r="AE109" s="26">
        <f t="shared" si="7"/>
        <v>193.81928252694365</v>
      </c>
      <c r="AF109" s="26">
        <f t="shared" si="7"/>
        <v>173.53083190685766</v>
      </c>
      <c r="AG109" s="26">
        <f t="shared" si="7"/>
        <v>149.60284674742712</v>
      </c>
      <c r="AH109" s="26">
        <f t="shared" si="7"/>
        <v>127.31860798738022</v>
      </c>
      <c r="AI109" s="26">
        <f t="shared" si="7"/>
        <v>119.20571487717096</v>
      </c>
      <c r="AJ109" s="26">
        <f t="shared" si="7"/>
        <v>119.20571487717096</v>
      </c>
    </row>
    <row r="110" spans="1:36" x14ac:dyDescent="0.25">
      <c r="A110" s="14" t="s">
        <v>20</v>
      </c>
      <c r="B110" s="107">
        <v>1.2673329826401328E-2</v>
      </c>
      <c r="C110" s="18">
        <f>ABS(B110/$B$142)</f>
        <v>1.3948402963585625E-2</v>
      </c>
      <c r="D110" s="111"/>
      <c r="E110" s="77" t="s">
        <v>22</v>
      </c>
      <c r="F110" s="27">
        <f>($C$110+SUM(F111:F141))*$B$144</f>
        <v>7330.9827979802012</v>
      </c>
      <c r="G110" s="27">
        <f t="shared" ref="G110:AJ110" si="8">($C$110+SUM(G111:G141))*$B$144</f>
        <v>7330.9827798020169</v>
      </c>
      <c r="H110" s="27">
        <f t="shared" si="8"/>
        <v>7330.9825980203041</v>
      </c>
      <c r="I110" s="27">
        <f t="shared" si="8"/>
        <v>7330.9807802143614</v>
      </c>
      <c r="J110" s="27">
        <f t="shared" si="8"/>
        <v>7330.962603274631</v>
      </c>
      <c r="K110" s="27">
        <f t="shared" si="8"/>
        <v>7330.7809457957028</v>
      </c>
      <c r="L110" s="27">
        <f t="shared" si="8"/>
        <v>7328.975511965743</v>
      </c>
      <c r="M110" s="27">
        <f t="shared" si="8"/>
        <v>7311.9860995493136</v>
      </c>
      <c r="N110" s="27">
        <f t="shared" si="8"/>
        <v>7212.6681452570419</v>
      </c>
      <c r="O110" s="27">
        <f t="shared" si="8"/>
        <v>7059.5129445463335</v>
      </c>
      <c r="P110" s="27">
        <f t="shared" si="8"/>
        <v>6765.4702908358804</v>
      </c>
      <c r="Q110" s="27">
        <f t="shared" si="8"/>
        <v>6429.21758324661</v>
      </c>
      <c r="R110" s="27">
        <f t="shared" si="8"/>
        <v>5971.6297938782245</v>
      </c>
      <c r="S110" s="27">
        <f t="shared" si="8"/>
        <v>5529.2128367195519</v>
      </c>
      <c r="T110" s="27">
        <f t="shared" si="8"/>
        <v>5176.8097456646301</v>
      </c>
      <c r="U110" s="27">
        <f t="shared" si="8"/>
        <v>4563.4243397392165</v>
      </c>
      <c r="V110" s="27">
        <f t="shared" si="8"/>
        <v>3935.7742315829887</v>
      </c>
      <c r="W110" s="27">
        <f t="shared" si="8"/>
        <v>3423.946004763402</v>
      </c>
      <c r="X110" s="27">
        <f t="shared" si="8"/>
        <v>2457.8698622224756</v>
      </c>
      <c r="Y110" s="27">
        <f t="shared" si="8"/>
        <v>1762.2420876294852</v>
      </c>
      <c r="Z110" s="27">
        <f t="shared" si="8"/>
        <v>1090.555088771647</v>
      </c>
      <c r="AA110" s="27">
        <f t="shared" si="8"/>
        <v>668.75289286567829</v>
      </c>
      <c r="AB110" s="27">
        <f t="shared" si="8"/>
        <v>364.23740076252238</v>
      </c>
      <c r="AC110" s="27">
        <f t="shared" si="8"/>
        <v>253.84185481062184</v>
      </c>
      <c r="AD110" s="27">
        <f t="shared" si="8"/>
        <v>217.92319276213527</v>
      </c>
      <c r="AE110" s="27">
        <f t="shared" si="8"/>
        <v>193.69741325308405</v>
      </c>
      <c r="AF110" s="27">
        <f t="shared" si="8"/>
        <v>173.73716912107898</v>
      </c>
      <c r="AG110" s="27">
        <f t="shared" si="8"/>
        <v>149.41020001713187</v>
      </c>
      <c r="AH110" s="27">
        <f t="shared" si="8"/>
        <v>127.62673762343452</v>
      </c>
      <c r="AI110" s="27">
        <f t="shared" si="8"/>
        <v>119.83765224815538</v>
      </c>
      <c r="AJ110" s="27">
        <f t="shared" si="8"/>
        <v>118.32351688728279</v>
      </c>
    </row>
    <row r="111" spans="1:36" x14ac:dyDescent="0.25">
      <c r="A111" s="3">
        <f>0.000000000000001/10^5</f>
        <v>1.0000000000000001E-20</v>
      </c>
      <c r="B111" s="107">
        <v>0</v>
      </c>
      <c r="C111" s="18">
        <f t="shared" ref="C111:C141" si="9">ABS(B111/$B$142)</f>
        <v>0</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7">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7">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7">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7">
        <v>0</v>
      </c>
      <c r="C115" s="18">
        <f t="shared" si="9"/>
        <v>0</v>
      </c>
      <c r="D115" s="17"/>
      <c r="E115" s="11"/>
      <c r="F115" s="3">
        <f t="shared" si="11"/>
        <v>0</v>
      </c>
      <c r="G115" s="3">
        <f t="shared" si="10"/>
        <v>0</v>
      </c>
      <c r="H115" s="3">
        <f t="shared" si="10"/>
        <v>0</v>
      </c>
      <c r="I115" s="3">
        <f t="shared" si="10"/>
        <v>0</v>
      </c>
      <c r="J115" s="3">
        <f t="shared" si="10"/>
        <v>0</v>
      </c>
      <c r="K115" s="3">
        <f t="shared" si="10"/>
        <v>0</v>
      </c>
      <c r="L115" s="3">
        <f t="shared" si="10"/>
        <v>0</v>
      </c>
      <c r="M115" s="3">
        <f t="shared" si="10"/>
        <v>0</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7">
        <v>0</v>
      </c>
      <c r="C116" s="18">
        <f t="shared" si="9"/>
        <v>0</v>
      </c>
      <c r="D116" s="17"/>
      <c r="E116" s="11"/>
      <c r="F116" s="3">
        <f t="shared" si="11"/>
        <v>0</v>
      </c>
      <c r="G116" s="3">
        <f t="shared" si="10"/>
        <v>0</v>
      </c>
      <c r="H116" s="3">
        <f t="shared" si="10"/>
        <v>0</v>
      </c>
      <c r="I116" s="3">
        <f t="shared" si="10"/>
        <v>0</v>
      </c>
      <c r="J116" s="3">
        <f t="shared" si="10"/>
        <v>0</v>
      </c>
      <c r="K116" s="3">
        <f t="shared" si="10"/>
        <v>0</v>
      </c>
      <c r="L116" s="3">
        <f t="shared" si="10"/>
        <v>0</v>
      </c>
      <c r="M116" s="3">
        <f t="shared" si="10"/>
        <v>0</v>
      </c>
      <c r="N116" s="3">
        <f t="shared" si="10"/>
        <v>0</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7">
        <v>0</v>
      </c>
      <c r="C117" s="18">
        <f t="shared" si="9"/>
        <v>0</v>
      </c>
      <c r="D117" s="17"/>
      <c r="E117" s="11"/>
      <c r="F117" s="3">
        <f t="shared" si="11"/>
        <v>0</v>
      </c>
      <c r="G117" s="3">
        <f t="shared" si="10"/>
        <v>0</v>
      </c>
      <c r="H117" s="3">
        <f t="shared" si="10"/>
        <v>0</v>
      </c>
      <c r="I117" s="3">
        <f t="shared" si="10"/>
        <v>0</v>
      </c>
      <c r="J117" s="3">
        <f t="shared" si="10"/>
        <v>0</v>
      </c>
      <c r="K117" s="3">
        <f t="shared" si="10"/>
        <v>0</v>
      </c>
      <c r="L117" s="3">
        <f t="shared" si="10"/>
        <v>0</v>
      </c>
      <c r="M117" s="3">
        <f t="shared" si="10"/>
        <v>0</v>
      </c>
      <c r="N117" s="3">
        <f t="shared" si="10"/>
        <v>0</v>
      </c>
      <c r="O117" s="3">
        <f t="shared" si="10"/>
        <v>0</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7">
        <v>1.6212023637739884E-2</v>
      </c>
      <c r="C118" s="18">
        <f t="shared" si="9"/>
        <v>1.7843127390505448E-2</v>
      </c>
      <c r="D118" s="17"/>
      <c r="E118" s="11"/>
      <c r="F118" s="3">
        <f t="shared" si="11"/>
        <v>1.7843127144212243E-2</v>
      </c>
      <c r="G118" s="3">
        <f t="shared" si="10"/>
        <v>1.7843124927573558E-2</v>
      </c>
      <c r="H118" s="3">
        <f t="shared" si="10"/>
        <v>1.784310276120183E-2</v>
      </c>
      <c r="I118" s="3">
        <f t="shared" si="10"/>
        <v>1.7842881098999092E-2</v>
      </c>
      <c r="J118" s="3">
        <f t="shared" si="10"/>
        <v>1.7840664628418289E-2</v>
      </c>
      <c r="K118" s="3">
        <f t="shared" si="10"/>
        <v>1.7818515060307481E-2</v>
      </c>
      <c r="L118" s="3">
        <f t="shared" si="10"/>
        <v>1.7598526213965678E-2</v>
      </c>
      <c r="M118" s="3">
        <f t="shared" si="10"/>
        <v>1.5542619277791561E-2</v>
      </c>
      <c r="N118" s="3">
        <f t="shared" si="10"/>
        <v>4.4874880407151556E-3</v>
      </c>
      <c r="O118" s="3">
        <f t="shared" si="10"/>
        <v>1.8063181952872896E-8</v>
      </c>
      <c r="P118" s="3">
        <f t="shared" si="10"/>
        <v>2.0169901689185132E-62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7">
        <v>1.6540024415934024E-2</v>
      </c>
      <c r="C119" s="18">
        <f t="shared" si="9"/>
        <v>1.8204128570881155E-2</v>
      </c>
      <c r="D119" s="17"/>
      <c r="E119" s="11"/>
      <c r="F119" s="3">
        <f t="shared" si="11"/>
        <v>1.820412854821395E-2</v>
      </c>
      <c r="G119" s="3">
        <f t="shared" si="10"/>
        <v>1.8204128344209123E-2</v>
      </c>
      <c r="H119" s="3">
        <f t="shared" si="10"/>
        <v>1.8204126304160958E-2</v>
      </c>
      <c r="I119" s="3">
        <f t="shared" si="10"/>
        <v>1.820410590369189E-2</v>
      </c>
      <c r="J119" s="3">
        <f t="shared" si="10"/>
        <v>1.8203901900258612E-2</v>
      </c>
      <c r="K119" s="3">
        <f t="shared" si="10"/>
        <v>1.8201861991660122E-2</v>
      </c>
      <c r="L119" s="3">
        <f t="shared" si="10"/>
        <v>1.8181475473890978E-2</v>
      </c>
      <c r="M119" s="3">
        <f t="shared" si="10"/>
        <v>1.7978861922065402E-2</v>
      </c>
      <c r="N119" s="3">
        <f t="shared" si="10"/>
        <v>1.607285116140765E-2</v>
      </c>
      <c r="O119" s="3">
        <f t="shared" si="10"/>
        <v>5.2408313357725587E-3</v>
      </c>
      <c r="P119" s="3">
        <f t="shared" si="10"/>
        <v>7.1198818053149229E-8</v>
      </c>
      <c r="Q119" s="3">
        <f t="shared" si="10"/>
        <v>1.5247505331679637E-56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7">
        <v>4.9148747816502213E-2</v>
      </c>
      <c r="C120" s="18">
        <f t="shared" si="9"/>
        <v>5.4093639879242948E-2</v>
      </c>
      <c r="D120" s="17"/>
      <c r="E120" s="11"/>
      <c r="F120" s="3">
        <f t="shared" si="11"/>
        <v>5.4093639873166906E-2</v>
      </c>
      <c r="G120" s="3">
        <f t="shared" ref="G120:AJ128" si="12">$C120*EXP(-G$108/$A120)</f>
        <v>5.4093639818482517E-2</v>
      </c>
      <c r="H120" s="3">
        <f t="shared" si="12"/>
        <v>5.4093639271638648E-2</v>
      </c>
      <c r="I120" s="3">
        <f t="shared" si="12"/>
        <v>5.4093633803200224E-2</v>
      </c>
      <c r="J120" s="3">
        <f t="shared" si="12"/>
        <v>5.4093579118846401E-2</v>
      </c>
      <c r="K120" s="3">
        <f t="shared" si="12"/>
        <v>5.4093032278348704E-2</v>
      </c>
      <c r="L120" s="3">
        <f t="shared" si="12"/>
        <v>5.4087564177407801E-2</v>
      </c>
      <c r="M120" s="3">
        <f t="shared" si="12"/>
        <v>5.4032913560238732E-2</v>
      </c>
      <c r="N120" s="3">
        <f t="shared" si="12"/>
        <v>5.3489435275290487E-2</v>
      </c>
      <c r="O120" s="3">
        <f t="shared" si="12"/>
        <v>4.8346415343116074E-2</v>
      </c>
      <c r="P120" s="3">
        <f t="shared" si="12"/>
        <v>1.7592474832836619E-2</v>
      </c>
      <c r="Q120" s="3">
        <f t="shared" si="12"/>
        <v>7.1606679463099333E-7</v>
      </c>
      <c r="R120" s="3">
        <f t="shared" si="12"/>
        <v>8.9375709491579593E-51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7">
        <v>3.5411276681182428E-2</v>
      </c>
      <c r="C121" s="18">
        <f t="shared" si="9"/>
        <v>3.8974031558398278E-2</v>
      </c>
      <c r="D121" s="17"/>
      <c r="E121" s="11"/>
      <c r="F121" s="3">
        <f t="shared" si="11"/>
        <v>3.8974031558003372E-2</v>
      </c>
      <c r="G121" s="3">
        <f t="shared" si="12"/>
        <v>3.8974031554449194E-2</v>
      </c>
      <c r="H121" s="3">
        <f t="shared" si="12"/>
        <v>3.8974031518907416E-2</v>
      </c>
      <c r="I121" s="3">
        <f t="shared" si="12"/>
        <v>3.8974031163489707E-2</v>
      </c>
      <c r="J121" s="3">
        <f t="shared" si="12"/>
        <v>3.8974027609312754E-2</v>
      </c>
      <c r="K121" s="3">
        <f t="shared" si="12"/>
        <v>3.8973992067561025E-2</v>
      </c>
      <c r="L121" s="3">
        <f t="shared" si="12"/>
        <v>3.897363665182639E-2</v>
      </c>
      <c r="M121" s="3">
        <f t="shared" si="12"/>
        <v>3.8970082672738153E-2</v>
      </c>
      <c r="N121" s="3">
        <f t="shared" si="12"/>
        <v>3.8934560701650162E-2</v>
      </c>
      <c r="O121" s="3">
        <f t="shared" si="12"/>
        <v>3.8581116972172903E-2</v>
      </c>
      <c r="P121" s="3">
        <f t="shared" si="12"/>
        <v>3.5218428755210737E-2</v>
      </c>
      <c r="Q121" s="3">
        <f t="shared" si="12"/>
        <v>1.4148870477722607E-2</v>
      </c>
      <c r="R121" s="3">
        <f t="shared" si="12"/>
        <v>1.5496717544987893E-6</v>
      </c>
      <c r="S121" s="3">
        <f t="shared" si="12"/>
        <v>3.8496316916452787E-46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7">
        <v>7.9378092778272583E-2</v>
      </c>
      <c r="C122" s="18">
        <f t="shared" si="9"/>
        <v>8.7364381714874664E-2</v>
      </c>
      <c r="D122" s="17"/>
      <c r="E122" s="11"/>
      <c r="F122" s="3">
        <f t="shared" si="11"/>
        <v>8.7364381714794812E-2</v>
      </c>
      <c r="G122" s="3">
        <f t="shared" si="12"/>
        <v>8.7364381714076109E-2</v>
      </c>
      <c r="H122" s="3">
        <f t="shared" si="12"/>
        <v>8.7364381706889163E-2</v>
      </c>
      <c r="I122" s="3">
        <f t="shared" si="12"/>
        <v>8.7364381635019639E-2</v>
      </c>
      <c r="J122" s="3">
        <f t="shared" si="12"/>
        <v>8.7364380916324466E-2</v>
      </c>
      <c r="K122" s="3">
        <f t="shared" si="12"/>
        <v>8.7364373729372946E-2</v>
      </c>
      <c r="L122" s="3">
        <f t="shared" si="12"/>
        <v>8.7364301859890275E-2</v>
      </c>
      <c r="M122" s="3">
        <f t="shared" si="12"/>
        <v>8.736358316831537E-2</v>
      </c>
      <c r="N122" s="3">
        <f t="shared" si="12"/>
        <v>8.7356396577730797E-2</v>
      </c>
      <c r="O122" s="3">
        <f t="shared" si="12"/>
        <v>8.7284563178435665E-2</v>
      </c>
      <c r="P122" s="3">
        <f t="shared" si="12"/>
        <v>8.6569469968032622E-2</v>
      </c>
      <c r="Q122" s="3">
        <f t="shared" si="12"/>
        <v>7.9732965227189673E-2</v>
      </c>
      <c r="R122" s="3">
        <f t="shared" si="12"/>
        <v>3.502430178404161E-2</v>
      </c>
      <c r="S122" s="3">
        <f t="shared" si="12"/>
        <v>9.3688264389321584E-6</v>
      </c>
      <c r="T122" s="3">
        <f t="shared" si="12"/>
        <v>1.7572852594074466E-41</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7">
        <v>4.0742925898678263E-2</v>
      </c>
      <c r="C123" s="18">
        <f t="shared" si="9"/>
        <v>4.4842101968054389E-2</v>
      </c>
      <c r="D123" s="17"/>
      <c r="E123" s="11"/>
      <c r="F123" s="3">
        <f t="shared" si="11"/>
        <v>4.484210196805069E-2</v>
      </c>
      <c r="G123" s="3">
        <f t="shared" si="12"/>
        <v>4.4842101968017412E-2</v>
      </c>
      <c r="H123" s="3">
        <f t="shared" si="12"/>
        <v>4.484210196768465E-2</v>
      </c>
      <c r="I123" s="3">
        <f t="shared" si="12"/>
        <v>4.4842101964356958E-2</v>
      </c>
      <c r="J123" s="3">
        <f t="shared" si="12"/>
        <v>4.4842101931080056E-2</v>
      </c>
      <c r="K123" s="3">
        <f t="shared" si="12"/>
        <v>4.4842101598311042E-2</v>
      </c>
      <c r="L123" s="3">
        <f t="shared" si="12"/>
        <v>4.4842098270621036E-2</v>
      </c>
      <c r="M123" s="3">
        <f t="shared" si="12"/>
        <v>4.4842064993734554E-2</v>
      </c>
      <c r="N123" s="3">
        <f t="shared" si="12"/>
        <v>4.4841732226227927E-2</v>
      </c>
      <c r="O123" s="3">
        <f t="shared" si="12"/>
        <v>4.4838404686977175E-2</v>
      </c>
      <c r="P123" s="3">
        <f t="shared" si="12"/>
        <v>4.4805142872288324E-2</v>
      </c>
      <c r="Q123" s="3">
        <f t="shared" si="12"/>
        <v>4.4473878786544851E-2</v>
      </c>
      <c r="R123" s="3">
        <f t="shared" si="12"/>
        <v>4.1292998799672589E-2</v>
      </c>
      <c r="S123" s="3">
        <f t="shared" si="12"/>
        <v>1.9660319826239833E-2</v>
      </c>
      <c r="T123" s="3">
        <f t="shared" si="12"/>
        <v>1.1768798516280442E-5</v>
      </c>
      <c r="U123" s="3">
        <f t="shared" si="12"/>
        <v>6.9526060197260935E-38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7">
        <v>3.9757487795744999E-2</v>
      </c>
      <c r="C124" s="18">
        <f t="shared" si="9"/>
        <v>4.3757518204855066E-2</v>
      </c>
      <c r="D124" s="17"/>
      <c r="E124" s="11"/>
      <c r="F124" s="3">
        <f t="shared" si="11"/>
        <v>4.375751820485474E-2</v>
      </c>
      <c r="G124" s="3">
        <f t="shared" si="12"/>
        <v>4.3757518204851811E-2</v>
      </c>
      <c r="H124" s="3">
        <f t="shared" si="12"/>
        <v>4.3757518204822515E-2</v>
      </c>
      <c r="I124" s="3">
        <f t="shared" si="12"/>
        <v>4.3757518204529597E-2</v>
      </c>
      <c r="J124" s="3">
        <f t="shared" si="12"/>
        <v>4.3757518201600343E-2</v>
      </c>
      <c r="K124" s="3">
        <f t="shared" si="12"/>
        <v>4.3757518172307865E-2</v>
      </c>
      <c r="L124" s="3">
        <f t="shared" si="12"/>
        <v>4.3757517879383027E-2</v>
      </c>
      <c r="M124" s="3">
        <f t="shared" si="12"/>
        <v>4.3757514950134802E-2</v>
      </c>
      <c r="N124" s="3">
        <f t="shared" si="12"/>
        <v>4.3757485657663332E-2</v>
      </c>
      <c r="O124" s="3">
        <f t="shared" si="12"/>
        <v>4.3757192734027103E-2</v>
      </c>
      <c r="P124" s="3">
        <f t="shared" si="12"/>
        <v>4.3754263605512433E-2</v>
      </c>
      <c r="Q124" s="3">
        <f t="shared" si="12"/>
        <v>4.3724983102453867E-2</v>
      </c>
      <c r="R124" s="3">
        <f t="shared" si="12"/>
        <v>4.3433253614863346E-2</v>
      </c>
      <c r="S124" s="3">
        <f t="shared" si="12"/>
        <v>4.0620896076600618E-2</v>
      </c>
      <c r="T124" s="3">
        <f t="shared" si="12"/>
        <v>2.0797965604334265E-2</v>
      </c>
      <c r="U124" s="3">
        <f t="shared" si="12"/>
        <v>2.5747461478198583E-5</v>
      </c>
      <c r="V124" s="3">
        <f t="shared" si="12"/>
        <v>2.1770581594003015E-34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7">
        <v>0.13206752301565566</v>
      </c>
      <c r="C125" s="18">
        <f t="shared" si="9"/>
        <v>0.14535493470606445</v>
      </c>
      <c r="D125" s="17"/>
      <c r="E125" s="11"/>
      <c r="F125" s="3">
        <f t="shared" si="11"/>
        <v>0.14535493470606436</v>
      </c>
      <c r="G125" s="3">
        <f t="shared" si="12"/>
        <v>0.14535493470606348</v>
      </c>
      <c r="H125" s="3">
        <f t="shared" si="12"/>
        <v>0.14535493470605471</v>
      </c>
      <c r="I125" s="3">
        <f t="shared" si="12"/>
        <v>0.14535493470596692</v>
      </c>
      <c r="J125" s="3">
        <f t="shared" si="12"/>
        <v>0.14535493470508914</v>
      </c>
      <c r="K125" s="3">
        <f t="shared" si="12"/>
        <v>0.14535493469631147</v>
      </c>
      <c r="L125" s="3">
        <f t="shared" si="12"/>
        <v>0.14535493460853463</v>
      </c>
      <c r="M125" s="3">
        <f t="shared" si="12"/>
        <v>0.14535493373076638</v>
      </c>
      <c r="N125" s="3">
        <f t="shared" si="12"/>
        <v>0.14535492495308389</v>
      </c>
      <c r="O125" s="3">
        <f t="shared" si="12"/>
        <v>0.14535483717628833</v>
      </c>
      <c r="P125" s="3">
        <f t="shared" si="12"/>
        <v>0.14535395941124796</v>
      </c>
      <c r="Q125" s="3">
        <f t="shared" si="12"/>
        <v>0.14534518205237348</v>
      </c>
      <c r="R125" s="3">
        <f t="shared" si="12"/>
        <v>0.14525743761002455</v>
      </c>
      <c r="S125" s="3">
        <f t="shared" si="12"/>
        <v>0.14438290132430187</v>
      </c>
      <c r="T125" s="3">
        <f t="shared" si="12"/>
        <v>0.13592195806175211</v>
      </c>
      <c r="U125" s="3">
        <f t="shared" si="12"/>
        <v>7.430673844868968E-2</v>
      </c>
      <c r="V125" s="3">
        <f t="shared" si="12"/>
        <v>1.7717970271940767E-4</v>
      </c>
      <c r="W125" s="3">
        <f t="shared" si="12"/>
        <v>1.0526201112118874E-30</v>
      </c>
      <c r="X125" s="3">
        <f t="shared" si="12"/>
        <v>5.7656544427169295E-293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7">
        <v>7.1333966717829428E-3</v>
      </c>
      <c r="C126" s="18">
        <f t="shared" si="9"/>
        <v>7.851093015021968E-3</v>
      </c>
      <c r="D126" s="17"/>
      <c r="E126" s="11"/>
      <c r="F126" s="3">
        <f t="shared" si="11"/>
        <v>7.8510930150219663E-3</v>
      </c>
      <c r="G126" s="3">
        <f t="shared" si="12"/>
        <v>7.8510930150219628E-3</v>
      </c>
      <c r="H126" s="3">
        <f t="shared" si="12"/>
        <v>7.8510930150219194E-3</v>
      </c>
      <c r="I126" s="3">
        <f t="shared" si="12"/>
        <v>7.8510930150214927E-3</v>
      </c>
      <c r="J126" s="3">
        <f t="shared" si="12"/>
        <v>7.8510930150172166E-3</v>
      </c>
      <c r="K126" s="3">
        <f t="shared" si="12"/>
        <v>7.851093014974447E-3</v>
      </c>
      <c r="L126" s="3">
        <f t="shared" si="12"/>
        <v>7.8510930145467596E-3</v>
      </c>
      <c r="M126" s="3">
        <f t="shared" si="12"/>
        <v>7.8510930102698821E-3</v>
      </c>
      <c r="N126" s="3">
        <f t="shared" si="12"/>
        <v>7.8510929675011058E-3</v>
      </c>
      <c r="O126" s="3">
        <f t="shared" si="12"/>
        <v>7.8510925398133664E-3</v>
      </c>
      <c r="P126" s="3">
        <f t="shared" si="12"/>
        <v>7.8510882629372458E-3</v>
      </c>
      <c r="Q126" s="3">
        <f t="shared" si="12"/>
        <v>7.8510454943041836E-3</v>
      </c>
      <c r="R126" s="3">
        <f t="shared" si="12"/>
        <v>7.8506178207873138E-3</v>
      </c>
      <c r="S126" s="3">
        <f t="shared" si="12"/>
        <v>7.846342366736047E-3</v>
      </c>
      <c r="T126" s="3">
        <f t="shared" si="12"/>
        <v>7.8037156801239833E-3</v>
      </c>
      <c r="U126" s="3">
        <f t="shared" si="12"/>
        <v>7.3899802171973452E-3</v>
      </c>
      <c r="V126" s="3">
        <f t="shared" si="12"/>
        <v>4.2860936315420413E-3</v>
      </c>
      <c r="W126" s="3">
        <f t="shared" si="12"/>
        <v>1.8460584082025461E-5</v>
      </c>
      <c r="X126" s="3">
        <f t="shared" si="12"/>
        <v>4.0558629681264784E-29</v>
      </c>
      <c r="Y126" s="3">
        <f t="shared" si="12"/>
        <v>1.0628246799082309E-265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7">
        <v>0.15041149174347151</v>
      </c>
      <c r="C127" s="18">
        <f t="shared" si="9"/>
        <v>0.16554450376738228</v>
      </c>
      <c r="D127" s="17"/>
      <c r="E127" s="11"/>
      <c r="F127" s="3">
        <f t="shared" si="11"/>
        <v>0.16554450376738228</v>
      </c>
      <c r="G127" s="3">
        <f t="shared" si="12"/>
        <v>0.16554450376738228</v>
      </c>
      <c r="H127" s="3">
        <f t="shared" si="12"/>
        <v>0.1655445037673822</v>
      </c>
      <c r="I127" s="3">
        <f t="shared" si="12"/>
        <v>0.16554450376738139</v>
      </c>
      <c r="J127" s="3">
        <f t="shared" si="12"/>
        <v>0.16554450376737323</v>
      </c>
      <c r="K127" s="3">
        <f t="shared" si="12"/>
        <v>0.16554450376729188</v>
      </c>
      <c r="L127" s="3">
        <f t="shared" si="12"/>
        <v>0.16554450376647839</v>
      </c>
      <c r="M127" s="3">
        <f t="shared" si="12"/>
        <v>0.1655445037583434</v>
      </c>
      <c r="N127" s="3">
        <f t="shared" si="12"/>
        <v>0.16554450367699328</v>
      </c>
      <c r="O127" s="3">
        <f t="shared" si="12"/>
        <v>0.16554450286349237</v>
      </c>
      <c r="P127" s="3">
        <f t="shared" si="12"/>
        <v>0.16554449472848337</v>
      </c>
      <c r="Q127" s="3">
        <f t="shared" si="12"/>
        <v>0.16554441337841544</v>
      </c>
      <c r="R127" s="3">
        <f t="shared" si="12"/>
        <v>0.16554359987993492</v>
      </c>
      <c r="S127" s="3">
        <f t="shared" si="12"/>
        <v>0.16553546511499417</v>
      </c>
      <c r="T127" s="3">
        <f t="shared" si="12"/>
        <v>0.16545413944804679</v>
      </c>
      <c r="U127" s="3">
        <f t="shared" si="12"/>
        <v>0.16464307703292733</v>
      </c>
      <c r="V127" s="3">
        <f t="shared" si="12"/>
        <v>0.15674794059194438</v>
      </c>
      <c r="W127" s="3">
        <f t="shared" si="12"/>
        <v>9.5892698280894306E-2</v>
      </c>
      <c r="X127" s="3">
        <f t="shared" si="12"/>
        <v>7.0408078962760218E-4</v>
      </c>
      <c r="Y127" s="3">
        <f t="shared" si="12"/>
        <v>3.2062106573701871E-25</v>
      </c>
      <c r="Z127" s="3">
        <f t="shared" si="12"/>
        <v>1.2293842262977461E-238</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7">
        <v>8.5248418821240651E-2</v>
      </c>
      <c r="C128" s="18">
        <f t="shared" si="9"/>
        <v>9.3825325625951E-2</v>
      </c>
      <c r="D128" s="17"/>
      <c r="E128" s="11"/>
      <c r="F128" s="3">
        <f t="shared" si="11"/>
        <v>9.3825325625951E-2</v>
      </c>
      <c r="G128" s="3">
        <f t="shared" si="12"/>
        <v>9.3825325625951E-2</v>
      </c>
      <c r="H128" s="3">
        <f t="shared" si="12"/>
        <v>9.3825325625951E-2</v>
      </c>
      <c r="I128" s="3">
        <f t="shared" si="12"/>
        <v>9.3825325625950959E-2</v>
      </c>
      <c r="J128" s="3">
        <f t="shared" si="12"/>
        <v>9.3825325625950542E-2</v>
      </c>
      <c r="K128" s="3">
        <f t="shared" si="12"/>
        <v>9.3825325625946379E-2</v>
      </c>
      <c r="L128" s="3">
        <f t="shared" si="12"/>
        <v>9.3825325625904787E-2</v>
      </c>
      <c r="M128" s="3">
        <f t="shared" si="12"/>
        <v>9.382532562548887E-2</v>
      </c>
      <c r="N128" s="3">
        <f t="shared" si="12"/>
        <v>9.3825325621329655E-2</v>
      </c>
      <c r="O128" s="3">
        <f t="shared" si="12"/>
        <v>9.3825325579737648E-2</v>
      </c>
      <c r="P128" s="3">
        <f t="shared" si="12"/>
        <v>9.3825325163817502E-2</v>
      </c>
      <c r="Q128" s="3">
        <f t="shared" si="12"/>
        <v>9.3825321004616172E-2</v>
      </c>
      <c r="R128" s="3">
        <f t="shared" si="12"/>
        <v>9.3825279412612997E-2</v>
      </c>
      <c r="S128" s="3">
        <f t="shared" si="12"/>
        <v>9.3824863493595326E-2</v>
      </c>
      <c r="T128" s="3">
        <f t="shared" si="12"/>
        <v>9.3820704404822403E-2</v>
      </c>
      <c r="U128" s="3">
        <f t="shared" si="12"/>
        <v>9.3779123655818961E-2</v>
      </c>
      <c r="V128" s="3">
        <f t="shared" ref="G128:AJ136" si="13">$C128*EXP(-V$108/$A128)</f>
        <v>9.3364328377395195E-2</v>
      </c>
      <c r="W128" s="3">
        <f t="shared" si="13"/>
        <v>8.9315956046617809E-2</v>
      </c>
      <c r="X128" s="3">
        <f t="shared" si="13"/>
        <v>5.7333676311695787E-2</v>
      </c>
      <c r="Y128" s="3">
        <f t="shared" si="13"/>
        <v>6.8110987845861016E-4</v>
      </c>
      <c r="Z128" s="3">
        <f t="shared" si="13"/>
        <v>3.8132130275767116E-23</v>
      </c>
      <c r="AA128" s="3">
        <f t="shared" si="13"/>
        <v>1.1535328265310682E-215</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7">
        <v>0.10088735717391123</v>
      </c>
      <c r="C129" s="18">
        <f t="shared" si="9"/>
        <v>0.11103770919473442</v>
      </c>
      <c r="D129" s="17"/>
      <c r="E129" s="11"/>
      <c r="F129" s="3">
        <f t="shared" si="11"/>
        <v>0.11103770919473442</v>
      </c>
      <c r="G129" s="3">
        <f t="shared" si="13"/>
        <v>0.11103770919473442</v>
      </c>
      <c r="H129" s="3">
        <f t="shared" si="13"/>
        <v>0.11103770919473442</v>
      </c>
      <c r="I129" s="3">
        <f t="shared" si="13"/>
        <v>0.11103770919473442</v>
      </c>
      <c r="J129" s="3">
        <f t="shared" si="13"/>
        <v>0.11103770919473437</v>
      </c>
      <c r="K129" s="3">
        <f t="shared" si="13"/>
        <v>0.11103770919473392</v>
      </c>
      <c r="L129" s="3">
        <f t="shared" si="13"/>
        <v>0.11103770919472949</v>
      </c>
      <c r="M129" s="3">
        <f t="shared" si="13"/>
        <v>0.11103770919468509</v>
      </c>
      <c r="N129" s="3">
        <f t="shared" si="13"/>
        <v>0.11103770919424105</v>
      </c>
      <c r="O129" s="3">
        <f t="shared" si="13"/>
        <v>0.11103770918980081</v>
      </c>
      <c r="P129" s="3">
        <f t="shared" si="13"/>
        <v>0.11103770914539837</v>
      </c>
      <c r="Q129" s="3">
        <f t="shared" si="13"/>
        <v>0.11103770870137383</v>
      </c>
      <c r="R129" s="3">
        <f t="shared" si="13"/>
        <v>0.11103770426112869</v>
      </c>
      <c r="S129" s="3">
        <f t="shared" si="13"/>
        <v>0.11103765985868697</v>
      </c>
      <c r="T129" s="3">
        <f t="shared" si="13"/>
        <v>0.11103721583524624</v>
      </c>
      <c r="U129" s="3">
        <f t="shared" si="13"/>
        <v>0.11103277569849504</v>
      </c>
      <c r="V129" s="3">
        <f t="shared" si="13"/>
        <v>0.11098838409513931</v>
      </c>
      <c r="W129" s="3">
        <f t="shared" si="13"/>
        <v>0.11054544303406469</v>
      </c>
      <c r="X129" s="3">
        <f t="shared" si="13"/>
        <v>0.10621210242272323</v>
      </c>
      <c r="Y129" s="3">
        <f t="shared" si="13"/>
        <v>7.1204200760595582E-2</v>
      </c>
      <c r="Z129" s="3">
        <f t="shared" si="13"/>
        <v>1.3056348092745644E-3</v>
      </c>
      <c r="AA129" s="3">
        <f t="shared" si="13"/>
        <v>5.6102570750650096E-21</v>
      </c>
      <c r="AB129" s="3">
        <f t="shared" si="13"/>
        <v>1.2039076692190414E-194</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7">
        <v>6.1251456785424464E-2</v>
      </c>
      <c r="C130" s="18">
        <f t="shared" si="9"/>
        <v>6.7414011396589077E-2</v>
      </c>
      <c r="D130" s="17"/>
      <c r="E130" s="11"/>
      <c r="F130" s="3">
        <f t="shared" si="11"/>
        <v>6.7414011396589077E-2</v>
      </c>
      <c r="G130" s="3">
        <f t="shared" si="13"/>
        <v>6.7414011396589077E-2</v>
      </c>
      <c r="H130" s="3">
        <f t="shared" si="13"/>
        <v>6.7414011396589077E-2</v>
      </c>
      <c r="I130" s="3">
        <f t="shared" si="13"/>
        <v>6.7414011396589077E-2</v>
      </c>
      <c r="J130" s="3">
        <f t="shared" si="13"/>
        <v>6.7414011396589077E-2</v>
      </c>
      <c r="K130" s="3">
        <f t="shared" si="13"/>
        <v>6.7414011396589049E-2</v>
      </c>
      <c r="L130" s="3">
        <f t="shared" si="13"/>
        <v>6.7414011396588813E-2</v>
      </c>
      <c r="M130" s="3">
        <f t="shared" si="13"/>
        <v>6.7414011396586371E-2</v>
      </c>
      <c r="N130" s="3">
        <f t="shared" si="13"/>
        <v>6.7414011396562057E-2</v>
      </c>
      <c r="O130" s="3">
        <f t="shared" si="13"/>
        <v>6.7414011396318876E-2</v>
      </c>
      <c r="P130" s="3">
        <f t="shared" si="13"/>
        <v>6.7414011393887044E-2</v>
      </c>
      <c r="Q130" s="3">
        <f t="shared" si="13"/>
        <v>6.7414011369568747E-2</v>
      </c>
      <c r="R130" s="3">
        <f t="shared" si="13"/>
        <v>6.7414011126385731E-2</v>
      </c>
      <c r="S130" s="3">
        <f t="shared" si="13"/>
        <v>6.7414008694555702E-2</v>
      </c>
      <c r="T130" s="3">
        <f t="shared" si="13"/>
        <v>6.7413984376260228E-2</v>
      </c>
      <c r="U130" s="3">
        <f t="shared" si="13"/>
        <v>6.741374119378786E-2</v>
      </c>
      <c r="V130" s="3">
        <f t="shared" si="13"/>
        <v>6.7411309417311549E-2</v>
      </c>
      <c r="W130" s="3">
        <f t="shared" si="13"/>
        <v>6.7386996476629171E-2</v>
      </c>
      <c r="X130" s="3">
        <f t="shared" si="13"/>
        <v>6.7144348834629441E-2</v>
      </c>
      <c r="Y130" s="3">
        <f t="shared" si="13"/>
        <v>6.476541204116551E-2</v>
      </c>
      <c r="Z130" s="3">
        <f t="shared" si="13"/>
        <v>4.5152291686958126E-2</v>
      </c>
      <c r="AA130" s="3">
        <f t="shared" si="13"/>
        <v>1.2247471723655643E-3</v>
      </c>
      <c r="AB130" s="3">
        <f t="shared" si="13"/>
        <v>2.6406626540411045E-19</v>
      </c>
      <c r="AC130" s="3">
        <f t="shared" si="13"/>
        <v>5.7329440460638068E-176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7">
        <v>3.3372600409060794E-2</v>
      </c>
      <c r="C131" s="18">
        <f t="shared" si="9"/>
        <v>3.673024255066535E-2</v>
      </c>
      <c r="D131" s="17"/>
      <c r="E131" s="11"/>
      <c r="F131" s="3">
        <f t="shared" si="11"/>
        <v>3.673024255066535E-2</v>
      </c>
      <c r="G131" s="3">
        <f t="shared" si="13"/>
        <v>3.673024255066535E-2</v>
      </c>
      <c r="H131" s="3">
        <f t="shared" si="13"/>
        <v>3.673024255066535E-2</v>
      </c>
      <c r="I131" s="3">
        <f t="shared" si="13"/>
        <v>3.673024255066535E-2</v>
      </c>
      <c r="J131" s="3">
        <f t="shared" si="13"/>
        <v>3.673024255066535E-2</v>
      </c>
      <c r="K131" s="3">
        <f t="shared" si="13"/>
        <v>3.673024255066535E-2</v>
      </c>
      <c r="L131" s="3">
        <f t="shared" si="13"/>
        <v>3.6730242550665336E-2</v>
      </c>
      <c r="M131" s="3">
        <f t="shared" si="13"/>
        <v>3.6730242550665218E-2</v>
      </c>
      <c r="N131" s="3">
        <f t="shared" si="13"/>
        <v>3.6730242550664018E-2</v>
      </c>
      <c r="O131" s="3">
        <f t="shared" si="13"/>
        <v>3.6730242550652069E-2</v>
      </c>
      <c r="P131" s="3">
        <f t="shared" si="13"/>
        <v>3.6730242550532546E-2</v>
      </c>
      <c r="Q131" s="3">
        <f t="shared" si="13"/>
        <v>3.6730242549337315E-2</v>
      </c>
      <c r="R131" s="3">
        <f t="shared" si="13"/>
        <v>3.6730242537384952E-2</v>
      </c>
      <c r="S131" s="3">
        <f t="shared" si="13"/>
        <v>3.6730242417861415E-2</v>
      </c>
      <c r="T131" s="3">
        <f t="shared" si="13"/>
        <v>3.6730241222626053E-2</v>
      </c>
      <c r="U131" s="3">
        <f t="shared" si="13"/>
        <v>3.6730229270274528E-2</v>
      </c>
      <c r="V131" s="3">
        <f t="shared" si="13"/>
        <v>3.6730109746973175E-2</v>
      </c>
      <c r="W131" s="3">
        <f t="shared" si="13"/>
        <v>3.6728914535351112E-2</v>
      </c>
      <c r="X131" s="3">
        <f t="shared" si="13"/>
        <v>3.67169645580167E-2</v>
      </c>
      <c r="Y131" s="3">
        <f t="shared" si="13"/>
        <v>3.6597678415993984E-2</v>
      </c>
      <c r="Z131" s="3">
        <f t="shared" si="13"/>
        <v>3.5425925136412788E-2</v>
      </c>
      <c r="AA131" s="3">
        <f t="shared" si="13"/>
        <v>2.5585731558385734E-2</v>
      </c>
      <c r="AB131" s="3">
        <f t="shared" si="13"/>
        <v>9.8801656045626298E-4</v>
      </c>
      <c r="AC131" s="3">
        <f t="shared" si="13"/>
        <v>7.2849751339701853E-18</v>
      </c>
      <c r="AD131" s="3">
        <f t="shared" si="13"/>
        <v>3.4599240930056566E-159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7">
        <v>2.563845656993553E-2</v>
      </c>
      <c r="C132" s="18">
        <f t="shared" si="9"/>
        <v>2.8217960749104661E-2</v>
      </c>
      <c r="D132" s="17"/>
      <c r="E132" s="11"/>
      <c r="F132" s="3">
        <f t="shared" si="11"/>
        <v>2.8217960749104661E-2</v>
      </c>
      <c r="G132" s="3">
        <f t="shared" si="13"/>
        <v>2.8217960749104661E-2</v>
      </c>
      <c r="H132" s="3">
        <f t="shared" si="13"/>
        <v>2.8217960749104661E-2</v>
      </c>
      <c r="I132" s="3">
        <f t="shared" si="13"/>
        <v>2.8217960749104661E-2</v>
      </c>
      <c r="J132" s="3">
        <f t="shared" si="13"/>
        <v>2.8217960749104661E-2</v>
      </c>
      <c r="K132" s="3">
        <f t="shared" si="13"/>
        <v>2.8217960749104661E-2</v>
      </c>
      <c r="L132" s="3">
        <f t="shared" si="13"/>
        <v>2.8217960749104657E-2</v>
      </c>
      <c r="M132" s="3">
        <f t="shared" si="13"/>
        <v>2.8217960749104633E-2</v>
      </c>
      <c r="N132" s="3">
        <f t="shared" si="13"/>
        <v>2.8217960749104379E-2</v>
      </c>
      <c r="O132" s="3">
        <f t="shared" si="13"/>
        <v>2.8217960749101836E-2</v>
      </c>
      <c r="P132" s="3">
        <f t="shared" si="13"/>
        <v>2.8217960749076443E-2</v>
      </c>
      <c r="Q132" s="3">
        <f t="shared" si="13"/>
        <v>2.821796074882248E-2</v>
      </c>
      <c r="R132" s="3">
        <f t="shared" si="13"/>
        <v>2.8217960746282866E-2</v>
      </c>
      <c r="S132" s="3">
        <f t="shared" si="13"/>
        <v>2.8217960720886701E-2</v>
      </c>
      <c r="T132" s="3">
        <f t="shared" si="13"/>
        <v>2.8217960466925054E-2</v>
      </c>
      <c r="U132" s="3">
        <f t="shared" si="13"/>
        <v>2.8217957927308728E-2</v>
      </c>
      <c r="V132" s="3">
        <f t="shared" si="13"/>
        <v>2.8217932531158021E-2</v>
      </c>
      <c r="W132" s="3">
        <f t="shared" si="13"/>
        <v>2.8217678570908063E-2</v>
      </c>
      <c r="X132" s="3">
        <f t="shared" si="13"/>
        <v>2.8215139094114852E-2</v>
      </c>
      <c r="Y132" s="3">
        <f t="shared" si="13"/>
        <v>2.8189756892634112E-2</v>
      </c>
      <c r="Z132" s="3">
        <f t="shared" si="13"/>
        <v>2.793718734839162E-2</v>
      </c>
      <c r="AA132" s="3">
        <f t="shared" si="13"/>
        <v>2.553266674645991E-2</v>
      </c>
      <c r="AB132" s="3">
        <f t="shared" si="13"/>
        <v>1.0380807631378317E-2</v>
      </c>
      <c r="AC132" s="3">
        <f t="shared" si="13"/>
        <v>1.2810934360499061E-6</v>
      </c>
      <c r="AD132" s="3">
        <f t="shared" si="13"/>
        <v>1.0497295787504316E-45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7">
        <v>5.5576263408879762E-3</v>
      </c>
      <c r="C133" s="18">
        <f t="shared" si="9"/>
        <v>6.1167832594597338E-3</v>
      </c>
      <c r="D133" s="17"/>
      <c r="E133" s="11"/>
      <c r="F133" s="3">
        <f t="shared" si="11"/>
        <v>6.1167832594597338E-3</v>
      </c>
      <c r="G133" s="3">
        <f t="shared" si="13"/>
        <v>6.1167832594597338E-3</v>
      </c>
      <c r="H133" s="3">
        <f t="shared" si="13"/>
        <v>6.1167832594597338E-3</v>
      </c>
      <c r="I133" s="3">
        <f t="shared" si="13"/>
        <v>6.1167832594597338E-3</v>
      </c>
      <c r="J133" s="3">
        <f t="shared" si="13"/>
        <v>6.1167832594597338E-3</v>
      </c>
      <c r="K133" s="3">
        <f t="shared" si="13"/>
        <v>6.1167832594597338E-3</v>
      </c>
      <c r="L133" s="3">
        <f t="shared" si="13"/>
        <v>6.1167832594597338E-3</v>
      </c>
      <c r="M133" s="3">
        <f t="shared" si="13"/>
        <v>6.116783259459733E-3</v>
      </c>
      <c r="N133" s="3">
        <f t="shared" si="13"/>
        <v>6.1167832594597278E-3</v>
      </c>
      <c r="O133" s="3">
        <f t="shared" si="13"/>
        <v>6.1167832594596731E-3</v>
      </c>
      <c r="P133" s="3">
        <f t="shared" si="13"/>
        <v>6.1167832594591224E-3</v>
      </c>
      <c r="Q133" s="3">
        <f t="shared" si="13"/>
        <v>6.1167832594536172E-3</v>
      </c>
      <c r="R133" s="3">
        <f t="shared" si="13"/>
        <v>6.1167832593985658E-3</v>
      </c>
      <c r="S133" s="3">
        <f t="shared" si="13"/>
        <v>6.1167832588480556E-3</v>
      </c>
      <c r="T133" s="3">
        <f t="shared" si="13"/>
        <v>6.1167832533429506E-3</v>
      </c>
      <c r="U133" s="3">
        <f t="shared" si="13"/>
        <v>6.1167831982919018E-3</v>
      </c>
      <c r="V133" s="3">
        <f t="shared" si="13"/>
        <v>6.116782647781439E-3</v>
      </c>
      <c r="W133" s="3">
        <f t="shared" si="13"/>
        <v>6.1167771426795326E-3</v>
      </c>
      <c r="X133" s="3">
        <f t="shared" si="13"/>
        <v>6.1167220919329775E-3</v>
      </c>
      <c r="Y133" s="3">
        <f t="shared" si="13"/>
        <v>6.1161716117166844E-3</v>
      </c>
      <c r="Z133" s="3">
        <f t="shared" si="13"/>
        <v>6.1106695335726947E-3</v>
      </c>
      <c r="AA133" s="3">
        <f t="shared" si="13"/>
        <v>6.0559202491078041E-3</v>
      </c>
      <c r="AB133" s="3">
        <f t="shared" si="13"/>
        <v>5.534694371175126E-3</v>
      </c>
      <c r="AC133" s="3">
        <f t="shared" si="13"/>
        <v>2.2502388072568806E-3</v>
      </c>
      <c r="AD133" s="3">
        <f t="shared" si="13"/>
        <v>2.7770153035181508E-7</v>
      </c>
      <c r="AE133" s="3">
        <f t="shared" si="13"/>
        <v>2.2754898454042581E-46</v>
      </c>
      <c r="AF133" s="3">
        <f t="shared" si="13"/>
        <v>0</v>
      </c>
      <c r="AG133" s="3">
        <f t="shared" si="13"/>
        <v>0</v>
      </c>
      <c r="AH133" s="3">
        <f t="shared" si="13"/>
        <v>0</v>
      </c>
      <c r="AI133" s="3">
        <f t="shared" si="13"/>
        <v>0</v>
      </c>
      <c r="AJ133" s="3">
        <f t="shared" si="13"/>
        <v>0</v>
      </c>
    </row>
    <row r="134" spans="1:36" x14ac:dyDescent="0.25">
      <c r="A134" s="3">
        <f t="shared" si="14"/>
        <v>1000000000</v>
      </c>
      <c r="B134" s="107">
        <v>4.059137423674539E-3</v>
      </c>
      <c r="C134" s="18">
        <f t="shared" si="9"/>
        <v>4.4675302580727064E-3</v>
      </c>
      <c r="D134" s="17"/>
      <c r="E134" s="11"/>
      <c r="F134" s="3">
        <f t="shared" si="11"/>
        <v>4.4675302580727064E-3</v>
      </c>
      <c r="G134" s="3">
        <f t="shared" si="13"/>
        <v>4.4675302580727064E-3</v>
      </c>
      <c r="H134" s="3">
        <f t="shared" si="13"/>
        <v>4.4675302580727064E-3</v>
      </c>
      <c r="I134" s="3">
        <f t="shared" si="13"/>
        <v>4.4675302580727064E-3</v>
      </c>
      <c r="J134" s="3">
        <f t="shared" si="13"/>
        <v>4.4675302580727064E-3</v>
      </c>
      <c r="K134" s="3">
        <f t="shared" si="13"/>
        <v>4.4675302580727064E-3</v>
      </c>
      <c r="L134" s="3">
        <f t="shared" si="13"/>
        <v>4.4675302580727064E-3</v>
      </c>
      <c r="M134" s="3">
        <f t="shared" si="13"/>
        <v>4.4675302580727064E-3</v>
      </c>
      <c r="N134" s="3">
        <f t="shared" si="13"/>
        <v>4.4675302580727055E-3</v>
      </c>
      <c r="O134" s="3">
        <f t="shared" si="13"/>
        <v>4.467530258072702E-3</v>
      </c>
      <c r="P134" s="3">
        <f t="shared" si="13"/>
        <v>4.4675302580726621E-3</v>
      </c>
      <c r="Q134" s="3">
        <f t="shared" si="13"/>
        <v>4.4675302580722597E-3</v>
      </c>
      <c r="R134" s="3">
        <f t="shared" si="13"/>
        <v>4.4675302580682386E-3</v>
      </c>
      <c r="S134" s="3">
        <f t="shared" si="13"/>
        <v>4.4675302580280312E-3</v>
      </c>
      <c r="T134" s="3">
        <f t="shared" si="13"/>
        <v>4.4675302576259535E-3</v>
      </c>
      <c r="U134" s="3">
        <f t="shared" si="13"/>
        <v>4.4675302536051759E-3</v>
      </c>
      <c r="V134" s="3">
        <f t="shared" si="13"/>
        <v>4.4675302133974039E-3</v>
      </c>
      <c r="W134" s="3">
        <f t="shared" si="13"/>
        <v>4.4675298113197029E-3</v>
      </c>
      <c r="X134" s="3">
        <f t="shared" si="13"/>
        <v>4.4675257905446818E-3</v>
      </c>
      <c r="Y134" s="3">
        <f t="shared" si="13"/>
        <v>4.4674855829935018E-3</v>
      </c>
      <c r="Z134" s="3">
        <f t="shared" si="13"/>
        <v>4.4670835273838061E-3</v>
      </c>
      <c r="AA134" s="3">
        <f t="shared" si="13"/>
        <v>4.4630649608353602E-3</v>
      </c>
      <c r="AB134" s="3">
        <f t="shared" si="13"/>
        <v>4.4230775892742614E-3</v>
      </c>
      <c r="AC134" s="3">
        <f t="shared" si="13"/>
        <v>4.0423885437120312E-3</v>
      </c>
      <c r="AD134" s="3">
        <f t="shared" si="13"/>
        <v>1.6435125347562967E-3</v>
      </c>
      <c r="AE134" s="3">
        <f t="shared" si="13"/>
        <v>2.028255599282767E-7</v>
      </c>
      <c r="AF134" s="3">
        <f t="shared" si="13"/>
        <v>1.6619551985202442E-46</v>
      </c>
      <c r="AG134" s="3">
        <f t="shared" si="13"/>
        <v>0</v>
      </c>
      <c r="AH134" s="3">
        <f t="shared" si="13"/>
        <v>0</v>
      </c>
      <c r="AI134" s="3">
        <f t="shared" si="13"/>
        <v>0</v>
      </c>
      <c r="AJ134" s="3">
        <f t="shared" si="13"/>
        <v>0</v>
      </c>
    </row>
    <row r="135" spans="1:36" x14ac:dyDescent="0.25">
      <c r="A135" s="3">
        <f t="shared" si="14"/>
        <v>10000000000</v>
      </c>
      <c r="B135" s="107">
        <v>2.3701386679066223E-3</v>
      </c>
      <c r="C135" s="18">
        <f t="shared" si="9"/>
        <v>2.6086000816192053E-3</v>
      </c>
      <c r="D135" s="17"/>
      <c r="E135" s="11"/>
      <c r="F135" s="3">
        <f t="shared" si="11"/>
        <v>2.6086000816192053E-3</v>
      </c>
      <c r="G135" s="3">
        <f t="shared" si="13"/>
        <v>2.6086000816192053E-3</v>
      </c>
      <c r="H135" s="3">
        <f t="shared" si="13"/>
        <v>2.6086000816192053E-3</v>
      </c>
      <c r="I135" s="3">
        <f t="shared" si="13"/>
        <v>2.6086000816192053E-3</v>
      </c>
      <c r="J135" s="3">
        <f t="shared" si="13"/>
        <v>2.6086000816192053E-3</v>
      </c>
      <c r="K135" s="3">
        <f t="shared" si="13"/>
        <v>2.6086000816192053E-3</v>
      </c>
      <c r="L135" s="3">
        <f t="shared" si="13"/>
        <v>2.6086000816192053E-3</v>
      </c>
      <c r="M135" s="3">
        <f t="shared" si="13"/>
        <v>2.6086000816192053E-3</v>
      </c>
      <c r="N135" s="3">
        <f t="shared" si="13"/>
        <v>2.6086000816192053E-3</v>
      </c>
      <c r="O135" s="3">
        <f t="shared" si="13"/>
        <v>2.6086000816192049E-3</v>
      </c>
      <c r="P135" s="3">
        <f t="shared" si="13"/>
        <v>2.6086000816192027E-3</v>
      </c>
      <c r="Q135" s="3">
        <f t="shared" si="13"/>
        <v>2.6086000816191793E-3</v>
      </c>
      <c r="R135" s="3">
        <f t="shared" si="13"/>
        <v>2.6086000816189442E-3</v>
      </c>
      <c r="S135" s="3">
        <f t="shared" si="13"/>
        <v>2.6086000816165967E-3</v>
      </c>
      <c r="T135" s="3">
        <f t="shared" si="13"/>
        <v>2.6086000815931194E-3</v>
      </c>
      <c r="U135" s="3">
        <f t="shared" si="13"/>
        <v>2.6086000813583454E-3</v>
      </c>
      <c r="V135" s="3">
        <f t="shared" si="13"/>
        <v>2.6086000790106053E-3</v>
      </c>
      <c r="W135" s="3">
        <f t="shared" si="13"/>
        <v>2.6086000555332048E-3</v>
      </c>
      <c r="X135" s="3">
        <f t="shared" si="13"/>
        <v>2.6085998207592102E-3</v>
      </c>
      <c r="Y135" s="3">
        <f t="shared" si="13"/>
        <v>2.6085974730204282E-3</v>
      </c>
      <c r="Z135" s="3">
        <f t="shared" si="13"/>
        <v>2.6085739957488188E-3</v>
      </c>
      <c r="AA135" s="3">
        <f t="shared" si="13"/>
        <v>2.6083392346536089E-3</v>
      </c>
      <c r="AB135" s="3">
        <f t="shared" si="13"/>
        <v>2.6059927854029689E-3</v>
      </c>
      <c r="AC135" s="3">
        <f t="shared" si="13"/>
        <v>2.5826440771251607E-3</v>
      </c>
      <c r="AD135" s="3">
        <f t="shared" si="13"/>
        <v>2.360358962540715E-3</v>
      </c>
      <c r="AE135" s="3">
        <f t="shared" si="13"/>
        <v>9.596503402658521E-4</v>
      </c>
      <c r="AF135" s="3">
        <f t="shared" si="13"/>
        <v>1.1843026048392418E-7</v>
      </c>
      <c r="AG135" s="3">
        <f t="shared" si="13"/>
        <v>9.7041904946775983E-47</v>
      </c>
      <c r="AH135" s="3">
        <f t="shared" si="13"/>
        <v>0</v>
      </c>
      <c r="AI135" s="3">
        <f t="shared" si="13"/>
        <v>0</v>
      </c>
      <c r="AJ135" s="3">
        <f t="shared" si="13"/>
        <v>0</v>
      </c>
    </row>
    <row r="136" spans="1:36" x14ac:dyDescent="0.25">
      <c r="A136" s="3">
        <f t="shared" si="14"/>
        <v>100000000000</v>
      </c>
      <c r="B136" s="107">
        <v>2.3718677173043389E-3</v>
      </c>
      <c r="C136" s="18">
        <f t="shared" si="9"/>
        <v>2.6105030919624742E-3</v>
      </c>
      <c r="D136" s="17"/>
      <c r="E136" s="11"/>
      <c r="F136" s="3">
        <f t="shared" si="11"/>
        <v>2.6105030919624742E-3</v>
      </c>
      <c r="G136" s="3">
        <f t="shared" si="13"/>
        <v>2.6105030919624742E-3</v>
      </c>
      <c r="H136" s="3">
        <f t="shared" si="13"/>
        <v>2.6105030919624742E-3</v>
      </c>
      <c r="I136" s="3">
        <f t="shared" si="13"/>
        <v>2.6105030919624742E-3</v>
      </c>
      <c r="J136" s="3">
        <f t="shared" si="13"/>
        <v>2.6105030919624742E-3</v>
      </c>
      <c r="K136" s="3">
        <f t="shared" si="13"/>
        <v>2.6105030919624742E-3</v>
      </c>
      <c r="L136" s="3">
        <f t="shared" si="13"/>
        <v>2.6105030919624742E-3</v>
      </c>
      <c r="M136" s="3">
        <f t="shared" si="13"/>
        <v>2.6105030919624742E-3</v>
      </c>
      <c r="N136" s="3">
        <f t="shared" si="13"/>
        <v>2.6105030919624742E-3</v>
      </c>
      <c r="O136" s="3">
        <f t="shared" si="13"/>
        <v>2.6105030919624742E-3</v>
      </c>
      <c r="P136" s="3">
        <f t="shared" si="13"/>
        <v>2.6105030919624738E-3</v>
      </c>
      <c r="Q136" s="3">
        <f t="shared" si="13"/>
        <v>2.6105030919624716E-3</v>
      </c>
      <c r="R136" s="3">
        <f t="shared" si="13"/>
        <v>2.6105030919624482E-3</v>
      </c>
      <c r="S136" s="3">
        <f t="shared" si="13"/>
        <v>2.6105030919622131E-3</v>
      </c>
      <c r="T136" s="3">
        <f t="shared" si="13"/>
        <v>2.6105030919598639E-3</v>
      </c>
      <c r="U136" s="3">
        <f t="shared" si="13"/>
        <v>2.6105030919363692E-3</v>
      </c>
      <c r="V136" s="3">
        <f t="shared" si="13"/>
        <v>2.6105030917014239E-3</v>
      </c>
      <c r="W136" s="3">
        <f t="shared" si="13"/>
        <v>2.6105030893519713E-3</v>
      </c>
      <c r="X136" s="3">
        <f t="shared" si="13"/>
        <v>2.6105030658574433E-3</v>
      </c>
      <c r="Y136" s="3">
        <f t="shared" si="13"/>
        <v>2.6105028309121783E-3</v>
      </c>
      <c r="Z136" s="3">
        <f t="shared" si="13"/>
        <v>2.6105004814606877E-3</v>
      </c>
      <c r="AA136" s="3">
        <f t="shared" si="13"/>
        <v>2.6104769870620792E-3</v>
      </c>
      <c r="AB136" s="3">
        <f t="shared" si="13"/>
        <v>2.6102420547053583E-3</v>
      </c>
      <c r="AC136" s="3">
        <f t="shared" si="13"/>
        <v>2.6078938936870827E-3</v>
      </c>
      <c r="AD136" s="3">
        <f t="shared" si="13"/>
        <v>2.584528152199137E-3</v>
      </c>
      <c r="AE136" s="3">
        <f t="shared" si="13"/>
        <v>2.3620808775062143E-3</v>
      </c>
      <c r="AF136" s="3">
        <f t="shared" si="13"/>
        <v>9.6035041864747737E-4</v>
      </c>
      <c r="AG136" s="3">
        <f t="shared" si="13"/>
        <v>1.1851665701984586E-7</v>
      </c>
      <c r="AH136" s="3">
        <f t="shared" si="13"/>
        <v>9.7112698377377111E-47</v>
      </c>
      <c r="AI136" s="3">
        <f t="shared" si="13"/>
        <v>0</v>
      </c>
      <c r="AJ136" s="3">
        <f t="shared" si="13"/>
        <v>0</v>
      </c>
    </row>
    <row r="137" spans="1:36" x14ac:dyDescent="0.25">
      <c r="A137" s="3">
        <f t="shared" si="14"/>
        <v>1000000000000</v>
      </c>
      <c r="B137" s="107">
        <v>3.5817307068133296E-3</v>
      </c>
      <c r="C137" s="18">
        <f t="shared" si="9"/>
        <v>3.9420912964487232E-3</v>
      </c>
      <c r="D137" s="17"/>
      <c r="E137" s="11"/>
      <c r="F137" s="3">
        <f t="shared" si="11"/>
        <v>3.9420912964487232E-3</v>
      </c>
      <c r="G137" s="3">
        <f t="shared" ref="G137:AJ141" si="15">$C137*EXP(-G$108/$A137)</f>
        <v>3.9420912964487232E-3</v>
      </c>
      <c r="H137" s="3">
        <f t="shared" si="15"/>
        <v>3.9420912964487232E-3</v>
      </c>
      <c r="I137" s="3">
        <f t="shared" si="15"/>
        <v>3.9420912964487232E-3</v>
      </c>
      <c r="J137" s="3">
        <f t="shared" si="15"/>
        <v>3.9420912964487232E-3</v>
      </c>
      <c r="K137" s="3">
        <f t="shared" si="15"/>
        <v>3.9420912964487232E-3</v>
      </c>
      <c r="L137" s="3">
        <f t="shared" si="15"/>
        <v>3.9420912964487232E-3</v>
      </c>
      <c r="M137" s="3">
        <f t="shared" si="15"/>
        <v>3.9420912964487232E-3</v>
      </c>
      <c r="N137" s="3">
        <f t="shared" si="15"/>
        <v>3.9420912964487232E-3</v>
      </c>
      <c r="O137" s="3">
        <f t="shared" si="15"/>
        <v>3.9420912964487232E-3</v>
      </c>
      <c r="P137" s="3">
        <f t="shared" si="15"/>
        <v>3.9420912964487232E-3</v>
      </c>
      <c r="Q137" s="3">
        <f t="shared" si="15"/>
        <v>3.9420912964487223E-3</v>
      </c>
      <c r="R137" s="3">
        <f t="shared" si="15"/>
        <v>3.9420912964487189E-3</v>
      </c>
      <c r="S137" s="3">
        <f t="shared" si="15"/>
        <v>3.9420912964486842E-3</v>
      </c>
      <c r="T137" s="3">
        <f t="shared" si="15"/>
        <v>3.9420912964483286E-3</v>
      </c>
      <c r="U137" s="3">
        <f t="shared" si="15"/>
        <v>3.942091296444781E-3</v>
      </c>
      <c r="V137" s="3">
        <f t="shared" si="15"/>
        <v>3.9420912964093025E-3</v>
      </c>
      <c r="W137" s="3">
        <f t="shared" si="15"/>
        <v>3.9420912960545142E-3</v>
      </c>
      <c r="X137" s="3">
        <f t="shared" si="15"/>
        <v>3.9420912925066318E-3</v>
      </c>
      <c r="Y137" s="3">
        <f t="shared" si="15"/>
        <v>3.9420912570278105E-3</v>
      </c>
      <c r="Z137" s="3">
        <f t="shared" si="15"/>
        <v>3.9420909022396134E-3</v>
      </c>
      <c r="AA137" s="3">
        <f t="shared" si="15"/>
        <v>3.9420873543593981E-3</v>
      </c>
      <c r="AB137" s="3">
        <f t="shared" si="15"/>
        <v>3.9420518757328623E-3</v>
      </c>
      <c r="AC137" s="3">
        <f t="shared" si="15"/>
        <v>3.941697107028878E-3</v>
      </c>
      <c r="AD137" s="3">
        <f t="shared" si="15"/>
        <v>3.9381511755410721E-3</v>
      </c>
      <c r="AE137" s="3">
        <f t="shared" si="15"/>
        <v>3.9028668326731011E-3</v>
      </c>
      <c r="AF137" s="3">
        <f t="shared" si="15"/>
        <v>3.5669517103406908E-3</v>
      </c>
      <c r="AG137" s="3">
        <f t="shared" si="15"/>
        <v>1.4502143431843629E-3</v>
      </c>
      <c r="AH137" s="3">
        <f t="shared" si="15"/>
        <v>1.789706679760749E-7</v>
      </c>
      <c r="AI137" s="3">
        <f t="shared" si="15"/>
        <v>1.4664879127199728E-46</v>
      </c>
      <c r="AJ137" s="3">
        <f t="shared" si="15"/>
        <v>0</v>
      </c>
    </row>
    <row r="138" spans="1:36" x14ac:dyDescent="0.25">
      <c r="A138" s="3">
        <f t="shared" si="14"/>
        <v>10000000000000</v>
      </c>
      <c r="B138" s="107">
        <v>2.5704548080459633E-3</v>
      </c>
      <c r="C138" s="18">
        <f t="shared" si="9"/>
        <v>2.8290701775645437E-3</v>
      </c>
      <c r="D138" s="17"/>
      <c r="E138" s="11"/>
      <c r="F138" s="3">
        <f t="shared" si="11"/>
        <v>2.8290701775645437E-3</v>
      </c>
      <c r="G138" s="3">
        <f t="shared" si="15"/>
        <v>2.8290701775645437E-3</v>
      </c>
      <c r="H138" s="3">
        <f t="shared" si="15"/>
        <v>2.8290701775645437E-3</v>
      </c>
      <c r="I138" s="3">
        <f t="shared" si="15"/>
        <v>2.8290701775645437E-3</v>
      </c>
      <c r="J138" s="3">
        <f t="shared" si="15"/>
        <v>2.8290701775645437E-3</v>
      </c>
      <c r="K138" s="3">
        <f t="shared" si="15"/>
        <v>2.8290701775645437E-3</v>
      </c>
      <c r="L138" s="3">
        <f t="shared" si="15"/>
        <v>2.8290701775645437E-3</v>
      </c>
      <c r="M138" s="3">
        <f t="shared" si="15"/>
        <v>2.8290701775645437E-3</v>
      </c>
      <c r="N138" s="3">
        <f t="shared" si="15"/>
        <v>2.8290701775645437E-3</v>
      </c>
      <c r="O138" s="3">
        <f t="shared" si="15"/>
        <v>2.8290701775645437E-3</v>
      </c>
      <c r="P138" s="3">
        <f t="shared" si="15"/>
        <v>2.8290701775645437E-3</v>
      </c>
      <c r="Q138" s="3">
        <f t="shared" si="15"/>
        <v>2.8290701775645437E-3</v>
      </c>
      <c r="R138" s="3">
        <f t="shared" si="15"/>
        <v>2.8290701775645433E-3</v>
      </c>
      <c r="S138" s="3">
        <f t="shared" si="15"/>
        <v>2.8290701775645407E-3</v>
      </c>
      <c r="T138" s="3">
        <f t="shared" si="15"/>
        <v>2.8290701775645155E-3</v>
      </c>
      <c r="U138" s="3">
        <f t="shared" si="15"/>
        <v>2.8290701775642605E-3</v>
      </c>
      <c r="V138" s="3">
        <f t="shared" si="15"/>
        <v>2.8290701775617148E-3</v>
      </c>
      <c r="W138" s="3">
        <f t="shared" si="15"/>
        <v>2.829070177536253E-3</v>
      </c>
      <c r="X138" s="3">
        <f t="shared" si="15"/>
        <v>2.8290701772816368E-3</v>
      </c>
      <c r="Y138" s="3">
        <f t="shared" si="15"/>
        <v>2.8290701747354734E-3</v>
      </c>
      <c r="Z138" s="3">
        <f t="shared" si="15"/>
        <v>2.8290701492738419E-3</v>
      </c>
      <c r="AA138" s="3">
        <f t="shared" si="15"/>
        <v>2.8290698946575404E-3</v>
      </c>
      <c r="AB138" s="3">
        <f t="shared" si="15"/>
        <v>2.8290673484957806E-3</v>
      </c>
      <c r="AC138" s="3">
        <f t="shared" si="15"/>
        <v>2.829041887004221E-3</v>
      </c>
      <c r="AD138" s="3">
        <f t="shared" si="15"/>
        <v>2.8287872846916667E-3</v>
      </c>
      <c r="AE138" s="3">
        <f t="shared" si="15"/>
        <v>2.8262425214506744E-3</v>
      </c>
      <c r="AF138" s="3">
        <f t="shared" si="15"/>
        <v>2.8009204589625062E-3</v>
      </c>
      <c r="AG138" s="3">
        <f t="shared" si="15"/>
        <v>2.5598485549100354E-3</v>
      </c>
      <c r="AH138" s="3">
        <f t="shared" si="15"/>
        <v>1.0407567559572374E-3</v>
      </c>
      <c r="AI138" s="3">
        <f t="shared" si="15"/>
        <v>1.2843958735457084E-7</v>
      </c>
      <c r="AJ138" s="3">
        <f t="shared" si="15"/>
        <v>1.0524356002034861E-46</v>
      </c>
    </row>
    <row r="139" spans="1:36" x14ac:dyDescent="0.25">
      <c r="A139" s="3">
        <f t="shared" si="14"/>
        <v>100000000000000</v>
      </c>
      <c r="B139" s="107">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7">
        <v>0</v>
      </c>
      <c r="C140" s="18">
        <f t="shared" si="9"/>
        <v>0</v>
      </c>
      <c r="D140" s="17"/>
      <c r="E140" s="11"/>
      <c r="F140" s="3">
        <f t="shared" si="11"/>
        <v>0</v>
      </c>
      <c r="G140" s="3">
        <f t="shared" si="15"/>
        <v>0</v>
      </c>
      <c r="H140" s="3">
        <f t="shared" si="15"/>
        <v>0</v>
      </c>
      <c r="I140" s="3">
        <f t="shared" si="15"/>
        <v>0</v>
      </c>
      <c r="J140" s="3">
        <f t="shared" si="15"/>
        <v>0</v>
      </c>
      <c r="K140" s="3">
        <f t="shared" si="15"/>
        <v>0</v>
      </c>
      <c r="L140" s="3">
        <f t="shared" si="15"/>
        <v>0</v>
      </c>
      <c r="M140" s="3">
        <f t="shared" si="15"/>
        <v>0</v>
      </c>
      <c r="N140" s="3">
        <f t="shared" si="15"/>
        <v>0</v>
      </c>
      <c r="O140" s="3">
        <f t="shared" si="15"/>
        <v>0</v>
      </c>
      <c r="P140" s="3">
        <f t="shared" si="15"/>
        <v>0</v>
      </c>
      <c r="Q140" s="3">
        <f t="shared" si="15"/>
        <v>0</v>
      </c>
      <c r="R140" s="3">
        <f t="shared" si="15"/>
        <v>0</v>
      </c>
      <c r="S140" s="3">
        <f t="shared" si="15"/>
        <v>0</v>
      </c>
      <c r="T140" s="3">
        <f t="shared" si="15"/>
        <v>0</v>
      </c>
      <c r="U140" s="3">
        <f t="shared" si="15"/>
        <v>0</v>
      </c>
      <c r="V140" s="3">
        <f t="shared" si="15"/>
        <v>0</v>
      </c>
      <c r="W140" s="3">
        <f t="shared" si="15"/>
        <v>0</v>
      </c>
      <c r="X140" s="3">
        <f t="shared" si="15"/>
        <v>0</v>
      </c>
      <c r="Y140" s="3">
        <f t="shared" si="15"/>
        <v>0</v>
      </c>
      <c r="Z140" s="3">
        <f t="shared" si="15"/>
        <v>0</v>
      </c>
      <c r="AA140" s="3">
        <f t="shared" si="15"/>
        <v>0</v>
      </c>
      <c r="AB140" s="3">
        <f t="shared" si="15"/>
        <v>0</v>
      </c>
      <c r="AC140" s="3">
        <f t="shared" si="15"/>
        <v>0</v>
      </c>
      <c r="AD140" s="3">
        <f t="shared" si="15"/>
        <v>0</v>
      </c>
      <c r="AE140" s="3">
        <f t="shared" si="15"/>
        <v>0</v>
      </c>
      <c r="AF140" s="3">
        <f t="shared" si="15"/>
        <v>0</v>
      </c>
      <c r="AG140" s="3">
        <f t="shared" si="15"/>
        <v>0</v>
      </c>
      <c r="AH140" s="3">
        <f t="shared" si="15"/>
        <v>0</v>
      </c>
      <c r="AI140" s="3">
        <f t="shared" si="15"/>
        <v>0</v>
      </c>
      <c r="AJ140" s="3">
        <f t="shared" si="15"/>
        <v>0</v>
      </c>
    </row>
    <row r="141" spans="1:36" x14ac:dyDescent="0.25">
      <c r="A141" s="3">
        <f t="shared" si="14"/>
        <v>1E+16</v>
      </c>
      <c r="B141" s="107">
        <v>2.2008767342502691E-3</v>
      </c>
      <c r="C141" s="18">
        <f t="shared" si="9"/>
        <v>2.4223085789616982E-3</v>
      </c>
      <c r="D141" s="17"/>
      <c r="E141" s="11"/>
      <c r="F141" s="3">
        <f t="shared" si="11"/>
        <v>2.4223085789616982E-3</v>
      </c>
      <c r="G141" s="3">
        <f t="shared" si="15"/>
        <v>2.4223085789616982E-3</v>
      </c>
      <c r="H141" s="3">
        <f t="shared" si="15"/>
        <v>2.4223085789616982E-3</v>
      </c>
      <c r="I141" s="3">
        <f t="shared" si="15"/>
        <v>2.4223085789616982E-3</v>
      </c>
      <c r="J141" s="3">
        <f t="shared" si="15"/>
        <v>2.4223085789616982E-3</v>
      </c>
      <c r="K141" s="3">
        <f t="shared" si="15"/>
        <v>2.4223085789616982E-3</v>
      </c>
      <c r="L141" s="3">
        <f t="shared" si="15"/>
        <v>2.4223085789616982E-3</v>
      </c>
      <c r="M141" s="3">
        <f t="shared" si="15"/>
        <v>2.4223085789616982E-3</v>
      </c>
      <c r="N141" s="3">
        <f t="shared" si="15"/>
        <v>2.4223085789616982E-3</v>
      </c>
      <c r="O141" s="3">
        <f t="shared" si="15"/>
        <v>2.4223085789616982E-3</v>
      </c>
      <c r="P141" s="3">
        <f t="shared" si="15"/>
        <v>2.4223085789616982E-3</v>
      </c>
      <c r="Q141" s="3">
        <f t="shared" si="15"/>
        <v>2.4223085789616982E-3</v>
      </c>
      <c r="R141" s="3">
        <f t="shared" si="15"/>
        <v>2.4223085789616982E-3</v>
      </c>
      <c r="S141" s="3">
        <f t="shared" si="15"/>
        <v>2.4223085789616982E-3</v>
      </c>
      <c r="T141" s="3">
        <f t="shared" si="15"/>
        <v>2.4223085789616982E-3</v>
      </c>
      <c r="U141" s="3">
        <f t="shared" si="15"/>
        <v>2.4223085789616978E-3</v>
      </c>
      <c r="V141" s="3">
        <f t="shared" si="15"/>
        <v>2.4223085789616956E-3</v>
      </c>
      <c r="W141" s="3">
        <f t="shared" si="15"/>
        <v>2.4223085789616739E-3</v>
      </c>
      <c r="X141" s="3">
        <f t="shared" si="15"/>
        <v>2.4223085789614558E-3</v>
      </c>
      <c r="Y141" s="3">
        <f t="shared" si="15"/>
        <v>2.4223085789592761E-3</v>
      </c>
      <c r="Z141" s="3">
        <f t="shared" si="15"/>
        <v>2.422308578937475E-3</v>
      </c>
      <c r="AA141" s="3">
        <f t="shared" si="15"/>
        <v>2.4223085787194675E-3</v>
      </c>
      <c r="AB141" s="3">
        <f t="shared" si="15"/>
        <v>2.4223085765393898E-3</v>
      </c>
      <c r="AC141" s="3">
        <f t="shared" si="15"/>
        <v>2.4223085547386124E-3</v>
      </c>
      <c r="AD141" s="3">
        <f t="shared" si="15"/>
        <v>2.4223083367308526E-3</v>
      </c>
      <c r="AE141" s="3">
        <f t="shared" si="15"/>
        <v>2.4223061566543305E-3</v>
      </c>
      <c r="AF141" s="3">
        <f t="shared" si="15"/>
        <v>2.4222843559970238E-3</v>
      </c>
      <c r="AG141" s="3">
        <f t="shared" si="15"/>
        <v>2.4220663602149413E-3</v>
      </c>
      <c r="AH141" s="3">
        <f t="shared" si="15"/>
        <v>2.4198874811334091E-3</v>
      </c>
      <c r="AI141" s="3">
        <f t="shared" si="15"/>
        <v>2.3982062058902128E-3</v>
      </c>
      <c r="AJ141" s="3">
        <f t="shared" si="15"/>
        <v>2.1917954402740571E-3</v>
      </c>
    </row>
    <row r="142" spans="1:36" x14ac:dyDescent="0.25">
      <c r="A142" s="11"/>
      <c r="B142" s="123">
        <f>SUM(B110:B141)</f>
        <v>0.90858644243982167</v>
      </c>
      <c r="C142" s="18">
        <f>SUM(C110:C141)</f>
        <v>0.99999999999999989</v>
      </c>
      <c r="D142" s="11"/>
      <c r="E142" s="11"/>
      <c r="F142" s="3">
        <f t="shared" ref="F142:AJ142" si="16">F109-F110</f>
        <v>108.74724100736421</v>
      </c>
      <c r="G142" s="3">
        <f t="shared" si="16"/>
        <v>108.7472591855485</v>
      </c>
      <c r="H142" s="3">
        <f t="shared" si="16"/>
        <v>108.75133624852879</v>
      </c>
      <c r="I142" s="3">
        <f t="shared" si="16"/>
        <v>75.716135484377446</v>
      </c>
      <c r="J142" s="3">
        <f t="shared" si="16"/>
        <v>50.492669319074594</v>
      </c>
      <c r="K142" s="3">
        <f t="shared" si="16"/>
        <v>50.458456025792657</v>
      </c>
      <c r="L142" s="3">
        <f t="shared" si="16"/>
        <v>50.411301498721514</v>
      </c>
      <c r="M142" s="3">
        <f t="shared" si="16"/>
        <v>8.8727121056690521</v>
      </c>
      <c r="N142" s="3">
        <f t="shared" si="16"/>
        <v>-2.9976888386236169</v>
      </c>
      <c r="O142" s="3">
        <f t="shared" si="16"/>
        <v>0.62891977027902612</v>
      </c>
      <c r="P142" s="3">
        <f t="shared" si="16"/>
        <v>-0.55987177470251481</v>
      </c>
      <c r="Q142" s="3">
        <f t="shared" si="16"/>
        <v>0.60906021683422296</v>
      </c>
      <c r="R142" s="3">
        <f t="shared" si="16"/>
        <v>-0.78668374874632718</v>
      </c>
      <c r="S142" s="3">
        <f t="shared" si="16"/>
        <v>0.90113627816572262</v>
      </c>
      <c r="T142" s="3">
        <f t="shared" si="16"/>
        <v>-0.75883412456732913</v>
      </c>
      <c r="U142" s="3">
        <f t="shared" si="16"/>
        <v>0.54562574687133747</v>
      </c>
      <c r="V142" s="3">
        <f t="shared" si="16"/>
        <v>-0.41026593148035317</v>
      </c>
      <c r="W142" s="3">
        <f t="shared" si="16"/>
        <v>0.2949112713690738</v>
      </c>
      <c r="X142" s="3">
        <f t="shared" si="16"/>
        <v>-0.23920411420613164</v>
      </c>
      <c r="Y142" s="3">
        <f t="shared" si="16"/>
        <v>0.22891523440989658</v>
      </c>
      <c r="Z142" s="3">
        <f t="shared" si="16"/>
        <v>-0.17340703988361383</v>
      </c>
      <c r="AA142" s="3">
        <f t="shared" si="16"/>
        <v>0.11824477568745806</v>
      </c>
      <c r="AB142" s="3">
        <f t="shared" si="16"/>
        <v>-7.1599614094679964E-2</v>
      </c>
      <c r="AC142" s="3">
        <f t="shared" si="16"/>
        <v>-2.4562218727282925E-2</v>
      </c>
      <c r="AD142" s="3">
        <f t="shared" si="16"/>
        <v>4.2406833038114655E-2</v>
      </c>
      <c r="AE142" s="3">
        <f t="shared" si="16"/>
        <v>0.12186927385960189</v>
      </c>
      <c r="AF142" s="3">
        <f t="shared" si="16"/>
        <v>-0.20633721422132112</v>
      </c>
      <c r="AG142" s="3">
        <f t="shared" si="16"/>
        <v>0.1926467302952517</v>
      </c>
      <c r="AH142" s="3">
        <f t="shared" si="16"/>
        <v>-0.30812963605430355</v>
      </c>
      <c r="AI142" s="3">
        <f t="shared" si="16"/>
        <v>-0.63193737098441716</v>
      </c>
      <c r="AJ142" s="3">
        <f t="shared" si="16"/>
        <v>0.88219798988816933</v>
      </c>
    </row>
    <row r="143" spans="1:36" x14ac:dyDescent="0.25">
      <c r="A143" s="11"/>
      <c r="B143" s="11"/>
      <c r="C143" s="11"/>
      <c r="D143" s="11"/>
      <c r="E143" s="11"/>
      <c r="F143" s="57">
        <f t="shared" ref="F143:AJ143" si="17">F142/F110</f>
        <v>1.483392390953717E-2</v>
      </c>
      <c r="G143" s="57">
        <f t="shared" si="17"/>
        <v>1.4833926425958044E-2</v>
      </c>
      <c r="H143" s="57">
        <f t="shared" si="17"/>
        <v>1.4834482935192964E-2</v>
      </c>
      <c r="I143" s="57">
        <f t="shared" si="17"/>
        <v>1.032824089359616E-2</v>
      </c>
      <c r="J143" s="57">
        <f t="shared" si="17"/>
        <v>6.8875906278010853E-3</v>
      </c>
      <c r="K143" s="57">
        <f t="shared" si="17"/>
        <v>6.8830942295078712E-3</v>
      </c>
      <c r="L143" s="57">
        <f t="shared" si="17"/>
        <v>6.8783558379226228E-3</v>
      </c>
      <c r="M143" s="57">
        <f t="shared" si="17"/>
        <v>1.213447616676396E-3</v>
      </c>
      <c r="N143" s="57">
        <f t="shared" si="17"/>
        <v>-4.1561441317591446E-4</v>
      </c>
      <c r="O143" s="57">
        <f t="shared" si="17"/>
        <v>8.9088266459640646E-5</v>
      </c>
      <c r="P143" s="57">
        <f t="shared" si="17"/>
        <v>-8.2754302455645274E-5</v>
      </c>
      <c r="Q143" s="57">
        <f t="shared" si="17"/>
        <v>9.4733178485252202E-5</v>
      </c>
      <c r="R143" s="57">
        <f t="shared" si="17"/>
        <v>-1.3173685842896534E-4</v>
      </c>
      <c r="S143" s="57">
        <f t="shared" si="17"/>
        <v>1.6297731788895311E-4</v>
      </c>
      <c r="T143" s="57">
        <f t="shared" si="17"/>
        <v>-1.4658335188053262E-4</v>
      </c>
      <c r="U143" s="57">
        <f t="shared" si="17"/>
        <v>1.1956498152493047E-4</v>
      </c>
      <c r="V143" s="57">
        <f t="shared" si="17"/>
        <v>-1.0424020976308443E-4</v>
      </c>
      <c r="W143" s="57">
        <f t="shared" si="17"/>
        <v>8.6131986590557357E-5</v>
      </c>
      <c r="X143" s="57">
        <f t="shared" si="17"/>
        <v>-9.7321716614335511E-5</v>
      </c>
      <c r="Y143" s="57">
        <f t="shared" si="17"/>
        <v>1.2989999275174867E-4</v>
      </c>
      <c r="Z143" s="57">
        <f t="shared" si="17"/>
        <v>-1.5900805165095498E-4</v>
      </c>
      <c r="AA143" s="57">
        <f t="shared" si="17"/>
        <v>1.7681385299249538E-4</v>
      </c>
      <c r="AB143" s="57">
        <f t="shared" si="17"/>
        <v>-1.9657403096109258E-4</v>
      </c>
      <c r="AC143" s="57">
        <f t="shared" si="17"/>
        <v>-9.6761894312533741E-5</v>
      </c>
      <c r="AD143" s="57">
        <f t="shared" si="17"/>
        <v>1.9459531819727887E-4</v>
      </c>
      <c r="AE143" s="57">
        <f t="shared" si="17"/>
        <v>6.2917347120360415E-4</v>
      </c>
      <c r="AF143" s="57">
        <f t="shared" si="17"/>
        <v>-1.1876400154622231E-3</v>
      </c>
      <c r="AG143" s="57">
        <f t="shared" si="17"/>
        <v>1.2893813827513931E-3</v>
      </c>
      <c r="AH143" s="57">
        <f t="shared" si="17"/>
        <v>-2.4143031608583991E-3</v>
      </c>
      <c r="AI143" s="57">
        <f t="shared" si="17"/>
        <v>-5.2732789664121978E-3</v>
      </c>
      <c r="AJ143" s="57">
        <f t="shared" si="17"/>
        <v>7.4558127842715132E-3</v>
      </c>
    </row>
    <row r="144" spans="1:36" x14ac:dyDescent="0.25">
      <c r="A144" s="13" t="s">
        <v>21</v>
      </c>
      <c r="B144" s="3">
        <f>STUTT!D8</f>
        <v>7330.9827999999998</v>
      </c>
      <c r="C144" s="11"/>
      <c r="D144" s="11"/>
      <c r="E144" s="11" t="s">
        <v>24</v>
      </c>
      <c r="F144" s="20">
        <f t="shared" ref="F144:AJ144" si="18">(F109-F110)^2</f>
        <v>11825.962426713755</v>
      </c>
      <c r="G144" s="20">
        <f t="shared" si="18"/>
        <v>11825.966380368864</v>
      </c>
      <c r="H144" s="20">
        <f t="shared" si="18"/>
        <v>11826.853135840571</v>
      </c>
      <c r="I144" s="20">
        <f t="shared" si="18"/>
        <v>5732.9331726886012</v>
      </c>
      <c r="J144" s="20">
        <f t="shared" si="18"/>
        <v>2549.5096549654168</v>
      </c>
      <c r="K144" s="20">
        <f t="shared" si="18"/>
        <v>2546.0557845068511</v>
      </c>
      <c r="L144" s="20">
        <f t="shared" si="18"/>
        <v>2541.2993187950019</v>
      </c>
      <c r="M144" s="20">
        <f t="shared" si="18"/>
        <v>78.725020110086149</v>
      </c>
      <c r="N144" s="20">
        <f t="shared" si="18"/>
        <v>8.9861383732086093</v>
      </c>
      <c r="O144" s="20">
        <f t="shared" si="18"/>
        <v>0.39554007744782299</v>
      </c>
      <c r="P144" s="20">
        <f t="shared" si="18"/>
        <v>0.31345640410854353</v>
      </c>
      <c r="Q144" s="20">
        <f t="shared" si="18"/>
        <v>0.37095434773015068</v>
      </c>
      <c r="R144" s="20">
        <f t="shared" si="18"/>
        <v>0.61887132054157445</v>
      </c>
      <c r="S144" s="20">
        <f t="shared" si="18"/>
        <v>0.81204659182637062</v>
      </c>
      <c r="T144" s="20">
        <f t="shared" si="18"/>
        <v>0.57582922860786478</v>
      </c>
      <c r="U144" s="20">
        <f t="shared" si="18"/>
        <v>0.29770745564890483</v>
      </c>
      <c r="V144" s="20">
        <f t="shared" si="18"/>
        <v>0.16831813453344185</v>
      </c>
      <c r="W144" s="20">
        <f t="shared" si="18"/>
        <v>8.6972657980523491E-2</v>
      </c>
      <c r="X144" s="20">
        <f t="shared" si="18"/>
        <v>5.7218608253140069E-2</v>
      </c>
      <c r="Y144" s="20">
        <f t="shared" si="18"/>
        <v>5.2402184544937898E-2</v>
      </c>
      <c r="Z144" s="20">
        <f t="shared" si="18"/>
        <v>3.0070001481197237E-2</v>
      </c>
      <c r="AA144" s="20">
        <f t="shared" si="18"/>
        <v>1.3981826977377272E-2</v>
      </c>
      <c r="AB144" s="20">
        <f t="shared" si="18"/>
        <v>5.1265047385070936E-3</v>
      </c>
      <c r="AC144" s="20">
        <f t="shared" si="18"/>
        <v>6.0330258880688802E-4</v>
      </c>
      <c r="AD144" s="20">
        <f t="shared" si="18"/>
        <v>1.7983394883225327E-3</v>
      </c>
      <c r="AE144" s="20">
        <f t="shared" si="18"/>
        <v>1.4852119911066644E-2</v>
      </c>
      <c r="AF144" s="20">
        <f t="shared" si="18"/>
        <v>4.2575045972615362E-2</v>
      </c>
      <c r="AG144" s="20">
        <f t="shared" si="18"/>
        <v>3.711276269345145E-2</v>
      </c>
      <c r="AH144" s="20">
        <f t="shared" si="18"/>
        <v>9.4943872614957556E-2</v>
      </c>
      <c r="AI144" s="20">
        <f t="shared" si="18"/>
        <v>0.39934484084669686</v>
      </c>
      <c r="AJ144" s="20">
        <f t="shared" si="18"/>
        <v>0.77827329336272655</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2" t="s">
        <v>25</v>
      </c>
      <c r="F146" s="132"/>
      <c r="G146" s="104">
        <f>SUM(F144:AJ144)</f>
        <v>48941.459031284241</v>
      </c>
      <c r="H146" s="11"/>
      <c r="I146" s="3">
        <f>G146+C216</f>
        <v>48941.459031284241</v>
      </c>
      <c r="J146" s="11"/>
      <c r="K146" s="3">
        <f>SUM(Z144:AJ144)</f>
        <v>1.4186819106757254</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1.4617095034023985E-2</v>
      </c>
      <c r="G148" s="31">
        <f t="shared" si="19"/>
        <v>1.4617097477416983E-2</v>
      </c>
      <c r="H148" s="31">
        <f t="shared" si="19"/>
        <v>1.4617637836159623E-2</v>
      </c>
      <c r="I148" s="31">
        <f t="shared" si="19"/>
        <v>1.0222658810824917E-2</v>
      </c>
      <c r="J148" s="31">
        <f t="shared" si="19"/>
        <v>6.840476227844487E-3</v>
      </c>
      <c r="K148" s="31">
        <f t="shared" si="19"/>
        <v>6.836041114360935E-3</v>
      </c>
      <c r="L148" s="31">
        <f t="shared" si="19"/>
        <v>6.831367263027981E-3</v>
      </c>
      <c r="M148" s="31">
        <f t="shared" si="19"/>
        <v>1.2119769461396363E-3</v>
      </c>
      <c r="N148" s="31">
        <f t="shared" si="19"/>
        <v>4.157872203375011E-4</v>
      </c>
      <c r="O148" s="31">
        <f t="shared" si="19"/>
        <v>8.9080330447425439E-5</v>
      </c>
      <c r="P148" s="31">
        <f t="shared" si="19"/>
        <v>8.2761151296991282E-5</v>
      </c>
      <c r="Q148" s="31">
        <f t="shared" si="19"/>
        <v>9.4724204960236835E-5</v>
      </c>
      <c r="R148" s="31">
        <f t="shared" si="19"/>
        <v>1.3175421531537576E-4</v>
      </c>
      <c r="S148" s="31">
        <f t="shared" si="19"/>
        <v>1.6295076061104076E-4</v>
      </c>
      <c r="T148" s="31">
        <f t="shared" si="19"/>
        <v>1.4660484170963235E-4</v>
      </c>
      <c r="U148" s="31">
        <f t="shared" si="19"/>
        <v>1.1955068744919432E-4</v>
      </c>
      <c r="V148" s="31">
        <f t="shared" si="19"/>
        <v>1.042510769172103E-4</v>
      </c>
      <c r="W148" s="31">
        <f t="shared" si="19"/>
        <v>8.6124568510377315E-5</v>
      </c>
      <c r="X148" s="31">
        <f t="shared" si="19"/>
        <v>9.7331189052734236E-5</v>
      </c>
      <c r="Y148" s="31">
        <f t="shared" si="19"/>
        <v>1.2988312093528061E-4</v>
      </c>
      <c r="Z148" s="31">
        <f t="shared" si="19"/>
        <v>1.5903333923237387E-4</v>
      </c>
      <c r="AA148" s="31">
        <f t="shared" si="19"/>
        <v>1.7678259538066412E-4</v>
      </c>
      <c r="AB148" s="31">
        <f t="shared" si="19"/>
        <v>1.9661267990812018E-4</v>
      </c>
      <c r="AC148" s="31">
        <f t="shared" si="19"/>
        <v>9.677125808278084E-5</v>
      </c>
      <c r="AD148" s="31">
        <f t="shared" si="19"/>
        <v>1.9455745822678758E-4</v>
      </c>
      <c r="AE148" s="31">
        <f t="shared" si="19"/>
        <v>6.2877786085427444E-4</v>
      </c>
      <c r="AF148" s="31">
        <f t="shared" si="19"/>
        <v>1.1890521814133424E-3</v>
      </c>
      <c r="AG148" s="31">
        <f t="shared" si="19"/>
        <v>1.2877210192430034E-3</v>
      </c>
      <c r="AH148" s="31">
        <f t="shared" si="19"/>
        <v>2.4201461273032866E-3</v>
      </c>
      <c r="AI148" s="31">
        <f t="shared" si="19"/>
        <v>5.3012338513766947E-3</v>
      </c>
      <c r="AJ148" s="31">
        <f t="shared" si="19"/>
        <v>7.4006350349660856E-3</v>
      </c>
    </row>
    <row r="149" spans="1:36" x14ac:dyDescent="0.25">
      <c r="A149" s="11"/>
      <c r="B149" s="11"/>
      <c r="C149" s="11"/>
      <c r="D149" s="11"/>
      <c r="E149" s="13" t="s">
        <v>31</v>
      </c>
      <c r="F149" s="32">
        <f>AVERAGE(F148:AJ148)</f>
        <v>3.1131121768815787E-3</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1.1946885404169823E-4</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-21.601432961392756</v>
      </c>
      <c r="M1" s="54">
        <v>1</v>
      </c>
      <c r="N1" s="56">
        <f>INDEX($H$217:$P$217,1,Q1)</f>
        <v>0.37473141014378614</v>
      </c>
      <c r="O1" s="11"/>
      <c r="P1" s="55">
        <v>1</v>
      </c>
      <c r="Q1" s="11">
        <v>2</v>
      </c>
    </row>
    <row r="2" spans="1:17" x14ac:dyDescent="0.25">
      <c r="A2" s="11">
        <f>'Mastercurve bestimmen'!M119</f>
        <v>0</v>
      </c>
      <c r="B2" s="11">
        <f>'Mastercurve bestimmen'!N119</f>
        <v>-17.60083092062002</v>
      </c>
      <c r="M2" s="54">
        <v>2</v>
      </c>
      <c r="N2" s="56">
        <f t="shared" ref="N2:N9" si="0">INDEX($H$217:$P$217,1,Q2)</f>
        <v>2.9545013602366669E-3</v>
      </c>
      <c r="O2" s="11"/>
      <c r="P2" s="55">
        <v>2</v>
      </c>
      <c r="Q2" s="11">
        <f>Q1+1</f>
        <v>3</v>
      </c>
    </row>
    <row r="3" spans="1:17" x14ac:dyDescent="0.25">
      <c r="A3" s="11">
        <f>'Mastercurve bestimmen'!M120</f>
        <v>25</v>
      </c>
      <c r="B3" s="11">
        <f>'Mastercurve bestimmen'!N120</f>
        <v>-13.983378315651946</v>
      </c>
      <c r="M3" s="54">
        <v>3</v>
      </c>
      <c r="N3" s="56">
        <f t="shared" si="0"/>
        <v>-8.8766629393353679E-6</v>
      </c>
      <c r="O3" s="11"/>
      <c r="P3" s="55">
        <v>3</v>
      </c>
      <c r="Q3" s="11">
        <f t="shared" ref="Q3:Q8" si="1">Q2+1</f>
        <v>4</v>
      </c>
    </row>
    <row r="4" spans="1:17" x14ac:dyDescent="0.25">
      <c r="A4" s="11">
        <f>'Mastercurve bestimmen'!M121</f>
        <v>50</v>
      </c>
      <c r="B4" s="11">
        <f>'Mastercurve bestimmen'!N121</f>
        <v>-8.5553694671339517</v>
      </c>
      <c r="M4" s="54">
        <v>4</v>
      </c>
      <c r="N4" s="56">
        <f t="shared" si="0"/>
        <v>-7.2631639098291619E-7</v>
      </c>
      <c r="O4" s="11"/>
      <c r="P4" s="55">
        <v>4</v>
      </c>
      <c r="Q4" s="11">
        <f t="shared" si="1"/>
        <v>5</v>
      </c>
    </row>
    <row r="5" spans="1:17" x14ac:dyDescent="0.25">
      <c r="A5" s="11">
        <f>'Mastercurve bestimmen'!M122</f>
        <v>80</v>
      </c>
      <c r="B5" s="11">
        <f>'Mastercurve bestimmen'!N122</f>
        <v>0</v>
      </c>
      <c r="M5" s="54">
        <v>5</v>
      </c>
      <c r="N5" s="56">
        <f t="shared" si="0"/>
        <v>-5.2908344461554078E-9</v>
      </c>
      <c r="O5" s="11"/>
      <c r="P5" s="55">
        <v>5</v>
      </c>
      <c r="Q5" s="11">
        <f t="shared" si="1"/>
        <v>6</v>
      </c>
    </row>
    <row r="6" spans="1:17" x14ac:dyDescent="0.25">
      <c r="A6" s="11">
        <f>'Mastercurve bestimmen'!M123</f>
        <v>125</v>
      </c>
      <c r="B6" s="11">
        <f>'Mastercurve bestimmen'!N123</f>
        <v>18.564414953206096</v>
      </c>
      <c r="M6" s="54">
        <v>6</v>
      </c>
      <c r="N6" s="56">
        <f t="shared" si="0"/>
        <v>4.0676572020837843E-11</v>
      </c>
      <c r="O6" s="11"/>
      <c r="P6" s="55">
        <v>6</v>
      </c>
      <c r="Q6" s="11">
        <f t="shared" si="1"/>
        <v>7</v>
      </c>
    </row>
    <row r="7" spans="1:17" x14ac:dyDescent="0.25">
      <c r="A7" s="11">
        <f>'Mastercurve bestimmen'!M124</f>
        <v>160</v>
      </c>
      <c r="B7" s="11">
        <f>'Mastercurve bestimmen'!N124</f>
        <v>22.63634100105423</v>
      </c>
      <c r="M7" s="54">
        <v>7</v>
      </c>
      <c r="N7" s="56">
        <f t="shared" si="0"/>
        <v>5.8870962139290244E-13</v>
      </c>
      <c r="O7" s="11"/>
      <c r="P7" s="55">
        <v>7</v>
      </c>
      <c r="Q7" s="11">
        <f t="shared" si="1"/>
        <v>8</v>
      </c>
    </row>
    <row r="8" spans="1:17" x14ac:dyDescent="0.25">
      <c r="A8" s="11"/>
      <c r="B8" s="11"/>
      <c r="M8" s="54">
        <v>8</v>
      </c>
      <c r="N8" s="56">
        <f t="shared" si="0"/>
        <v>1.7159357703370749E-15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-21.601432961392753</v>
      </c>
      <c r="E15" s="11">
        <f>A15-'Mastercurve bestimmen'!$B$2</f>
        <v>-120</v>
      </c>
      <c r="F15" s="11">
        <f>B15</f>
        <v>-21.601432961392753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-21.517031204258437</v>
      </c>
      <c r="E16" s="11">
        <f>A16-'Mastercurve bestimmen'!$B$2</f>
        <v>-119</v>
      </c>
      <c r="F16" s="11">
        <f t="shared" ref="F16:F79" si="4">B16</f>
        <v>-21.517031204258437</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-21.432570860655503</v>
      </c>
      <c r="E17" s="11">
        <f>A17-'Mastercurve bestimmen'!$B$2</f>
        <v>-118</v>
      </c>
      <c r="F17" s="11">
        <f t="shared" si="4"/>
        <v>-21.432570860655503</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-21.347993344115352</v>
      </c>
      <c r="E18" s="11">
        <f>A18-'Mastercurve bestimmen'!$B$2</f>
        <v>-117</v>
      </c>
      <c r="F18" s="11">
        <f t="shared" si="4"/>
        <v>-21.347993344115352</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-21.26324006816936</v>
      </c>
      <c r="E19" s="11">
        <f>A19-'Mastercurve bestimmen'!$B$2</f>
        <v>-116</v>
      </c>
      <c r="F19" s="11">
        <f t="shared" si="4"/>
        <v>-21.26324006816936</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-21.178252446348925</v>
      </c>
      <c r="E20" s="11">
        <f>A20-'Mastercurve bestimmen'!$B$2</f>
        <v>-115</v>
      </c>
      <c r="F20" s="11">
        <f t="shared" si="4"/>
        <v>-21.178252446348925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-21.092971892185428</v>
      </c>
      <c r="E21" s="11">
        <f>A21-'Mastercurve bestimmen'!$B$2</f>
        <v>-114</v>
      </c>
      <c r="F21" s="11">
        <f t="shared" si="4"/>
        <v>-21.092971892185428</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-21.007339819210269</v>
      </c>
      <c r="E22" s="11">
        <f>A22-'Mastercurve bestimmen'!$B$2</f>
        <v>-113</v>
      </c>
      <c r="F22" s="11">
        <f t="shared" si="4"/>
        <v>-21.007339819210269</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-20.921297640954823</v>
      </c>
      <c r="E23" s="11">
        <f>A23-'Mastercurve bestimmen'!$B$2</f>
        <v>-112</v>
      </c>
      <c r="F23" s="11">
        <f t="shared" si="4"/>
        <v>-20.921297640954823</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-20.834786770950483</v>
      </c>
      <c r="E24" s="11">
        <f>A24-'Mastercurve bestimmen'!$B$2</f>
        <v>-111</v>
      </c>
      <c r="F24" s="11">
        <f t="shared" si="4"/>
        <v>-20.834786770950483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-20.747748622728643</v>
      </c>
      <c r="E25" s="11">
        <f>A25-'Mastercurve bestimmen'!$B$2</f>
        <v>-110</v>
      </c>
      <c r="F25" s="11">
        <f t="shared" si="4"/>
        <v>-20.747748622728643</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-20.660124609820684</v>
      </c>
      <c r="E26" s="11">
        <f>A26-'Mastercurve bestimmen'!$B$2</f>
        <v>-109</v>
      </c>
      <c r="F26" s="11">
        <f t="shared" si="4"/>
        <v>-20.660124609820684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-20.571856145757998</v>
      </c>
      <c r="E27" s="11">
        <f>A27-'Mastercurve bestimmen'!$B$2</f>
        <v>-108</v>
      </c>
      <c r="F27" s="11">
        <f t="shared" si="4"/>
        <v>-20.571856145757998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-20.482884644071966</v>
      </c>
      <c r="E28" s="11">
        <f>A28-'Mastercurve bestimmen'!$B$2</f>
        <v>-107</v>
      </c>
      <c r="F28" s="11">
        <f t="shared" si="4"/>
        <v>-20.482884644071966</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-20.39315151829399</v>
      </c>
      <c r="E29" s="11">
        <f>A29-'Mastercurve bestimmen'!$B$2</f>
        <v>-106</v>
      </c>
      <c r="F29" s="11">
        <f t="shared" si="4"/>
        <v>-20.39315151829399</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-20.30259818195545</v>
      </c>
      <c r="E30" s="11">
        <f>A30-'Mastercurve bestimmen'!$B$2</f>
        <v>-105</v>
      </c>
      <c r="F30" s="11">
        <f t="shared" si="4"/>
        <v>-20.30259818195545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-20.211166048587735</v>
      </c>
      <c r="E31" s="11">
        <f>A31-'Mastercurve bestimmen'!$B$2</f>
        <v>-104</v>
      </c>
      <c r="F31" s="11">
        <f t="shared" si="4"/>
        <v>-20.211166048587735</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-20.118796531722236</v>
      </c>
      <c r="E32" s="11">
        <f>A32-'Mastercurve bestimmen'!$B$2</f>
        <v>-103</v>
      </c>
      <c r="F32" s="11">
        <f t="shared" si="4"/>
        <v>-20.118796531722236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-20.02543104489034</v>
      </c>
      <c r="E33" s="11">
        <f>A33-'Mastercurve bestimmen'!$B$2</f>
        <v>-102</v>
      </c>
      <c r="F33" s="11">
        <f t="shared" si="4"/>
        <v>-20.02543104489034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-19.931011001623428</v>
      </c>
      <c r="E34" s="11">
        <f>A34-'Mastercurve bestimmen'!$B$2</f>
        <v>-101</v>
      </c>
      <c r="F34" s="11">
        <f t="shared" si="4"/>
        <v>-19.931011001623428</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-19.835477815452897</v>
      </c>
      <c r="E35" s="11">
        <f>A35-'Mastercurve bestimmen'!$B$2</f>
        <v>-100</v>
      </c>
      <c r="F35" s="11">
        <f t="shared" si="4"/>
        <v>-19.835477815452897</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-19.738772899910138</v>
      </c>
      <c r="E36" s="11">
        <f>A36-'Mastercurve bestimmen'!$B$2</f>
        <v>-99</v>
      </c>
      <c r="F36" s="11">
        <f t="shared" si="4"/>
        <v>-19.738772899910138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-19.64083766852653</v>
      </c>
      <c r="E37" s="11">
        <f>A37-'Mastercurve bestimmen'!$B$2</f>
        <v>-98</v>
      </c>
      <c r="F37" s="11">
        <f t="shared" si="4"/>
        <v>-19.64083766852653</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-19.54161353483347</v>
      </c>
      <c r="E38" s="11">
        <f>A38-'Mastercurve bestimmen'!$B$2</f>
        <v>-97</v>
      </c>
      <c r="F38" s="11">
        <f t="shared" si="4"/>
        <v>-19.54161353483347</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-19.441041912362344</v>
      </c>
      <c r="E39" s="11">
        <f>A39-'Mastercurve bestimmen'!$B$2</f>
        <v>-96</v>
      </c>
      <c r="F39" s="11">
        <f t="shared" si="4"/>
        <v>-19.441041912362344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-19.339064214644534</v>
      </c>
      <c r="E40" s="11">
        <f>A40-'Mastercurve bestimmen'!$B$2</f>
        <v>-95</v>
      </c>
      <c r="F40" s="11">
        <f t="shared" si="4"/>
        <v>-19.339064214644534</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-19.235621855211438</v>
      </c>
      <c r="E41" s="11">
        <f>A41-'Mastercurve bestimmen'!$B$2</f>
        <v>-94</v>
      </c>
      <c r="F41" s="11">
        <f t="shared" si="4"/>
        <v>-19.235621855211438</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-19.130656247594434</v>
      </c>
      <c r="E42" s="11">
        <f>A42-'Mastercurve bestimmen'!$B$2</f>
        <v>-93</v>
      </c>
      <c r="F42" s="11">
        <f t="shared" si="4"/>
        <v>-19.130656247594434</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-19.024108805324921</v>
      </c>
      <c r="E43" s="11">
        <f>A43-'Mastercurve bestimmen'!$B$2</f>
        <v>-92</v>
      </c>
      <c r="F43" s="11">
        <f t="shared" si="4"/>
        <v>-19.024108805324921</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-18.915920941934282</v>
      </c>
      <c r="E44" s="11">
        <f>A44-'Mastercurve bestimmen'!$B$2</f>
        <v>-91</v>
      </c>
      <c r="F44" s="11">
        <f t="shared" si="4"/>
        <v>-18.915920941934282</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-18.806034070953899</v>
      </c>
      <c r="E45" s="11">
        <f>A45-'Mastercurve bestimmen'!$B$2</f>
        <v>-90</v>
      </c>
      <c r="F45" s="11">
        <f t="shared" si="4"/>
        <v>-18.806034070953899</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-18.694389605915173</v>
      </c>
      <c r="E46" s="11">
        <f>A46-'Mastercurve bestimmen'!$B$2</f>
        <v>-89</v>
      </c>
      <c r="F46" s="11">
        <f t="shared" si="4"/>
        <v>-18.694389605915173</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-18.580928960349489</v>
      </c>
      <c r="E47" s="11">
        <f>A47-'Mastercurve bestimmen'!$B$2</f>
        <v>-88</v>
      </c>
      <c r="F47" s="11">
        <f t="shared" si="4"/>
        <v>-18.580928960349489</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-18.465593547788231</v>
      </c>
      <c r="E48" s="11">
        <f>A48-'Mastercurve bestimmen'!$B$2</f>
        <v>-87</v>
      </c>
      <c r="F48" s="11">
        <f t="shared" si="4"/>
        <v>-18.465593547788231</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-18.348324781762788</v>
      </c>
      <c r="E49" s="11">
        <f>A49-'Mastercurve bestimmen'!$B$2</f>
        <v>-86</v>
      </c>
      <c r="F49" s="11">
        <f t="shared" si="4"/>
        <v>-18.348324781762788</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-18.229064075804548</v>
      </c>
      <c r="E50" s="11">
        <f>A50-'Mastercurve bestimmen'!$B$2</f>
        <v>-85</v>
      </c>
      <c r="F50" s="11">
        <f t="shared" si="4"/>
        <v>-18.229064075804548</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-18.107752843444903</v>
      </c>
      <c r="E51" s="11">
        <f>A51-'Mastercurve bestimmen'!$B$2</f>
        <v>-84</v>
      </c>
      <c r="F51" s="11">
        <f t="shared" si="4"/>
        <v>-18.107752843444903</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-17.984332498215238</v>
      </c>
      <c r="E52" s="11">
        <f>A52-'Mastercurve bestimmen'!$B$2</f>
        <v>-83</v>
      </c>
      <c r="F52" s="11">
        <f t="shared" si="4"/>
        <v>-17.984332498215238</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-17.858744453646942</v>
      </c>
      <c r="E53" s="11">
        <f>A53-'Mastercurve bestimmen'!$B$2</f>
        <v>-82</v>
      </c>
      <c r="F53" s="11">
        <f t="shared" si="4"/>
        <v>-17.858744453646942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-17.730930123271406</v>
      </c>
      <c r="E54" s="11">
        <f>A54-'Mastercurve bestimmen'!$B$2</f>
        <v>-81</v>
      </c>
      <c r="F54" s="11">
        <f t="shared" si="4"/>
        <v>-17.730930123271406</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-17.60083092062002</v>
      </c>
      <c r="E55" s="11">
        <f>A55-'Mastercurve bestimmen'!$B$2</f>
        <v>-80</v>
      </c>
      <c r="F55" s="11">
        <f t="shared" si="4"/>
        <v>-17.60083092062002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-17.48973550123165</v>
      </c>
      <c r="E56" s="11">
        <f>A56-'Mastercurve bestimmen'!$B$2</f>
        <v>-79</v>
      </c>
      <c r="F56" s="11">
        <f t="shared" si="4"/>
        <v>-17.48973550123165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-17.376243919446146</v>
      </c>
      <c r="E57" s="11">
        <f>A57-'Mastercurve bestimmen'!$B$2</f>
        <v>-78</v>
      </c>
      <c r="F57" s="11">
        <f t="shared" si="4"/>
        <v>-17.376243919446146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-17.260303471610861</v>
      </c>
      <c r="E58" s="11">
        <f>A58-'Mastercurve bestimmen'!$B$2</f>
        <v>-77</v>
      </c>
      <c r="F58" s="11">
        <f t="shared" si="4"/>
        <v>-17.260303471610861</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-17.141861454073126</v>
      </c>
      <c r="E59" s="11">
        <f>A59-'Mastercurve bestimmen'!$B$2</f>
        <v>-76</v>
      </c>
      <c r="F59" s="11">
        <f t="shared" si="4"/>
        <v>-17.141861454073126</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-17.020865163180282</v>
      </c>
      <c r="E60" s="11">
        <f>A60-'Mastercurve bestimmen'!$B$2</f>
        <v>-75</v>
      </c>
      <c r="F60" s="11">
        <f t="shared" si="4"/>
        <v>-17.020865163180282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-16.897261895279662</v>
      </c>
      <c r="E61" s="11">
        <f>A61-'Mastercurve bestimmen'!$B$2</f>
        <v>-74</v>
      </c>
      <c r="F61" s="11">
        <f t="shared" si="4"/>
        <v>-16.897261895279662</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-16.770998946718613</v>
      </c>
      <c r="E62" s="11">
        <f>A62-'Mastercurve bestimmen'!$B$2</f>
        <v>-73</v>
      </c>
      <c r="F62" s="11">
        <f t="shared" si="4"/>
        <v>-16.770998946718613</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-16.642023613844472</v>
      </c>
      <c r="E63" s="11">
        <f>A63-'Mastercurve bestimmen'!$B$2</f>
        <v>-72</v>
      </c>
      <c r="F63" s="11">
        <f t="shared" si="4"/>
        <v>-16.642023613844472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-16.510283193004575</v>
      </c>
      <c r="E64" s="11">
        <f>A64-'Mastercurve bestimmen'!$B$2</f>
        <v>-71</v>
      </c>
      <c r="F64" s="11">
        <f t="shared" si="4"/>
        <v>-16.510283193004575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-16.375724980546259</v>
      </c>
      <c r="E65" s="11">
        <f>A65-'Mastercurve bestimmen'!$B$2</f>
        <v>-70</v>
      </c>
      <c r="F65" s="11">
        <f t="shared" si="4"/>
        <v>-16.375724980546259</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-16.238296272816868</v>
      </c>
      <c r="E66" s="11">
        <f>A66-'Mastercurve bestimmen'!$B$2</f>
        <v>-69</v>
      </c>
      <c r="F66" s="11">
        <f t="shared" si="4"/>
        <v>-16.238296272816868</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-16.097944366163738</v>
      </c>
      <c r="E67" s="11">
        <f>A67-'Mastercurve bestimmen'!$B$2</f>
        <v>-68</v>
      </c>
      <c r="F67" s="11">
        <f t="shared" si="4"/>
        <v>-16.097944366163738</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-15.954616556934203</v>
      </c>
      <c r="E68" s="11">
        <f>A68-'Mastercurve bestimmen'!$B$2</f>
        <v>-67</v>
      </c>
      <c r="F68" s="11">
        <f t="shared" si="4"/>
        <v>-15.954616556934203</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-15.808260141475612</v>
      </c>
      <c r="E69" s="11">
        <f>A69-'Mastercurve bestimmen'!$B$2</f>
        <v>-66</v>
      </c>
      <c r="F69" s="11">
        <f t="shared" si="4"/>
        <v>-15.808260141475612</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-15.658822416135298</v>
      </c>
      <c r="E70" s="11">
        <f>A70-'Mastercurve bestimmen'!$B$2</f>
        <v>-65</v>
      </c>
      <c r="F70" s="11">
        <f t="shared" si="4"/>
        <v>-15.658822416135298</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-15.506250677260599</v>
      </c>
      <c r="E71" s="11">
        <f>A71-'Mastercurve bestimmen'!$B$2</f>
        <v>-64</v>
      </c>
      <c r="F71" s="11">
        <f t="shared" si="4"/>
        <v>-15.506250677260599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-15.350492221198856</v>
      </c>
      <c r="E72" s="11">
        <f>A72-'Mastercurve bestimmen'!$B$2</f>
        <v>-63</v>
      </c>
      <c r="F72" s="11">
        <f t="shared" si="4"/>
        <v>-15.350492221198856</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-15.191494344297407</v>
      </c>
      <c r="E73" s="11">
        <f>A73-'Mastercurve bestimmen'!$B$2</f>
        <v>-62</v>
      </c>
      <c r="F73" s="11">
        <f t="shared" si="4"/>
        <v>-15.191494344297407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-15.02920434290359</v>
      </c>
      <c r="E74" s="11">
        <f>A74-'Mastercurve bestimmen'!$B$2</f>
        <v>-61</v>
      </c>
      <c r="F74" s="11">
        <f t="shared" si="4"/>
        <v>-15.02920434290359</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-14.863569513364745</v>
      </c>
      <c r="E75" s="11">
        <f>A75-'Mastercurve bestimmen'!$B$2</f>
        <v>-60</v>
      </c>
      <c r="F75" s="11">
        <f t="shared" si="4"/>
        <v>-14.863569513364745</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-14.694537152028211</v>
      </c>
      <c r="E76" s="11">
        <f>A76-'Mastercurve bestimmen'!$B$2</f>
        <v>-59</v>
      </c>
      <c r="F76" s="11">
        <f t="shared" si="4"/>
        <v>-14.694537152028211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-14.522054555241324</v>
      </c>
      <c r="E77" s="11">
        <f>A77-'Mastercurve bestimmen'!$B$2</f>
        <v>-58</v>
      </c>
      <c r="F77" s="11">
        <f t="shared" si="4"/>
        <v>-14.522054555241324</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-14.346069019351425</v>
      </c>
      <c r="E78" s="11">
        <f>A78-'Mastercurve bestimmen'!$B$2</f>
        <v>-57</v>
      </c>
      <c r="F78" s="11">
        <f t="shared" si="4"/>
        <v>-14.346069019351425</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-14.166527840705852</v>
      </c>
      <c r="E79" s="11">
        <f>A79-'Mastercurve bestimmen'!$B$2</f>
        <v>-56</v>
      </c>
      <c r="F79" s="11">
        <f t="shared" si="4"/>
        <v>-14.166527840705852</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-13.983378315651946</v>
      </c>
      <c r="E80" s="11">
        <f>A80-'Mastercurve bestimmen'!$B$2</f>
        <v>-55</v>
      </c>
      <c r="F80" s="11">
        <f t="shared" ref="F80:F143" si="10">B80</f>
        <v>-13.983378315651946</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-13.796598306939895</v>
      </c>
      <c r="E81" s="11">
        <f>A81-'Mastercurve bestimmen'!$B$2</f>
        <v>-54</v>
      </c>
      <c r="F81" s="11">
        <f t="shared" si="10"/>
        <v>-13.796598306939895</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-13.606287942931303</v>
      </c>
      <c r="E82" s="11">
        <f>A82-'Mastercurve bestimmen'!$B$2</f>
        <v>-53</v>
      </c>
      <c r="F82" s="11">
        <f t="shared" si="10"/>
        <v>-13.606287942931303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-13.412577918390625</v>
      </c>
      <c r="E83" s="11">
        <f>A83-'Mastercurve bestimmen'!$B$2</f>
        <v>-52</v>
      </c>
      <c r="F83" s="11">
        <f t="shared" si="10"/>
        <v>-13.412577918390625</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-13.215598928082313</v>
      </c>
      <c r="E84" s="11">
        <f>A84-'Mastercurve bestimmen'!$B$2</f>
        <v>-51</v>
      </c>
      <c r="F84" s="11">
        <f t="shared" si="10"/>
        <v>-13.215598928082313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-13.015481666770825</v>
      </c>
      <c r="E85" s="11">
        <f>A85-'Mastercurve bestimmen'!$B$2</f>
        <v>-50</v>
      </c>
      <c r="F85" s="11">
        <f t="shared" si="10"/>
        <v>-13.015481666770825</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-12.812356829220615</v>
      </c>
      <c r="E86" s="11">
        <f>A86-'Mastercurve bestimmen'!$B$2</f>
        <v>-49</v>
      </c>
      <c r="F86" s="11">
        <f t="shared" si="10"/>
        <v>-12.812356829220615</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-12.606355110196134</v>
      </c>
      <c r="E87" s="11">
        <f>A87-'Mastercurve bestimmen'!$B$2</f>
        <v>-48</v>
      </c>
      <c r="F87" s="11">
        <f t="shared" si="10"/>
        <v>-12.606355110196134</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-12.397607204461842</v>
      </c>
      <c r="E88" s="11">
        <f>A88-'Mastercurve bestimmen'!$B$2</f>
        <v>-47</v>
      </c>
      <c r="F88" s="11">
        <f t="shared" si="10"/>
        <v>-12.397607204461842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-12.186243806782189</v>
      </c>
      <c r="E89" s="11">
        <f>A89-'Mastercurve bestimmen'!$B$2</f>
        <v>-46</v>
      </c>
      <c r="F89" s="11">
        <f t="shared" si="10"/>
        <v>-12.186243806782189</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-11.972395611921634</v>
      </c>
      <c r="E90" s="11">
        <f>A90-'Mastercurve bestimmen'!$B$2</f>
        <v>-45</v>
      </c>
      <c r="F90" s="11">
        <f t="shared" si="10"/>
        <v>-11.972395611921634</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-11.75619331464463</v>
      </c>
      <c r="E91" s="11">
        <f>A91-'Mastercurve bestimmen'!$B$2</f>
        <v>-44</v>
      </c>
      <c r="F91" s="11">
        <f t="shared" si="10"/>
        <v>-11.75619331464463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-11.537767609715628</v>
      </c>
      <c r="E92" s="11">
        <f>A92-'Mastercurve bestimmen'!$B$2</f>
        <v>-43</v>
      </c>
      <c r="F92" s="11">
        <f t="shared" si="10"/>
        <v>-11.537767609715628</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-11.317249191899087</v>
      </c>
      <c r="E93" s="11">
        <f>A93-'Mastercurve bestimmen'!$B$2</f>
        <v>-42</v>
      </c>
      <c r="F93" s="11">
        <f t="shared" si="10"/>
        <v>-11.317249191899087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-11.094768755959461</v>
      </c>
      <c r="E94" s="11">
        <f>A94-'Mastercurve bestimmen'!$B$2</f>
        <v>-41</v>
      </c>
      <c r="F94" s="11">
        <f t="shared" si="10"/>
        <v>-11.094768755959461</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-10.870456996661204</v>
      </c>
      <c r="E95" s="11">
        <f>A95-'Mastercurve bestimmen'!$B$2</f>
        <v>-40</v>
      </c>
      <c r="F95" s="11">
        <f t="shared" si="10"/>
        <v>-10.870456996661204</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-10.644444608768771</v>
      </c>
      <c r="E96" s="11">
        <f>A96-'Mastercurve bestimmen'!$B$2</f>
        <v>-39</v>
      </c>
      <c r="F96" s="11">
        <f t="shared" si="10"/>
        <v>-10.644444608768771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-10.416862287046616</v>
      </c>
      <c r="E97" s="11">
        <f>A97-'Mastercurve bestimmen'!$B$2</f>
        <v>-38</v>
      </c>
      <c r="F97" s="11">
        <f t="shared" si="10"/>
        <v>-10.416862287046616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-10.187840726259193</v>
      </c>
      <c r="E98" s="11">
        <f>A98-'Mastercurve bestimmen'!$B$2</f>
        <v>-37</v>
      </c>
      <c r="F98" s="11">
        <f t="shared" si="10"/>
        <v>-10.187840726259193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-9.9575106211709592</v>
      </c>
      <c r="E99" s="11">
        <f>A99-'Mastercurve bestimmen'!$B$2</f>
        <v>-36</v>
      </c>
      <c r="F99" s="11">
        <f t="shared" si="10"/>
        <v>-9.9575106211709592</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-9.7260026665463659</v>
      </c>
      <c r="E100" s="11">
        <f>A100-'Mastercurve bestimmen'!$B$2</f>
        <v>-35</v>
      </c>
      <c r="F100" s="11">
        <f t="shared" si="10"/>
        <v>-9.7260026665463659</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-9.4934475571498709</v>
      </c>
      <c r="E101" s="11">
        <f>A101-'Mastercurve bestimmen'!$B$2</f>
        <v>-34</v>
      </c>
      <c r="F101" s="11">
        <f t="shared" si="10"/>
        <v>-9.4934475571498709</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-9.2599759877459267</v>
      </c>
      <c r="E102" s="11">
        <f>A102-'Mastercurve bestimmen'!$B$2</f>
        <v>-33</v>
      </c>
      <c r="F102" s="11">
        <f t="shared" si="10"/>
        <v>-9.2599759877459267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-9.0257186530989895</v>
      </c>
      <c r="E103" s="11">
        <f>A103-'Mastercurve bestimmen'!$B$2</f>
        <v>-32</v>
      </c>
      <c r="F103" s="11">
        <f t="shared" si="10"/>
        <v>-9.0257186530989895</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-8.7908062479735118</v>
      </c>
      <c r="E104" s="11">
        <f>A104-'Mastercurve bestimmen'!$B$2</f>
        <v>-31</v>
      </c>
      <c r="F104" s="11">
        <f t="shared" si="10"/>
        <v>-8.7908062479735118</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-8.5553694671339517</v>
      </c>
      <c r="E105" s="11">
        <f>A105-'Mastercurve bestimmen'!$B$2</f>
        <v>-30</v>
      </c>
      <c r="F105" s="11">
        <f t="shared" si="10"/>
        <v>-8.5553694671339517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-8.3194687580348869</v>
      </c>
      <c r="E106" s="11">
        <f>A106-'Mastercurve bestimmen'!$B$2</f>
        <v>-29</v>
      </c>
      <c r="F106" s="11">
        <f t="shared" si="10"/>
        <v>-8.3194687580348869</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-8.0828835788914049</v>
      </c>
      <c r="E107" s="11">
        <f>A107-'Mastercurve bestimmen'!$B$2</f>
        <v>-28</v>
      </c>
      <c r="F107" s="11">
        <f t="shared" si="10"/>
        <v>-8.0828835788914049</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-7.8453231406087154</v>
      </c>
      <c r="E108" s="11">
        <f>A108-'Mastercurve bestimmen'!$B$2</f>
        <v>-27</v>
      </c>
      <c r="F108" s="11">
        <f t="shared" si="10"/>
        <v>-7.8453231406087154</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-7.6064966540920329</v>
      </c>
      <c r="E109" s="11">
        <f>A109-'Mastercurve bestimmen'!$B$2</f>
        <v>-26</v>
      </c>
      <c r="F109" s="11">
        <f t="shared" si="10"/>
        <v>-7.6064966540920329</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-7.3661133302465664</v>
      </c>
      <c r="E110" s="11">
        <f>A110-'Mastercurve bestimmen'!$B$2</f>
        <v>-25</v>
      </c>
      <c r="F110" s="11">
        <f t="shared" si="10"/>
        <v>-7.3661133302465664</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-7.1238823799775277</v>
      </c>
      <c r="E111" s="11">
        <f>A111-'Mastercurve bestimmen'!$B$2</f>
        <v>-24</v>
      </c>
      <c r="F111" s="11">
        <f t="shared" si="10"/>
        <v>-7.1238823799775277</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-6.8795130141901319</v>
      </c>
      <c r="E112" s="11">
        <f>A112-'Mastercurve bestimmen'!$B$2</f>
        <v>-23</v>
      </c>
      <c r="F112" s="11">
        <f t="shared" si="10"/>
        <v>-6.8795130141901319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-6.6327144437895882</v>
      </c>
      <c r="E113" s="11">
        <f>A113-'Mastercurve bestimmen'!$B$2</f>
        <v>-22</v>
      </c>
      <c r="F113" s="11">
        <f t="shared" si="10"/>
        <v>-6.6327144437895882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-6.3831958796811099</v>
      </c>
      <c r="E114" s="11">
        <f>A114-'Mastercurve bestimmen'!$B$2</f>
        <v>-21</v>
      </c>
      <c r="F114" s="11">
        <f t="shared" si="10"/>
        <v>-6.3831958796811099</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-6.130666532769907</v>
      </c>
      <c r="E115" s="11">
        <f>A115-'Mastercurve bestimmen'!$B$2</f>
        <v>-20</v>
      </c>
      <c r="F115" s="11">
        <f t="shared" si="10"/>
        <v>-6.130666532769907</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-5.8748356139611921</v>
      </c>
      <c r="E116" s="11">
        <f>A116-'Mastercurve bestimmen'!$B$2</f>
        <v>-19</v>
      </c>
      <c r="F116" s="11">
        <f t="shared" si="10"/>
        <v>-5.8748356139611921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-5.615412334160176</v>
      </c>
      <c r="E117" s="11">
        <f>A117-'Mastercurve bestimmen'!$B$2</f>
        <v>-18</v>
      </c>
      <c r="F117" s="11">
        <f t="shared" si="10"/>
        <v>-5.615412334160176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-5.3521059042720722</v>
      </c>
      <c r="E118" s="11">
        <f>A118-'Mastercurve bestimmen'!$B$2</f>
        <v>-17</v>
      </c>
      <c r="F118" s="11">
        <f t="shared" si="10"/>
        <v>-5.3521059042720722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-5.0846255352020933</v>
      </c>
      <c r="E119" s="11">
        <f>A119-'Mastercurve bestimmen'!$B$2</f>
        <v>-16</v>
      </c>
      <c r="F119" s="11">
        <f t="shared" si="10"/>
        <v>-5.0846255352020933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-4.8126804378554482</v>
      </c>
      <c r="E120" s="11">
        <f>A120-'Mastercurve bestimmen'!$B$2</f>
        <v>-15</v>
      </c>
      <c r="F120" s="11">
        <f t="shared" si="10"/>
        <v>-4.8126804378554482</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-4.5359798231373496</v>
      </c>
      <c r="E121" s="11">
        <f>A121-'Mastercurve bestimmen'!$B$2</f>
        <v>-14</v>
      </c>
      <c r="F121" s="11">
        <f t="shared" si="10"/>
        <v>-4.5359798231373496</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-4.2542329019530101</v>
      </c>
      <c r="E122" s="11">
        <f>A122-'Mastercurve bestimmen'!$B$2</f>
        <v>-13</v>
      </c>
      <c r="F122" s="11">
        <f t="shared" si="10"/>
        <v>-4.2542329019530101</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-3.9671488852076409</v>
      </c>
      <c r="E123" s="11">
        <f>A123-'Mastercurve bestimmen'!$B$2</f>
        <v>-12</v>
      </c>
      <c r="F123" s="11">
        <f t="shared" si="10"/>
        <v>-3.9671488852076409</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-3.6744369838064541</v>
      </c>
      <c r="E124" s="11">
        <f>A124-'Mastercurve bestimmen'!$B$2</f>
        <v>-11</v>
      </c>
      <c r="F124" s="11">
        <f t="shared" si="10"/>
        <v>-3.6744369838064541</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-3.375806408654662</v>
      </c>
      <c r="E125" s="11">
        <f>A125-'Mastercurve bestimmen'!$B$2</f>
        <v>-10</v>
      </c>
      <c r="F125" s="11">
        <f t="shared" si="10"/>
        <v>-3.375806408654662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-3.0709663706574748</v>
      </c>
      <c r="E126" s="11">
        <f>A126-'Mastercurve bestimmen'!$B$2</f>
        <v>-9</v>
      </c>
      <c r="F126" s="11">
        <f t="shared" si="10"/>
        <v>-3.0709663706574748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-2.7596260807201056</v>
      </c>
      <c r="E127" s="11">
        <f>A127-'Mastercurve bestimmen'!$B$2</f>
        <v>-8</v>
      </c>
      <c r="F127" s="11">
        <f t="shared" si="10"/>
        <v>-2.7596260807201056</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-2.4414947497477661</v>
      </c>
      <c r="E128" s="11">
        <f>A128-'Mastercurve bestimmen'!$B$2</f>
        <v>-7</v>
      </c>
      <c r="F128" s="11">
        <f t="shared" si="10"/>
        <v>-2.4414947497477661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-2.1162815886456672</v>
      </c>
      <c r="E129" s="11">
        <f>A129-'Mastercurve bestimmen'!$B$2</f>
        <v>-6</v>
      </c>
      <c r="F129" s="11">
        <f t="shared" si="10"/>
        <v>-2.1162815886456672</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-1.7836958083190217</v>
      </c>
      <c r="E130" s="11">
        <f>A130-'Mastercurve bestimmen'!$B$2</f>
        <v>-5</v>
      </c>
      <c r="F130" s="11">
        <f t="shared" si="10"/>
        <v>-1.7836958083190217</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-1.4434466196730404</v>
      </c>
      <c r="E131" s="11">
        <f>A131-'Mastercurve bestimmen'!$B$2</f>
        <v>-4</v>
      </c>
      <c r="F131" s="11">
        <f t="shared" si="10"/>
        <v>-1.4434466196730404</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-1.0952432336129361</v>
      </c>
      <c r="E132" s="11">
        <f>A132-'Mastercurve bestimmen'!$B$2</f>
        <v>-3</v>
      </c>
      <c r="F132" s="11">
        <f t="shared" si="10"/>
        <v>-1.0952432336129361</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-0.73879486104392023</v>
      </c>
      <c r="E133" s="11">
        <f>A133-'Mastercurve bestimmen'!$B$2</f>
        <v>-2</v>
      </c>
      <c r="F133" s="11">
        <f t="shared" si="10"/>
        <v>-0.73879486104392023</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-0.37381071287120404</v>
      </c>
      <c r="E134" s="11">
        <f>A134-'Mastercurve bestimmen'!$B$2</f>
        <v>-1</v>
      </c>
      <c r="F134" s="11">
        <f t="shared" si="10"/>
        <v>-0.37381071287120404</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0.38279519745448343</v>
      </c>
      <c r="E136" s="11">
        <f>A136-'Mastercurve bestimmen'!$B$2</f>
        <v>1</v>
      </c>
      <c r="F136" s="11">
        <f t="shared" si="10"/>
        <v>0.38279519745448343</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0.77420132253705365</v>
      </c>
      <c r="E137" s="11">
        <f>A137-'Mastercurve bestimmen'!$B$2</f>
        <v>2</v>
      </c>
      <c r="F137" s="11">
        <f t="shared" si="10"/>
        <v>0.77420132253705365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1.1737119490825194</v>
      </c>
      <c r="E138" s="11">
        <f>A138-'Mastercurve bestimmen'!$B$2</f>
        <v>3</v>
      </c>
      <c r="F138" s="11">
        <f t="shared" si="10"/>
        <v>1.1737119490825194</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1.5808206509256908</v>
      </c>
      <c r="E139" s="11">
        <f>A139-'Mastercurve bestimmen'!$B$2</f>
        <v>4</v>
      </c>
      <c r="F139" s="11">
        <f t="shared" si="10"/>
        <v>1.5808206509256908</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1.9950210019013763</v>
      </c>
      <c r="E140" s="11">
        <f>A140-'Mastercurve bestimmen'!$B$2</f>
        <v>5</v>
      </c>
      <c r="F140" s="11">
        <f t="shared" si="10"/>
        <v>1.9950210019013763</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2.4158065758443872</v>
      </c>
      <c r="E141" s="11">
        <f>A141-'Mastercurve bestimmen'!$B$2</f>
        <v>6</v>
      </c>
      <c r="F141" s="11">
        <f t="shared" si="10"/>
        <v>2.4158065758443872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2.842670946589533</v>
      </c>
      <c r="E142" s="11">
        <f>A142-'Mastercurve bestimmen'!$B$2</f>
        <v>7</v>
      </c>
      <c r="F142" s="11">
        <f t="shared" si="10"/>
        <v>2.842670946589533</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3.2751076879716221</v>
      </c>
      <c r="E143" s="11">
        <f>A143-'Mastercurve bestimmen'!$B$2</f>
        <v>8</v>
      </c>
      <c r="F143" s="11">
        <f t="shared" si="10"/>
        <v>3.2751076879716221</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3.7126103738254645</v>
      </c>
      <c r="E144" s="11">
        <f>A144-'Mastercurve bestimmen'!$B$2</f>
        <v>9</v>
      </c>
      <c r="F144" s="11">
        <f t="shared" ref="F144:F207" si="15">B144</f>
        <v>3.7126103738254645</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4.1546725779858704</v>
      </c>
      <c r="E145" s="11">
        <f>A145-'Mastercurve bestimmen'!$B$2</f>
        <v>10</v>
      </c>
      <c r="F145" s="11">
        <f t="shared" si="15"/>
        <v>4.1546725779858704</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4.6007878742876507</v>
      </c>
      <c r="E146" s="11">
        <f>A146-'Mastercurve bestimmen'!$B$2</f>
        <v>11</v>
      </c>
      <c r="F146" s="11">
        <f t="shared" si="15"/>
        <v>4.6007878742876507</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5.0504498365656119</v>
      </c>
      <c r="E147" s="11">
        <f>A147-'Mastercurve bestimmen'!$B$2</f>
        <v>12</v>
      </c>
      <c r="F147" s="11">
        <f t="shared" si="15"/>
        <v>5.0504498365656119</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5.5031520386545658</v>
      </c>
      <c r="E148" s="11">
        <f>A148-'Mastercurve bestimmen'!$B$2</f>
        <v>13</v>
      </c>
      <c r="F148" s="11">
        <f t="shared" si="15"/>
        <v>5.5031520386545658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5.9583880543893226</v>
      </c>
      <c r="E149" s="11">
        <f>A149-'Mastercurve bestimmen'!$B$2</f>
        <v>14</v>
      </c>
      <c r="F149" s="11">
        <f t="shared" si="15"/>
        <v>5.9583880543893226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6.4156514576046906</v>
      </c>
      <c r="E150" s="11">
        <f>A150-'Mastercurve bestimmen'!$B$2</f>
        <v>15</v>
      </c>
      <c r="F150" s="11">
        <f t="shared" si="15"/>
        <v>6.4156514576046906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6.8744358221354798</v>
      </c>
      <c r="E151" s="11">
        <f>A151-'Mastercurve bestimmen'!$B$2</f>
        <v>16</v>
      </c>
      <c r="F151" s="11">
        <f t="shared" si="15"/>
        <v>6.8744358221354798</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7.3342347218165003</v>
      </c>
      <c r="E152" s="11">
        <f>A152-'Mastercurve bestimmen'!$B$2</f>
        <v>17</v>
      </c>
      <c r="F152" s="11">
        <f t="shared" si="15"/>
        <v>7.3342347218165003</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7.7945417304825604</v>
      </c>
      <c r="E153" s="11">
        <f>A153-'Mastercurve bestimmen'!$B$2</f>
        <v>18</v>
      </c>
      <c r="F153" s="11">
        <f t="shared" si="15"/>
        <v>7.7945417304825604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8.254850421968472</v>
      </c>
      <c r="E154" s="11">
        <f>A154-'Mastercurve bestimmen'!$B$2</f>
        <v>19</v>
      </c>
      <c r="F154" s="11">
        <f t="shared" si="15"/>
        <v>8.254850421968472</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8.7146543701090415</v>
      </c>
      <c r="E155" s="11">
        <f>A155-'Mastercurve bestimmen'!$B$2</f>
        <v>20</v>
      </c>
      <c r="F155" s="11">
        <f t="shared" si="15"/>
        <v>8.7146543701090415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9.1734471487390845</v>
      </c>
      <c r="E156" s="11">
        <f>A156-'Mastercurve bestimmen'!$B$2</f>
        <v>21</v>
      </c>
      <c r="F156" s="11">
        <f t="shared" si="15"/>
        <v>9.1734471487390845</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9.6307223316934056</v>
      </c>
      <c r="E157" s="11">
        <f>A157-'Mastercurve bestimmen'!$B$2</f>
        <v>22</v>
      </c>
      <c r="F157" s="11">
        <f t="shared" si="15"/>
        <v>9.6307223316934056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10.085973492806815</v>
      </c>
      <c r="E158" s="11">
        <f>A158-'Mastercurve bestimmen'!$B$2</f>
        <v>23</v>
      </c>
      <c r="F158" s="11">
        <f t="shared" si="15"/>
        <v>10.085973492806815</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10.538694205914123</v>
      </c>
      <c r="E159" s="11">
        <f>A159-'Mastercurve bestimmen'!$B$2</f>
        <v>24</v>
      </c>
      <c r="F159" s="11">
        <f t="shared" si="15"/>
        <v>10.538694205914123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10.988378044850137</v>
      </c>
      <c r="E160" s="11">
        <f>A160-'Mastercurve bestimmen'!$B$2</f>
        <v>25</v>
      </c>
      <c r="F160" s="11">
        <f t="shared" si="15"/>
        <v>10.988378044850137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11.434518583449671</v>
      </c>
      <c r="E161" s="11">
        <f>A161-'Mastercurve bestimmen'!$B$2</f>
        <v>26</v>
      </c>
      <c r="F161" s="11">
        <f t="shared" si="15"/>
        <v>11.434518583449671</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11.876609395547533</v>
      </c>
      <c r="E162" s="11">
        <f>A162-'Mastercurve bestimmen'!$B$2</f>
        <v>27</v>
      </c>
      <c r="F162" s="11">
        <f t="shared" si="15"/>
        <v>11.876609395547533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12.314144054978534</v>
      </c>
      <c r="E163" s="11">
        <f>A163-'Mastercurve bestimmen'!$B$2</f>
        <v>28</v>
      </c>
      <c r="F163" s="11">
        <f t="shared" si="15"/>
        <v>12.314144054978534</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12.746616135577479</v>
      </c>
      <c r="E164" s="11">
        <f>A164-'Mastercurve bestimmen'!$B$2</f>
        <v>29</v>
      </c>
      <c r="F164" s="11">
        <f t="shared" si="15"/>
        <v>12.746616135577479</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13.173519211179183</v>
      </c>
      <c r="E165" s="11">
        <f>A165-'Mastercurve bestimmen'!$B$2</f>
        <v>30</v>
      </c>
      <c r="F165" s="11">
        <f t="shared" si="15"/>
        <v>13.173519211179183</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13.594346855618452</v>
      </c>
      <c r="E166" s="11">
        <f>A166-'Mastercurve bestimmen'!$B$2</f>
        <v>31</v>
      </c>
      <c r="F166" s="11">
        <f t="shared" si="15"/>
        <v>13.594346855618452</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14.008592642730097</v>
      </c>
      <c r="E167" s="11">
        <f>A167-'Mastercurve bestimmen'!$B$2</f>
        <v>32</v>
      </c>
      <c r="F167" s="11">
        <f t="shared" si="15"/>
        <v>14.008592642730097</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14.415750146348929</v>
      </c>
      <c r="E168" s="11">
        <f>A168-'Mastercurve bestimmen'!$B$2</f>
        <v>33</v>
      </c>
      <c r="F168" s="11">
        <f t="shared" si="15"/>
        <v>14.415750146348929</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14.815312940309754</v>
      </c>
      <c r="E169" s="11">
        <f>A169-'Mastercurve bestimmen'!$B$2</f>
        <v>34</v>
      </c>
      <c r="F169" s="11">
        <f t="shared" si="15"/>
        <v>14.815312940309754</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15.206774598447385</v>
      </c>
      <c r="E170" s="11">
        <f>A170-'Mastercurve bestimmen'!$B$2</f>
        <v>35</v>
      </c>
      <c r="F170" s="11">
        <f t="shared" si="15"/>
        <v>15.206774598447385</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15.58962869459663</v>
      </c>
      <c r="E171" s="11">
        <f>A171-'Mastercurve bestimmen'!$B$2</f>
        <v>36</v>
      </c>
      <c r="F171" s="11">
        <f t="shared" si="15"/>
        <v>15.58962869459663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15.963368802592301</v>
      </c>
      <c r="E172" s="11">
        <f>A172-'Mastercurve bestimmen'!$B$2</f>
        <v>37</v>
      </c>
      <c r="F172" s="11">
        <f t="shared" si="15"/>
        <v>15.963368802592301</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16.327488496269204</v>
      </c>
      <c r="E173" s="11">
        <f>A173-'Mastercurve bestimmen'!$B$2</f>
        <v>38</v>
      </c>
      <c r="F173" s="11">
        <f t="shared" si="15"/>
        <v>16.327488496269204</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16.681481349462153</v>
      </c>
      <c r="E174" s="11">
        <f>A174-'Mastercurve bestimmen'!$B$2</f>
        <v>39</v>
      </c>
      <c r="F174" s="11">
        <f t="shared" si="15"/>
        <v>16.681481349462153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17.024840936005955</v>
      </c>
      <c r="E175" s="11">
        <f>A175-'Mastercurve bestimmen'!$B$2</f>
        <v>40</v>
      </c>
      <c r="F175" s="11">
        <f t="shared" si="15"/>
        <v>17.024840936005955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17.357060829735421</v>
      </c>
      <c r="E176" s="11">
        <f>A176-'Mastercurve bestimmen'!$B$2</f>
        <v>41</v>
      </c>
      <c r="F176" s="11">
        <f t="shared" si="15"/>
        <v>17.357060829735421</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17.677634604485359</v>
      </c>
      <c r="E177" s="11">
        <f>A177-'Mastercurve bestimmen'!$B$2</f>
        <v>42</v>
      </c>
      <c r="F177" s="11">
        <f t="shared" si="15"/>
        <v>17.677634604485359</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17.986055834090578</v>
      </c>
      <c r="E178" s="11">
        <f>A178-'Mastercurve bestimmen'!$B$2</f>
        <v>43</v>
      </c>
      <c r="F178" s="11">
        <f t="shared" si="15"/>
        <v>17.986055834090578</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18.281818092385887</v>
      </c>
      <c r="E179" s="11">
        <f>A179-'Mastercurve bestimmen'!$B$2</f>
        <v>44</v>
      </c>
      <c r="F179" s="11">
        <f t="shared" si="15"/>
        <v>18.281818092385887</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18.5644149532061</v>
      </c>
      <c r="E180" s="11">
        <f>A180-'Mastercurve bestimmen'!$B$2</f>
        <v>45</v>
      </c>
      <c r="F180" s="11">
        <f t="shared" si="15"/>
        <v>18.5644149532061</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18.833489498668982</v>
      </c>
      <c r="E181" s="11">
        <f>A181-'Mastercurve bestimmen'!$B$2</f>
        <v>46</v>
      </c>
      <c r="F181" s="11">
        <f t="shared" si="15"/>
        <v>18.833489498668982</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19.089282844024158</v>
      </c>
      <c r="E182" s="11">
        <f>A182-'Mastercurve bestimmen'!$B$2</f>
        <v>47</v>
      </c>
      <c r="F182" s="11">
        <f t="shared" si="15"/>
        <v>19.089282844024158</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19.33218561280421</v>
      </c>
      <c r="E183" s="11">
        <f>A183-'Mastercurve bestimmen'!$B$2</f>
        <v>48</v>
      </c>
      <c r="F183" s="11">
        <f t="shared" si="15"/>
        <v>19.33218561280421</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19.562588428541705</v>
      </c>
      <c r="E184" s="11">
        <f>A184-'Mastercurve bestimmen'!$B$2</f>
        <v>49</v>
      </c>
      <c r="F184" s="11">
        <f t="shared" si="15"/>
        <v>19.562588428541705</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19.780881914769232</v>
      </c>
      <c r="E185" s="11">
        <f>A185-'Mastercurve bestimmen'!$B$2</f>
        <v>50</v>
      </c>
      <c r="F185" s="11">
        <f t="shared" si="15"/>
        <v>19.780881914769232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19.987456695019368</v>
      </c>
      <c r="E186" s="11">
        <f>A186-'Mastercurve bestimmen'!$B$2</f>
        <v>51</v>
      </c>
      <c r="F186" s="11">
        <f t="shared" si="15"/>
        <v>19.987456695019368</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20.182703392824695</v>
      </c>
      <c r="E187" s="11">
        <f>A187-'Mastercurve bestimmen'!$B$2</f>
        <v>52</v>
      </c>
      <c r="F187" s="11">
        <f t="shared" si="15"/>
        <v>20.182703392824695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20.367012631717792</v>
      </c>
      <c r="E188" s="11">
        <f>A188-'Mastercurve bestimmen'!$B$2</f>
        <v>53</v>
      </c>
      <c r="F188" s="11">
        <f t="shared" si="15"/>
        <v>20.367012631717792</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20.540775035231238</v>
      </c>
      <c r="E189" s="11">
        <f>A189-'Mastercurve bestimmen'!$B$2</f>
        <v>54</v>
      </c>
      <c r="F189" s="11">
        <f t="shared" si="15"/>
        <v>20.540775035231238</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20.70438122689761</v>
      </c>
      <c r="E190" s="11">
        <f>A190-'Mastercurve bestimmen'!$B$2</f>
        <v>55</v>
      </c>
      <c r="F190" s="11">
        <f t="shared" si="15"/>
        <v>20.70438122689761</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20.858221830249494</v>
      </c>
      <c r="E191" s="11">
        <f>A191-'Mastercurve bestimmen'!$B$2</f>
        <v>56</v>
      </c>
      <c r="F191" s="11">
        <f t="shared" si="15"/>
        <v>20.858221830249494</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21.002687468819463</v>
      </c>
      <c r="E192" s="11">
        <f>A192-'Mastercurve bestimmen'!$B$2</f>
        <v>57</v>
      </c>
      <c r="F192" s="11">
        <f t="shared" si="15"/>
        <v>21.002687468819463</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21.138168766140097</v>
      </c>
      <c r="E193" s="11">
        <f>A193-'Mastercurve bestimmen'!$B$2</f>
        <v>58</v>
      </c>
      <c r="F193" s="11">
        <f t="shared" si="15"/>
        <v>21.138168766140097</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21.265056345743982</v>
      </c>
      <c r="E194" s="11">
        <f>A194-'Mastercurve bestimmen'!$B$2</f>
        <v>59</v>
      </c>
      <c r="F194" s="11">
        <f t="shared" si="15"/>
        <v>21.265056345743982</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21.383740831163692</v>
      </c>
      <c r="E195" s="11">
        <f>A195-'Mastercurve bestimmen'!$B$2</f>
        <v>60</v>
      </c>
      <c r="F195" s="11">
        <f t="shared" si="15"/>
        <v>21.383740831163692</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21.494612845931808</v>
      </c>
      <c r="E196" s="11">
        <f>A196-'Mastercurve bestimmen'!$B$2</f>
        <v>61</v>
      </c>
      <c r="F196" s="11">
        <f t="shared" si="15"/>
        <v>21.494612845931808</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21.598063013580912</v>
      </c>
      <c r="E197" s="11">
        <f>A197-'Mastercurve bestimmen'!$B$2</f>
        <v>62</v>
      </c>
      <c r="F197" s="11">
        <f t="shared" si="15"/>
        <v>21.598063013580912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21.694481957643582</v>
      </c>
      <c r="E198" s="11">
        <f>A198-'Mastercurve bestimmen'!$B$2</f>
        <v>63</v>
      </c>
      <c r="F198" s="11">
        <f t="shared" si="15"/>
        <v>21.694481957643582</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21.784260301652395</v>
      </c>
      <c r="E199" s="11">
        <f>A199-'Mastercurve bestimmen'!$B$2</f>
        <v>64</v>
      </c>
      <c r="F199" s="11">
        <f t="shared" si="15"/>
        <v>21.784260301652395</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21.867788669139934</v>
      </c>
      <c r="E200" s="11">
        <f>A200-'Mastercurve bestimmen'!$B$2</f>
        <v>65</v>
      </c>
      <c r="F200" s="11">
        <f t="shared" si="15"/>
        <v>21.867788669139934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21.945457683638779</v>
      </c>
      <c r="E201" s="11">
        <f>A201-'Mastercurve bestimmen'!$B$2</f>
        <v>66</v>
      </c>
      <c r="F201" s="11">
        <f t="shared" si="15"/>
        <v>21.945457683638779</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22.017657968681508</v>
      </c>
      <c r="E202" s="11">
        <f>A202-'Mastercurve bestimmen'!$B$2</f>
        <v>67</v>
      </c>
      <c r="F202" s="11">
        <f t="shared" si="15"/>
        <v>22.017657968681508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22.084780147800704</v>
      </c>
      <c r="E203" s="11">
        <f>A203-'Mastercurve bestimmen'!$B$2</f>
        <v>68</v>
      </c>
      <c r="F203" s="11">
        <f t="shared" si="15"/>
        <v>22.084780147800704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22.147214844528939</v>
      </c>
      <c r="E204" s="11">
        <f>A204-'Mastercurve bestimmen'!$B$2</f>
        <v>69</v>
      </c>
      <c r="F204" s="11">
        <f t="shared" si="15"/>
        <v>22.147214844528939</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22.205352682398797</v>
      </c>
      <c r="E205" s="11">
        <f>A205-'Mastercurve bestimmen'!$B$2</f>
        <v>70</v>
      </c>
      <c r="F205" s="11">
        <f t="shared" si="15"/>
        <v>22.205352682398797</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22.259584284942864</v>
      </c>
      <c r="E206" s="11">
        <f>A206-'Mastercurve bestimmen'!$B$2</f>
        <v>71</v>
      </c>
      <c r="F206" s="11">
        <f t="shared" si="15"/>
        <v>22.259584284942864</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22.310300275693713</v>
      </c>
      <c r="E207" s="11">
        <f>A207-'Mastercurve bestimmen'!$B$2</f>
        <v>72</v>
      </c>
      <c r="F207" s="11">
        <f t="shared" si="15"/>
        <v>22.310300275693713</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22.357891278183921</v>
      </c>
      <c r="E208" s="11">
        <f>A208-'Mastercurve bestimmen'!$B$2</f>
        <v>73</v>
      </c>
      <c r="F208" s="11">
        <f t="shared" ref="F208:F215" si="21">B208</f>
        <v>22.357891278183921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22.402747915946073</v>
      </c>
      <c r="E209" s="11">
        <f>A209-'Mastercurve bestimmen'!$B$2</f>
        <v>74</v>
      </c>
      <c r="F209" s="11">
        <f t="shared" si="21"/>
        <v>22.402747915946073</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22.445260812512746</v>
      </c>
      <c r="E210" s="11">
        <f>A210-'Mastercurve bestimmen'!$B$2</f>
        <v>75</v>
      </c>
      <c r="F210" s="11">
        <f t="shared" si="21"/>
        <v>22.445260812512746</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22.485820591416523</v>
      </c>
      <c r="E211" s="11">
        <f>A211-'Mastercurve bestimmen'!$B$2</f>
        <v>76</v>
      </c>
      <c r="F211" s="11">
        <f t="shared" si="21"/>
        <v>22.485820591416523</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22.524817876189978</v>
      </c>
      <c r="E212" s="11">
        <f>A212-'Mastercurve bestimmen'!$B$2</f>
        <v>77</v>
      </c>
      <c r="F212" s="11">
        <f t="shared" si="21"/>
        <v>22.524817876189978</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22.562643290365692</v>
      </c>
      <c r="E213" s="11">
        <f>A213-'Mastercurve bestimmen'!$B$2</f>
        <v>78</v>
      </c>
      <c r="F213" s="11">
        <f t="shared" si="21"/>
        <v>22.562643290365692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22.599687457476254</v>
      </c>
      <c r="E214" s="11">
        <f>A214-'Mastercurve bestimmen'!$B$2</f>
        <v>79</v>
      </c>
      <c r="F214" s="11">
        <f t="shared" si="21"/>
        <v>22.599687457476254</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22.636341001054234</v>
      </c>
      <c r="E215" s="11">
        <f>A215-'Mastercurve bestimmen'!$B$2</f>
        <v>80</v>
      </c>
      <c r="F215" s="11">
        <f t="shared" si="21"/>
        <v>22.636341001054234</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0.37473141014378614</v>
      </c>
      <c r="J217" s="98">
        <v>2.9545013602366669E-3</v>
      </c>
      <c r="K217" s="98">
        <v>-8.8766629393353679E-6</v>
      </c>
      <c r="L217" s="98">
        <v>-7.2631639098291619E-7</v>
      </c>
      <c r="M217" s="98">
        <v>-5.2908344461554078E-9</v>
      </c>
      <c r="N217" s="98">
        <v>4.0676572020837843E-11</v>
      </c>
      <c r="O217" s="98">
        <v>5.8870962139290244E-13</v>
      </c>
      <c r="P217" s="98">
        <v>1.7159357703370749E-15</v>
      </c>
    </row>
    <row r="218" spans="1:16" x14ac:dyDescent="0.25">
      <c r="G218" s="11"/>
      <c r="H218" s="11">
        <v>0</v>
      </c>
      <c r="I218" s="11">
        <v>1.4601917441550102E-3</v>
      </c>
      <c r="J218" s="11">
        <v>2.7198327168518185E-5</v>
      </c>
      <c r="K218" s="3">
        <v>1.3819359553944825E-6</v>
      </c>
      <c r="L218" s="3">
        <v>1.2582937929778713E-8</v>
      </c>
      <c r="M218" s="3">
        <v>3.9510660711569998E-10</v>
      </c>
      <c r="N218" s="3">
        <v>2.1711523245644706E-12</v>
      </c>
      <c r="O218" s="11">
        <v>3.4913393806385748E-14</v>
      </c>
      <c r="P218" s="11">
        <v>2.123078789953746E-16</v>
      </c>
    </row>
    <row r="219" spans="1:16" x14ac:dyDescent="0.25">
      <c r="G219" s="11"/>
      <c r="H219" s="11">
        <v>0.99990908302275949</v>
      </c>
      <c r="I219" s="11">
        <v>0.15106375071915717</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-21.743761924620145</v>
      </c>
      <c r="G222">
        <f>F15</f>
        <v>-21.601432961392753</v>
      </c>
    </row>
    <row r="223" spans="1:16" x14ac:dyDescent="0.25">
      <c r="E223" s="11">
        <f t="shared" ref="E223:E286" si="25">E16</f>
        <v>-119</v>
      </c>
      <c r="F223" s="11">
        <f t="shared" ref="F223:F286" si="26">$H$217*0+E223*$I$217+E223^2*$J$217+E223^3*$K$217+E223^4*$L$217+E223^5*$M$217+E223^6*$N$217+E223^7*$O$217+E223^8*$P$217</f>
        <v>-21.616231358145413</v>
      </c>
      <c r="G223" s="11">
        <f t="shared" ref="G223:G286" si="27">F16</f>
        <v>-21.517031204258437</v>
      </c>
    </row>
    <row r="224" spans="1:16" x14ac:dyDescent="0.25">
      <c r="E224" s="11">
        <f t="shared" si="25"/>
        <v>-118</v>
      </c>
      <c r="F224" s="11">
        <f t="shared" si="26"/>
        <v>-21.494014160426985</v>
      </c>
      <c r="G224" s="11">
        <f t="shared" si="27"/>
        <v>-21.432570860655503</v>
      </c>
    </row>
    <row r="225" spans="5:7" x14ac:dyDescent="0.25">
      <c r="E225" s="11">
        <f t="shared" si="25"/>
        <v>-117</v>
      </c>
      <c r="F225" s="11">
        <f t="shared" si="26"/>
        <v>-21.376772536337214</v>
      </c>
      <c r="G225" s="11">
        <f t="shared" si="27"/>
        <v>-21.347993344115352</v>
      </c>
    </row>
    <row r="226" spans="5:7" x14ac:dyDescent="0.25">
      <c r="E226" s="11">
        <f t="shared" si="25"/>
        <v>-116</v>
      </c>
      <c r="F226" s="11">
        <f t="shared" si="26"/>
        <v>-21.264160880610369</v>
      </c>
      <c r="G226" s="11">
        <f t="shared" si="27"/>
        <v>-21.26324006816936</v>
      </c>
    </row>
    <row r="227" spans="5:7" x14ac:dyDescent="0.25">
      <c r="E227" s="11">
        <f t="shared" si="25"/>
        <v>-115</v>
      </c>
      <c r="F227" s="11">
        <f t="shared" si="26"/>
        <v>-21.155828078946186</v>
      </c>
      <c r="G227" s="11">
        <f t="shared" si="27"/>
        <v>-21.178252446348925</v>
      </c>
    </row>
    <row r="228" spans="5:7" x14ac:dyDescent="0.25">
      <c r="E228" s="11">
        <f t="shared" si="25"/>
        <v>-114</v>
      </c>
      <c r="F228" s="11">
        <f t="shared" si="26"/>
        <v>-21.051419653412324</v>
      </c>
      <c r="G228" s="11">
        <f t="shared" si="27"/>
        <v>-21.092971892185428</v>
      </c>
    </row>
    <row r="229" spans="5:7" x14ac:dyDescent="0.25">
      <c r="E229" s="11">
        <f t="shared" si="25"/>
        <v>-113</v>
      </c>
      <c r="F229" s="11">
        <f t="shared" si="26"/>
        <v>-20.950579757237961</v>
      </c>
      <c r="G229" s="11">
        <f t="shared" si="27"/>
        <v>-21.007339819210269</v>
      </c>
    </row>
    <row r="230" spans="5:7" x14ac:dyDescent="0.25">
      <c r="E230" s="11">
        <f t="shared" si="25"/>
        <v>-112</v>
      </c>
      <c r="F230" s="11">
        <f t="shared" si="26"/>
        <v>-20.852953024023982</v>
      </c>
      <c r="G230" s="11">
        <f t="shared" si="27"/>
        <v>-20.921297640954823</v>
      </c>
    </row>
    <row r="231" spans="5:7" x14ac:dyDescent="0.25">
      <c r="E231" s="11">
        <f t="shared" si="25"/>
        <v>-111</v>
      </c>
      <c r="F231" s="11">
        <f t="shared" si="26"/>
        <v>-20.758186276323009</v>
      </c>
      <c r="G231" s="11">
        <f t="shared" si="27"/>
        <v>-20.834786770950483</v>
      </c>
    </row>
    <row r="232" spans="5:7" x14ac:dyDescent="0.25">
      <c r="E232" s="11">
        <f t="shared" si="25"/>
        <v>-110</v>
      </c>
      <c r="F232" s="11">
        <f t="shared" si="26"/>
        <v>-20.665930098475862</v>
      </c>
      <c r="G232" s="11">
        <f t="shared" si="27"/>
        <v>-20.747748622728643</v>
      </c>
    </row>
    <row r="233" spans="5:7" x14ac:dyDescent="0.25">
      <c r="E233" s="11">
        <f t="shared" si="25"/>
        <v>-109</v>
      </c>
      <c r="F233" s="11">
        <f t="shared" si="26"/>
        <v>-20.575840278520246</v>
      </c>
      <c r="G233" s="11">
        <f t="shared" si="27"/>
        <v>-20.660124609820684</v>
      </c>
    </row>
    <row r="234" spans="5:7" x14ac:dyDescent="0.25">
      <c r="E234" s="11">
        <f t="shared" si="25"/>
        <v>-108</v>
      </c>
      <c r="F234" s="11">
        <f t="shared" si="26"/>
        <v>-20.487579123919261</v>
      </c>
      <c r="G234" s="11">
        <f t="shared" si="27"/>
        <v>-20.571856145757998</v>
      </c>
    </row>
    <row r="235" spans="5:7" x14ac:dyDescent="0.25">
      <c r="E235" s="11">
        <f t="shared" si="25"/>
        <v>-107</v>
      </c>
      <c r="F235" s="11">
        <f t="shared" si="26"/>
        <v>-20.400816655787576</v>
      </c>
      <c r="G235" s="11">
        <f t="shared" si="27"/>
        <v>-20.482884644071966</v>
      </c>
    </row>
    <row r="236" spans="5:7" x14ac:dyDescent="0.25">
      <c r="E236" s="11">
        <f t="shared" si="25"/>
        <v>-106</v>
      </c>
      <c r="F236" s="11">
        <f t="shared" si="26"/>
        <v>-20.315231686224038</v>
      </c>
      <c r="G236" s="11">
        <f t="shared" si="27"/>
        <v>-20.39315151829399</v>
      </c>
    </row>
    <row r="237" spans="5:7" x14ac:dyDescent="0.25">
      <c r="E237" s="11">
        <f t="shared" si="25"/>
        <v>-105</v>
      </c>
      <c r="F237" s="11">
        <f t="shared" si="26"/>
        <v>-20.230512783290401</v>
      </c>
      <c r="G237" s="11">
        <f t="shared" si="27"/>
        <v>-20.30259818195545</v>
      </c>
    </row>
    <row r="238" spans="5:7" x14ac:dyDescent="0.25">
      <c r="E238" s="11">
        <f t="shared" si="25"/>
        <v>-104</v>
      </c>
      <c r="F238" s="11">
        <f t="shared" si="26"/>
        <v>-20.146359128106869</v>
      </c>
      <c r="G238" s="11">
        <f t="shared" si="27"/>
        <v>-20.211166048587735</v>
      </c>
    </row>
    <row r="239" spans="5:7" x14ac:dyDescent="0.25">
      <c r="E239" s="11">
        <f t="shared" si="25"/>
        <v>-103</v>
      </c>
      <c r="F239" s="11">
        <f t="shared" si="26"/>
        <v>-20.062481268465287</v>
      </c>
      <c r="G239" s="11">
        <f t="shared" si="27"/>
        <v>-20.118796531722236</v>
      </c>
    </row>
    <row r="240" spans="5:7" x14ac:dyDescent="0.25">
      <c r="E240" s="11">
        <f t="shared" si="25"/>
        <v>-102</v>
      </c>
      <c r="F240" s="11">
        <f t="shared" si="26"/>
        <v>-19.978601773292247</v>
      </c>
      <c r="G240" s="11">
        <f t="shared" si="27"/>
        <v>-20.02543104489034</v>
      </c>
    </row>
    <row r="241" spans="5:7" x14ac:dyDescent="0.25">
      <c r="E241" s="11">
        <f t="shared" si="25"/>
        <v>-101</v>
      </c>
      <c r="F241" s="11">
        <f t="shared" si="26"/>
        <v>-19.894455792225351</v>
      </c>
      <c r="G241" s="11">
        <f t="shared" si="27"/>
        <v>-19.931011001623428</v>
      </c>
    </row>
    <row r="242" spans="5:7" x14ac:dyDescent="0.25">
      <c r="E242" s="11">
        <f t="shared" si="25"/>
        <v>-100</v>
      </c>
      <c r="F242" s="11">
        <f t="shared" si="26"/>
        <v>-19.809791524495754</v>
      </c>
      <c r="G242" s="11">
        <f t="shared" si="27"/>
        <v>-19.835477815452897</v>
      </c>
    </row>
    <row r="243" spans="5:7" x14ac:dyDescent="0.25">
      <c r="E243" s="11">
        <f t="shared" si="25"/>
        <v>-99</v>
      </c>
      <c r="F243" s="11">
        <f t="shared" si="26"/>
        <v>-19.724370601241951</v>
      </c>
      <c r="G243" s="11">
        <f t="shared" si="27"/>
        <v>-19.738772899910138</v>
      </c>
    </row>
    <row r="244" spans="5:7" x14ac:dyDescent="0.25">
      <c r="E244" s="11">
        <f t="shared" si="25"/>
        <v>-98</v>
      </c>
      <c r="F244" s="11">
        <f t="shared" si="26"/>
        <v>-19.637968385309726</v>
      </c>
      <c r="G244" s="11">
        <f t="shared" si="27"/>
        <v>-19.64083766852653</v>
      </c>
    </row>
    <row r="245" spans="5:7" x14ac:dyDescent="0.25">
      <c r="E245" s="11">
        <f t="shared" si="25"/>
        <v>-97</v>
      </c>
      <c r="F245" s="11">
        <f t="shared" si="26"/>
        <v>-19.550374192525112</v>
      </c>
      <c r="G245" s="11">
        <f t="shared" si="27"/>
        <v>-19.54161353483347</v>
      </c>
    </row>
    <row r="246" spans="5:7" x14ac:dyDescent="0.25">
      <c r="E246" s="11">
        <f t="shared" si="25"/>
        <v>-96</v>
      </c>
      <c r="F246" s="11">
        <f t="shared" si="26"/>
        <v>-19.461391438356461</v>
      </c>
      <c r="G246" s="11">
        <f t="shared" si="27"/>
        <v>-19.441041912362344</v>
      </c>
    </row>
    <row r="247" spans="5:7" x14ac:dyDescent="0.25">
      <c r="E247" s="11">
        <f t="shared" si="25"/>
        <v>-95</v>
      </c>
      <c r="F247" s="11">
        <f t="shared" si="26"/>
        <v>-19.370837713814037</v>
      </c>
      <c r="G247" s="11">
        <f t="shared" si="27"/>
        <v>-19.339064214644534</v>
      </c>
    </row>
    <row r="248" spans="5:7" x14ac:dyDescent="0.25">
      <c r="E248" s="11">
        <f t="shared" si="25"/>
        <v>-94</v>
      </c>
      <c r="F248" s="11">
        <f t="shared" si="26"/>
        <v>-19.278544794365477</v>
      </c>
      <c r="G248" s="11">
        <f t="shared" si="27"/>
        <v>-19.235621855211438</v>
      </c>
    </row>
    <row r="249" spans="5:7" x14ac:dyDescent="0.25">
      <c r="E249" s="11">
        <f t="shared" si="25"/>
        <v>-93</v>
      </c>
      <c r="F249" s="11">
        <f t="shared" si="26"/>
        <v>-19.18435858557654</v>
      </c>
      <c r="G249" s="11">
        <f t="shared" si="27"/>
        <v>-19.130656247594434</v>
      </c>
    </row>
    <row r="250" spans="5:7" x14ac:dyDescent="0.25">
      <c r="E250" s="11">
        <f t="shared" si="25"/>
        <v>-92</v>
      </c>
      <c r="F250" s="11">
        <f t="shared" si="26"/>
        <v>-19.088139009117349</v>
      </c>
      <c r="G250" s="11">
        <f t="shared" si="27"/>
        <v>-19.024108805324921</v>
      </c>
    </row>
    <row r="251" spans="5:7" x14ac:dyDescent="0.25">
      <c r="E251" s="11">
        <f t="shared" si="25"/>
        <v>-91</v>
      </c>
      <c r="F251" s="11">
        <f t="shared" si="26"/>
        <v>-18.989759832705296</v>
      </c>
      <c r="G251" s="11">
        <f t="shared" si="27"/>
        <v>-18.915920941934282</v>
      </c>
    </row>
    <row r="252" spans="5:7" x14ac:dyDescent="0.25">
      <c r="E252" s="11">
        <f t="shared" si="25"/>
        <v>-90</v>
      </c>
      <c r="F252" s="11">
        <f t="shared" si="26"/>
        <v>-18.889108447486123</v>
      </c>
      <c r="G252" s="11">
        <f t="shared" si="27"/>
        <v>-18.806034070953899</v>
      </c>
    </row>
    <row r="253" spans="5:7" x14ac:dyDescent="0.25">
      <c r="E253" s="11">
        <f t="shared" si="25"/>
        <v>-89</v>
      </c>
      <c r="F253" s="11">
        <f t="shared" si="26"/>
        <v>-18.786085596286341</v>
      </c>
      <c r="G253" s="11">
        <f t="shared" si="27"/>
        <v>-18.694389605915173</v>
      </c>
    </row>
    <row r="254" spans="5:7" x14ac:dyDescent="0.25">
      <c r="E254" s="11">
        <f t="shared" si="25"/>
        <v>-88</v>
      </c>
      <c r="F254" s="11">
        <f t="shared" si="26"/>
        <v>-18.680605056099914</v>
      </c>
      <c r="G254" s="11">
        <f t="shared" si="27"/>
        <v>-18.580928960349489</v>
      </c>
    </row>
    <row r="255" spans="5:7" x14ac:dyDescent="0.25">
      <c r="E255" s="11">
        <f t="shared" si="25"/>
        <v>-87</v>
      </c>
      <c r="F255" s="11">
        <f t="shared" si="26"/>
        <v>-18.572593278103959</v>
      </c>
      <c r="G255" s="11">
        <f t="shared" si="27"/>
        <v>-18.465593547788231</v>
      </c>
    </row>
    <row r="256" spans="5:7" x14ac:dyDescent="0.25">
      <c r="E256" s="11">
        <f t="shared" si="25"/>
        <v>-86</v>
      </c>
      <c r="F256" s="11">
        <f t="shared" si="26"/>
        <v>-18.461988988428118</v>
      </c>
      <c r="G256" s="11">
        <f t="shared" si="27"/>
        <v>-18.348324781762788</v>
      </c>
    </row>
    <row r="257" spans="5:7" x14ac:dyDescent="0.25">
      <c r="E257" s="11">
        <f t="shared" si="25"/>
        <v>-85</v>
      </c>
      <c r="F257" s="11">
        <f t="shared" si="26"/>
        <v>-18.348742752834042</v>
      </c>
      <c r="G257" s="11">
        <f t="shared" si="27"/>
        <v>-18.229064075804548</v>
      </c>
    </row>
    <row r="258" spans="5:7" x14ac:dyDescent="0.25">
      <c r="E258" s="11">
        <f t="shared" si="25"/>
        <v>-84</v>
      </c>
      <c r="F258" s="11">
        <f t="shared" si="26"/>
        <v>-18.23281650839116</v>
      </c>
      <c r="G258" s="11">
        <f t="shared" si="27"/>
        <v>-18.107752843444903</v>
      </c>
    </row>
    <row r="259" spans="5:7" x14ac:dyDescent="0.25">
      <c r="E259" s="11">
        <f t="shared" si="25"/>
        <v>-83</v>
      </c>
      <c r="F259" s="11">
        <f t="shared" si="26"/>
        <v>-18.114183065166642</v>
      </c>
      <c r="G259" s="11">
        <f t="shared" si="27"/>
        <v>-17.984332498215238</v>
      </c>
    </row>
    <row r="260" spans="5:7" x14ac:dyDescent="0.25">
      <c r="E260" s="11">
        <f t="shared" si="25"/>
        <v>-82</v>
      </c>
      <c r="F260" s="11">
        <f t="shared" si="26"/>
        <v>-17.992825580877824</v>
      </c>
      <c r="G260" s="11">
        <f t="shared" si="27"/>
        <v>-17.858744453646942</v>
      </c>
    </row>
    <row r="261" spans="5:7" x14ac:dyDescent="0.25">
      <c r="E261" s="11">
        <f t="shared" si="25"/>
        <v>-81</v>
      </c>
      <c r="F261" s="11">
        <f t="shared" si="26"/>
        <v>-17.868737011386152</v>
      </c>
      <c r="G261" s="11">
        <f t="shared" si="27"/>
        <v>-17.730930123271406</v>
      </c>
    </row>
    <row r="262" spans="5:7" x14ac:dyDescent="0.25">
      <c r="E262" s="11">
        <f t="shared" si="25"/>
        <v>-80</v>
      </c>
      <c r="F262" s="11">
        <f t="shared" si="26"/>
        <v>-17.741919539842737</v>
      </c>
      <c r="G262" s="11">
        <f t="shared" si="27"/>
        <v>-17.60083092062002</v>
      </c>
    </row>
    <row r="263" spans="5:7" x14ac:dyDescent="0.25">
      <c r="E263" s="11">
        <f t="shared" si="25"/>
        <v>-79</v>
      </c>
      <c r="F263" s="11">
        <f t="shared" si="26"/>
        <v>-17.612383987226305</v>
      </c>
      <c r="G263" s="11">
        <f t="shared" si="27"/>
        <v>-17.48973550123165</v>
      </c>
    </row>
    <row r="264" spans="5:7" x14ac:dyDescent="0.25">
      <c r="E264" s="11">
        <f t="shared" si="25"/>
        <v>-78</v>
      </c>
      <c r="F264" s="11">
        <f t="shared" si="26"/>
        <v>-17.480149206945086</v>
      </c>
      <c r="G264" s="11">
        <f t="shared" si="27"/>
        <v>-17.376243919446146</v>
      </c>
    </row>
    <row r="265" spans="5:7" x14ac:dyDescent="0.25">
      <c r="E265" s="11">
        <f t="shared" si="25"/>
        <v>-77</v>
      </c>
      <c r="F265" s="11">
        <f t="shared" si="26"/>
        <v>-17.345241466105119</v>
      </c>
      <c r="G265" s="11">
        <f t="shared" si="27"/>
        <v>-17.260303471610861</v>
      </c>
    </row>
    <row r="266" spans="5:7" x14ac:dyDescent="0.25">
      <c r="E266" s="11">
        <f t="shared" si="25"/>
        <v>-76</v>
      </c>
      <c r="F266" s="11">
        <f t="shared" si="26"/>
        <v>-17.207693815978143</v>
      </c>
      <c r="G266" s="11">
        <f t="shared" si="27"/>
        <v>-17.141861454073126</v>
      </c>
    </row>
    <row r="267" spans="5:7" x14ac:dyDescent="0.25">
      <c r="E267" s="11">
        <f t="shared" si="25"/>
        <v>-75</v>
      </c>
      <c r="F267" s="11">
        <f t="shared" si="26"/>
        <v>-17.067545454133256</v>
      </c>
      <c r="G267" s="11">
        <f t="shared" si="27"/>
        <v>-17.020865163180282</v>
      </c>
    </row>
    <row r="268" spans="5:7" x14ac:dyDescent="0.25">
      <c r="E268" s="11">
        <f t="shared" si="25"/>
        <v>-74</v>
      </c>
      <c r="F268" s="11">
        <f t="shared" si="26"/>
        <v>-16.924841080626987</v>
      </c>
      <c r="G268" s="11">
        <f t="shared" si="27"/>
        <v>-16.897261895279662</v>
      </c>
    </row>
    <row r="269" spans="5:7" x14ac:dyDescent="0.25">
      <c r="E269" s="11">
        <f t="shared" si="25"/>
        <v>-73</v>
      </c>
      <c r="F269" s="11">
        <f t="shared" si="26"/>
        <v>-16.779630250577625</v>
      </c>
      <c r="G269" s="11">
        <f t="shared" si="27"/>
        <v>-16.770998946718613</v>
      </c>
    </row>
    <row r="270" spans="5:7" x14ac:dyDescent="0.25">
      <c r="E270" s="11">
        <f t="shared" si="25"/>
        <v>-72</v>
      </c>
      <c r="F270" s="11">
        <f t="shared" si="26"/>
        <v>-16.631966725380298</v>
      </c>
      <c r="G270" s="11">
        <f t="shared" si="27"/>
        <v>-16.642023613844472</v>
      </c>
    </row>
    <row r="271" spans="5:7" x14ac:dyDescent="0.25">
      <c r="E271" s="11">
        <f t="shared" si="25"/>
        <v>-71</v>
      </c>
      <c r="F271" s="11">
        <f t="shared" si="26"/>
        <v>-16.48190782474995</v>
      </c>
      <c r="G271" s="11">
        <f t="shared" si="27"/>
        <v>-16.510283193004575</v>
      </c>
    </row>
    <row r="272" spans="5:7" x14ac:dyDescent="0.25">
      <c r="E272" s="11">
        <f t="shared" si="25"/>
        <v>-70</v>
      </c>
      <c r="F272" s="11">
        <f t="shared" si="26"/>
        <v>-16.32951378171046</v>
      </c>
      <c r="G272" s="11">
        <f t="shared" si="27"/>
        <v>-16.375724980546259</v>
      </c>
    </row>
    <row r="273" spans="5:7" x14ac:dyDescent="0.25">
      <c r="E273" s="11">
        <f t="shared" si="25"/>
        <v>-69</v>
      </c>
      <c r="F273" s="11">
        <f t="shared" si="26"/>
        <v>-16.174847102578823</v>
      </c>
      <c r="G273" s="11">
        <f t="shared" si="27"/>
        <v>-16.238296272816868</v>
      </c>
    </row>
    <row r="274" spans="5:7" x14ac:dyDescent="0.25">
      <c r="E274" s="11">
        <f t="shared" si="25"/>
        <v>-68</v>
      </c>
      <c r="F274" s="11">
        <f t="shared" si="26"/>
        <v>-16.017971933924059</v>
      </c>
      <c r="G274" s="11">
        <f t="shared" si="27"/>
        <v>-16.097944366163738</v>
      </c>
    </row>
    <row r="275" spans="5:7" x14ac:dyDescent="0.25">
      <c r="E275" s="11">
        <f t="shared" si="25"/>
        <v>-67</v>
      </c>
      <c r="F275" s="11">
        <f t="shared" si="26"/>
        <v>-15.858953438411476</v>
      </c>
      <c r="G275" s="11">
        <f t="shared" si="27"/>
        <v>-15.954616556934203</v>
      </c>
    </row>
    <row r="276" spans="5:7" x14ac:dyDescent="0.25">
      <c r="E276" s="11">
        <f t="shared" si="25"/>
        <v>-66</v>
      </c>
      <c r="F276" s="11">
        <f t="shared" si="26"/>
        <v>-15.697857181373625</v>
      </c>
      <c r="G276" s="11">
        <f t="shared" si="27"/>
        <v>-15.808260141475612</v>
      </c>
    </row>
    <row r="277" spans="5:7" x14ac:dyDescent="0.25">
      <c r="E277" s="11">
        <f t="shared" si="25"/>
        <v>-65</v>
      </c>
      <c r="F277" s="11">
        <f t="shared" si="26"/>
        <v>-15.534748529880114</v>
      </c>
      <c r="G277" s="11">
        <f t="shared" si="27"/>
        <v>-15.658822416135298</v>
      </c>
    </row>
    <row r="278" spans="5:7" x14ac:dyDescent="0.25">
      <c r="E278" s="11">
        <f t="shared" si="25"/>
        <v>-64</v>
      </c>
      <c r="F278" s="11">
        <f t="shared" si="26"/>
        <v>-15.369692066009303</v>
      </c>
      <c r="G278" s="11">
        <f t="shared" si="27"/>
        <v>-15.506250677260599</v>
      </c>
    </row>
    <row r="279" spans="5:7" x14ac:dyDescent="0.25">
      <c r="E279" s="11">
        <f t="shared" si="25"/>
        <v>-63</v>
      </c>
      <c r="F279" s="11">
        <f t="shared" si="26"/>
        <v>-15.202751015955675</v>
      </c>
      <c r="G279" s="11">
        <f t="shared" si="27"/>
        <v>-15.350492221198856</v>
      </c>
    </row>
    <row r="280" spans="5:7" x14ac:dyDescent="0.25">
      <c r="E280" s="11">
        <f t="shared" si="25"/>
        <v>-62</v>
      </c>
      <c r="F280" s="11">
        <f t="shared" si="26"/>
        <v>-15.033986696537507</v>
      </c>
      <c r="G280" s="11">
        <f t="shared" si="27"/>
        <v>-15.191494344297407</v>
      </c>
    </row>
    <row r="281" spans="5:7" x14ac:dyDescent="0.25">
      <c r="E281" s="11">
        <f t="shared" si="25"/>
        <v>-61</v>
      </c>
      <c r="F281" s="11">
        <f t="shared" si="26"/>
        <v>-14.863457980600284</v>
      </c>
      <c r="G281" s="11">
        <f t="shared" si="27"/>
        <v>-15.02920434290359</v>
      </c>
    </row>
    <row r="282" spans="5:7" x14ac:dyDescent="0.25">
      <c r="E282" s="11">
        <f t="shared" si="25"/>
        <v>-60</v>
      </c>
      <c r="F282" s="11">
        <f t="shared" si="26"/>
        <v>-14.691220782742054</v>
      </c>
      <c r="G282" s="11">
        <f t="shared" si="27"/>
        <v>-14.863569513364745</v>
      </c>
    </row>
    <row r="283" spans="5:7" x14ac:dyDescent="0.25">
      <c r="E283" s="11">
        <f t="shared" si="25"/>
        <v>-59</v>
      </c>
      <c r="F283" s="11">
        <f t="shared" si="26"/>
        <v>-14.517327566717885</v>
      </c>
      <c r="G283" s="11">
        <f t="shared" si="27"/>
        <v>-14.694537152028211</v>
      </c>
    </row>
    <row r="284" spans="5:7" x14ac:dyDescent="0.25">
      <c r="E284" s="11">
        <f t="shared" si="25"/>
        <v>-58</v>
      </c>
      <c r="F284" s="11">
        <f t="shared" si="26"/>
        <v>-14.341826875811188</v>
      </c>
      <c r="G284" s="11">
        <f t="shared" si="27"/>
        <v>-14.522054555241324</v>
      </c>
    </row>
    <row r="285" spans="5:7" x14ac:dyDescent="0.25">
      <c r="E285" s="11">
        <f t="shared" si="25"/>
        <v>-57</v>
      </c>
      <c r="F285" s="11">
        <f t="shared" si="26"/>
        <v>-14.164762887390674</v>
      </c>
      <c r="G285" s="11">
        <f t="shared" si="27"/>
        <v>-14.346069019351425</v>
      </c>
    </row>
    <row r="286" spans="5:7" x14ac:dyDescent="0.25">
      <c r="E286" s="11">
        <f t="shared" si="25"/>
        <v>-56</v>
      </c>
      <c r="F286" s="11">
        <f t="shared" si="26"/>
        <v>-13.986174992802415</v>
      </c>
      <c r="G286" s="11">
        <f t="shared" si="27"/>
        <v>-14.166527840705852</v>
      </c>
    </row>
    <row r="287" spans="5:7" x14ac:dyDescent="0.25">
      <c r="E287" s="11">
        <f t="shared" ref="E287:E350" si="28">E80</f>
        <v>-55</v>
      </c>
      <c r="F287" s="11">
        <f t="shared" ref="F287:F350" si="29">$H$217*0+E287*$I$217+E287^2*$J$217+E287^3*$K$217+E287^4*$L$217+E287^5*$M$217+E287^6*$N$217+E287^7*$O$217+E287^8*$P$217</f>
        <v>-13.806097403677324</v>
      </c>
      <c r="G287" s="11">
        <f t="shared" ref="G287:G350" si="30">F80</f>
        <v>-13.983378315651946</v>
      </c>
    </row>
    <row r="288" spans="5:7" x14ac:dyDescent="0.25">
      <c r="E288" s="11">
        <f t="shared" si="28"/>
        <v>-54</v>
      </c>
      <c r="F288" s="11">
        <f t="shared" si="29"/>
        <v>-13.624558785665196</v>
      </c>
      <c r="G288" s="11">
        <f t="shared" si="30"/>
        <v>-13.796598306939895</v>
      </c>
    </row>
    <row r="289" spans="5:7" x14ac:dyDescent="0.25">
      <c r="E289" s="11">
        <f t="shared" si="28"/>
        <v>-53</v>
      </c>
      <c r="F289" s="11">
        <f t="shared" si="29"/>
        <v>-13.441581920537239</v>
      </c>
      <c r="G289" s="11">
        <f t="shared" si="30"/>
        <v>-13.606287942931303</v>
      </c>
    </row>
    <row r="290" spans="5:7" x14ac:dyDescent="0.25">
      <c r="E290" s="11">
        <f t="shared" si="28"/>
        <v>-52</v>
      </c>
      <c r="F290" s="11">
        <f t="shared" si="29"/>
        <v>-13.257183397529849</v>
      </c>
      <c r="G290" s="11">
        <f t="shared" si="30"/>
        <v>-13.412577918390625</v>
      </c>
    </row>
    <row r="291" spans="5:7" x14ac:dyDescent="0.25">
      <c r="E291" s="11">
        <f t="shared" si="28"/>
        <v>-51</v>
      </c>
      <c r="F291" s="11">
        <f t="shared" si="29"/>
        <v>-13.071373334733234</v>
      </c>
      <c r="G291" s="11">
        <f t="shared" si="30"/>
        <v>-13.215598928082313</v>
      </c>
    </row>
    <row r="292" spans="5:7" x14ac:dyDescent="0.25">
      <c r="E292" s="11">
        <f t="shared" si="28"/>
        <v>-50</v>
      </c>
      <c r="F292" s="11">
        <f t="shared" si="29"/>
        <v>-12.884155131259199</v>
      </c>
      <c r="G292" s="11">
        <f t="shared" si="30"/>
        <v>-13.015481666770825</v>
      </c>
    </row>
    <row r="293" spans="5:7" x14ac:dyDescent="0.25">
      <c r="E293" s="11">
        <f t="shared" si="28"/>
        <v>-49</v>
      </c>
      <c r="F293" s="11">
        <f t="shared" si="29"/>
        <v>-12.695525250853377</v>
      </c>
      <c r="G293" s="11">
        <f t="shared" si="30"/>
        <v>-12.812356829220615</v>
      </c>
    </row>
    <row r="294" spans="5:7" x14ac:dyDescent="0.25">
      <c r="E294" s="11">
        <f t="shared" si="28"/>
        <v>-48</v>
      </c>
      <c r="F294" s="11">
        <f t="shared" si="29"/>
        <v>-12.505473037547825</v>
      </c>
      <c r="G294" s="11">
        <f t="shared" si="30"/>
        <v>-12.606355110196134</v>
      </c>
    </row>
    <row r="295" spans="5:7" x14ac:dyDescent="0.25">
      <c r="E295" s="11">
        <f t="shared" si="28"/>
        <v>-47</v>
      </c>
      <c r="F295" s="11">
        <f t="shared" si="29"/>
        <v>-12.3139805638809</v>
      </c>
      <c r="G295" s="11">
        <f t="shared" si="30"/>
        <v>-12.397607204461842</v>
      </c>
    </row>
    <row r="296" spans="5:7" x14ac:dyDescent="0.25">
      <c r="E296" s="11">
        <f t="shared" si="28"/>
        <v>-46</v>
      </c>
      <c r="F296" s="11">
        <f t="shared" si="29"/>
        <v>-12.121022512141954</v>
      </c>
      <c r="G296" s="11">
        <f t="shared" si="30"/>
        <v>-12.186243806782189</v>
      </c>
    </row>
    <row r="297" spans="5:7" x14ac:dyDescent="0.25">
      <c r="E297" s="11">
        <f t="shared" si="28"/>
        <v>-45</v>
      </c>
      <c r="F297" s="11">
        <f t="shared" si="29"/>
        <v>-11.926566089029405</v>
      </c>
      <c r="G297" s="11">
        <f t="shared" si="30"/>
        <v>-11.972395611921634</v>
      </c>
    </row>
    <row r="298" spans="5:7" x14ac:dyDescent="0.25">
      <c r="E298" s="11">
        <f t="shared" si="28"/>
        <v>-44</v>
      </c>
      <c r="F298" s="11">
        <f t="shared" si="29"/>
        <v>-11.730570974041338</v>
      </c>
      <c r="G298" s="11">
        <f t="shared" si="30"/>
        <v>-11.75619331464463</v>
      </c>
    </row>
    <row r="299" spans="5:7" x14ac:dyDescent="0.25">
      <c r="E299" s="11">
        <f t="shared" si="28"/>
        <v>-43</v>
      </c>
      <c r="F299" s="11">
        <f t="shared" si="29"/>
        <v>-11.532989301848819</v>
      </c>
      <c r="G299" s="11">
        <f t="shared" si="30"/>
        <v>-11.537767609715628</v>
      </c>
    </row>
    <row r="300" spans="5:7" x14ac:dyDescent="0.25">
      <c r="E300" s="11">
        <f t="shared" si="28"/>
        <v>-42</v>
      </c>
      <c r="F300" s="11">
        <f t="shared" si="29"/>
        <v>-11.333765678832691</v>
      </c>
      <c r="G300" s="11">
        <f t="shared" si="30"/>
        <v>-11.317249191899087</v>
      </c>
    </row>
    <row r="301" spans="5:7" x14ac:dyDescent="0.25">
      <c r="E301" s="11">
        <f t="shared" si="28"/>
        <v>-41</v>
      </c>
      <c r="F301" s="11">
        <f t="shared" si="29"/>
        <v>-11.132837233895728</v>
      </c>
      <c r="G301" s="11">
        <f t="shared" si="30"/>
        <v>-11.094768755959461</v>
      </c>
    </row>
    <row r="302" spans="5:7" x14ac:dyDescent="0.25">
      <c r="E302" s="11">
        <f t="shared" si="28"/>
        <v>-40</v>
      </c>
      <c r="F302" s="11">
        <f t="shared" si="29"/>
        <v>-10.93013370359245</v>
      </c>
      <c r="G302" s="11">
        <f t="shared" si="30"/>
        <v>-10.870456996661204</v>
      </c>
    </row>
    <row r="303" spans="5:7" x14ac:dyDescent="0.25">
      <c r="E303" s="11">
        <f t="shared" si="28"/>
        <v>-39</v>
      </c>
      <c r="F303" s="11">
        <f t="shared" si="29"/>
        <v>-10.725577551550119</v>
      </c>
      <c r="G303" s="11">
        <f t="shared" si="30"/>
        <v>-10.644444608768771</v>
      </c>
    </row>
    <row r="304" spans="5:7" x14ac:dyDescent="0.25">
      <c r="E304" s="11">
        <f t="shared" si="28"/>
        <v>-38</v>
      </c>
      <c r="F304" s="11">
        <f t="shared" si="29"/>
        <v>-10.519084122084973</v>
      </c>
      <c r="G304" s="11">
        <f t="shared" si="30"/>
        <v>-10.416862287046616</v>
      </c>
    </row>
    <row r="305" spans="5:7" x14ac:dyDescent="0.25">
      <c r="E305" s="11">
        <f t="shared" si="28"/>
        <v>-37</v>
      </c>
      <c r="F305" s="11">
        <f t="shared" si="29"/>
        <v>-10.310561827848625</v>
      </c>
      <c r="G305" s="11">
        <f t="shared" si="30"/>
        <v>-10.187840726259193</v>
      </c>
    </row>
    <row r="306" spans="5:7" x14ac:dyDescent="0.25">
      <c r="E306" s="11">
        <f t="shared" si="28"/>
        <v>-36</v>
      </c>
      <c r="F306" s="11">
        <f t="shared" si="29"/>
        <v>-10.099912371270497</v>
      </c>
      <c r="G306" s="11">
        <f t="shared" si="30"/>
        <v>-9.9575106211709592</v>
      </c>
    </row>
    <row r="307" spans="5:7" x14ac:dyDescent="0.25">
      <c r="E307" s="11">
        <f t="shared" si="28"/>
        <v>-35</v>
      </c>
      <c r="F307" s="11">
        <f t="shared" si="29"/>
        <v>-9.8870309994927741</v>
      </c>
      <c r="G307" s="11">
        <f t="shared" si="30"/>
        <v>-9.7260026665463659</v>
      </c>
    </row>
    <row r="308" spans="5:7" x14ac:dyDescent="0.25">
      <c r="E308" s="11">
        <f t="shared" si="28"/>
        <v>-34</v>
      </c>
      <c r="F308" s="11">
        <f t="shared" si="29"/>
        <v>-9.6718067924253432</v>
      </c>
      <c r="G308" s="11">
        <f t="shared" si="30"/>
        <v>-9.4934475571498709</v>
      </c>
    </row>
    <row r="309" spans="5:7" x14ac:dyDescent="0.25">
      <c r="E309" s="11">
        <f t="shared" si="28"/>
        <v>-33</v>
      </c>
      <c r="F309" s="11">
        <f t="shared" si="29"/>
        <v>-9.4541229834789018</v>
      </c>
      <c r="G309" s="11">
        <f t="shared" si="30"/>
        <v>-9.2599759877459267</v>
      </c>
    </row>
    <row r="310" spans="5:7" x14ac:dyDescent="0.25">
      <c r="E310" s="11">
        <f t="shared" si="28"/>
        <v>-32</v>
      </c>
      <c r="F310" s="11">
        <f t="shared" si="29"/>
        <v>-9.2338573124652523</v>
      </c>
      <c r="G310" s="11">
        <f t="shared" si="30"/>
        <v>-9.0257186530989895</v>
      </c>
    </row>
    <row r="311" spans="5:7" x14ac:dyDescent="0.25">
      <c r="E311" s="11">
        <f t="shared" si="28"/>
        <v>-31</v>
      </c>
      <c r="F311" s="11">
        <f t="shared" si="29"/>
        <v>-9.0108824100846565</v>
      </c>
      <c r="G311" s="11">
        <f t="shared" si="30"/>
        <v>-8.7908062479735118</v>
      </c>
    </row>
    <row r="312" spans="5:7" x14ac:dyDescent="0.25">
      <c r="E312" s="11">
        <f t="shared" si="28"/>
        <v>-30</v>
      </c>
      <c r="F312" s="11">
        <f t="shared" si="29"/>
        <v>-8.7850662133508681</v>
      </c>
      <c r="G312" s="11">
        <f t="shared" si="30"/>
        <v>-8.5553694671339517</v>
      </c>
    </row>
    <row r="313" spans="5:7" x14ac:dyDescent="0.25">
      <c r="E313" s="11">
        <f t="shared" si="28"/>
        <v>-29</v>
      </c>
      <c r="F313" s="11">
        <f t="shared" si="29"/>
        <v>-8.5562724112353052</v>
      </c>
      <c r="G313" s="11">
        <f t="shared" si="30"/>
        <v>-8.3194687580348869</v>
      </c>
    </row>
    <row r="314" spans="5:7" x14ac:dyDescent="0.25">
      <c r="E314" s="11">
        <f t="shared" si="28"/>
        <v>-28</v>
      </c>
      <c r="F314" s="11">
        <f t="shared" si="29"/>
        <v>-8.3243609197426895</v>
      </c>
      <c r="G314" s="11">
        <f t="shared" si="30"/>
        <v>-8.0828835788914049</v>
      </c>
    </row>
    <row r="315" spans="5:7" x14ac:dyDescent="0.25">
      <c r="E315" s="11">
        <f t="shared" si="28"/>
        <v>-27</v>
      </c>
      <c r="F315" s="11">
        <f t="shared" si="29"/>
        <v>-8.089188385561199</v>
      </c>
      <c r="G315" s="11">
        <f t="shared" si="30"/>
        <v>-7.8453231406087154</v>
      </c>
    </row>
    <row r="316" spans="5:7" x14ac:dyDescent="0.25">
      <c r="E316" s="11">
        <f t="shared" si="28"/>
        <v>-26</v>
      </c>
      <c r="F316" s="11">
        <f t="shared" si="29"/>
        <v>-7.8506087173610339</v>
      </c>
      <c r="G316" s="11">
        <f t="shared" si="30"/>
        <v>-7.6064966540920329</v>
      </c>
    </row>
    <row r="317" spans="5:7" x14ac:dyDescent="0.25">
      <c r="E317" s="11">
        <f t="shared" si="28"/>
        <v>-25</v>
      </c>
      <c r="F317" s="11">
        <f t="shared" si="29"/>
        <v>-7.6084736437461773</v>
      </c>
      <c r="G317" s="11">
        <f t="shared" si="30"/>
        <v>-7.3661133302465664</v>
      </c>
    </row>
    <row r="318" spans="5:7" x14ac:dyDescent="0.25">
      <c r="E318" s="11">
        <f t="shared" si="28"/>
        <v>-24</v>
      </c>
      <c r="F318" s="11">
        <f t="shared" si="29"/>
        <v>-7.3626332967948063</v>
      </c>
      <c r="G318" s="11">
        <f t="shared" si="30"/>
        <v>-7.1238823799775277</v>
      </c>
    </row>
    <row r="319" spans="5:7" x14ac:dyDescent="0.25">
      <c r="E319" s="11">
        <f t="shared" si="28"/>
        <v>-23</v>
      </c>
      <c r="F319" s="11">
        <f t="shared" si="29"/>
        <v>-7.1129368200547516</v>
      </c>
      <c r="G319" s="11">
        <f t="shared" si="30"/>
        <v>-6.8795130141901319</v>
      </c>
    </row>
    <row r="320" spans="5:7" x14ac:dyDescent="0.25">
      <c r="E320" s="11">
        <f t="shared" si="28"/>
        <v>-22</v>
      </c>
      <c r="F320" s="11">
        <f t="shared" si="29"/>
        <v>-6.8592329997911516</v>
      </c>
      <c r="G320" s="11">
        <f t="shared" si="30"/>
        <v>-6.6327144437895882</v>
      </c>
    </row>
    <row r="321" spans="5:7" x14ac:dyDescent="0.25">
      <c r="E321" s="11">
        <f t="shared" si="28"/>
        <v>-21</v>
      </c>
      <c r="F321" s="11">
        <f t="shared" si="29"/>
        <v>-6.6013709182142746</v>
      </c>
      <c r="G321" s="11">
        <f t="shared" si="30"/>
        <v>-6.3831958796811099</v>
      </c>
    </row>
    <row r="322" spans="5:7" x14ac:dyDescent="0.25">
      <c r="E322" s="11">
        <f t="shared" si="28"/>
        <v>-20</v>
      </c>
      <c r="F322" s="11">
        <f t="shared" si="29"/>
        <v>-6.33920062734627</v>
      </c>
      <c r="G322" s="11">
        <f t="shared" si="30"/>
        <v>-6.130666532769907</v>
      </c>
    </row>
    <row r="323" spans="5:7" x14ac:dyDescent="0.25">
      <c r="E323" s="11">
        <f t="shared" si="28"/>
        <v>-19</v>
      </c>
      <c r="F323" s="11">
        <f t="shared" si="29"/>
        <v>-6.0725738421165225</v>
      </c>
      <c r="G323" s="11">
        <f t="shared" si="30"/>
        <v>-5.8748356139611921</v>
      </c>
    </row>
    <row r="324" spans="5:7" x14ac:dyDescent="0.25">
      <c r="E324" s="11">
        <f t="shared" si="28"/>
        <v>-18</v>
      </c>
      <c r="F324" s="11">
        <f t="shared" si="29"/>
        <v>-5.8013446512059197</v>
      </c>
      <c r="G324" s="11">
        <f t="shared" si="30"/>
        <v>-5.615412334160176</v>
      </c>
    </row>
    <row r="325" spans="5:7" x14ac:dyDescent="0.25">
      <c r="E325" s="11">
        <f t="shared" si="28"/>
        <v>-17</v>
      </c>
      <c r="F325" s="11">
        <f t="shared" si="29"/>
        <v>-5.5253702440913539</v>
      </c>
      <c r="G325" s="11">
        <f t="shared" si="30"/>
        <v>-5.3521059042720722</v>
      </c>
    </row>
    <row r="326" spans="5:7" x14ac:dyDescent="0.25">
      <c r="E326" s="11">
        <f t="shared" si="28"/>
        <v>-16</v>
      </c>
      <c r="F326" s="11">
        <f t="shared" si="29"/>
        <v>-5.2445116526724398</v>
      </c>
      <c r="G326" s="11">
        <f t="shared" si="30"/>
        <v>-5.0846255352020933</v>
      </c>
    </row>
    <row r="327" spans="5:7" x14ac:dyDescent="0.25">
      <c r="E327" s="11">
        <f t="shared" si="28"/>
        <v>-15</v>
      </c>
      <c r="F327" s="11">
        <f t="shared" si="29"/>
        <v>-4.9586345057933396</v>
      </c>
      <c r="G327" s="11">
        <f t="shared" si="30"/>
        <v>-4.8126804378554482</v>
      </c>
    </row>
    <row r="328" spans="5:7" x14ac:dyDescent="0.25">
      <c r="E328" s="11">
        <f t="shared" si="28"/>
        <v>-14</v>
      </c>
      <c r="F328" s="11">
        <f t="shared" si="29"/>
        <v>-4.6676097949033251</v>
      </c>
      <c r="G328" s="11">
        <f t="shared" si="30"/>
        <v>-4.5359798231373496</v>
      </c>
    </row>
    <row r="329" spans="5:7" x14ac:dyDescent="0.25">
      <c r="E329" s="11">
        <f t="shared" si="28"/>
        <v>-13</v>
      </c>
      <c r="F329" s="11">
        <f t="shared" si="29"/>
        <v>-4.3713146490305945</v>
      </c>
      <c r="G329" s="11">
        <f t="shared" si="30"/>
        <v>-4.2542329019530101</v>
      </c>
    </row>
    <row r="330" spans="5:7" x14ac:dyDescent="0.25">
      <c r="E330" s="11">
        <f t="shared" si="28"/>
        <v>-12</v>
      </c>
      <c r="F330" s="11">
        <f t="shared" si="29"/>
        <v>-4.0696331171746181</v>
      </c>
      <c r="G330" s="11">
        <f t="shared" si="30"/>
        <v>-3.9671488852076409</v>
      </c>
    </row>
    <row r="331" spans="5:7" x14ac:dyDescent="0.25">
      <c r="E331" s="11">
        <f t="shared" si="28"/>
        <v>-11</v>
      </c>
      <c r="F331" s="11">
        <f t="shared" si="29"/>
        <v>-3.7624569561531325</v>
      </c>
      <c r="G331" s="11">
        <f t="shared" si="30"/>
        <v>-3.6744369838064541</v>
      </c>
    </row>
    <row r="332" spans="5:7" x14ac:dyDescent="0.25">
      <c r="E332" s="11">
        <f t="shared" si="28"/>
        <v>-10</v>
      </c>
      <c r="F332" s="11">
        <f t="shared" si="29"/>
        <v>-3.4496864218706893</v>
      </c>
      <c r="G332" s="11">
        <f t="shared" si="30"/>
        <v>-3.375806408654662</v>
      </c>
    </row>
    <row r="333" spans="5:7" x14ac:dyDescent="0.25">
      <c r="E333" s="11">
        <f t="shared" si="28"/>
        <v>-9</v>
      </c>
      <c r="F333" s="11">
        <f t="shared" si="29"/>
        <v>-3.1312310619065076</v>
      </c>
      <c r="G333" s="11">
        <f t="shared" si="30"/>
        <v>-3.0709663706574748</v>
      </c>
    </row>
    <row r="334" spans="5:7" x14ac:dyDescent="0.25">
      <c r="E334" s="11">
        <f t="shared" si="28"/>
        <v>-8</v>
      </c>
      <c r="F334" s="11">
        <f t="shared" si="29"/>
        <v>-2.8070105072501761</v>
      </c>
      <c r="G334" s="11">
        <f t="shared" si="30"/>
        <v>-2.7596260807201056</v>
      </c>
    </row>
    <row r="335" spans="5:7" x14ac:dyDescent="0.25">
      <c r="E335" s="11">
        <f t="shared" si="28"/>
        <v>-7</v>
      </c>
      <c r="F335" s="11">
        <f t="shared" si="29"/>
        <v>-2.4769552609445653</v>
      </c>
      <c r="G335" s="11">
        <f t="shared" si="30"/>
        <v>-2.4414947497477661</v>
      </c>
    </row>
    <row r="336" spans="5:7" x14ac:dyDescent="0.25">
      <c r="E336" s="11">
        <f t="shared" si="28"/>
        <v>-6</v>
      </c>
      <c r="F336" s="11">
        <f t="shared" si="29"/>
        <v>-2.14100748132612</v>
      </c>
      <c r="G336" s="11">
        <f t="shared" si="30"/>
        <v>-2.1162815886456672</v>
      </c>
    </row>
    <row r="337" spans="5:7" x14ac:dyDescent="0.25">
      <c r="E337" s="11">
        <f t="shared" si="28"/>
        <v>-5</v>
      </c>
      <c r="F337" s="11">
        <f t="shared" si="29"/>
        <v>-1.799121757483531</v>
      </c>
      <c r="G337" s="11">
        <f t="shared" si="30"/>
        <v>-1.7836958083190217</v>
      </c>
    </row>
    <row r="338" spans="5:7" x14ac:dyDescent="0.25">
      <c r="E338" s="11">
        <f t="shared" si="28"/>
        <v>-4</v>
      </c>
      <c r="F338" s="11">
        <f t="shared" si="29"/>
        <v>-1.451265874486583</v>
      </c>
      <c r="G338" s="11">
        <f t="shared" si="30"/>
        <v>-1.4434466196730404</v>
      </c>
    </row>
    <row r="339" spans="5:7" x14ac:dyDescent="0.25">
      <c r="E339" s="11">
        <f t="shared" si="28"/>
        <v>-3</v>
      </c>
      <c r="F339" s="11">
        <f t="shared" si="29"/>
        <v>-1.0974215658677939</v>
      </c>
      <c r="G339" s="11">
        <f t="shared" si="30"/>
        <v>-1.0952432336129361</v>
      </c>
    </row>
    <row r="340" spans="5:7" x14ac:dyDescent="0.25">
      <c r="E340" s="11">
        <f t="shared" si="28"/>
        <v>-2</v>
      </c>
      <c r="F340" s="11">
        <f t="shared" si="29"/>
        <v>-0.73758525077027925</v>
      </c>
      <c r="G340" s="11">
        <f t="shared" si="30"/>
        <v>-0.73879486104392023</v>
      </c>
    </row>
    <row r="341" spans="5:7" x14ac:dyDescent="0.25">
      <c r="E341" s="11">
        <f t="shared" si="28"/>
        <v>-1</v>
      </c>
      <c r="F341" s="11">
        <f t="shared" si="29"/>
        <v>-0.37176875310607704</v>
      </c>
      <c r="G341" s="11">
        <f t="shared" si="30"/>
        <v>-0.37381071287120404</v>
      </c>
    </row>
    <row r="342" spans="5:7" x14ac:dyDescent="0.25">
      <c r="E342" s="11">
        <f t="shared" si="28"/>
        <v>0</v>
      </c>
      <c r="F342" s="11">
        <f t="shared" si="29"/>
        <v>0</v>
      </c>
      <c r="G342" s="11">
        <f t="shared" si="30"/>
        <v>0</v>
      </c>
    </row>
    <row r="343" spans="5:7" x14ac:dyDescent="0.25">
      <c r="E343" s="11">
        <f t="shared" si="28"/>
        <v>1</v>
      </c>
      <c r="F343" s="11">
        <f t="shared" si="29"/>
        <v>0.37767630327512502</v>
      </c>
      <c r="G343" s="11">
        <f t="shared" si="30"/>
        <v>0.38279519745448343</v>
      </c>
    </row>
    <row r="344" spans="5:7" x14ac:dyDescent="0.25">
      <c r="E344" s="11">
        <f t="shared" si="28"/>
        <v>2</v>
      </c>
      <c r="F344" s="11">
        <f t="shared" si="29"/>
        <v>0.76119802473514098</v>
      </c>
      <c r="G344" s="11">
        <f t="shared" si="30"/>
        <v>0.77420132253705365</v>
      </c>
    </row>
    <row r="345" spans="5:7" x14ac:dyDescent="0.25">
      <c r="E345" s="11">
        <f t="shared" si="28"/>
        <v>3</v>
      </c>
      <c r="F345" s="11">
        <f t="shared" si="29"/>
        <v>1.1504849864256734</v>
      </c>
      <c r="G345" s="11">
        <f t="shared" si="30"/>
        <v>1.1737119490825194</v>
      </c>
    </row>
    <row r="346" spans="5:7" x14ac:dyDescent="0.25">
      <c r="E346" s="11">
        <f t="shared" si="28"/>
        <v>4</v>
      </c>
      <c r="F346" s="11">
        <f t="shared" si="29"/>
        <v>1.5454383774693623</v>
      </c>
      <c r="G346" s="11">
        <f t="shared" si="30"/>
        <v>1.5808206509256908</v>
      </c>
    </row>
    <row r="347" spans="5:7" x14ac:dyDescent="0.25">
      <c r="E347" s="11">
        <f t="shared" si="28"/>
        <v>5</v>
      </c>
      <c r="F347" s="11">
        <f t="shared" si="29"/>
        <v>1.9459402024900863</v>
      </c>
      <c r="G347" s="11">
        <f t="shared" si="30"/>
        <v>1.9950210019013763</v>
      </c>
    </row>
    <row r="348" spans="5:7" x14ac:dyDescent="0.25">
      <c r="E348" s="11">
        <f t="shared" si="28"/>
        <v>6</v>
      </c>
      <c r="F348" s="11">
        <f t="shared" si="29"/>
        <v>2.3518527685542474</v>
      </c>
      <c r="G348" s="11">
        <f t="shared" si="30"/>
        <v>2.4158065758443872</v>
      </c>
    </row>
    <row r="349" spans="5:7" x14ac:dyDescent="0.25">
      <c r="E349" s="11">
        <f t="shared" si="28"/>
        <v>7</v>
      </c>
      <c r="F349" s="11">
        <f t="shared" si="29"/>
        <v>2.7630182138383588</v>
      </c>
      <c r="G349" s="11">
        <f t="shared" si="30"/>
        <v>2.842670946589533</v>
      </c>
    </row>
    <row r="350" spans="5:7" x14ac:dyDescent="0.25">
      <c r="E350" s="11">
        <f t="shared" si="28"/>
        <v>8</v>
      </c>
      <c r="F350" s="11">
        <f t="shared" si="29"/>
        <v>3.1792580813013798</v>
      </c>
      <c r="G350" s="11">
        <f t="shared" si="30"/>
        <v>3.2751076879716221</v>
      </c>
    </row>
    <row r="351" spans="5:7" x14ac:dyDescent="0.25">
      <c r="E351" s="11">
        <f t="shared" ref="E351:E414" si="31">E144</f>
        <v>9</v>
      </c>
      <c r="F351" s="11">
        <f t="shared" ref="F351:F414" si="32">$H$217*0+E351*$I$217+E351^2*$J$217+E351^3*$K$217+E351^4*$L$217+E351^5*$M$217+E351^6*$N$217+E351^7*$O$217+E351^8*$P$217</f>
        <v>3.6003729407094087</v>
      </c>
      <c r="G351" s="11">
        <f t="shared" ref="G351:G414" si="33">F144</f>
        <v>3.7126103738254645</v>
      </c>
    </row>
    <row r="352" spans="5:7" x14ac:dyDescent="0.25">
      <c r="E352" s="11">
        <f t="shared" si="31"/>
        <v>10</v>
      </c>
      <c r="F352" s="11">
        <f t="shared" si="32"/>
        <v>4.0261420624295594</v>
      </c>
      <c r="G352" s="11">
        <f t="shared" si="33"/>
        <v>4.1546725779858704</v>
      </c>
    </row>
    <row r="353" spans="5:7" x14ac:dyDescent="0.25">
      <c r="E353" s="11">
        <f t="shared" si="31"/>
        <v>11</v>
      </c>
      <c r="F353" s="11">
        <f t="shared" si="32"/>
        <v>4.456323146478999</v>
      </c>
      <c r="G353" s="11">
        <f t="shared" si="33"/>
        <v>4.6007878742876507</v>
      </c>
    </row>
    <row r="354" spans="5:7" x14ac:dyDescent="0.25">
      <c r="E354" s="11">
        <f t="shared" si="31"/>
        <v>12</v>
      </c>
      <c r="F354" s="11">
        <f t="shared" si="32"/>
        <v>4.8906521103843374</v>
      </c>
      <c r="G354" s="11">
        <f t="shared" si="33"/>
        <v>5.0504498365656119</v>
      </c>
    </row>
    <row r="355" spans="5:7" x14ac:dyDescent="0.25">
      <c r="E355" s="11">
        <f t="shared" si="31"/>
        <v>13</v>
      </c>
      <c r="F355" s="11">
        <f t="shared" si="32"/>
        <v>5.3288429394757451</v>
      </c>
      <c r="G355" s="11">
        <f t="shared" si="33"/>
        <v>5.5031520386545658</v>
      </c>
    </row>
    <row r="356" spans="5:7" x14ac:dyDescent="0.25">
      <c r="E356" s="11">
        <f t="shared" si="31"/>
        <v>14</v>
      </c>
      <c r="F356" s="11">
        <f t="shared" si="32"/>
        <v>5.7705876033093348</v>
      </c>
      <c r="G356" s="11">
        <f t="shared" si="33"/>
        <v>5.9583880543893226</v>
      </c>
    </row>
    <row r="357" spans="5:7" x14ac:dyDescent="0.25">
      <c r="E357" s="11">
        <f t="shared" si="31"/>
        <v>15</v>
      </c>
      <c r="F357" s="11">
        <f t="shared" si="32"/>
        <v>6.215556041980566</v>
      </c>
      <c r="G357" s="11">
        <f t="shared" si="33"/>
        <v>6.4156514576046906</v>
      </c>
    </row>
    <row r="358" spans="5:7" x14ac:dyDescent="0.25">
      <c r="E358" s="11">
        <f t="shared" si="31"/>
        <v>16</v>
      </c>
      <c r="F358" s="11">
        <f t="shared" si="32"/>
        <v>6.6633962261605983</v>
      </c>
      <c r="G358" s="11">
        <f t="shared" si="33"/>
        <v>6.8744358221354798</v>
      </c>
    </row>
    <row r="359" spans="5:7" x14ac:dyDescent="0.25">
      <c r="E359" s="11">
        <f t="shared" si="31"/>
        <v>17</v>
      </c>
      <c r="F359" s="11">
        <f t="shared" si="32"/>
        <v>7.1137342947566857</v>
      </c>
      <c r="G359" s="11">
        <f t="shared" si="33"/>
        <v>7.3342347218165003</v>
      </c>
    </row>
    <row r="360" spans="5:7" x14ac:dyDescent="0.25">
      <c r="E360" s="11">
        <f t="shared" si="31"/>
        <v>18</v>
      </c>
      <c r="F360" s="11">
        <f t="shared" si="32"/>
        <v>7.5661747741669636</v>
      </c>
      <c r="G360" s="11">
        <f t="shared" si="33"/>
        <v>7.7945417304825604</v>
      </c>
    </row>
    <row r="361" spans="5:7" x14ac:dyDescent="0.25">
      <c r="E361" s="11">
        <f t="shared" si="31"/>
        <v>19</v>
      </c>
      <c r="F361" s="11">
        <f t="shared" si="32"/>
        <v>8.0203008831690443</v>
      </c>
      <c r="G361" s="11">
        <f t="shared" si="33"/>
        <v>8.254850421968472</v>
      </c>
    </row>
    <row r="362" spans="5:7" x14ac:dyDescent="0.25">
      <c r="E362" s="11">
        <f t="shared" si="31"/>
        <v>20</v>
      </c>
      <c r="F362" s="11">
        <f t="shared" si="32"/>
        <v>8.4756749275511805</v>
      </c>
      <c r="G362" s="11">
        <f t="shared" si="33"/>
        <v>8.7146543701090415</v>
      </c>
    </row>
    <row r="363" spans="5:7" x14ac:dyDescent="0.25">
      <c r="E363" s="11">
        <f t="shared" si="31"/>
        <v>21</v>
      </c>
      <c r="F363" s="11">
        <f t="shared" si="32"/>
        <v>8.9318387886637538</v>
      </c>
      <c r="G363" s="11">
        <f t="shared" si="33"/>
        <v>9.1734471487390845</v>
      </c>
    </row>
    <row r="364" spans="5:7" x14ac:dyDescent="0.25">
      <c r="E364" s="11">
        <f t="shared" si="31"/>
        <v>22</v>
      </c>
      <c r="F364" s="11">
        <f t="shared" si="32"/>
        <v>9.3883145101382564</v>
      </c>
      <c r="G364" s="11">
        <f t="shared" si="33"/>
        <v>9.6307223316934056</v>
      </c>
    </row>
    <row r="365" spans="5:7" x14ac:dyDescent="0.25">
      <c r="E365" s="11">
        <f t="shared" si="31"/>
        <v>23</v>
      </c>
      <c r="F365" s="11">
        <f t="shared" si="32"/>
        <v>9.8446049870899071</v>
      </c>
      <c r="G365" s="11">
        <f t="shared" si="33"/>
        <v>10.085973492806815</v>
      </c>
    </row>
    <row r="366" spans="5:7" x14ac:dyDescent="0.25">
      <c r="E366" s="11">
        <f t="shared" si="31"/>
        <v>24</v>
      </c>
      <c r="F366" s="11">
        <f t="shared" si="32"/>
        <v>10.300194762189321</v>
      </c>
      <c r="G366" s="11">
        <f t="shared" si="33"/>
        <v>10.538694205914123</v>
      </c>
    </row>
    <row r="367" spans="5:7" x14ac:dyDescent="0.25">
      <c r="E367" s="11">
        <f t="shared" si="31"/>
        <v>25</v>
      </c>
      <c r="F367" s="11">
        <f t="shared" si="32"/>
        <v>10.754550933057946</v>
      </c>
      <c r="G367" s="11">
        <f t="shared" si="33"/>
        <v>10.988378044850137</v>
      </c>
    </row>
    <row r="368" spans="5:7" x14ac:dyDescent="0.25">
      <c r="E368" s="11">
        <f t="shared" si="31"/>
        <v>26</v>
      </c>
      <c r="F368" s="11">
        <f t="shared" si="32"/>
        <v>11.207124175510904</v>
      </c>
      <c r="G368" s="11">
        <f t="shared" si="33"/>
        <v>11.434518583449671</v>
      </c>
    </row>
    <row r="369" spans="5:7" x14ac:dyDescent="0.25">
      <c r="E369" s="11">
        <f t="shared" si="31"/>
        <v>27</v>
      </c>
      <c r="F369" s="11">
        <f t="shared" si="32"/>
        <v>11.657349887240363</v>
      </c>
      <c r="G369" s="11">
        <f t="shared" si="33"/>
        <v>11.876609395547533</v>
      </c>
    </row>
    <row r="370" spans="5:7" x14ac:dyDescent="0.25">
      <c r="E370" s="11">
        <f t="shared" si="31"/>
        <v>28</v>
      </c>
      <c r="F370" s="11">
        <f t="shared" si="32"/>
        <v>12.104649456601493</v>
      </c>
      <c r="G370" s="11">
        <f t="shared" si="33"/>
        <v>12.314144054978534</v>
      </c>
    </row>
    <row r="371" spans="5:7" x14ac:dyDescent="0.25">
      <c r="E371" s="11">
        <f t="shared" si="31"/>
        <v>29</v>
      </c>
      <c r="F371" s="11">
        <f t="shared" si="32"/>
        <v>12.548431661232431</v>
      </c>
      <c r="G371" s="11">
        <f t="shared" si="33"/>
        <v>12.746616135577479</v>
      </c>
    </row>
    <row r="372" spans="5:7" x14ac:dyDescent="0.25">
      <c r="E372" s="11">
        <f t="shared" si="31"/>
        <v>30</v>
      </c>
      <c r="F372" s="11">
        <f t="shared" si="32"/>
        <v>12.988094201308764</v>
      </c>
      <c r="G372" s="11">
        <f t="shared" si="33"/>
        <v>13.173519211179183</v>
      </c>
    </row>
    <row r="373" spans="5:7" x14ac:dyDescent="0.25">
      <c r="E373" s="11">
        <f t="shared" si="31"/>
        <v>31</v>
      </c>
      <c r="F373" s="11">
        <f t="shared" si="32"/>
        <v>13.423025372302265</v>
      </c>
      <c r="G373" s="11">
        <f t="shared" si="33"/>
        <v>13.594346855618452</v>
      </c>
    </row>
    <row r="374" spans="5:7" x14ac:dyDescent="0.25">
      <c r="E374" s="11">
        <f t="shared" si="31"/>
        <v>32</v>
      </c>
      <c r="F374" s="11">
        <f t="shared" si="32"/>
        <v>13.852605882182788</v>
      </c>
      <c r="G374" s="11">
        <f t="shared" si="33"/>
        <v>14.008592642730097</v>
      </c>
    </row>
    <row r="375" spans="5:7" x14ac:dyDescent="0.25">
      <c r="E375" s="11">
        <f t="shared" si="31"/>
        <v>33</v>
      </c>
      <c r="F375" s="11">
        <f t="shared" si="32"/>
        <v>14.276210818071428</v>
      </c>
      <c r="G375" s="11">
        <f t="shared" si="33"/>
        <v>14.415750146348929</v>
      </c>
    </row>
    <row r="376" spans="5:7" x14ac:dyDescent="0.25">
      <c r="E376" s="11">
        <f t="shared" si="31"/>
        <v>34</v>
      </c>
      <c r="F376" s="11">
        <f t="shared" si="32"/>
        <v>14.693211767422211</v>
      </c>
      <c r="G376" s="11">
        <f t="shared" si="33"/>
        <v>14.815312940309754</v>
      </c>
    </row>
    <row r="377" spans="5:7" x14ac:dyDescent="0.25">
      <c r="E377" s="11">
        <f t="shared" si="31"/>
        <v>35</v>
      </c>
      <c r="F377" s="11">
        <f t="shared" si="32"/>
        <v>15.102979098878846</v>
      </c>
      <c r="G377" s="11">
        <f t="shared" si="33"/>
        <v>15.206774598447385</v>
      </c>
    </row>
    <row r="378" spans="5:7" x14ac:dyDescent="0.25">
      <c r="E378" s="11">
        <f t="shared" si="31"/>
        <v>36</v>
      </c>
      <c r="F378" s="11">
        <f t="shared" si="32"/>
        <v>15.504884408022111</v>
      </c>
      <c r="G378" s="11">
        <f t="shared" si="33"/>
        <v>15.58962869459663</v>
      </c>
    </row>
    <row r="379" spans="5:7" x14ac:dyDescent="0.25">
      <c r="E379" s="11">
        <f t="shared" si="31"/>
        <v>37</v>
      </c>
      <c r="F379" s="11">
        <f t="shared" si="32"/>
        <v>15.898303133292774</v>
      </c>
      <c r="G379" s="11">
        <f t="shared" si="33"/>
        <v>15.963368802592301</v>
      </c>
    </row>
    <row r="380" spans="5:7" x14ac:dyDescent="0.25">
      <c r="E380" s="11">
        <f t="shared" si="31"/>
        <v>38</v>
      </c>
      <c r="F380" s="11">
        <f t="shared" si="32"/>
        <v>16.282617347444106</v>
      </c>
      <c r="G380" s="11">
        <f t="shared" si="33"/>
        <v>16.327488496269204</v>
      </c>
    </row>
    <row r="381" spans="5:7" x14ac:dyDescent="0.25">
      <c r="E381" s="11">
        <f t="shared" si="31"/>
        <v>39</v>
      </c>
      <c r="F381" s="11">
        <f t="shared" si="32"/>
        <v>16.657218729947093</v>
      </c>
      <c r="G381" s="11">
        <f t="shared" si="33"/>
        <v>16.681481349462153</v>
      </c>
    </row>
    <row r="382" spans="5:7" x14ac:dyDescent="0.25">
      <c r="E382" s="11">
        <f t="shared" si="31"/>
        <v>40</v>
      </c>
      <c r="F382" s="11">
        <f t="shared" si="32"/>
        <v>17.021511725840913</v>
      </c>
      <c r="G382" s="11">
        <f t="shared" si="33"/>
        <v>17.024840936005955</v>
      </c>
    </row>
    <row r="383" spans="5:7" x14ac:dyDescent="0.25">
      <c r="E383" s="11">
        <f t="shared" si="31"/>
        <v>41</v>
      </c>
      <c r="F383" s="11">
        <f t="shared" si="32"/>
        <v>17.374916896590126</v>
      </c>
      <c r="G383" s="11">
        <f t="shared" si="33"/>
        <v>17.357060829735421</v>
      </c>
    </row>
    <row r="384" spans="5:7" x14ac:dyDescent="0.25">
      <c r="E384" s="11">
        <f t="shared" si="31"/>
        <v>42</v>
      </c>
      <c r="F384" s="11">
        <f t="shared" si="32"/>
        <v>17.716874468579412</v>
      </c>
      <c r="G384" s="11">
        <f t="shared" si="33"/>
        <v>17.677634604485359</v>
      </c>
    </row>
    <row r="385" spans="5:7" x14ac:dyDescent="0.25">
      <c r="E385" s="11">
        <f t="shared" si="31"/>
        <v>43</v>
      </c>
      <c r="F385" s="11">
        <f t="shared" si="32"/>
        <v>18.046848084945864</v>
      </c>
      <c r="G385" s="11">
        <f t="shared" si="33"/>
        <v>17.986055834090578</v>
      </c>
    </row>
    <row r="386" spans="5:7" x14ac:dyDescent="0.25">
      <c r="E386" s="11">
        <f t="shared" si="31"/>
        <v>44</v>
      </c>
      <c r="F386" s="11">
        <f t="shared" si="32"/>
        <v>18.364328766517886</v>
      </c>
      <c r="G386" s="11">
        <f t="shared" si="33"/>
        <v>18.281818092385887</v>
      </c>
    </row>
    <row r="387" spans="5:7" x14ac:dyDescent="0.25">
      <c r="E387" s="11">
        <f t="shared" si="31"/>
        <v>45</v>
      </c>
      <c r="F387" s="11">
        <f t="shared" si="32"/>
        <v>18.668839087699162</v>
      </c>
      <c r="G387" s="11">
        <f t="shared" si="33"/>
        <v>18.5644149532061</v>
      </c>
    </row>
    <row r="388" spans="5:7" x14ac:dyDescent="0.25">
      <c r="E388" s="11">
        <f t="shared" si="31"/>
        <v>46</v>
      </c>
      <c r="F388" s="11">
        <f t="shared" si="32"/>
        <v>18.959937573205064</v>
      </c>
      <c r="G388" s="11">
        <f t="shared" si="33"/>
        <v>18.833489498668982</v>
      </c>
    </row>
    <row r="389" spans="5:7" x14ac:dyDescent="0.25">
      <c r="E389" s="11">
        <f t="shared" si="31"/>
        <v>47</v>
      </c>
      <c r="F389" s="11">
        <f t="shared" si="32"/>
        <v>19.237223321628388</v>
      </c>
      <c r="G389" s="11">
        <f t="shared" si="33"/>
        <v>19.089282844024158</v>
      </c>
    </row>
    <row r="390" spans="5:7" x14ac:dyDescent="0.25">
      <c r="E390" s="11">
        <f t="shared" si="31"/>
        <v>48</v>
      </c>
      <c r="F390" s="11">
        <f t="shared" si="32"/>
        <v>19.50034086188014</v>
      </c>
      <c r="G390" s="11">
        <f t="shared" si="33"/>
        <v>19.33218561280421</v>
      </c>
    </row>
    <row r="391" spans="5:7" x14ac:dyDescent="0.25">
      <c r="E391" s="11">
        <f t="shared" si="31"/>
        <v>49</v>
      </c>
      <c r="F391" s="11">
        <f t="shared" si="32"/>
        <v>19.74898524862061</v>
      </c>
      <c r="G391" s="11">
        <f t="shared" si="33"/>
        <v>19.562588428541705</v>
      </c>
    </row>
    <row r="392" spans="5:7" x14ac:dyDescent="0.25">
      <c r="E392" s="11">
        <f t="shared" si="31"/>
        <v>50</v>
      </c>
      <c r="F392" s="11">
        <f t="shared" si="32"/>
        <v>19.98290740286485</v>
      </c>
      <c r="G392" s="11">
        <f t="shared" si="33"/>
        <v>19.780881914769232</v>
      </c>
    </row>
    <row r="393" spans="5:7" x14ac:dyDescent="0.25">
      <c r="E393" s="11">
        <f t="shared" si="31"/>
        <v>51</v>
      </c>
      <c r="F393" s="11">
        <f t="shared" si="32"/>
        <v>20.201919704016191</v>
      </c>
      <c r="G393" s="11">
        <f t="shared" si="33"/>
        <v>19.987456695019368</v>
      </c>
    </row>
    <row r="394" spans="5:7" x14ac:dyDescent="0.25">
      <c r="E394" s="11">
        <f t="shared" si="31"/>
        <v>52</v>
      </c>
      <c r="F394" s="11">
        <f t="shared" si="32"/>
        <v>20.405901839650255</v>
      </c>
      <c r="G394" s="11">
        <f t="shared" si="33"/>
        <v>20.182703392824695</v>
      </c>
    </row>
    <row r="395" spans="5:7" x14ac:dyDescent="0.25">
      <c r="E395" s="11">
        <f t="shared" si="31"/>
        <v>53</v>
      </c>
      <c r="F395" s="11">
        <f t="shared" si="32"/>
        <v>20.594806919441478</v>
      </c>
      <c r="G395" s="11">
        <f t="shared" si="33"/>
        <v>20.367012631717792</v>
      </c>
    </row>
    <row r="396" spans="5:7" x14ac:dyDescent="0.25">
      <c r="E396" s="11">
        <f t="shared" si="31"/>
        <v>54</v>
      </c>
      <c r="F396" s="11">
        <f t="shared" si="32"/>
        <v>20.768667859692936</v>
      </c>
      <c r="G396" s="11">
        <f t="shared" si="33"/>
        <v>20.540775035231238</v>
      </c>
    </row>
    <row r="397" spans="5:7" x14ac:dyDescent="0.25">
      <c r="E397" s="11">
        <f t="shared" si="31"/>
        <v>55</v>
      </c>
      <c r="F397" s="11">
        <f t="shared" si="32"/>
        <v>20.927604044999963</v>
      </c>
      <c r="G397" s="11">
        <f t="shared" si="33"/>
        <v>20.70438122689761</v>
      </c>
    </row>
    <row r="398" spans="5:7" x14ac:dyDescent="0.25">
      <c r="E398" s="11">
        <f t="shared" si="31"/>
        <v>56</v>
      </c>
      <c r="F398" s="11">
        <f t="shared" si="32"/>
        <v>21.071828273646641</v>
      </c>
      <c r="G398" s="11">
        <f t="shared" si="33"/>
        <v>20.858221830249494</v>
      </c>
    </row>
    <row r="399" spans="5:7" x14ac:dyDescent="0.25">
      <c r="E399" s="11">
        <f t="shared" si="31"/>
        <v>57</v>
      </c>
      <c r="F399" s="11">
        <f t="shared" si="32"/>
        <v>21.201653993404044</v>
      </c>
      <c r="G399" s="11">
        <f t="shared" si="33"/>
        <v>21.002687468819463</v>
      </c>
    </row>
    <row r="400" spans="5:7" x14ac:dyDescent="0.25">
      <c r="E400" s="11">
        <f t="shared" si="31"/>
        <v>58</v>
      </c>
      <c r="F400" s="11">
        <f t="shared" si="32"/>
        <v>21.31750283446765</v>
      </c>
      <c r="G400" s="11">
        <f t="shared" si="33"/>
        <v>21.138168766140097</v>
      </c>
    </row>
    <row r="401" spans="5:7" x14ac:dyDescent="0.25">
      <c r="E401" s="11">
        <f t="shared" si="31"/>
        <v>59</v>
      </c>
      <c r="F401" s="11">
        <f t="shared" si="32"/>
        <v>21.4199124463413</v>
      </c>
      <c r="G401" s="11">
        <f t="shared" si="33"/>
        <v>21.265056345743982</v>
      </c>
    </row>
    <row r="402" spans="5:7" x14ac:dyDescent="0.25">
      <c r="E402" s="11">
        <f t="shared" si="31"/>
        <v>60</v>
      </c>
      <c r="F402" s="11">
        <f t="shared" si="32"/>
        <v>21.509544645543386</v>
      </c>
      <c r="G402" s="11">
        <f t="shared" si="33"/>
        <v>21.383740831163692</v>
      </c>
    </row>
    <row r="403" spans="5:7" x14ac:dyDescent="0.25">
      <c r="E403" s="11">
        <f t="shared" si="31"/>
        <v>61</v>
      </c>
      <c r="F403" s="11">
        <f t="shared" si="32"/>
        <v>21.58719388108095</v>
      </c>
      <c r="G403" s="11">
        <f t="shared" si="33"/>
        <v>21.494612845931808</v>
      </c>
    </row>
    <row r="404" spans="5:7" x14ac:dyDescent="0.25">
      <c r="E404" s="11">
        <f t="shared" si="31"/>
        <v>62</v>
      </c>
      <c r="F404" s="11">
        <f t="shared" si="32"/>
        <v>21.653796024705986</v>
      </c>
      <c r="G404" s="11">
        <f t="shared" si="33"/>
        <v>21.598063013580912</v>
      </c>
    </row>
    <row r="405" spans="5:7" x14ac:dyDescent="0.25">
      <c r="E405" s="11">
        <f t="shared" si="31"/>
        <v>63</v>
      </c>
      <c r="F405" s="11">
        <f t="shared" si="32"/>
        <v>21.710437493037773</v>
      </c>
      <c r="G405" s="11">
        <f t="shared" si="33"/>
        <v>21.694481957643582</v>
      </c>
    </row>
    <row r="406" spans="5:7" x14ac:dyDescent="0.25">
      <c r="E406" s="11">
        <f t="shared" si="31"/>
        <v>64</v>
      </c>
      <c r="F406" s="11">
        <f t="shared" si="32"/>
        <v>21.758364708704004</v>
      </c>
      <c r="G406" s="11">
        <f t="shared" si="33"/>
        <v>21.784260301652395</v>
      </c>
    </row>
    <row r="407" spans="5:7" x14ac:dyDescent="0.25">
      <c r="E407" s="11">
        <f t="shared" si="31"/>
        <v>65</v>
      </c>
      <c r="F407" s="11">
        <f t="shared" si="32"/>
        <v>21.798993907722895</v>
      </c>
      <c r="G407" s="11">
        <f t="shared" si="33"/>
        <v>21.867788669139934</v>
      </c>
    </row>
    <row r="408" spans="5:7" x14ac:dyDescent="0.25">
      <c r="E408" s="11">
        <f t="shared" si="31"/>
        <v>66</v>
      </c>
      <c r="F408" s="11">
        <f t="shared" si="32"/>
        <v>21.833921300417384</v>
      </c>
      <c r="G408" s="11">
        <f t="shared" si="33"/>
        <v>21.945457683638779</v>
      </c>
    </row>
    <row r="409" spans="5:7" x14ac:dyDescent="0.25">
      <c r="E409" s="11">
        <f t="shared" si="31"/>
        <v>67</v>
      </c>
      <c r="F409" s="11">
        <f t="shared" si="32"/>
        <v>21.864933593222048</v>
      </c>
      <c r="G409" s="11">
        <f t="shared" si="33"/>
        <v>22.017657968681508</v>
      </c>
    </row>
    <row r="410" spans="5:7" x14ac:dyDescent="0.25">
      <c r="E410" s="11">
        <f t="shared" si="31"/>
        <v>68</v>
      </c>
      <c r="F410" s="11">
        <f t="shared" si="32"/>
        <v>21.894018878812226</v>
      </c>
      <c r="G410" s="11">
        <f t="shared" si="33"/>
        <v>22.084780147800704</v>
      </c>
    </row>
    <row r="411" spans="5:7" x14ac:dyDescent="0.25">
      <c r="E411" s="11">
        <f t="shared" si="31"/>
        <v>69</v>
      </c>
      <c r="F411" s="11">
        <f t="shared" si="32"/>
        <v>21.923377902054149</v>
      </c>
      <c r="G411" s="11">
        <f t="shared" si="33"/>
        <v>22.147214844528939</v>
      </c>
    </row>
    <row r="412" spans="5:7" x14ac:dyDescent="0.25">
      <c r="E412" s="11">
        <f t="shared" si="31"/>
        <v>70</v>
      </c>
      <c r="F412" s="11">
        <f t="shared" si="32"/>
        <v>21.955435709344247</v>
      </c>
      <c r="G412" s="11">
        <f t="shared" si="33"/>
        <v>22.205352682398797</v>
      </c>
    </row>
    <row r="413" spans="5:7" x14ac:dyDescent="0.25">
      <c r="E413" s="11">
        <f t="shared" si="31"/>
        <v>71</v>
      </c>
      <c r="F413" s="11">
        <f t="shared" si="32"/>
        <v>21.992853688974563</v>
      </c>
      <c r="G413" s="11">
        <f t="shared" si="33"/>
        <v>22.259584284942864</v>
      </c>
    </row>
    <row r="414" spans="5:7" x14ac:dyDescent="0.25">
      <c r="E414" s="11">
        <f t="shared" si="31"/>
        <v>72</v>
      </c>
      <c r="F414" s="11">
        <f t="shared" si="32"/>
        <v>22.038542010230927</v>
      </c>
      <c r="G414" s="11">
        <f t="shared" si="33"/>
        <v>22.310300275693713</v>
      </c>
    </row>
    <row r="415" spans="5:7" x14ac:dyDescent="0.25">
      <c r="E415" s="11">
        <f t="shared" ref="E415:E422" si="34">E208</f>
        <v>73</v>
      </c>
      <c r="F415" s="11">
        <f t="shared" ref="F415:F422" si="35">$H$217*0+E415*$I$217+E415^2*$J$217+E415^3*$K$217+E415^4*$L$217+E415^5*$M$217+E415^6*$N$217+E415^7*$O$217+E415^8*$P$217</f>
        <v>22.095672468999179</v>
      </c>
      <c r="G415" s="11">
        <f t="shared" ref="G415:G422" si="36">F208</f>
        <v>22.357891278183921</v>
      </c>
    </row>
    <row r="416" spans="5:7" x14ac:dyDescent="0.25">
      <c r="E416" s="11">
        <f t="shared" si="34"/>
        <v>74</v>
      </c>
      <c r="F416" s="11">
        <f t="shared" si="35"/>
        <v>22.167691747724458</v>
      </c>
      <c r="G416" s="11">
        <f t="shared" si="36"/>
        <v>22.402747915946073</v>
      </c>
    </row>
    <row r="417" spans="5:7" x14ac:dyDescent="0.25">
      <c r="E417" s="11">
        <f t="shared" si="34"/>
        <v>75</v>
      </c>
      <c r="F417" s="11">
        <f t="shared" si="35"/>
        <v>22.258335097637225</v>
      </c>
      <c r="G417" s="11">
        <f t="shared" si="36"/>
        <v>22.445260812512746</v>
      </c>
    </row>
    <row r="418" spans="5:7" x14ac:dyDescent="0.25">
      <c r="E418" s="11">
        <f t="shared" si="34"/>
        <v>76</v>
      </c>
      <c r="F418" s="11">
        <f t="shared" si="35"/>
        <v>22.371640451229378</v>
      </c>
      <c r="G418" s="11">
        <f t="shared" si="36"/>
        <v>22.485820591416523</v>
      </c>
    </row>
    <row r="419" spans="5:7" x14ac:dyDescent="0.25">
      <c r="E419" s="11">
        <f t="shared" si="34"/>
        <v>77</v>
      </c>
      <c r="F419" s="11">
        <f t="shared" si="35"/>
        <v>22.511962973032535</v>
      </c>
      <c r="G419" s="11">
        <f t="shared" si="36"/>
        <v>22.524817876189978</v>
      </c>
    </row>
    <row r="420" spans="5:7" x14ac:dyDescent="0.25">
      <c r="E420" s="11">
        <f t="shared" si="34"/>
        <v>78</v>
      </c>
      <c r="F420" s="11">
        <f t="shared" si="35"/>
        <v>22.683990056820264</v>
      </c>
      <c r="G420" s="11">
        <f t="shared" si="36"/>
        <v>22.562643290365692</v>
      </c>
    </row>
    <row r="421" spans="5:7" x14ac:dyDescent="0.25">
      <c r="E421" s="11">
        <f t="shared" si="34"/>
        <v>79</v>
      </c>
      <c r="F421" s="11">
        <f t="shared" si="35"/>
        <v>22.892756777424562</v>
      </c>
      <c r="G421" s="11">
        <f t="shared" si="36"/>
        <v>22.599687457476254</v>
      </c>
    </row>
    <row r="422" spans="5:7" x14ac:dyDescent="0.25">
      <c r="E422" s="11">
        <f t="shared" si="34"/>
        <v>80</v>
      </c>
      <c r="F422" s="11">
        <f t="shared" si="35"/>
        <v>23.143661805426913</v>
      </c>
      <c r="G422" s="11">
        <f t="shared" si="36"/>
        <v>22.636341001054234</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2022-01-21T12:56:57Z</dcterms:modified>
</cp:coreProperties>
</file>