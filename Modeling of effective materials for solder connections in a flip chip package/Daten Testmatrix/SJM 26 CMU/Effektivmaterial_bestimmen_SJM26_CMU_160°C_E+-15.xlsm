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A18" i="43" l="1"/>
  <c r="M3" i="8"/>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B405" i="43" l="1"/>
  <c r="B424" i="43"/>
  <c r="B425" i="43"/>
  <c r="B413" i="43"/>
  <c r="B414" i="43"/>
  <c r="B408" i="43"/>
  <c r="B415" i="43"/>
  <c r="B417" i="43"/>
  <c r="B409" i="43"/>
  <c r="B406" i="43"/>
  <c r="B429" i="43"/>
  <c r="B411" i="43"/>
  <c r="B416" i="43"/>
  <c r="B432" i="43"/>
  <c r="B404" i="43"/>
  <c r="B428" i="43"/>
  <c r="B410" i="43"/>
  <c r="B407" i="43"/>
  <c r="B431" i="43"/>
  <c r="B427" i="43"/>
  <c r="B420" i="43"/>
  <c r="B434" i="43"/>
  <c r="B430" i="43"/>
  <c r="B423" i="43"/>
  <c r="B418" i="43"/>
  <c r="B419" i="43"/>
  <c r="B433" i="43"/>
  <c r="B426" i="43"/>
  <c r="B421" i="43"/>
  <c r="B422" i="43"/>
  <c r="B412" i="43"/>
  <c r="D406" i="43"/>
  <c r="D417" i="43"/>
  <c r="D419" i="43"/>
  <c r="D426" i="43"/>
  <c r="D430" i="43"/>
  <c r="D423" i="43"/>
  <c r="D428" i="43"/>
  <c r="D404" i="43"/>
  <c r="D425" i="43"/>
  <c r="D429" i="43"/>
  <c r="D432" i="43"/>
  <c r="D433" i="43"/>
  <c r="D411" i="43"/>
  <c r="D416" i="43"/>
  <c r="D415" i="43"/>
  <c r="D409" i="43"/>
  <c r="D421" i="43"/>
  <c r="D434" i="43"/>
  <c r="D407" i="43"/>
  <c r="D414" i="43"/>
  <c r="D418" i="43"/>
  <c r="D427" i="43"/>
  <c r="D408" i="43"/>
  <c r="D424" i="43"/>
  <c r="D410" i="43"/>
  <c r="D412" i="43"/>
  <c r="D420" i="43"/>
  <c r="D422" i="43"/>
  <c r="D431" i="43"/>
  <c r="D405" i="43"/>
  <c r="D413" i="43"/>
  <c r="C406" i="43"/>
  <c r="C423" i="43"/>
  <c r="C428" i="43"/>
  <c r="C404" i="43"/>
  <c r="C434" i="43"/>
  <c r="C419" i="43"/>
  <c r="C426" i="43"/>
  <c r="C409" i="43"/>
  <c r="C421" i="43"/>
  <c r="C430" i="43"/>
  <c r="C407" i="43"/>
  <c r="C414" i="43"/>
  <c r="C418" i="43"/>
  <c r="C425" i="43"/>
  <c r="C427" i="43"/>
  <c r="C429" i="43"/>
  <c r="C432" i="43"/>
  <c r="C412" i="43"/>
  <c r="C422" i="43"/>
  <c r="C431" i="43"/>
  <c r="C417" i="43"/>
  <c r="C410" i="43"/>
  <c r="C420" i="43"/>
  <c r="C405" i="43"/>
  <c r="C408" i="43"/>
  <c r="C415" i="43"/>
  <c r="C424" i="43"/>
  <c r="C433" i="43"/>
  <c r="C413" i="43"/>
  <c r="C411" i="43"/>
  <c r="C416" i="43"/>
  <c r="H434" i="43"/>
  <c r="H418" i="43"/>
  <c r="H415" i="43"/>
  <c r="H410" i="43"/>
  <c r="H424" i="43"/>
  <c r="H405" i="43"/>
  <c r="H433" i="43"/>
  <c r="H426" i="43"/>
  <c r="H408" i="43"/>
  <c r="H417" i="43"/>
  <c r="H414" i="43"/>
  <c r="H430" i="43"/>
  <c r="H423" i="43"/>
  <c r="H416" i="43"/>
  <c r="H404" i="43"/>
  <c r="H413" i="43"/>
  <c r="H427" i="43"/>
  <c r="H409" i="43"/>
  <c r="H422" i="43"/>
  <c r="H421" i="43"/>
  <c r="H428" i="43"/>
  <c r="H420" i="43"/>
  <c r="H432" i="43"/>
  <c r="H412" i="43"/>
  <c r="H425" i="43"/>
  <c r="H407" i="43"/>
  <c r="H419" i="43"/>
  <c r="H431" i="43"/>
  <c r="H411" i="43"/>
  <c r="H429" i="43"/>
  <c r="H406" i="43"/>
  <c r="G410" i="43"/>
  <c r="G413" i="43"/>
  <c r="G431" i="43"/>
  <c r="G416" i="43"/>
  <c r="G434" i="43"/>
  <c r="G428" i="43"/>
  <c r="G429" i="43"/>
  <c r="G411" i="43"/>
  <c r="G427" i="43"/>
  <c r="G409" i="43"/>
  <c r="G421" i="43"/>
  <c r="G404" i="43"/>
  <c r="G430" i="43"/>
  <c r="G422" i="43"/>
  <c r="G426" i="43"/>
  <c r="G408" i="43"/>
  <c r="G424" i="43"/>
  <c r="G406" i="43"/>
  <c r="G419" i="43"/>
  <c r="G423" i="43"/>
  <c r="G405" i="43"/>
  <c r="G420" i="43"/>
  <c r="G418" i="43"/>
  <c r="G432" i="43"/>
  <c r="G412" i="43"/>
  <c r="G407" i="43"/>
  <c r="G417" i="43"/>
  <c r="G433" i="43"/>
  <c r="G415" i="43"/>
  <c r="G425" i="43"/>
  <c r="G414" i="43"/>
  <c r="E405" i="43"/>
  <c r="E408" i="43"/>
  <c r="E413" i="43"/>
  <c r="E415" i="43"/>
  <c r="E424" i="43"/>
  <c r="E433" i="43"/>
  <c r="E430" i="43"/>
  <c r="E434" i="43"/>
  <c r="E410" i="43"/>
  <c r="E406" i="43"/>
  <c r="E417" i="43"/>
  <c r="E419" i="43"/>
  <c r="E426" i="43"/>
  <c r="E422" i="43"/>
  <c r="E411" i="43"/>
  <c r="E416" i="43"/>
  <c r="E423" i="43"/>
  <c r="E404" i="43"/>
  <c r="E431" i="43"/>
  <c r="E418" i="43"/>
  <c r="E425" i="43"/>
  <c r="E427" i="43"/>
  <c r="E429" i="43"/>
  <c r="E420" i="43"/>
  <c r="E421" i="43"/>
  <c r="E409" i="43"/>
  <c r="E432" i="43"/>
  <c r="E412" i="43"/>
  <c r="E407" i="43"/>
  <c r="E428" i="43"/>
  <c r="E414" i="43"/>
  <c r="F415" i="43"/>
  <c r="F410" i="43"/>
  <c r="F420" i="43"/>
  <c r="F431" i="43"/>
  <c r="F424" i="43"/>
  <c r="F404" i="43"/>
  <c r="F419" i="43"/>
  <c r="F430" i="43"/>
  <c r="F416" i="43"/>
  <c r="F423" i="43"/>
  <c r="F434" i="43"/>
  <c r="F427" i="43"/>
  <c r="F421" i="43"/>
  <c r="F425" i="43"/>
  <c r="F426" i="43"/>
  <c r="F412" i="43"/>
  <c r="F409" i="43"/>
  <c r="F417" i="43"/>
  <c r="F414" i="43"/>
  <c r="F422" i="43"/>
  <c r="F411" i="43"/>
  <c r="F405" i="43"/>
  <c r="F432" i="43"/>
  <c r="F418"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AP5" i="8"/>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AM29" i="8"/>
  <c r="J430" i="43"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Q3" i="8" l="1"/>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E49" i="43" l="1"/>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<sst xmlns="http://schemas.openxmlformats.org/spreadsheetml/2006/main" count="311" uniqueCount="164">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</sst>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393378472"/>
        <c:axId val="3933765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3933784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3376512"/>
        <c:crossesAt val="-8.0000000000000019E-3"/>
        <c:crossBetween val="midCat"/>
      </c:valAx>
      <c:valAx>
        <c:axId val="393376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33784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16465896"/>
        <c:axId val="4412699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1646589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69928"/>
        <c:crosses val="autoZero"/>
        <c:crossBetween val="midCat"/>
      </c:valAx>
      <c:valAx>
        <c:axId val="441269928"/>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646589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1266008"/>
        <c:axId val="4412718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12660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71888"/>
        <c:crosses val="autoZero"/>
        <c:crossBetween val="midCat"/>
        <c:majorUnit val="10000"/>
      </c:valAx>
      <c:valAx>
        <c:axId val="44127188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6600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1270712"/>
        <c:axId val="4412691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2707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1269144"/>
        <c:crosses val="autoZero"/>
        <c:crossBetween val="midCat"/>
        <c:majorUnit val="10000"/>
      </c:valAx>
      <c:valAx>
        <c:axId val="44126914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127071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1273064"/>
        <c:axId val="4412675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27306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67576"/>
        <c:crosses val="autoZero"/>
        <c:crossBetween val="midCat"/>
        <c:majorUnit val="10000"/>
      </c:valAx>
      <c:valAx>
        <c:axId val="441267576"/>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7306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1.4541118470158793E-2</c:v>
                </c:pt>
                <c:pt idx="1">
                  <c:v>1.9844802799964149E-2</c:v>
                </c:pt>
                <c:pt idx="2">
                  <c:v>5.5227605740725142E-3</c:v>
                </c:pt>
                <c:pt idx="3">
                  <c:v>9.5051613708754432E-4</c:v>
                </c:pt>
                <c:pt idx="4">
                  <c:v>1.4223690755627133E-4</c:v>
                </c:pt>
                <c:pt idx="5">
                  <c:v>2.0177102976674456E-5</c:v>
                </c:pt>
                <c:pt idx="6">
                  <c:v>3.0494894840045716E-6</c:v>
                </c:pt>
                <c:pt idx="7">
                  <c:v>1.47027121535566E-6</c:v>
                </c:pt>
                <c:pt idx="8">
                  <c:v>2.1378424294124404E-6</c:v>
                </c:pt>
                <c:pt idx="9">
                  <c:v>3.7439647452870781E-6</c:v>
                </c:pt>
                <c:pt idx="10">
                  <c:v>7.8962656156628689E-6</c:v>
                </c:pt>
                <c:pt idx="11">
                  <c:v>1.2140170077971408E-5</c:v>
                </c:pt>
                <c:pt idx="12">
                  <c:v>2.7344239646846314E-5</c:v>
                </c:pt>
                <c:pt idx="13">
                  <c:v>2.843751029153816E-5</c:v>
                </c:pt>
                <c:pt idx="14">
                  <c:v>7.1262229983848268E-6</c:v>
                </c:pt>
                <c:pt idx="15">
                  <c:v>5.814766136002786E-8</c:v>
                </c:pt>
                <c:pt idx="16">
                  <c:v>1.5313804420583351E-5</c:v>
                </c:pt>
                <c:pt idx="17">
                  <c:v>4.2187181060436725E-5</c:v>
                </c:pt>
                <c:pt idx="18">
                  <c:v>5.1848806530115306E-5</c:v>
                </c:pt>
                <c:pt idx="19">
                  <c:v>3.976176842542894E-5</c:v>
                </c:pt>
                <c:pt idx="20">
                  <c:v>1.3785676523716372E-5</c:v>
                </c:pt>
                <c:pt idx="21">
                  <c:v>1.2523897284165058E-5</c:v>
                </c:pt>
                <c:pt idx="22">
                  <c:v>7.7709349537788329E-6</c:v>
                </c:pt>
                <c:pt idx="23">
                  <c:v>7.788868953144828E-5</c:v>
                </c:pt>
                <c:pt idx="24">
                  <c:v>1.6930716154725382E-4</c:v>
                </c:pt>
                <c:pt idx="25">
                  <c:v>3.8405571624011838E-4</c:v>
                </c:pt>
                <c:pt idx="26">
                  <c:v>7.1781760251653421E-4</c:v>
                </c:pt>
                <c:pt idx="27">
                  <c:v>1.0369977635366202E-3</c:v>
                </c:pt>
                <c:pt idx="28">
                  <c:v>3.5730730501997996E-3</c:v>
                </c:pt>
                <c:pt idx="29">
                  <c:v>2.8912484754059545E-3</c:v>
                </c:pt>
                <c:pt idx="30">
                  <c:v>1.3138072492738223E-4</c:v>
                </c:pt>
              </c:numCache>
            </c:numRef>
          </c:yVal>
          <c:smooth val="1"/>
        </c:ser>
        <c:dLbls>
          <c:showLegendKey val="0"/>
          <c:showVal val="0"/>
          <c:showCatName val="0"/>
          <c:showSerName val="0"/>
          <c:showPercent val="0"/>
          <c:showBubbleSize val="0"/>
        </c:dLbls>
        <c:axId val="441268360"/>
        <c:axId val="441268752"/>
      </c:scatterChart>
      <c:valAx>
        <c:axId val="4412683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68752"/>
        <c:crossesAt val="-1.5000000000000005E-3"/>
        <c:crossBetween val="midCat"/>
      </c:valAx>
      <c:valAx>
        <c:axId val="44126875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6836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6074.2870333441651</c:v>
                </c:pt>
                <c:pt idx="1">
                  <c:v>5957.9484724674712</c:v>
                </c:pt>
                <c:pt idx="2">
                  <c:v>5526.8862864407483</c:v>
                </c:pt>
                <c:pt idx="3">
                  <c:v>5280.495722205379</c:v>
                </c:pt>
                <c:pt idx="4">
                  <c:v>4965.6957137065692</c:v>
                </c:pt>
                <c:pt idx="5">
                  <c:v>4621.1089039414765</c:v>
                </c:pt>
                <c:pt idx="6">
                  <c:v>4155.464659499411</c:v>
                </c:pt>
                <c:pt idx="7">
                  <c:v>3566.777736182109</c:v>
                </c:pt>
                <c:pt idx="8">
                  <c:v>2850.9386919405069</c:v>
                </c:pt>
                <c:pt idx="9">
                  <c:v>2002.5693119123268</c:v>
                </c:pt>
                <c:pt idx="10">
                  <c:v>1246.5166398215954</c:v>
                </c:pt>
                <c:pt idx="11">
                  <c:v>721.6324452637657</c:v>
                </c:pt>
                <c:pt idx="12">
                  <c:v>404.71526706378677</c:v>
                </c:pt>
                <c:pt idx="13">
                  <c:v>265.07933881383821</c:v>
                </c:pt>
                <c:pt idx="14">
                  <c:v>224.39914253652398</c:v>
                </c:pt>
                <c:pt idx="15">
                  <c:v>202.49199615816093</c:v>
                </c:pt>
                <c:pt idx="16">
                  <c:v>189.84062712898782</c:v>
                </c:pt>
                <c:pt idx="17">
                  <c:v>169.85571831394682</c:v>
                </c:pt>
                <c:pt idx="18">
                  <c:v>142.30103772013257</c:v>
                </c:pt>
                <c:pt idx="19">
                  <c:v>121.7113598748134</c:v>
                </c:pt>
                <c:pt idx="20">
                  <c:v>109.27830213020289</c:v>
                </c:pt>
                <c:pt idx="21">
                  <c:v>101.92266903167608</c:v>
                </c:pt>
                <c:pt idx="22">
                  <c:v>97.500531653015301</c:v>
                </c:pt>
                <c:pt idx="23">
                  <c:v>94.72027267218516</c:v>
                </c:pt>
                <c:pt idx="24">
                  <c:v>92.913725801555998</c:v>
                </c:pt>
                <c:pt idx="25">
                  <c:v>92.041523491636113</c:v>
                </c:pt>
                <c:pt idx="26">
                  <c:v>91.697397967903811</c:v>
                </c:pt>
                <c:pt idx="27">
                  <c:v>90.903738602267254</c:v>
                </c:pt>
                <c:pt idx="28">
                  <c:v>90.470021952546219</c:v>
                </c:pt>
                <c:pt idx="29">
                  <c:v>90.418190612083663</c:v>
                </c:pt>
                <c:pt idx="30">
                  <c:v>89.925247730966291</c:v>
                </c:pt>
              </c:numCache>
            </c:numRef>
          </c:yVal>
          <c:smooth val="1"/>
        </c:ser>
        <c:dLbls>
          <c:showLegendKey val="0"/>
          <c:showVal val="0"/>
          <c:showCatName val="0"/>
          <c:showSerName val="0"/>
          <c:showPercent val="0"/>
          <c:showBubbleSize val="0"/>
        </c:dLbls>
        <c:axId val="393383568"/>
        <c:axId val="440223928"/>
      </c:scatterChart>
      <c:valAx>
        <c:axId val="3933835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3928"/>
        <c:crosses val="autoZero"/>
        <c:crossBetween val="midCat"/>
      </c:valAx>
      <c:valAx>
        <c:axId val="4402239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338356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1.4624449982099759E-2</c:v>
                </c:pt>
                <c:pt idx="1">
                  <c:v>1.4724660515956053E-2</c:v>
                </c:pt>
                <c:pt idx="2">
                  <c:v>1.5617123562529521E-2</c:v>
                </c:pt>
                <c:pt idx="3">
                  <c:v>2.4331682995391218E-2</c:v>
                </c:pt>
                <c:pt idx="4">
                  <c:v>8.9893321740653079E-2</c:v>
                </c:pt>
                <c:pt idx="5">
                  <c:v>0.18115639151181848</c:v>
                </c:pt>
                <c:pt idx="6">
                  <c:v>0.18157258005954999</c:v>
                </c:pt>
                <c:pt idx="7">
                  <c:v>0.18157257310082989</c:v>
                </c:pt>
                <c:pt idx="8">
                  <c:v>0.18157256614211897</c:v>
                </c:pt>
                <c:pt idx="9">
                  <c:v>0.18157256614222617</c:v>
                </c:pt>
                <c:pt idx="10">
                  <c:v>0.18157256614329767</c:v>
                </c:pt>
                <c:pt idx="11">
                  <c:v>0.1815725522365696</c:v>
                </c:pt>
                <c:pt idx="12">
                  <c:v>0.18157247579777816</c:v>
                </c:pt>
                <c:pt idx="13">
                  <c:v>0.18157166965753577</c:v>
                </c:pt>
                <c:pt idx="14">
                  <c:v>0.18156360825522849</c:v>
                </c:pt>
                <c:pt idx="15">
                  <c:v>0.18148318908786698</c:v>
                </c:pt>
                <c:pt idx="16">
                  <c:v>0.1806962700868765</c:v>
                </c:pt>
                <c:pt idx="17">
                  <c:v>0.17431093754230192</c:v>
                </c:pt>
                <c:pt idx="18">
                  <c:v>0.15785059068071944</c:v>
                </c:pt>
                <c:pt idx="19">
                  <c:v>0.1394070671886509</c:v>
                </c:pt>
                <c:pt idx="20">
                  <c:v>0.11188796002482602</c:v>
                </c:pt>
                <c:pt idx="21">
                  <c:v>7.4723435697612375E-2</c:v>
                </c:pt>
                <c:pt idx="22">
                  <c:v>3.5900544530818063E-2</c:v>
                </c:pt>
                <c:pt idx="23">
                  <c:v>0.16027302613719033</c:v>
                </c:pt>
                <c:pt idx="24">
                  <c:v>0.25290190301979137</c:v>
                </c:pt>
                <c:pt idx="25">
                  <c:v>0.28336652405187107</c:v>
                </c:pt>
                <c:pt idx="26">
                  <c:v>0.24311352158164198</c:v>
                </c:pt>
                <c:pt idx="27">
                  <c:v>0.1254964848253701</c:v>
                </c:pt>
                <c:pt idx="28">
                  <c:v>6.8571993011780213E-2</c:v>
                </c:pt>
                <c:pt idx="29">
                  <c:v>0.30121291466997968</c:v>
                </c:pt>
                <c:pt idx="30">
                  <c:v>0.48746000257187277</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0.16444645042574016</c:v>
                </c:pt>
                <c:pt idx="1">
                  <c:v>0.16445475914921268</c:v>
                </c:pt>
                <c:pt idx="2">
                  <c:v>0.16445030556764856</c:v>
                </c:pt>
                <c:pt idx="3">
                  <c:v>0.16444915737869353</c:v>
                </c:pt>
                <c:pt idx="4">
                  <c:v>0.16444883031922625</c:v>
                </c:pt>
                <c:pt idx="5">
                  <c:v>0.16444870506653722</c:v>
                </c:pt>
                <c:pt idx="6">
                  <c:v>0.16444841980189434</c:v>
                </c:pt>
                <c:pt idx="7">
                  <c:v>0.16444590813280577</c:v>
                </c:pt>
                <c:pt idx="8">
                  <c:v>0.16442088886415718</c:v>
                </c:pt>
                <c:pt idx="9">
                  <c:v>0.16417238716095472</c:v>
                </c:pt>
                <c:pt idx="10">
                  <c:v>0.16184626688147116</c:v>
                </c:pt>
                <c:pt idx="11">
                  <c:v>0.14884735785823019</c:v>
                </c:pt>
                <c:pt idx="12">
                  <c:v>0.13169768632970094</c:v>
                </c:pt>
                <c:pt idx="13">
                  <c:v>0.11223649463053194</c:v>
                </c:pt>
                <c:pt idx="14">
                  <c:v>9.1823961632086892E-2</c:v>
                </c:pt>
                <c:pt idx="15">
                  <c:v>9.8010943394087224E-2</c:v>
                </c:pt>
                <c:pt idx="16">
                  <c:v>0.12343287158004657</c:v>
                </c:pt>
                <c:pt idx="17">
                  <c:v>9.5154429852632269E-2</c:v>
                </c:pt>
                <c:pt idx="18">
                  <c:v>1.1782818466659141E-2</c:v>
                </c:pt>
                <c:pt idx="19">
                  <c:v>0.10369504888729528</c:v>
                </c:pt>
                <c:pt idx="20">
                  <c:v>0.16959330264574374</c:v>
                </c:pt>
                <c:pt idx="21">
                  <c:v>0.15735601846121758</c:v>
                </c:pt>
                <c:pt idx="22">
                  <c:v>6.2621504083690036E-2</c:v>
                </c:pt>
                <c:pt idx="23">
                  <c:v>0.13084352193122115</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0.15821282798474695</c:v>
                </c:pt>
                <c:pt idx="1">
                  <c:v>0.15822041299377662</c:v>
                </c:pt>
                <c:pt idx="2">
                  <c:v>0.15820925123417789</c:v>
                </c:pt>
                <c:pt idx="3">
                  <c:v>0.15814133440735961</c:v>
                </c:pt>
                <c:pt idx="4">
                  <c:v>0.15748508816931392</c:v>
                </c:pt>
                <c:pt idx="5">
                  <c:v>0.15196143085884786</c:v>
                </c:pt>
                <c:pt idx="6">
                  <c:v>0.13543016890779672</c:v>
                </c:pt>
                <c:pt idx="7">
                  <c:v>0.11713082125223391</c:v>
                </c:pt>
                <c:pt idx="8">
                  <c:v>9.5070725215832916E-2</c:v>
                </c:pt>
                <c:pt idx="9">
                  <c:v>6.6875197082224391E-2</c:v>
                </c:pt>
                <c:pt idx="10">
                  <c:v>4.0783352431907068E-2</c:v>
                </c:pt>
                <c:pt idx="11">
                  <c:v>2.7425874972430472E-2</c:v>
                </c:pt>
                <c:pt idx="12">
                  <c:v>5.3329322335877768E-2</c:v>
                </c:pt>
                <c:pt idx="13">
                  <c:v>4.847310082027298E-2</c:v>
                </c:pt>
                <c:pt idx="14">
                  <c:v>5.5361479333683974E-2</c:v>
                </c:pt>
                <c:pt idx="15">
                  <c:v>6.2854705899849178E-2</c:v>
                </c:pt>
                <c:pt idx="16">
                  <c:v>6.0822946619564625E-2</c:v>
                </c:pt>
                <c:pt idx="17">
                  <c:v>9.7747774834980512E-4</c:v>
                </c:pt>
                <c:pt idx="18">
                  <c:v>8.9852873516818116E-2</c:v>
                </c:pt>
                <c:pt idx="19">
                  <c:v>0.12373107826920166</c:v>
                </c:pt>
                <c:pt idx="20">
                  <c:v>0.16758397569804179</c:v>
                </c:pt>
                <c:pt idx="21">
                  <c:v>0.23650370852446331</c:v>
                </c:pt>
                <c:pt idx="22">
                  <c:v>0.31236301168990044</c:v>
                </c:pt>
                <c:pt idx="23">
                  <c:v>0.6676384037255324</c:v>
                </c:pt>
                <c:pt idx="24">
                  <c:v>0.90555212214855241</c:v>
                </c:pt>
                <c:pt idx="25">
                  <c:v>0.97926536385480811</c:v>
                </c:pt>
                <c:pt idx="26">
                  <c:v>1.0056286228807858</c:v>
                </c:pt>
                <c:pt idx="27">
                  <c:v>0.77095886247901568</c:v>
                </c:pt>
                <c:pt idx="28">
                  <c:v>0.51106088435296382</c:v>
                </c:pt>
                <c:pt idx="29">
                  <c:v>0.30593783801259611</c:v>
                </c:pt>
                <c:pt idx="30">
                  <c:v>0.19286970941511064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1.456620118683984E-2</c:v>
                </c:pt>
                <c:pt idx="1">
                  <c:v>1.9633022927403692E-2</c:v>
                </c:pt>
                <c:pt idx="2">
                  <c:v>5.8178983171538129E-3</c:v>
                </c:pt>
                <c:pt idx="3">
                  <c:v>7.2569243925872944E-4</c:v>
                </c:pt>
                <c:pt idx="4">
                  <c:v>4.6356082310804512E-4</c:v>
                </c:pt>
                <c:pt idx="5">
                  <c:v>3.8619860590430522E-4</c:v>
                </c:pt>
                <c:pt idx="6">
                  <c:v>6.3620896843557607E-4</c:v>
                </c:pt>
                <c:pt idx="7">
                  <c:v>9.2654194371696169E-4</c:v>
                </c:pt>
                <c:pt idx="8">
                  <c:v>1.4247048439877722E-3</c:v>
                </c:pt>
                <c:pt idx="9">
                  <c:v>2.2922319705042833E-3</c:v>
                </c:pt>
                <c:pt idx="10">
                  <c:v>2.7778661938335641E-3</c:v>
                </c:pt>
                <c:pt idx="11">
                  <c:v>2.9105504281012645E-3</c:v>
                </c:pt>
                <c:pt idx="12">
                  <c:v>2.8147774336393662E-3</c:v>
                </c:pt>
                <c:pt idx="13">
                  <c:v>8.9279031698114865E-4</c:v>
                </c:pt>
                <c:pt idx="14">
                  <c:v>6.2645820389511887E-4</c:v>
                </c:pt>
                <c:pt idx="15">
                  <c:v>2.627175242711143E-4</c:v>
                </c:pt>
                <c:pt idx="16">
                  <c:v>3.3505096560013624E-4</c:v>
                </c:pt>
                <c:pt idx="17">
                  <c:v>7.6431190830298409E-4</c:v>
                </c:pt>
                <c:pt idx="18">
                  <c:v>6.3011385883614778E-4</c:v>
                </c:pt>
                <c:pt idx="19">
                  <c:v>5.2514080702709348E-4</c:v>
                </c:pt>
                <c:pt idx="20">
                  <c:v>3.2058143222833327E-4</c:v>
                </c:pt>
                <c:pt idx="21">
                  <c:v>1.9413365884894256E-4</c:v>
                </c:pt>
                <c:pt idx="22">
                  <c:v>2.3302473421926004E-4</c:v>
                </c:pt>
                <c:pt idx="23">
                  <c:v>1.2912622234309053E-5</c:v>
                </c:pt>
                <c:pt idx="24">
                  <c:v>2.6453570638603066E-4</c:v>
                </c:pt>
                <c:pt idx="25">
                  <c:v>3.7779279002476566E-4</c:v>
                </c:pt>
                <c:pt idx="26">
                  <c:v>7.4963448172588119E-4</c:v>
                </c:pt>
                <c:pt idx="27">
                  <c:v>9.8655226631633088E-4</c:v>
                </c:pt>
                <c:pt idx="28">
                  <c:v>3.5738151021024746E-3</c:v>
                </c:pt>
                <c:pt idx="29">
                  <c:v>2.8844341696984484E-3</c:v>
                </c:pt>
                <c:pt idx="30">
                  <c:v>6.8963728930920178E-5</c:v>
                </c:pt>
              </c:numCache>
            </c:numRef>
          </c:yVal>
          <c:smooth val="1"/>
        </c:ser>
        <c:dLbls>
          <c:showLegendKey val="0"/>
          <c:showVal val="0"/>
          <c:showCatName val="0"/>
          <c:showSerName val="0"/>
          <c:showPercent val="0"/>
          <c:showBubbleSize val="0"/>
        </c:dLbls>
        <c:axId val="440224320"/>
        <c:axId val="440217656"/>
      </c:scatterChart>
      <c:valAx>
        <c:axId val="4402243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7656"/>
        <c:crossesAt val="1.0000000000000005E-9"/>
        <c:crossBetween val="midCat"/>
      </c:valAx>
      <c:valAx>
        <c:axId val="440217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432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-44.26089696904954</c:v>
                </c:pt>
                <c:pt idx="1">
                  <c:v>-41.268748195236732</c:v>
                </c:pt>
                <c:pt idx="2">
                  <c:v>-37.103682773973375</c:v>
                </c:pt>
                <c:pt idx="3">
                  <c:v>-31.380759264655154</c:v>
                </c:pt>
                <c:pt idx="4">
                  <c:v>-22.562917861738338</c:v>
                </c:pt>
                <c:pt idx="5">
                  <c:v>-4.2147836611481173</c:v>
                </c:pt>
                <c:pt idx="6">
                  <c:v>0</c:v>
                </c:pt>
              </c:numCache>
            </c:numRef>
          </c:yVal>
          <c:smooth val="0"/>
        </c:ser>
        <c:dLbls>
          <c:showLegendKey val="0"/>
          <c:showVal val="0"/>
          <c:showCatName val="0"/>
          <c:showSerName val="0"/>
          <c:showPercent val="0"/>
          <c:showBubbleSize val="0"/>
        </c:dLbls>
        <c:axId val="440220008"/>
        <c:axId val="440223536"/>
      </c:scatterChart>
      <c:valAx>
        <c:axId val="4402200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3536"/>
        <c:crossesAt val="-100"/>
        <c:crossBetween val="midCat"/>
      </c:valAx>
      <c:valAx>
        <c:axId val="440223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000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440222360"/>
        <c:axId val="440220792"/>
      </c:scatterChart>
      <c:valAx>
        <c:axId val="4402223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0792"/>
        <c:crosses val="autoZero"/>
        <c:crossBetween val="midCat"/>
      </c:valAx>
      <c:valAx>
        <c:axId val="44022079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236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5.994275262410036E-35</c:v>
                </c:pt>
                <c:pt idx="1">
                  <c:v>5.9942752624100358E-34</c:v>
                </c:pt>
                <c:pt idx="2">
                  <c:v>5.9942752624100358E-33</c:v>
                </c:pt>
                <c:pt idx="3">
                  <c:v>5.9942752624100359E-32</c:v>
                </c:pt>
                <c:pt idx="4">
                  <c:v>5.9942752624100352E-31</c:v>
                </c:pt>
                <c:pt idx="5">
                  <c:v>5.9942752624100359E-30</c:v>
                </c:pt>
                <c:pt idx="6">
                  <c:v>5.9942752624100359E-29</c:v>
                </c:pt>
                <c:pt idx="7">
                  <c:v>5.9942752624100359E-28</c:v>
                </c:pt>
                <c:pt idx="8">
                  <c:v>5.9942752624100354E-27</c:v>
                </c:pt>
                <c:pt idx="9">
                  <c:v>5.9942752624100355E-26</c:v>
                </c:pt>
                <c:pt idx="10">
                  <c:v>5.994275262410036E-25</c:v>
                </c:pt>
                <c:pt idx="11">
                  <c:v>5.9942752624100358E-24</c:v>
                </c:pt>
                <c:pt idx="12">
                  <c:v>5.9942752624100355E-23</c:v>
                </c:pt>
                <c:pt idx="13">
                  <c:v>5.9942752624100358E-22</c:v>
                </c:pt>
                <c:pt idx="14">
                  <c:v>5.9942752624100361E-21</c:v>
                </c:pt>
                <c:pt idx="15">
                  <c:v>5.9942752624100354E-20</c:v>
                </c:pt>
                <c:pt idx="16">
                  <c:v>5.9942752624100351E-19</c:v>
                </c:pt>
                <c:pt idx="17">
                  <c:v>5.9942752624100353E-18</c:v>
                </c:pt>
                <c:pt idx="18">
                  <c:v>5.994275262410036E-17</c:v>
                </c:pt>
                <c:pt idx="19">
                  <c:v>5.9942752624100355E-16</c:v>
                </c:pt>
                <c:pt idx="20">
                  <c:v>5.9942752624100357E-15</c:v>
                </c:pt>
                <c:pt idx="21">
                  <c:v>5.9942752624100355E-14</c:v>
                </c:pt>
                <c:pt idx="22">
                  <c:v>5.9942752624100355E-13</c:v>
                </c:pt>
                <c:pt idx="23">
                  <c:v>5.9942752624100359E-12</c:v>
                </c:pt>
                <c:pt idx="24">
                  <c:v>5.9942752624100354E-11</c:v>
                </c:pt>
                <c:pt idx="25">
                  <c:v>5.9942752624100357E-10</c:v>
                </c:pt>
                <c:pt idx="26">
                  <c:v>5.9942752624100359E-9</c:v>
                </c:pt>
                <c:pt idx="27">
                  <c:v>5.9942752624100357E-8</c:v>
                </c:pt>
                <c:pt idx="28">
                  <c:v>5.9942752624100357E-7</c:v>
                </c:pt>
                <c:pt idx="29">
                  <c:v>5.9942752624100357E-6</c:v>
                </c:pt>
                <c:pt idx="30">
                  <c:v>5.9942752624100354E-5</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1.1945666440560854E-33</c:v>
                </c:pt>
                <c:pt idx="1">
                  <c:v>1.1945666440560853E-32</c:v>
                </c:pt>
                <c:pt idx="2">
                  <c:v>1.1945666440560853E-31</c:v>
                </c:pt>
                <c:pt idx="3">
                  <c:v>1.1945666440560854E-30</c:v>
                </c:pt>
                <c:pt idx="4">
                  <c:v>1.1945666440560853E-29</c:v>
                </c:pt>
                <c:pt idx="5">
                  <c:v>1.1945666440560853E-28</c:v>
                </c:pt>
                <c:pt idx="6">
                  <c:v>1.1945666440560855E-27</c:v>
                </c:pt>
                <c:pt idx="7">
                  <c:v>1.1945666440560854E-26</c:v>
                </c:pt>
                <c:pt idx="8">
                  <c:v>1.1945666440560852E-25</c:v>
                </c:pt>
                <c:pt idx="9">
                  <c:v>1.1945666440560854E-24</c:v>
                </c:pt>
                <c:pt idx="10">
                  <c:v>1.1945666440560854E-23</c:v>
                </c:pt>
                <c:pt idx="11">
                  <c:v>1.1945666440560854E-22</c:v>
                </c:pt>
                <c:pt idx="12">
                  <c:v>1.1945666440560853E-21</c:v>
                </c:pt>
                <c:pt idx="13">
                  <c:v>1.1945666440560854E-20</c:v>
                </c:pt>
                <c:pt idx="14">
                  <c:v>1.1945666440560854E-19</c:v>
                </c:pt>
                <c:pt idx="15">
                  <c:v>1.1945666440560854E-18</c:v>
                </c:pt>
                <c:pt idx="16">
                  <c:v>1.1945666440560853E-17</c:v>
                </c:pt>
                <c:pt idx="17">
                  <c:v>1.1945666440560852E-16</c:v>
                </c:pt>
                <c:pt idx="18">
                  <c:v>1.1945666440560853E-15</c:v>
                </c:pt>
                <c:pt idx="19">
                  <c:v>1.1945666440560853E-14</c:v>
                </c:pt>
                <c:pt idx="20">
                  <c:v>1.1945666440560855E-13</c:v>
                </c:pt>
                <c:pt idx="21">
                  <c:v>1.1945666440560854E-12</c:v>
                </c:pt>
                <c:pt idx="22">
                  <c:v>1.1945666440560854E-11</c:v>
                </c:pt>
                <c:pt idx="23">
                  <c:v>1.1945666440560854E-10</c:v>
                </c:pt>
                <c:pt idx="24">
                  <c:v>1.1945666440560854E-9</c:v>
                </c:pt>
                <c:pt idx="25">
                  <c:v>1.1945666440560854E-8</c:v>
                </c:pt>
                <c:pt idx="26">
                  <c:v>1.1945666440560854E-7</c:v>
                </c:pt>
                <c:pt idx="27">
                  <c:v>1.1945666440560853E-6</c:v>
                </c:pt>
                <c:pt idx="28">
                  <c:v>1.1945666440560854E-5</c:v>
                </c:pt>
                <c:pt idx="29">
                  <c:v>1.1945666440560854E-4</c:v>
                </c:pt>
                <c:pt idx="30">
                  <c:v>1.1945666440560854E-3</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7.6926383024802419E-32</c:v>
                </c:pt>
                <c:pt idx="1">
                  <c:v>7.6926383024802413E-31</c:v>
                </c:pt>
                <c:pt idx="2">
                  <c:v>7.6926383024802411E-30</c:v>
                </c:pt>
                <c:pt idx="3">
                  <c:v>7.6926383024802411E-29</c:v>
                </c:pt>
                <c:pt idx="4">
                  <c:v>7.6926383024802411E-28</c:v>
                </c:pt>
                <c:pt idx="5">
                  <c:v>7.6926383024802422E-27</c:v>
                </c:pt>
                <c:pt idx="6">
                  <c:v>7.6926383024802419E-26</c:v>
                </c:pt>
                <c:pt idx="7">
                  <c:v>7.6926383024802419E-25</c:v>
                </c:pt>
                <c:pt idx="8">
                  <c:v>7.6926383024802408E-24</c:v>
                </c:pt>
                <c:pt idx="9">
                  <c:v>7.6926383024802405E-23</c:v>
                </c:pt>
                <c:pt idx="10">
                  <c:v>7.6926383024802424E-22</c:v>
                </c:pt>
                <c:pt idx="11">
                  <c:v>7.6926383024802424E-21</c:v>
                </c:pt>
                <c:pt idx="12">
                  <c:v>7.6926383024802421E-20</c:v>
                </c:pt>
                <c:pt idx="13">
                  <c:v>7.6926383024802411E-19</c:v>
                </c:pt>
                <c:pt idx="14">
                  <c:v>7.6926383024802417E-18</c:v>
                </c:pt>
                <c:pt idx="15">
                  <c:v>7.6926383024802411E-17</c:v>
                </c:pt>
                <c:pt idx="16">
                  <c:v>7.6926383024802418E-16</c:v>
                </c:pt>
                <c:pt idx="17">
                  <c:v>7.6926383024802416E-15</c:v>
                </c:pt>
                <c:pt idx="18">
                  <c:v>7.6926383024802413E-14</c:v>
                </c:pt>
                <c:pt idx="19">
                  <c:v>7.6926383024802415E-13</c:v>
                </c:pt>
                <c:pt idx="20">
                  <c:v>7.6926383024802422E-12</c:v>
                </c:pt>
                <c:pt idx="21">
                  <c:v>7.6926383024802415E-11</c:v>
                </c:pt>
                <c:pt idx="22">
                  <c:v>7.692638302480241E-10</c:v>
                </c:pt>
                <c:pt idx="23">
                  <c:v>7.6926383024802418E-9</c:v>
                </c:pt>
                <c:pt idx="24">
                  <c:v>7.6926383024802418E-8</c:v>
                </c:pt>
                <c:pt idx="25">
                  <c:v>7.6926383024802413E-7</c:v>
                </c:pt>
                <c:pt idx="26">
                  <c:v>7.6926383024802415E-6</c:v>
                </c:pt>
                <c:pt idx="27">
                  <c:v>7.6926383024802415E-5</c:v>
                </c:pt>
                <c:pt idx="28">
                  <c:v>7.6926383024802415E-4</c:v>
                </c:pt>
                <c:pt idx="29">
                  <c:v>7.6926383024802413E-3</c:v>
                </c:pt>
                <c:pt idx="30">
                  <c:v>7.6926383024802411E-2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2.3523904814039173E-29</c:v>
                </c:pt>
                <c:pt idx="1">
                  <c:v>2.3523904814039173E-28</c:v>
                </c:pt>
                <c:pt idx="2">
                  <c:v>2.3523904814039174E-27</c:v>
                </c:pt>
                <c:pt idx="3">
                  <c:v>2.3523904814039173E-26</c:v>
                </c:pt>
                <c:pt idx="4">
                  <c:v>2.3523904814039171E-25</c:v>
                </c:pt>
                <c:pt idx="5">
                  <c:v>2.3523904814039174E-24</c:v>
                </c:pt>
                <c:pt idx="6">
                  <c:v>2.3523904814039174E-23</c:v>
                </c:pt>
                <c:pt idx="7">
                  <c:v>2.3523904814039174E-22</c:v>
                </c:pt>
                <c:pt idx="8">
                  <c:v>2.352390481403917E-21</c:v>
                </c:pt>
                <c:pt idx="9">
                  <c:v>2.352390481403917E-20</c:v>
                </c:pt>
                <c:pt idx="10">
                  <c:v>2.3523904814039172E-19</c:v>
                </c:pt>
                <c:pt idx="11">
                  <c:v>2.3523904814039172E-18</c:v>
                </c:pt>
                <c:pt idx="12">
                  <c:v>2.3523904814039173E-17</c:v>
                </c:pt>
                <c:pt idx="13">
                  <c:v>2.3523904814039174E-16</c:v>
                </c:pt>
                <c:pt idx="14">
                  <c:v>2.3523904814039175E-15</c:v>
                </c:pt>
                <c:pt idx="15">
                  <c:v>2.3523904814039172E-14</c:v>
                </c:pt>
                <c:pt idx="16">
                  <c:v>2.3523904814039173E-13</c:v>
                </c:pt>
                <c:pt idx="17">
                  <c:v>2.3523904814039173E-12</c:v>
                </c:pt>
                <c:pt idx="18">
                  <c:v>2.3523904814039173E-11</c:v>
                </c:pt>
                <c:pt idx="19">
                  <c:v>2.352390481403917E-10</c:v>
                </c:pt>
                <c:pt idx="20">
                  <c:v>2.352390481403917E-9</c:v>
                </c:pt>
                <c:pt idx="21">
                  <c:v>2.3523904814039173E-8</c:v>
                </c:pt>
                <c:pt idx="22">
                  <c:v>2.3523904814039171E-7</c:v>
                </c:pt>
                <c:pt idx="23">
                  <c:v>2.3523904814039172E-6</c:v>
                </c:pt>
                <c:pt idx="24">
                  <c:v>2.3523904814039172E-5</c:v>
                </c:pt>
                <c:pt idx="25">
                  <c:v>2.3523904814039173E-4</c:v>
                </c:pt>
                <c:pt idx="26">
                  <c:v>2.3523904814039174E-3</c:v>
                </c:pt>
                <c:pt idx="27">
                  <c:v>2.3523904814039171E-2</c:v>
                </c:pt>
                <c:pt idx="28">
                  <c:v>0.23523904814039173</c:v>
                </c:pt>
                <c:pt idx="29">
                  <c:v>2.3523904814039174</c:v>
                </c:pt>
                <c:pt idx="30">
                  <c:v>23.523904814039174</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1.588727002502739E-25</c:v>
                </c:pt>
                <c:pt idx="1">
                  <c:v>1.5887270025027388E-24</c:v>
                </c:pt>
                <c:pt idx="2">
                  <c:v>1.5887270025027388E-23</c:v>
                </c:pt>
                <c:pt idx="3">
                  <c:v>1.5887270025027388E-22</c:v>
                </c:pt>
                <c:pt idx="4">
                  <c:v>1.5887270025027388E-21</c:v>
                </c:pt>
                <c:pt idx="5">
                  <c:v>1.588727002502739E-20</c:v>
                </c:pt>
                <c:pt idx="6">
                  <c:v>1.588727002502739E-19</c:v>
                </c:pt>
                <c:pt idx="7">
                  <c:v>1.5887270025027388E-18</c:v>
                </c:pt>
                <c:pt idx="8">
                  <c:v>1.5887270025027388E-17</c:v>
                </c:pt>
                <c:pt idx="9">
                  <c:v>1.5887270025027388E-16</c:v>
                </c:pt>
                <c:pt idx="10">
                  <c:v>1.588727002502739E-15</c:v>
                </c:pt>
                <c:pt idx="11">
                  <c:v>1.588727002502739E-14</c:v>
                </c:pt>
                <c:pt idx="12">
                  <c:v>1.5887270025027389E-13</c:v>
                </c:pt>
                <c:pt idx="13">
                  <c:v>1.5887270025027389E-12</c:v>
                </c:pt>
                <c:pt idx="14">
                  <c:v>1.588727002502739E-11</c:v>
                </c:pt>
                <c:pt idx="15">
                  <c:v>1.5887270025027388E-10</c:v>
                </c:pt>
                <c:pt idx="16">
                  <c:v>1.5887270025027388E-9</c:v>
                </c:pt>
                <c:pt idx="17">
                  <c:v>1.5887270025027387E-8</c:v>
                </c:pt>
                <c:pt idx="18">
                  <c:v>1.5887270025027388E-7</c:v>
                </c:pt>
                <c:pt idx="19">
                  <c:v>1.5887270025027389E-6</c:v>
                </c:pt>
                <c:pt idx="20">
                  <c:v>1.5887270025027388E-5</c:v>
                </c:pt>
                <c:pt idx="21">
                  <c:v>1.5887270025027387E-4</c:v>
                </c:pt>
                <c:pt idx="22">
                  <c:v>1.5887270025027387E-3</c:v>
                </c:pt>
                <c:pt idx="23">
                  <c:v>1.5887270025027388E-2</c:v>
                </c:pt>
                <c:pt idx="24">
                  <c:v>0.15887270025027389</c:v>
                </c:pt>
                <c:pt idx="25">
                  <c:v>1.5887270025027389</c:v>
                </c:pt>
                <c:pt idx="26">
                  <c:v>15.887270025027387</c:v>
                </c:pt>
                <c:pt idx="27">
                  <c:v>158.87270025027388</c:v>
                </c:pt>
                <c:pt idx="28">
                  <c:v>1588.7270025027387</c:v>
                </c:pt>
                <c:pt idx="29">
                  <c:v>15887.270025027388</c:v>
                </c:pt>
                <c:pt idx="30">
                  <c:v>158872.70025027389</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1.4775517939933971E-17</c:v>
                </c:pt>
                <c:pt idx="1">
                  <c:v>1.477551793993397E-16</c:v>
                </c:pt>
                <c:pt idx="2">
                  <c:v>1.4775517939933971E-15</c:v>
                </c:pt>
                <c:pt idx="3">
                  <c:v>1.4775517939933969E-14</c:v>
                </c:pt>
                <c:pt idx="4">
                  <c:v>1.477551793993397E-13</c:v>
                </c:pt>
                <c:pt idx="5">
                  <c:v>1.4775517939933972E-12</c:v>
                </c:pt>
                <c:pt idx="6">
                  <c:v>1.477551793993397E-11</c:v>
                </c:pt>
                <c:pt idx="7">
                  <c:v>1.4775517939933972E-10</c:v>
                </c:pt>
                <c:pt idx="8">
                  <c:v>1.4775517939933971E-9</c:v>
                </c:pt>
                <c:pt idx="9">
                  <c:v>1.477551793993397E-8</c:v>
                </c:pt>
                <c:pt idx="10">
                  <c:v>1.4775517939933972E-7</c:v>
                </c:pt>
                <c:pt idx="11">
                  <c:v>1.477551793993397E-6</c:v>
                </c:pt>
                <c:pt idx="12">
                  <c:v>1.4775517939933972E-5</c:v>
                </c:pt>
                <c:pt idx="13">
                  <c:v>1.4775517939933971E-4</c:v>
                </c:pt>
                <c:pt idx="14">
                  <c:v>1.4775517939933972E-3</c:v>
                </c:pt>
                <c:pt idx="15">
                  <c:v>1.4775517939933971E-2</c:v>
                </c:pt>
                <c:pt idx="16">
                  <c:v>0.14775517939933971</c:v>
                </c:pt>
                <c:pt idx="17">
                  <c:v>1.4775517939933971</c:v>
                </c:pt>
                <c:pt idx="18">
                  <c:v>14.775517939933971</c:v>
                </c:pt>
                <c:pt idx="19">
                  <c:v>147.75517939933971</c:v>
                </c:pt>
                <c:pt idx="20">
                  <c:v>1477.551793993397</c:v>
                </c:pt>
                <c:pt idx="21">
                  <c:v>14775.51793993397</c:v>
                </c:pt>
                <c:pt idx="22">
                  <c:v>147755.17939933972</c:v>
                </c:pt>
                <c:pt idx="23">
                  <c:v>1477551.7939933972</c:v>
                </c:pt>
                <c:pt idx="24">
                  <c:v>14775517.939933971</c:v>
                </c:pt>
                <c:pt idx="25">
                  <c:v>147755179.39933971</c:v>
                </c:pt>
                <c:pt idx="26">
                  <c:v>1477551793.993397</c:v>
                </c:pt>
                <c:pt idx="27">
                  <c:v>14775517939.933971</c:v>
                </c:pt>
                <c:pt idx="28">
                  <c:v>147755179399.33969</c:v>
                </c:pt>
                <c:pt idx="29">
                  <c:v>1477551793993.397</c:v>
                </c:pt>
                <c:pt idx="30">
                  <c:v>14775517939933.971</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0218440"/>
        <c:axId val="440218832"/>
      </c:scatterChart>
      <c:valAx>
        <c:axId val="44021844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8832"/>
        <c:crosses val="autoZero"/>
        <c:crossBetween val="midCat"/>
      </c:valAx>
      <c:valAx>
        <c:axId val="440218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844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5.994275262410036E-35</c:v>
                </c:pt>
                <c:pt idx="1">
                  <c:v>5.9942752624100358E-34</c:v>
                </c:pt>
                <c:pt idx="2">
                  <c:v>5.9942752624100358E-33</c:v>
                </c:pt>
                <c:pt idx="3">
                  <c:v>5.9942752624100359E-32</c:v>
                </c:pt>
                <c:pt idx="4">
                  <c:v>5.9942752624100352E-31</c:v>
                </c:pt>
                <c:pt idx="5">
                  <c:v>5.9942752624100359E-30</c:v>
                </c:pt>
                <c:pt idx="6">
                  <c:v>5.9942752624100359E-29</c:v>
                </c:pt>
                <c:pt idx="7">
                  <c:v>5.9942752624100359E-28</c:v>
                </c:pt>
                <c:pt idx="8">
                  <c:v>5.9942752624100354E-27</c:v>
                </c:pt>
                <c:pt idx="9">
                  <c:v>5.9942752624100355E-26</c:v>
                </c:pt>
                <c:pt idx="10">
                  <c:v>5.994275262410036E-25</c:v>
                </c:pt>
                <c:pt idx="11">
                  <c:v>5.9942752624100358E-24</c:v>
                </c:pt>
                <c:pt idx="12">
                  <c:v>5.9942752624100355E-23</c:v>
                </c:pt>
                <c:pt idx="13">
                  <c:v>5.9942752624100358E-22</c:v>
                </c:pt>
                <c:pt idx="14">
                  <c:v>5.9942752624100361E-21</c:v>
                </c:pt>
                <c:pt idx="15">
                  <c:v>5.9942752624100354E-20</c:v>
                </c:pt>
                <c:pt idx="16">
                  <c:v>5.9942752624100351E-19</c:v>
                </c:pt>
                <c:pt idx="17">
                  <c:v>5.9942752624100353E-18</c:v>
                </c:pt>
                <c:pt idx="18">
                  <c:v>5.994275262410036E-17</c:v>
                </c:pt>
                <c:pt idx="19">
                  <c:v>5.9942752624100355E-16</c:v>
                </c:pt>
                <c:pt idx="20">
                  <c:v>5.9942752624100357E-15</c:v>
                </c:pt>
                <c:pt idx="21">
                  <c:v>5.9942752624100355E-14</c:v>
                </c:pt>
                <c:pt idx="22">
                  <c:v>5.9942752624100355E-13</c:v>
                </c:pt>
                <c:pt idx="23">
                  <c:v>5.9942752624100359E-12</c:v>
                </c:pt>
                <c:pt idx="24">
                  <c:v>5.9942752624100354E-11</c:v>
                </c:pt>
                <c:pt idx="25">
                  <c:v>5.9942752624100357E-10</c:v>
                </c:pt>
                <c:pt idx="26">
                  <c:v>5.9942752624100359E-9</c:v>
                </c:pt>
                <c:pt idx="27">
                  <c:v>5.9942752624100357E-8</c:v>
                </c:pt>
                <c:pt idx="28">
                  <c:v>5.9942752624100357E-7</c:v>
                </c:pt>
                <c:pt idx="29">
                  <c:v>5.9942752624100357E-6</c:v>
                </c:pt>
                <c:pt idx="30">
                  <c:v>5.9942752624100354E-5</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1.1945666440560854E-33</c:v>
                </c:pt>
                <c:pt idx="1">
                  <c:v>1.1945666440560853E-32</c:v>
                </c:pt>
                <c:pt idx="2">
                  <c:v>1.1945666440560853E-31</c:v>
                </c:pt>
                <c:pt idx="3">
                  <c:v>1.1945666440560854E-30</c:v>
                </c:pt>
                <c:pt idx="4">
                  <c:v>1.1945666440560853E-29</c:v>
                </c:pt>
                <c:pt idx="5">
                  <c:v>1.1945666440560853E-28</c:v>
                </c:pt>
                <c:pt idx="6">
                  <c:v>1.1945666440560855E-27</c:v>
                </c:pt>
                <c:pt idx="7">
                  <c:v>1.1945666440560854E-26</c:v>
                </c:pt>
                <c:pt idx="8">
                  <c:v>1.1945666440560852E-25</c:v>
                </c:pt>
                <c:pt idx="9">
                  <c:v>1.1945666440560854E-24</c:v>
                </c:pt>
                <c:pt idx="10">
                  <c:v>1.1945666440560854E-23</c:v>
                </c:pt>
                <c:pt idx="11">
                  <c:v>1.1945666440560854E-22</c:v>
                </c:pt>
                <c:pt idx="12">
                  <c:v>1.1945666440560853E-21</c:v>
                </c:pt>
                <c:pt idx="13">
                  <c:v>1.1945666440560854E-20</c:v>
                </c:pt>
                <c:pt idx="14">
                  <c:v>1.1945666440560854E-19</c:v>
                </c:pt>
                <c:pt idx="15">
                  <c:v>1.1945666440560854E-18</c:v>
                </c:pt>
                <c:pt idx="16">
                  <c:v>1.1945666440560853E-17</c:v>
                </c:pt>
                <c:pt idx="17">
                  <c:v>1.1945666440560852E-16</c:v>
                </c:pt>
                <c:pt idx="18">
                  <c:v>1.1945666440560853E-15</c:v>
                </c:pt>
                <c:pt idx="19">
                  <c:v>1.1945666440560853E-14</c:v>
                </c:pt>
                <c:pt idx="20">
                  <c:v>1.1945666440560855E-13</c:v>
                </c:pt>
                <c:pt idx="21">
                  <c:v>1.1945666440560854E-12</c:v>
                </c:pt>
                <c:pt idx="22">
                  <c:v>1.1945666440560854E-11</c:v>
                </c:pt>
                <c:pt idx="23">
                  <c:v>1.1945666440560854E-10</c:v>
                </c:pt>
                <c:pt idx="24">
                  <c:v>1.1945666440560854E-9</c:v>
                </c:pt>
                <c:pt idx="25">
                  <c:v>1.1945666440560854E-8</c:v>
                </c:pt>
                <c:pt idx="26">
                  <c:v>1.1945666440560854E-7</c:v>
                </c:pt>
                <c:pt idx="27">
                  <c:v>1.1945666440560853E-6</c:v>
                </c:pt>
                <c:pt idx="28">
                  <c:v>1.1945666440560854E-5</c:v>
                </c:pt>
                <c:pt idx="29">
                  <c:v>1.1945666440560854E-4</c:v>
                </c:pt>
                <c:pt idx="30">
                  <c:v>1.1945666440560854E-3</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7.6926383024802419E-32</c:v>
                </c:pt>
                <c:pt idx="1">
                  <c:v>7.6926383024802413E-31</c:v>
                </c:pt>
                <c:pt idx="2">
                  <c:v>7.6926383024802411E-30</c:v>
                </c:pt>
                <c:pt idx="3">
                  <c:v>7.6926383024802411E-29</c:v>
                </c:pt>
                <c:pt idx="4">
                  <c:v>7.6926383024802411E-28</c:v>
                </c:pt>
                <c:pt idx="5">
                  <c:v>7.6926383024802422E-27</c:v>
                </c:pt>
                <c:pt idx="6">
                  <c:v>7.6926383024802419E-26</c:v>
                </c:pt>
                <c:pt idx="7">
                  <c:v>7.6926383024802419E-25</c:v>
                </c:pt>
                <c:pt idx="8">
                  <c:v>7.6926383024802408E-24</c:v>
                </c:pt>
                <c:pt idx="9">
                  <c:v>7.6926383024802405E-23</c:v>
                </c:pt>
                <c:pt idx="10">
                  <c:v>7.6926383024802424E-22</c:v>
                </c:pt>
                <c:pt idx="11">
                  <c:v>7.6926383024802424E-21</c:v>
                </c:pt>
                <c:pt idx="12">
                  <c:v>7.6926383024802421E-20</c:v>
                </c:pt>
                <c:pt idx="13">
                  <c:v>7.6926383024802411E-19</c:v>
                </c:pt>
                <c:pt idx="14">
                  <c:v>7.6926383024802417E-18</c:v>
                </c:pt>
                <c:pt idx="15">
                  <c:v>7.6926383024802411E-17</c:v>
                </c:pt>
                <c:pt idx="16">
                  <c:v>7.6926383024802418E-16</c:v>
                </c:pt>
                <c:pt idx="17">
                  <c:v>7.6926383024802416E-15</c:v>
                </c:pt>
                <c:pt idx="18">
                  <c:v>7.6926383024802413E-14</c:v>
                </c:pt>
                <c:pt idx="19">
                  <c:v>7.6926383024802415E-13</c:v>
                </c:pt>
                <c:pt idx="20">
                  <c:v>7.6926383024802422E-12</c:v>
                </c:pt>
                <c:pt idx="21">
                  <c:v>7.6926383024802415E-11</c:v>
                </c:pt>
                <c:pt idx="22">
                  <c:v>7.692638302480241E-10</c:v>
                </c:pt>
                <c:pt idx="23">
                  <c:v>7.6926383024802418E-9</c:v>
                </c:pt>
                <c:pt idx="24">
                  <c:v>7.6926383024802418E-8</c:v>
                </c:pt>
                <c:pt idx="25">
                  <c:v>7.6926383024802413E-7</c:v>
                </c:pt>
                <c:pt idx="26">
                  <c:v>7.6926383024802415E-6</c:v>
                </c:pt>
                <c:pt idx="27">
                  <c:v>7.6926383024802415E-5</c:v>
                </c:pt>
                <c:pt idx="28">
                  <c:v>7.6926383024802415E-4</c:v>
                </c:pt>
                <c:pt idx="29">
                  <c:v>7.6926383024802413E-3</c:v>
                </c:pt>
                <c:pt idx="30">
                  <c:v>7.6926383024802411E-2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2.3523904814039173E-29</c:v>
                </c:pt>
                <c:pt idx="1">
                  <c:v>2.3523904814039173E-28</c:v>
                </c:pt>
                <c:pt idx="2">
                  <c:v>2.3523904814039174E-27</c:v>
                </c:pt>
                <c:pt idx="3">
                  <c:v>2.3523904814039173E-26</c:v>
                </c:pt>
                <c:pt idx="4">
                  <c:v>2.3523904814039171E-25</c:v>
                </c:pt>
                <c:pt idx="5">
                  <c:v>2.3523904814039174E-24</c:v>
                </c:pt>
                <c:pt idx="6">
                  <c:v>2.3523904814039174E-23</c:v>
                </c:pt>
                <c:pt idx="7">
                  <c:v>2.3523904814039174E-22</c:v>
                </c:pt>
                <c:pt idx="8">
                  <c:v>2.352390481403917E-21</c:v>
                </c:pt>
                <c:pt idx="9">
                  <c:v>2.352390481403917E-20</c:v>
                </c:pt>
                <c:pt idx="10">
                  <c:v>2.3523904814039172E-19</c:v>
                </c:pt>
                <c:pt idx="11">
                  <c:v>2.3523904814039172E-18</c:v>
                </c:pt>
                <c:pt idx="12">
                  <c:v>2.3523904814039173E-17</c:v>
                </c:pt>
                <c:pt idx="13">
                  <c:v>2.3523904814039174E-16</c:v>
                </c:pt>
                <c:pt idx="14">
                  <c:v>2.3523904814039175E-15</c:v>
                </c:pt>
                <c:pt idx="15">
                  <c:v>2.3523904814039172E-14</c:v>
                </c:pt>
                <c:pt idx="16">
                  <c:v>2.3523904814039173E-13</c:v>
                </c:pt>
                <c:pt idx="17">
                  <c:v>2.3523904814039173E-12</c:v>
                </c:pt>
                <c:pt idx="18">
                  <c:v>2.3523904814039173E-11</c:v>
                </c:pt>
                <c:pt idx="19">
                  <c:v>2.352390481403917E-10</c:v>
                </c:pt>
                <c:pt idx="20">
                  <c:v>2.352390481403917E-9</c:v>
                </c:pt>
                <c:pt idx="21">
                  <c:v>2.3523904814039173E-8</c:v>
                </c:pt>
                <c:pt idx="22">
                  <c:v>2.3523904814039171E-7</c:v>
                </c:pt>
                <c:pt idx="23">
                  <c:v>2.3523904814039172E-6</c:v>
                </c:pt>
                <c:pt idx="24">
                  <c:v>2.3523904814039172E-5</c:v>
                </c:pt>
                <c:pt idx="25">
                  <c:v>2.3523904814039173E-4</c:v>
                </c:pt>
                <c:pt idx="26">
                  <c:v>2.3523904814039174E-3</c:v>
                </c:pt>
                <c:pt idx="27">
                  <c:v>2.3523904814039171E-2</c:v>
                </c:pt>
                <c:pt idx="28">
                  <c:v>0.23523904814039173</c:v>
                </c:pt>
                <c:pt idx="29">
                  <c:v>2.3523904814039174</c:v>
                </c:pt>
                <c:pt idx="30">
                  <c:v>23.523904814039174</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1.588727002502739E-25</c:v>
                </c:pt>
                <c:pt idx="1">
                  <c:v>1.5887270025027388E-24</c:v>
                </c:pt>
                <c:pt idx="2">
                  <c:v>1.5887270025027388E-23</c:v>
                </c:pt>
                <c:pt idx="3">
                  <c:v>1.5887270025027388E-22</c:v>
                </c:pt>
                <c:pt idx="4">
                  <c:v>1.5887270025027388E-21</c:v>
                </c:pt>
                <c:pt idx="5">
                  <c:v>1.588727002502739E-20</c:v>
                </c:pt>
                <c:pt idx="6">
                  <c:v>1.588727002502739E-19</c:v>
                </c:pt>
                <c:pt idx="7">
                  <c:v>1.5887270025027388E-18</c:v>
                </c:pt>
                <c:pt idx="8">
                  <c:v>1.5887270025027388E-17</c:v>
                </c:pt>
                <c:pt idx="9">
                  <c:v>1.5887270025027388E-16</c:v>
                </c:pt>
                <c:pt idx="10">
                  <c:v>1.588727002502739E-15</c:v>
                </c:pt>
                <c:pt idx="11">
                  <c:v>1.588727002502739E-14</c:v>
                </c:pt>
                <c:pt idx="12">
                  <c:v>1.5887270025027389E-13</c:v>
                </c:pt>
                <c:pt idx="13">
                  <c:v>1.5887270025027389E-12</c:v>
                </c:pt>
                <c:pt idx="14">
                  <c:v>1.588727002502739E-11</c:v>
                </c:pt>
                <c:pt idx="15">
                  <c:v>1.5887270025027388E-10</c:v>
                </c:pt>
                <c:pt idx="16">
                  <c:v>1.5887270025027388E-9</c:v>
                </c:pt>
                <c:pt idx="17">
                  <c:v>1.5887270025027387E-8</c:v>
                </c:pt>
                <c:pt idx="18">
                  <c:v>1.5887270025027388E-7</c:v>
                </c:pt>
                <c:pt idx="19">
                  <c:v>1.5887270025027389E-6</c:v>
                </c:pt>
                <c:pt idx="20">
                  <c:v>1.5887270025027388E-5</c:v>
                </c:pt>
                <c:pt idx="21">
                  <c:v>1.5887270025027387E-4</c:v>
                </c:pt>
                <c:pt idx="22">
                  <c:v>1.5887270025027387E-3</c:v>
                </c:pt>
                <c:pt idx="23">
                  <c:v>1.5887270025027388E-2</c:v>
                </c:pt>
                <c:pt idx="24">
                  <c:v>0.15887270025027389</c:v>
                </c:pt>
                <c:pt idx="25">
                  <c:v>1.5887270025027389</c:v>
                </c:pt>
                <c:pt idx="26">
                  <c:v>15.887270025027387</c:v>
                </c:pt>
                <c:pt idx="27">
                  <c:v>158.87270025027388</c:v>
                </c:pt>
                <c:pt idx="28">
                  <c:v>1588.7270025027387</c:v>
                </c:pt>
                <c:pt idx="29">
                  <c:v>15887.270025027388</c:v>
                </c:pt>
                <c:pt idx="30">
                  <c:v>158872.70025027389</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1.4775517939933971E-17</c:v>
                </c:pt>
                <c:pt idx="1">
                  <c:v>1.477551793993397E-16</c:v>
                </c:pt>
                <c:pt idx="2">
                  <c:v>1.4775517939933971E-15</c:v>
                </c:pt>
                <c:pt idx="3">
                  <c:v>1.4775517939933969E-14</c:v>
                </c:pt>
                <c:pt idx="4">
                  <c:v>1.477551793993397E-13</c:v>
                </c:pt>
                <c:pt idx="5">
                  <c:v>1.4775517939933972E-12</c:v>
                </c:pt>
                <c:pt idx="6">
                  <c:v>1.477551793993397E-11</c:v>
                </c:pt>
                <c:pt idx="7">
                  <c:v>1.4775517939933972E-10</c:v>
                </c:pt>
                <c:pt idx="8">
                  <c:v>1.4775517939933971E-9</c:v>
                </c:pt>
                <c:pt idx="9">
                  <c:v>1.477551793993397E-8</c:v>
                </c:pt>
                <c:pt idx="10">
                  <c:v>1.4775517939933972E-7</c:v>
                </c:pt>
                <c:pt idx="11">
                  <c:v>1.477551793993397E-6</c:v>
                </c:pt>
                <c:pt idx="12">
                  <c:v>1.4775517939933972E-5</c:v>
                </c:pt>
                <c:pt idx="13">
                  <c:v>1.4775517939933971E-4</c:v>
                </c:pt>
                <c:pt idx="14">
                  <c:v>1.4775517939933972E-3</c:v>
                </c:pt>
                <c:pt idx="15">
                  <c:v>1.4775517939933971E-2</c:v>
                </c:pt>
                <c:pt idx="16">
                  <c:v>0.14775517939933971</c:v>
                </c:pt>
                <c:pt idx="17">
                  <c:v>1.4775517939933971</c:v>
                </c:pt>
                <c:pt idx="18">
                  <c:v>14.775517939933971</c:v>
                </c:pt>
                <c:pt idx="19">
                  <c:v>147.75517939933971</c:v>
                </c:pt>
                <c:pt idx="20">
                  <c:v>1477.551793993397</c:v>
                </c:pt>
                <c:pt idx="21">
                  <c:v>14775.51793993397</c:v>
                </c:pt>
                <c:pt idx="22">
                  <c:v>147755.17939933972</c:v>
                </c:pt>
                <c:pt idx="23">
                  <c:v>1477551.7939933972</c:v>
                </c:pt>
                <c:pt idx="24">
                  <c:v>14775517.939933971</c:v>
                </c:pt>
                <c:pt idx="25">
                  <c:v>147755179.39933971</c:v>
                </c:pt>
                <c:pt idx="26">
                  <c:v>1477551793.993397</c:v>
                </c:pt>
                <c:pt idx="27">
                  <c:v>14775517939.933971</c:v>
                </c:pt>
                <c:pt idx="28">
                  <c:v>147755179399.33969</c:v>
                </c:pt>
                <c:pt idx="29">
                  <c:v>1477551793993.397</c:v>
                </c:pt>
                <c:pt idx="30">
                  <c:v>14775517939933.971</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0221576"/>
        <c:axId val="440219224"/>
      </c:scatterChart>
      <c:valAx>
        <c:axId val="44022157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9224"/>
        <c:crosses val="autoZero"/>
        <c:crossBetween val="midCat"/>
      </c:valAx>
      <c:valAx>
        <c:axId val="440219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1576"/>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-44.26089696904954</c:v>
                </c:pt>
                <c:pt idx="1">
                  <c:v>-44.209069751636108</c:v>
                </c:pt>
                <c:pt idx="2">
                  <c:v>-44.157156318455577</c:v>
                </c:pt>
                <c:pt idx="3">
                  <c:v>-44.105070453740851</c:v>
                </c:pt>
                <c:pt idx="4">
                  <c:v>-44.05272594172483</c:v>
                </c:pt>
                <c:pt idx="5">
                  <c:v>-44.000036566640411</c:v>
                </c:pt>
                <c:pt idx="6">
                  <c:v>-43.946916112720494</c:v>
                </c:pt>
                <c:pt idx="7">
                  <c:v>-43.893278364197982</c:v>
                </c:pt>
                <c:pt idx="8">
                  <c:v>-43.839037105305778</c:v>
                </c:pt>
                <c:pt idx="9">
                  <c:v>-43.784106120276775</c:v>
                </c:pt>
                <c:pt idx="10">
                  <c:v>-43.728399193343897</c:v>
                </c:pt>
                <c:pt idx="11">
                  <c:v>-43.671830108740018</c:v>
                </c:pt>
                <c:pt idx="12">
                  <c:v>-43.614312650698054</c:v>
                </c:pt>
                <c:pt idx="13">
                  <c:v>-43.555760603450892</c:v>
                </c:pt>
                <c:pt idx="14">
                  <c:v>-43.496087751231457</c:v>
                </c:pt>
                <c:pt idx="15">
                  <c:v>-43.435207878272628</c:v>
                </c:pt>
                <c:pt idx="16">
                  <c:v>-43.373034768807315</c:v>
                </c:pt>
                <c:pt idx="17">
                  <c:v>-43.309482207068413</c:v>
                </c:pt>
                <c:pt idx="18">
                  <c:v>-43.244463977288831</c:v>
                </c:pt>
                <c:pt idx="19">
                  <c:v>-43.17789386370147</c:v>
                </c:pt>
                <c:pt idx="20">
                  <c:v>-43.109685650539227</c:v>
                </c:pt>
                <c:pt idx="21">
                  <c:v>-43.039753122035002</c:v>
                </c:pt>
                <c:pt idx="22">
                  <c:v>-42.968010062421698</c:v>
                </c:pt>
                <c:pt idx="23">
                  <c:v>-42.894370255932216</c:v>
                </c:pt>
                <c:pt idx="24">
                  <c:v>-42.818747486799452</c:v>
                </c:pt>
                <c:pt idx="25">
                  <c:v>-42.741055539256308</c:v>
                </c:pt>
                <c:pt idx="26">
                  <c:v>-42.6612081975357</c:v>
                </c:pt>
                <c:pt idx="27">
                  <c:v>-42.579119245870515</c:v>
                </c:pt>
                <c:pt idx="28">
                  <c:v>-42.494702468493649</c:v>
                </c:pt>
                <c:pt idx="29">
                  <c:v>-42.407871649638018</c:v>
                </c:pt>
                <c:pt idx="30">
                  <c:v>-42.318540573536509</c:v>
                </c:pt>
                <c:pt idx="31">
                  <c:v>-42.22662302442204</c:v>
                </c:pt>
                <c:pt idx="32">
                  <c:v>-42.132032786527489</c:v>
                </c:pt>
                <c:pt idx="33">
                  <c:v>-42.034683644085774</c:v>
                </c:pt>
                <c:pt idx="34">
                  <c:v>-41.934489381329797</c:v>
                </c:pt>
                <c:pt idx="35">
                  <c:v>-41.831363782492438</c:v>
                </c:pt>
                <c:pt idx="36">
                  <c:v>-41.725220631806629</c:v>
                </c:pt>
                <c:pt idx="37">
                  <c:v>-41.615973713505248</c:v>
                </c:pt>
                <c:pt idx="38">
                  <c:v>-41.503536811821206</c:v>
                </c:pt>
                <c:pt idx="39">
                  <c:v>-41.387823710987398</c:v>
                </c:pt>
                <c:pt idx="40">
                  <c:v>-41.268748195236732</c:v>
                </c:pt>
                <c:pt idx="41">
                  <c:v>-41.140474863702025</c:v>
                </c:pt>
                <c:pt idx="42">
                  <c:v>-41.008782269588082</c:v>
                </c:pt>
                <c:pt idx="43">
                  <c:v>-40.873699780999644</c:v>
                </c:pt>
                <c:pt idx="44">
                  <c:v>-40.735256766041417</c:v>
                </c:pt>
                <c:pt idx="45">
                  <c:v>-40.593482592818148</c:v>
                </c:pt>
                <c:pt idx="46">
                  <c:v>-40.448406629434558</c:v>
                </c:pt>
                <c:pt idx="47">
                  <c:v>-40.300058243995366</c:v>
                </c:pt>
                <c:pt idx="48">
                  <c:v>-40.148466804605313</c:v>
                </c:pt>
                <c:pt idx="49">
                  <c:v>-39.993661679369126</c:v>
                </c:pt>
                <c:pt idx="50">
                  <c:v>-39.835672236391531</c:v>
                </c:pt>
                <c:pt idx="51">
                  <c:v>-39.674527843777241</c:v>
                </c:pt>
                <c:pt idx="52">
                  <c:v>-39.510257869631012</c:v>
                </c:pt>
                <c:pt idx="53">
                  <c:v>-39.342891682057548</c:v>
                </c:pt>
                <c:pt idx="54">
                  <c:v>-39.172458649161598</c:v>
                </c:pt>
                <c:pt idx="55">
                  <c:v>-38.998988139047867</c:v>
                </c:pt>
                <c:pt idx="56">
                  <c:v>-38.822509519821097</c:v>
                </c:pt>
                <c:pt idx="57">
                  <c:v>-38.643052159586006</c:v>
                </c:pt>
                <c:pt idx="58">
                  <c:v>-38.460645426447343</c:v>
                </c:pt>
                <c:pt idx="59">
                  <c:v>-38.275318688509813</c:v>
                </c:pt>
                <c:pt idx="60">
                  <c:v>-38.087101313878151</c:v>
                </c:pt>
                <c:pt idx="61">
                  <c:v>-37.896022670657089</c:v>
                </c:pt>
                <c:pt idx="62">
                  <c:v>-37.702112126951349</c:v>
                </c:pt>
                <c:pt idx="63">
                  <c:v>-37.50539905086567</c:v>
                </c:pt>
                <c:pt idx="64">
                  <c:v>-37.305912810504772</c:v>
                </c:pt>
                <c:pt idx="65">
                  <c:v>-37.103682773973375</c:v>
                </c:pt>
                <c:pt idx="66">
                  <c:v>-36.898747183581214</c:v>
                </c:pt>
                <c:pt idx="67">
                  <c:v>-36.691179778457993</c:v>
                </c:pt>
                <c:pt idx="68">
                  <c:v>-36.481063171938388</c:v>
                </c:pt>
                <c:pt idx="69">
                  <c:v>-36.268479977357138</c:v>
                </c:pt>
                <c:pt idx="70">
                  <c:v>-36.0535128080489</c:v>
                </c:pt>
                <c:pt idx="71">
                  <c:v>-35.836244277348399</c:v>
                </c:pt>
                <c:pt idx="72">
                  <c:v>-35.616756998590319</c:v>
                </c:pt>
                <c:pt idx="73">
                  <c:v>-35.395133585109356</c:v>
                </c:pt>
                <c:pt idx="74">
                  <c:v>-35.171456650240216</c:v>
                </c:pt>
                <c:pt idx="75">
                  <c:v>-34.945808807317604</c:v>
                </c:pt>
                <c:pt idx="76">
                  <c:v>-34.718272669676196</c:v>
                </c:pt>
                <c:pt idx="77">
                  <c:v>-34.488930850650711</c:v>
                </c:pt>
                <c:pt idx="78">
                  <c:v>-34.257865963575838</c:v>
                </c:pt>
                <c:pt idx="79">
                  <c:v>-34.02516062178627</c:v>
                </c:pt>
                <c:pt idx="80">
                  <c:v>-33.79089743861671</c:v>
                </c:pt>
                <c:pt idx="81">
                  <c:v>-33.555159027401864</c:v>
                </c:pt>
                <c:pt idx="82">
                  <c:v>-33.318028001476421</c:v>
                </c:pt>
                <c:pt idx="83">
                  <c:v>-33.079586974175072</c:v>
                </c:pt>
                <c:pt idx="84">
                  <c:v>-32.83991855883253</c:v>
                </c:pt>
                <c:pt idx="85">
                  <c:v>-32.599105368783484</c:v>
                </c:pt>
                <c:pt idx="86">
                  <c:v>-32.357230017362632</c:v>
                </c:pt>
                <c:pt idx="87">
                  <c:v>-32.114375117904679</c:v>
                </c:pt>
                <c:pt idx="88">
                  <c:v>-31.870623283744315</c:v>
                </c:pt>
                <c:pt idx="89">
                  <c:v>-31.626057128216242</c:v>
                </c:pt>
                <c:pt idx="90">
                  <c:v>-31.380759264655158</c:v>
                </c:pt>
                <c:pt idx="91">
                  <c:v>-31.134755698121651</c:v>
                </c:pt>
                <c:pt idx="92">
                  <c:v>-30.887846000579898</c:v>
                </c:pt>
                <c:pt idx="93">
                  <c:v>-30.63977313571997</c:v>
                </c:pt>
                <c:pt idx="94">
                  <c:v>-30.390280067231927</c:v>
                </c:pt>
                <c:pt idx="95">
                  <c:v>-30.139109758805848</c:v>
                </c:pt>
                <c:pt idx="96">
                  <c:v>-29.886005174131785</c:v>
                </c:pt>
                <c:pt idx="97">
                  <c:v>-29.630709276899822</c:v>
                </c:pt>
                <c:pt idx="98">
                  <c:v>-29.372965030800014</c:v>
                </c:pt>
                <c:pt idx="99">
                  <c:v>-29.11251539952244</c:v>
                </c:pt>
                <c:pt idx="100">
                  <c:v>-28.849103346757158</c:v>
                </c:pt>
                <c:pt idx="101">
                  <c:v>-28.582471836194244</c:v>
                </c:pt>
                <c:pt idx="102">
                  <c:v>-28.312363831523761</c:v>
                </c:pt>
                <c:pt idx="103">
                  <c:v>-28.038522296435779</c:v>
                </c:pt>
                <c:pt idx="104">
                  <c:v>-27.760690194620366</c:v>
                </c:pt>
                <c:pt idx="105">
                  <c:v>-27.478610489767583</c:v>
                </c:pt>
                <c:pt idx="106">
                  <c:v>-27.19202614556751</c:v>
                </c:pt>
                <c:pt idx="107">
                  <c:v>-26.900680125710206</c:v>
                </c:pt>
                <c:pt idx="108">
                  <c:v>-26.604315393885742</c:v>
                </c:pt>
                <c:pt idx="109">
                  <c:v>-26.30267491378418</c:v>
                </c:pt>
                <c:pt idx="110">
                  <c:v>-25.995501649095601</c:v>
                </c:pt>
                <c:pt idx="111">
                  <c:v>-25.682538563510064</c:v>
                </c:pt>
                <c:pt idx="112">
                  <c:v>-25.363528620717634</c:v>
                </c:pt>
                <c:pt idx="113">
                  <c:v>-25.038214784408382</c:v>
                </c:pt>
                <c:pt idx="114">
                  <c:v>-24.706340018272382</c:v>
                </c:pt>
                <c:pt idx="115">
                  <c:v>-24.367647285999691</c:v>
                </c:pt>
                <c:pt idx="116">
                  <c:v>-24.021879551280385</c:v>
                </c:pt>
                <c:pt idx="117">
                  <c:v>-23.668779777804527</c:v>
                </c:pt>
                <c:pt idx="118">
                  <c:v>-23.308090929262189</c:v>
                </c:pt>
                <c:pt idx="119">
                  <c:v>-22.939555969343434</c:v>
                </c:pt>
                <c:pt idx="120">
                  <c:v>-22.562917861738338</c:v>
                </c:pt>
                <c:pt idx="121">
                  <c:v>-22.178041986403212</c:v>
                </c:pt>
                <c:pt idx="122">
                  <c:v>-21.785283388359417</c:v>
                </c:pt>
                <c:pt idx="123">
                  <c:v>-21.385119528894545</c:v>
                </c:pt>
                <c:pt idx="124">
                  <c:v>-20.978027869296199</c:v>
                </c:pt>
                <c:pt idx="125">
                  <c:v>-20.564485870851989</c:v>
                </c:pt>
                <c:pt idx="126">
                  <c:v>-20.144970994849512</c:v>
                </c:pt>
                <c:pt idx="127">
                  <c:v>-19.719960702576373</c:v>
                </c:pt>
                <c:pt idx="128">
                  <c:v>-19.289932455320173</c:v>
                </c:pt>
                <c:pt idx="129">
                  <c:v>-18.855363714368515</c:v>
                </c:pt>
                <c:pt idx="130">
                  <c:v>-18.416731941008997</c:v>
                </c:pt>
                <c:pt idx="131">
                  <c:v>-17.974514596529229</c:v>
                </c:pt>
                <c:pt idx="132">
                  <c:v>-17.529189142216804</c:v>
                </c:pt>
                <c:pt idx="133">
                  <c:v>-17.081233039359336</c:v>
                </c:pt>
                <c:pt idx="134">
                  <c:v>-16.631123749244423</c:v>
                </c:pt>
                <c:pt idx="135">
                  <c:v>-16.179338733159664</c:v>
                </c:pt>
                <c:pt idx="136">
                  <c:v>-15.726355452392665</c:v>
                </c:pt>
                <c:pt idx="137">
                  <c:v>-15.272651368231028</c:v>
                </c:pt>
                <c:pt idx="138">
                  <c:v>-14.818703941962353</c:v>
                </c:pt>
                <c:pt idx="139">
                  <c:v>-14.364990634874248</c:v>
                </c:pt>
                <c:pt idx="140">
                  <c:v>-13.91198890825431</c:v>
                </c:pt>
                <c:pt idx="141">
                  <c:v>-13.460176223390143</c:v>
                </c:pt>
                <c:pt idx="142">
                  <c:v>-13.010030041569349</c:v>
                </c:pt>
                <c:pt idx="143">
                  <c:v>-12.562027824079532</c:v>
                </c:pt>
                <c:pt idx="144">
                  <c:v>-12.116647032208299</c:v>
                </c:pt>
                <c:pt idx="145">
                  <c:v>-11.674365127243243</c:v>
                </c:pt>
                <c:pt idx="146">
                  <c:v>-11.23565957047197</c:v>
                </c:pt>
                <c:pt idx="147">
                  <c:v>-10.801007823182088</c:v>
                </c:pt>
                <c:pt idx="148">
                  <c:v>-10.370887346661192</c:v>
                </c:pt>
                <c:pt idx="149">
                  <c:v>-9.9457756021968873</c:v>
                </c:pt>
                <c:pt idx="150">
                  <c:v>-9.526150051076776</c:v>
                </c:pt>
                <c:pt idx="151">
                  <c:v>-9.1124881545884637</c:v>
                </c:pt>
                <c:pt idx="152">
                  <c:v>-8.7052673740195505</c:v>
                </c:pt>
                <c:pt idx="153">
                  <c:v>-8.3049651706576348</c:v>
                </c:pt>
                <c:pt idx="154">
                  <c:v>-7.9120590057903275</c:v>
                </c:pt>
                <c:pt idx="155">
                  <c:v>-7.5270263407052251</c:v>
                </c:pt>
                <c:pt idx="156">
                  <c:v>-7.1503446366899324</c:v>
                </c:pt>
                <c:pt idx="157">
                  <c:v>-6.7824913550320511</c:v>
                </c:pt>
                <c:pt idx="158">
                  <c:v>-6.4239439570191834</c:v>
                </c:pt>
                <c:pt idx="159">
                  <c:v>-6.0751799039389329</c:v>
                </c:pt>
                <c:pt idx="160">
                  <c:v>-5.7366766570789016</c:v>
                </c:pt>
                <c:pt idx="161">
                  <c:v>-5.4089116777266915</c:v>
                </c:pt>
                <c:pt idx="162">
                  <c:v>-5.0923624271699053</c:v>
                </c:pt>
                <c:pt idx="163">
                  <c:v>-4.7875063666961459</c:v>
                </c:pt>
                <c:pt idx="164">
                  <c:v>-4.4948209575930145</c:v>
                </c:pt>
                <c:pt idx="165">
                  <c:v>-4.2147836611481173</c:v>
                </c:pt>
                <c:pt idx="166">
                  <c:v>-3.9477298590347103</c:v>
                </c:pt>
                <c:pt idx="167">
                  <c:v>-3.6934266144686854</c:v>
                </c:pt>
                <c:pt idx="168">
                  <c:v>-3.4514989110515888</c:v>
                </c:pt>
                <c:pt idx="169">
                  <c:v>-3.2215717323849695</c:v>
                </c:pt>
                <c:pt idx="170">
                  <c:v>-3.0032700620703747</c:v>
                </c:pt>
                <c:pt idx="171">
                  <c:v>-2.796218883709352</c:v>
                </c:pt>
                <c:pt idx="172">
                  <c:v>-2.600043180903449</c:v>
                </c:pt>
                <c:pt idx="173">
                  <c:v>-2.4143679372542133</c:v>
                </c:pt>
                <c:pt idx="174">
                  <c:v>-2.2388181363631925</c:v>
                </c:pt>
                <c:pt idx="175">
                  <c:v>-2.0730187618319342</c:v>
                </c:pt>
                <c:pt idx="176">
                  <c:v>-1.9165947972619857</c:v>
                </c:pt>
                <c:pt idx="177">
                  <c:v>-1.7691712262548951</c:v>
                </c:pt>
                <c:pt idx="178">
                  <c:v>-1.6303730324122099</c:v>
                </c:pt>
                <c:pt idx="179">
                  <c:v>-1.4998251993354774</c:v>
                </c:pt>
                <c:pt idx="180">
                  <c:v>-1.3771527106262451</c:v>
                </c:pt>
                <c:pt idx="181">
                  <c:v>-1.2619805498860612</c:v>
                </c:pt>
                <c:pt idx="182">
                  <c:v>-1.1539337007164729</c:v>
                </c:pt>
                <c:pt idx="183">
                  <c:v>-1.0526371467190279</c:v>
                </c:pt>
                <c:pt idx="184">
                  <c:v>-0.95771587149527349</c:v>
                </c:pt>
                <c:pt idx="185">
                  <c:v>-0.86879485864675765</c:v>
                </c:pt>
                <c:pt idx="186">
                  <c:v>-0.78549909177502786</c:v>
                </c:pt>
                <c:pt idx="187">
                  <c:v>-0.70745355448163183</c:v>
                </c:pt>
                <c:pt idx="188">
                  <c:v>-0.63428323036811685</c:v>
                </c:pt>
                <c:pt idx="189">
                  <c:v>-0.56561310303603085</c:v>
                </c:pt>
                <c:pt idx="190">
                  <c:v>-0.50106815608692123</c:v>
                </c:pt>
                <c:pt idx="191">
                  <c:v>-0.44027337312233561</c:v>
                </c:pt>
                <c:pt idx="192">
                  <c:v>-0.38285373774382164</c:v>
                </c:pt>
                <c:pt idx="193">
                  <c:v>-0.32843423355292684</c:v>
                </c:pt>
                <c:pt idx="194">
                  <c:v>-0.27663984415119897</c:v>
                </c:pt>
                <c:pt idx="195">
                  <c:v>-0.22709555314018542</c:v>
                </c:pt>
                <c:pt idx="196">
                  <c:v>-0.17942634412143393</c:v>
                </c:pt>
                <c:pt idx="197">
                  <c:v>-0.13325720069649202</c:v>
                </c:pt>
                <c:pt idx="198">
                  <c:v>-8.8213106466907346E-2</c:v>
                </c:pt>
                <c:pt idx="199">
                  <c:v>-4.3919045034227472E-2</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-44.26089696904954</c:v>
                </c:pt>
                <c:pt idx="1">
                  <c:v>-41.268748195236732</c:v>
                </c:pt>
                <c:pt idx="2">
                  <c:v>-37.103682773973375</c:v>
                </c:pt>
                <c:pt idx="3">
                  <c:v>-31.380759264655154</c:v>
                </c:pt>
                <c:pt idx="4">
                  <c:v>-22.562917861738338</c:v>
                </c:pt>
                <c:pt idx="5">
                  <c:v>-4.2147836611481173</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-44.461792304823803</c:v>
                </c:pt>
                <c:pt idx="1">
                  <c:v>-44.334378485966681</c:v>
                </c:pt>
                <c:pt idx="2">
                  <c:v>-44.219964057816696</c:v>
                </c:pt>
                <c:pt idx="3">
                  <c:v>-44.117159042963067</c:v>
                </c:pt>
                <c:pt idx="4">
                  <c:v>-44.024649580190953</c:v>
                </c:pt>
                <c:pt idx="5">
                  <c:v>-43.941195615228708</c:v>
                </c:pt>
                <c:pt idx="6">
                  <c:v>-43.865628608632278</c:v>
                </c:pt>
                <c:pt idx="7">
                  <c:v>-43.796849261877469</c:v>
                </c:pt>
                <c:pt idx="8">
                  <c:v>-43.733825262719847</c:v>
                </c:pt>
                <c:pt idx="9">
                  <c:v>-43.675589050875942</c:v>
                </c:pt>
                <c:pt idx="10">
                  <c:v>-43.621235605003903</c:v>
                </c:pt>
                <c:pt idx="11">
                  <c:v>-43.569920251962003</c:v>
                </c:pt>
                <c:pt idx="12">
                  <c:v>-43.520856499372485</c:v>
                </c:pt>
                <c:pt idx="13">
                  <c:v>-43.473313892294186</c:v>
                </c:pt>
                <c:pt idx="14">
                  <c:v>-43.426615895009377</c:v>
                </c:pt>
                <c:pt idx="15">
                  <c:v>-43.38013779880157</c:v>
                </c:pt>
                <c:pt idx="16">
                  <c:v>-43.333304656491691</c:v>
                </c:pt>
                <c:pt idx="17">
                  <c:v>-43.285589244649714</c:v>
                </c:pt>
                <c:pt idx="18">
                  <c:v>-43.236510054272003</c:v>
                </c:pt>
                <c:pt idx="19">
                  <c:v>-43.185629310630588</c:v>
                </c:pt>
                <c:pt idx="20">
                  <c:v>-43.132551023150995</c:v>
                </c:pt>
                <c:pt idx="21">
                  <c:v>-43.076919065945617</c:v>
                </c:pt>
                <c:pt idx="22">
                  <c:v>-43.018415289781046</c:v>
                </c:pt>
                <c:pt idx="23">
                  <c:v>-42.956757666103726</c:v>
                </c:pt>
                <c:pt idx="24">
                  <c:v>-42.891698463785701</c:v>
                </c:pt>
                <c:pt idx="25">
                  <c:v>-42.823022459253934</c:v>
                </c:pt>
                <c:pt idx="26">
                  <c:v>-42.750545180511494</c:v>
                </c:pt>
                <c:pt idx="27">
                  <c:v>-42.674111185738695</c:v>
                </c:pt>
                <c:pt idx="28">
                  <c:v>-42.593592376911658</c:v>
                </c:pt>
                <c:pt idx="29">
                  <c:v>-42.508886349036572</c:v>
                </c:pt>
                <c:pt idx="30">
                  <c:v>-42.419914775481175</c:v>
                </c:pt>
                <c:pt idx="31">
                  <c:v>-42.326621829825513</c:v>
                </c:pt>
                <c:pt idx="32">
                  <c:v>-42.228972644742043</c:v>
                </c:pt>
                <c:pt idx="33">
                  <c:v>-42.126951808300191</c:v>
                </c:pt>
                <c:pt idx="34">
                  <c:v>-42.020561898070923</c:v>
                </c:pt>
                <c:pt idx="35">
                  <c:v>-41.909822053422999</c:v>
                </c:pt>
                <c:pt idx="36">
                  <c:v>-41.794766586344508</c:v>
                </c:pt>
                <c:pt idx="37">
                  <c:v>-41.675443631119435</c:v>
                </c:pt>
                <c:pt idx="38">
                  <c:v>-41.551913833131096</c:v>
                </c:pt>
                <c:pt idx="39">
                  <c:v>-41.424249077073227</c:v>
                </c:pt>
                <c:pt idx="40">
                  <c:v>-41.292531254810683</c:v>
                </c:pt>
                <c:pt idx="41">
                  <c:v>-41.156851073091673</c:v>
                </c:pt>
                <c:pt idx="42">
                  <c:v>-41.017306901327402</c:v>
                </c:pt>
                <c:pt idx="43">
                  <c:v>-40.874003659570008</c:v>
                </c:pt>
                <c:pt idx="44">
                  <c:v>-40.727051746857569</c:v>
                </c:pt>
                <c:pt idx="45">
                  <c:v>-40.576566010025033</c:v>
                </c:pt>
                <c:pt idx="46">
                  <c:v>-40.422664753068233</c:v>
                </c:pt>
                <c:pt idx="47">
                  <c:v>-40.265468787128157</c:v>
                </c:pt>
                <c:pt idx="48">
                  <c:v>-40.105100521140912</c:v>
                </c:pt>
                <c:pt idx="49">
                  <c:v>-39.941683093139432</c:v>
                </c:pt>
                <c:pt idx="50">
                  <c:v>-39.775339542223719</c:v>
                </c:pt>
                <c:pt idx="51">
                  <c:v>-39.606192021136252</c:v>
                </c:pt>
                <c:pt idx="52">
                  <c:v>-39.434361049393203</c:v>
                </c:pt>
                <c:pt idx="53">
                  <c:v>-39.259964806866947</c:v>
                </c:pt>
                <c:pt idx="54">
                  <c:v>-39.083118467717497</c:v>
                </c:pt>
                <c:pt idx="55">
                  <c:v>-38.903933574528025</c:v>
                </c:pt>
                <c:pt idx="56">
                  <c:v>-38.722517452462114</c:v>
                </c:pt>
                <c:pt idx="57">
                  <c:v>-38.538972663278471</c:v>
                </c:pt>
                <c:pt idx="58">
                  <c:v>-38.353396498956883</c:v>
                </c:pt>
                <c:pt idx="59">
                  <c:v>-38.165880514707155</c:v>
                </c:pt>
                <c:pt idx="60">
                  <c:v>-37.976510101095158</c:v>
                </c:pt>
                <c:pt idx="61">
                  <c:v>-37.785364094980153</c:v>
                </c:pt>
                <c:pt idx="62">
                  <c:v>-37.592514428940063</c:v>
                </c:pt>
                <c:pt idx="63">
                  <c:v>-37.398025818863644</c:v>
                </c:pt>
                <c:pt idx="64">
                  <c:v>-37.201955489309327</c:v>
                </c:pt>
                <c:pt idx="65">
                  <c:v>-37.004352936251138</c:v>
                </c:pt>
                <c:pt idx="66">
                  <c:v>-36.805259726784527</c:v>
                </c:pt>
                <c:pt idx="67">
                  <c:v>-36.604709335342925</c:v>
                </c:pt>
                <c:pt idx="68">
                  <c:v>-36.402727015955215</c:v>
                </c:pt>
                <c:pt idx="69">
                  <c:v>-36.199329710043827</c:v>
                </c:pt>
                <c:pt idx="70">
                  <c:v>-35.994525989236578</c:v>
                </c:pt>
                <c:pt idx="71">
                  <c:v>-35.788316032650748</c:v>
                </c:pt>
                <c:pt idx="72">
                  <c:v>-35.580691638058418</c:v>
                </c:pt>
                <c:pt idx="73">
                  <c:v>-35.371636266352937</c:v>
                </c:pt>
                <c:pt idx="74">
                  <c:v>-35.161125118671663</c:v>
                </c:pt>
                <c:pt idx="75">
                  <c:v>-34.949125245533715</c:v>
                </c:pt>
                <c:pt idx="76">
                  <c:v>-34.735595687313435</c:v>
                </c:pt>
                <c:pt idx="77">
                  <c:v>-34.520487645342826</c:v>
                </c:pt>
                <c:pt idx="78">
                  <c:v>-34.303744682920424</c:v>
                </c:pt>
                <c:pt idx="79">
                  <c:v>-34.085302955466219</c:v>
                </c:pt>
                <c:pt idx="80">
                  <c:v>-33.865091469052437</c:v>
                </c:pt>
                <c:pt idx="81">
                  <c:v>-33.643032366491582</c:v>
                </c:pt>
                <c:pt idx="82">
                  <c:v>-33.419041240167388</c:v>
                </c:pt>
                <c:pt idx="83">
                  <c:v>-33.193027470739068</c:v>
                </c:pt>
                <c:pt idx="84">
                  <c:v>-32.964894590843912</c:v>
                </c:pt>
                <c:pt idx="85">
                  <c:v>-32.734540672892201</c:v>
                </c:pt>
                <c:pt idx="86">
                  <c:v>-32.501858740018214</c:v>
                </c:pt>
                <c:pt idx="87">
                  <c:v>-32.266737199230491</c:v>
                </c:pt>
                <c:pt idx="88">
                  <c:v>-32.029060295780361</c:v>
                </c:pt>
                <c:pt idx="89">
                  <c:v>-31.788708587735961</c:v>
                </c:pt>
                <c:pt idx="90">
                  <c:v>-31.545559439730177</c:v>
                </c:pt>
                <c:pt idx="91">
                  <c:v>-31.299487534818866</c:v>
                </c:pt>
                <c:pt idx="92">
                  <c:v>-31.050365403369444</c:v>
                </c:pt>
                <c:pt idx="93">
                  <c:v>-30.798063967862625</c:v>
                </c:pt>
                <c:pt idx="94">
                  <c:v>-30.542453102473907</c:v>
                </c:pt>
                <c:pt idx="95">
                  <c:v>-30.28340220627241</c:v>
                </c:pt>
                <c:pt idx="96">
                  <c:v>-30.020780788850505</c:v>
                </c:pt>
                <c:pt idx="97">
                  <c:v>-29.754459067166351</c:v>
                </c:pt>
                <c:pt idx="98">
                  <c:v>-29.484308572367944</c:v>
                </c:pt>
                <c:pt idx="99">
                  <c:v>-29.210202765327576</c:v>
                </c:pt>
                <c:pt idx="100">
                  <c:v>-28.932017659601041</c:v>
                </c:pt>
                <c:pt idx="101">
                  <c:v>-28.649632450495183</c:v>
                </c:pt>
                <c:pt idx="102">
                  <c:v>-28.362930148904653</c:v>
                </c:pt>
                <c:pt idx="103">
                  <c:v>-28.071798218546466</c:v>
                </c:pt>
                <c:pt idx="104">
                  <c:v>-27.776129215207973</c:v>
                </c:pt>
                <c:pt idx="105">
                  <c:v>-27.475821426585242</c:v>
                </c:pt>
                <c:pt idx="106">
                  <c:v>-27.170779511271185</c:v>
                </c:pt>
                <c:pt idx="107">
                  <c:v>-26.8609151354263</c:v>
                </c:pt>
                <c:pt idx="108">
                  <c:v>-26.546147605634765</c:v>
                </c:pt>
                <c:pt idx="109">
                  <c:v>-26.226404496429666</c:v>
                </c:pt>
                <c:pt idx="110">
                  <c:v>-25.901622270942489</c:v>
                </c:pt>
                <c:pt idx="111">
                  <c:v>-25.571746893103573</c:v>
                </c:pt>
                <c:pt idx="112">
                  <c:v>-25.236734429801164</c:v>
                </c:pt>
                <c:pt idx="113">
                  <c:v>-24.896551641374838</c:v>
                </c:pt>
                <c:pt idx="114">
                  <c:v>-24.551176558798481</c:v>
                </c:pt>
                <c:pt idx="115">
                  <c:v>-24.200599045878818</c:v>
                </c:pt>
                <c:pt idx="116">
                  <c:v>-23.844821344773315</c:v>
                </c:pt>
                <c:pt idx="117">
                  <c:v>-23.483858603101197</c:v>
                </c:pt>
                <c:pt idx="118">
                  <c:v>-23.117739380902481</c:v>
                </c:pt>
                <c:pt idx="119">
                  <c:v>-22.746506135666134</c:v>
                </c:pt>
                <c:pt idx="120">
                  <c:v>-22.370215683631567</c:v>
                </c:pt>
                <c:pt idx="121">
                  <c:v>-21.98893963553456</c:v>
                </c:pt>
                <c:pt idx="122">
                  <c:v>-21.602764804949004</c:v>
                </c:pt>
                <c:pt idx="123">
                  <c:v>-21.211793587346239</c:v>
                </c:pt>
                <c:pt idx="124">
                  <c:v>-20.816144307971008</c:v>
                </c:pt>
                <c:pt idx="125">
                  <c:v>-20.41595153660581</c:v>
                </c:pt>
                <c:pt idx="126">
                  <c:v>-20.011366367271027</c:v>
                </c:pt>
                <c:pt idx="127">
                  <c:v>-19.602556660881842</c:v>
                </c:pt>
                <c:pt idx="128">
                  <c:v>-19.189707248857925</c:v>
                </c:pt>
                <c:pt idx="129">
                  <c:v>-18.773020095656637</c:v>
                </c:pt>
                <c:pt idx="130">
                  <c:v>-18.352714418173683</c:v>
                </c:pt>
                <c:pt idx="131">
                  <c:v>-17.929026759932018</c:v>
                </c:pt>
                <c:pt idx="132">
                  <c:v>-17.502211017950994</c:v>
                </c:pt>
                <c:pt idx="133">
                  <c:v>-17.072538420165696</c:v>
                </c:pt>
                <c:pt idx="134">
                  <c:v>-16.640297451238364</c:v>
                </c:pt>
                <c:pt idx="135">
                  <c:v>-16.205793724579298</c:v>
                </c:pt>
                <c:pt idx="136">
                  <c:v>-15.769349798369374</c:v>
                </c:pt>
                <c:pt idx="137">
                  <c:v>-15.33130493334977</c:v>
                </c:pt>
                <c:pt idx="138">
                  <c:v>-14.892014790120353</c:v>
                </c:pt>
                <c:pt idx="139">
                  <c:v>-14.451851063661691</c:v>
                </c:pt>
                <c:pt idx="140">
                  <c:v>-14.011201052769772</c:v>
                </c:pt>
                <c:pt idx="141">
                  <c:v>-13.570467162068866</c:v>
                </c:pt>
                <c:pt idx="142">
                  <c:v>-13.130066334240054</c:v>
                </c:pt>
                <c:pt idx="143">
                  <c:v>-12.690429410079101</c:v>
                </c:pt>
                <c:pt idx="144">
                  <c:v>-12.252000413971553</c:v>
                </c:pt>
                <c:pt idx="145">
                  <c:v>-11.815235762346486</c:v>
                </c:pt>
                <c:pt idx="146">
                  <c:v>-11.380603392646242</c:v>
                </c:pt>
                <c:pt idx="147">
                  <c:v>-10.948581810322965</c:v>
                </c:pt>
                <c:pt idx="148">
                  <c:v>-10.519659051347183</c:v>
                </c:pt>
                <c:pt idx="149">
                  <c:v>-10.094331557689257</c:v>
                </c:pt>
                <c:pt idx="150">
                  <c:v>-9.6731029632076826</c:v>
                </c:pt>
                <c:pt idx="151">
                  <c:v>-9.2564827873532671</c:v>
                </c:pt>
                <c:pt idx="152">
                  <c:v>-8.8449850340732734</c:v>
                </c:pt>
                <c:pt idx="153">
                  <c:v>-8.4391266932728275</c:v>
                </c:pt>
                <c:pt idx="154">
                  <c:v>-8.0394261421666737</c:v>
                </c:pt>
                <c:pt idx="155">
                  <c:v>-7.6464014438278438</c:v>
                </c:pt>
                <c:pt idx="156">
                  <c:v>-7.2605685402150844</c:v>
                </c:pt>
                <c:pt idx="157">
                  <c:v>-6.8824393369346639</c:v>
                </c:pt>
                <c:pt idx="158">
                  <c:v>-6.5125196769672113</c:v>
                </c:pt>
                <c:pt idx="159">
                  <c:v>-6.1513072005644629</c:v>
                </c:pt>
                <c:pt idx="160">
                  <c:v>-5.7992890884953585</c:v>
                </c:pt>
                <c:pt idx="161">
                  <c:v>-5.4569396857952519</c:v>
                </c:pt>
                <c:pt idx="162">
                  <c:v>-5.1247180031468282</c:v>
                </c:pt>
                <c:pt idx="163">
                  <c:v>-4.8030650929954533</c:v>
                </c:pt>
                <c:pt idx="164">
                  <c:v>-4.4924012974763583</c:v>
                </c:pt>
                <c:pt idx="165">
                  <c:v>-4.1931233652054951</c:v>
                </c:pt>
                <c:pt idx="166">
                  <c:v>-3.9056014339603964</c:v>
                </c:pt>
                <c:pt idx="167">
                  <c:v>-3.6301758762518461</c:v>
                </c:pt>
                <c:pt idx="168">
                  <c:v>-3.367154004761665</c:v>
                </c:pt>
                <c:pt idx="169">
                  <c:v>-3.1168066345963825</c:v>
                </c:pt>
                <c:pt idx="170">
                  <c:v>-2.8793644992810896</c:v>
                </c:pt>
                <c:pt idx="171">
                  <c:v>-2.655014517392182</c:v>
                </c:pt>
                <c:pt idx="172">
                  <c:v>-2.4438959067022981</c:v>
                </c:pt>
                <c:pt idx="173">
                  <c:v>-2.246096142685106</c:v>
                </c:pt>
                <c:pt idx="174">
                  <c:v>-2.0616467582022144</c:v>
                </c:pt>
                <c:pt idx="175">
                  <c:v>-1.8905189811688508</c:v>
                </c:pt>
                <c:pt idx="176">
                  <c:v>-1.7326192069695299</c:v>
                </c:pt>
                <c:pt idx="177">
                  <c:v>-1.5877843023693552</c:v>
                </c:pt>
                <c:pt idx="178">
                  <c:v>-1.4557767376411141</c:v>
                </c:pt>
                <c:pt idx="179">
                  <c:v>-1.3362795436028005</c:v>
                </c:pt>
                <c:pt idx="180">
                  <c:v>-1.2288910902346979</c:v>
                </c:pt>
                <c:pt idx="181">
                  <c:v>-1.1331196835196227</c:v>
                </c:pt>
                <c:pt idx="182">
                  <c:v>-1.0483779771244264</c:v>
                </c:pt>
                <c:pt idx="183">
                  <c:v>-0.9739771955153318</c:v>
                </c:pt>
                <c:pt idx="184">
                  <c:v>-0.90912116507417673</c:v>
                </c:pt>
                <c:pt idx="185">
                  <c:v>-0.85290014975710959</c:v>
                </c:pt>
                <c:pt idx="186">
                  <c:v>-0.80428448781177397</c:v>
                </c:pt>
                <c:pt idx="187">
                  <c:v>-0.76211802604350465</c:v>
                </c:pt>
                <c:pt idx="188">
                  <c:v>-0.72511134809554278</c:v>
                </c:pt>
                <c:pt idx="189">
                  <c:v>-0.69183479318276331</c:v>
                </c:pt>
                <c:pt idx="190">
                  <c:v>-0.66071126169288641</c:v>
                </c:pt>
                <c:pt idx="191">
                  <c:v>-0.63000880404364779</c:v>
                </c:pt>
                <c:pt idx="192">
                  <c:v>-0.59783298915886374</c:v>
                </c:pt>
                <c:pt idx="193">
                  <c:v>-0.56211904890083653</c:v>
                </c:pt>
                <c:pt idx="194">
                  <c:v>-0.52062379477101006</c:v>
                </c:pt>
                <c:pt idx="195">
                  <c:v>-0.47091730316529085</c:v>
                </c:pt>
                <c:pt idx="196">
                  <c:v>-0.41037436544491468</c:v>
                </c:pt>
                <c:pt idx="197">
                  <c:v>-0.33616569905824339</c:v>
                </c:pt>
                <c:pt idx="198">
                  <c:v>-0.24524891592334827</c:v>
                </c:pt>
                <c:pt idx="199">
                  <c:v>-0.13435924425572909</c:v>
                </c:pt>
                <c:pt idx="200">
                  <c:v>0</c:v>
                </c:pt>
              </c:numCache>
            </c:numRef>
          </c:yVal>
          <c:smooth val="1"/>
        </c:ser>
        <c:dLbls>
          <c:showLegendKey val="0"/>
          <c:showVal val="0"/>
          <c:showCatName val="0"/>
          <c:showSerName val="0"/>
          <c:showPercent val="0"/>
          <c:showBubbleSize val="0"/>
        </c:dLbls>
        <c:axId val="440217264"/>
        <c:axId val="440218048"/>
      </c:scatterChart>
      <c:valAx>
        <c:axId val="44021726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8048"/>
        <c:crossesAt val="-1000"/>
        <c:crossBetween val="midCat"/>
      </c:valAx>
      <c:valAx>
        <c:axId val="440218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726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0.1473195179675631</v>
      </c>
      <c r="D59" s="55">
        <v>1</v>
      </c>
    </row>
    <row r="60" spans="1:4" s="11" customFormat="1" x14ac:dyDescent="0.25">
      <c r="A60" s="54">
        <v>2</v>
      </c>
      <c r="B60" s="56">
        <f>'Shiftfunktion bestimmen'!N2</f>
        <v>1.359348832498047E-2</v>
      </c>
      <c r="D60" s="55">
        <v>2</v>
      </c>
    </row>
    <row r="61" spans="1:4" s="11" customFormat="1" x14ac:dyDescent="0.25">
      <c r="A61" s="54">
        <v>3</v>
      </c>
      <c r="B61" s="56">
        <f>'Shiftfunktion bestimmen'!N3</f>
        <v>6.4361740415686821E-4</v>
      </c>
      <c r="D61" s="55">
        <v>3</v>
      </c>
    </row>
    <row r="62" spans="1:4" s="11" customFormat="1" x14ac:dyDescent="0.25">
      <c r="A62" s="54">
        <v>4</v>
      </c>
      <c r="B62" s="56">
        <f>'Shiftfunktion bestimmen'!N4</f>
        <v>1.04871837428242E-5</v>
      </c>
      <c r="D62" s="55">
        <v>4</v>
      </c>
    </row>
    <row r="63" spans="1:4" s="11" customFormat="1" x14ac:dyDescent="0.25">
      <c r="A63" s="54">
        <v>5</v>
      </c>
      <c r="B63" s="56">
        <f>'Shiftfunktion bestimmen'!N5</f>
        <v>8.4755934128179531E-8</v>
      </c>
      <c r="D63" s="55">
        <v>5</v>
      </c>
    </row>
    <row r="64" spans="1:4" s="11" customFormat="1" x14ac:dyDescent="0.25">
      <c r="A64" s="54">
        <v>6</v>
      </c>
      <c r="B64" s="56">
        <f>'Shiftfunktion bestimmen'!N6</f>
        <v>3.6398089481908068E-10</v>
      </c>
      <c r="D64" s="55">
        <v>6</v>
      </c>
    </row>
    <row r="65" spans="1:5" s="11" customFormat="1" x14ac:dyDescent="0.25">
      <c r="A65" s="54">
        <v>7</v>
      </c>
      <c r="B65" s="56">
        <f>'Shiftfunktion bestimmen'!N7</f>
        <v>7.7985488329269601E-13</v>
      </c>
      <c r="D65" s="55">
        <v>7</v>
      </c>
    </row>
    <row r="66" spans="1:5" x14ac:dyDescent="0.25">
      <c r="A66" s="54">
        <v>8</v>
      </c>
      <c r="B66" s="56">
        <f>'Shiftfunktion bestimmen'!N8</f>
        <v>6.3280155537831774E-16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0.16943181878703842</v>
      </c>
      <c r="D74" s="51">
        <v>1</v>
      </c>
      <c r="E74" s="56">
        <f>'Mastercurve bestimmen'!A18</f>
        <v>1.0000000000000001E-30</v>
      </c>
    </row>
    <row r="75" spans="1:5" x14ac:dyDescent="0.25">
      <c r="A75" s="50">
        <f>A74+1</f>
        <v>2</v>
      </c>
      <c r="B75" s="56">
        <f>'Mastercurve bestimmen'!C19</f>
        <v>7.5788306997470078E-2</v>
      </c>
      <c r="D75" s="51">
        <v>2</v>
      </c>
      <c r="E75" s="56">
        <f>'Mastercurve bestimmen'!A19</f>
        <v>3.9038946506297401E-14</v>
      </c>
    </row>
    <row r="76" spans="1:5" x14ac:dyDescent="0.25">
      <c r="A76" s="50">
        <f t="shared" ref="A76:A104" si="0">A75+1</f>
        <v>3</v>
      </c>
      <c r="B76" s="56">
        <f>'Mastercurve bestimmen'!C20</f>
        <v>2.742614598116927E-2</v>
      </c>
      <c r="D76" s="51">
        <v>3</v>
      </c>
      <c r="E76" s="56">
        <f>'Mastercurve bestimmen'!A20</f>
        <v>4.3276437088188502E-13</v>
      </c>
    </row>
    <row r="77" spans="1:5" x14ac:dyDescent="0.25">
      <c r="A77" s="50">
        <f t="shared" si="0"/>
        <v>4</v>
      </c>
      <c r="B77" s="56">
        <f>'Mastercurve bestimmen'!C21</f>
        <v>4.6802795715284964E-2</v>
      </c>
      <c r="D77" s="51">
        <v>4</v>
      </c>
      <c r="E77" s="56">
        <f>'Mastercurve bestimmen'!A21</f>
        <v>4.7973886968128502E-12</v>
      </c>
    </row>
    <row r="78" spans="1:5" x14ac:dyDescent="0.25">
      <c r="A78" s="50">
        <f t="shared" si="0"/>
        <v>5</v>
      </c>
      <c r="B78" s="56">
        <f>'Mastercurve bestimmen'!C22</f>
        <v>4.5136552781973364E-2</v>
      </c>
      <c r="D78" s="51">
        <v>5</v>
      </c>
      <c r="E78" s="56">
        <f>'Mastercurve bestimmen'!A22</f>
        <v>5.31812225239524E-11</v>
      </c>
    </row>
    <row r="79" spans="1:5" x14ac:dyDescent="0.25">
      <c r="A79" s="50">
        <f t="shared" si="0"/>
        <v>6</v>
      </c>
      <c r="B79" s="56">
        <f>'Mastercurve bestimmen'!C23</f>
        <v>6.7281406852932088E-2</v>
      </c>
      <c r="D79" s="51">
        <v>6</v>
      </c>
      <c r="E79" s="56">
        <f>'Mastercurve bestimmen'!A23</f>
        <v>5.8953789402578301E-10</v>
      </c>
    </row>
    <row r="80" spans="1:5" x14ac:dyDescent="0.25">
      <c r="A80" s="50">
        <f t="shared" si="0"/>
        <v>7</v>
      </c>
      <c r="B80" s="56">
        <f>'Mastercurve bestimmen'!C24</f>
        <v>8.4823708436980116E-2</v>
      </c>
      <c r="D80" s="51">
        <v>7</v>
      </c>
      <c r="E80" s="56">
        <f>'Mastercurve bestimmen'!A24</f>
        <v>6.5352940755699598E-9</v>
      </c>
    </row>
    <row r="81" spans="1:5" x14ac:dyDescent="0.25">
      <c r="A81" s="50">
        <f t="shared" si="0"/>
        <v>8</v>
      </c>
      <c r="B81" s="56">
        <f>'Mastercurve bestimmen'!C25</f>
        <v>0.10369484660409525</v>
      </c>
      <c r="D81" s="51">
        <v>8</v>
      </c>
      <c r="E81" s="56">
        <f>'Mastercurve bestimmen'!A25</f>
        <v>7.2446689325643296E-8</v>
      </c>
    </row>
    <row r="82" spans="1:5" x14ac:dyDescent="0.25">
      <c r="A82" s="50">
        <f t="shared" si="0"/>
        <v>9</v>
      </c>
      <c r="B82" s="56">
        <f>'Mastercurve bestimmen'!C26</f>
        <v>0.13305313379533851</v>
      </c>
      <c r="D82" s="51">
        <f>A82</f>
        <v>9</v>
      </c>
      <c r="E82" s="56">
        <f>'Mastercurve bestimmen'!A26</f>
        <v>8.03104303120212E-7</v>
      </c>
    </row>
    <row r="83" spans="1:5" x14ac:dyDescent="0.25">
      <c r="A83" s="50">
        <f t="shared" si="0"/>
        <v>10</v>
      </c>
      <c r="B83" s="56">
        <f>'Mastercurve bestimmen'!C27</f>
        <v>0.10368180212181953</v>
      </c>
      <c r="C83" s="11"/>
      <c r="D83" s="51">
        <f t="shared" ref="D83:D104" si="1">A83</f>
        <v>10</v>
      </c>
      <c r="E83" s="56">
        <f>'Mastercurve bestimmen'!A27</f>
        <v>8.9027742702096099E-6</v>
      </c>
    </row>
    <row r="84" spans="1:5" x14ac:dyDescent="0.25">
      <c r="A84" s="50">
        <f t="shared" si="0"/>
        <v>11</v>
      </c>
      <c r="B84" s="56">
        <f>'Mastercurve bestimmen'!C28</f>
        <v>6.4516912228113732E-2</v>
      </c>
      <c r="C84" s="11"/>
      <c r="D84" s="51">
        <f t="shared" si="1"/>
        <v>11</v>
      </c>
      <c r="E84" s="56">
        <f>'Mastercurve bestimmen'!A28</f>
        <v>9.86912775817142E-5</v>
      </c>
    </row>
    <row r="85" spans="1:5" x14ac:dyDescent="0.25">
      <c r="A85" s="50">
        <f t="shared" si="0"/>
        <v>12</v>
      </c>
      <c r="B85" s="56">
        <f>'Mastercurve bestimmen'!C29</f>
        <v>3.7592139756949243E-2</v>
      </c>
      <c r="C85" s="11"/>
      <c r="D85" s="51">
        <f t="shared" si="1"/>
        <v>12</v>
      </c>
      <c r="E85" s="56">
        <f>'Mastercurve bestimmen'!A29</f>
        <v>1.0940374286813801E-3</v>
      </c>
    </row>
    <row r="86" spans="1:5" x14ac:dyDescent="0.25">
      <c r="A86" s="50">
        <f t="shared" si="0"/>
        <v>13</v>
      </c>
      <c r="B86" s="56">
        <f>'Mastercurve bestimmen'!C30</f>
        <v>7.6036322594280207E-3</v>
      </c>
      <c r="C86" s="11"/>
      <c r="D86" s="51">
        <f t="shared" si="1"/>
        <v>13</v>
      </c>
      <c r="E86" s="56">
        <f>'Mastercurve bestimmen'!A30</f>
        <v>1.2127899493091E-2</v>
      </c>
    </row>
    <row r="87" spans="1:5" x14ac:dyDescent="0.25">
      <c r="A87" s="50">
        <f t="shared" si="0"/>
        <v>14</v>
      </c>
      <c r="B87" s="56">
        <f>'Mastercurve bestimmen'!C31</f>
        <v>4.6601949201853935E-3</v>
      </c>
      <c r="C87" s="11"/>
      <c r="D87" s="51">
        <f t="shared" si="1"/>
        <v>14</v>
      </c>
      <c r="E87" s="56">
        <f>'Mastercurve bestimmen'!A31</f>
        <v>0.13444324870292301</v>
      </c>
    </row>
    <row r="88" spans="1:5" x14ac:dyDescent="0.25">
      <c r="A88" s="50">
        <f t="shared" si="0"/>
        <v>15</v>
      </c>
      <c r="B88" s="56">
        <f>'Mastercurve bestimmen'!C32</f>
        <v>1.548728015482176E-3</v>
      </c>
      <c r="C88" s="11"/>
      <c r="D88" s="51">
        <f t="shared" si="1"/>
        <v>15</v>
      </c>
      <c r="E88" s="56">
        <f>'Mastercurve bestimmen'!A32</f>
        <v>1.49036419143257</v>
      </c>
    </row>
    <row r="89" spans="1:5" x14ac:dyDescent="0.25">
      <c r="A89" s="50">
        <f t="shared" si="0"/>
        <v>16</v>
      </c>
      <c r="B89" s="56">
        <f>'Mastercurve bestimmen'!C33</f>
        <v>1.7981576820785483E-3</v>
      </c>
      <c r="C89" s="11"/>
      <c r="D89" s="51">
        <f t="shared" si="1"/>
        <v>16</v>
      </c>
      <c r="E89" s="56">
        <f>'Mastercurve bestimmen'!A33</f>
        <v>16.521360830937301</v>
      </c>
    </row>
    <row r="90" spans="1:5" x14ac:dyDescent="0.25">
      <c r="A90" s="50">
        <f t="shared" si="0"/>
        <v>17</v>
      </c>
      <c r="B90" s="56">
        <f>'Mastercurve bestimmen'!C34</f>
        <v>4.3198756825701184E-3</v>
      </c>
      <c r="C90" s="11"/>
      <c r="D90" s="51">
        <f t="shared" si="1"/>
        <v>17</v>
      </c>
      <c r="E90" s="56">
        <f>'Mastercurve bestimmen'!A34</f>
        <v>183.146753843879</v>
      </c>
    </row>
    <row r="91" spans="1:5" x14ac:dyDescent="0.25">
      <c r="A91" s="50">
        <f t="shared" si="0"/>
        <v>18</v>
      </c>
      <c r="B91" s="56">
        <f>'Mastercurve bestimmen'!C35</f>
        <v>3.4800152588185828E-3</v>
      </c>
      <c r="C91" s="11"/>
      <c r="D91" s="51">
        <f t="shared" si="1"/>
        <v>18</v>
      </c>
      <c r="E91" s="56">
        <f>'Mastercurve bestimmen'!A35</f>
        <v>2030.26456396616</v>
      </c>
    </row>
    <row r="92" spans="1:5" x14ac:dyDescent="0.25">
      <c r="A92" s="50">
        <f t="shared" si="0"/>
        <v>19</v>
      </c>
      <c r="B92" s="56">
        <f>'Mastercurve bestimmen'!C36</f>
        <v>2.0367681547460849E-3</v>
      </c>
      <c r="C92" s="11"/>
      <c r="D92" s="51">
        <f t="shared" si="1"/>
        <v>19</v>
      </c>
      <c r="E92" s="56">
        <f>'Mastercurve bestimmen'!A36</f>
        <v>22506.400540467101</v>
      </c>
    </row>
    <row r="93" spans="1:5" x14ac:dyDescent="0.25">
      <c r="A93" s="50">
        <f t="shared" si="0"/>
        <v>20</v>
      </c>
      <c r="B93" s="56">
        <f>'Mastercurve bestimmen'!C37</f>
        <v>1.2781847248259422E-3</v>
      </c>
      <c r="C93" s="11"/>
      <c r="D93" s="51">
        <f t="shared" si="1"/>
        <v>20</v>
      </c>
      <c r="E93" s="56">
        <f>'Mastercurve bestimmen'!A37</f>
        <v>249493.62476110301</v>
      </c>
    </row>
    <row r="94" spans="1:5" x14ac:dyDescent="0.25">
      <c r="A94" s="50">
        <f t="shared" si="0"/>
        <v>21</v>
      </c>
      <c r="B94" s="56">
        <f>'Mastercurve bestimmen'!C38</f>
        <v>3.444457645749161E-4</v>
      </c>
      <c r="C94" s="11"/>
      <c r="D94" s="51">
        <f t="shared" si="1"/>
        <v>21</v>
      </c>
      <c r="E94" s="56">
        <f>'Mastercurve bestimmen'!A38</f>
        <v>2765749.6224023802</v>
      </c>
    </row>
    <row r="95" spans="1:5" x14ac:dyDescent="0.25">
      <c r="A95" s="50">
        <f t="shared" si="0"/>
        <v>22</v>
      </c>
      <c r="B95" s="56">
        <f>'Mastercurve bestimmen'!C39</f>
        <v>6.1014336776090067E-4</v>
      </c>
      <c r="C95" s="11"/>
      <c r="D95" s="51">
        <f t="shared" si="1"/>
        <v>22</v>
      </c>
      <c r="E95" s="56">
        <f>'Mastercurve bestimmen'!A39</f>
        <v>10000000</v>
      </c>
    </row>
    <row r="96" spans="1:5" x14ac:dyDescent="0.25">
      <c r="A96" s="50">
        <f t="shared" si="0"/>
        <v>23</v>
      </c>
      <c r="B96" s="56">
        <f>'Mastercurve bestimmen'!C40</f>
        <v>2.2250933466635417E-4</v>
      </c>
      <c r="C96" s="11"/>
      <c r="D96" s="51">
        <f t="shared" si="1"/>
        <v>23</v>
      </c>
      <c r="E96" s="56">
        <f>'Mastercurve bestimmen'!A40</f>
        <v>100000000</v>
      </c>
    </row>
    <row r="97" spans="1:5" x14ac:dyDescent="0.25">
      <c r="A97" s="50">
        <f t="shared" si="0"/>
        <v>24</v>
      </c>
      <c r="B97" s="56">
        <f>'Mastercurve bestimmen'!C41</f>
        <v>3.0514987252664002E-4</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6.2164799219330605E-5</v>
      </c>
      <c r="C99" s="11"/>
      <c r="D99" s="51">
        <f t="shared" si="1"/>
        <v>26</v>
      </c>
      <c r="E99" s="56">
        <f>'Mastercurve bestimmen'!A43</f>
        <v>100000000000</v>
      </c>
    </row>
    <row r="100" spans="1:5" x14ac:dyDescent="0.25">
      <c r="A100" s="50">
        <f t="shared" si="0"/>
        <v>27</v>
      </c>
      <c r="B100" s="56">
        <f>'Mastercurve bestimmen'!C44</f>
        <v>1.589018825978126E-4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7.8909905102376337E-4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12">
        <f>STUTT!D8</f>
        <v>7330.9827999999998</v>
      </c>
      <c r="D113" s="112"/>
    </row>
    <row r="114" spans="1:4" s="11" customFormat="1" x14ac:dyDescent="0.25">
      <c r="A114" s="61" t="str">
        <f>STUTT!B9</f>
        <v>MP,GXY,</v>
      </c>
      <c r="B114" s="52" t="str">
        <f>STUTT!C9</f>
        <v>MatID,</v>
      </c>
      <c r="C114" s="112">
        <f>STUTT!D9</f>
        <v>9212.0444000000007</v>
      </c>
      <c r="D114" s="112"/>
    </row>
    <row r="115" spans="1:4" x14ac:dyDescent="0.25">
      <c r="A115" s="61" t="str">
        <f>STUTT!B10</f>
        <v>MP,GYZ,</v>
      </c>
      <c r="B115" s="52" t="str">
        <f>STUTT!C10</f>
        <v>MatID,</v>
      </c>
      <c r="C115" s="112">
        <f>STUTT!D10</f>
        <v>9212.0444000000007</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f>-10</f>
        <v>-10</v>
      </c>
      <c r="N3" s="2">
        <f t="shared" ref="N3:N33" si="4">A3</f>
        <v>1.0000000000000001E-15</v>
      </c>
      <c r="O3" s="2">
        <f t="shared" ref="O3:O33" si="5">$M$3/B3</f>
        <v>20154.644630369057</v>
      </c>
      <c r="P3" s="2">
        <f t="shared" ref="P3:P33" si="6">$M$3/C3</f>
        <v>19975.010006909302</v>
      </c>
      <c r="Q3" s="2">
        <f t="shared" ref="Q3:Q33" si="7">$M$3/D3</f>
        <v>19859.07298233152</v>
      </c>
      <c r="R3" s="2">
        <f>$M$3/E3</f>
        <v>19740.176191337396</v>
      </c>
      <c r="S3" s="2">
        <f t="shared" ref="S3:S33" si="8">$M$3/F3</f>
        <v>19593.41601657858</v>
      </c>
      <c r="T3" s="2">
        <f t="shared" ref="T3:T33" si="9">$M$3/G3</f>
        <v>18083.319608093752</v>
      </c>
      <c r="U3" s="2">
        <f t="shared" ref="U3:U33" si="10">$M$3/H3</f>
        <v>17085.335490576606</v>
      </c>
      <c r="W3" s="2">
        <v>18599.275035544593</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1">Z3</f>
        <v>1.0000000000000001E-15</v>
      </c>
      <c r="AM3" s="2">
        <f t="shared" ref="AM3:AM33" si="12">O3/(2*(1+AA3))</f>
        <v>7439.7100142178388</v>
      </c>
      <c r="AN3" s="2">
        <f t="shared" ref="AN3:AN33" si="13">P3/(2*(1+AB3))</f>
        <v>7373.6169222469052</v>
      </c>
      <c r="AO3" s="2">
        <f t="shared" ref="AO3:AO33" si="14">Q3/(2*(1+AC3))</f>
        <v>7330.9698900812818</v>
      </c>
      <c r="AP3" s="2">
        <f t="shared" ref="AP3:AP33" si="15">R3/(2*(1+AD3))</f>
        <v>7287.2421568641066</v>
      </c>
      <c r="AQ3" s="2">
        <f t="shared" ref="AQ3:AQ33" si="16">S3/(2*(1+AE3))</f>
        <v>7233.2784973668249</v>
      </c>
      <c r="AR3" s="2">
        <f t="shared" ref="AR3:AR33" si="17">T3/(2*(1+AF3))</f>
        <v>6585.7419229281086</v>
      </c>
      <c r="AS3" s="2">
        <f t="shared" ref="AS3:AS33" si="18">U3/(2*(1+AG3))</f>
        <v>6163.9172848230364</v>
      </c>
      <c r="AX3" s="2">
        <f>AL3</f>
        <v>1.0000000000000001E-15</v>
      </c>
      <c r="AY3" s="37">
        <f t="shared" ref="AY3:AY33" si="19">O3/(3*(1-(2*AA3)))</f>
        <v>23091.664287895361</v>
      </c>
      <c r="AZ3" s="37">
        <f t="shared" ref="AZ3:AZ33" si="20">P3/(3*(1-(2*AB3)))</f>
        <v>22879.621291278767</v>
      </c>
      <c r="BA3" s="37">
        <f t="shared" ref="BA3:BA33" si="21">Q3/(3*(1-(2*AC3)))</f>
        <v>22742.488042487119</v>
      </c>
      <c r="BB3" s="37">
        <f t="shared" ref="BB3:BB33" si="22">R3/(3*(1-(2*AD3)))</f>
        <v>22601.623842724206</v>
      </c>
      <c r="BC3" s="37">
        <f t="shared" ref="BC3:BC33" si="23">S3/(3*(1-(2*AE3)))</f>
        <v>22427.415559851273</v>
      </c>
      <c r="BD3" s="37">
        <f t="shared" ref="BD3:BD33" si="24">T3/(3*(1-(2*AF3)))</f>
        <v>23715.402700073144</v>
      </c>
      <c r="BE3" s="37">
        <f t="shared" ref="BE3:BE33" si="25">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6">M3</f>
        <v>-10</v>
      </c>
      <c r="N4" s="2">
        <f t="shared" si="4"/>
        <v>1E-14</v>
      </c>
      <c r="O4" s="2">
        <f t="shared" si="5"/>
        <v>20154.948711932353</v>
      </c>
      <c r="P4" s="2">
        <f t="shared" si="6"/>
        <v>19975.317128420094</v>
      </c>
      <c r="Q4" s="2">
        <f t="shared" si="7"/>
        <v>19859.381957876321</v>
      </c>
      <c r="R4" s="2">
        <f t="shared" ref="R4:R33" si="27">$M$3/E4</f>
        <v>19740.487045192571</v>
      </c>
      <c r="S4" s="2">
        <f t="shared" si="8"/>
        <v>19593.716342193977</v>
      </c>
      <c r="T4" s="2">
        <f t="shared" si="9"/>
        <v>17510.497368067183</v>
      </c>
      <c r="U4" s="2">
        <f t="shared" si="10"/>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1"/>
        <v>1E-14</v>
      </c>
      <c r="AM4" s="2">
        <f t="shared" si="12"/>
        <v>7439.7868081900597</v>
      </c>
      <c r="AN4" s="2">
        <f t="shared" si="13"/>
        <v>7373.6918607149901</v>
      </c>
      <c r="AO4" s="2">
        <f t="shared" si="14"/>
        <v>7331.0435342500059</v>
      </c>
      <c r="AP4" s="2">
        <f t="shared" si="15"/>
        <v>7287.3146216469959</v>
      </c>
      <c r="AQ4" s="2">
        <f t="shared" si="16"/>
        <v>7233.3436741214491</v>
      </c>
      <c r="AR4" s="2">
        <f t="shared" si="17"/>
        <v>6334.3824808152185</v>
      </c>
      <c r="AS4" s="2">
        <f t="shared" si="18"/>
        <v>5842.0148400129501</v>
      </c>
      <c r="AX4" s="2">
        <f t="shared" ref="AX4:AX32" si="28">AL4</f>
        <v>1E-14</v>
      </c>
      <c r="AY4" s="37">
        <f t="shared" si="19"/>
        <v>23093.037347630336</v>
      </c>
      <c r="AZ4" s="37">
        <f t="shared" si="20"/>
        <v>22881.083231796893</v>
      </c>
      <c r="BA4" s="37">
        <f t="shared" si="21"/>
        <v>22744.008773208971</v>
      </c>
      <c r="BB4" s="37">
        <f t="shared" si="22"/>
        <v>22603.200238586462</v>
      </c>
      <c r="BC4" s="37">
        <f t="shared" si="23"/>
        <v>22429.077271093392</v>
      </c>
      <c r="BD4" s="37">
        <f t="shared" si="24"/>
        <v>24769.857240838614</v>
      </c>
      <c r="BE4" s="37">
        <f t="shared" si="25"/>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6"/>
        <v>-10</v>
      </c>
      <c r="N5" s="2">
        <f t="shared" si="4"/>
        <v>1E-13</v>
      </c>
      <c r="O5" s="2">
        <f t="shared" si="5"/>
        <v>20154.841934154916</v>
      </c>
      <c r="P5" s="2">
        <f t="shared" si="6"/>
        <v>19975.21178946588</v>
      </c>
      <c r="Q5" s="2">
        <f t="shared" si="7"/>
        <v>19859.277612762307</v>
      </c>
      <c r="R5" s="2">
        <f t="shared" si="27"/>
        <v>19740.383500378339</v>
      </c>
      <c r="S5" s="2">
        <f t="shared" si="8"/>
        <v>19593.485338547598</v>
      </c>
      <c r="T5" s="2">
        <f t="shared" si="9"/>
        <v>16968.91372577615</v>
      </c>
      <c r="U5" s="2">
        <f t="shared" si="10"/>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1"/>
        <v>1E-13</v>
      </c>
      <c r="AM5" s="2">
        <f t="shared" si="12"/>
        <v>7439.7470193525078</v>
      </c>
      <c r="AN5" s="2">
        <f t="shared" si="13"/>
        <v>7373.6524650120191</v>
      </c>
      <c r="AO5" s="2">
        <f t="shared" si="14"/>
        <v>7331.0044701030138</v>
      </c>
      <c r="AP5" s="2">
        <f t="shared" si="15"/>
        <v>7287.2757793731034</v>
      </c>
      <c r="AQ5" s="2">
        <f t="shared" si="16"/>
        <v>7233.2477630478616</v>
      </c>
      <c r="AR5" s="2">
        <f t="shared" si="17"/>
        <v>6097.7114849761656</v>
      </c>
      <c r="AS5" s="2">
        <f t="shared" si="18"/>
        <v>5557.579467209528</v>
      </c>
      <c r="AX5" s="2">
        <f t="shared" si="28"/>
        <v>1E-13</v>
      </c>
      <c r="AY5" s="37">
        <f t="shared" si="19"/>
        <v>23092.925814714792</v>
      </c>
      <c r="AZ5" s="37">
        <f t="shared" si="20"/>
        <v>22880.977326821179</v>
      </c>
      <c r="BA5" s="37">
        <f t="shared" si="21"/>
        <v>22743.905020100996</v>
      </c>
      <c r="BB5" s="37">
        <f t="shared" si="22"/>
        <v>22603.09951783068</v>
      </c>
      <c r="BC5" s="37">
        <f t="shared" si="23"/>
        <v>22429.119528507599</v>
      </c>
      <c r="BD5" s="37">
        <f t="shared" si="24"/>
        <v>26045.894473466047</v>
      </c>
      <c r="BE5" s="37">
        <f t="shared" si="25"/>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6"/>
        <v>-10</v>
      </c>
      <c r="N6" s="2">
        <f t="shared" si="4"/>
        <v>9.9999999999999998E-13</v>
      </c>
      <c r="O6" s="2">
        <f t="shared" si="5"/>
        <v>20154.814079268603</v>
      </c>
      <c r="P6" s="2">
        <f t="shared" si="6"/>
        <v>19975.184200875749</v>
      </c>
      <c r="Q6" s="2">
        <f t="shared" si="7"/>
        <v>19859.25034348559</v>
      </c>
      <c r="R6" s="2">
        <f t="shared" si="27"/>
        <v>19740.356556637038</v>
      </c>
      <c r="S6" s="2">
        <f t="shared" si="8"/>
        <v>19592.173788627089</v>
      </c>
      <c r="T6" s="2">
        <f t="shared" si="9"/>
        <v>16342.70293177818</v>
      </c>
      <c r="U6" s="2">
        <f t="shared" si="10"/>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1"/>
        <v>9.9999999999999998E-13</v>
      </c>
      <c r="AM6" s="2">
        <f t="shared" si="12"/>
        <v>7439.7367084831149</v>
      </c>
      <c r="AN6" s="2">
        <f t="shared" si="13"/>
        <v>7373.6422743939765</v>
      </c>
      <c r="AO6" s="2">
        <f t="shared" si="14"/>
        <v>7330.9943970257091</v>
      </c>
      <c r="AP6" s="2">
        <f t="shared" si="15"/>
        <v>7287.2657654165014</v>
      </c>
      <c r="AQ6" s="2">
        <f t="shared" si="16"/>
        <v>7232.6642193149437</v>
      </c>
      <c r="AR6" s="2">
        <f t="shared" si="17"/>
        <v>5825.3419350887143</v>
      </c>
      <c r="AS6" s="2">
        <f t="shared" si="18"/>
        <v>5275.4812921063285</v>
      </c>
      <c r="AX6" s="2">
        <f t="shared" si="28"/>
        <v>9.9999999999999998E-13</v>
      </c>
      <c r="AY6" s="37">
        <f t="shared" si="19"/>
        <v>23092.894731963072</v>
      </c>
      <c r="AZ6" s="37">
        <f t="shared" si="20"/>
        <v>22880.945914516891</v>
      </c>
      <c r="BA6" s="37">
        <f t="shared" si="21"/>
        <v>22743.873983030415</v>
      </c>
      <c r="BB6" s="37">
        <f t="shared" si="22"/>
        <v>22603.070615518671</v>
      </c>
      <c r="BC6" s="37">
        <f t="shared" si="23"/>
        <v>22430.484787376045</v>
      </c>
      <c r="BD6" s="37">
        <f t="shared" si="24"/>
        <v>28000.797462711733</v>
      </c>
      <c r="BE6" s="37">
        <f t="shared" si="25"/>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6"/>
        <v>-10</v>
      </c>
      <c r="N7" s="2">
        <f t="shared" si="4"/>
        <v>9.9999999999999994E-12</v>
      </c>
      <c r="O7" s="2">
        <f t="shared" si="5"/>
        <v>20154.805722817728</v>
      </c>
      <c r="P7" s="2">
        <f t="shared" si="6"/>
        <v>19975.176220719259</v>
      </c>
      <c r="Q7" s="2">
        <f t="shared" si="7"/>
        <v>19859.242455692241</v>
      </c>
      <c r="R7" s="2">
        <f t="shared" si="27"/>
        <v>19740.348763006576</v>
      </c>
      <c r="S7" s="2">
        <f t="shared" si="8"/>
        <v>19579.551836589373</v>
      </c>
      <c r="T7" s="2">
        <f t="shared" si="9"/>
        <v>15699.206786363398</v>
      </c>
      <c r="U7" s="2">
        <f t="shared" si="10"/>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1"/>
        <v>9.9999999999999994E-12</v>
      </c>
      <c r="AM7" s="2">
        <f t="shared" si="12"/>
        <v>7439.7336721589263</v>
      </c>
      <c r="AN7" s="2">
        <f t="shared" si="13"/>
        <v>7373.6393539171686</v>
      </c>
      <c r="AO7" s="2">
        <f t="shared" si="14"/>
        <v>7330.991448813199</v>
      </c>
      <c r="AP7" s="2">
        <f t="shared" si="15"/>
        <v>7287.2629129611732</v>
      </c>
      <c r="AQ7" s="2">
        <f t="shared" si="16"/>
        <v>7227.030574444283</v>
      </c>
      <c r="AR7" s="2">
        <f t="shared" si="17"/>
        <v>5546.9331561273084</v>
      </c>
      <c r="AS7" s="2">
        <f t="shared" si="18"/>
        <v>4966.4021193857116</v>
      </c>
      <c r="AX7" s="2">
        <f t="shared" si="28"/>
        <v>9.9999999999999994E-12</v>
      </c>
      <c r="AY7" s="37">
        <f t="shared" si="19"/>
        <v>23092.8837616001</v>
      </c>
      <c r="AZ7" s="37">
        <f t="shared" si="20"/>
        <v>22880.936042096218</v>
      </c>
      <c r="BA7" s="37">
        <f t="shared" si="21"/>
        <v>22743.866002083112</v>
      </c>
      <c r="BB7" s="37">
        <f t="shared" si="22"/>
        <v>22603.06098143111</v>
      </c>
      <c r="BC7" s="37">
        <f t="shared" si="23"/>
        <v>22444.180201629541</v>
      </c>
      <c r="BD7" s="37">
        <f t="shared" si="24"/>
        <v>30828.068339661877</v>
      </c>
      <c r="BE7" s="37">
        <f t="shared" si="25"/>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6"/>
        <v>-10</v>
      </c>
      <c r="N8" s="2">
        <f t="shared" si="4"/>
        <v>1E-10</v>
      </c>
      <c r="O8" s="2">
        <f t="shared" si="5"/>
        <v>20154.803169459119</v>
      </c>
      <c r="P8" s="2">
        <f t="shared" si="6"/>
        <v>19975.173712671392</v>
      </c>
      <c r="Q8" s="2">
        <f t="shared" si="7"/>
        <v>19859.239976672769</v>
      </c>
      <c r="R8" s="2">
        <f t="shared" si="27"/>
        <v>19740.345868231114</v>
      </c>
      <c r="S8" s="2">
        <f t="shared" si="8"/>
        <v>19474.014653806546</v>
      </c>
      <c r="T8" s="2">
        <f t="shared" si="9"/>
        <v>15025.244557319804</v>
      </c>
      <c r="U8" s="2">
        <f t="shared" si="10"/>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1"/>
        <v>1E-10</v>
      </c>
      <c r="AM8" s="2">
        <f t="shared" si="12"/>
        <v>7439.732723308126</v>
      </c>
      <c r="AN8" s="2">
        <f t="shared" si="13"/>
        <v>7373.6384218505882</v>
      </c>
      <c r="AO8" s="2">
        <f t="shared" si="14"/>
        <v>7330.990588918331</v>
      </c>
      <c r="AP8" s="2">
        <f t="shared" si="15"/>
        <v>7287.2618205320641</v>
      </c>
      <c r="AQ8" s="2">
        <f t="shared" si="16"/>
        <v>7179.9574188317292</v>
      </c>
      <c r="AR8" s="2">
        <f t="shared" si="17"/>
        <v>5257.3325173232261</v>
      </c>
      <c r="AS8" s="2">
        <f t="shared" si="18"/>
        <v>4621.0156652325422</v>
      </c>
      <c r="AX8" s="2">
        <f t="shared" si="28"/>
        <v>1E-10</v>
      </c>
      <c r="AY8" s="37">
        <f t="shared" si="19"/>
        <v>23092.88101901098</v>
      </c>
      <c r="AZ8" s="37">
        <f t="shared" si="20"/>
        <v>22880.933349619339</v>
      </c>
      <c r="BA8" s="37">
        <f t="shared" si="21"/>
        <v>22743.861568225893</v>
      </c>
      <c r="BB8" s="37">
        <f t="shared" si="22"/>
        <v>22603.0583539541</v>
      </c>
      <c r="BC8" s="37">
        <f t="shared" si="23"/>
        <v>22560.863795914058</v>
      </c>
      <c r="BD8" s="37">
        <f t="shared" si="24"/>
        <v>35260.524500906417</v>
      </c>
      <c r="BE8" s="37">
        <f t="shared" si="25"/>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6"/>
        <v>-10</v>
      </c>
      <c r="N9" s="2">
        <f t="shared" si="4"/>
        <v>1.0000000000000001E-9</v>
      </c>
      <c r="O9" s="2">
        <f t="shared" si="5"/>
        <v>20154.802473088701</v>
      </c>
      <c r="P9" s="2">
        <f t="shared" si="6"/>
        <v>19975.173028658446</v>
      </c>
      <c r="Q9" s="2">
        <f t="shared" si="7"/>
        <v>19859.239075211295</v>
      </c>
      <c r="R9" s="2">
        <f t="shared" si="27"/>
        <v>19740.340078682737</v>
      </c>
      <c r="S9" s="2">
        <f t="shared" si="8"/>
        <v>19165.599243180055</v>
      </c>
      <c r="T9" s="2">
        <f t="shared" si="9"/>
        <v>14288.820500325908</v>
      </c>
      <c r="U9" s="2">
        <f t="shared" si="10"/>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1"/>
        <v>1.0000000000000001E-9</v>
      </c>
      <c r="AM9" s="2">
        <f t="shared" si="12"/>
        <v>7439.7324702812866</v>
      </c>
      <c r="AN9" s="2">
        <f t="shared" si="13"/>
        <v>7373.6381732995414</v>
      </c>
      <c r="AO9" s="2">
        <f t="shared" si="14"/>
        <v>7330.9902818130686</v>
      </c>
      <c r="AP9" s="2">
        <f t="shared" si="15"/>
        <v>7287.2593322225375</v>
      </c>
      <c r="AQ9" s="2">
        <f t="shared" si="16"/>
        <v>7042.6684859234238</v>
      </c>
      <c r="AR9" s="2">
        <f t="shared" si="17"/>
        <v>4943.4016945901922</v>
      </c>
      <c r="AS9" s="2">
        <f t="shared" si="18"/>
        <v>4155.4773315838347</v>
      </c>
      <c r="AX9" s="2">
        <f t="shared" si="28"/>
        <v>1.0000000000000001E-9</v>
      </c>
      <c r="AY9" s="37">
        <f t="shared" si="19"/>
        <v>23092.880104814758</v>
      </c>
      <c r="AZ9" s="37">
        <f t="shared" si="20"/>
        <v>22880.932452127159</v>
      </c>
      <c r="BA9" s="37">
        <f t="shared" si="21"/>
        <v>22743.859794683511</v>
      </c>
      <c r="BB9" s="37">
        <f t="shared" si="22"/>
        <v>22603.061857256907</v>
      </c>
      <c r="BC9" s="37">
        <f t="shared" si="23"/>
        <v>22927.118894522977</v>
      </c>
      <c r="BD9" s="37">
        <f t="shared" si="24"/>
        <v>43490.574374796946</v>
      </c>
      <c r="BE9" s="37">
        <f t="shared" si="25"/>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6"/>
        <v>-10</v>
      </c>
      <c r="N10" s="2">
        <f t="shared" si="4"/>
        <v>1E-8</v>
      </c>
      <c r="O10" s="2">
        <f t="shared" si="5"/>
        <v>20154.80224096524</v>
      </c>
      <c r="P10" s="2">
        <f t="shared" si="6"/>
        <v>19975.172572649844</v>
      </c>
      <c r="Q10" s="2">
        <f t="shared" si="7"/>
        <v>19859.23884984594</v>
      </c>
      <c r="R10" s="2">
        <f t="shared" si="27"/>
        <v>19740.291090332419</v>
      </c>
      <c r="S10" s="2">
        <f t="shared" si="8"/>
        <v>18836.278159388217</v>
      </c>
      <c r="T10" s="2">
        <f t="shared" si="9"/>
        <v>13410.518659089135</v>
      </c>
      <c r="U10" s="2">
        <f t="shared" si="10"/>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1"/>
        <v>1E-8</v>
      </c>
      <c r="AM10" s="2">
        <f t="shared" si="12"/>
        <v>7439.7324070245795</v>
      </c>
      <c r="AN10" s="2">
        <f t="shared" si="13"/>
        <v>7373.6380490240244</v>
      </c>
      <c r="AO10" s="2">
        <f t="shared" si="14"/>
        <v>7330.9901589709716</v>
      </c>
      <c r="AP10" s="2">
        <f t="shared" si="15"/>
        <v>7287.2374230339683</v>
      </c>
      <c r="AQ10" s="2">
        <f t="shared" si="16"/>
        <v>6896.670224560311</v>
      </c>
      <c r="AR10" s="2">
        <f t="shared" si="17"/>
        <v>4573.266252420035</v>
      </c>
      <c r="AS10" s="2">
        <f t="shared" si="18"/>
        <v>3566.7724920591822</v>
      </c>
      <c r="AX10" s="2">
        <f t="shared" si="28"/>
        <v>1E-8</v>
      </c>
      <c r="AY10" s="37">
        <f t="shared" si="19"/>
        <v>23092.879190618609</v>
      </c>
      <c r="AZ10" s="37">
        <f t="shared" si="20"/>
        <v>22880.930657143079</v>
      </c>
      <c r="BA10" s="37">
        <f t="shared" si="21"/>
        <v>22743.860681454684</v>
      </c>
      <c r="BB10" s="37">
        <f t="shared" si="22"/>
        <v>22603.11615858931</v>
      </c>
      <c r="BC10" s="37">
        <f t="shared" si="23"/>
        <v>23359.64470274073</v>
      </c>
      <c r="BD10" s="37">
        <f t="shared" si="24"/>
        <v>66099.600086088118</v>
      </c>
      <c r="BE10" s="37">
        <f t="shared" si="25"/>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6"/>
        <v>-10</v>
      </c>
      <c r="N11" s="2">
        <f t="shared" si="4"/>
        <v>9.9999999999999995E-8</v>
      </c>
      <c r="O11" s="2">
        <f t="shared" si="5"/>
        <v>20154.802008841783</v>
      </c>
      <c r="P11" s="2">
        <f t="shared" si="6"/>
        <v>19975.172572649844</v>
      </c>
      <c r="Q11" s="2">
        <f t="shared" si="7"/>
        <v>19859.238173749905</v>
      </c>
      <c r="R11" s="2">
        <f t="shared" si="27"/>
        <v>19739.803001503598</v>
      </c>
      <c r="S11" s="2">
        <f t="shared" si="8"/>
        <v>18455.411362313396</v>
      </c>
      <c r="T11" s="2">
        <f t="shared" si="9"/>
        <v>12218.132057062168</v>
      </c>
      <c r="U11" s="2">
        <f t="shared" si="10"/>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1"/>
        <v>9.9999999999999995E-8</v>
      </c>
      <c r="AM11" s="2">
        <f t="shared" si="12"/>
        <v>7439.7323437678724</v>
      </c>
      <c r="AN11" s="2">
        <f t="shared" si="13"/>
        <v>7373.6380490240244</v>
      </c>
      <c r="AO11" s="2">
        <f t="shared" si="14"/>
        <v>7330.9898518657455</v>
      </c>
      <c r="AP11" s="2">
        <f t="shared" si="15"/>
        <v>7287.0191880040384</v>
      </c>
      <c r="AQ11" s="2">
        <f t="shared" si="16"/>
        <v>6728.3118442587265</v>
      </c>
      <c r="AR11" s="2">
        <f t="shared" si="17"/>
        <v>4079.2740096930638</v>
      </c>
      <c r="AS11" s="2">
        <f t="shared" si="18"/>
        <v>2850.9447868112361</v>
      </c>
      <c r="AX11" s="2">
        <f t="shared" si="28"/>
        <v>9.9999999999999995E-8</v>
      </c>
      <c r="AY11" s="37">
        <f t="shared" si="19"/>
        <v>23092.878276422522</v>
      </c>
      <c r="AZ11" s="37">
        <f t="shared" si="20"/>
        <v>22880.930657143079</v>
      </c>
      <c r="BA11" s="37">
        <f t="shared" si="21"/>
        <v>22743.861568225911</v>
      </c>
      <c r="BB11" s="37">
        <f t="shared" si="22"/>
        <v>22603.655682775396</v>
      </c>
      <c r="BC11" s="37">
        <f t="shared" si="23"/>
        <v>23932.162957571156</v>
      </c>
      <c r="BD11" s="37">
        <f t="shared" si="24"/>
        <v>843764.67547848891</v>
      </c>
      <c r="BE11" s="37">
        <f t="shared" si="25"/>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6"/>
        <v>-10</v>
      </c>
      <c r="N12" s="2">
        <f t="shared" si="4"/>
        <v>9.9999999999999995E-7</v>
      </c>
      <c r="O12" s="2">
        <f t="shared" si="5"/>
        <v>20154.802008841783</v>
      </c>
      <c r="P12" s="2">
        <f t="shared" si="6"/>
        <v>19975.172344645551</v>
      </c>
      <c r="Q12" s="2">
        <f t="shared" si="7"/>
        <v>19859.23253961806</v>
      </c>
      <c r="R12" s="2">
        <f t="shared" si="27"/>
        <v>19734.957268460879</v>
      </c>
      <c r="S12" s="2">
        <f t="shared" si="8"/>
        <v>17983.981862609631</v>
      </c>
      <c r="T12" s="2">
        <f t="shared" si="9"/>
        <v>10678.883472084573</v>
      </c>
      <c r="U12" s="2">
        <f t="shared" si="10"/>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1"/>
        <v>9.9999999999999995E-7</v>
      </c>
      <c r="AM12" s="2">
        <f t="shared" si="12"/>
        <v>7439.7323437678724</v>
      </c>
      <c r="AN12" s="2">
        <f t="shared" si="13"/>
        <v>7373.6379247485102</v>
      </c>
      <c r="AO12" s="2">
        <f t="shared" si="14"/>
        <v>7330.9873950248675</v>
      </c>
      <c r="AP12" s="2">
        <f t="shared" si="15"/>
        <v>7284.8522944162632</v>
      </c>
      <c r="AQ12" s="2">
        <f t="shared" si="16"/>
        <v>6522.7483495061197</v>
      </c>
      <c r="AR12" s="2">
        <f t="shared" si="17"/>
        <v>3459.2497747504567</v>
      </c>
      <c r="AS12" s="2">
        <f t="shared" si="18"/>
        <v>2002.5618143914935</v>
      </c>
      <c r="AX12" s="2">
        <f t="shared" si="28"/>
        <v>9.9999999999999995E-7</v>
      </c>
      <c r="AY12" s="37">
        <f t="shared" si="19"/>
        <v>23092.878276422522</v>
      </c>
      <c r="AZ12" s="37">
        <f t="shared" si="20"/>
        <v>22880.931554635095</v>
      </c>
      <c r="BA12" s="37">
        <f t="shared" si="21"/>
        <v>22743.866002083108</v>
      </c>
      <c r="BB12" s="37">
        <f t="shared" si="22"/>
        <v>22609.026052897494</v>
      </c>
      <c r="BC12" s="37">
        <f t="shared" si="23"/>
        <v>24681.292236302077</v>
      </c>
      <c r="BD12" s="37">
        <f t="shared" si="24"/>
        <v>-40890.884800236614</v>
      </c>
      <c r="BE12" s="37">
        <f t="shared" si="25"/>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6"/>
        <v>-10</v>
      </c>
      <c r="N13" s="2">
        <f t="shared" si="4"/>
        <v>1.0000000000000001E-5</v>
      </c>
      <c r="O13" s="2">
        <f t="shared" si="5"/>
        <v>20154.802008841783</v>
      </c>
      <c r="P13" s="2">
        <f t="shared" si="6"/>
        <v>19975.171888636974</v>
      </c>
      <c r="Q13" s="2">
        <f t="shared" si="7"/>
        <v>19859.177776023109</v>
      </c>
      <c r="R13" s="2">
        <f t="shared" si="27"/>
        <v>19689.720606690018</v>
      </c>
      <c r="S13" s="2">
        <f t="shared" si="8"/>
        <v>17533.843649674167</v>
      </c>
      <c r="T13" s="2">
        <f t="shared" si="9"/>
        <v>8709.9685490501379</v>
      </c>
      <c r="U13" s="2">
        <f t="shared" si="10"/>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1"/>
        <v>1.0000000000000001E-5</v>
      </c>
      <c r="AM13" s="2">
        <f t="shared" si="12"/>
        <v>7439.7323437678724</v>
      </c>
      <c r="AN13" s="2">
        <f t="shared" si="13"/>
        <v>7373.6377383352474</v>
      </c>
      <c r="AO13" s="2">
        <f t="shared" si="14"/>
        <v>7330.962888127252</v>
      </c>
      <c r="AP13" s="2">
        <f t="shared" si="15"/>
        <v>7264.6309792458533</v>
      </c>
      <c r="AQ13" s="2">
        <f t="shared" si="16"/>
        <v>6323.7668304163335</v>
      </c>
      <c r="AR13" s="2">
        <f t="shared" si="17"/>
        <v>2702.914511015118</v>
      </c>
      <c r="AS13" s="2">
        <f t="shared" si="18"/>
        <v>1246.5264827258</v>
      </c>
      <c r="AX13" s="2">
        <f t="shared" si="28"/>
        <v>1.0000000000000001E-5</v>
      </c>
      <c r="AY13" s="37">
        <f t="shared" si="19"/>
        <v>23092.878276422522</v>
      </c>
      <c r="AZ13" s="37">
        <f t="shared" si="20"/>
        <v>22880.931554635074</v>
      </c>
      <c r="BA13" s="37">
        <f t="shared" si="21"/>
        <v>22743.927189489001</v>
      </c>
      <c r="BB13" s="37">
        <f t="shared" si="22"/>
        <v>22659.511958136605</v>
      </c>
      <c r="BC13" s="37">
        <f t="shared" si="23"/>
        <v>25712.062135152279</v>
      </c>
      <c r="BD13" s="37">
        <f t="shared" si="24"/>
        <v>-13052.406755657226</v>
      </c>
      <c r="BE13" s="37">
        <f t="shared" si="25"/>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6"/>
        <v>-10</v>
      </c>
      <c r="N14" s="2">
        <f t="shared" si="4"/>
        <v>1E-4</v>
      </c>
      <c r="O14" s="2">
        <f t="shared" si="5"/>
        <v>20154.801776718334</v>
      </c>
      <c r="P14" s="2">
        <f t="shared" si="6"/>
        <v>19975.165960527425</v>
      </c>
      <c r="Q14" s="2">
        <f t="shared" si="7"/>
        <v>19858.630832739454</v>
      </c>
      <c r="R14" s="2">
        <f t="shared" si="27"/>
        <v>19441.022824427346</v>
      </c>
      <c r="S14" s="2">
        <f t="shared" si="8"/>
        <v>16927.590153443285</v>
      </c>
      <c r="T14" s="2">
        <f t="shared" si="9"/>
        <v>6261.1865041448682</v>
      </c>
      <c r="U14" s="2">
        <f t="shared" si="10"/>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1"/>
        <v>1E-4</v>
      </c>
      <c r="AM14" s="2">
        <f t="shared" si="12"/>
        <v>7439.7322172544646</v>
      </c>
      <c r="AN14" s="2">
        <f t="shared" si="13"/>
        <v>7373.6350664128558</v>
      </c>
      <c r="AO14" s="2">
        <f t="shared" si="14"/>
        <v>7330.7179509954649</v>
      </c>
      <c r="AP14" s="2">
        <f t="shared" si="15"/>
        <v>7153.647880511483</v>
      </c>
      <c r="AQ14" s="2">
        <f t="shared" si="16"/>
        <v>6060.8557573682765</v>
      </c>
      <c r="AR14" s="2">
        <f t="shared" si="17"/>
        <v>1832.1518571214692</v>
      </c>
      <c r="AS14" s="2">
        <f t="shared" si="18"/>
        <v>721.62368462950201</v>
      </c>
      <c r="AX14" s="2">
        <f t="shared" si="28"/>
        <v>1E-4</v>
      </c>
      <c r="AY14" s="37">
        <f t="shared" si="19"/>
        <v>23092.879190618602</v>
      </c>
      <c r="AZ14" s="37">
        <f t="shared" si="20"/>
        <v>22880.93873457372</v>
      </c>
      <c r="BA14" s="37">
        <f t="shared" si="21"/>
        <v>22744.543515776928</v>
      </c>
      <c r="BB14" s="37">
        <f t="shared" si="22"/>
        <v>22950.442833384557</v>
      </c>
      <c r="BC14" s="37">
        <f t="shared" si="23"/>
        <v>27250.346032679754</v>
      </c>
      <c r="BD14" s="37">
        <f t="shared" si="24"/>
        <v>-5000.2094373438613</v>
      </c>
      <c r="BE14" s="37">
        <f t="shared" si="25"/>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6"/>
        <v>-10</v>
      </c>
      <c r="N15" s="2">
        <f t="shared" si="4"/>
        <v>1E-3</v>
      </c>
      <c r="O15" s="2">
        <f t="shared" si="5"/>
        <v>20154.800151854328</v>
      </c>
      <c r="P15" s="2">
        <f t="shared" si="6"/>
        <v>19975.106907628244</v>
      </c>
      <c r="Q15" s="2">
        <f t="shared" si="7"/>
        <v>19853.203597450407</v>
      </c>
      <c r="R15" s="2">
        <f t="shared" si="27"/>
        <v>19122.532544501544</v>
      </c>
      <c r="S15" s="2">
        <f t="shared" si="8"/>
        <v>16273.34911755207</v>
      </c>
      <c r="T15" s="2">
        <f t="shared" si="9"/>
        <v>3999.996891430987</v>
      </c>
      <c r="U15" s="2">
        <f t="shared" si="10"/>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1"/>
        <v>1E-3</v>
      </c>
      <c r="AM15" s="2">
        <f t="shared" si="12"/>
        <v>7439.7315214307937</v>
      </c>
      <c r="AN15" s="2">
        <f t="shared" si="13"/>
        <v>7373.6085958444728</v>
      </c>
      <c r="AO15" s="2">
        <f t="shared" si="14"/>
        <v>7328.2878922672335</v>
      </c>
      <c r="AP15" s="2">
        <f t="shared" si="15"/>
        <v>7011.9974153857656</v>
      </c>
      <c r="AQ15" s="2">
        <f t="shared" si="16"/>
        <v>5776.7475493188331</v>
      </c>
      <c r="AR15" s="2">
        <f t="shared" si="17"/>
        <v>1105.139847553852</v>
      </c>
      <c r="AS15" s="2">
        <f t="shared" si="18"/>
        <v>404.72633399765499</v>
      </c>
      <c r="AX15" s="2">
        <f t="shared" si="28"/>
        <v>1E-3</v>
      </c>
      <c r="AY15" s="37">
        <f t="shared" si="19"/>
        <v>23092.880104814769</v>
      </c>
      <c r="AZ15" s="37">
        <f t="shared" si="20"/>
        <v>22881.006046717706</v>
      </c>
      <c r="BA15" s="37">
        <f t="shared" si="21"/>
        <v>22750.655378129468</v>
      </c>
      <c r="BB15" s="37">
        <f t="shared" si="22"/>
        <v>23358.587704015405</v>
      </c>
      <c r="BC15" s="37">
        <f t="shared" si="23"/>
        <v>29648.848860571012</v>
      </c>
      <c r="BD15" s="37">
        <f t="shared" si="24"/>
        <v>-2152.4502004816723</v>
      </c>
      <c r="BE15" s="37">
        <f t="shared" si="25"/>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6"/>
        <v>-10</v>
      </c>
      <c r="N16" s="2">
        <f t="shared" si="4"/>
        <v>0.01</v>
      </c>
      <c r="O16" s="2">
        <f t="shared" si="5"/>
        <v>20154.783903228661</v>
      </c>
      <c r="P16" s="2">
        <f t="shared" si="6"/>
        <v>19974.517537786192</v>
      </c>
      <c r="Q16" s="2">
        <f t="shared" si="7"/>
        <v>19802.92446420019</v>
      </c>
      <c r="R16" s="2">
        <f t="shared" si="27"/>
        <v>18767.791933781053</v>
      </c>
      <c r="S16" s="2">
        <f t="shared" si="8"/>
        <v>15622.666364211846</v>
      </c>
      <c r="T16" s="2">
        <f t="shared" si="9"/>
        <v>2381.5452074981822</v>
      </c>
      <c r="U16" s="2">
        <f t="shared" si="10"/>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1"/>
        <v>0.01</v>
      </c>
      <c r="AM16" s="2">
        <f t="shared" si="12"/>
        <v>7439.7241836618095</v>
      </c>
      <c r="AN16" s="2">
        <f t="shared" si="13"/>
        <v>7373.3444598084343</v>
      </c>
      <c r="AO16" s="2">
        <f t="shared" si="14"/>
        <v>7305.7841813741479</v>
      </c>
      <c r="AP16" s="2">
        <f t="shared" si="15"/>
        <v>6854.7708758756735</v>
      </c>
      <c r="AQ16" s="2">
        <f t="shared" si="16"/>
        <v>5495.7675366958674</v>
      </c>
      <c r="AR16" s="2">
        <f t="shared" si="17"/>
        <v>630.91869332772831</v>
      </c>
      <c r="AS16" s="2">
        <f t="shared" si="18"/>
        <v>265.07180083177406</v>
      </c>
      <c r="AX16" s="2">
        <f t="shared" si="28"/>
        <v>0.01</v>
      </c>
      <c r="AY16" s="37">
        <f t="shared" si="19"/>
        <v>23092.900217148483</v>
      </c>
      <c r="AZ16" s="37">
        <f t="shared" si="20"/>
        <v>22881.676497288649</v>
      </c>
      <c r="BA16" s="37">
        <f t="shared" si="21"/>
        <v>22807.726538330313</v>
      </c>
      <c r="BB16" s="37">
        <f t="shared" si="22"/>
        <v>23870.012369440417</v>
      </c>
      <c r="BC16" s="37">
        <f t="shared" si="23"/>
        <v>33100.063003605632</v>
      </c>
      <c r="BD16" s="37">
        <f t="shared" si="24"/>
        <v>-1024.6827693397393</v>
      </c>
      <c r="BE16" s="37">
        <f t="shared" si="25"/>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6"/>
        <v>-10</v>
      </c>
      <c r="N17" s="2">
        <f t="shared" si="4"/>
        <v>0.1</v>
      </c>
      <c r="O17" s="2">
        <f t="shared" si="5"/>
        <v>20154.620489935787</v>
      </c>
      <c r="P17" s="2">
        <f t="shared" si="6"/>
        <v>19968.672006289562</v>
      </c>
      <c r="Q17" s="2">
        <f t="shared" si="7"/>
        <v>19541.4881258604</v>
      </c>
      <c r="R17" s="2">
        <f t="shared" si="27"/>
        <v>18343.605158238544</v>
      </c>
      <c r="S17" s="2">
        <f t="shared" si="8"/>
        <v>14904.786097156208</v>
      </c>
      <c r="T17" s="2">
        <f t="shared" si="9"/>
        <v>1373.307623968283</v>
      </c>
      <c r="U17" s="2">
        <f t="shared" si="10"/>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1"/>
        <v>0.1</v>
      </c>
      <c r="AM17" s="2">
        <f t="shared" si="12"/>
        <v>7439.6508067680606</v>
      </c>
      <c r="AN17" s="2">
        <f t="shared" si="13"/>
        <v>7370.7250016112393</v>
      </c>
      <c r="AO17" s="2">
        <f t="shared" si="14"/>
        <v>7188.9840707641179</v>
      </c>
      <c r="AP17" s="2">
        <f t="shared" si="15"/>
        <v>6667.3368038637464</v>
      </c>
      <c r="AQ17" s="2">
        <f t="shared" si="16"/>
        <v>5188.5996988750203</v>
      </c>
      <c r="AR17" s="2">
        <f t="shared" si="17"/>
        <v>354.28738756335468</v>
      </c>
      <c r="AS17" s="2">
        <f t="shared" si="18"/>
        <v>224.4007416662501</v>
      </c>
      <c r="AX17" s="2">
        <f t="shared" si="28"/>
        <v>0.1</v>
      </c>
      <c r="AY17" s="37">
        <f t="shared" si="19"/>
        <v>23093.090371853257</v>
      </c>
      <c r="AZ17" s="37">
        <f t="shared" si="20"/>
        <v>22888.326585920066</v>
      </c>
      <c r="BA17" s="37">
        <f t="shared" si="21"/>
        <v>23119.548715921093</v>
      </c>
      <c r="BB17" s="37">
        <f t="shared" si="22"/>
        <v>24582.450226367855</v>
      </c>
      <c r="BC17" s="37">
        <f t="shared" si="23"/>
        <v>38998.208667425417</v>
      </c>
      <c r="BD17" s="37">
        <f t="shared" si="24"/>
        <v>-522.41658208742194</v>
      </c>
      <c r="BE17" s="37">
        <f t="shared" si="25"/>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6"/>
        <v>-10</v>
      </c>
      <c r="N18" s="2">
        <f t="shared" si="4"/>
        <v>1</v>
      </c>
      <c r="O18" s="2">
        <f t="shared" si="5"/>
        <v>20152.99068020915</v>
      </c>
      <c r="P18" s="2">
        <f t="shared" si="6"/>
        <v>19914.779310788406</v>
      </c>
      <c r="Q18" s="2">
        <f t="shared" si="7"/>
        <v>19218.593723661947</v>
      </c>
      <c r="R18" s="2">
        <f t="shared" si="27"/>
        <v>17861.001927089837</v>
      </c>
      <c r="S18" s="2">
        <f t="shared" si="8"/>
        <v>14084.708819168596</v>
      </c>
      <c r="T18" s="2">
        <f t="shared" si="9"/>
        <v>970.50529052935451</v>
      </c>
      <c r="U18" s="2">
        <f t="shared" si="10"/>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1"/>
        <v>1</v>
      </c>
      <c r="AM18" s="2">
        <f t="shared" si="12"/>
        <v>7438.9188882303606</v>
      </c>
      <c r="AN18" s="2">
        <f t="shared" si="13"/>
        <v>7346.5860708392247</v>
      </c>
      <c r="AO18" s="2">
        <f t="shared" si="14"/>
        <v>7045.3278356909095</v>
      </c>
      <c r="AP18" s="2">
        <f t="shared" si="15"/>
        <v>6457.8733144157241</v>
      </c>
      <c r="AQ18" s="2">
        <f t="shared" si="16"/>
        <v>4846.1759775211867</v>
      </c>
      <c r="AR18" s="2">
        <f t="shared" si="17"/>
        <v>248.22351395532451</v>
      </c>
      <c r="AS18" s="2">
        <f t="shared" si="18"/>
        <v>202.49198438372559</v>
      </c>
      <c r="AX18" s="2">
        <f t="shared" si="28"/>
        <v>1</v>
      </c>
      <c r="AY18" s="37">
        <f t="shared" si="19"/>
        <v>23094.990262426258</v>
      </c>
      <c r="AZ18" s="37">
        <f t="shared" si="20"/>
        <v>22950.132221613188</v>
      </c>
      <c r="BA18" s="37">
        <f t="shared" si="21"/>
        <v>23539.170194751117</v>
      </c>
      <c r="BB18" s="37">
        <f t="shared" si="22"/>
        <v>25418.201308726548</v>
      </c>
      <c r="BC18" s="37">
        <f t="shared" si="23"/>
        <v>50135.230473373435</v>
      </c>
      <c r="BD18" s="37">
        <f t="shared" si="24"/>
        <v>-355.57302401162281</v>
      </c>
      <c r="BE18" s="37">
        <f t="shared" si="25"/>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6"/>
        <v>-10</v>
      </c>
      <c r="N19" s="2">
        <f t="shared" si="4"/>
        <v>10</v>
      </c>
      <c r="O19" s="2">
        <f t="shared" si="5"/>
        <v>20137.057415526051</v>
      </c>
      <c r="P19" s="2">
        <f t="shared" si="6"/>
        <v>19643.672756167805</v>
      </c>
      <c r="Q19" s="2">
        <f t="shared" si="7"/>
        <v>18846.440804960992</v>
      </c>
      <c r="R19" s="2">
        <f t="shared" si="27"/>
        <v>17248.776741394606</v>
      </c>
      <c r="S19" s="2">
        <f t="shared" si="8"/>
        <v>12688.010026283031</v>
      </c>
      <c r="T19" s="2">
        <f t="shared" si="9"/>
        <v>832.46344867058917</v>
      </c>
      <c r="U19" s="2">
        <f t="shared" si="10"/>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1"/>
        <v>10</v>
      </c>
      <c r="AM19" s="2">
        <f t="shared" si="12"/>
        <v>7431.7642795214106</v>
      </c>
      <c r="AN19" s="2">
        <f t="shared" si="13"/>
        <v>7225.4468313347925</v>
      </c>
      <c r="AO19" s="2">
        <f t="shared" si="14"/>
        <v>6881.2247214769232</v>
      </c>
      <c r="AP19" s="2">
        <f t="shared" si="15"/>
        <v>6197.1395066404111</v>
      </c>
      <c r="AQ19" s="2">
        <f t="shared" si="16"/>
        <v>4307.5308640863095</v>
      </c>
      <c r="AR19" s="2">
        <f t="shared" si="17"/>
        <v>214.57476664013214</v>
      </c>
      <c r="AS19" s="2">
        <f t="shared" si="18"/>
        <v>189.83771999127222</v>
      </c>
      <c r="AX19" s="2">
        <f t="shared" si="28"/>
        <v>10</v>
      </c>
      <c r="AY19" s="37">
        <f t="shared" si="19"/>
        <v>23113.614390393683</v>
      </c>
      <c r="AZ19" s="37">
        <f t="shared" si="20"/>
        <v>23275.539238382869</v>
      </c>
      <c r="BA19" s="37">
        <f t="shared" si="21"/>
        <v>24053.006007932338</v>
      </c>
      <c r="BB19" s="37">
        <f t="shared" si="22"/>
        <v>26537.998319158982</v>
      </c>
      <c r="BC19" s="37">
        <f t="shared" si="23"/>
        <v>77661.347885028619</v>
      </c>
      <c r="BD19" s="37">
        <f t="shared" si="24"/>
        <v>-315.47182344480592</v>
      </c>
      <c r="BE19" s="37">
        <f t="shared" si="25"/>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6"/>
        <v>-10</v>
      </c>
      <c r="N20" s="2">
        <f t="shared" si="4"/>
        <v>100</v>
      </c>
      <c r="O20" s="2">
        <f t="shared" si="5"/>
        <v>20008.715567830306</v>
      </c>
      <c r="P20" s="2">
        <f t="shared" si="6"/>
        <v>19302.010618752975</v>
      </c>
      <c r="Q20" s="2">
        <f t="shared" si="7"/>
        <v>18254.556853733873</v>
      </c>
      <c r="R20" s="2">
        <f t="shared" si="27"/>
        <v>16052.315505234246</v>
      </c>
      <c r="S20" s="2">
        <f t="shared" si="8"/>
        <v>10169.882364098989</v>
      </c>
      <c r="T20" s="2">
        <f t="shared" si="9"/>
        <v>697.97258507268759</v>
      </c>
      <c r="U20" s="2">
        <f t="shared" si="10"/>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1"/>
        <v>100</v>
      </c>
      <c r="AM20" s="2">
        <f t="shared" si="12"/>
        <v>7374.1954046997607</v>
      </c>
      <c r="AN20" s="2">
        <f t="shared" si="13"/>
        <v>7074.5614632967963</v>
      </c>
      <c r="AO20" s="2">
        <f t="shared" si="14"/>
        <v>6633.2763958157147</v>
      </c>
      <c r="AP20" s="2">
        <f t="shared" si="15"/>
        <v>5728.6851502202007</v>
      </c>
      <c r="AQ20" s="2">
        <f t="shared" si="16"/>
        <v>3424.2409160347711</v>
      </c>
      <c r="AR20" s="2">
        <f t="shared" si="17"/>
        <v>185.72591291449908</v>
      </c>
      <c r="AS20" s="2">
        <f t="shared" si="18"/>
        <v>169.86288435020435</v>
      </c>
      <c r="AX20" s="2">
        <f t="shared" si="28"/>
        <v>100</v>
      </c>
      <c r="AY20" s="37">
        <f t="shared" si="19"/>
        <v>23266.667815375284</v>
      </c>
      <c r="AZ20" s="37">
        <f t="shared" si="20"/>
        <v>23686.514422745709</v>
      </c>
      <c r="BA20" s="37">
        <f t="shared" si="21"/>
        <v>24532.417037744013</v>
      </c>
      <c r="BB20" s="37">
        <f t="shared" si="22"/>
        <v>27036.96493846388</v>
      </c>
      <c r="BC20" s="37">
        <f t="shared" si="23"/>
        <v>112874.35909938901</v>
      </c>
      <c r="BD20" s="37">
        <f t="shared" si="24"/>
        <v>-306.90421543988464</v>
      </c>
      <c r="BE20" s="37">
        <f t="shared" si="25"/>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6"/>
        <v>-10</v>
      </c>
      <c r="N21" s="2">
        <f t="shared" si="4"/>
        <v>1000</v>
      </c>
      <c r="O21" s="2">
        <f t="shared" si="5"/>
        <v>19684.098120347473</v>
      </c>
      <c r="P21" s="2">
        <f t="shared" si="6"/>
        <v>18729.765498519733</v>
      </c>
      <c r="Q21" s="2">
        <f t="shared" si="7"/>
        <v>16979.984576352294</v>
      </c>
      <c r="R21" s="2">
        <f t="shared" si="27"/>
        <v>13802.936034354956</v>
      </c>
      <c r="S21" s="2">
        <f t="shared" si="8"/>
        <v>7300.4195655416024</v>
      </c>
      <c r="T21" s="2">
        <f t="shared" si="9"/>
        <v>548.83731637118672</v>
      </c>
      <c r="U21" s="2">
        <f t="shared" si="10"/>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1"/>
        <v>1000</v>
      </c>
      <c r="AM21" s="2">
        <f t="shared" si="12"/>
        <v>7229.1163160436472</v>
      </c>
      <c r="AN21" s="2">
        <f t="shared" si="13"/>
        <v>6837.385209483964</v>
      </c>
      <c r="AO21" s="2">
        <f t="shared" si="14"/>
        <v>6142.0459094556854</v>
      </c>
      <c r="AP21" s="2">
        <f t="shared" si="15"/>
        <v>4909.4106843846976</v>
      </c>
      <c r="AQ21" s="2">
        <f t="shared" si="16"/>
        <v>2457.6306581082695</v>
      </c>
      <c r="AR21" s="2">
        <f t="shared" si="17"/>
        <v>158.09658219581334</v>
      </c>
      <c r="AS21" s="2">
        <f t="shared" si="18"/>
        <v>142.29365996368665</v>
      </c>
      <c r="AX21" s="2">
        <f t="shared" si="28"/>
        <v>1000</v>
      </c>
      <c r="AY21" s="37">
        <f t="shared" si="19"/>
        <v>23677.952674862463</v>
      </c>
      <c r="AZ21" s="37">
        <f t="shared" si="20"/>
        <v>23949.605541101169</v>
      </c>
      <c r="BA21" s="37">
        <f t="shared" si="21"/>
        <v>24038.911937855533</v>
      </c>
      <c r="BB21" s="37">
        <f t="shared" si="22"/>
        <v>24411.748696698593</v>
      </c>
      <c r="BC21" s="37">
        <f t="shared" si="23"/>
        <v>82522.140690347413</v>
      </c>
      <c r="BD21" s="37">
        <f t="shared" si="24"/>
        <v>-387.9818132749063</v>
      </c>
      <c r="BE21" s="37">
        <f t="shared" si="25"/>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6"/>
        <v>-10</v>
      </c>
      <c r="N22" s="2">
        <f t="shared" si="4"/>
        <v>10000</v>
      </c>
      <c r="O22" s="2">
        <f t="shared" si="5"/>
        <v>19310.182462245117</v>
      </c>
      <c r="P22" s="2">
        <f t="shared" si="6"/>
        <v>17308.171801111104</v>
      </c>
      <c r="Q22" s="2">
        <f t="shared" si="7"/>
        <v>14603.915117705887</v>
      </c>
      <c r="R22" s="2">
        <f t="shared" si="27"/>
        <v>11388.112671513923</v>
      </c>
      <c r="S22" s="2">
        <f t="shared" si="8"/>
        <v>4777.2365062655363</v>
      </c>
      <c r="T22" s="2">
        <f t="shared" si="9"/>
        <v>424.68993933559034</v>
      </c>
      <c r="U22" s="2">
        <f t="shared" si="10"/>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1"/>
        <v>10000</v>
      </c>
      <c r="AM22" s="2">
        <f t="shared" si="12"/>
        <v>7065.0007195804155</v>
      </c>
      <c r="AN22" s="2">
        <f t="shared" si="13"/>
        <v>6289.6718355453368</v>
      </c>
      <c r="AO22" s="2">
        <f t="shared" si="14"/>
        <v>5263.2654078154883</v>
      </c>
      <c r="AP22" s="2">
        <f t="shared" si="15"/>
        <v>4054.6855956010618</v>
      </c>
      <c r="AQ22" s="2">
        <f t="shared" si="16"/>
        <v>1610.938712030013</v>
      </c>
      <c r="AR22" s="2">
        <f t="shared" si="17"/>
        <v>132.46407229952649</v>
      </c>
      <c r="AS22" s="2">
        <f t="shared" si="18"/>
        <v>121.71619952615258</v>
      </c>
      <c r="AX22" s="2">
        <f t="shared" si="28"/>
        <v>10000</v>
      </c>
      <c r="AY22" s="37">
        <f t="shared" si="19"/>
        <v>24127.233185682937</v>
      </c>
      <c r="AZ22" s="37">
        <f t="shared" si="20"/>
        <v>23248.691357733402</v>
      </c>
      <c r="BA22" s="37">
        <f t="shared" si="21"/>
        <v>21605.392785053158</v>
      </c>
      <c r="BB22" s="37">
        <f t="shared" si="22"/>
        <v>19836.143480107861</v>
      </c>
      <c r="BC22" s="37">
        <f t="shared" si="23"/>
        <v>46155.010680269632</v>
      </c>
      <c r="BD22" s="37">
        <f t="shared" si="24"/>
        <v>-686.94569615763794</v>
      </c>
      <c r="BE22" s="37">
        <f t="shared" si="25"/>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6"/>
        <v>-10</v>
      </c>
      <c r="N23" s="2">
        <f t="shared" si="4"/>
        <v>100000</v>
      </c>
      <c r="O23" s="2">
        <f t="shared" si="5"/>
        <v>18566.934600264562</v>
      </c>
      <c r="P23" s="2">
        <f t="shared" si="6"/>
        <v>14894.920168334727</v>
      </c>
      <c r="Q23" s="2">
        <f t="shared" si="7"/>
        <v>12222.314258188637</v>
      </c>
      <c r="R23" s="2">
        <f t="shared" si="27"/>
        <v>9481.7225439927552</v>
      </c>
      <c r="S23" s="2">
        <f t="shared" si="8"/>
        <v>2781.8501856678345</v>
      </c>
      <c r="T23" s="2">
        <f t="shared" si="9"/>
        <v>351.56865009712232</v>
      </c>
      <c r="U23" s="2">
        <f t="shared" si="10"/>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1"/>
        <v>100000</v>
      </c>
      <c r="AM23" s="2">
        <f t="shared" si="12"/>
        <v>6763.2909836921517</v>
      </c>
      <c r="AN23" s="2">
        <f t="shared" si="13"/>
        <v>5393.096219252795</v>
      </c>
      <c r="AO23" s="2">
        <f t="shared" si="14"/>
        <v>4399.1328288595505</v>
      </c>
      <c r="AP23" s="2">
        <f t="shared" si="15"/>
        <v>3384.7376862720757</v>
      </c>
      <c r="AQ23" s="2">
        <f t="shared" si="16"/>
        <v>942.69111378955085</v>
      </c>
      <c r="AR23" s="2">
        <f t="shared" si="17"/>
        <v>115.64370251909122</v>
      </c>
      <c r="AS23" s="2">
        <f t="shared" si="18"/>
        <v>109.27679567564616</v>
      </c>
      <c r="AX23" s="2">
        <f t="shared" si="28"/>
        <v>100000</v>
      </c>
      <c r="AY23" s="37">
        <f t="shared" si="19"/>
        <v>24294.462096800613</v>
      </c>
      <c r="AZ23" s="37">
        <f t="shared" si="20"/>
        <v>20848.0505678878</v>
      </c>
      <c r="BA23" s="37">
        <f t="shared" si="21"/>
        <v>18380.492109422798</v>
      </c>
      <c r="BB23" s="37">
        <f t="shared" si="22"/>
        <v>15907.606584781948</v>
      </c>
      <c r="BC23" s="37">
        <f t="shared" si="23"/>
        <v>18911.340071605871</v>
      </c>
      <c r="BD23" s="37">
        <f t="shared" si="24"/>
        <v>-2922.2876870326827</v>
      </c>
      <c r="BE23" s="37">
        <f t="shared" si="25"/>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6"/>
        <v>-10</v>
      </c>
      <c r="N24" s="2">
        <f t="shared" si="4"/>
        <v>1000000</v>
      </c>
      <c r="O24" s="2">
        <f t="shared" si="5"/>
        <v>16761.540176741342</v>
      </c>
      <c r="P24" s="2">
        <f t="shared" si="6"/>
        <v>12612.199023383377</v>
      </c>
      <c r="Q24" s="2">
        <f t="shared" si="7"/>
        <v>10433.150423314644</v>
      </c>
      <c r="R24" s="2">
        <f t="shared" si="27"/>
        <v>8012.0684642696078</v>
      </c>
      <c r="S24" s="2">
        <f t="shared" si="8"/>
        <v>1491.317295053803</v>
      </c>
      <c r="T24" s="2">
        <f t="shared" si="9"/>
        <v>311.02439474519485</v>
      </c>
      <c r="U24" s="2">
        <f t="shared" si="10"/>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1"/>
        <v>1000000</v>
      </c>
      <c r="AM24" s="2">
        <f t="shared" si="12"/>
        <v>6076.274832146727</v>
      </c>
      <c r="AN24" s="2">
        <f t="shared" si="13"/>
        <v>4558.7271908643725</v>
      </c>
      <c r="AO24" s="2">
        <f t="shared" si="14"/>
        <v>3757.2475587809995</v>
      </c>
      <c r="AP24" s="2">
        <f t="shared" si="15"/>
        <v>2867.8130883318549</v>
      </c>
      <c r="AQ24" s="2">
        <f t="shared" si="16"/>
        <v>510.32470275306576</v>
      </c>
      <c r="AR24" s="2">
        <f t="shared" si="17"/>
        <v>105.70344373363407</v>
      </c>
      <c r="AS24" s="2">
        <f t="shared" si="18"/>
        <v>101.92394551670053</v>
      </c>
      <c r="AX24" s="2">
        <f t="shared" si="28"/>
        <v>1000000</v>
      </c>
      <c r="AY24" s="37">
        <f t="shared" si="19"/>
        <v>23137.466351182688</v>
      </c>
      <c r="AZ24" s="37">
        <f t="shared" si="20"/>
        <v>18012.69349364013</v>
      </c>
      <c r="BA24" s="37">
        <f t="shared" si="21"/>
        <v>15581.640468230606</v>
      </c>
      <c r="BB24" s="37">
        <f t="shared" si="22"/>
        <v>12951.329790737587</v>
      </c>
      <c r="BC24" s="37">
        <f t="shared" si="23"/>
        <v>6397.0180976393976</v>
      </c>
      <c r="BD24" s="37">
        <f t="shared" si="24"/>
        <v>1800.6732871764245</v>
      </c>
      <c r="BE24" s="37">
        <f t="shared" si="25"/>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6"/>
        <v>-10</v>
      </c>
      <c r="N25" s="2">
        <f t="shared" si="4"/>
        <v>10000000</v>
      </c>
      <c r="O25" s="2">
        <f t="shared" si="5"/>
        <v>14254.828436215996</v>
      </c>
      <c r="P25" s="2">
        <f t="shared" si="6"/>
        <v>10870.607040165401</v>
      </c>
      <c r="Q25" s="2">
        <f t="shared" si="7"/>
        <v>9125.6995761295057</v>
      </c>
      <c r="R25" s="2">
        <f t="shared" si="27"/>
        <v>6673.464448224041</v>
      </c>
      <c r="S25" s="2">
        <f t="shared" si="8"/>
        <v>785.20892524999465</v>
      </c>
      <c r="T25" s="2">
        <f t="shared" si="9"/>
        <v>287.7155458003362</v>
      </c>
      <c r="U25" s="2">
        <f t="shared" si="10"/>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1"/>
        <v>10000000</v>
      </c>
      <c r="AM25" s="2">
        <f t="shared" si="12"/>
        <v>5152.9727387836929</v>
      </c>
      <c r="AN25" s="2">
        <f t="shared" si="13"/>
        <v>3927.5350129983676</v>
      </c>
      <c r="AO25" s="2">
        <f t="shared" si="14"/>
        <v>3291.1531992809396</v>
      </c>
      <c r="AP25" s="2">
        <f t="shared" si="15"/>
        <v>2393.9219661874804</v>
      </c>
      <c r="AQ25" s="2">
        <f t="shared" si="16"/>
        <v>271.36767023207187</v>
      </c>
      <c r="AR25" s="2">
        <f t="shared" si="17"/>
        <v>99.769058005183027</v>
      </c>
      <c r="AS25" s="2">
        <f t="shared" si="18"/>
        <v>97.501289329192588</v>
      </c>
      <c r="AX25" s="2">
        <f t="shared" si="28"/>
        <v>10000000</v>
      </c>
      <c r="AY25" s="37">
        <f t="shared" si="19"/>
        <v>20334.791070595831</v>
      </c>
      <c r="AZ25" s="37">
        <f t="shared" si="20"/>
        <v>15604.81851114552</v>
      </c>
      <c r="BA25" s="37">
        <f t="shared" si="21"/>
        <v>13388.464428663197</v>
      </c>
      <c r="BB25" s="37">
        <f t="shared" si="22"/>
        <v>10476.560790543319</v>
      </c>
      <c r="BC25" s="37">
        <f t="shared" si="23"/>
        <v>2458.1768598411568</v>
      </c>
      <c r="BD25" s="37">
        <f t="shared" si="24"/>
        <v>825.45518900942818</v>
      </c>
      <c r="BE25" s="37">
        <f t="shared" si="25"/>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6"/>
        <v>-10</v>
      </c>
      <c r="N26" s="2">
        <f t="shared" si="4"/>
        <v>100000000</v>
      </c>
      <c r="O26" s="2">
        <f t="shared" si="5"/>
        <v>12048.152956189884</v>
      </c>
      <c r="P26" s="2">
        <f t="shared" si="6"/>
        <v>9599.4226742642168</v>
      </c>
      <c r="Q26" s="2">
        <f t="shared" si="7"/>
        <v>8090.5512994118853</v>
      </c>
      <c r="R26" s="2">
        <f t="shared" si="27"/>
        <v>5348.8138806549405</v>
      </c>
      <c r="S26" s="2">
        <f t="shared" si="8"/>
        <v>437.8275387817626</v>
      </c>
      <c r="T26" s="2">
        <f t="shared" si="9"/>
        <v>273.91270001555353</v>
      </c>
      <c r="U26" s="2">
        <f t="shared" si="10"/>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1"/>
        <v>100000000</v>
      </c>
      <c r="AM26" s="2">
        <f t="shared" si="12"/>
        <v>4349.4578522571974</v>
      </c>
      <c r="AN26" s="2">
        <f t="shared" si="13"/>
        <v>3470.8276794707381</v>
      </c>
      <c r="AO26" s="2">
        <f t="shared" si="14"/>
        <v>2923.3907186801598</v>
      </c>
      <c r="AP26" s="2">
        <f t="shared" si="15"/>
        <v>1923.0446750969861</v>
      </c>
      <c r="AQ26" s="2">
        <f t="shared" si="16"/>
        <v>152.45647454769647</v>
      </c>
      <c r="AR26" s="2">
        <f t="shared" si="17"/>
        <v>96.16135307969536</v>
      </c>
      <c r="AS26" s="2">
        <f t="shared" si="18"/>
        <v>94.712895608864457</v>
      </c>
      <c r="AX26" s="2">
        <f t="shared" si="28"/>
        <v>100000000</v>
      </c>
      <c r="AY26" s="37">
        <f t="shared" si="19"/>
        <v>17463.791970831018</v>
      </c>
      <c r="AZ26" s="37">
        <f t="shared" si="20"/>
        <v>13659.478596315132</v>
      </c>
      <c r="BA26" s="37">
        <f t="shared" si="21"/>
        <v>11600.508502655679</v>
      </c>
      <c r="BB26" s="37">
        <f t="shared" si="22"/>
        <v>8157.2805733477471</v>
      </c>
      <c r="BC26" s="37">
        <f t="shared" si="23"/>
        <v>1138.5739484911751</v>
      </c>
      <c r="BD26" s="37">
        <f t="shared" si="24"/>
        <v>602.54767486320873</v>
      </c>
      <c r="BE26" s="37">
        <f t="shared" si="25"/>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6"/>
        <v>-10</v>
      </c>
      <c r="N27" s="2">
        <f t="shared" si="4"/>
        <v>1000000000</v>
      </c>
      <c r="O27" s="2">
        <f t="shared" si="5"/>
        <v>10415.741029681112</v>
      </c>
      <c r="P27" s="2">
        <f t="shared" si="6"/>
        <v>8614.4897686935656</v>
      </c>
      <c r="Q27" s="2">
        <f t="shared" si="7"/>
        <v>7159.2568085964094</v>
      </c>
      <c r="R27" s="2">
        <f t="shared" si="27"/>
        <v>3978.0976400651807</v>
      </c>
      <c r="S27" s="2">
        <f t="shared" si="8"/>
        <v>325.81443601846939</v>
      </c>
      <c r="T27" s="2">
        <f t="shared" si="9"/>
        <v>265.30408912131344</v>
      </c>
      <c r="U27" s="2">
        <f t="shared" si="10"/>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1"/>
        <v>1000000000</v>
      </c>
      <c r="AM27" s="2">
        <f t="shared" si="12"/>
        <v>3760.3414331574859</v>
      </c>
      <c r="AN27" s="2">
        <f t="shared" si="13"/>
        <v>3119.1195128427248</v>
      </c>
      <c r="AO27" s="2">
        <f t="shared" si="14"/>
        <v>2591.8565821190209</v>
      </c>
      <c r="AP27" s="2">
        <f t="shared" si="15"/>
        <v>1433.0262098856042</v>
      </c>
      <c r="AQ27" s="2">
        <f t="shared" si="16"/>
        <v>114.48528241321054</v>
      </c>
      <c r="AR27" s="2">
        <f t="shared" si="17"/>
        <v>93.862812708921865</v>
      </c>
      <c r="AS27" s="2">
        <f t="shared" si="18"/>
        <v>92.92945942455529</v>
      </c>
      <c r="AX27" s="2">
        <f t="shared" si="28"/>
        <v>1000000000</v>
      </c>
      <c r="AY27" s="37">
        <f t="shared" si="19"/>
        <v>15088.2159705507</v>
      </c>
      <c r="AZ27" s="37">
        <f t="shared" si="20"/>
        <v>12056.693466284903</v>
      </c>
      <c r="BA27" s="37">
        <f t="shared" si="21"/>
        <v>10035.900998532001</v>
      </c>
      <c r="BB27" s="37">
        <f t="shared" si="22"/>
        <v>5920.0994955601627</v>
      </c>
      <c r="BC27" s="37">
        <f t="shared" si="23"/>
        <v>704.79920331109042</v>
      </c>
      <c r="BD27" s="37">
        <f t="shared" si="24"/>
        <v>509.73663975898</v>
      </c>
      <c r="BE27" s="37">
        <f t="shared" si="25"/>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6"/>
        <v>-10</v>
      </c>
      <c r="N28" s="2">
        <f t="shared" si="4"/>
        <v>10000000000</v>
      </c>
      <c r="O28" s="2">
        <f t="shared" si="5"/>
        <v>9230.6598423783071</v>
      </c>
      <c r="P28" s="2">
        <f t="shared" si="6"/>
        <v>7773.7433777145961</v>
      </c>
      <c r="Q28" s="2">
        <f t="shared" si="7"/>
        <v>6142.4304670728689</v>
      </c>
      <c r="R28" s="2">
        <f t="shared" si="27"/>
        <v>2574.4636770611592</v>
      </c>
      <c r="S28" s="2">
        <f t="shared" si="8"/>
        <v>285.60076349080902</v>
      </c>
      <c r="T28" s="2">
        <f t="shared" si="9"/>
        <v>259.87569210094318</v>
      </c>
      <c r="U28" s="2">
        <f t="shared" si="10"/>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1"/>
        <v>10000000000</v>
      </c>
      <c r="AM28" s="2">
        <f t="shared" si="12"/>
        <v>3336.4331784463179</v>
      </c>
      <c r="AN28" s="2">
        <f t="shared" si="13"/>
        <v>2819.4631556550398</v>
      </c>
      <c r="AO28" s="2">
        <f t="shared" si="14"/>
        <v>2227.1388397843657</v>
      </c>
      <c r="AP28" s="2">
        <f t="shared" si="15"/>
        <v>928.3724969127901</v>
      </c>
      <c r="AQ28" s="2">
        <f t="shared" si="16"/>
        <v>101.06517730245214</v>
      </c>
      <c r="AR28" s="2">
        <f t="shared" si="17"/>
        <v>92.381155101656375</v>
      </c>
      <c r="AS28" s="2">
        <f t="shared" si="18"/>
        <v>92.006187989209394</v>
      </c>
      <c r="AX28" s="2">
        <f t="shared" si="28"/>
        <v>10000000000</v>
      </c>
      <c r="AY28" s="37">
        <f t="shared" si="19"/>
        <v>13184.309351933493</v>
      </c>
      <c r="AZ28" s="37">
        <f t="shared" si="20"/>
        <v>10671.101161660947</v>
      </c>
      <c r="BA28" s="37">
        <f t="shared" si="21"/>
        <v>8460.358362409168</v>
      </c>
      <c r="BB28" s="37">
        <f t="shared" si="22"/>
        <v>3781.973261189708</v>
      </c>
      <c r="BC28" s="37">
        <f t="shared" si="23"/>
        <v>546.83473929231957</v>
      </c>
      <c r="BD28" s="37">
        <f t="shared" si="24"/>
        <v>463.43780280695023</v>
      </c>
      <c r="BE28" s="37">
        <f t="shared" si="25"/>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6"/>
        <v>-10</v>
      </c>
      <c r="N29" s="2">
        <f t="shared" si="4"/>
        <v>100000000000</v>
      </c>
      <c r="O29" s="2">
        <f t="shared" si="5"/>
        <v>8273.6096908081145</v>
      </c>
      <c r="P29" s="2">
        <f t="shared" si="6"/>
        <v>6953.8163676704444</v>
      </c>
      <c r="Q29" s="2">
        <f t="shared" si="7"/>
        <v>5008.1514103254858</v>
      </c>
      <c r="R29" s="2">
        <f t="shared" si="27"/>
        <v>1499.5121872638804</v>
      </c>
      <c r="S29" s="2">
        <f t="shared" si="8"/>
        <v>261.97962463200093</v>
      </c>
      <c r="T29" s="2">
        <f t="shared" si="9"/>
        <v>258.94491547675437</v>
      </c>
      <c r="U29" s="2">
        <f t="shared" si="10"/>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1"/>
        <v>100000000000</v>
      </c>
      <c r="AM29" s="2">
        <f t="shared" si="12"/>
        <v>2995.2983606085086</v>
      </c>
      <c r="AN29" s="2">
        <f t="shared" si="13"/>
        <v>2525.9157804368465</v>
      </c>
      <c r="AO29" s="2">
        <f t="shared" si="14"/>
        <v>1818.1045605438685</v>
      </c>
      <c r="AP29" s="2">
        <f t="shared" si="15"/>
        <v>540.77757065756475</v>
      </c>
      <c r="AQ29" s="2">
        <f t="shared" si="16"/>
        <v>93.059878245985715</v>
      </c>
      <c r="AR29" s="2">
        <f t="shared" si="17"/>
        <v>92.126538569786135</v>
      </c>
      <c r="AS29" s="2">
        <f t="shared" si="18"/>
        <v>91.763267256404887</v>
      </c>
      <c r="AX29" s="2">
        <f t="shared" si="28"/>
        <v>100000000000</v>
      </c>
      <c r="AY29" s="37">
        <f t="shared" si="19"/>
        <v>11597.378361592906</v>
      </c>
      <c r="AZ29" s="37">
        <f t="shared" si="20"/>
        <v>9383.9197173173034</v>
      </c>
      <c r="BA29" s="37">
        <f t="shared" si="21"/>
        <v>6802.7139485606767</v>
      </c>
      <c r="BB29" s="37">
        <f t="shared" si="22"/>
        <v>2200.7791714033719</v>
      </c>
      <c r="BC29" s="37">
        <f t="shared" si="23"/>
        <v>472.47631098271978</v>
      </c>
      <c r="BD29" s="37">
        <f t="shared" si="24"/>
        <v>456.09614590156087</v>
      </c>
      <c r="BE29" s="37">
        <f t="shared" si="25"/>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6"/>
        <v>-10</v>
      </c>
      <c r="N30" s="2">
        <f t="shared" si="4"/>
        <v>1000000000000</v>
      </c>
      <c r="O30" s="2">
        <f t="shared" si="5"/>
        <v>7446.6240878630142</v>
      </c>
      <c r="P30" s="2">
        <f t="shared" si="6"/>
        <v>6002.2356441357479</v>
      </c>
      <c r="Q30" s="2">
        <f t="shared" si="7"/>
        <v>3751.2603162874061</v>
      </c>
      <c r="R30" s="2">
        <f t="shared" si="27"/>
        <v>838.72513779055839</v>
      </c>
      <c r="S30" s="2">
        <f t="shared" si="8"/>
        <v>260.53407371062764</v>
      </c>
      <c r="T30" s="2">
        <f t="shared" si="9"/>
        <v>255.21526561798564</v>
      </c>
      <c r="U30" s="2">
        <f t="shared" si="10"/>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1"/>
        <v>1000000000000</v>
      </c>
      <c r="AM30" s="2">
        <f t="shared" si="12"/>
        <v>2700.8479980556854</v>
      </c>
      <c r="AN30" s="2">
        <f t="shared" si="13"/>
        <v>2182.665940608038</v>
      </c>
      <c r="AO30" s="2">
        <f t="shared" si="14"/>
        <v>1362.7209266527218</v>
      </c>
      <c r="AP30" s="2">
        <f t="shared" si="15"/>
        <v>302.10819766520217</v>
      </c>
      <c r="AQ30" s="2">
        <f t="shared" si="16"/>
        <v>92.631968530961771</v>
      </c>
      <c r="AR30" s="2">
        <f t="shared" si="17"/>
        <v>91.086268606556416</v>
      </c>
      <c r="AS30" s="2">
        <f t="shared" si="18"/>
        <v>90.809569282014081</v>
      </c>
      <c r="AX30" s="2">
        <f t="shared" si="28"/>
        <v>1000000000000</v>
      </c>
      <c r="AY30" s="37">
        <f t="shared" si="19"/>
        <v>10220.861605550637</v>
      </c>
      <c r="AZ30" s="37">
        <f t="shared" si="20"/>
        <v>8001.5776367701637</v>
      </c>
      <c r="BA30" s="37">
        <f t="shared" si="21"/>
        <v>5057.7654618780325</v>
      </c>
      <c r="BB30" s="37">
        <f t="shared" si="22"/>
        <v>1249.4466557746339</v>
      </c>
      <c r="BC30" s="37">
        <f t="shared" si="23"/>
        <v>463.3494184422018</v>
      </c>
      <c r="BD30" s="37">
        <f t="shared" si="24"/>
        <v>429.45390200097501</v>
      </c>
      <c r="BE30" s="37">
        <f t="shared" si="25"/>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6"/>
        <v>-10</v>
      </c>
      <c r="N31" s="2">
        <f t="shared" si="4"/>
        <v>10000000000000</v>
      </c>
      <c r="O31" s="2">
        <f t="shared" si="5"/>
        <v>6555.3004773682187</v>
      </c>
      <c r="P31" s="2">
        <f t="shared" si="6"/>
        <v>4907.4912657872592</v>
      </c>
      <c r="Q31" s="2">
        <f t="shared" si="7"/>
        <v>2430.1890357952816</v>
      </c>
      <c r="R31" s="2">
        <f t="shared" si="27"/>
        <v>467.74027403592981</v>
      </c>
      <c r="S31" s="2">
        <f t="shared" si="8"/>
        <v>255.61107200829733</v>
      </c>
      <c r="T31" s="2">
        <f t="shared" si="9"/>
        <v>254.50537781497852</v>
      </c>
      <c r="U31" s="2">
        <f t="shared" si="10"/>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1"/>
        <v>10000000000000</v>
      </c>
      <c r="AM31" s="2">
        <f t="shared" si="12"/>
        <v>2380.901782740345</v>
      </c>
      <c r="AN31" s="2">
        <f t="shared" si="13"/>
        <v>1785.8998006119411</v>
      </c>
      <c r="AO31" s="2">
        <f t="shared" si="14"/>
        <v>882.60529508909428</v>
      </c>
      <c r="AP31" s="2">
        <f t="shared" si="15"/>
        <v>167.95607666429018</v>
      </c>
      <c r="AQ31" s="2">
        <f t="shared" si="16"/>
        <v>91.23127997996707</v>
      </c>
      <c r="AR31" s="2">
        <f t="shared" si="17"/>
        <v>90.886673770022838</v>
      </c>
      <c r="AS31" s="2">
        <f t="shared" si="18"/>
        <v>90.794437108888047</v>
      </c>
      <c r="AX31" s="2">
        <f t="shared" si="28"/>
        <v>10000000000000</v>
      </c>
      <c r="AY31" s="37">
        <f t="shared" si="19"/>
        <v>8856.7683423672406</v>
      </c>
      <c r="AZ31" s="37">
        <f t="shared" si="20"/>
        <v>6489.0635917849504</v>
      </c>
      <c r="BA31" s="37">
        <f t="shared" si="21"/>
        <v>3285.2835273837663</v>
      </c>
      <c r="BB31" s="37">
        <f t="shared" si="22"/>
        <v>724.82946833551421</v>
      </c>
      <c r="BC31" s="37">
        <f t="shared" si="23"/>
        <v>429.87012763703814</v>
      </c>
      <c r="BD31" s="37">
        <f t="shared" si="24"/>
        <v>424.70580143756354</v>
      </c>
      <c r="BE31" s="37">
        <f t="shared" si="25"/>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6"/>
        <v>-10</v>
      </c>
      <c r="N32" s="2">
        <f t="shared" si="4"/>
        <v>100000000000000</v>
      </c>
      <c r="O32" s="2">
        <f t="shared" si="5"/>
        <v>5534.8397923226894</v>
      </c>
      <c r="P32" s="2">
        <f t="shared" si="6"/>
        <v>3674.7323471947598</v>
      </c>
      <c r="Q32" s="2">
        <f t="shared" si="7"/>
        <v>1416.8225576286502</v>
      </c>
      <c r="R32" s="2">
        <f t="shared" si="27"/>
        <v>322.68805120996677</v>
      </c>
      <c r="S32" s="2">
        <f t="shared" si="8"/>
        <v>255.53688935645488</v>
      </c>
      <c r="T32" s="2">
        <f t="shared" si="9"/>
        <v>252.43326191058742</v>
      </c>
      <c r="U32" s="2">
        <f t="shared" si="10"/>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1"/>
        <v>100000000000000</v>
      </c>
      <c r="AM32" s="2">
        <f t="shared" si="12"/>
        <v>2012.430565108212</v>
      </c>
      <c r="AN32" s="2">
        <f t="shared" si="13"/>
        <v>1337.7075606161161</v>
      </c>
      <c r="AO32" s="2">
        <f t="shared" si="14"/>
        <v>513.97783275284667</v>
      </c>
      <c r="AP32" s="2">
        <f t="shared" si="15"/>
        <v>115.55588342611547</v>
      </c>
      <c r="AQ32" s="2">
        <f t="shared" si="16"/>
        <v>91.209911146223277</v>
      </c>
      <c r="AR32" s="2">
        <f t="shared" si="17"/>
        <v>90.290301687552557</v>
      </c>
      <c r="AS32" s="2">
        <f t="shared" si="18"/>
        <v>90.157522811707935</v>
      </c>
      <c r="AX32" s="2">
        <f t="shared" si="28"/>
        <v>100000000000000</v>
      </c>
      <c r="AY32" s="37">
        <f t="shared" si="19"/>
        <v>7389.4175770851343</v>
      </c>
      <c r="AZ32" s="37">
        <f t="shared" si="20"/>
        <v>4842.2553687053723</v>
      </c>
      <c r="BA32" s="37">
        <f t="shared" si="21"/>
        <v>1940.1857367522732</v>
      </c>
      <c r="BB32" s="37">
        <f t="shared" si="22"/>
        <v>518.33647874718224</v>
      </c>
      <c r="BC32" s="37">
        <f t="shared" si="23"/>
        <v>429.40543909466612</v>
      </c>
      <c r="BD32" s="37">
        <f t="shared" si="24"/>
        <v>412.06053626076198</v>
      </c>
      <c r="BE32" s="37">
        <f t="shared" si="25"/>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27"/>
        <v>280.88351572812059</v>
      </c>
      <c r="S33" s="2">
        <f t="shared" si="8"/>
        <v>252.44034077426483</v>
      </c>
      <c r="T33" s="2">
        <f t="shared" si="9"/>
        <v>251.63422047097583</v>
      </c>
      <c r="U33" s="2">
        <f t="shared" si="10"/>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1"/>
        <v>1000000000000000</v>
      </c>
      <c r="AM33" s="2">
        <f t="shared" si="12"/>
        <v>1596.0920370512245</v>
      </c>
      <c r="AN33" s="2">
        <f t="shared" si="13"/>
        <v>864.52071218722244</v>
      </c>
      <c r="AO33" s="2">
        <f t="shared" si="14"/>
        <v>287.95166024173568</v>
      </c>
      <c r="AP33" s="2">
        <f t="shared" si="15"/>
        <v>100.53155340781859</v>
      </c>
      <c r="AQ33" s="2">
        <f t="shared" si="16"/>
        <v>90.301560772176387</v>
      </c>
      <c r="AR33" s="2">
        <f t="shared" si="17"/>
        <v>90.056329050223439</v>
      </c>
      <c r="AS33" s="2">
        <f t="shared" si="18"/>
        <v>89.913434838716469</v>
      </c>
      <c r="AX33" s="2">
        <f>AL33</f>
        <v>1000000000000000</v>
      </c>
      <c r="AY33" s="37">
        <f t="shared" si="19"/>
        <v>5812.4040289060513</v>
      </c>
      <c r="AZ33" s="37">
        <f t="shared" si="20"/>
        <v>3149.0996661072604</v>
      </c>
      <c r="BA33" s="37">
        <f t="shared" si="21"/>
        <v>1120.3536230398786</v>
      </c>
      <c r="BB33" s="37">
        <f t="shared" si="22"/>
        <v>454.46798250989048</v>
      </c>
      <c r="BC33" s="37">
        <f t="shared" si="23"/>
        <v>411.52756917249343</v>
      </c>
      <c r="BD33" s="37">
        <f t="shared" si="24"/>
        <v>407.54499459758341</v>
      </c>
      <c r="BE33" s="37">
        <f t="shared" si="25"/>
        <v>404.44648932589445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E127" sqref="E12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110</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6163.9172848230364</v>
      </c>
      <c r="G16" s="26">
        <f>INDEX(Comparison!$AM$3:$AS$33,G14,$B$3)</f>
        <v>5842.0148400129501</v>
      </c>
      <c r="H16" s="26">
        <f>INDEX(Comparison!$AM$3:$AS$33,H14,$B$3)</f>
        <v>5557.579467209528</v>
      </c>
      <c r="I16" s="26">
        <f>INDEX(Comparison!$AM$3:$AS$33,I14,$B$3)</f>
        <v>5275.4812921063285</v>
      </c>
      <c r="J16" s="26">
        <f>INDEX(Comparison!$AM$3:$AS$33,J14,$B$3)</f>
        <v>4966.4021193857116</v>
      </c>
      <c r="K16" s="26">
        <f>INDEX(Comparison!$AM$3:$AS$33,K14,$B$3)</f>
        <v>4621.0156652325422</v>
      </c>
      <c r="L16" s="26">
        <f>INDEX(Comparison!$AM$3:$AS$33,L14,$B$3)</f>
        <v>4155.4773315838347</v>
      </c>
      <c r="M16" s="26">
        <f>INDEX(Comparison!$AM$3:$AS$33,M14,$B$3)</f>
        <v>3566.7724920591822</v>
      </c>
      <c r="N16" s="26">
        <f>INDEX(Comparison!$AM$3:$AS$33,N14,$B$3)</f>
        <v>2850.9447868112361</v>
      </c>
      <c r="O16" s="26">
        <f>INDEX(Comparison!$AM$3:$AS$33,O14,$B$3)</f>
        <v>2002.5618143914935</v>
      </c>
      <c r="P16" s="26">
        <f>INDEX(Comparison!$AM$3:$AS$33,P14,$B$3)</f>
        <v>1246.5264827258</v>
      </c>
      <c r="Q16" s="26">
        <f>INDEX(Comparison!$AM$3:$AS$33,Q14,$B$3)</f>
        <v>721.62368462950201</v>
      </c>
      <c r="R16" s="26">
        <f>INDEX(Comparison!$AM$3:$AS$33,R14,$B$3)</f>
        <v>404.72633399765499</v>
      </c>
      <c r="S16" s="26">
        <f>INDEX(Comparison!$AM$3:$AS$33,S14,$B$3)</f>
        <v>265.07180083177406</v>
      </c>
      <c r="T16" s="26">
        <f>INDEX(Comparison!$AM$3:$AS$33,T14,$B$3)</f>
        <v>224.4007416662501</v>
      </c>
      <c r="U16" s="26">
        <f>INDEX(Comparison!$AM$3:$AS$33,U14,$B$3)</f>
        <v>202.49198438372559</v>
      </c>
      <c r="V16" s="26">
        <f>INDEX(Comparison!$AM$3:$AS$33,V14,$B$3)</f>
        <v>189.83771999127222</v>
      </c>
      <c r="W16" s="26">
        <f>INDEX(Comparison!$AM$3:$AS$33,W14,$B$3)</f>
        <v>169.86288435020435</v>
      </c>
      <c r="X16" s="26">
        <f>INDEX(Comparison!$AM$3:$AS$33,X14,$B$3)</f>
        <v>142.29365996368665</v>
      </c>
      <c r="Y16" s="26">
        <f>INDEX(Comparison!$AM$3:$AS$33,Y14,$B$3)</f>
        <v>121.71619952615258</v>
      </c>
      <c r="Z16" s="26">
        <f>INDEX(Comparison!$AM$3:$AS$33,Z14,$B$3)</f>
        <v>109.27679567564616</v>
      </c>
      <c r="AA16" s="26">
        <f>INDEX(Comparison!$AM$3:$AS$33,AA14,$B$3)</f>
        <v>101.92394551670053</v>
      </c>
      <c r="AB16" s="26">
        <f>INDEX(Comparison!$AM$3:$AS$33,AB14,$B$3)</f>
        <v>97.501289329192588</v>
      </c>
      <c r="AC16" s="26">
        <f>INDEX(Comparison!$AM$3:$AS$33,AC14,$B$3)</f>
        <v>94.712895608864457</v>
      </c>
      <c r="AD16" s="26">
        <f>INDEX(Comparison!$AM$3:$AS$33,AD14,$B$3)</f>
        <v>92.92945942455529</v>
      </c>
      <c r="AE16" s="26">
        <f>INDEX(Comparison!$AM$3:$AS$33,AE14,$B$3)</f>
        <v>92.006187989209394</v>
      </c>
      <c r="AF16" s="26">
        <f>INDEX(Comparison!$AM$3:$AS$33,AF14,$B$3)</f>
        <v>91.763267256404887</v>
      </c>
      <c r="AG16" s="26">
        <f>INDEX(Comparison!$AM$3:$AS$33,AG14,$B$3)</f>
        <v>90.809569282014081</v>
      </c>
      <c r="AH16" s="26">
        <f>INDEX(Comparison!$AM$3:$AS$33,AH14,$B$3)</f>
        <v>90.794437108888047</v>
      </c>
      <c r="AI16" s="26">
        <f>INDEX(Comparison!$AM$3:$AS$33,AI14,$B$3)</f>
        <v>90.157522811707935</v>
      </c>
      <c r="AJ16" s="26">
        <f>INDEX(Comparison!$AM$3:$AS$33,AJ14,$B$3)</f>
        <v>89.913434838716469</v>
      </c>
    </row>
    <row r="17" spans="1:36" x14ac:dyDescent="0.25">
      <c r="A17" s="14" t="s">
        <v>20</v>
      </c>
      <c r="B17" s="105">
        <v>4.9068281422726574E-3</v>
      </c>
      <c r="C17" s="18">
        <f t="shared" ref="C17:C48" si="3">ABS(B17/$B$49)</f>
        <v>1.1552459170330999E-2</v>
      </c>
      <c r="D17" s="66"/>
      <c r="E17" s="65" t="s">
        <v>22</v>
      </c>
      <c r="F17" s="27">
        <f>($C$17+SUM(F18:F48))*$B$51</f>
        <v>6074.2870333441651</v>
      </c>
      <c r="G17" s="27">
        <f t="shared" ref="G17:M17" si="4">($C$17+SUM(G18:G48))*$B$51</f>
        <v>5957.9484724674712</v>
      </c>
      <c r="H17" s="27">
        <f t="shared" si="4"/>
        <v>5526.8862864407483</v>
      </c>
      <c r="I17" s="27">
        <f t="shared" si="4"/>
        <v>5280.495722205379</v>
      </c>
      <c r="J17" s="27">
        <f t="shared" si="4"/>
        <v>4965.6957137065692</v>
      </c>
      <c r="K17" s="27">
        <f t="shared" si="4"/>
        <v>4621.1089039414765</v>
      </c>
      <c r="L17" s="27">
        <f t="shared" si="4"/>
        <v>4155.464659499411</v>
      </c>
      <c r="M17" s="27">
        <f t="shared" si="4"/>
        <v>3566.777736182109</v>
      </c>
      <c r="N17" s="27">
        <f t="shared" ref="N17" si="5">($C$17+SUM(N18:N48))*$B$51</f>
        <v>2850.9386919405069</v>
      </c>
      <c r="O17" s="27">
        <f t="shared" ref="O17" si="6">($C$17+SUM(O18:O48))*$B$51</f>
        <v>2002.5693119123268</v>
      </c>
      <c r="P17" s="27">
        <f t="shared" ref="P17" si="7">($C$17+SUM(P18:P48))*$B$51</f>
        <v>1246.5166398215954</v>
      </c>
      <c r="Q17" s="27">
        <f t="shared" ref="Q17" si="8">($C$17+SUM(Q18:Q48))*$B$51</f>
        <v>721.6324452637657</v>
      </c>
      <c r="R17" s="27">
        <f t="shared" ref="R17" si="9">($C$17+SUM(R18:R48))*$B$51</f>
        <v>404.71526706378677</v>
      </c>
      <c r="S17" s="27">
        <f t="shared" ref="S17:T17" si="10">($C$17+SUM(S18:S48))*$B$51</f>
        <v>265.07933881383821</v>
      </c>
      <c r="T17" s="27">
        <f t="shared" si="10"/>
        <v>224.39914253652398</v>
      </c>
      <c r="U17" s="27">
        <f t="shared" ref="U17" si="11">($C$17+SUM(U18:U48))*$B$51</f>
        <v>202.49199615816093</v>
      </c>
      <c r="V17" s="27">
        <f t="shared" ref="V17" si="12">($C$17+SUM(V18:V48))*$B$51</f>
        <v>189.84062712898782</v>
      </c>
      <c r="W17" s="27">
        <f t="shared" ref="W17" si="13">($C$17+SUM(W18:W48))*$B$51</f>
        <v>169.85571831394682</v>
      </c>
      <c r="X17" s="27">
        <f t="shared" ref="X17" si="14">($C$17+SUM(X18:X48))*$B$51</f>
        <v>142.30103772013257</v>
      </c>
      <c r="Y17" s="27">
        <f t="shared" ref="Y17" si="15">($C$17+SUM(Y18:Y48))*$B$51</f>
        <v>121.7113598748134</v>
      </c>
      <c r="Z17" s="27">
        <f t="shared" ref="Z17:AA17" si="16">($C$17+SUM(Z18:Z48))*$B$51</f>
        <v>109.27830213020289</v>
      </c>
      <c r="AA17" s="27">
        <f t="shared" si="16"/>
        <v>101.92266903167608</v>
      </c>
      <c r="AB17" s="27">
        <f t="shared" ref="AB17" si="17">($C$17+SUM(AB18:AB48))*$B$51</f>
        <v>97.500531653015301</v>
      </c>
      <c r="AC17" s="27">
        <f t="shared" ref="AC17" si="18">($C$17+SUM(AC18:AC48))*$B$51</f>
        <v>94.72027267218516</v>
      </c>
      <c r="AD17" s="27">
        <f t="shared" ref="AD17" si="19">($C$17+SUM(AD18:AD48))*$B$51</f>
        <v>92.913725801555998</v>
      </c>
      <c r="AE17" s="27">
        <f t="shared" ref="AE17" si="20">($C$17+SUM(AE18:AE48))*$B$51</f>
        <v>92.041523491636113</v>
      </c>
      <c r="AF17" s="27">
        <f t="shared" ref="AF17" si="21">($C$17+SUM(AF18:AF48))*$B$51</f>
        <v>91.697397967903811</v>
      </c>
      <c r="AG17" s="27">
        <f t="shared" ref="AG17:AH17" si="22">($C$17+SUM(AG18:AG48))*$B$51</f>
        <v>90.903738602267254</v>
      </c>
      <c r="AH17" s="27">
        <f t="shared" si="22"/>
        <v>90.470021952546219</v>
      </c>
      <c r="AI17" s="27">
        <f t="shared" ref="AI17" si="23">($C$17+SUM(AI18:AI48))*$B$51</f>
        <v>90.418190612083663</v>
      </c>
      <c r="AJ17" s="27">
        <f t="shared" ref="AJ17" si="24">($C$17+SUM(AJ18:AJ48))*$B$51</f>
        <v>89.925247730966291</v>
      </c>
    </row>
    <row r="18" spans="1:36" x14ac:dyDescent="0.25">
      <c r="A18" s="3">
        <f>0.000000000000001/10^15</f>
        <v>1.0000000000000001E-30</v>
      </c>
      <c r="B18" s="106">
        <v>7.1965008000704406E-2</v>
      </c>
      <c r="C18" s="18">
        <f t="shared" si="3"/>
        <v>0.16943181878703842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3.2190565848131097E-2</v>
      </c>
      <c r="C19" s="18">
        <f t="shared" si="3"/>
        <v>7.5788306997470078E-2</v>
      </c>
      <c r="D19" s="17"/>
      <c r="F19" s="3">
        <f t="shared" si="25"/>
        <v>7.3871609100432639E-2</v>
      </c>
      <c r="G19" s="3">
        <f t="shared" si="25"/>
        <v>5.8661847974291817E-2</v>
      </c>
      <c r="H19" s="3">
        <f t="shared" si="25"/>
        <v>5.8497532825550575E-3</v>
      </c>
      <c r="I19" s="3">
        <f t="shared" si="25"/>
        <v>5.6879483887210655E-13</v>
      </c>
      <c r="J19" s="3">
        <f t="shared" si="25"/>
        <v>4.2967157074268913E-113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1.1649068215717718E-2</v>
      </c>
      <c r="C20" s="18">
        <f t="shared" si="3"/>
        <v>2.742614598116927E-2</v>
      </c>
      <c r="D20" s="17"/>
      <c r="F20" s="3">
        <f t="shared" si="25"/>
        <v>2.7362844829181991E-2</v>
      </c>
      <c r="G20" s="3">
        <f t="shared" si="25"/>
        <v>2.6799668783198786E-2</v>
      </c>
      <c r="H20" s="3">
        <f t="shared" si="25"/>
        <v>2.1767633493769728E-2</v>
      </c>
      <c r="I20" s="3">
        <f t="shared" si="25"/>
        <v>2.7203771328692589E-3</v>
      </c>
      <c r="J20" s="3">
        <f t="shared" si="25"/>
        <v>2.5281806671849751E-12</v>
      </c>
      <c r="K20" s="3">
        <f t="shared" si="25"/>
        <v>1.2150608005194659E-102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1.9879167869521104E-2</v>
      </c>
      <c r="C21" s="18">
        <f t="shared" si="3"/>
        <v>4.6802795715284964E-2</v>
      </c>
      <c r="D21" s="17"/>
      <c r="F21" s="3">
        <f t="shared" si="25"/>
        <v>4.6793040842151509E-2</v>
      </c>
      <c r="G21" s="3">
        <f t="shared" si="25"/>
        <v>4.6705338425296193E-2</v>
      </c>
      <c r="H21" s="3">
        <f t="shared" si="25"/>
        <v>4.5837304364332351E-2</v>
      </c>
      <c r="I21" s="3">
        <f t="shared" si="25"/>
        <v>3.7996581904855616E-2</v>
      </c>
      <c r="J21" s="3">
        <f t="shared" si="25"/>
        <v>5.8210206179337828E-3</v>
      </c>
      <c r="K21" s="3">
        <f t="shared" si="25"/>
        <v>4.1451973494172663E-11</v>
      </c>
      <c r="L21" s="3">
        <f t="shared" si="25"/>
        <v>1.3899716872803977E-92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1.9171442562165436E-2</v>
      </c>
      <c r="C22" s="18">
        <f t="shared" si="3"/>
        <v>4.5136552781973364E-2</v>
      </c>
      <c r="D22" s="17"/>
      <c r="F22" s="3">
        <f t="shared" si="25"/>
        <v>4.5135704058941496E-2</v>
      </c>
      <c r="G22" s="3">
        <f t="shared" si="25"/>
        <v>4.5128066269770194E-2</v>
      </c>
      <c r="H22" s="3">
        <f t="shared" si="25"/>
        <v>4.5051759426955433E-2</v>
      </c>
      <c r="I22" s="3">
        <f t="shared" si="25"/>
        <v>4.4295751601260425E-2</v>
      </c>
      <c r="J22" s="3">
        <f t="shared" si="25"/>
        <v>3.7399454064143932E-2</v>
      </c>
      <c r="K22" s="3">
        <f t="shared" si="25"/>
        <v>6.8848920982136387E-3</v>
      </c>
      <c r="L22" s="3">
        <f t="shared" si="25"/>
        <v>3.0776263691339163E-10</v>
      </c>
      <c r="M22" s="3">
        <f t="shared" si="25"/>
        <v>9.8040034447266798E-84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2.8577318104315321E-2</v>
      </c>
      <c r="C23" s="18">
        <f t="shared" si="3"/>
        <v>6.7281406852932088E-2</v>
      </c>
      <c r="D23" s="17"/>
      <c r="F23" s="3">
        <f t="shared" si="25"/>
        <v>6.7281292727359374E-2</v>
      </c>
      <c r="G23" s="3">
        <f t="shared" si="25"/>
        <v>6.7280265605916253E-2</v>
      </c>
      <c r="H23" s="3">
        <f t="shared" si="25"/>
        <v>6.7269995253851897E-2</v>
      </c>
      <c r="I23" s="3">
        <f t="shared" si="25"/>
        <v>6.7167377921204557E-2</v>
      </c>
      <c r="J23" s="3">
        <f t="shared" si="25"/>
        <v>6.6149774909306569E-2</v>
      </c>
      <c r="K23" s="3">
        <f t="shared" si="25"/>
        <v>5.6784281056171899E-2</v>
      </c>
      <c r="L23" s="3">
        <f t="shared" si="25"/>
        <v>1.2337459496600462E-2</v>
      </c>
      <c r="M23" s="3">
        <f t="shared" si="25"/>
        <v>2.8920235378779659E-9</v>
      </c>
      <c r="N23" s="3">
        <f t="shared" si="25"/>
        <v>1.4486472868784808E-75</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3.6028290907915789E-2</v>
      </c>
      <c r="C24" s="18">
        <f t="shared" si="3"/>
        <v>8.4823708436980116E-2</v>
      </c>
      <c r="D24" s="17"/>
      <c r="F24" s="3">
        <f t="shared" si="25"/>
        <v>8.482369545765571E-2</v>
      </c>
      <c r="G24" s="3">
        <f t="shared" si="25"/>
        <v>8.4823578643825351E-2</v>
      </c>
      <c r="H24" s="3">
        <f t="shared" si="25"/>
        <v>8.4822410514369548E-2</v>
      </c>
      <c r="I24" s="3">
        <f t="shared" si="25"/>
        <v>8.4810730104540211E-2</v>
      </c>
      <c r="J24" s="3">
        <f t="shared" si="25"/>
        <v>8.4694014434051126E-2</v>
      </c>
      <c r="K24" s="3">
        <f t="shared" si="25"/>
        <v>8.3535655617494611E-2</v>
      </c>
      <c r="L24" s="3">
        <f t="shared" si="25"/>
        <v>7.2788631466365064E-2</v>
      </c>
      <c r="M24" s="3">
        <f t="shared" si="25"/>
        <v>1.8364547857838649E-2</v>
      </c>
      <c r="N24" s="3">
        <f t="shared" si="25"/>
        <v>1.9193187354429788E-8</v>
      </c>
      <c r="O24" s="3">
        <f t="shared" si="25"/>
        <v>2.9841161732183466E-68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4.4043677975712119E-2</v>
      </c>
      <c r="C25" s="18">
        <f t="shared" si="3"/>
        <v>0.10369484660409525</v>
      </c>
      <c r="D25" s="17"/>
      <c r="F25" s="3">
        <f t="shared" si="25"/>
        <v>0.10369484517276903</v>
      </c>
      <c r="G25" s="3">
        <f t="shared" si="25"/>
        <v>0.10369483229083395</v>
      </c>
      <c r="H25" s="3">
        <f t="shared" si="25"/>
        <v>0.10369470347157118</v>
      </c>
      <c r="I25" s="3">
        <f t="shared" si="25"/>
        <v>0.10369341528774512</v>
      </c>
      <c r="J25" s="3">
        <f t="shared" si="25"/>
        <v>0.10368053432961213</v>
      </c>
      <c r="K25" s="3">
        <f t="shared" si="25"/>
        <v>0.10355181272059535</v>
      </c>
      <c r="L25" s="3">
        <f t="shared" si="25"/>
        <v>0.10227335355944159</v>
      </c>
      <c r="M25" s="3">
        <f t="shared" si="25"/>
        <v>9.0325506653841967E-2</v>
      </c>
      <c r="N25" s="3">
        <f t="shared" si="25"/>
        <v>2.6078913961421223E-2</v>
      </c>
      <c r="O25" s="3">
        <f t="shared" si="25"/>
        <v>1.0497368767213392E-7</v>
      </c>
      <c r="P25" s="3">
        <f t="shared" si="25"/>
        <v>1.1721683177539018E-61</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5.6513409976053634E-2</v>
      </c>
      <c r="C26" s="18">
        <f t="shared" si="3"/>
        <v>0.13305313379533851</v>
      </c>
      <c r="D26" s="17"/>
      <c r="F26" s="3">
        <f t="shared" si="25"/>
        <v>0.13305313362966495</v>
      </c>
      <c r="G26" s="3">
        <f t="shared" si="25"/>
        <v>0.13305313213860309</v>
      </c>
      <c r="H26" s="3">
        <f t="shared" si="25"/>
        <v>0.13305311722798543</v>
      </c>
      <c r="I26" s="3">
        <f t="shared" si="25"/>
        <v>0.13305296812190051</v>
      </c>
      <c r="J26" s="3">
        <f t="shared" si="25"/>
        <v>0.13305147707024173</v>
      </c>
      <c r="K26" s="3">
        <f t="shared" si="25"/>
        <v>0.13303656747263981</v>
      </c>
      <c r="L26" s="3">
        <f t="shared" si="25"/>
        <v>0.13288756335712848</v>
      </c>
      <c r="M26" s="3">
        <f t="shared" si="25"/>
        <v>0.13140667027758171</v>
      </c>
      <c r="N26" s="3">
        <f t="shared" si="25"/>
        <v>0.11747572577970536</v>
      </c>
      <c r="O26" s="3">
        <f t="shared" si="25"/>
        <v>3.8304993848084883E-2</v>
      </c>
      <c r="P26" s="3">
        <f t="shared" si="25"/>
        <v>5.2038886825095001E-7</v>
      </c>
      <c r="Q26" s="3">
        <f t="shared" si="25"/>
        <v>1.1144331128193681E-55</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4.4038137420944673E-2</v>
      </c>
      <c r="C27" s="18">
        <f t="shared" si="3"/>
        <v>0.10368180212181953</v>
      </c>
      <c r="D27" s="17"/>
      <c r="F27" s="3">
        <f t="shared" si="25"/>
        <v>0.10368180211017353</v>
      </c>
      <c r="G27" s="3">
        <f t="shared" si="25"/>
        <v>0.10368180200535942</v>
      </c>
      <c r="H27" s="3">
        <f t="shared" si="25"/>
        <v>0.10368180095721849</v>
      </c>
      <c r="I27" s="3">
        <f t="shared" si="25"/>
        <v>0.10368179047580975</v>
      </c>
      <c r="J27" s="3">
        <f t="shared" si="25"/>
        <v>0.1036816856617805</v>
      </c>
      <c r="K27" s="3">
        <f t="shared" si="25"/>
        <v>0.10368063752731588</v>
      </c>
      <c r="L27" s="3">
        <f t="shared" si="25"/>
        <v>0.10367015676541849</v>
      </c>
      <c r="M27" s="3">
        <f t="shared" si="25"/>
        <v>0.10356540739954465</v>
      </c>
      <c r="N27" s="3">
        <f t="shared" si="25"/>
        <v>0.10252371732057601</v>
      </c>
      <c r="O27" s="3">
        <f t="shared" si="25"/>
        <v>9.2666041333035437E-2</v>
      </c>
      <c r="P27" s="3">
        <f t="shared" si="25"/>
        <v>3.3719666462141279E-2</v>
      </c>
      <c r="Q27" s="3">
        <f t="shared" si="25"/>
        <v>1.3724921427486546E-6</v>
      </c>
      <c r="R27" s="3">
        <f t="shared" si="25"/>
        <v>1.7130728578608771E-50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2.7403117890818136E-2</v>
      </c>
      <c r="C28" s="18">
        <f t="shared" si="3"/>
        <v>6.4516912228113732E-2</v>
      </c>
      <c r="D28" s="17"/>
      <c r="F28" s="3">
        <f t="shared" si="25"/>
        <v>6.4516912227460005E-2</v>
      </c>
      <c r="G28" s="3">
        <f t="shared" si="25"/>
        <v>6.4516912221576489E-2</v>
      </c>
      <c r="H28" s="3">
        <f t="shared" si="25"/>
        <v>6.4516912162741274E-2</v>
      </c>
      <c r="I28" s="3">
        <f t="shared" si="25"/>
        <v>6.4516911574389171E-2</v>
      </c>
      <c r="J28" s="3">
        <f t="shared" si="25"/>
        <v>6.4516905690868445E-2</v>
      </c>
      <c r="K28" s="3">
        <f t="shared" si="25"/>
        <v>6.4516846855690632E-2</v>
      </c>
      <c r="L28" s="3">
        <f t="shared" si="25"/>
        <v>6.4516258506863502E-2</v>
      </c>
      <c r="M28" s="3">
        <f t="shared" si="25"/>
        <v>6.4510375313677468E-2</v>
      </c>
      <c r="N28" s="3">
        <f t="shared" si="25"/>
        <v>6.4451572880384944E-2</v>
      </c>
      <c r="O28" s="3">
        <f t="shared" si="25"/>
        <v>6.3866488475193425E-2</v>
      </c>
      <c r="P28" s="3">
        <f t="shared" si="25"/>
        <v>5.8299954763658228E-2</v>
      </c>
      <c r="Q28" s="3">
        <f t="shared" si="25"/>
        <v>2.3421786205781329E-2</v>
      </c>
      <c r="R28" s="3">
        <f t="shared" si="25"/>
        <v>2.5652988046047114E-6</v>
      </c>
      <c r="S28" s="3">
        <f t="shared" si="25"/>
        <v>6.3726111985180164E-46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1.5967004649656797E-2</v>
      </c>
      <c r="C29" s="18">
        <f t="shared" si="3"/>
        <v>3.7592139756949243E-2</v>
      </c>
      <c r="D29" s="17"/>
      <c r="F29" s="3">
        <f t="shared" si="25"/>
        <v>3.7592139756914882E-2</v>
      </c>
      <c r="G29" s="3">
        <f t="shared" si="25"/>
        <v>3.7592139756605636E-2</v>
      </c>
      <c r="H29" s="3">
        <f t="shared" si="25"/>
        <v>3.7592139753513151E-2</v>
      </c>
      <c r="I29" s="3">
        <f t="shared" si="25"/>
        <v>3.7592139722588319E-2</v>
      </c>
      <c r="J29" s="3">
        <f t="shared" si="25"/>
        <v>3.7592139413339977E-2</v>
      </c>
      <c r="K29" s="3">
        <f t="shared" si="25"/>
        <v>3.7592136320856742E-2</v>
      </c>
      <c r="L29" s="3">
        <f t="shared" si="25"/>
        <v>3.7592105396038376E-2</v>
      </c>
      <c r="M29" s="3">
        <f t="shared" si="25"/>
        <v>3.7591796149253863E-2</v>
      </c>
      <c r="N29" s="3">
        <f t="shared" si="25"/>
        <v>3.7588703821324239E-2</v>
      </c>
      <c r="O29" s="3">
        <f t="shared" si="25"/>
        <v>3.7557794529316284E-2</v>
      </c>
      <c r="P29" s="3">
        <f t="shared" si="25"/>
        <v>3.7250096090008955E-2</v>
      </c>
      <c r="Q29" s="3">
        <f t="shared" si="25"/>
        <v>3.4308407078741589E-2</v>
      </c>
      <c r="R29" s="3">
        <f t="shared" si="25"/>
        <v>1.5070654902043313E-2</v>
      </c>
      <c r="S29" s="3">
        <f t="shared" si="25"/>
        <v>4.0313251915451287E-6</v>
      </c>
      <c r="T29" s="3">
        <f t="shared" si="25"/>
        <v>7.5614468697400671E-42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3.2295908779208138E-3</v>
      </c>
      <c r="C30" s="18">
        <f t="shared" si="3"/>
        <v>7.6036322594280207E-3</v>
      </c>
      <c r="D30" s="17"/>
      <c r="F30" s="3">
        <f t="shared" si="25"/>
        <v>7.6036322594273936E-3</v>
      </c>
      <c r="G30" s="3">
        <f t="shared" si="25"/>
        <v>7.6036322594217514E-3</v>
      </c>
      <c r="H30" s="3">
        <f t="shared" si="25"/>
        <v>7.603632259365326E-3</v>
      </c>
      <c r="I30" s="3">
        <f t="shared" si="25"/>
        <v>7.6036322588010673E-3</v>
      </c>
      <c r="J30" s="3">
        <f t="shared" si="25"/>
        <v>7.6036322531584828E-3</v>
      </c>
      <c r="K30" s="3">
        <f t="shared" si="25"/>
        <v>7.603632196732644E-3</v>
      </c>
      <c r="L30" s="3">
        <f t="shared" si="25"/>
        <v>7.6036316324742809E-3</v>
      </c>
      <c r="M30" s="3">
        <f t="shared" si="25"/>
        <v>7.6036259898929464E-3</v>
      </c>
      <c r="N30" s="3">
        <f t="shared" si="25"/>
        <v>7.6035695643099071E-3</v>
      </c>
      <c r="O30" s="3">
        <f t="shared" si="25"/>
        <v>7.6030053315090107E-3</v>
      </c>
      <c r="P30" s="3">
        <f t="shared" si="25"/>
        <v>7.5973653058171858E-3</v>
      </c>
      <c r="Q30" s="3">
        <f t="shared" si="25"/>
        <v>7.5411946497104887E-3</v>
      </c>
      <c r="R30" s="3">
        <f t="shared" si="25"/>
        <v>7.0018300655350814E-3</v>
      </c>
      <c r="S30" s="3">
        <f t="shared" si="25"/>
        <v>3.3336939059628911E-3</v>
      </c>
      <c r="T30" s="3">
        <f t="shared" si="25"/>
        <v>1.995571396649701E-6</v>
      </c>
      <c r="U30" s="3">
        <f t="shared" si="25"/>
        <v>1.1789157309428529E-38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1.9793859684497459E-3</v>
      </c>
      <c r="C31" s="18">
        <f t="shared" si="3"/>
        <v>4.6601949201853935E-3</v>
      </c>
      <c r="D31" s="17"/>
      <c r="F31" s="3">
        <f t="shared" si="25"/>
        <v>4.6601949201853588E-3</v>
      </c>
      <c r="G31" s="3">
        <f t="shared" si="25"/>
        <v>4.6601949201850465E-3</v>
      </c>
      <c r="H31" s="3">
        <f t="shared" si="25"/>
        <v>4.6601949201819266E-3</v>
      </c>
      <c r="I31" s="3">
        <f t="shared" si="25"/>
        <v>4.6601949201507311E-3</v>
      </c>
      <c r="J31" s="3">
        <f t="shared" si="25"/>
        <v>4.6601949198387645E-3</v>
      </c>
      <c r="K31" s="3">
        <f t="shared" si="25"/>
        <v>4.660194916719102E-3</v>
      </c>
      <c r="L31" s="3">
        <f t="shared" si="25"/>
        <v>4.6601948855224786E-3</v>
      </c>
      <c r="M31" s="3">
        <f t="shared" si="25"/>
        <v>4.6601945735562549E-3</v>
      </c>
      <c r="N31" s="3">
        <f t="shared" si="25"/>
        <v>4.660191453895169E-3</v>
      </c>
      <c r="O31" s="3">
        <f t="shared" si="25"/>
        <v>4.6601602573991714E-3</v>
      </c>
      <c r="P31" s="3">
        <f t="shared" si="25"/>
        <v>4.6598483039250113E-3</v>
      </c>
      <c r="Q31" s="3">
        <f t="shared" si="25"/>
        <v>4.6567299174805335E-3</v>
      </c>
      <c r="R31" s="3">
        <f t="shared" si="25"/>
        <v>4.625660598837439E-3</v>
      </c>
      <c r="S31" s="3">
        <f t="shared" si="25"/>
        <v>4.3261432849852361E-3</v>
      </c>
      <c r="T31" s="3">
        <f t="shared" si="25"/>
        <v>2.2149924775385259E-3</v>
      </c>
      <c r="U31" s="3">
        <f t="shared" si="25"/>
        <v>2.7421159634016215E-6</v>
      </c>
      <c r="V31" s="3">
        <f t="shared" si="26"/>
        <v>2.318576507901621E-35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6.5781164850256643E-4</v>
      </c>
      <c r="C32" s="18">
        <f t="shared" si="3"/>
        <v>1.548728015482176E-3</v>
      </c>
      <c r="D32" s="17"/>
      <c r="F32" s="3">
        <f t="shared" si="25"/>
        <v>1.5487280154821749E-3</v>
      </c>
      <c r="G32" s="3">
        <f t="shared" si="25"/>
        <v>1.5487280154821655E-3</v>
      </c>
      <c r="H32" s="3">
        <f t="shared" si="25"/>
        <v>1.5487280154820721E-3</v>
      </c>
      <c r="I32" s="3">
        <f t="shared" si="25"/>
        <v>1.5487280154811366E-3</v>
      </c>
      <c r="J32" s="3">
        <f t="shared" si="25"/>
        <v>1.5487280154717843E-3</v>
      </c>
      <c r="K32" s="3">
        <f t="shared" si="25"/>
        <v>1.5487280153782599E-3</v>
      </c>
      <c r="L32" s="3">
        <f t="shared" si="25"/>
        <v>1.5487280144430152E-3</v>
      </c>
      <c r="M32" s="3">
        <f t="shared" si="25"/>
        <v>1.5487280050905682E-3</v>
      </c>
      <c r="N32" s="3">
        <f t="shared" si="25"/>
        <v>1.5487279115661014E-3</v>
      </c>
      <c r="O32" s="3">
        <f t="shared" si="25"/>
        <v>1.5487269763217446E-3</v>
      </c>
      <c r="P32" s="3">
        <f t="shared" si="25"/>
        <v>1.5487176239092396E-3</v>
      </c>
      <c r="Q32" s="3">
        <f t="shared" si="25"/>
        <v>1.5486241028903739E-3</v>
      </c>
      <c r="R32" s="3">
        <f t="shared" si="25"/>
        <v>1.5476892032507889E-3</v>
      </c>
      <c r="S32" s="3">
        <f t="shared" si="25"/>
        <v>1.5383711924863567E-3</v>
      </c>
      <c r="T32" s="3">
        <f t="shared" si="25"/>
        <v>1.4482215192426226E-3</v>
      </c>
      <c r="U32" s="3">
        <f t="shared" si="25"/>
        <v>7.91723568293763E-4</v>
      </c>
      <c r="V32" s="3">
        <f t="shared" si="26"/>
        <v>1.8878146100182011E-6</v>
      </c>
      <c r="W32" s="3">
        <f t="shared" si="26"/>
        <v>1.1215458623337665E-32</v>
      </c>
      <c r="X32" s="3">
        <f t="shared" si="26"/>
        <v>6.1431905157413488E-295</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7.6375519606480368E-4</v>
      </c>
      <c r="C33" s="18">
        <f t="shared" si="3"/>
        <v>1.7981576820785483E-3</v>
      </c>
      <c r="D33" s="17"/>
      <c r="F33" s="3">
        <f t="shared" si="25"/>
        <v>1.798157682078548E-3</v>
      </c>
      <c r="G33" s="3">
        <f t="shared" si="25"/>
        <v>1.7981576820785472E-3</v>
      </c>
      <c r="H33" s="3">
        <f t="shared" si="25"/>
        <v>1.7981576820785372E-3</v>
      </c>
      <c r="I33" s="3">
        <f t="shared" si="25"/>
        <v>1.7981576820784394E-3</v>
      </c>
      <c r="J33" s="3">
        <f t="shared" si="25"/>
        <v>1.7981576820774599E-3</v>
      </c>
      <c r="K33" s="3">
        <f t="shared" si="25"/>
        <v>1.7981576820676644E-3</v>
      </c>
      <c r="L33" s="3">
        <f t="shared" si="25"/>
        <v>1.79815768196971E-3</v>
      </c>
      <c r="M33" s="3">
        <f t="shared" si="25"/>
        <v>1.7981576809901647E-3</v>
      </c>
      <c r="N33" s="3">
        <f t="shared" si="25"/>
        <v>1.798157671194713E-3</v>
      </c>
      <c r="O33" s="3">
        <f t="shared" si="25"/>
        <v>1.7981575732401998E-3</v>
      </c>
      <c r="P33" s="3">
        <f t="shared" si="25"/>
        <v>1.7981565936953598E-3</v>
      </c>
      <c r="Q33" s="3">
        <f t="shared" si="25"/>
        <v>1.7981467982763084E-3</v>
      </c>
      <c r="R33" s="3">
        <f t="shared" si="25"/>
        <v>1.7980488470205648E-3</v>
      </c>
      <c r="S33" s="3">
        <f t="shared" si="25"/>
        <v>1.7970696278810196E-3</v>
      </c>
      <c r="T33" s="3">
        <f t="shared" si="25"/>
        <v>1.7873067192202281E-3</v>
      </c>
      <c r="U33" s="3">
        <f t="shared" ref="P33:AE48" si="27">$C33*EXP(-U$15/$A33)</f>
        <v>1.6925477347595431E-3</v>
      </c>
      <c r="V33" s="3">
        <f t="shared" si="27"/>
        <v>9.8165595222459595E-4</v>
      </c>
      <c r="W33" s="3">
        <f t="shared" si="27"/>
        <v>4.2280789463628798E-6</v>
      </c>
      <c r="X33" s="3">
        <f t="shared" si="27"/>
        <v>9.2892558267240484E-30</v>
      </c>
      <c r="Y33" s="3">
        <f t="shared" si="27"/>
        <v>2.4342169417977684E-266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1.8348376962709519E-3</v>
      </c>
      <c r="C34" s="18">
        <f t="shared" si="3"/>
        <v>4.3198756825701184E-3</v>
      </c>
      <c r="D34" s="17"/>
      <c r="F34" s="3">
        <f t="shared" ref="F34:O48" si="28">$C34*EXP(-F$15/$A34)</f>
        <v>4.3198756825701184E-3</v>
      </c>
      <c r="G34" s="3">
        <f t="shared" si="28"/>
        <v>4.3198756825701184E-3</v>
      </c>
      <c r="H34" s="3">
        <f t="shared" si="28"/>
        <v>4.3198756825701158E-3</v>
      </c>
      <c r="I34" s="3">
        <f t="shared" si="28"/>
        <v>4.319875682570095E-3</v>
      </c>
      <c r="J34" s="3">
        <f t="shared" si="28"/>
        <v>4.3198756825698825E-3</v>
      </c>
      <c r="K34" s="3">
        <f t="shared" si="28"/>
        <v>4.3198756825677601E-3</v>
      </c>
      <c r="L34" s="3">
        <f t="shared" si="28"/>
        <v>4.3198756825465314E-3</v>
      </c>
      <c r="M34" s="3">
        <f t="shared" si="28"/>
        <v>4.3198756823342489E-3</v>
      </c>
      <c r="N34" s="3">
        <f t="shared" si="28"/>
        <v>4.3198756802114218E-3</v>
      </c>
      <c r="O34" s="3">
        <f t="shared" si="28"/>
        <v>4.3198756589831553E-3</v>
      </c>
      <c r="P34" s="3">
        <f t="shared" si="27"/>
        <v>4.319875446700496E-3</v>
      </c>
      <c r="Q34" s="3">
        <f t="shared" si="27"/>
        <v>4.3198733238744751E-3</v>
      </c>
      <c r="R34" s="3">
        <f t="shared" si="27"/>
        <v>4.3198520956716424E-3</v>
      </c>
      <c r="S34" s="3">
        <f t="shared" si="27"/>
        <v>4.3196398193806685E-3</v>
      </c>
      <c r="T34" s="3">
        <f t="shared" si="27"/>
        <v>4.3175176301021379E-3</v>
      </c>
      <c r="U34" s="3">
        <f t="shared" si="27"/>
        <v>4.2963529962762722E-3</v>
      </c>
      <c r="V34" s="3">
        <f t="shared" si="27"/>
        <v>4.0903297992156192E-3</v>
      </c>
      <c r="W34" s="3">
        <f t="shared" si="27"/>
        <v>2.5023152446169493E-3</v>
      </c>
      <c r="X34" s="3">
        <f t="shared" si="27"/>
        <v>1.8372953571149187E-5</v>
      </c>
      <c r="Y34" s="3">
        <f t="shared" si="27"/>
        <v>8.3665909388527911E-27</v>
      </c>
      <c r="Z34" s="3">
        <f t="shared" si="27"/>
        <v>3.2080720911045513E-240</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1.4781127165862155E-3</v>
      </c>
      <c r="C35" s="18">
        <f t="shared" si="3"/>
        <v>3.4800152588185828E-3</v>
      </c>
      <c r="D35" s="17"/>
      <c r="F35" s="3">
        <f t="shared" si="28"/>
        <v>3.4800152588185828E-3</v>
      </c>
      <c r="G35" s="3">
        <f t="shared" si="28"/>
        <v>3.4800152588185828E-3</v>
      </c>
      <c r="H35" s="3">
        <f t="shared" si="28"/>
        <v>3.4800152588185828E-3</v>
      </c>
      <c r="I35" s="3">
        <f t="shared" si="28"/>
        <v>3.4800152588185811E-3</v>
      </c>
      <c r="J35" s="3">
        <f t="shared" si="28"/>
        <v>3.4800152588185659E-3</v>
      </c>
      <c r="K35" s="3">
        <f t="shared" si="28"/>
        <v>3.4800152588184111E-3</v>
      </c>
      <c r="L35" s="3">
        <f t="shared" si="28"/>
        <v>3.4800152588168689E-3</v>
      </c>
      <c r="M35" s="3">
        <f t="shared" si="28"/>
        <v>3.480015258801442E-3</v>
      </c>
      <c r="N35" s="3">
        <f t="shared" si="28"/>
        <v>3.4800152586471757E-3</v>
      </c>
      <c r="O35" s="3">
        <f t="shared" si="28"/>
        <v>3.480015257104513E-3</v>
      </c>
      <c r="P35" s="3">
        <f t="shared" si="27"/>
        <v>3.4800152416778842E-3</v>
      </c>
      <c r="Q35" s="3">
        <f t="shared" si="27"/>
        <v>3.4800150874116026E-3</v>
      </c>
      <c r="R35" s="3">
        <f t="shared" si="27"/>
        <v>3.4800135447491634E-3</v>
      </c>
      <c r="S35" s="3">
        <f t="shared" si="27"/>
        <v>3.4799981181623833E-3</v>
      </c>
      <c r="T35" s="3">
        <f t="shared" si="27"/>
        <v>3.4798438560556871E-3</v>
      </c>
      <c r="U35" s="3">
        <f t="shared" si="27"/>
        <v>3.4783016110377274E-3</v>
      </c>
      <c r="V35" s="3">
        <f t="shared" si="27"/>
        <v>3.462916704152828E-3</v>
      </c>
      <c r="W35" s="3">
        <f t="shared" si="27"/>
        <v>3.3127611103353355E-3</v>
      </c>
      <c r="X35" s="3">
        <f t="shared" si="27"/>
        <v>2.1265267887722776E-3</v>
      </c>
      <c r="Y35" s="3">
        <f t="shared" si="27"/>
        <v>2.5262611711229101E-5</v>
      </c>
      <c r="Z35" s="3">
        <f t="shared" si="27"/>
        <v>1.4143345021786337E-24</v>
      </c>
      <c r="AA35" s="3">
        <f t="shared" si="27"/>
        <v>4.2784949704090708E-217</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8.6510336488871515E-4</v>
      </c>
      <c r="C36" s="18">
        <f t="shared" si="3"/>
        <v>2.0367681547460849E-3</v>
      </c>
      <c r="D36" s="17"/>
      <c r="F36" s="3">
        <f t="shared" si="28"/>
        <v>2.0367681547460849E-3</v>
      </c>
      <c r="G36" s="3">
        <f t="shared" si="28"/>
        <v>2.0367681547460849E-3</v>
      </c>
      <c r="H36" s="3">
        <f t="shared" si="28"/>
        <v>2.0367681547460849E-3</v>
      </c>
      <c r="I36" s="3">
        <f t="shared" si="28"/>
        <v>2.0367681547460849E-3</v>
      </c>
      <c r="J36" s="3">
        <f t="shared" si="28"/>
        <v>2.036768154746084E-3</v>
      </c>
      <c r="K36" s="3">
        <f t="shared" si="28"/>
        <v>2.0367681547460758E-3</v>
      </c>
      <c r="L36" s="3">
        <f t="shared" si="28"/>
        <v>2.0367681547459942E-3</v>
      </c>
      <c r="M36" s="3">
        <f t="shared" si="28"/>
        <v>2.0367681547451798E-3</v>
      </c>
      <c r="N36" s="3">
        <f t="shared" si="28"/>
        <v>2.0367681547370352E-3</v>
      </c>
      <c r="O36" s="3">
        <f t="shared" si="28"/>
        <v>2.0367681546555878E-3</v>
      </c>
      <c r="P36" s="3">
        <f t="shared" si="27"/>
        <v>2.0367681538411122E-3</v>
      </c>
      <c r="Q36" s="3">
        <f t="shared" si="27"/>
        <v>2.0367681456963565E-3</v>
      </c>
      <c r="R36" s="3">
        <f t="shared" si="27"/>
        <v>2.0367680642488016E-3</v>
      </c>
      <c r="S36" s="3">
        <f t="shared" si="27"/>
        <v>2.0367672497734312E-3</v>
      </c>
      <c r="T36" s="3">
        <f t="shared" si="27"/>
        <v>2.0367591050376422E-3</v>
      </c>
      <c r="U36" s="3">
        <f t="shared" si="27"/>
        <v>2.0366776594710578E-3</v>
      </c>
      <c r="V36" s="3">
        <f t="shared" si="27"/>
        <v>2.0358633829094396E-3</v>
      </c>
      <c r="W36" s="3">
        <f t="shared" si="27"/>
        <v>2.0277385012438423E-3</v>
      </c>
      <c r="X36" s="3">
        <f t="shared" si="27"/>
        <v>1.9482518995762104E-3</v>
      </c>
      <c r="Y36" s="3">
        <f t="shared" si="27"/>
        <v>1.3061008701015727E-3</v>
      </c>
      <c r="Z36" s="3">
        <f t="shared" si="27"/>
        <v>2.3949299931923652E-5</v>
      </c>
      <c r="AA36" s="3">
        <f t="shared" si="27"/>
        <v>1.0290912009352948E-22</v>
      </c>
      <c r="AB36" s="3">
        <f t="shared" si="27"/>
        <v>2.2083315836600563E-196</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5.4290023330324979E-4</v>
      </c>
      <c r="C37" s="18">
        <f t="shared" si="3"/>
        <v>1.2781847248259422E-3</v>
      </c>
      <c r="D37" s="17"/>
      <c r="F37" s="3">
        <f t="shared" si="28"/>
        <v>1.2781847248259422E-3</v>
      </c>
      <c r="G37" s="3">
        <f t="shared" si="28"/>
        <v>1.2781847248259422E-3</v>
      </c>
      <c r="H37" s="3">
        <f t="shared" si="28"/>
        <v>1.2781847248259422E-3</v>
      </c>
      <c r="I37" s="3">
        <f t="shared" si="28"/>
        <v>1.2781847248259422E-3</v>
      </c>
      <c r="J37" s="3">
        <f t="shared" si="28"/>
        <v>1.2781847248259422E-3</v>
      </c>
      <c r="K37" s="3">
        <f t="shared" si="28"/>
        <v>1.2781847248259416E-3</v>
      </c>
      <c r="L37" s="3">
        <f t="shared" si="28"/>
        <v>1.278184724825937E-3</v>
      </c>
      <c r="M37" s="3">
        <f t="shared" si="28"/>
        <v>1.2781847248258911E-3</v>
      </c>
      <c r="N37" s="3">
        <f t="shared" si="28"/>
        <v>1.2781847248254301E-3</v>
      </c>
      <c r="O37" s="3">
        <f t="shared" si="28"/>
        <v>1.2781847248208192E-3</v>
      </c>
      <c r="P37" s="3">
        <f t="shared" si="27"/>
        <v>1.2781847247747111E-3</v>
      </c>
      <c r="Q37" s="3">
        <f t="shared" si="27"/>
        <v>1.2781847243136307E-3</v>
      </c>
      <c r="R37" s="3">
        <f t="shared" si="27"/>
        <v>1.2781847197028265E-3</v>
      </c>
      <c r="S37" s="3">
        <f t="shared" si="27"/>
        <v>1.2781846735947856E-3</v>
      </c>
      <c r="T37" s="3">
        <f t="shared" si="27"/>
        <v>1.2781842125144673E-3</v>
      </c>
      <c r="U37" s="3">
        <f t="shared" si="27"/>
        <v>1.2781796017204341E-3</v>
      </c>
      <c r="V37" s="3">
        <f t="shared" si="27"/>
        <v>1.2781334946948793E-3</v>
      </c>
      <c r="W37" s="3">
        <f t="shared" si="27"/>
        <v>1.2776725159049805E-3</v>
      </c>
      <c r="X37" s="3">
        <f t="shared" si="27"/>
        <v>1.2730718623747445E-3</v>
      </c>
      <c r="Y37" s="3">
        <f t="shared" si="27"/>
        <v>1.227966689017773E-3</v>
      </c>
      <c r="Z37" s="3">
        <f t="shared" si="27"/>
        <v>8.560975430706284E-4</v>
      </c>
      <c r="AA37" s="3">
        <f t="shared" si="27"/>
        <v>2.3221480150202668E-5</v>
      </c>
      <c r="AB37" s="3">
        <f t="shared" si="27"/>
        <v>5.0067554175903083E-21</v>
      </c>
      <c r="AC37" s="3">
        <f t="shared" si="27"/>
        <v>1.0869790057221474E-177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1.463009863253553E-4</v>
      </c>
      <c r="C38" s="18">
        <f t="shared" si="3"/>
        <v>3.444457645749161E-4</v>
      </c>
      <c r="D38" s="17"/>
      <c r="F38" s="3">
        <f t="shared" si="28"/>
        <v>3.444457645749161E-4</v>
      </c>
      <c r="G38" s="3">
        <f t="shared" si="28"/>
        <v>3.444457645749161E-4</v>
      </c>
      <c r="H38" s="3">
        <f t="shared" si="28"/>
        <v>3.444457645749161E-4</v>
      </c>
      <c r="I38" s="3">
        <f t="shared" si="28"/>
        <v>3.444457645749161E-4</v>
      </c>
      <c r="J38" s="3">
        <f t="shared" si="28"/>
        <v>3.444457645749161E-4</v>
      </c>
      <c r="K38" s="3">
        <f t="shared" si="28"/>
        <v>3.444457645749161E-4</v>
      </c>
      <c r="L38" s="3">
        <f t="shared" si="28"/>
        <v>3.4444576457491599E-4</v>
      </c>
      <c r="M38" s="3">
        <f t="shared" si="28"/>
        <v>3.4444576457491485E-4</v>
      </c>
      <c r="N38" s="3">
        <f t="shared" si="28"/>
        <v>3.4444576457490363E-4</v>
      </c>
      <c r="O38" s="3">
        <f t="shared" si="28"/>
        <v>3.4444576457479153E-4</v>
      </c>
      <c r="P38" s="3">
        <f t="shared" si="27"/>
        <v>3.4444576457367068E-4</v>
      </c>
      <c r="Q38" s="3">
        <f t="shared" si="27"/>
        <v>3.4444576456246214E-4</v>
      </c>
      <c r="R38" s="3">
        <f t="shared" si="27"/>
        <v>3.4444576445037635E-4</v>
      </c>
      <c r="S38" s="3">
        <f t="shared" si="27"/>
        <v>3.444457633295186E-4</v>
      </c>
      <c r="T38" s="3">
        <f t="shared" si="27"/>
        <v>3.444457521209414E-4</v>
      </c>
      <c r="U38" s="3">
        <f t="shared" si="27"/>
        <v>3.4444564003518932E-4</v>
      </c>
      <c r="V38" s="3">
        <f t="shared" si="27"/>
        <v>3.4444451917967469E-4</v>
      </c>
      <c r="W38" s="3">
        <f t="shared" si="27"/>
        <v>3.4443331082513077E-4</v>
      </c>
      <c r="X38" s="3">
        <f t="shared" si="27"/>
        <v>3.4432124733755845E-4</v>
      </c>
      <c r="Y38" s="3">
        <f t="shared" si="27"/>
        <v>3.4320261583558757E-4</v>
      </c>
      <c r="Z38" s="3">
        <f t="shared" si="27"/>
        <v>3.3221424695341155E-4</v>
      </c>
      <c r="AA38" s="3">
        <f t="shared" si="27"/>
        <v>2.3993571119712337E-4</v>
      </c>
      <c r="AB38" s="3">
        <f t="shared" si="27"/>
        <v>9.2653382048758517E-6</v>
      </c>
      <c r="AC38" s="3">
        <f t="shared" si="27"/>
        <v>6.8316424169220693E-20</v>
      </c>
      <c r="AD38" s="3">
        <f t="shared" si="27"/>
        <v>3.2446183766486411E-161</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2.5915422886228849E-4</v>
      </c>
      <c r="C39" s="18">
        <f t="shared" si="3"/>
        <v>6.1014336776090067E-4</v>
      </c>
      <c r="D39" s="17"/>
      <c r="F39" s="3">
        <f t="shared" si="28"/>
        <v>6.1014336776090067E-4</v>
      </c>
      <c r="G39" s="3">
        <f t="shared" si="28"/>
        <v>6.1014336776090067E-4</v>
      </c>
      <c r="H39" s="3">
        <f t="shared" si="28"/>
        <v>6.1014336776090067E-4</v>
      </c>
      <c r="I39" s="3">
        <f t="shared" si="28"/>
        <v>6.1014336776090067E-4</v>
      </c>
      <c r="J39" s="3">
        <f t="shared" si="28"/>
        <v>6.1014336776090067E-4</v>
      </c>
      <c r="K39" s="3">
        <f t="shared" si="28"/>
        <v>6.1014336776090067E-4</v>
      </c>
      <c r="L39" s="3">
        <f t="shared" si="28"/>
        <v>6.1014336776090057E-4</v>
      </c>
      <c r="M39" s="3">
        <f t="shared" si="28"/>
        <v>6.1014336776090002E-4</v>
      </c>
      <c r="N39" s="3">
        <f t="shared" si="28"/>
        <v>6.101433677608946E-4</v>
      </c>
      <c r="O39" s="3">
        <f t="shared" si="28"/>
        <v>6.1014336776083963E-4</v>
      </c>
      <c r="P39" s="3">
        <f t="shared" si="27"/>
        <v>6.1014336776029059E-4</v>
      </c>
      <c r="Q39" s="3">
        <f t="shared" si="27"/>
        <v>6.1014336775479922E-4</v>
      </c>
      <c r="R39" s="3">
        <f t="shared" si="27"/>
        <v>6.1014336769988633E-4</v>
      </c>
      <c r="S39" s="3">
        <f t="shared" si="27"/>
        <v>6.1014336715075734E-4</v>
      </c>
      <c r="T39" s="3">
        <f t="shared" si="27"/>
        <v>6.1014336165946708E-4</v>
      </c>
      <c r="U39" s="3">
        <f t="shared" si="27"/>
        <v>6.1014330674656701E-4</v>
      </c>
      <c r="V39" s="3">
        <f t="shared" si="27"/>
        <v>6.1014275761783797E-4</v>
      </c>
      <c r="W39" s="3">
        <f t="shared" si="27"/>
        <v>6.1013726635773011E-4</v>
      </c>
      <c r="X39" s="3">
        <f t="shared" si="27"/>
        <v>6.1008235647473977E-4</v>
      </c>
      <c r="Y39" s="3">
        <f t="shared" si="27"/>
        <v>6.0953352936315855E-4</v>
      </c>
      <c r="Z39" s="3">
        <f t="shared" si="27"/>
        <v>6.0407233981483728E-4</v>
      </c>
      <c r="AA39" s="3">
        <f t="shared" si="27"/>
        <v>5.5208054951653822E-4</v>
      </c>
      <c r="AB39" s="3">
        <f t="shared" si="27"/>
        <v>2.2445920116634195E-4</v>
      </c>
      <c r="AC39" s="3">
        <f t="shared" si="27"/>
        <v>2.7700466041390857E-8</v>
      </c>
      <c r="AD39" s="3">
        <f t="shared" si="27"/>
        <v>2.2697796843357727E-47</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9.4509320410603905E-5</v>
      </c>
      <c r="C40" s="18">
        <f t="shared" si="3"/>
        <v>2.2250933466635417E-4</v>
      </c>
      <c r="D40" s="17"/>
      <c r="F40" s="3">
        <f t="shared" si="28"/>
        <v>2.2250933466635417E-4</v>
      </c>
      <c r="G40" s="3">
        <f t="shared" si="28"/>
        <v>2.2250933466635417E-4</v>
      </c>
      <c r="H40" s="3">
        <f t="shared" si="28"/>
        <v>2.2250933466635417E-4</v>
      </c>
      <c r="I40" s="3">
        <f t="shared" si="28"/>
        <v>2.2250933466635417E-4</v>
      </c>
      <c r="J40" s="3">
        <f t="shared" si="28"/>
        <v>2.2250933466635417E-4</v>
      </c>
      <c r="K40" s="3">
        <f t="shared" si="28"/>
        <v>2.2250933466635417E-4</v>
      </c>
      <c r="L40" s="3">
        <f t="shared" si="28"/>
        <v>2.2250933466635417E-4</v>
      </c>
      <c r="M40" s="3">
        <f t="shared" si="28"/>
        <v>2.2250933466635414E-4</v>
      </c>
      <c r="N40" s="3">
        <f t="shared" si="28"/>
        <v>2.2250933466635395E-4</v>
      </c>
      <c r="O40" s="3">
        <f t="shared" si="28"/>
        <v>2.2250933466635194E-4</v>
      </c>
      <c r="P40" s="3">
        <f t="shared" si="27"/>
        <v>2.2250933466633191E-4</v>
      </c>
      <c r="Q40" s="3">
        <f t="shared" si="27"/>
        <v>2.2250933466613166E-4</v>
      </c>
      <c r="R40" s="3">
        <f t="shared" si="27"/>
        <v>2.2250933466412908E-4</v>
      </c>
      <c r="S40" s="3">
        <f t="shared" si="27"/>
        <v>2.2250933464410322E-4</v>
      </c>
      <c r="T40" s="3">
        <f t="shared" si="27"/>
        <v>2.2250933444384484E-4</v>
      </c>
      <c r="U40" s="3">
        <f t="shared" si="27"/>
        <v>2.2250933244126082E-4</v>
      </c>
      <c r="V40" s="3">
        <f t="shared" si="27"/>
        <v>2.2250931241542181E-4</v>
      </c>
      <c r="W40" s="3">
        <f t="shared" si="27"/>
        <v>2.2250911215713074E-4</v>
      </c>
      <c r="X40" s="3">
        <f t="shared" si="27"/>
        <v>2.2250710958413294E-4</v>
      </c>
      <c r="Y40" s="3">
        <f t="shared" si="27"/>
        <v>2.2248708484539712E-4</v>
      </c>
      <c r="Z40" s="3">
        <f t="shared" si="27"/>
        <v>2.2228693654927954E-4</v>
      </c>
      <c r="AA40" s="3">
        <f t="shared" si="27"/>
        <v>2.2029532979406195E-4</v>
      </c>
      <c r="AB40" s="3">
        <f t="shared" si="27"/>
        <v>2.0133477186840313E-4</v>
      </c>
      <c r="AC40" s="3">
        <f t="shared" si="27"/>
        <v>8.1856609692487818E-5</v>
      </c>
      <c r="AD40" s="3">
        <f t="shared" si="27"/>
        <v>1.0101908165349716E-8</v>
      </c>
      <c r="AE40" s="3">
        <f t="shared" si="27"/>
        <v>8.2775163033268438E-48</v>
      </c>
      <c r="AF40" s="3">
        <f t="shared" si="29"/>
        <v>0</v>
      </c>
      <c r="AG40" s="3">
        <f t="shared" si="29"/>
        <v>0</v>
      </c>
      <c r="AH40" s="3">
        <f t="shared" si="29"/>
        <v>0</v>
      </c>
      <c r="AI40" s="3">
        <f t="shared" si="29"/>
        <v>0</v>
      </c>
      <c r="AJ40" s="3">
        <f t="shared" si="29"/>
        <v>0</v>
      </c>
    </row>
    <row r="41" spans="1:36" x14ac:dyDescent="0.25">
      <c r="A41" s="3">
        <f t="shared" si="30"/>
        <v>1000000000</v>
      </c>
      <c r="B41" s="106">
        <v>1.2961032452467265E-4</v>
      </c>
      <c r="C41" s="18">
        <f t="shared" si="3"/>
        <v>3.0514987252664002E-4</v>
      </c>
      <c r="D41" s="17"/>
      <c r="F41" s="3">
        <f t="shared" si="28"/>
        <v>3.0514987252664002E-4</v>
      </c>
      <c r="G41" s="3">
        <f t="shared" si="28"/>
        <v>3.0514987252664002E-4</v>
      </c>
      <c r="H41" s="3">
        <f t="shared" si="28"/>
        <v>3.0514987252664002E-4</v>
      </c>
      <c r="I41" s="3">
        <f t="shared" si="28"/>
        <v>3.0514987252664002E-4</v>
      </c>
      <c r="J41" s="3">
        <f t="shared" si="28"/>
        <v>3.0514987252664002E-4</v>
      </c>
      <c r="K41" s="3">
        <f t="shared" si="28"/>
        <v>3.0514987252664002E-4</v>
      </c>
      <c r="L41" s="3">
        <f t="shared" si="28"/>
        <v>3.0514987252664002E-4</v>
      </c>
      <c r="M41" s="3">
        <f t="shared" si="28"/>
        <v>3.0514987252664002E-4</v>
      </c>
      <c r="N41" s="3">
        <f t="shared" si="28"/>
        <v>3.0514987252663997E-4</v>
      </c>
      <c r="O41" s="3">
        <f t="shared" si="28"/>
        <v>3.051498725266397E-4</v>
      </c>
      <c r="P41" s="3">
        <f t="shared" si="27"/>
        <v>3.0514987252663699E-4</v>
      </c>
      <c r="Q41" s="3">
        <f t="shared" si="27"/>
        <v>3.051498725266095E-4</v>
      </c>
      <c r="R41" s="3">
        <f t="shared" si="27"/>
        <v>3.0514987252633488E-4</v>
      </c>
      <c r="S41" s="3">
        <f t="shared" si="27"/>
        <v>3.0514987252358854E-4</v>
      </c>
      <c r="T41" s="3">
        <f t="shared" si="27"/>
        <v>3.0514987249612505E-4</v>
      </c>
      <c r="U41" s="3">
        <f t="shared" si="27"/>
        <v>3.0514987222149019E-4</v>
      </c>
      <c r="V41" s="3">
        <f t="shared" si="27"/>
        <v>3.051498694751413E-4</v>
      </c>
      <c r="W41" s="3">
        <f t="shared" si="27"/>
        <v>3.051498420116543E-4</v>
      </c>
      <c r="X41" s="3">
        <f t="shared" si="27"/>
        <v>3.0514956737692008E-4</v>
      </c>
      <c r="Y41" s="3">
        <f t="shared" si="27"/>
        <v>3.0514682104317221E-4</v>
      </c>
      <c r="Z41" s="3">
        <f t="shared" si="27"/>
        <v>3.0511935906508584E-4</v>
      </c>
      <c r="AA41" s="3">
        <f t="shared" si="27"/>
        <v>3.0484487517820407E-4</v>
      </c>
      <c r="AB41" s="3">
        <f t="shared" si="27"/>
        <v>3.0211358056357981E-4</v>
      </c>
      <c r="AC41" s="3">
        <f t="shared" si="27"/>
        <v>2.7611102277100714E-4</v>
      </c>
      <c r="AD41" s="3">
        <f t="shared" si="27"/>
        <v>1.122583645786372E-4</v>
      </c>
      <c r="AE41" s="3">
        <f t="shared" si="27"/>
        <v>1.3853782779740664E-8</v>
      </c>
      <c r="AF41" s="3">
        <f t="shared" si="29"/>
        <v>1.1351807098721742E-47</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2.6404073952628479E-5</v>
      </c>
      <c r="C43" s="18">
        <f t="shared" si="3"/>
        <v>6.2164799219330605E-5</v>
      </c>
      <c r="D43" s="17"/>
      <c r="F43" s="3">
        <f t="shared" si="28"/>
        <v>6.2164799219330605E-5</v>
      </c>
      <c r="G43" s="3">
        <f t="shared" si="28"/>
        <v>6.2164799219330605E-5</v>
      </c>
      <c r="H43" s="3">
        <f t="shared" si="28"/>
        <v>6.2164799219330605E-5</v>
      </c>
      <c r="I43" s="3">
        <f t="shared" si="28"/>
        <v>6.2164799219330605E-5</v>
      </c>
      <c r="J43" s="3">
        <f t="shared" si="28"/>
        <v>6.2164799219330605E-5</v>
      </c>
      <c r="K43" s="3">
        <f t="shared" si="28"/>
        <v>6.2164799219330605E-5</v>
      </c>
      <c r="L43" s="3">
        <f t="shared" si="28"/>
        <v>6.2164799219330605E-5</v>
      </c>
      <c r="M43" s="3">
        <f t="shared" si="28"/>
        <v>6.2164799219330605E-5</v>
      </c>
      <c r="N43" s="3">
        <f t="shared" si="28"/>
        <v>6.2164799219330605E-5</v>
      </c>
      <c r="O43" s="3">
        <f t="shared" si="28"/>
        <v>6.2164799219330605E-5</v>
      </c>
      <c r="P43" s="3">
        <f t="shared" si="27"/>
        <v>6.2164799219330592E-5</v>
      </c>
      <c r="Q43" s="3">
        <f t="shared" si="27"/>
        <v>6.2164799219330537E-5</v>
      </c>
      <c r="R43" s="3">
        <f t="shared" si="27"/>
        <v>6.2164799219329982E-5</v>
      </c>
      <c r="S43" s="3">
        <f t="shared" si="27"/>
        <v>6.2164799219324384E-5</v>
      </c>
      <c r="T43" s="3">
        <f t="shared" si="27"/>
        <v>6.216479921926844E-5</v>
      </c>
      <c r="U43" s="3">
        <f t="shared" si="27"/>
        <v>6.2164799218708951E-5</v>
      </c>
      <c r="V43" s="3">
        <f t="shared" si="27"/>
        <v>6.2164799213114129E-5</v>
      </c>
      <c r="W43" s="3">
        <f t="shared" si="27"/>
        <v>6.2164799157165814E-5</v>
      </c>
      <c r="X43" s="3">
        <f t="shared" si="27"/>
        <v>6.2164798597682622E-5</v>
      </c>
      <c r="Y43" s="3">
        <f t="shared" si="27"/>
        <v>6.2164793002851003E-5</v>
      </c>
      <c r="Z43" s="3">
        <f t="shared" si="27"/>
        <v>6.2164737054562467E-5</v>
      </c>
      <c r="AA43" s="3">
        <f t="shared" si="27"/>
        <v>6.2164177574446639E-5</v>
      </c>
      <c r="AB43" s="3">
        <f t="shared" si="27"/>
        <v>6.2158583050222303E-5</v>
      </c>
      <c r="AC43" s="3">
        <f t="shared" si="27"/>
        <v>6.2102665492152673E-5</v>
      </c>
      <c r="AD43" s="3">
        <f t="shared" si="27"/>
        <v>6.1546249132148677E-5</v>
      </c>
      <c r="AE43" s="3">
        <f t="shared" si="27"/>
        <v>5.6249036418342933E-5</v>
      </c>
      <c r="AF43" s="3">
        <f t="shared" si="29"/>
        <v>2.2869151597342258E-5</v>
      </c>
      <c r="AG43" s="3">
        <f t="shared" si="29"/>
        <v>2.8222775182565829E-9</v>
      </c>
      <c r="AH43" s="3">
        <f t="shared" si="29"/>
        <v>2.312577761299906E-48</v>
      </c>
      <c r="AI43" s="3">
        <f t="shared" si="29"/>
        <v>0</v>
      </c>
      <c r="AJ43" s="3">
        <f t="shared" si="29"/>
        <v>0</v>
      </c>
    </row>
    <row r="44" spans="1:36" x14ac:dyDescent="0.25">
      <c r="A44" s="3">
        <f t="shared" si="30"/>
        <v>1000000000000</v>
      </c>
      <c r="B44" s="106">
        <v>6.7492489511972268E-5</v>
      </c>
      <c r="C44" s="18">
        <f t="shared" si="3"/>
        <v>1.589018825978126E-4</v>
      </c>
      <c r="D44" s="17"/>
      <c r="F44" s="3">
        <f t="shared" si="28"/>
        <v>1.589018825978126E-4</v>
      </c>
      <c r="G44" s="3">
        <f t="shared" si="28"/>
        <v>1.589018825978126E-4</v>
      </c>
      <c r="H44" s="3">
        <f t="shared" si="28"/>
        <v>1.589018825978126E-4</v>
      </c>
      <c r="I44" s="3">
        <f t="shared" si="28"/>
        <v>1.589018825978126E-4</v>
      </c>
      <c r="J44" s="3">
        <f t="shared" si="28"/>
        <v>1.589018825978126E-4</v>
      </c>
      <c r="K44" s="3">
        <f t="shared" si="28"/>
        <v>1.589018825978126E-4</v>
      </c>
      <c r="L44" s="3">
        <f t="shared" si="28"/>
        <v>1.589018825978126E-4</v>
      </c>
      <c r="M44" s="3">
        <f t="shared" si="28"/>
        <v>1.589018825978126E-4</v>
      </c>
      <c r="N44" s="3">
        <f t="shared" si="28"/>
        <v>1.589018825978126E-4</v>
      </c>
      <c r="O44" s="3">
        <f t="shared" si="28"/>
        <v>1.589018825978126E-4</v>
      </c>
      <c r="P44" s="3">
        <f t="shared" si="27"/>
        <v>1.589018825978126E-4</v>
      </c>
      <c r="Q44" s="3">
        <f t="shared" si="27"/>
        <v>1.5890188259781257E-4</v>
      </c>
      <c r="R44" s="3">
        <f t="shared" si="27"/>
        <v>1.5890188259781244E-4</v>
      </c>
      <c r="S44" s="3">
        <f t="shared" si="27"/>
        <v>1.58901882597811E-4</v>
      </c>
      <c r="T44" s="3">
        <f t="shared" si="27"/>
        <v>1.5890188259779672E-4</v>
      </c>
      <c r="U44" s="3">
        <f t="shared" si="27"/>
        <v>1.5890188259765371E-4</v>
      </c>
      <c r="V44" s="3">
        <f t="shared" si="27"/>
        <v>1.5890188259622359E-4</v>
      </c>
      <c r="W44" s="3">
        <f t="shared" si="27"/>
        <v>1.589018825819224E-4</v>
      </c>
      <c r="X44" s="3">
        <f t="shared" si="27"/>
        <v>1.5890188243891071E-4</v>
      </c>
      <c r="Y44" s="3">
        <f t="shared" si="27"/>
        <v>1.5890188100879378E-4</v>
      </c>
      <c r="Z44" s="3">
        <f t="shared" si="27"/>
        <v>1.5890186670762513E-4</v>
      </c>
      <c r="AA44" s="3">
        <f t="shared" si="27"/>
        <v>1.5890172369600945E-4</v>
      </c>
      <c r="AB44" s="3">
        <f t="shared" si="27"/>
        <v>1.5890029358693169E-4</v>
      </c>
      <c r="AC44" s="3">
        <f t="shared" si="27"/>
        <v>1.5888599320403575E-4</v>
      </c>
      <c r="AD44" s="3">
        <f t="shared" si="27"/>
        <v>1.5874306013967905E-4</v>
      </c>
      <c r="AE44" s="3">
        <f t="shared" si="27"/>
        <v>1.5732078244839418E-4</v>
      </c>
      <c r="AF44" s="3">
        <f t="shared" si="29"/>
        <v>1.4378036917085793E-4</v>
      </c>
      <c r="AG44" s="3">
        <f t="shared" si="29"/>
        <v>5.8456735771173437E-5</v>
      </c>
      <c r="AH44" s="3">
        <f t="shared" si="29"/>
        <v>7.2141343090673065E-9</v>
      </c>
      <c r="AI44" s="3">
        <f t="shared" si="29"/>
        <v>5.9112707599660607E-48</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3.3516443326179796E-4</v>
      </c>
      <c r="C48" s="18">
        <f t="shared" si="3"/>
        <v>7.8909905102376337E-4</v>
      </c>
      <c r="D48" s="17"/>
      <c r="F48" s="3">
        <f t="shared" si="28"/>
        <v>7.8909905102376337E-4</v>
      </c>
      <c r="G48" s="3">
        <f t="shared" si="28"/>
        <v>7.8909905102376337E-4</v>
      </c>
      <c r="H48" s="3">
        <f t="shared" si="28"/>
        <v>7.8909905102376337E-4</v>
      </c>
      <c r="I48" s="3">
        <f t="shared" si="28"/>
        <v>7.8909905102376337E-4</v>
      </c>
      <c r="J48" s="3">
        <f t="shared" si="28"/>
        <v>7.8909905102376337E-4</v>
      </c>
      <c r="K48" s="3">
        <f t="shared" si="28"/>
        <v>7.8909905102376337E-4</v>
      </c>
      <c r="L48" s="3">
        <f t="shared" si="28"/>
        <v>7.8909905102376337E-4</v>
      </c>
      <c r="M48" s="3">
        <f t="shared" si="28"/>
        <v>7.8909905102376337E-4</v>
      </c>
      <c r="N48" s="3">
        <f t="shared" si="28"/>
        <v>7.8909905102376337E-4</v>
      </c>
      <c r="O48" s="3">
        <f t="shared" si="28"/>
        <v>7.8909905102376337E-4</v>
      </c>
      <c r="P48" s="3">
        <f t="shared" si="27"/>
        <v>7.8909905102376337E-4</v>
      </c>
      <c r="Q48" s="3">
        <f t="shared" si="27"/>
        <v>7.8909905102376337E-4</v>
      </c>
      <c r="R48" s="3">
        <f t="shared" si="27"/>
        <v>7.8909905102376337E-4</v>
      </c>
      <c r="S48" s="3">
        <f t="shared" si="27"/>
        <v>7.8909905102376337E-4</v>
      </c>
      <c r="T48" s="3">
        <f t="shared" si="27"/>
        <v>7.8909905102376337E-4</v>
      </c>
      <c r="U48" s="3">
        <f t="shared" si="27"/>
        <v>7.8909905102376326E-4</v>
      </c>
      <c r="V48" s="3">
        <f t="shared" si="27"/>
        <v>7.8909905102376261E-4</v>
      </c>
      <c r="W48" s="3">
        <f t="shared" si="27"/>
        <v>7.8909905102375545E-4</v>
      </c>
      <c r="X48" s="3">
        <f t="shared" si="27"/>
        <v>7.8909905102368444E-4</v>
      </c>
      <c r="Y48" s="3">
        <f t="shared" si="27"/>
        <v>7.8909905102297429E-4</v>
      </c>
      <c r="Z48" s="3">
        <f t="shared" si="27"/>
        <v>7.8909905101587233E-4</v>
      </c>
      <c r="AA48" s="3">
        <f t="shared" si="27"/>
        <v>7.8909905094485351E-4</v>
      </c>
      <c r="AB48" s="3">
        <f t="shared" si="27"/>
        <v>7.8909905023466433E-4</v>
      </c>
      <c r="AC48" s="3">
        <f t="shared" si="27"/>
        <v>7.8909904313277288E-4</v>
      </c>
      <c r="AD48" s="3">
        <f t="shared" si="27"/>
        <v>7.8909897211386229E-4</v>
      </c>
      <c r="AE48" s="3">
        <f t="shared" si="27"/>
        <v>7.8909826192510694E-4</v>
      </c>
      <c r="AF48" s="3">
        <f t="shared" si="29"/>
        <v>7.8909116007270792E-4</v>
      </c>
      <c r="AG48" s="3">
        <f t="shared" si="29"/>
        <v>7.8902014506402468E-4</v>
      </c>
      <c r="AH48" s="3">
        <f t="shared" si="29"/>
        <v>7.8831034639078148E-4</v>
      </c>
      <c r="AI48" s="3">
        <f t="shared" si="29"/>
        <v>7.812473842777033E-4</v>
      </c>
      <c r="AJ48" s="3">
        <f t="shared" si="29"/>
        <v>7.1400634790296793E-4</v>
      </c>
    </row>
    <row r="49" spans="1:36" x14ac:dyDescent="0.25">
      <c r="B49" s="16">
        <f>SUM(B17:B48)</f>
        <v>0.42474317112276522</v>
      </c>
      <c r="C49" s="18">
        <f>SUM(C17:C48)</f>
        <v>1.0000000000000002</v>
      </c>
      <c r="F49" s="3">
        <f t="shared" ref="F49:AJ49" si="31">F16-F17</f>
        <v>89.630251478871287</v>
      </c>
      <c r="G49" s="3">
        <f t="shared" si="31"/>
        <v>-115.9336324545211</v>
      </c>
      <c r="H49" s="3">
        <f t="shared" si="31"/>
        <v>30.693180768779712</v>
      </c>
      <c r="I49" s="3">
        <f t="shared" si="31"/>
        <v>-5.0144300990505144</v>
      </c>
      <c r="J49" s="3">
        <f t="shared" si="31"/>
        <v>0.70640567914233543</v>
      </c>
      <c r="K49" s="3">
        <f t="shared" si="31"/>
        <v>-9.3238708934222814E-2</v>
      </c>
      <c r="L49" s="3">
        <f t="shared" si="31"/>
        <v>1.2672084423684282E-2</v>
      </c>
      <c r="M49" s="3">
        <f t="shared" si="31"/>
        <v>-5.2441229267969902E-3</v>
      </c>
      <c r="N49" s="3">
        <f t="shared" si="31"/>
        <v>6.0948707291572646E-3</v>
      </c>
      <c r="O49" s="3">
        <f t="shared" si="31"/>
        <v>-7.4975208333398768E-3</v>
      </c>
      <c r="P49" s="3">
        <f t="shared" si="31"/>
        <v>9.8429042045609094E-3</v>
      </c>
      <c r="Q49" s="3">
        <f t="shared" si="31"/>
        <v>-8.7606342636945556E-3</v>
      </c>
      <c r="R49" s="3">
        <f t="shared" si="31"/>
        <v>1.106693386822144E-2</v>
      </c>
      <c r="S49" s="3">
        <f t="shared" si="31"/>
        <v>-7.5379820641501283E-3</v>
      </c>
      <c r="T49" s="3">
        <f t="shared" si="31"/>
        <v>1.5991297261166437E-3</v>
      </c>
      <c r="U49" s="3">
        <f t="shared" si="31"/>
        <v>-1.1774435336064926E-5</v>
      </c>
      <c r="V49" s="3">
        <f t="shared" si="31"/>
        <v>-2.9071377155958089E-3</v>
      </c>
      <c r="W49" s="3">
        <f t="shared" si="31"/>
        <v>7.1660362575300951E-3</v>
      </c>
      <c r="X49" s="3">
        <f t="shared" si="31"/>
        <v>-7.3777564459192035E-3</v>
      </c>
      <c r="Y49" s="3">
        <f t="shared" si="31"/>
        <v>4.8396513391821827E-3</v>
      </c>
      <c r="Z49" s="3">
        <f t="shared" si="31"/>
        <v>-1.5064545567327059E-3</v>
      </c>
      <c r="AA49" s="3">
        <f t="shared" si="31"/>
        <v>1.2764850244479931E-3</v>
      </c>
      <c r="AB49" s="3">
        <f t="shared" si="31"/>
        <v>7.5767617728672576E-4</v>
      </c>
      <c r="AC49" s="3">
        <f t="shared" si="31"/>
        <v>-7.3770633207033143E-3</v>
      </c>
      <c r="AD49" s="3">
        <f t="shared" si="31"/>
        <v>1.5733622999292152E-2</v>
      </c>
      <c r="AE49" s="3">
        <f t="shared" si="31"/>
        <v>-3.533550242671879E-2</v>
      </c>
      <c r="AF49" s="3">
        <f t="shared" si="31"/>
        <v>6.5869288501076539E-2</v>
      </c>
      <c r="AG49" s="3">
        <f t="shared" si="31"/>
        <v>-9.4169320253172373E-2</v>
      </c>
      <c r="AH49" s="3">
        <f t="shared" si="31"/>
        <v>0.32441515634182849</v>
      </c>
      <c r="AI49" s="3">
        <f t="shared" si="31"/>
        <v>-0.26066780037572812</v>
      </c>
      <c r="AJ49" s="3">
        <f t="shared" si="31"/>
        <v>-1.1812892249821516E-2</v>
      </c>
    </row>
    <row r="50" spans="1:36" x14ac:dyDescent="0.25">
      <c r="F50" s="57">
        <f t="shared" ref="F50:AJ50" si="32">F49/F17</f>
        <v>1.4755682598938009E-2</v>
      </c>
      <c r="G50" s="57">
        <f t="shared" si="32"/>
        <v>-1.9458649733254146E-2</v>
      </c>
      <c r="H50" s="57">
        <f t="shared" si="32"/>
        <v>5.5534308429829793E-3</v>
      </c>
      <c r="I50" s="57">
        <f t="shared" si="32"/>
        <v>-9.4961351411837838E-4</v>
      </c>
      <c r="J50" s="57">
        <f t="shared" si="32"/>
        <v>1.422571417721948E-4</v>
      </c>
      <c r="K50" s="57">
        <f t="shared" si="32"/>
        <v>-2.0176695869404167E-5</v>
      </c>
      <c r="L50" s="57">
        <f t="shared" si="32"/>
        <v>3.049498783419043E-6</v>
      </c>
      <c r="M50" s="57">
        <f t="shared" si="32"/>
        <v>-1.4702690536613917E-6</v>
      </c>
      <c r="N50" s="57">
        <f t="shared" si="32"/>
        <v>2.1378469997924641E-6</v>
      </c>
      <c r="O50" s="57">
        <f t="shared" si="32"/>
        <v>-3.7439507280675442E-6</v>
      </c>
      <c r="P50" s="57">
        <f t="shared" si="32"/>
        <v>7.8963279671658868E-6</v>
      </c>
      <c r="Q50" s="57">
        <f t="shared" si="32"/>
        <v>-1.2140022696031128E-5</v>
      </c>
      <c r="R50" s="57">
        <f t="shared" si="32"/>
        <v>2.7344987374734228E-5</v>
      </c>
      <c r="S50" s="57">
        <f t="shared" si="32"/>
        <v>-2.8436701622543112E-5</v>
      </c>
      <c r="T50" s="57">
        <f t="shared" si="32"/>
        <v>7.1262737818009437E-6</v>
      </c>
      <c r="U50" s="57">
        <f t="shared" si="32"/>
        <v>-5.8147657978877535E-8</v>
      </c>
      <c r="V50" s="57">
        <f t="shared" si="32"/>
        <v>-1.5313569911568744E-5</v>
      </c>
      <c r="W50" s="57">
        <f t="shared" si="32"/>
        <v>4.2188960893768704E-5</v>
      </c>
      <c r="X50" s="57">
        <f t="shared" si="32"/>
        <v>-5.1846118370754568E-5</v>
      </c>
      <c r="Y50" s="57">
        <f t="shared" si="32"/>
        <v>3.9763349486523046E-5</v>
      </c>
      <c r="Z50" s="57">
        <f t="shared" si="32"/>
        <v>-1.3785486481459016E-5</v>
      </c>
      <c r="AA50" s="57">
        <f t="shared" si="32"/>
        <v>1.2524054134132616E-5</v>
      </c>
      <c r="AB50" s="57">
        <f t="shared" si="32"/>
        <v>7.770995341678158E-6</v>
      </c>
      <c r="AC50" s="57">
        <f t="shared" si="32"/>
        <v>-7.7882623355977809E-5</v>
      </c>
      <c r="AD50" s="57">
        <f t="shared" si="32"/>
        <v>1.6933583131620221E-4</v>
      </c>
      <c r="AE50" s="57">
        <f t="shared" si="32"/>
        <v>-3.8390827407294877E-4</v>
      </c>
      <c r="AF50" s="57">
        <f t="shared" si="32"/>
        <v>7.1833323475691533E-4</v>
      </c>
      <c r="AG50" s="57">
        <f t="shared" si="32"/>
        <v>-1.0359235131702678E-3</v>
      </c>
      <c r="AH50" s="57">
        <f t="shared" si="32"/>
        <v>3.585885681690144E-3</v>
      </c>
      <c r="AI50" s="57">
        <f t="shared" si="32"/>
        <v>-2.8829132568473667E-3</v>
      </c>
      <c r="AJ50" s="57">
        <f t="shared" si="32"/>
        <v>-1.3136346629995078E-4</v>
      </c>
    </row>
    <row r="51" spans="1:36" x14ac:dyDescent="0.25">
      <c r="A51" s="13" t="s">
        <v>21</v>
      </c>
      <c r="B51" s="3">
        <f>STUTT!D8</f>
        <v>7330.9827999999998</v>
      </c>
      <c r="E51" s="11" t="s">
        <v>24</v>
      </c>
      <c r="F51" s="20">
        <f t="shared" ref="F51:AJ51" si="33">(F16-F17)^2</f>
        <v>8033.581980165709</v>
      </c>
      <c r="G51" s="20">
        <f t="shared" si="33"/>
        <v>13440.607134099988</v>
      </c>
      <c r="H51" s="20">
        <f t="shared" si="33"/>
        <v>942.07134570498874</v>
      </c>
      <c r="I51" s="20">
        <f t="shared" si="33"/>
        <v>25.144509218263753</v>
      </c>
      <c r="J51" s="20">
        <f t="shared" si="33"/>
        <v>0.49900898352454415</v>
      </c>
      <c r="K51" s="20">
        <f t="shared" si="33"/>
        <v>8.6934568437207205E-3</v>
      </c>
      <c r="L51" s="20">
        <f t="shared" si="33"/>
        <v>1.605817236409818E-4</v>
      </c>
      <c r="M51" s="20">
        <f t="shared" si="33"/>
        <v>2.7500825271357831E-5</v>
      </c>
      <c r="N51" s="20">
        <f t="shared" si="33"/>
        <v>3.7147449205138007E-5</v>
      </c>
      <c r="O51" s="20">
        <f t="shared" si="33"/>
        <v>5.6212818646365483E-5</v>
      </c>
      <c r="P51" s="20">
        <f t="shared" si="33"/>
        <v>9.6882763180162823E-5</v>
      </c>
      <c r="Q51" s="20">
        <f t="shared" si="33"/>
        <v>7.674871270221905E-5</v>
      </c>
      <c r="R51" s="20">
        <f t="shared" si="33"/>
        <v>1.2247702524358678E-4</v>
      </c>
      <c r="S51" s="20">
        <f t="shared" si="33"/>
        <v>5.6821173599449029E-5</v>
      </c>
      <c r="T51" s="20">
        <f t="shared" si="33"/>
        <v>2.5572158809498918E-6</v>
      </c>
      <c r="U51" s="20">
        <f t="shared" si="33"/>
        <v>1.3863732748317436E-10</v>
      </c>
      <c r="V51" s="20">
        <f t="shared" si="33"/>
        <v>8.451449697439618E-6</v>
      </c>
      <c r="W51" s="20">
        <f t="shared" si="33"/>
        <v>5.135207564423593E-5</v>
      </c>
      <c r="X51" s="20">
        <f t="shared" si="33"/>
        <v>5.443129017530236E-5</v>
      </c>
      <c r="Y51" s="20">
        <f t="shared" si="33"/>
        <v>2.3422225084847896E-5</v>
      </c>
      <c r="Z51" s="20">
        <f t="shared" si="33"/>
        <v>2.2694053315007335E-6</v>
      </c>
      <c r="AA51" s="20">
        <f t="shared" si="33"/>
        <v>1.6294140176399935E-6</v>
      </c>
      <c r="AB51" s="20">
        <f t="shared" si="33"/>
        <v>5.7407318962782588E-7</v>
      </c>
      <c r="AC51" s="20">
        <f t="shared" si="33"/>
        <v>5.4421063237666208E-5</v>
      </c>
      <c r="AD51" s="20">
        <f t="shared" si="33"/>
        <v>2.4754689268385497E-4</v>
      </c>
      <c r="AE51" s="20">
        <f t="shared" si="33"/>
        <v>1.2485977317486495E-3</v>
      </c>
      <c r="AF51" s="20">
        <f t="shared" si="33"/>
        <v>4.3387631676380543E-3</v>
      </c>
      <c r="AG51" s="20">
        <f t="shared" si="33"/>
        <v>8.8678608769445413E-3</v>
      </c>
      <c r="AH51" s="20">
        <f t="shared" si="33"/>
        <v>0.10524519366429302</v>
      </c>
      <c r="AI51" s="20">
        <f t="shared" si="33"/>
        <v>6.7947702152720446E-2</v>
      </c>
      <c r="AJ51" s="20">
        <f t="shared" si="33"/>
        <v>1.3954442330589323E-4</v>
      </c>
    </row>
    <row r="52" spans="1:36" x14ac:dyDescent="0.25">
      <c r="A52" s="13"/>
    </row>
    <row r="53" spans="1:36" x14ac:dyDescent="0.25">
      <c r="E53" s="119" t="s">
        <v>25</v>
      </c>
      <c r="F53" s="119"/>
      <c r="G53" s="104">
        <f>SUM(F51:AJ51)</f>
        <v>22442.101540319058</v>
      </c>
      <c r="I53" s="3">
        <f>G53+C123</f>
        <v>22442.101540319058</v>
      </c>
      <c r="K53" s="3">
        <f>SUM(Z51:AJ51)</f>
        <v>0.18809410286511088</v>
      </c>
    </row>
    <row r="55" spans="1:36" x14ac:dyDescent="0.25">
      <c r="E55" s="30" t="s">
        <v>30</v>
      </c>
      <c r="F55" s="31">
        <f t="shared" ref="F55:AJ55" si="34">ABS(F17-F16)/F16</f>
        <v>1.4541118470158793E-2</v>
      </c>
      <c r="G55" s="31">
        <f t="shared" si="34"/>
        <v>1.9844802799964149E-2</v>
      </c>
      <c r="H55" s="31">
        <f t="shared" si="34"/>
        <v>5.5227605740725142E-3</v>
      </c>
      <c r="I55" s="31">
        <f t="shared" si="34"/>
        <v>9.5051613708754432E-4</v>
      </c>
      <c r="J55" s="31">
        <f t="shared" si="34"/>
        <v>1.4223690755627133E-4</v>
      </c>
      <c r="K55" s="31">
        <f t="shared" si="34"/>
        <v>2.0177102976674456E-5</v>
      </c>
      <c r="L55" s="31">
        <f t="shared" si="34"/>
        <v>3.0494894840045716E-6</v>
      </c>
      <c r="M55" s="31">
        <f t="shared" si="34"/>
        <v>1.47027121535566E-6</v>
      </c>
      <c r="N55" s="31">
        <f t="shared" si="34"/>
        <v>2.1378424294124404E-6</v>
      </c>
      <c r="O55" s="31">
        <f t="shared" si="34"/>
        <v>3.7439647452870781E-6</v>
      </c>
      <c r="P55" s="31">
        <f t="shared" si="34"/>
        <v>7.8962656156628689E-6</v>
      </c>
      <c r="Q55" s="31">
        <f t="shared" si="34"/>
        <v>1.2140170077971408E-5</v>
      </c>
      <c r="R55" s="31">
        <f t="shared" si="34"/>
        <v>2.7344239646846314E-5</v>
      </c>
      <c r="S55" s="31">
        <f t="shared" si="34"/>
        <v>2.843751029153816E-5</v>
      </c>
      <c r="T55" s="31">
        <f t="shared" si="34"/>
        <v>7.1262229983848268E-6</v>
      </c>
      <c r="U55" s="31">
        <f t="shared" si="34"/>
        <v>5.814766136002786E-8</v>
      </c>
      <c r="V55" s="31">
        <f t="shared" si="34"/>
        <v>1.5313804420583351E-5</v>
      </c>
      <c r="W55" s="31">
        <f t="shared" si="34"/>
        <v>4.2187181060436725E-5</v>
      </c>
      <c r="X55" s="31">
        <f t="shared" si="34"/>
        <v>5.1848806530115306E-5</v>
      </c>
      <c r="Y55" s="31">
        <f t="shared" si="34"/>
        <v>3.976176842542894E-5</v>
      </c>
      <c r="Z55" s="31">
        <f t="shared" si="34"/>
        <v>1.3785676523716372E-5</v>
      </c>
      <c r="AA55" s="31">
        <f t="shared" si="34"/>
        <v>1.2523897284165058E-5</v>
      </c>
      <c r="AB55" s="31">
        <f t="shared" si="34"/>
        <v>7.7709349537788329E-6</v>
      </c>
      <c r="AC55" s="31">
        <f t="shared" si="34"/>
        <v>7.788868953144828E-5</v>
      </c>
      <c r="AD55" s="31">
        <f t="shared" si="34"/>
        <v>1.6930716154725382E-4</v>
      </c>
      <c r="AE55" s="31">
        <f t="shared" si="34"/>
        <v>3.8405571624011838E-4</v>
      </c>
      <c r="AF55" s="31">
        <f t="shared" si="34"/>
        <v>7.1781760251653421E-4</v>
      </c>
      <c r="AG55" s="31">
        <f t="shared" si="34"/>
        <v>1.0369977635366202E-3</v>
      </c>
      <c r="AH55" s="31">
        <f t="shared" si="34"/>
        <v>3.5730730501997996E-3</v>
      </c>
      <c r="AI55" s="31">
        <f t="shared" si="34"/>
        <v>2.8912484754059545E-3</v>
      </c>
      <c r="AJ55" s="31">
        <f t="shared" si="34"/>
        <v>1.3138072492738223E-4</v>
      </c>
    </row>
    <row r="56" spans="1:36" x14ac:dyDescent="0.25">
      <c r="E56" s="13" t="s">
        <v>31</v>
      </c>
      <c r="F56" s="32">
        <f>AVERAGE(F55:AJ55)</f>
        <v>1.6219347538414543E-3</v>
      </c>
    </row>
    <row r="57" spans="1:36" x14ac:dyDescent="0.25">
      <c r="A57" s="42"/>
      <c r="B57" s="15"/>
      <c r="C57" s="15"/>
      <c r="D57" s="15"/>
      <c r="F57" s="60">
        <f>AVERAGE(S55:X55)</f>
        <v>2.4161945493736402E-5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-44.26089696904954</v>
      </c>
    </row>
    <row r="119" spans="1:14" x14ac:dyDescent="0.25">
      <c r="L119" s="11">
        <f>L118+1</f>
        <v>2</v>
      </c>
      <c r="M119" s="11">
        <f t="shared" ref="M119:M124" si="35">INDEX($B$125:$K$126,1,L119)</f>
        <v>0</v>
      </c>
      <c r="N119" s="11">
        <f t="shared" ref="N119:N124" si="36">IF(L119=$B$3,0,INDEX($B$125:$K$126,2,L119))</f>
        <v>-41.268748195236732</v>
      </c>
    </row>
    <row r="120" spans="1:14" x14ac:dyDescent="0.25">
      <c r="L120" s="11">
        <f t="shared" ref="L120:L124" si="37">L119+1</f>
        <v>3</v>
      </c>
      <c r="M120" s="11">
        <f t="shared" si="35"/>
        <v>25</v>
      </c>
      <c r="N120" s="11">
        <f t="shared" si="36"/>
        <v>-37.103682773973375</v>
      </c>
    </row>
    <row r="121" spans="1:14" x14ac:dyDescent="0.25">
      <c r="A121" s="103">
        <f>(A165+A204+A243+A282+A321+A360+A399)*10^9</f>
        <v>1.1770099507325182E+17</v>
      </c>
      <c r="L121" s="11">
        <f t="shared" si="37"/>
        <v>4</v>
      </c>
      <c r="M121" s="11">
        <f t="shared" si="35"/>
        <v>50</v>
      </c>
      <c r="N121" s="11">
        <f t="shared" si="36"/>
        <v>-31.380759264655154</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-22.562917861738338</v>
      </c>
    </row>
    <row r="123" spans="1:14" x14ac:dyDescent="0.25">
      <c r="A123" s="119"/>
      <c r="B123" s="119"/>
      <c r="C123" s="3"/>
      <c r="D123" s="3"/>
      <c r="E123" s="3"/>
      <c r="F123" s="3"/>
      <c r="G123" s="3"/>
      <c r="H123" s="3"/>
      <c r="I123" s="3"/>
      <c r="J123" s="3"/>
      <c r="K123" s="3"/>
      <c r="L123" s="11">
        <f t="shared" si="37"/>
        <v>6</v>
      </c>
      <c r="M123" s="11">
        <f t="shared" si="35"/>
        <v>125</v>
      </c>
      <c r="N123" s="11">
        <f t="shared" si="36"/>
        <v>-4.2147836611481173</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-44.26089696904954</v>
      </c>
      <c r="C126" s="107">
        <v>-41.268748195236732</v>
      </c>
      <c r="D126" s="107">
        <v>-37.103682773973375</v>
      </c>
      <c r="E126" s="107">
        <v>-31.380759264655154</v>
      </c>
      <c r="F126" s="107">
        <v>-22.562917861738338</v>
      </c>
      <c r="G126" s="107">
        <v>-4.2147836611481173</v>
      </c>
      <c r="H126" s="107">
        <v>1.0670309396940122E-2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7330.9083472335833</v>
      </c>
      <c r="C131" s="27">
        <f t="shared" ref="C131:AF131" si="40">($C$17+SUM(C132:C162))*$B$51</f>
        <v>7330.2384731283728</v>
      </c>
      <c r="D131" s="27">
        <f t="shared" si="40"/>
        <v>7323.5595708773189</v>
      </c>
      <c r="E131" s="27">
        <f t="shared" si="40"/>
        <v>7258.7153933231284</v>
      </c>
      <c r="F131" s="27">
        <f t="shared" si="40"/>
        <v>6770.9512995027735</v>
      </c>
      <c r="G131" s="27">
        <f t="shared" si="40"/>
        <v>6091.9775893412316</v>
      </c>
      <c r="H131" s="27">
        <f t="shared" si="40"/>
        <v>6088.8810506995042</v>
      </c>
      <c r="I131" s="27">
        <f t="shared" si="40"/>
        <v>6088.881050699496</v>
      </c>
      <c r="J131" s="27">
        <f t="shared" si="40"/>
        <v>6088.8810506994187</v>
      </c>
      <c r="K131" s="27">
        <f t="shared" si="40"/>
        <v>6088.881050698621</v>
      </c>
      <c r="L131" s="27">
        <f t="shared" si="40"/>
        <v>6088.8810506906493</v>
      </c>
      <c r="M131" s="27">
        <f t="shared" si="40"/>
        <v>6088.8810506109385</v>
      </c>
      <c r="N131" s="27">
        <f t="shared" si="40"/>
        <v>6088.8810498138337</v>
      </c>
      <c r="O131" s="27">
        <f t="shared" si="40"/>
        <v>6088.8810418427875</v>
      </c>
      <c r="P131" s="27">
        <f t="shared" si="40"/>
        <v>6088.8809621323298</v>
      </c>
      <c r="Q131" s="27">
        <f t="shared" si="40"/>
        <v>6088.8801650283449</v>
      </c>
      <c r="R131" s="27">
        <f t="shared" si="40"/>
        <v>6088.8721940470086</v>
      </c>
      <c r="S131" s="27">
        <f t="shared" si="40"/>
        <v>6088.7924900864109</v>
      </c>
      <c r="T131" s="27">
        <f t="shared" si="40"/>
        <v>6087.996035456531</v>
      </c>
      <c r="U131" s="27">
        <f t="shared" si="40"/>
        <v>6080.0896895780015</v>
      </c>
      <c r="V131" s="27">
        <f t="shared" si="40"/>
        <v>6006.560152472538</v>
      </c>
      <c r="W131" s="27">
        <f t="shared" si="40"/>
        <v>5622.2347004457906</v>
      </c>
      <c r="X131" s="27">
        <f t="shared" si="40"/>
        <v>5337.9672660584883</v>
      </c>
      <c r="Y131" s="27">
        <f t="shared" si="40"/>
        <v>5046.5586242946229</v>
      </c>
      <c r="Z131" s="27">
        <f t="shared" si="40"/>
        <v>4711.3389376071837</v>
      </c>
      <c r="AA131" s="27">
        <f t="shared" si="40"/>
        <v>4281.8666509539871</v>
      </c>
      <c r="AB131" s="27">
        <f t="shared" si="40"/>
        <v>3723.4958932437621</v>
      </c>
      <c r="AC131" s="27">
        <f t="shared" si="40"/>
        <v>3039.7949278593119</v>
      </c>
      <c r="AD131" s="27">
        <f t="shared" si="40"/>
        <v>2217.638602332539</v>
      </c>
      <c r="AE131" s="27">
        <f t="shared" si="40"/>
        <v>1406.2604890210132</v>
      </c>
      <c r="AF131" s="27">
        <f t="shared" si="40"/>
        <v>818.06100856528894</v>
      </c>
    </row>
    <row r="132" spans="1:33" x14ac:dyDescent="0.25">
      <c r="B132" s="3">
        <f t="shared" ref="B132:Z133" si="41">$C18*EXP(-B$129/$A18/EXP(-$B$126))</f>
        <v>0.16942166288182772</v>
      </c>
      <c r="C132" s="3">
        <f t="shared" ref="C132:AF132" si="42">$C18*EXP(-C$129/$A18/EXP(-$B$126))</f>
        <v>0.16933028712451317</v>
      </c>
      <c r="D132" s="3">
        <f t="shared" si="42"/>
        <v>0.16841923570981701</v>
      </c>
      <c r="E132" s="3">
        <f t="shared" si="42"/>
        <v>0.1595740127263186</v>
      </c>
      <c r="F132" s="3">
        <f t="shared" si="42"/>
        <v>9.3039401047737696E-2</v>
      </c>
      <c r="G132" s="3">
        <f t="shared" si="42"/>
        <v>4.2239065705153463E-4</v>
      </c>
      <c r="H132" s="3">
        <f t="shared" si="42"/>
        <v>1.5710437456317363E-27</v>
      </c>
      <c r="I132" s="3">
        <f t="shared" si="42"/>
        <v>7.9602741586682942E-262</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7.5788306997470078E-2</v>
      </c>
      <c r="C133" s="3">
        <f t="shared" si="41"/>
        <v>7.5788306997470078E-2</v>
      </c>
      <c r="D133" s="3">
        <f t="shared" si="41"/>
        <v>7.5788306997470078E-2</v>
      </c>
      <c r="E133" s="3">
        <f t="shared" si="41"/>
        <v>7.5788306997470078E-2</v>
      </c>
      <c r="F133" s="3">
        <f t="shared" si="41"/>
        <v>7.5788306997470078E-2</v>
      </c>
      <c r="G133" s="3">
        <f t="shared" si="41"/>
        <v>7.5788306997470065E-2</v>
      </c>
      <c r="H133" s="3">
        <f t="shared" si="41"/>
        <v>7.5788306997469967E-2</v>
      </c>
      <c r="I133" s="3">
        <f t="shared" si="41"/>
        <v>7.5788306997468913E-2</v>
      </c>
      <c r="J133" s="3">
        <f t="shared" si="41"/>
        <v>7.5788306997458435E-2</v>
      </c>
      <c r="K133" s="3">
        <f t="shared" si="41"/>
        <v>7.5788306997353713E-2</v>
      </c>
      <c r="L133" s="3">
        <f t="shared" si="41"/>
        <v>7.5788306996306384E-2</v>
      </c>
      <c r="M133" s="3">
        <f t="shared" si="41"/>
        <v>7.5788306985833082E-2</v>
      </c>
      <c r="N133" s="3">
        <f t="shared" si="41"/>
        <v>7.5788306881100137E-2</v>
      </c>
      <c r="O133" s="3">
        <f t="shared" si="41"/>
        <v>7.5788305833770719E-2</v>
      </c>
      <c r="P133" s="3">
        <f t="shared" si="41"/>
        <v>7.5788295360477292E-2</v>
      </c>
      <c r="Q133" s="3">
        <f t="shared" si="41"/>
        <v>7.5788190627622612E-2</v>
      </c>
      <c r="R133" s="3">
        <f t="shared" si="41"/>
        <v>7.5787143307035981E-2</v>
      </c>
      <c r="S133" s="3">
        <f t="shared" si="41"/>
        <v>7.5776670897150233E-2</v>
      </c>
      <c r="T133" s="3">
        <f t="shared" si="41"/>
        <v>7.5672026355658367E-2</v>
      </c>
      <c r="U133" s="3">
        <f t="shared" si="41"/>
        <v>7.4633496148888992E-2</v>
      </c>
      <c r="V133" s="3">
        <f t="shared" si="41"/>
        <v>6.5000696759839813E-2</v>
      </c>
      <c r="W133" s="3">
        <f t="shared" si="41"/>
        <v>1.6321507501537179E-2</v>
      </c>
      <c r="X133" s="3">
        <f t="shared" si="41"/>
        <v>1.6262332586344569E-8</v>
      </c>
      <c r="Y133" s="3">
        <f t="shared" si="41"/>
        <v>1.5682255899339548E-68</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2.742614598116927E-2</v>
      </c>
      <c r="C134" s="3">
        <f t="shared" si="44"/>
        <v>2.742614598116927E-2</v>
      </c>
      <c r="D134" s="3">
        <f t="shared" si="44"/>
        <v>2.742614598116927E-2</v>
      </c>
      <c r="E134" s="3">
        <f t="shared" si="44"/>
        <v>2.742614598116927E-2</v>
      </c>
      <c r="F134" s="3">
        <f t="shared" si="44"/>
        <v>2.742614598116927E-2</v>
      </c>
      <c r="G134" s="3">
        <f t="shared" si="44"/>
        <v>2.742614598116927E-2</v>
      </c>
      <c r="H134" s="3">
        <f t="shared" si="44"/>
        <v>2.7426145981169266E-2</v>
      </c>
      <c r="I134" s="3">
        <f t="shared" si="44"/>
        <v>2.7426145981169232E-2</v>
      </c>
      <c r="J134" s="3">
        <f t="shared" si="44"/>
        <v>2.7426145981168888E-2</v>
      </c>
      <c r="K134" s="3">
        <f t="shared" si="44"/>
        <v>2.7426145981165471E-2</v>
      </c>
      <c r="L134" s="3">
        <f t="shared" si="44"/>
        <v>2.7426145981131283E-2</v>
      </c>
      <c r="M134" s="3">
        <f t="shared" si="44"/>
        <v>2.7426145980789386E-2</v>
      </c>
      <c r="N134" s="3">
        <f t="shared" si="44"/>
        <v>2.7426145977370437E-2</v>
      </c>
      <c r="O134" s="3">
        <f t="shared" si="44"/>
        <v>2.7426145943180959E-2</v>
      </c>
      <c r="P134" s="3">
        <f t="shared" si="44"/>
        <v>2.7426145601286176E-2</v>
      </c>
      <c r="Q134" s="3">
        <f t="shared" si="44"/>
        <v>2.7426142182338586E-2</v>
      </c>
      <c r="R134" s="3">
        <f t="shared" si="44"/>
        <v>2.7426107992886129E-2</v>
      </c>
      <c r="S134" s="3">
        <f t="shared" si="44"/>
        <v>2.7425766100705667E-2</v>
      </c>
      <c r="T134" s="3">
        <f t="shared" si="44"/>
        <v>2.7422347413302659E-2</v>
      </c>
      <c r="U134" s="3">
        <f t="shared" si="44"/>
        <v>2.7388183968626214E-2</v>
      </c>
      <c r="V134" s="3">
        <f t="shared" si="44"/>
        <v>2.7048881686550612E-2</v>
      </c>
      <c r="W134" s="3">
        <f t="shared" si="44"/>
        <v>2.3878667763729305E-2</v>
      </c>
      <c r="X134" s="3">
        <f t="shared" si="44"/>
        <v>6.8646418001143449E-3</v>
      </c>
      <c r="Y134" s="3">
        <f t="shared" si="44"/>
        <v>2.6466453832331584E-8</v>
      </c>
      <c r="Z134" s="3">
        <f t="shared" si="44"/>
        <v>1.9207661922549081E-62</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4.6802795715284964E-2</v>
      </c>
      <c r="C135" s="3">
        <f t="shared" si="47"/>
        <v>4.6802795715284964E-2</v>
      </c>
      <c r="D135" s="3">
        <f t="shared" si="47"/>
        <v>4.6802795715284964E-2</v>
      </c>
      <c r="E135" s="3">
        <f t="shared" si="47"/>
        <v>4.6802795715284964E-2</v>
      </c>
      <c r="F135" s="3">
        <f t="shared" si="47"/>
        <v>4.6802795715284964E-2</v>
      </c>
      <c r="G135" s="3">
        <f t="shared" si="47"/>
        <v>4.6802795715284964E-2</v>
      </c>
      <c r="H135" s="3">
        <f t="shared" si="47"/>
        <v>4.6802795715284964E-2</v>
      </c>
      <c r="I135" s="3">
        <f t="shared" si="47"/>
        <v>4.6802795715284957E-2</v>
      </c>
      <c r="J135" s="3">
        <f t="shared" si="47"/>
        <v>4.6802795715284909E-2</v>
      </c>
      <c r="K135" s="3">
        <f t="shared" si="47"/>
        <v>4.6802795715284375E-2</v>
      </c>
      <c r="L135" s="3">
        <f t="shared" si="47"/>
        <v>4.6802795715279122E-2</v>
      </c>
      <c r="M135" s="3">
        <f t="shared" si="47"/>
        <v>4.680279571522649E-2</v>
      </c>
      <c r="N135" s="3">
        <f t="shared" si="47"/>
        <v>4.6802795714700168E-2</v>
      </c>
      <c r="O135" s="3">
        <f t="shared" si="47"/>
        <v>4.6802795709437017E-2</v>
      </c>
      <c r="P135" s="3">
        <f t="shared" si="47"/>
        <v>4.6802795656805479E-2</v>
      </c>
      <c r="Q135" s="3">
        <f t="shared" si="47"/>
        <v>4.6802795130490071E-2</v>
      </c>
      <c r="R135" s="3">
        <f t="shared" si="47"/>
        <v>4.6802789867336408E-2</v>
      </c>
      <c r="S135" s="3">
        <f t="shared" si="47"/>
        <v>4.6802737235832281E-2</v>
      </c>
      <c r="T135" s="3">
        <f t="shared" si="47"/>
        <v>4.6802210924046246E-2</v>
      </c>
      <c r="U135" s="3">
        <f t="shared" si="47"/>
        <v>4.6796948131694827E-2</v>
      </c>
      <c r="V135" s="3">
        <f t="shared" si="47"/>
        <v>4.6744352745539133E-2</v>
      </c>
      <c r="W135" s="3">
        <f t="shared" si="47"/>
        <v>4.6221639122336941E-2</v>
      </c>
      <c r="X135" s="3">
        <f t="shared" si="47"/>
        <v>4.1305440776824576E-2</v>
      </c>
      <c r="Y135" s="3">
        <f t="shared" si="47"/>
        <v>1.3416104912849822E-2</v>
      </c>
      <c r="Z135" s="3">
        <f t="shared" si="47"/>
        <v>1.7531468425657168E-7</v>
      </c>
      <c r="AA135" s="3">
        <f t="shared" ref="AA135" si="48">$C21*EXP(-AA$129/$A21/EXP(-$B$126))</f>
        <v>2.5452870916803966E-56</v>
      </c>
      <c r="AB135" s="3">
        <f t="shared" si="46"/>
        <v>0</v>
      </c>
      <c r="AC135" s="3">
        <f t="shared" si="46"/>
        <v>0</v>
      </c>
      <c r="AD135" s="3">
        <f t="shared" si="46"/>
        <v>0</v>
      </c>
      <c r="AE135" s="3">
        <f t="shared" si="46"/>
        <v>0</v>
      </c>
      <c r="AF135" s="3">
        <f t="shared" si="46"/>
        <v>0</v>
      </c>
    </row>
    <row r="136" spans="1:33" x14ac:dyDescent="0.25">
      <c r="B136" s="3">
        <f t="shared" ref="B136:Z136" si="49">$C22*EXP(-B$129/$A22/EXP(-$B$126))</f>
        <v>4.5136552781973364E-2</v>
      </c>
      <c r="C136" s="3">
        <f t="shared" si="49"/>
        <v>4.5136552781973364E-2</v>
      </c>
      <c r="D136" s="3">
        <f t="shared" si="49"/>
        <v>4.5136552781973364E-2</v>
      </c>
      <c r="E136" s="3">
        <f t="shared" si="49"/>
        <v>4.5136552781973364E-2</v>
      </c>
      <c r="F136" s="3">
        <f t="shared" si="49"/>
        <v>4.5136552781973364E-2</v>
      </c>
      <c r="G136" s="3">
        <f t="shared" si="49"/>
        <v>4.5136552781973364E-2</v>
      </c>
      <c r="H136" s="3">
        <f t="shared" si="49"/>
        <v>4.5136552781973364E-2</v>
      </c>
      <c r="I136" s="3">
        <f t="shared" si="49"/>
        <v>4.5136552781973364E-2</v>
      </c>
      <c r="J136" s="3">
        <f t="shared" si="49"/>
        <v>4.5136552781973358E-2</v>
      </c>
      <c r="K136" s="3">
        <f t="shared" si="49"/>
        <v>4.5136552781973316E-2</v>
      </c>
      <c r="L136" s="3">
        <f t="shared" si="49"/>
        <v>4.5136552781972851E-2</v>
      </c>
      <c r="M136" s="3">
        <f t="shared" si="49"/>
        <v>4.5136552781968278E-2</v>
      </c>
      <c r="N136" s="3">
        <f t="shared" si="49"/>
        <v>4.5136552781922488E-2</v>
      </c>
      <c r="O136" s="3">
        <f t="shared" si="49"/>
        <v>4.5136552781464612E-2</v>
      </c>
      <c r="P136" s="3">
        <f t="shared" si="49"/>
        <v>4.5136552776885837E-2</v>
      </c>
      <c r="Q136" s="3">
        <f t="shared" si="49"/>
        <v>4.5136552731098095E-2</v>
      </c>
      <c r="R136" s="3">
        <f t="shared" si="49"/>
        <v>4.5136552273220637E-2</v>
      </c>
      <c r="S136" s="3">
        <f t="shared" si="49"/>
        <v>4.5136547694446347E-2</v>
      </c>
      <c r="T136" s="3">
        <f t="shared" si="49"/>
        <v>4.5136501906728972E-2</v>
      </c>
      <c r="U136" s="3">
        <f t="shared" si="49"/>
        <v>4.5136044032109905E-2</v>
      </c>
      <c r="V136" s="3">
        <f t="shared" si="49"/>
        <v>4.5131465541374434E-2</v>
      </c>
      <c r="W136" s="3">
        <f t="shared" si="49"/>
        <v>4.5085706169952167E-2</v>
      </c>
      <c r="X136" s="3">
        <f t="shared" si="49"/>
        <v>4.4630656490325743E-2</v>
      </c>
      <c r="Y136" s="3">
        <f t="shared" si="49"/>
        <v>4.032526802415156E-2</v>
      </c>
      <c r="Z136" s="3">
        <f t="shared" si="49"/>
        <v>1.4622348754725218E-2</v>
      </c>
      <c r="AA136" s="3">
        <f t="shared" ref="AA136" si="50">$C22*EXP(-AA$129/$A22/EXP(-$B$126))</f>
        <v>5.746665138246636E-7</v>
      </c>
      <c r="AB136" s="3">
        <f t="shared" si="46"/>
        <v>5.0513030465611201E-51</v>
      </c>
      <c r="AC136" s="3">
        <f t="shared" si="46"/>
        <v>0</v>
      </c>
      <c r="AD136" s="3">
        <f t="shared" si="46"/>
        <v>0</v>
      </c>
      <c r="AE136" s="3">
        <f t="shared" si="46"/>
        <v>0</v>
      </c>
      <c r="AF136" s="3">
        <f t="shared" si="46"/>
        <v>0</v>
      </c>
    </row>
    <row r="137" spans="1:33" x14ac:dyDescent="0.25">
      <c r="B137" s="3">
        <f t="shared" ref="B137:Z137" si="51">$C23*EXP(-B$129/$A23/EXP(-$B$126))</f>
        <v>6.7281406852932088E-2</v>
      </c>
      <c r="C137" s="3">
        <f t="shared" si="51"/>
        <v>6.7281406852932088E-2</v>
      </c>
      <c r="D137" s="3">
        <f t="shared" si="51"/>
        <v>6.7281406852932088E-2</v>
      </c>
      <c r="E137" s="3">
        <f t="shared" si="51"/>
        <v>6.7281406852932088E-2</v>
      </c>
      <c r="F137" s="3">
        <f t="shared" si="51"/>
        <v>6.7281406852932088E-2</v>
      </c>
      <c r="G137" s="3">
        <f t="shared" si="51"/>
        <v>6.7281406852932088E-2</v>
      </c>
      <c r="H137" s="3">
        <f t="shared" si="51"/>
        <v>6.7281406852932088E-2</v>
      </c>
      <c r="I137" s="3">
        <f t="shared" si="51"/>
        <v>6.7281406852932088E-2</v>
      </c>
      <c r="J137" s="3">
        <f t="shared" si="51"/>
        <v>6.7281406852932088E-2</v>
      </c>
      <c r="K137" s="3">
        <f t="shared" si="51"/>
        <v>6.7281406852932074E-2</v>
      </c>
      <c r="L137" s="3">
        <f t="shared" si="51"/>
        <v>6.7281406852932019E-2</v>
      </c>
      <c r="M137" s="3">
        <f t="shared" si="51"/>
        <v>6.7281406852931394E-2</v>
      </c>
      <c r="N137" s="3">
        <f t="shared" si="51"/>
        <v>6.7281406852925246E-2</v>
      </c>
      <c r="O137" s="3">
        <f t="shared" si="51"/>
        <v>6.7281406852863684E-2</v>
      </c>
      <c r="P137" s="3">
        <f t="shared" si="51"/>
        <v>6.7281406852247982E-2</v>
      </c>
      <c r="Q137" s="3">
        <f t="shared" si="51"/>
        <v>6.7281406846091074E-2</v>
      </c>
      <c r="R137" s="3">
        <f t="shared" si="51"/>
        <v>6.7281406784522019E-2</v>
      </c>
      <c r="S137" s="3">
        <f t="shared" si="51"/>
        <v>6.7281406168831409E-2</v>
      </c>
      <c r="T137" s="3">
        <f t="shared" si="51"/>
        <v>6.728140001192566E-2</v>
      </c>
      <c r="U137" s="3">
        <f t="shared" si="51"/>
        <v>6.7281338442899116E-2</v>
      </c>
      <c r="V137" s="3">
        <f t="shared" si="51"/>
        <v>6.728072275573245E-2</v>
      </c>
      <c r="W137" s="3">
        <f t="shared" si="51"/>
        <v>6.7274566193933544E-2</v>
      </c>
      <c r="X137" s="3">
        <f t="shared" si="51"/>
        <v>6.7213031552228131E-2</v>
      </c>
      <c r="Y137" s="3">
        <f t="shared" si="51"/>
        <v>6.6600772301019448E-2</v>
      </c>
      <c r="Z137" s="3">
        <f t="shared" si="51"/>
        <v>6.0776694608396339E-2</v>
      </c>
      <c r="AA137" s="3">
        <f t="shared" ref="AA137" si="52">$C23*EXP(-AA$129/$A23/EXP(-$B$126))</f>
        <v>2.4339698452033723E-2</v>
      </c>
      <c r="AB137" s="3">
        <f t="shared" si="46"/>
        <v>2.5828331875948237E-6</v>
      </c>
      <c r="AC137" s="3">
        <f t="shared" si="46"/>
        <v>4.6763607394829144E-46</v>
      </c>
      <c r="AD137" s="3">
        <f t="shared" si="46"/>
        <v>0</v>
      </c>
      <c r="AE137" s="3">
        <f t="shared" si="46"/>
        <v>0</v>
      </c>
      <c r="AF137" s="3">
        <f t="shared" si="46"/>
        <v>0</v>
      </c>
    </row>
    <row r="138" spans="1:33" x14ac:dyDescent="0.25">
      <c r="B138" s="3">
        <f t="shared" ref="B138:Z138" si="53">$C24*EXP(-B$129/$A24/EXP(-$B$126))</f>
        <v>8.4823708436980116E-2</v>
      </c>
      <c r="C138" s="3">
        <f t="shared" si="53"/>
        <v>8.4823708436980116E-2</v>
      </c>
      <c r="D138" s="3">
        <f t="shared" si="53"/>
        <v>8.4823708436980116E-2</v>
      </c>
      <c r="E138" s="3">
        <f t="shared" si="53"/>
        <v>8.4823708436980116E-2</v>
      </c>
      <c r="F138" s="3">
        <f t="shared" si="53"/>
        <v>8.4823708436980116E-2</v>
      </c>
      <c r="G138" s="3">
        <f t="shared" si="53"/>
        <v>8.4823708436980116E-2</v>
      </c>
      <c r="H138" s="3">
        <f t="shared" si="53"/>
        <v>8.4823708436980116E-2</v>
      </c>
      <c r="I138" s="3">
        <f t="shared" si="53"/>
        <v>8.4823708436980116E-2</v>
      </c>
      <c r="J138" s="3">
        <f t="shared" si="53"/>
        <v>8.4823708436980116E-2</v>
      </c>
      <c r="K138" s="3">
        <f t="shared" si="53"/>
        <v>8.4823708436980116E-2</v>
      </c>
      <c r="L138" s="3">
        <f t="shared" si="53"/>
        <v>8.4823708436980103E-2</v>
      </c>
      <c r="M138" s="3">
        <f t="shared" si="53"/>
        <v>8.4823708436980047E-2</v>
      </c>
      <c r="N138" s="3">
        <f t="shared" si="53"/>
        <v>8.4823708436979339E-2</v>
      </c>
      <c r="O138" s="3">
        <f t="shared" si="53"/>
        <v>8.4823708436972331E-2</v>
      </c>
      <c r="P138" s="3">
        <f t="shared" si="53"/>
        <v>8.4823708436902304E-2</v>
      </c>
      <c r="Q138" s="3">
        <f t="shared" si="53"/>
        <v>8.48237084362021E-2</v>
      </c>
      <c r="R138" s="3">
        <f t="shared" si="53"/>
        <v>8.4823708429199951E-2</v>
      </c>
      <c r="S138" s="3">
        <f t="shared" si="53"/>
        <v>8.4823708359178462E-2</v>
      </c>
      <c r="T138" s="3">
        <f t="shared" si="53"/>
        <v>8.4823707658963632E-2</v>
      </c>
      <c r="U138" s="3">
        <f t="shared" si="53"/>
        <v>8.4823700656815548E-2</v>
      </c>
      <c r="V138" s="3">
        <f t="shared" si="53"/>
        <v>8.482363063536659E-2</v>
      </c>
      <c r="W138" s="3">
        <f t="shared" si="53"/>
        <v>8.4822930424056045E-2</v>
      </c>
      <c r="X138" s="3">
        <f t="shared" si="53"/>
        <v>8.481592862885276E-2</v>
      </c>
      <c r="Y138" s="3">
        <f t="shared" si="53"/>
        <v>8.4745942457316661E-2</v>
      </c>
      <c r="Z138" s="3">
        <f t="shared" si="53"/>
        <v>8.4049249106221691E-2</v>
      </c>
      <c r="AA138" s="3">
        <f t="shared" ref="AA138" si="54">$C24*EXP(-AA$129/$A24/EXP(-$B$126))</f>
        <v>7.7389684775778372E-2</v>
      </c>
      <c r="AB138" s="3">
        <f t="shared" si="46"/>
        <v>3.389810935897293E-2</v>
      </c>
      <c r="AC138" s="3">
        <f t="shared" si="46"/>
        <v>8.8125067751629018E-6</v>
      </c>
      <c r="AD138" s="3">
        <f t="shared" si="46"/>
        <v>1.2426228586930852E-41</v>
      </c>
      <c r="AE138" s="3">
        <f t="shared" si="46"/>
        <v>0</v>
      </c>
      <c r="AF138" s="3">
        <f t="shared" si="46"/>
        <v>0</v>
      </c>
    </row>
    <row r="139" spans="1:33" x14ac:dyDescent="0.25">
      <c r="B139" s="3">
        <f t="shared" ref="B139:Z139" si="55">$C25*EXP(-B$129/$A25/EXP(-$B$126))</f>
        <v>0.10369484660409525</v>
      </c>
      <c r="C139" s="3">
        <f t="shared" si="55"/>
        <v>0.10369484660409525</v>
      </c>
      <c r="D139" s="3">
        <f t="shared" si="55"/>
        <v>0.10369484660409525</v>
      </c>
      <c r="E139" s="3">
        <f t="shared" si="55"/>
        <v>0.10369484660409525</v>
      </c>
      <c r="F139" s="3">
        <f t="shared" si="55"/>
        <v>0.10369484660409525</v>
      </c>
      <c r="G139" s="3">
        <f t="shared" si="55"/>
        <v>0.10369484660409525</v>
      </c>
      <c r="H139" s="3">
        <f t="shared" si="55"/>
        <v>0.10369484660409525</v>
      </c>
      <c r="I139" s="3">
        <f t="shared" si="55"/>
        <v>0.10369484660409525</v>
      </c>
      <c r="J139" s="3">
        <f t="shared" si="55"/>
        <v>0.10369484660409525</v>
      </c>
      <c r="K139" s="3">
        <f t="shared" si="55"/>
        <v>0.10369484660409525</v>
      </c>
      <c r="L139" s="3">
        <f t="shared" si="55"/>
        <v>0.10369484660409525</v>
      </c>
      <c r="M139" s="3">
        <f t="shared" si="55"/>
        <v>0.10369484660409524</v>
      </c>
      <c r="N139" s="3">
        <f t="shared" si="55"/>
        <v>0.10369484660409517</v>
      </c>
      <c r="O139" s="3">
        <f t="shared" si="55"/>
        <v>0.10369484660409439</v>
      </c>
      <c r="P139" s="3">
        <f t="shared" si="55"/>
        <v>0.10369484660408668</v>
      </c>
      <c r="Q139" s="3">
        <f t="shared" si="55"/>
        <v>0.10369484660400945</v>
      </c>
      <c r="R139" s="3">
        <f t="shared" si="55"/>
        <v>0.10369484660323727</v>
      </c>
      <c r="S139" s="3">
        <f t="shared" si="55"/>
        <v>0.10369484659551549</v>
      </c>
      <c r="T139" s="3">
        <f t="shared" si="55"/>
        <v>0.10369484651829762</v>
      </c>
      <c r="U139" s="3">
        <f t="shared" si="55"/>
        <v>0.10369484574611892</v>
      </c>
      <c r="V139" s="3">
        <f t="shared" si="55"/>
        <v>0.1036948380243322</v>
      </c>
      <c r="W139" s="3">
        <f t="shared" si="55"/>
        <v>0.1036947608064967</v>
      </c>
      <c r="X139" s="3">
        <f t="shared" si="55"/>
        <v>0.10369398863130429</v>
      </c>
      <c r="Y139" s="3">
        <f t="shared" si="55"/>
        <v>0.10368626719562812</v>
      </c>
      <c r="Z139" s="3">
        <f t="shared" si="55"/>
        <v>0.10360908445496034</v>
      </c>
      <c r="AA139" s="3">
        <f t="shared" ref="AA139" si="56">$C25*EXP(-AA$129/$A25/EXP(-$B$126))</f>
        <v>0.10284040996393468</v>
      </c>
      <c r="AB139" s="3">
        <f t="shared" si="46"/>
        <v>9.5460439850227063E-2</v>
      </c>
      <c r="AC139" s="3">
        <f t="shared" si="46"/>
        <v>4.5333552141106438E-2</v>
      </c>
      <c r="AD139" s="3">
        <f t="shared" si="46"/>
        <v>2.6447397151140611E-5</v>
      </c>
      <c r="AE139" s="3">
        <f t="shared" si="46"/>
        <v>1.2078550177227456E-37</v>
      </c>
      <c r="AF139" s="3">
        <f t="shared" si="46"/>
        <v>0</v>
      </c>
    </row>
    <row r="140" spans="1:33" x14ac:dyDescent="0.25">
      <c r="B140" s="3">
        <f t="shared" ref="B140:Z140" si="57">$C26*EXP(-B$129/$A26/EXP(-$B$126))</f>
        <v>0.13305313379533851</v>
      </c>
      <c r="C140" s="3">
        <f t="shared" si="57"/>
        <v>0.13305313379533851</v>
      </c>
      <c r="D140" s="3">
        <f t="shared" si="57"/>
        <v>0.13305313379533851</v>
      </c>
      <c r="E140" s="3">
        <f t="shared" si="57"/>
        <v>0.13305313379533851</v>
      </c>
      <c r="F140" s="3">
        <f t="shared" si="57"/>
        <v>0.13305313379533851</v>
      </c>
      <c r="G140" s="3">
        <f t="shared" si="57"/>
        <v>0.13305313379533851</v>
      </c>
      <c r="H140" s="3">
        <f t="shared" si="57"/>
        <v>0.13305313379533851</v>
      </c>
      <c r="I140" s="3">
        <f t="shared" si="57"/>
        <v>0.13305313379533851</v>
      </c>
      <c r="J140" s="3">
        <f t="shared" si="57"/>
        <v>0.13305313379533851</v>
      </c>
      <c r="K140" s="3">
        <f t="shared" si="57"/>
        <v>0.13305313379533851</v>
      </c>
      <c r="L140" s="3">
        <f t="shared" si="57"/>
        <v>0.13305313379533851</v>
      </c>
      <c r="M140" s="3">
        <f t="shared" si="57"/>
        <v>0.13305313379533851</v>
      </c>
      <c r="N140" s="3">
        <f t="shared" si="57"/>
        <v>0.13305313379533848</v>
      </c>
      <c r="O140" s="3">
        <f t="shared" si="57"/>
        <v>0.1330531337953384</v>
      </c>
      <c r="P140" s="3">
        <f t="shared" si="57"/>
        <v>0.13305313379533751</v>
      </c>
      <c r="Q140" s="3">
        <f t="shared" si="57"/>
        <v>0.13305313379532857</v>
      </c>
      <c r="R140" s="3">
        <f t="shared" si="57"/>
        <v>0.1330531337952392</v>
      </c>
      <c r="S140" s="3">
        <f t="shared" si="57"/>
        <v>0.13305313379434541</v>
      </c>
      <c r="T140" s="3">
        <f t="shared" si="57"/>
        <v>0.13305313378540756</v>
      </c>
      <c r="U140" s="3">
        <f t="shared" si="57"/>
        <v>0.13305313369602922</v>
      </c>
      <c r="V140" s="3">
        <f t="shared" si="57"/>
        <v>0.1330531328022457</v>
      </c>
      <c r="W140" s="3">
        <f t="shared" si="57"/>
        <v>0.13305312386441079</v>
      </c>
      <c r="X140" s="3">
        <f t="shared" si="57"/>
        <v>0.13305303448609465</v>
      </c>
      <c r="Y140" s="3">
        <f t="shared" si="57"/>
        <v>0.13305214070623542</v>
      </c>
      <c r="Z140" s="3">
        <f t="shared" si="57"/>
        <v>0.13304320323785326</v>
      </c>
      <c r="AA140" s="3">
        <f t="shared" ref="AA140" si="58">$C26*EXP(-AA$129/$A26/EXP(-$B$126))</f>
        <v>0.13295386156683048</v>
      </c>
      <c r="AB140" s="3">
        <f t="shared" si="46"/>
        <v>0.13206373794596271</v>
      </c>
      <c r="AC140" s="3">
        <f t="shared" si="46"/>
        <v>0.12348377078202839</v>
      </c>
      <c r="AD140" s="3">
        <f t="shared" si="46"/>
        <v>6.3077265513044628E-2</v>
      </c>
      <c r="AE140" s="3">
        <f t="shared" si="46"/>
        <v>7.6296147039012669E-5</v>
      </c>
      <c r="AF140" s="3">
        <f t="shared" si="46"/>
        <v>5.1144636311340839E-34</v>
      </c>
    </row>
    <row r="141" spans="1:33" x14ac:dyDescent="0.25">
      <c r="B141" s="3">
        <f t="shared" ref="B141:Z141" si="59">$C27*EXP(-B$129/$A27/EXP(-$B$126))</f>
        <v>0.10368180212181953</v>
      </c>
      <c r="C141" s="3">
        <f t="shared" si="59"/>
        <v>0.10368180212181953</v>
      </c>
      <c r="D141" s="3">
        <f t="shared" si="59"/>
        <v>0.10368180212181953</v>
      </c>
      <c r="E141" s="3">
        <f t="shared" si="59"/>
        <v>0.10368180212181953</v>
      </c>
      <c r="F141" s="3">
        <f t="shared" si="59"/>
        <v>0.10368180212181953</v>
      </c>
      <c r="G141" s="3">
        <f t="shared" si="59"/>
        <v>0.10368180212181953</v>
      </c>
      <c r="H141" s="3">
        <f t="shared" si="59"/>
        <v>0.10368180212181953</v>
      </c>
      <c r="I141" s="3">
        <f t="shared" si="59"/>
        <v>0.10368180212181953</v>
      </c>
      <c r="J141" s="3">
        <f t="shared" si="59"/>
        <v>0.10368180212181953</v>
      </c>
      <c r="K141" s="3">
        <f t="shared" si="59"/>
        <v>0.10368180212181953</v>
      </c>
      <c r="L141" s="3">
        <f t="shared" si="59"/>
        <v>0.10368180212181953</v>
      </c>
      <c r="M141" s="3">
        <f t="shared" si="59"/>
        <v>0.10368180212181953</v>
      </c>
      <c r="N141" s="3">
        <f t="shared" si="59"/>
        <v>0.10368180212181953</v>
      </c>
      <c r="O141" s="3">
        <f t="shared" si="59"/>
        <v>0.10368180212181952</v>
      </c>
      <c r="P141" s="3">
        <f t="shared" si="59"/>
        <v>0.10368180212181946</v>
      </c>
      <c r="Q141" s="3">
        <f t="shared" si="59"/>
        <v>0.10368180212181882</v>
      </c>
      <c r="R141" s="3">
        <f t="shared" si="59"/>
        <v>0.10368180212181255</v>
      </c>
      <c r="S141" s="3">
        <f t="shared" si="59"/>
        <v>0.10368180212174971</v>
      </c>
      <c r="T141" s="3">
        <f t="shared" si="59"/>
        <v>0.10368180212112144</v>
      </c>
      <c r="U141" s="3">
        <f t="shared" si="59"/>
        <v>0.10368180211483859</v>
      </c>
      <c r="V141" s="3">
        <f t="shared" si="59"/>
        <v>0.10368180205201014</v>
      </c>
      <c r="W141" s="3">
        <f t="shared" si="59"/>
        <v>0.10368180142372561</v>
      </c>
      <c r="X141" s="3">
        <f t="shared" si="59"/>
        <v>0.10368179514088054</v>
      </c>
      <c r="Y141" s="3">
        <f t="shared" si="59"/>
        <v>0.10368173231245073</v>
      </c>
      <c r="Z141" s="3">
        <f t="shared" si="59"/>
        <v>0.10368110403024663</v>
      </c>
      <c r="AA141" s="3">
        <f t="shared" ref="AA141" si="60">$C27*EXP(-AA$129/$A27/EXP(-$B$126))</f>
        <v>0.10367482141759866</v>
      </c>
      <c r="AB141" s="3">
        <f t="shared" si="46"/>
        <v>0.10361201622572044</v>
      </c>
      <c r="AC141" s="3">
        <f t="shared" si="46"/>
        <v>0.10298605308093449</v>
      </c>
      <c r="AD141" s="3">
        <f t="shared" si="46"/>
        <v>9.6930690728960281E-2</v>
      </c>
      <c r="AE141" s="3">
        <f t="shared" si="46"/>
        <v>5.2879853183235008E-2</v>
      </c>
      <c r="AF141" s="3">
        <f t="shared" si="46"/>
        <v>1.2347515280666915E-4</v>
      </c>
    </row>
    <row r="142" spans="1:33" x14ac:dyDescent="0.25">
      <c r="B142" s="3">
        <f t="shared" ref="B142:Z142" si="61">$C28*EXP(-B$129/$A28/EXP(-$B$126))</f>
        <v>6.4516912228113732E-2</v>
      </c>
      <c r="C142" s="3">
        <f t="shared" si="61"/>
        <v>6.4516912228113732E-2</v>
      </c>
      <c r="D142" s="3">
        <f t="shared" si="61"/>
        <v>6.4516912228113732E-2</v>
      </c>
      <c r="E142" s="3">
        <f t="shared" si="61"/>
        <v>6.4516912228113732E-2</v>
      </c>
      <c r="F142" s="3">
        <f t="shared" si="61"/>
        <v>6.4516912228113732E-2</v>
      </c>
      <c r="G142" s="3">
        <f t="shared" si="61"/>
        <v>6.4516912228113732E-2</v>
      </c>
      <c r="H142" s="3">
        <f t="shared" si="61"/>
        <v>6.4516912228113732E-2</v>
      </c>
      <c r="I142" s="3">
        <f t="shared" si="61"/>
        <v>6.4516912228113732E-2</v>
      </c>
      <c r="J142" s="3">
        <f t="shared" si="61"/>
        <v>6.4516912228113732E-2</v>
      </c>
      <c r="K142" s="3">
        <f t="shared" si="61"/>
        <v>6.4516912228113732E-2</v>
      </c>
      <c r="L142" s="3">
        <f t="shared" si="61"/>
        <v>6.4516912228113732E-2</v>
      </c>
      <c r="M142" s="3">
        <f t="shared" si="61"/>
        <v>6.4516912228113732E-2</v>
      </c>
      <c r="N142" s="3">
        <f t="shared" si="61"/>
        <v>6.4516912228113732E-2</v>
      </c>
      <c r="O142" s="3">
        <f t="shared" si="61"/>
        <v>6.4516912228113732E-2</v>
      </c>
      <c r="P142" s="3">
        <f t="shared" si="61"/>
        <v>6.4516912228113718E-2</v>
      </c>
      <c r="Q142" s="3">
        <f t="shared" si="61"/>
        <v>6.451691222811369E-2</v>
      </c>
      <c r="R142" s="3">
        <f t="shared" si="61"/>
        <v>6.4516912228113343E-2</v>
      </c>
      <c r="S142" s="3">
        <f t="shared" si="61"/>
        <v>6.4516912228109818E-2</v>
      </c>
      <c r="T142" s="3">
        <f t="shared" si="61"/>
        <v>6.4516912228074541E-2</v>
      </c>
      <c r="U142" s="3">
        <f t="shared" si="61"/>
        <v>6.4516912227721865E-2</v>
      </c>
      <c r="V142" s="3">
        <f t="shared" si="61"/>
        <v>6.451691222419513E-2</v>
      </c>
      <c r="W142" s="3">
        <f t="shared" si="61"/>
        <v>6.4516912188927689E-2</v>
      </c>
      <c r="X142" s="3">
        <f t="shared" si="61"/>
        <v>6.4516911836253243E-2</v>
      </c>
      <c r="Y142" s="3">
        <f t="shared" si="61"/>
        <v>6.4516908309508875E-2</v>
      </c>
      <c r="Z142" s="3">
        <f t="shared" si="61"/>
        <v>6.4516873042075915E-2</v>
      </c>
      <c r="AA142" s="3">
        <f t="shared" ref="AA142" si="62">$C28*EXP(-AA$129/$A28/EXP(-$B$126))</f>
        <v>6.4516520368806618E-2</v>
      </c>
      <c r="AB142" s="3">
        <f t="shared" si="46"/>
        <v>6.4512993742143226E-2</v>
      </c>
      <c r="AC142" s="3">
        <f t="shared" si="46"/>
        <v>6.4477738076330546E-2</v>
      </c>
      <c r="AD142" s="3">
        <f t="shared" si="46"/>
        <v>6.4126239359373366E-2</v>
      </c>
      <c r="AE142" s="3">
        <f t="shared" si="46"/>
        <v>6.0714937480681207E-2</v>
      </c>
      <c r="AF142" s="3">
        <f t="shared" si="46"/>
        <v>3.5147412315217161E-2</v>
      </c>
    </row>
    <row r="143" spans="1:33" x14ac:dyDescent="0.25">
      <c r="B143" s="3">
        <f t="shared" ref="B143:Z143" si="63">$C29*EXP(-B$129/$A29/EXP(-$B$126))</f>
        <v>3.7592139756949243E-2</v>
      </c>
      <c r="C143" s="3">
        <f t="shared" si="63"/>
        <v>3.7592139756949243E-2</v>
      </c>
      <c r="D143" s="3">
        <f t="shared" si="63"/>
        <v>3.7592139756949243E-2</v>
      </c>
      <c r="E143" s="3">
        <f t="shared" si="63"/>
        <v>3.7592139756949243E-2</v>
      </c>
      <c r="F143" s="3">
        <f t="shared" si="63"/>
        <v>3.7592139756949243E-2</v>
      </c>
      <c r="G143" s="3">
        <f t="shared" si="63"/>
        <v>3.7592139756949243E-2</v>
      </c>
      <c r="H143" s="3">
        <f t="shared" si="63"/>
        <v>3.7592139756949243E-2</v>
      </c>
      <c r="I143" s="3">
        <f t="shared" si="63"/>
        <v>3.7592139756949243E-2</v>
      </c>
      <c r="J143" s="3">
        <f t="shared" si="63"/>
        <v>3.7592139756949243E-2</v>
      </c>
      <c r="K143" s="3">
        <f t="shared" si="63"/>
        <v>3.7592139756949243E-2</v>
      </c>
      <c r="L143" s="3">
        <f t="shared" si="63"/>
        <v>3.7592139756949243E-2</v>
      </c>
      <c r="M143" s="3">
        <f t="shared" si="63"/>
        <v>3.7592139756949243E-2</v>
      </c>
      <c r="N143" s="3">
        <f t="shared" si="63"/>
        <v>3.7592139756949243E-2</v>
      </c>
      <c r="O143" s="3">
        <f t="shared" si="63"/>
        <v>3.7592139756949243E-2</v>
      </c>
      <c r="P143" s="3">
        <f t="shared" si="63"/>
        <v>3.7592139756949243E-2</v>
      </c>
      <c r="Q143" s="3">
        <f t="shared" si="63"/>
        <v>3.7592139756949243E-2</v>
      </c>
      <c r="R143" s="3">
        <f t="shared" si="63"/>
        <v>3.7592139756949222E-2</v>
      </c>
      <c r="S143" s="3">
        <f t="shared" si="63"/>
        <v>3.7592139756949042E-2</v>
      </c>
      <c r="T143" s="3">
        <f t="shared" si="63"/>
        <v>3.7592139756947182E-2</v>
      </c>
      <c r="U143" s="3">
        <f t="shared" si="63"/>
        <v>3.7592139756928648E-2</v>
      </c>
      <c r="V143" s="3">
        <f t="shared" si="63"/>
        <v>3.7592139756743276E-2</v>
      </c>
      <c r="W143" s="3">
        <f t="shared" si="63"/>
        <v>3.7592139754889557E-2</v>
      </c>
      <c r="X143" s="3">
        <f t="shared" si="63"/>
        <v>3.7592139736352358E-2</v>
      </c>
      <c r="Y143" s="3">
        <f t="shared" si="63"/>
        <v>3.759213955098039E-2</v>
      </c>
      <c r="Z143" s="3">
        <f t="shared" si="63"/>
        <v>3.7592137697260775E-2</v>
      </c>
      <c r="AA143" s="3">
        <f t="shared" ref="AA143" si="64">$C29*EXP(-AA$129/$A29/EXP(-$B$126))</f>
        <v>3.7592119160069666E-2</v>
      </c>
      <c r="AB143" s="3">
        <f t="shared" si="46"/>
        <v>3.7591933788661339E-2</v>
      </c>
      <c r="AC143" s="3">
        <f t="shared" si="46"/>
        <v>3.7590080124852189E-2</v>
      </c>
      <c r="AD143" s="3">
        <f t="shared" si="46"/>
        <v>3.757154851326111E-2</v>
      </c>
      <c r="AE143" s="3">
        <f t="shared" si="46"/>
        <v>3.7386734131502196E-2</v>
      </c>
      <c r="AF143" s="3">
        <f t="shared" si="46"/>
        <v>3.5587860254007869E-2</v>
      </c>
    </row>
    <row r="144" spans="1:33" x14ac:dyDescent="0.25">
      <c r="B144" s="3">
        <f t="shared" ref="B144:Z144" si="65">$C30*EXP(-B$129/$A30/EXP(-$B$126))</f>
        <v>7.6036322594280207E-3</v>
      </c>
      <c r="C144" s="3">
        <f t="shared" si="65"/>
        <v>7.6036322594280207E-3</v>
      </c>
      <c r="D144" s="3">
        <f t="shared" si="65"/>
        <v>7.6036322594280207E-3</v>
      </c>
      <c r="E144" s="3">
        <f t="shared" si="65"/>
        <v>7.6036322594280207E-3</v>
      </c>
      <c r="F144" s="3">
        <f t="shared" si="65"/>
        <v>7.6036322594280207E-3</v>
      </c>
      <c r="G144" s="3">
        <f t="shared" si="65"/>
        <v>7.6036322594280207E-3</v>
      </c>
      <c r="H144" s="3">
        <f t="shared" si="65"/>
        <v>7.6036322594280207E-3</v>
      </c>
      <c r="I144" s="3">
        <f t="shared" si="65"/>
        <v>7.6036322594280207E-3</v>
      </c>
      <c r="J144" s="3">
        <f t="shared" si="65"/>
        <v>7.6036322594280207E-3</v>
      </c>
      <c r="K144" s="3">
        <f t="shared" si="65"/>
        <v>7.6036322594280207E-3</v>
      </c>
      <c r="L144" s="3">
        <f t="shared" si="65"/>
        <v>7.6036322594280207E-3</v>
      </c>
      <c r="M144" s="3">
        <f t="shared" si="65"/>
        <v>7.6036322594280207E-3</v>
      </c>
      <c r="N144" s="3">
        <f t="shared" si="65"/>
        <v>7.6036322594280207E-3</v>
      </c>
      <c r="O144" s="3">
        <f t="shared" si="65"/>
        <v>7.6036322594280207E-3</v>
      </c>
      <c r="P144" s="3">
        <f t="shared" si="65"/>
        <v>7.6036322594280207E-3</v>
      </c>
      <c r="Q144" s="3">
        <f t="shared" si="65"/>
        <v>7.6036322594280207E-3</v>
      </c>
      <c r="R144" s="3">
        <f t="shared" si="65"/>
        <v>7.6036322594280207E-3</v>
      </c>
      <c r="S144" s="3">
        <f t="shared" si="65"/>
        <v>7.6036322594280172E-3</v>
      </c>
      <c r="T144" s="3">
        <f t="shared" si="65"/>
        <v>7.6036322594279825E-3</v>
      </c>
      <c r="U144" s="3">
        <f t="shared" si="65"/>
        <v>7.6036322594276451E-3</v>
      </c>
      <c r="V144" s="3">
        <f t="shared" si="65"/>
        <v>7.6036322594242624E-3</v>
      </c>
      <c r="W144" s="3">
        <f t="shared" si="65"/>
        <v>7.6036322593904387E-3</v>
      </c>
      <c r="X144" s="3">
        <f t="shared" si="65"/>
        <v>7.6036322590522076E-3</v>
      </c>
      <c r="Y144" s="3">
        <f t="shared" si="65"/>
        <v>7.603632255669888E-3</v>
      </c>
      <c r="Z144" s="3">
        <f t="shared" si="65"/>
        <v>7.6036322218466859E-3</v>
      </c>
      <c r="AA144" s="3">
        <f t="shared" ref="AA144" si="66">$C30*EXP(-AA$129/$A30/EXP(-$B$126))</f>
        <v>7.6036318836146853E-3</v>
      </c>
      <c r="AB144" s="3">
        <f t="shared" ref="AB144:AF153" si="67">$C30*EXP(-AB$129/$A30/EXP(-$B$126))</f>
        <v>7.6036285012955002E-3</v>
      </c>
      <c r="AC144" s="3">
        <f t="shared" si="67"/>
        <v>7.6035946781863994E-3</v>
      </c>
      <c r="AD144" s="3">
        <f t="shared" si="67"/>
        <v>7.6032564553702997E-3</v>
      </c>
      <c r="AE144" s="3">
        <f t="shared" si="67"/>
        <v>7.5998750545636998E-3</v>
      </c>
      <c r="AF144" s="3">
        <f t="shared" si="67"/>
        <v>7.5661436459277653E-3</v>
      </c>
    </row>
    <row r="145" spans="1:32" x14ac:dyDescent="0.25">
      <c r="B145" s="3">
        <f t="shared" ref="B145:Z145" si="68">$C31*EXP(-B$129/$A31/EXP(-$B$126))</f>
        <v>4.6601949201853935E-3</v>
      </c>
      <c r="C145" s="3">
        <f t="shared" si="68"/>
        <v>4.6601949201853935E-3</v>
      </c>
      <c r="D145" s="3">
        <f t="shared" si="68"/>
        <v>4.6601949201853935E-3</v>
      </c>
      <c r="E145" s="3">
        <f t="shared" si="68"/>
        <v>4.6601949201853935E-3</v>
      </c>
      <c r="F145" s="3">
        <f t="shared" si="68"/>
        <v>4.6601949201853935E-3</v>
      </c>
      <c r="G145" s="3">
        <f t="shared" si="68"/>
        <v>4.6601949201853935E-3</v>
      </c>
      <c r="H145" s="3">
        <f t="shared" si="68"/>
        <v>4.6601949201853935E-3</v>
      </c>
      <c r="I145" s="3">
        <f t="shared" si="68"/>
        <v>4.6601949201853935E-3</v>
      </c>
      <c r="J145" s="3">
        <f t="shared" si="68"/>
        <v>4.6601949201853935E-3</v>
      </c>
      <c r="K145" s="3">
        <f t="shared" si="68"/>
        <v>4.6601949201853935E-3</v>
      </c>
      <c r="L145" s="3">
        <f t="shared" si="68"/>
        <v>4.6601949201853935E-3</v>
      </c>
      <c r="M145" s="3">
        <f t="shared" si="68"/>
        <v>4.6601949201853935E-3</v>
      </c>
      <c r="N145" s="3">
        <f t="shared" si="68"/>
        <v>4.6601949201853935E-3</v>
      </c>
      <c r="O145" s="3">
        <f t="shared" si="68"/>
        <v>4.6601949201853935E-3</v>
      </c>
      <c r="P145" s="3">
        <f t="shared" si="68"/>
        <v>4.6601949201853935E-3</v>
      </c>
      <c r="Q145" s="3">
        <f t="shared" si="68"/>
        <v>4.6601949201853935E-3</v>
      </c>
      <c r="R145" s="3">
        <f t="shared" si="68"/>
        <v>4.6601949201853935E-3</v>
      </c>
      <c r="S145" s="3">
        <f t="shared" si="68"/>
        <v>4.6601949201853935E-3</v>
      </c>
      <c r="T145" s="3">
        <f t="shared" si="68"/>
        <v>4.6601949201853917E-3</v>
      </c>
      <c r="U145" s="3">
        <f t="shared" si="68"/>
        <v>4.6601949201853727E-3</v>
      </c>
      <c r="V145" s="3">
        <f t="shared" si="68"/>
        <v>4.6601949201851853E-3</v>
      </c>
      <c r="W145" s="3">
        <f t="shared" si="68"/>
        <v>4.6601949201833153E-3</v>
      </c>
      <c r="X145" s="3">
        <f t="shared" si="68"/>
        <v>4.6601949201646158E-3</v>
      </c>
      <c r="Y145" s="3">
        <f t="shared" si="68"/>
        <v>4.6601949199776144E-3</v>
      </c>
      <c r="Z145" s="3">
        <f t="shared" si="68"/>
        <v>4.6601949181076033E-3</v>
      </c>
      <c r="AA145" s="3">
        <f t="shared" ref="AA145" si="69">$C31*EXP(-AA$129/$A31/EXP(-$B$126))</f>
        <v>4.660194899407488E-3</v>
      </c>
      <c r="AB145" s="3">
        <f t="shared" si="67"/>
        <v>4.6601947124063434E-3</v>
      </c>
      <c r="AC145" s="3">
        <f t="shared" si="67"/>
        <v>4.6601928423953094E-3</v>
      </c>
      <c r="AD145" s="3">
        <f t="shared" si="67"/>
        <v>4.6601741423262424E-3</v>
      </c>
      <c r="AE145" s="3">
        <f t="shared" si="67"/>
        <v>4.6599871457626207E-3</v>
      </c>
      <c r="AF145" s="3">
        <f t="shared" si="67"/>
        <v>4.6581175927703916E-3</v>
      </c>
    </row>
    <row r="146" spans="1:32" x14ac:dyDescent="0.25">
      <c r="B146" s="3">
        <f t="shared" ref="B146:Z146" si="70">$C32*EXP(-B$129/$A32/EXP(-$B$126))</f>
        <v>1.548728015482176E-3</v>
      </c>
      <c r="C146" s="3">
        <f t="shared" si="70"/>
        <v>1.548728015482176E-3</v>
      </c>
      <c r="D146" s="3">
        <f t="shared" si="70"/>
        <v>1.548728015482176E-3</v>
      </c>
      <c r="E146" s="3">
        <f t="shared" si="70"/>
        <v>1.548728015482176E-3</v>
      </c>
      <c r="F146" s="3">
        <f t="shared" si="70"/>
        <v>1.548728015482176E-3</v>
      </c>
      <c r="G146" s="3">
        <f t="shared" si="70"/>
        <v>1.548728015482176E-3</v>
      </c>
      <c r="H146" s="3">
        <f t="shared" si="70"/>
        <v>1.548728015482176E-3</v>
      </c>
      <c r="I146" s="3">
        <f t="shared" si="70"/>
        <v>1.548728015482176E-3</v>
      </c>
      <c r="J146" s="3">
        <f t="shared" si="70"/>
        <v>1.548728015482176E-3</v>
      </c>
      <c r="K146" s="3">
        <f t="shared" si="70"/>
        <v>1.548728015482176E-3</v>
      </c>
      <c r="L146" s="3">
        <f t="shared" si="70"/>
        <v>1.548728015482176E-3</v>
      </c>
      <c r="M146" s="3">
        <f t="shared" si="70"/>
        <v>1.548728015482176E-3</v>
      </c>
      <c r="N146" s="3">
        <f t="shared" si="70"/>
        <v>1.548728015482176E-3</v>
      </c>
      <c r="O146" s="3">
        <f t="shared" si="70"/>
        <v>1.548728015482176E-3</v>
      </c>
      <c r="P146" s="3">
        <f t="shared" si="70"/>
        <v>1.548728015482176E-3</v>
      </c>
      <c r="Q146" s="3">
        <f t="shared" si="70"/>
        <v>1.548728015482176E-3</v>
      </c>
      <c r="R146" s="3">
        <f t="shared" si="70"/>
        <v>1.548728015482176E-3</v>
      </c>
      <c r="S146" s="3">
        <f t="shared" si="70"/>
        <v>1.548728015482176E-3</v>
      </c>
      <c r="T146" s="3">
        <f t="shared" si="70"/>
        <v>1.548728015482176E-3</v>
      </c>
      <c r="U146" s="3">
        <f t="shared" si="70"/>
        <v>1.5487280154821753E-3</v>
      </c>
      <c r="V146" s="3">
        <f t="shared" si="70"/>
        <v>1.5487280154821697E-3</v>
      </c>
      <c r="W146" s="3">
        <f t="shared" si="70"/>
        <v>1.5487280154821137E-3</v>
      </c>
      <c r="X146" s="3">
        <f t="shared" si="70"/>
        <v>1.548728015481553E-3</v>
      </c>
      <c r="Y146" s="3">
        <f t="shared" si="70"/>
        <v>1.548728015475947E-3</v>
      </c>
      <c r="Z146" s="3">
        <f t="shared" si="70"/>
        <v>1.5487280154198859E-3</v>
      </c>
      <c r="AA146" s="3">
        <f t="shared" ref="AA146" si="71">$C32*EXP(-AA$129/$A32/EXP(-$B$126))</f>
        <v>1.5487280148592743E-3</v>
      </c>
      <c r="AB146" s="3">
        <f t="shared" si="67"/>
        <v>1.5487280092531602E-3</v>
      </c>
      <c r="AC146" s="3">
        <f t="shared" si="67"/>
        <v>1.5487279531920196E-3</v>
      </c>
      <c r="AD146" s="3">
        <f t="shared" si="67"/>
        <v>1.5487273925807257E-3</v>
      </c>
      <c r="AE146" s="3">
        <f t="shared" si="67"/>
        <v>1.5487217864789461E-3</v>
      </c>
      <c r="AF146" s="3">
        <f t="shared" si="67"/>
        <v>1.5486657265772552E-3</v>
      </c>
    </row>
    <row r="147" spans="1:32" x14ac:dyDescent="0.25">
      <c r="B147" s="3">
        <f t="shared" ref="B147:Z147" si="72">$C33*EXP(-B$129/$A33/EXP(-$B$126))</f>
        <v>1.7981576820785483E-3</v>
      </c>
      <c r="C147" s="3">
        <f t="shared" si="72"/>
        <v>1.7981576820785483E-3</v>
      </c>
      <c r="D147" s="3">
        <f t="shared" si="72"/>
        <v>1.7981576820785483E-3</v>
      </c>
      <c r="E147" s="3">
        <f t="shared" si="72"/>
        <v>1.7981576820785483E-3</v>
      </c>
      <c r="F147" s="3">
        <f t="shared" si="72"/>
        <v>1.7981576820785483E-3</v>
      </c>
      <c r="G147" s="3">
        <f t="shared" si="72"/>
        <v>1.7981576820785483E-3</v>
      </c>
      <c r="H147" s="3">
        <f t="shared" si="72"/>
        <v>1.7981576820785483E-3</v>
      </c>
      <c r="I147" s="3">
        <f t="shared" si="72"/>
        <v>1.7981576820785483E-3</v>
      </c>
      <c r="J147" s="3">
        <f t="shared" si="72"/>
        <v>1.7981576820785483E-3</v>
      </c>
      <c r="K147" s="3">
        <f t="shared" si="72"/>
        <v>1.7981576820785483E-3</v>
      </c>
      <c r="L147" s="3">
        <f t="shared" si="72"/>
        <v>1.7981576820785483E-3</v>
      </c>
      <c r="M147" s="3">
        <f t="shared" si="72"/>
        <v>1.7981576820785483E-3</v>
      </c>
      <c r="N147" s="3">
        <f t="shared" si="72"/>
        <v>1.7981576820785483E-3</v>
      </c>
      <c r="O147" s="3">
        <f t="shared" si="72"/>
        <v>1.7981576820785483E-3</v>
      </c>
      <c r="P147" s="3">
        <f t="shared" si="72"/>
        <v>1.7981576820785483E-3</v>
      </c>
      <c r="Q147" s="3">
        <f t="shared" si="72"/>
        <v>1.7981576820785483E-3</v>
      </c>
      <c r="R147" s="3">
        <f t="shared" si="72"/>
        <v>1.7981576820785483E-3</v>
      </c>
      <c r="S147" s="3">
        <f t="shared" si="72"/>
        <v>1.7981576820785483E-3</v>
      </c>
      <c r="T147" s="3">
        <f t="shared" si="72"/>
        <v>1.7981576820785483E-3</v>
      </c>
      <c r="U147" s="3">
        <f t="shared" si="72"/>
        <v>1.7981576820785483E-3</v>
      </c>
      <c r="V147" s="3">
        <f t="shared" si="72"/>
        <v>1.7981576820785476E-3</v>
      </c>
      <c r="W147" s="3">
        <f t="shared" si="72"/>
        <v>1.7981576820785417E-3</v>
      </c>
      <c r="X147" s="3">
        <f t="shared" si="72"/>
        <v>1.798157682078483E-3</v>
      </c>
      <c r="Y147" s="3">
        <f t="shared" si="72"/>
        <v>1.7981576820778958E-3</v>
      </c>
      <c r="Z147" s="3">
        <f t="shared" si="72"/>
        <v>1.7981576820720242E-3</v>
      </c>
      <c r="AA147" s="3">
        <f t="shared" ref="AA147" si="73">$C33*EXP(-AA$129/$A33/EXP(-$B$126))</f>
        <v>1.7981576820133075E-3</v>
      </c>
      <c r="AB147" s="3">
        <f t="shared" si="67"/>
        <v>1.7981576814261413E-3</v>
      </c>
      <c r="AC147" s="3">
        <f t="shared" si="67"/>
        <v>1.7981576755544779E-3</v>
      </c>
      <c r="AD147" s="3">
        <f t="shared" si="67"/>
        <v>1.7981576168378454E-3</v>
      </c>
      <c r="AE147" s="3">
        <f t="shared" si="67"/>
        <v>1.798157029671627E-3</v>
      </c>
      <c r="AF147" s="3">
        <f t="shared" si="67"/>
        <v>1.7981511580199864E-3</v>
      </c>
    </row>
    <row r="148" spans="1:32" x14ac:dyDescent="0.25">
      <c r="B148" s="3">
        <f t="shared" ref="B148:Z148" si="74">$C34*EXP(-B$129/$A34/EXP(-$B$126))</f>
        <v>4.3198756825701184E-3</v>
      </c>
      <c r="C148" s="3">
        <f t="shared" si="74"/>
        <v>4.3198756825701184E-3</v>
      </c>
      <c r="D148" s="3">
        <f t="shared" si="74"/>
        <v>4.3198756825701184E-3</v>
      </c>
      <c r="E148" s="3">
        <f t="shared" si="74"/>
        <v>4.3198756825701184E-3</v>
      </c>
      <c r="F148" s="3">
        <f t="shared" si="74"/>
        <v>4.3198756825701184E-3</v>
      </c>
      <c r="G148" s="3">
        <f t="shared" si="74"/>
        <v>4.3198756825701184E-3</v>
      </c>
      <c r="H148" s="3">
        <f t="shared" si="74"/>
        <v>4.3198756825701184E-3</v>
      </c>
      <c r="I148" s="3">
        <f t="shared" si="74"/>
        <v>4.3198756825701184E-3</v>
      </c>
      <c r="J148" s="3">
        <f t="shared" si="74"/>
        <v>4.3198756825701184E-3</v>
      </c>
      <c r="K148" s="3">
        <f t="shared" si="74"/>
        <v>4.3198756825701184E-3</v>
      </c>
      <c r="L148" s="3">
        <f t="shared" si="74"/>
        <v>4.3198756825701184E-3</v>
      </c>
      <c r="M148" s="3">
        <f t="shared" si="74"/>
        <v>4.3198756825701184E-3</v>
      </c>
      <c r="N148" s="3">
        <f t="shared" si="74"/>
        <v>4.3198756825701184E-3</v>
      </c>
      <c r="O148" s="3">
        <f t="shared" si="74"/>
        <v>4.3198756825701184E-3</v>
      </c>
      <c r="P148" s="3">
        <f t="shared" si="74"/>
        <v>4.3198756825701184E-3</v>
      </c>
      <c r="Q148" s="3">
        <f t="shared" si="74"/>
        <v>4.3198756825701184E-3</v>
      </c>
      <c r="R148" s="3">
        <f t="shared" si="74"/>
        <v>4.3198756825701184E-3</v>
      </c>
      <c r="S148" s="3">
        <f t="shared" si="74"/>
        <v>4.3198756825701184E-3</v>
      </c>
      <c r="T148" s="3">
        <f t="shared" si="74"/>
        <v>4.3198756825701184E-3</v>
      </c>
      <c r="U148" s="3">
        <f t="shared" si="74"/>
        <v>4.3198756825701184E-3</v>
      </c>
      <c r="V148" s="3">
        <f t="shared" si="74"/>
        <v>4.3198756825701184E-3</v>
      </c>
      <c r="W148" s="3">
        <f t="shared" si="74"/>
        <v>4.3198756825701167E-3</v>
      </c>
      <c r="X148" s="3">
        <f t="shared" si="74"/>
        <v>4.3198756825701045E-3</v>
      </c>
      <c r="Y148" s="3">
        <f t="shared" si="74"/>
        <v>4.319875682569977E-3</v>
      </c>
      <c r="Z148" s="3">
        <f t="shared" si="74"/>
        <v>4.3198756825687046E-3</v>
      </c>
      <c r="AA148" s="3">
        <f>$C34*EXP(-AA$129/$A34/EXP(-$B$126))</f>
        <v>4.3198756825559795E-3</v>
      </c>
      <c r="AB148" s="3">
        <f t="shared" si="67"/>
        <v>4.3198756824287315E-3</v>
      </c>
      <c r="AC148" s="3">
        <f t="shared" si="67"/>
        <v>4.3198756811562511E-3</v>
      </c>
      <c r="AD148" s="3">
        <f t="shared" si="67"/>
        <v>4.3198756684314438E-3</v>
      </c>
      <c r="AE148" s="3">
        <f t="shared" si="67"/>
        <v>4.3198755411833724E-3</v>
      </c>
      <c r="AF148" s="3">
        <f t="shared" si="67"/>
        <v>4.3198742687028694E-3</v>
      </c>
    </row>
    <row r="149" spans="1:32" x14ac:dyDescent="0.25">
      <c r="B149" s="3">
        <f t="shared" ref="B149:Z149" si="75">$C35*EXP(-B$129/$A35/EXP(-$B$126))</f>
        <v>3.4800152588185828E-3</v>
      </c>
      <c r="C149" s="3">
        <f t="shared" si="75"/>
        <v>3.4800152588185828E-3</v>
      </c>
      <c r="D149" s="3">
        <f t="shared" si="75"/>
        <v>3.4800152588185828E-3</v>
      </c>
      <c r="E149" s="3">
        <f t="shared" si="75"/>
        <v>3.4800152588185828E-3</v>
      </c>
      <c r="F149" s="3">
        <f t="shared" si="75"/>
        <v>3.4800152588185828E-3</v>
      </c>
      <c r="G149" s="3">
        <f t="shared" si="75"/>
        <v>3.4800152588185828E-3</v>
      </c>
      <c r="H149" s="3">
        <f t="shared" si="75"/>
        <v>3.4800152588185828E-3</v>
      </c>
      <c r="I149" s="3">
        <f t="shared" si="75"/>
        <v>3.4800152588185828E-3</v>
      </c>
      <c r="J149" s="3">
        <f t="shared" si="75"/>
        <v>3.4800152588185828E-3</v>
      </c>
      <c r="K149" s="3">
        <f t="shared" si="75"/>
        <v>3.4800152588185828E-3</v>
      </c>
      <c r="L149" s="3">
        <f t="shared" si="75"/>
        <v>3.4800152588185828E-3</v>
      </c>
      <c r="M149" s="3">
        <f t="shared" si="75"/>
        <v>3.4800152588185828E-3</v>
      </c>
      <c r="N149" s="3">
        <f t="shared" si="75"/>
        <v>3.4800152588185828E-3</v>
      </c>
      <c r="O149" s="3">
        <f t="shared" si="75"/>
        <v>3.4800152588185828E-3</v>
      </c>
      <c r="P149" s="3">
        <f t="shared" si="75"/>
        <v>3.4800152588185828E-3</v>
      </c>
      <c r="Q149" s="3">
        <f t="shared" si="75"/>
        <v>3.4800152588185828E-3</v>
      </c>
      <c r="R149" s="3">
        <f t="shared" si="75"/>
        <v>3.4800152588185828E-3</v>
      </c>
      <c r="S149" s="3">
        <f t="shared" si="75"/>
        <v>3.4800152588185828E-3</v>
      </c>
      <c r="T149" s="3">
        <f t="shared" si="75"/>
        <v>3.4800152588185828E-3</v>
      </c>
      <c r="U149" s="3">
        <f t="shared" si="75"/>
        <v>3.4800152588185828E-3</v>
      </c>
      <c r="V149" s="3">
        <f t="shared" si="75"/>
        <v>3.4800152588185828E-3</v>
      </c>
      <c r="W149" s="3">
        <f t="shared" si="75"/>
        <v>3.4800152588185828E-3</v>
      </c>
      <c r="X149" s="3">
        <f t="shared" si="75"/>
        <v>3.4800152588185815E-3</v>
      </c>
      <c r="Y149" s="3">
        <f t="shared" si="75"/>
        <v>3.4800152588185724E-3</v>
      </c>
      <c r="Z149" s="3">
        <f t="shared" si="75"/>
        <v>3.48001525881848E-3</v>
      </c>
      <c r="AA149" s="3">
        <f t="shared" ref="AA149" si="76">$C35*EXP(-AA$129/$A35/EXP(-$B$126))</f>
        <v>3.4800152588175554E-3</v>
      </c>
      <c r="AB149" s="3">
        <f t="shared" si="67"/>
        <v>3.4800152588083085E-3</v>
      </c>
      <c r="AC149" s="3">
        <f t="shared" si="67"/>
        <v>3.4800152587158369E-3</v>
      </c>
      <c r="AD149" s="3">
        <f t="shared" si="67"/>
        <v>3.4800152577911221E-3</v>
      </c>
      <c r="AE149" s="3">
        <f t="shared" si="67"/>
        <v>3.4800152485439766E-3</v>
      </c>
      <c r="AF149" s="3">
        <f t="shared" si="67"/>
        <v>3.4800151560725199E-3</v>
      </c>
    </row>
    <row r="150" spans="1:32" x14ac:dyDescent="0.25">
      <c r="B150" s="3">
        <f t="shared" ref="B150:Z150" si="77">$C36*EXP(-B$129/$A36/EXP(-$B$126))</f>
        <v>2.0367681547460849E-3</v>
      </c>
      <c r="C150" s="3">
        <f t="shared" si="77"/>
        <v>2.0367681547460849E-3</v>
      </c>
      <c r="D150" s="3">
        <f t="shared" si="77"/>
        <v>2.0367681547460849E-3</v>
      </c>
      <c r="E150" s="3">
        <f t="shared" si="77"/>
        <v>2.0367681547460849E-3</v>
      </c>
      <c r="F150" s="3">
        <f t="shared" si="77"/>
        <v>2.0367681547460849E-3</v>
      </c>
      <c r="G150" s="3">
        <f t="shared" si="77"/>
        <v>2.0367681547460849E-3</v>
      </c>
      <c r="H150" s="3">
        <f t="shared" si="77"/>
        <v>2.0367681547460849E-3</v>
      </c>
      <c r="I150" s="3">
        <f t="shared" si="77"/>
        <v>2.0367681547460849E-3</v>
      </c>
      <c r="J150" s="3">
        <f t="shared" si="77"/>
        <v>2.0367681547460849E-3</v>
      </c>
      <c r="K150" s="3">
        <f t="shared" si="77"/>
        <v>2.0367681547460849E-3</v>
      </c>
      <c r="L150" s="3">
        <f t="shared" si="77"/>
        <v>2.0367681547460849E-3</v>
      </c>
      <c r="M150" s="3">
        <f t="shared" si="77"/>
        <v>2.0367681547460849E-3</v>
      </c>
      <c r="N150" s="3">
        <f t="shared" si="77"/>
        <v>2.0367681547460849E-3</v>
      </c>
      <c r="O150" s="3">
        <f t="shared" si="77"/>
        <v>2.0367681547460849E-3</v>
      </c>
      <c r="P150" s="3">
        <f t="shared" si="77"/>
        <v>2.0367681547460849E-3</v>
      </c>
      <c r="Q150" s="3">
        <f t="shared" si="77"/>
        <v>2.0367681547460849E-3</v>
      </c>
      <c r="R150" s="3">
        <f t="shared" si="77"/>
        <v>2.0367681547460849E-3</v>
      </c>
      <c r="S150" s="3">
        <f t="shared" si="77"/>
        <v>2.0367681547460849E-3</v>
      </c>
      <c r="T150" s="3">
        <f t="shared" si="77"/>
        <v>2.0367681547460849E-3</v>
      </c>
      <c r="U150" s="3">
        <f t="shared" si="77"/>
        <v>2.0367681547460849E-3</v>
      </c>
      <c r="V150" s="3">
        <f t="shared" si="77"/>
        <v>2.0367681547460849E-3</v>
      </c>
      <c r="W150" s="3">
        <f t="shared" si="77"/>
        <v>2.0367681547460849E-3</v>
      </c>
      <c r="X150" s="3">
        <f t="shared" si="77"/>
        <v>2.0367681547460849E-3</v>
      </c>
      <c r="Y150" s="3">
        <f t="shared" si="77"/>
        <v>2.0367681547460844E-3</v>
      </c>
      <c r="Z150" s="3">
        <f t="shared" si="77"/>
        <v>2.0367681547460792E-3</v>
      </c>
      <c r="AA150" s="3">
        <f t="shared" ref="AA150" si="78">$C36*EXP(-AA$129/$A36/EXP(-$B$126))</f>
        <v>2.0367681547460307E-3</v>
      </c>
      <c r="AB150" s="3">
        <f t="shared" si="67"/>
        <v>2.0367681547455423E-3</v>
      </c>
      <c r="AC150" s="3">
        <f t="shared" si="67"/>
        <v>2.0367681547406604E-3</v>
      </c>
      <c r="AD150" s="3">
        <f t="shared" si="67"/>
        <v>2.0367681546918383E-3</v>
      </c>
      <c r="AE150" s="3">
        <f t="shared" si="67"/>
        <v>2.0367681542036191E-3</v>
      </c>
      <c r="AF150" s="3">
        <f t="shared" si="67"/>
        <v>2.0367681493214285E-3</v>
      </c>
    </row>
    <row r="151" spans="1:32" x14ac:dyDescent="0.25">
      <c r="B151" s="3">
        <f t="shared" ref="B151:Z151" si="79">$C37*EXP(-B$129/$A37/EXP(-$B$126))</f>
        <v>1.2781847248259422E-3</v>
      </c>
      <c r="C151" s="3">
        <f t="shared" si="79"/>
        <v>1.2781847248259422E-3</v>
      </c>
      <c r="D151" s="3">
        <f t="shared" si="79"/>
        <v>1.2781847248259422E-3</v>
      </c>
      <c r="E151" s="3">
        <f t="shared" si="79"/>
        <v>1.2781847248259422E-3</v>
      </c>
      <c r="F151" s="3">
        <f t="shared" si="79"/>
        <v>1.2781847248259422E-3</v>
      </c>
      <c r="G151" s="3">
        <f t="shared" si="79"/>
        <v>1.2781847248259422E-3</v>
      </c>
      <c r="H151" s="3">
        <f t="shared" si="79"/>
        <v>1.2781847248259422E-3</v>
      </c>
      <c r="I151" s="3">
        <f t="shared" si="79"/>
        <v>1.2781847248259422E-3</v>
      </c>
      <c r="J151" s="3">
        <f t="shared" si="79"/>
        <v>1.2781847248259422E-3</v>
      </c>
      <c r="K151" s="3">
        <f t="shared" si="79"/>
        <v>1.2781847248259422E-3</v>
      </c>
      <c r="L151" s="3">
        <f t="shared" si="79"/>
        <v>1.2781847248259422E-3</v>
      </c>
      <c r="M151" s="3">
        <f t="shared" si="79"/>
        <v>1.2781847248259422E-3</v>
      </c>
      <c r="N151" s="3">
        <f t="shared" si="79"/>
        <v>1.2781847248259422E-3</v>
      </c>
      <c r="O151" s="3">
        <f t="shared" si="79"/>
        <v>1.2781847248259422E-3</v>
      </c>
      <c r="P151" s="3">
        <f t="shared" si="79"/>
        <v>1.2781847248259422E-3</v>
      </c>
      <c r="Q151" s="3">
        <f t="shared" si="79"/>
        <v>1.2781847248259422E-3</v>
      </c>
      <c r="R151" s="3">
        <f t="shared" si="79"/>
        <v>1.2781847248259422E-3</v>
      </c>
      <c r="S151" s="3">
        <f t="shared" si="79"/>
        <v>1.2781847248259422E-3</v>
      </c>
      <c r="T151" s="3">
        <f t="shared" si="79"/>
        <v>1.2781847248259422E-3</v>
      </c>
      <c r="U151" s="3">
        <f t="shared" si="79"/>
        <v>1.2781847248259422E-3</v>
      </c>
      <c r="V151" s="3">
        <f t="shared" si="79"/>
        <v>1.2781847248259422E-3</v>
      </c>
      <c r="W151" s="3">
        <f t="shared" si="79"/>
        <v>1.2781847248259422E-3</v>
      </c>
      <c r="X151" s="3">
        <f t="shared" si="79"/>
        <v>1.2781847248259422E-3</v>
      </c>
      <c r="Y151" s="3">
        <f t="shared" si="79"/>
        <v>1.2781847248259422E-3</v>
      </c>
      <c r="Z151" s="3">
        <f t="shared" si="79"/>
        <v>1.278184724825942E-3</v>
      </c>
      <c r="AA151" s="3">
        <f t="shared" ref="AA151" si="80">$C37*EXP(-AA$129/$A37/EXP(-$B$126))</f>
        <v>1.2781847248259392E-3</v>
      </c>
      <c r="AB151" s="3">
        <f t="shared" si="67"/>
        <v>1.2781847248259117E-3</v>
      </c>
      <c r="AC151" s="3">
        <f t="shared" si="67"/>
        <v>1.2781847248256352E-3</v>
      </c>
      <c r="AD151" s="3">
        <f t="shared" si="67"/>
        <v>1.2781847248228713E-3</v>
      </c>
      <c r="AE151" s="3">
        <f t="shared" si="67"/>
        <v>1.2781847247952329E-3</v>
      </c>
      <c r="AF151" s="3">
        <f t="shared" si="67"/>
        <v>1.2781847245188485E-3</v>
      </c>
    </row>
    <row r="152" spans="1:32" x14ac:dyDescent="0.25">
      <c r="B152" s="3">
        <f t="shared" ref="B152:Z152" si="81">$C38*EXP(-B$129/$A38/EXP(-$B$126))</f>
        <v>3.444457645749161E-4</v>
      </c>
      <c r="C152" s="3">
        <f t="shared" si="81"/>
        <v>3.444457645749161E-4</v>
      </c>
      <c r="D152" s="3">
        <f t="shared" si="81"/>
        <v>3.444457645749161E-4</v>
      </c>
      <c r="E152" s="3">
        <f t="shared" si="81"/>
        <v>3.444457645749161E-4</v>
      </c>
      <c r="F152" s="3">
        <f t="shared" si="81"/>
        <v>3.444457645749161E-4</v>
      </c>
      <c r="G152" s="3">
        <f t="shared" si="81"/>
        <v>3.444457645749161E-4</v>
      </c>
      <c r="H152" s="3">
        <f t="shared" si="81"/>
        <v>3.444457645749161E-4</v>
      </c>
      <c r="I152" s="3">
        <f t="shared" si="81"/>
        <v>3.444457645749161E-4</v>
      </c>
      <c r="J152" s="3">
        <f t="shared" si="81"/>
        <v>3.444457645749161E-4</v>
      </c>
      <c r="K152" s="3">
        <f t="shared" si="81"/>
        <v>3.444457645749161E-4</v>
      </c>
      <c r="L152" s="3">
        <f t="shared" si="81"/>
        <v>3.444457645749161E-4</v>
      </c>
      <c r="M152" s="3">
        <f t="shared" si="81"/>
        <v>3.444457645749161E-4</v>
      </c>
      <c r="N152" s="3">
        <f t="shared" si="81"/>
        <v>3.444457645749161E-4</v>
      </c>
      <c r="O152" s="3">
        <f t="shared" si="81"/>
        <v>3.444457645749161E-4</v>
      </c>
      <c r="P152" s="3">
        <f t="shared" si="81"/>
        <v>3.444457645749161E-4</v>
      </c>
      <c r="Q152" s="3">
        <f t="shared" si="81"/>
        <v>3.444457645749161E-4</v>
      </c>
      <c r="R152" s="3">
        <f t="shared" si="81"/>
        <v>3.444457645749161E-4</v>
      </c>
      <c r="S152" s="3">
        <f t="shared" si="81"/>
        <v>3.444457645749161E-4</v>
      </c>
      <c r="T152" s="3">
        <f t="shared" si="81"/>
        <v>3.444457645749161E-4</v>
      </c>
      <c r="U152" s="3">
        <f t="shared" si="81"/>
        <v>3.444457645749161E-4</v>
      </c>
      <c r="V152" s="3">
        <f t="shared" si="81"/>
        <v>3.444457645749161E-4</v>
      </c>
      <c r="W152" s="3">
        <f t="shared" si="81"/>
        <v>3.444457645749161E-4</v>
      </c>
      <c r="X152" s="3">
        <f t="shared" si="81"/>
        <v>3.444457645749161E-4</v>
      </c>
      <c r="Y152" s="3">
        <f t="shared" si="81"/>
        <v>3.444457645749161E-4</v>
      </c>
      <c r="Z152" s="3">
        <f t="shared" si="81"/>
        <v>3.444457645749161E-4</v>
      </c>
      <c r="AA152" s="3">
        <f t="shared" ref="AA152" si="82">$C38*EXP(-AA$129/$A38/EXP(-$B$126))</f>
        <v>3.4444576457491605E-4</v>
      </c>
      <c r="AB152" s="3">
        <f t="shared" si="67"/>
        <v>3.4444576457491534E-4</v>
      </c>
      <c r="AC152" s="3">
        <f t="shared" si="67"/>
        <v>3.4444576457490862E-4</v>
      </c>
      <c r="AD152" s="3">
        <f t="shared" si="67"/>
        <v>3.4444576457484145E-4</v>
      </c>
      <c r="AE152" s="3">
        <f t="shared" si="67"/>
        <v>3.4444576457416957E-4</v>
      </c>
      <c r="AF152" s="3">
        <f t="shared" si="67"/>
        <v>3.4444576456745083E-4</v>
      </c>
    </row>
    <row r="153" spans="1:32" x14ac:dyDescent="0.25">
      <c r="B153" s="3">
        <f t="shared" ref="B153:Z153" si="83">$C39*EXP(-B$129/$A39/EXP(-$B$126))</f>
        <v>6.1014336776090067E-4</v>
      </c>
      <c r="C153" s="3">
        <f t="shared" si="83"/>
        <v>6.1014336776090067E-4</v>
      </c>
      <c r="D153" s="3">
        <f t="shared" si="83"/>
        <v>6.1014336776090067E-4</v>
      </c>
      <c r="E153" s="3">
        <f t="shared" si="83"/>
        <v>6.1014336776090067E-4</v>
      </c>
      <c r="F153" s="3">
        <f t="shared" si="83"/>
        <v>6.1014336776090067E-4</v>
      </c>
      <c r="G153" s="3">
        <f t="shared" si="83"/>
        <v>6.1014336776090067E-4</v>
      </c>
      <c r="H153" s="3">
        <f t="shared" si="83"/>
        <v>6.1014336776090067E-4</v>
      </c>
      <c r="I153" s="3">
        <f t="shared" si="83"/>
        <v>6.1014336776090067E-4</v>
      </c>
      <c r="J153" s="3">
        <f t="shared" si="83"/>
        <v>6.1014336776090067E-4</v>
      </c>
      <c r="K153" s="3">
        <f t="shared" si="83"/>
        <v>6.1014336776090067E-4</v>
      </c>
      <c r="L153" s="3">
        <f t="shared" si="83"/>
        <v>6.1014336776090067E-4</v>
      </c>
      <c r="M153" s="3">
        <f t="shared" si="83"/>
        <v>6.1014336776090067E-4</v>
      </c>
      <c r="N153" s="3">
        <f t="shared" si="83"/>
        <v>6.1014336776090067E-4</v>
      </c>
      <c r="O153" s="3">
        <f t="shared" si="83"/>
        <v>6.1014336776090067E-4</v>
      </c>
      <c r="P153" s="3">
        <f t="shared" si="83"/>
        <v>6.1014336776090067E-4</v>
      </c>
      <c r="Q153" s="3">
        <f t="shared" si="83"/>
        <v>6.1014336776090067E-4</v>
      </c>
      <c r="R153" s="3">
        <f t="shared" si="83"/>
        <v>6.1014336776090067E-4</v>
      </c>
      <c r="S153" s="3">
        <f t="shared" si="83"/>
        <v>6.1014336776090067E-4</v>
      </c>
      <c r="T153" s="3">
        <f t="shared" si="83"/>
        <v>6.1014336776090067E-4</v>
      </c>
      <c r="U153" s="3">
        <f t="shared" si="83"/>
        <v>6.1014336776090067E-4</v>
      </c>
      <c r="V153" s="3">
        <f t="shared" si="83"/>
        <v>6.1014336776090067E-4</v>
      </c>
      <c r="W153" s="3">
        <f t="shared" si="83"/>
        <v>6.1014336776090067E-4</v>
      </c>
      <c r="X153" s="3">
        <f t="shared" si="83"/>
        <v>6.1014336776090067E-4</v>
      </c>
      <c r="Y153" s="3">
        <f t="shared" si="83"/>
        <v>6.1014336776090067E-4</v>
      </c>
      <c r="Z153" s="3">
        <f t="shared" si="83"/>
        <v>6.1014336776090067E-4</v>
      </c>
      <c r="AA153" s="3">
        <f t="shared" ref="AA153" si="84">$C39*EXP(-AA$129/$A39/EXP(-$B$126))</f>
        <v>6.1014336776090057E-4</v>
      </c>
      <c r="AB153" s="3">
        <f t="shared" si="67"/>
        <v>6.1014336776090035E-4</v>
      </c>
      <c r="AC153" s="3">
        <f t="shared" si="67"/>
        <v>6.1014336776089699E-4</v>
      </c>
      <c r="AD153" s="3">
        <f t="shared" si="67"/>
        <v>6.1014336776086414E-4</v>
      </c>
      <c r="AE153" s="3">
        <f t="shared" si="67"/>
        <v>6.1014336776053497E-4</v>
      </c>
      <c r="AF153" s="3">
        <f t="shared" si="67"/>
        <v>6.1014336775724333E-4</v>
      </c>
    </row>
    <row r="154" spans="1:32" x14ac:dyDescent="0.25">
      <c r="B154" s="3">
        <f t="shared" ref="B154:Z154" si="85">$C40*EXP(-B$129/$A40/EXP(-$B$126))</f>
        <v>2.2250933466635417E-4</v>
      </c>
      <c r="C154" s="3">
        <f t="shared" si="85"/>
        <v>2.2250933466635417E-4</v>
      </c>
      <c r="D154" s="3">
        <f t="shared" si="85"/>
        <v>2.2250933466635417E-4</v>
      </c>
      <c r="E154" s="3">
        <f t="shared" si="85"/>
        <v>2.2250933466635417E-4</v>
      </c>
      <c r="F154" s="3">
        <f t="shared" si="85"/>
        <v>2.2250933466635417E-4</v>
      </c>
      <c r="G154" s="3">
        <f t="shared" si="85"/>
        <v>2.2250933466635417E-4</v>
      </c>
      <c r="H154" s="3">
        <f t="shared" si="85"/>
        <v>2.2250933466635417E-4</v>
      </c>
      <c r="I154" s="3">
        <f t="shared" si="85"/>
        <v>2.2250933466635417E-4</v>
      </c>
      <c r="J154" s="3">
        <f t="shared" si="85"/>
        <v>2.2250933466635417E-4</v>
      </c>
      <c r="K154" s="3">
        <f t="shared" si="85"/>
        <v>2.2250933466635417E-4</v>
      </c>
      <c r="L154" s="3">
        <f t="shared" si="85"/>
        <v>2.2250933466635417E-4</v>
      </c>
      <c r="M154" s="3">
        <f t="shared" si="85"/>
        <v>2.2250933466635417E-4</v>
      </c>
      <c r="N154" s="3">
        <f t="shared" si="85"/>
        <v>2.2250933466635417E-4</v>
      </c>
      <c r="O154" s="3">
        <f t="shared" si="85"/>
        <v>2.2250933466635417E-4</v>
      </c>
      <c r="P154" s="3">
        <f t="shared" si="85"/>
        <v>2.2250933466635417E-4</v>
      </c>
      <c r="Q154" s="3">
        <f t="shared" si="85"/>
        <v>2.2250933466635417E-4</v>
      </c>
      <c r="R154" s="3">
        <f t="shared" si="85"/>
        <v>2.2250933466635417E-4</v>
      </c>
      <c r="S154" s="3">
        <f t="shared" si="85"/>
        <v>2.2250933466635417E-4</v>
      </c>
      <c r="T154" s="3">
        <f t="shared" si="85"/>
        <v>2.2250933466635417E-4</v>
      </c>
      <c r="U154" s="3">
        <f t="shared" si="85"/>
        <v>2.2250933466635417E-4</v>
      </c>
      <c r="V154" s="3">
        <f t="shared" si="85"/>
        <v>2.2250933466635417E-4</v>
      </c>
      <c r="W154" s="3">
        <f t="shared" si="85"/>
        <v>2.2250933466635417E-4</v>
      </c>
      <c r="X154" s="3">
        <f t="shared" si="85"/>
        <v>2.2250933466635417E-4</v>
      </c>
      <c r="Y154" s="3">
        <f t="shared" si="85"/>
        <v>2.2250933466635417E-4</v>
      </c>
      <c r="Z154" s="3">
        <f t="shared" si="85"/>
        <v>2.2250933466635417E-4</v>
      </c>
      <c r="AA154" s="3">
        <f t="shared" ref="AA154:AF154" si="86">$C40*EXP(-AA$129/$A40/EXP(-$B$126))</f>
        <v>2.2250933466635417E-4</v>
      </c>
      <c r="AB154" s="3">
        <f t="shared" si="86"/>
        <v>2.2250933466635414E-4</v>
      </c>
      <c r="AC154" s="3">
        <f t="shared" si="86"/>
        <v>2.2250933466635403E-4</v>
      </c>
      <c r="AD154" s="3">
        <f t="shared" si="86"/>
        <v>2.2250933466635284E-4</v>
      </c>
      <c r="AE154" s="3">
        <f t="shared" si="86"/>
        <v>2.2250933466634083E-4</v>
      </c>
      <c r="AF154" s="3">
        <f t="shared" si="86"/>
        <v>2.2250933466622078E-4</v>
      </c>
    </row>
    <row r="155" spans="1:32" x14ac:dyDescent="0.25">
      <c r="B155" s="3">
        <f t="shared" ref="B155:Z155" si="87">$C41*EXP(-B$129/$A41/EXP(-$B$126))</f>
        <v>3.0514987252664002E-4</v>
      </c>
      <c r="C155" s="3">
        <f t="shared" si="87"/>
        <v>3.0514987252664002E-4</v>
      </c>
      <c r="D155" s="3">
        <f t="shared" si="87"/>
        <v>3.0514987252664002E-4</v>
      </c>
      <c r="E155" s="3">
        <f t="shared" si="87"/>
        <v>3.0514987252664002E-4</v>
      </c>
      <c r="F155" s="3">
        <f t="shared" si="87"/>
        <v>3.0514987252664002E-4</v>
      </c>
      <c r="G155" s="3">
        <f t="shared" si="87"/>
        <v>3.0514987252664002E-4</v>
      </c>
      <c r="H155" s="3">
        <f t="shared" si="87"/>
        <v>3.0514987252664002E-4</v>
      </c>
      <c r="I155" s="3">
        <f t="shared" si="87"/>
        <v>3.0514987252664002E-4</v>
      </c>
      <c r="J155" s="3">
        <f t="shared" si="87"/>
        <v>3.0514987252664002E-4</v>
      </c>
      <c r="K155" s="3">
        <f t="shared" si="87"/>
        <v>3.0514987252664002E-4</v>
      </c>
      <c r="L155" s="3">
        <f t="shared" si="87"/>
        <v>3.0514987252664002E-4</v>
      </c>
      <c r="M155" s="3">
        <f t="shared" si="87"/>
        <v>3.0514987252664002E-4</v>
      </c>
      <c r="N155" s="3">
        <f t="shared" si="87"/>
        <v>3.0514987252664002E-4</v>
      </c>
      <c r="O155" s="3">
        <f t="shared" si="87"/>
        <v>3.0514987252664002E-4</v>
      </c>
      <c r="P155" s="3">
        <f t="shared" si="87"/>
        <v>3.0514987252664002E-4</v>
      </c>
      <c r="Q155" s="3">
        <f t="shared" si="87"/>
        <v>3.0514987252664002E-4</v>
      </c>
      <c r="R155" s="3">
        <f t="shared" si="87"/>
        <v>3.0514987252664002E-4</v>
      </c>
      <c r="S155" s="3">
        <f t="shared" si="87"/>
        <v>3.0514987252664002E-4</v>
      </c>
      <c r="T155" s="3">
        <f t="shared" si="87"/>
        <v>3.0514987252664002E-4</v>
      </c>
      <c r="U155" s="3">
        <f t="shared" si="87"/>
        <v>3.0514987252664002E-4</v>
      </c>
      <c r="V155" s="3">
        <f t="shared" si="87"/>
        <v>3.0514987252664002E-4</v>
      </c>
      <c r="W155" s="3">
        <f t="shared" si="87"/>
        <v>3.0514987252664002E-4</v>
      </c>
      <c r="X155" s="3">
        <f t="shared" si="87"/>
        <v>3.0514987252664002E-4</v>
      </c>
      <c r="Y155" s="3">
        <f t="shared" si="87"/>
        <v>3.0514987252664002E-4</v>
      </c>
      <c r="Z155" s="3">
        <f t="shared" si="87"/>
        <v>3.0514987252664002E-4</v>
      </c>
      <c r="AA155" s="3">
        <f t="shared" ref="AA155:AF155" si="88">$C41*EXP(-AA$129/$A41/EXP(-$B$126))</f>
        <v>3.0514987252664002E-4</v>
      </c>
      <c r="AB155" s="3">
        <f t="shared" si="88"/>
        <v>3.0514987252664002E-4</v>
      </c>
      <c r="AC155" s="3">
        <f t="shared" si="88"/>
        <v>3.0514987252663997E-4</v>
      </c>
      <c r="AD155" s="3">
        <f t="shared" si="88"/>
        <v>3.0514987252663986E-4</v>
      </c>
      <c r="AE155" s="3">
        <f t="shared" si="88"/>
        <v>3.0514987252663818E-4</v>
      </c>
      <c r="AF155" s="3">
        <f t="shared" si="88"/>
        <v>3.0514987252662176E-4</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6.2164799219330605E-5</v>
      </c>
      <c r="C157" s="3">
        <f t="shared" si="91"/>
        <v>6.2164799219330605E-5</v>
      </c>
      <c r="D157" s="3">
        <f t="shared" si="91"/>
        <v>6.2164799219330605E-5</v>
      </c>
      <c r="E157" s="3">
        <f t="shared" si="91"/>
        <v>6.2164799219330605E-5</v>
      </c>
      <c r="F157" s="3">
        <f t="shared" si="91"/>
        <v>6.2164799219330605E-5</v>
      </c>
      <c r="G157" s="3">
        <f t="shared" si="91"/>
        <v>6.2164799219330605E-5</v>
      </c>
      <c r="H157" s="3">
        <f t="shared" si="91"/>
        <v>6.2164799219330605E-5</v>
      </c>
      <c r="I157" s="3">
        <f t="shared" si="91"/>
        <v>6.2164799219330605E-5</v>
      </c>
      <c r="J157" s="3">
        <f t="shared" si="91"/>
        <v>6.2164799219330605E-5</v>
      </c>
      <c r="K157" s="3">
        <f t="shared" si="91"/>
        <v>6.2164799219330605E-5</v>
      </c>
      <c r="L157" s="3">
        <f t="shared" si="91"/>
        <v>6.2164799219330605E-5</v>
      </c>
      <c r="M157" s="3">
        <f t="shared" si="91"/>
        <v>6.2164799219330605E-5</v>
      </c>
      <c r="N157" s="3">
        <f t="shared" si="91"/>
        <v>6.2164799219330605E-5</v>
      </c>
      <c r="O157" s="3">
        <f t="shared" si="91"/>
        <v>6.2164799219330605E-5</v>
      </c>
      <c r="P157" s="3">
        <f t="shared" si="91"/>
        <v>6.2164799219330605E-5</v>
      </c>
      <c r="Q157" s="3">
        <f t="shared" si="91"/>
        <v>6.2164799219330605E-5</v>
      </c>
      <c r="R157" s="3">
        <f t="shared" si="91"/>
        <v>6.2164799219330605E-5</v>
      </c>
      <c r="S157" s="3">
        <f t="shared" si="91"/>
        <v>6.2164799219330605E-5</v>
      </c>
      <c r="T157" s="3">
        <f t="shared" si="91"/>
        <v>6.2164799219330605E-5</v>
      </c>
      <c r="U157" s="3">
        <f t="shared" si="91"/>
        <v>6.2164799219330605E-5</v>
      </c>
      <c r="V157" s="3">
        <f t="shared" si="91"/>
        <v>6.2164799219330605E-5</v>
      </c>
      <c r="W157" s="3">
        <f t="shared" si="91"/>
        <v>6.2164799219330605E-5</v>
      </c>
      <c r="X157" s="3">
        <f t="shared" si="91"/>
        <v>6.2164799219330605E-5</v>
      </c>
      <c r="Y157" s="3">
        <f t="shared" si="91"/>
        <v>6.2164799219330605E-5</v>
      </c>
      <c r="Z157" s="3">
        <f t="shared" si="91"/>
        <v>6.2164799219330605E-5</v>
      </c>
      <c r="AA157" s="3">
        <f t="shared" ref="AA157:AF157" si="92">$C43*EXP(-AA$129/$A43/EXP(-$B$126))</f>
        <v>6.2164799219330605E-5</v>
      </c>
      <c r="AB157" s="3">
        <f t="shared" si="92"/>
        <v>6.2164799219330605E-5</v>
      </c>
      <c r="AC157" s="3">
        <f t="shared" si="92"/>
        <v>6.2164799219330605E-5</v>
      </c>
      <c r="AD157" s="3">
        <f t="shared" si="92"/>
        <v>6.2164799219330605E-5</v>
      </c>
      <c r="AE157" s="3">
        <f t="shared" si="92"/>
        <v>6.2164799219330592E-5</v>
      </c>
      <c r="AF157" s="3">
        <f t="shared" si="92"/>
        <v>6.2164799219330564E-5</v>
      </c>
    </row>
    <row r="158" spans="1:32" x14ac:dyDescent="0.25">
      <c r="B158" s="3">
        <f t="shared" ref="B158:Z158" si="93">$C44*EXP(-B$129/$A44/EXP(-$B$126))</f>
        <v>1.589018825978126E-4</v>
      </c>
      <c r="C158" s="3">
        <f t="shared" si="93"/>
        <v>1.589018825978126E-4</v>
      </c>
      <c r="D158" s="3">
        <f t="shared" si="93"/>
        <v>1.589018825978126E-4</v>
      </c>
      <c r="E158" s="3">
        <f t="shared" si="93"/>
        <v>1.589018825978126E-4</v>
      </c>
      <c r="F158" s="3">
        <f t="shared" si="93"/>
        <v>1.589018825978126E-4</v>
      </c>
      <c r="G158" s="3">
        <f t="shared" si="93"/>
        <v>1.589018825978126E-4</v>
      </c>
      <c r="H158" s="3">
        <f t="shared" si="93"/>
        <v>1.589018825978126E-4</v>
      </c>
      <c r="I158" s="3">
        <f t="shared" si="93"/>
        <v>1.589018825978126E-4</v>
      </c>
      <c r="J158" s="3">
        <f t="shared" si="93"/>
        <v>1.589018825978126E-4</v>
      </c>
      <c r="K158" s="3">
        <f t="shared" si="93"/>
        <v>1.589018825978126E-4</v>
      </c>
      <c r="L158" s="3">
        <f t="shared" si="93"/>
        <v>1.589018825978126E-4</v>
      </c>
      <c r="M158" s="3">
        <f t="shared" si="93"/>
        <v>1.589018825978126E-4</v>
      </c>
      <c r="N158" s="3">
        <f t="shared" si="93"/>
        <v>1.589018825978126E-4</v>
      </c>
      <c r="O158" s="3">
        <f t="shared" si="93"/>
        <v>1.589018825978126E-4</v>
      </c>
      <c r="P158" s="3">
        <f t="shared" si="93"/>
        <v>1.589018825978126E-4</v>
      </c>
      <c r="Q158" s="3">
        <f t="shared" si="93"/>
        <v>1.589018825978126E-4</v>
      </c>
      <c r="R158" s="3">
        <f t="shared" si="93"/>
        <v>1.589018825978126E-4</v>
      </c>
      <c r="S158" s="3">
        <f t="shared" si="93"/>
        <v>1.589018825978126E-4</v>
      </c>
      <c r="T158" s="3">
        <f t="shared" si="93"/>
        <v>1.589018825978126E-4</v>
      </c>
      <c r="U158" s="3">
        <f t="shared" si="93"/>
        <v>1.589018825978126E-4</v>
      </c>
      <c r="V158" s="3">
        <f t="shared" si="93"/>
        <v>1.589018825978126E-4</v>
      </c>
      <c r="W158" s="3">
        <f t="shared" si="93"/>
        <v>1.589018825978126E-4</v>
      </c>
      <c r="X158" s="3">
        <f t="shared" si="93"/>
        <v>1.589018825978126E-4</v>
      </c>
      <c r="Y158" s="3">
        <f t="shared" si="93"/>
        <v>1.589018825978126E-4</v>
      </c>
      <c r="Z158" s="3">
        <f t="shared" si="93"/>
        <v>1.589018825978126E-4</v>
      </c>
      <c r="AA158" s="3">
        <f t="shared" ref="AA158:AF158" si="94">$C44*EXP(-AA$129/$A44/EXP(-$B$126))</f>
        <v>1.589018825978126E-4</v>
      </c>
      <c r="AB158" s="3">
        <f t="shared" si="94"/>
        <v>1.589018825978126E-4</v>
      </c>
      <c r="AC158" s="3">
        <f t="shared" si="94"/>
        <v>1.589018825978126E-4</v>
      </c>
      <c r="AD158" s="3">
        <f t="shared" si="94"/>
        <v>1.589018825978126E-4</v>
      </c>
      <c r="AE158" s="3">
        <f t="shared" si="94"/>
        <v>1.589018825978126E-4</v>
      </c>
      <c r="AF158" s="3">
        <f t="shared" si="94"/>
        <v>1.5890188259781257E-4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7.8909905102376337E-4</v>
      </c>
      <c r="C162" s="3">
        <f t="shared" si="101"/>
        <v>7.8909905102376337E-4</v>
      </c>
      <c r="D162" s="3">
        <f t="shared" si="101"/>
        <v>7.8909905102376337E-4</v>
      </c>
      <c r="E162" s="3">
        <f t="shared" si="101"/>
        <v>7.8909905102376337E-4</v>
      </c>
      <c r="F162" s="3">
        <f t="shared" si="101"/>
        <v>7.8909905102376337E-4</v>
      </c>
      <c r="G162" s="3">
        <f t="shared" si="101"/>
        <v>7.8909905102376337E-4</v>
      </c>
      <c r="H162" s="3">
        <f t="shared" si="101"/>
        <v>7.8909905102376337E-4</v>
      </c>
      <c r="I162" s="3">
        <f t="shared" si="101"/>
        <v>7.8909905102376337E-4</v>
      </c>
      <c r="J162" s="3">
        <f t="shared" si="101"/>
        <v>7.8909905102376337E-4</v>
      </c>
      <c r="K162" s="3">
        <f t="shared" si="101"/>
        <v>7.8909905102376337E-4</v>
      </c>
      <c r="L162" s="3">
        <f t="shared" si="101"/>
        <v>7.8909905102376337E-4</v>
      </c>
      <c r="M162" s="3">
        <f t="shared" si="101"/>
        <v>7.8909905102376337E-4</v>
      </c>
      <c r="N162" s="3">
        <f t="shared" si="101"/>
        <v>7.8909905102376337E-4</v>
      </c>
      <c r="O162" s="3">
        <f t="shared" si="101"/>
        <v>7.8909905102376337E-4</v>
      </c>
      <c r="P162" s="3">
        <f t="shared" si="101"/>
        <v>7.8909905102376337E-4</v>
      </c>
      <c r="Q162" s="3">
        <f t="shared" si="101"/>
        <v>7.8909905102376337E-4</v>
      </c>
      <c r="R162" s="3">
        <f t="shared" si="101"/>
        <v>7.8909905102376337E-4</v>
      </c>
      <c r="S162" s="3">
        <f t="shared" si="101"/>
        <v>7.8909905102376337E-4</v>
      </c>
      <c r="T162" s="3">
        <f t="shared" si="101"/>
        <v>7.8909905102376337E-4</v>
      </c>
      <c r="U162" s="3">
        <f t="shared" si="101"/>
        <v>7.8909905102376337E-4</v>
      </c>
      <c r="V162" s="3">
        <f t="shared" si="101"/>
        <v>7.8909905102376337E-4</v>
      </c>
      <c r="W162" s="3">
        <f t="shared" si="101"/>
        <v>7.8909905102376337E-4</v>
      </c>
      <c r="X162" s="3">
        <f t="shared" si="101"/>
        <v>7.8909905102376337E-4</v>
      </c>
      <c r="Y162" s="3">
        <f t="shared" si="101"/>
        <v>7.8909905102376337E-4</v>
      </c>
      <c r="Z162" s="3">
        <f t="shared" si="101"/>
        <v>7.8909905102376337E-4</v>
      </c>
      <c r="AA162" s="3">
        <f t="shared" ref="AA162:AF162" si="102">$C48*EXP(-AA$129/$A48/EXP(-$B$126))</f>
        <v>7.8909905102376337E-4</v>
      </c>
      <c r="AB162" s="3">
        <f t="shared" si="102"/>
        <v>7.8909905102376337E-4</v>
      </c>
      <c r="AC162" s="3">
        <f t="shared" si="102"/>
        <v>7.8909905102376337E-4</v>
      </c>
      <c r="AD162" s="3">
        <f t="shared" si="102"/>
        <v>7.8909905102376337E-4</v>
      </c>
      <c r="AE162" s="3">
        <f t="shared" si="102"/>
        <v>7.8909905102376337E-4</v>
      </c>
      <c r="AF162" s="3">
        <f t="shared" si="102"/>
        <v>7.8909905102376337E-4</v>
      </c>
    </row>
    <row r="163" spans="1:34" x14ac:dyDescent="0.25">
      <c r="A163" s="79">
        <f>AVERAGE(B163:AF163)</f>
        <v>0.15977894040492749</v>
      </c>
      <c r="B163" s="80">
        <f>IF($A$64&lt;=B129,IF($B$64&gt;=B129,ABS((B131-B130)/B130),0),0)</f>
        <v>1.4624449982099759E-2</v>
      </c>
      <c r="C163" s="80">
        <f t="shared" ref="C163:AF163" si="103">IF($A$64&lt;=C129,IF($B$64&gt;=C129,ABS((C131-C130)/C130),0),0)</f>
        <v>1.4724660515956053E-2</v>
      </c>
      <c r="D163" s="80">
        <f t="shared" si="103"/>
        <v>1.5617123562529521E-2</v>
      </c>
      <c r="E163" s="80">
        <f t="shared" si="103"/>
        <v>2.4331682995391218E-2</v>
      </c>
      <c r="F163" s="80">
        <f t="shared" si="103"/>
        <v>8.9893321740653079E-2</v>
      </c>
      <c r="G163" s="80">
        <f t="shared" si="103"/>
        <v>0.18115639151181848</v>
      </c>
      <c r="H163" s="80">
        <f t="shared" si="103"/>
        <v>0.18157258005954999</v>
      </c>
      <c r="I163" s="80">
        <f t="shared" si="103"/>
        <v>0.18157257310082989</v>
      </c>
      <c r="J163" s="80">
        <f t="shared" si="103"/>
        <v>0.18157256614211897</v>
      </c>
      <c r="K163" s="80">
        <f t="shared" si="103"/>
        <v>0.18157256614222617</v>
      </c>
      <c r="L163" s="80">
        <f t="shared" si="103"/>
        <v>0.18157256614329767</v>
      </c>
      <c r="M163" s="80">
        <f t="shared" si="103"/>
        <v>0.1815725522365696</v>
      </c>
      <c r="N163" s="80">
        <f t="shared" si="103"/>
        <v>0.18157247579777816</v>
      </c>
      <c r="O163" s="80">
        <f t="shared" si="103"/>
        <v>0.18157166965753577</v>
      </c>
      <c r="P163" s="80">
        <f t="shared" si="103"/>
        <v>0.18156360825522849</v>
      </c>
      <c r="Q163" s="80">
        <f t="shared" si="103"/>
        <v>0.18148318908786698</v>
      </c>
      <c r="R163" s="80">
        <f t="shared" si="103"/>
        <v>0.1806962700868765</v>
      </c>
      <c r="S163" s="80">
        <f t="shared" si="103"/>
        <v>0.17431093754230192</v>
      </c>
      <c r="T163" s="80">
        <f t="shared" si="103"/>
        <v>0.15785059068071944</v>
      </c>
      <c r="U163" s="80">
        <f t="shared" si="103"/>
        <v>0.1394070671886509</v>
      </c>
      <c r="V163" s="80">
        <f t="shared" si="103"/>
        <v>0.11188796002482602</v>
      </c>
      <c r="W163" s="80">
        <f t="shared" si="103"/>
        <v>7.4723435697612375E-2</v>
      </c>
      <c r="X163" s="80">
        <f t="shared" si="103"/>
        <v>3.5900544530818063E-2</v>
      </c>
      <c r="Y163" s="80">
        <f t="shared" si="103"/>
        <v>0.16027302613719033</v>
      </c>
      <c r="Z163" s="80">
        <f t="shared" si="103"/>
        <v>0.25290190301979137</v>
      </c>
      <c r="AA163" s="80">
        <f t="shared" si="103"/>
        <v>0.28336652405187107</v>
      </c>
      <c r="AB163" s="80">
        <f t="shared" si="103"/>
        <v>0.24311352158164198</v>
      </c>
      <c r="AC163" s="80">
        <f t="shared" si="103"/>
        <v>0.1254964848253701</v>
      </c>
      <c r="AD163" s="80">
        <f t="shared" si="103"/>
        <v>6.8571993011780213E-2</v>
      </c>
      <c r="AE163" s="80">
        <f t="shared" si="103"/>
        <v>0.30121291466997968</v>
      </c>
      <c r="AF163" s="80">
        <f t="shared" si="103"/>
        <v>0.48746000257187277</v>
      </c>
    </row>
    <row r="164" spans="1:34" x14ac:dyDescent="0.25">
      <c r="B164" s="21">
        <f>(B131-B130)^2</f>
        <v>11837.802738552826</v>
      </c>
      <c r="C164" s="21">
        <f t="shared" ref="C164:AF164" si="104">(C131-C130)^2</f>
        <v>12000.837714787616</v>
      </c>
      <c r="D164" s="21">
        <f t="shared" si="104"/>
        <v>13499.523183174659</v>
      </c>
      <c r="E164" s="21">
        <f t="shared" si="104"/>
        <v>32768.716542251139</v>
      </c>
      <c r="F164" s="21">
        <f t="shared" si="104"/>
        <v>447269.86197559326</v>
      </c>
      <c r="G164" s="21">
        <f t="shared" si="104"/>
        <v>1816443.9011341215</v>
      </c>
      <c r="H164" s="21">
        <f t="shared" si="104"/>
        <v>1824799.5577861168</v>
      </c>
      <c r="I164" s="21">
        <f t="shared" si="104"/>
        <v>1824799.3868853177</v>
      </c>
      <c r="J164" s="21">
        <f t="shared" si="104"/>
        <v>1824799.2159847135</v>
      </c>
      <c r="K164" s="21">
        <f t="shared" si="104"/>
        <v>1824799.2159868684</v>
      </c>
      <c r="L164" s="21">
        <f t="shared" si="104"/>
        <v>1824799.2160084057</v>
      </c>
      <c r="M164" s="21">
        <f t="shared" si="104"/>
        <v>1824798.8744221756</v>
      </c>
      <c r="N164" s="21">
        <f t="shared" si="104"/>
        <v>1824796.9966677632</v>
      </c>
      <c r="O164" s="21">
        <f t="shared" si="104"/>
        <v>1824777.1937994866</v>
      </c>
      <c r="P164" s="21">
        <f t="shared" si="104"/>
        <v>1824579.1731772362</v>
      </c>
      <c r="Q164" s="21">
        <f t="shared" si="104"/>
        <v>1822604.5541449287</v>
      </c>
      <c r="R164" s="21">
        <f t="shared" si="104"/>
        <v>1803359.1532297884</v>
      </c>
      <c r="S164" s="21">
        <f t="shared" si="104"/>
        <v>1652260.6528964946</v>
      </c>
      <c r="T164" s="21">
        <f t="shared" si="104"/>
        <v>1302155.4947672188</v>
      </c>
      <c r="U164" s="21">
        <f t="shared" si="104"/>
        <v>970049.73702041607</v>
      </c>
      <c r="V164" s="21">
        <f t="shared" si="104"/>
        <v>572641.55091832753</v>
      </c>
      <c r="W164" s="21">
        <f t="shared" si="104"/>
        <v>206152.44119500366</v>
      </c>
      <c r="X164" s="21">
        <f t="shared" si="104"/>
        <v>34222.975121625044</v>
      </c>
      <c r="Y164" s="21">
        <f t="shared" si="104"/>
        <v>485949.48637517466</v>
      </c>
      <c r="Z164" s="21">
        <f t="shared" si="104"/>
        <v>904396.25346955296</v>
      </c>
      <c r="AA164" s="21">
        <f t="shared" si="104"/>
        <v>893844.45093790966</v>
      </c>
      <c r="AB164" s="21">
        <f t="shared" si="104"/>
        <v>530271.64653607109</v>
      </c>
      <c r="AC164" s="21">
        <f t="shared" si="104"/>
        <v>114885.02122330452</v>
      </c>
      <c r="AD164" s="21">
        <f t="shared" si="104"/>
        <v>26654.8660768718</v>
      </c>
      <c r="AE164" s="21">
        <f t="shared" si="104"/>
        <v>367442.16114356043</v>
      </c>
      <c r="AF164" s="21">
        <f t="shared" si="104"/>
        <v>605332.28128688259</v>
      </c>
    </row>
    <row r="165" spans="1:34" x14ac:dyDescent="0.25">
      <c r="A165" s="71">
        <f>SUM(B165:AF165)</f>
        <v>31048992.200349689</v>
      </c>
      <c r="B165" s="60">
        <f>IF($A$64&lt;=B129,IF($B$64&gt;=B129,ABS(B164),0),0)</f>
        <v>11837.802738552826</v>
      </c>
      <c r="C165" s="60">
        <f t="shared" ref="C165:AF165" si="105">IF($A$64&lt;=C129,IF($B$64&gt;=C129,ABS(C164),0),0)</f>
        <v>12000.837714787616</v>
      </c>
      <c r="D165" s="60">
        <f t="shared" si="105"/>
        <v>13499.523183174659</v>
      </c>
      <c r="E165" s="60">
        <f t="shared" si="105"/>
        <v>32768.716542251139</v>
      </c>
      <c r="F165" s="60">
        <f t="shared" si="105"/>
        <v>447269.86197559326</v>
      </c>
      <c r="G165" s="60">
        <f t="shared" si="105"/>
        <v>1816443.9011341215</v>
      </c>
      <c r="H165" s="60">
        <f t="shared" si="105"/>
        <v>1824799.5577861168</v>
      </c>
      <c r="I165" s="60">
        <f t="shared" si="105"/>
        <v>1824799.3868853177</v>
      </c>
      <c r="J165" s="60">
        <f t="shared" si="105"/>
        <v>1824799.2159847135</v>
      </c>
      <c r="K165" s="60">
        <f t="shared" si="105"/>
        <v>1824799.2159868684</v>
      </c>
      <c r="L165" s="60">
        <f t="shared" si="105"/>
        <v>1824799.2160084057</v>
      </c>
      <c r="M165" s="60">
        <f t="shared" si="105"/>
        <v>1824798.8744221756</v>
      </c>
      <c r="N165" s="60">
        <f t="shared" si="105"/>
        <v>1824796.9966677632</v>
      </c>
      <c r="O165" s="60">
        <f t="shared" si="105"/>
        <v>1824777.1937994866</v>
      </c>
      <c r="P165" s="60">
        <f t="shared" si="105"/>
        <v>1824579.1731772362</v>
      </c>
      <c r="Q165" s="60">
        <f t="shared" si="105"/>
        <v>1822604.5541449287</v>
      </c>
      <c r="R165" s="60">
        <f t="shared" si="105"/>
        <v>1803359.1532297884</v>
      </c>
      <c r="S165" s="60">
        <f t="shared" si="105"/>
        <v>1652260.6528964946</v>
      </c>
      <c r="T165" s="60">
        <f t="shared" si="105"/>
        <v>1302155.4947672188</v>
      </c>
      <c r="U165" s="60">
        <f t="shared" si="105"/>
        <v>970049.73702041607</v>
      </c>
      <c r="V165" s="60">
        <f t="shared" si="105"/>
        <v>572641.55091832753</v>
      </c>
      <c r="W165" s="60">
        <f t="shared" si="105"/>
        <v>206152.44119500366</v>
      </c>
      <c r="X165" s="60">
        <f t="shared" si="105"/>
        <v>34222.975121625044</v>
      </c>
      <c r="Y165" s="60">
        <f t="shared" si="105"/>
        <v>485949.48637517466</v>
      </c>
      <c r="Z165" s="60">
        <f t="shared" si="105"/>
        <v>904396.25346955296</v>
      </c>
      <c r="AA165" s="60">
        <f t="shared" si="105"/>
        <v>893844.45093790966</v>
      </c>
      <c r="AB165" s="60">
        <f t="shared" si="105"/>
        <v>530271.64653607109</v>
      </c>
      <c r="AC165" s="60">
        <f t="shared" si="105"/>
        <v>114885.02122330452</v>
      </c>
      <c r="AD165" s="60">
        <f t="shared" si="105"/>
        <v>26654.8660768718</v>
      </c>
      <c r="AE165" s="60">
        <f t="shared" si="105"/>
        <v>367442.16114356043</v>
      </c>
      <c r="AF165" s="60">
        <f t="shared" si="105"/>
        <v>605332.28128688259</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7329.4999125620361</v>
      </c>
      <c r="C170" s="27">
        <f t="shared" ref="C170:AF170" si="106">($C$17+SUM(C171:C201))*$B$51</f>
        <v>7316.2333382864945</v>
      </c>
      <c r="D170" s="27">
        <f t="shared" si="106"/>
        <v>7191.1252024483501</v>
      </c>
      <c r="E170" s="27">
        <f t="shared" si="106"/>
        <v>6465.0331341354113</v>
      </c>
      <c r="F170" s="27">
        <f t="shared" si="106"/>
        <v>6088.8891085676341</v>
      </c>
      <c r="G170" s="27">
        <f t="shared" si="106"/>
        <v>6088.8810506995042</v>
      </c>
      <c r="H170" s="27">
        <f t="shared" si="106"/>
        <v>6088.8810506994878</v>
      </c>
      <c r="I170" s="27">
        <f t="shared" si="106"/>
        <v>6088.8810506993304</v>
      </c>
      <c r="J170" s="27">
        <f t="shared" si="106"/>
        <v>6088.8810506977416</v>
      </c>
      <c r="K170" s="27">
        <f t="shared" si="106"/>
        <v>6088.8810506818554</v>
      </c>
      <c r="L170" s="27">
        <f t="shared" si="106"/>
        <v>6088.8810505230049</v>
      </c>
      <c r="M170" s="27">
        <f t="shared" si="106"/>
        <v>6088.8810489344978</v>
      </c>
      <c r="N170" s="27">
        <f t="shared" si="106"/>
        <v>6088.8810330494325</v>
      </c>
      <c r="O170" s="27">
        <f t="shared" si="106"/>
        <v>6088.8808741987941</v>
      </c>
      <c r="P170" s="27">
        <f t="shared" si="106"/>
        <v>6088.8792856947266</v>
      </c>
      <c r="Q170" s="27">
        <f t="shared" si="106"/>
        <v>6088.8634008865138</v>
      </c>
      <c r="R170" s="27">
        <f t="shared" si="106"/>
        <v>6088.7045760468691</v>
      </c>
      <c r="S170" s="27">
        <f t="shared" si="106"/>
        <v>6087.1186495386983</v>
      </c>
      <c r="T170" s="27">
        <f t="shared" si="106"/>
        <v>6071.4892310759415</v>
      </c>
      <c r="U170" s="27">
        <f t="shared" si="106"/>
        <v>5936.0064617734324</v>
      </c>
      <c r="V170" s="27">
        <f t="shared" si="106"/>
        <v>5501.5396198205326</v>
      </c>
      <c r="W170" s="27">
        <f t="shared" si="106"/>
        <v>5260.8338106493375</v>
      </c>
      <c r="X170" s="27">
        <f t="shared" si="106"/>
        <v>4939.8130161998015</v>
      </c>
      <c r="Y170" s="27">
        <f t="shared" si="106"/>
        <v>4590.0798629006194</v>
      </c>
      <c r="Z170" s="27">
        <f t="shared" si="106"/>
        <v>4112.1235472256622</v>
      </c>
      <c r="AA170" s="27">
        <f t="shared" si="106"/>
        <v>3512.0582021883251</v>
      </c>
      <c r="AB170" s="27">
        <f t="shared" si="106"/>
        <v>2783.5573655959615</v>
      </c>
      <c r="AC170" s="27">
        <f t="shared" si="106"/>
        <v>1926.4928507507582</v>
      </c>
      <c r="AD170" s="27">
        <f t="shared" si="106"/>
        <v>1189.1466618271029</v>
      </c>
      <c r="AE170" s="27">
        <f t="shared" si="106"/>
        <v>686.37322428913797</v>
      </c>
      <c r="AF170" s="27">
        <f t="shared" si="106"/>
        <v>385.83094757943252</v>
      </c>
      <c r="AG170" s="27"/>
      <c r="AH170" s="27"/>
    </row>
    <row r="171" spans="1:34" x14ac:dyDescent="0.25">
      <c r="B171" s="3">
        <f t="shared" ref="B171:AF171" si="107">$C18*EXP(-B$168/$A18/EXP(-$C$126))</f>
        <v>0.16922954202846188</v>
      </c>
      <c r="C171" s="3">
        <f t="shared" si="107"/>
        <v>0.16741988367330349</v>
      </c>
      <c r="D171" s="3">
        <f t="shared" si="107"/>
        <v>0.15035421331896237</v>
      </c>
      <c r="E171" s="3">
        <f t="shared" si="107"/>
        <v>5.1309912149282953E-2</v>
      </c>
      <c r="F171" s="3">
        <f t="shared" si="107"/>
        <v>1.0991525076585537E-6</v>
      </c>
      <c r="G171" s="3">
        <f t="shared" si="107"/>
        <v>2.2367878494871848E-53</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7.5788306997470078E-2</v>
      </c>
      <c r="C172" s="3">
        <f t="shared" si="108"/>
        <v>7.5788306997470078E-2</v>
      </c>
      <c r="D172" s="3">
        <f t="shared" si="108"/>
        <v>7.5788306997470078E-2</v>
      </c>
      <c r="E172" s="3">
        <f t="shared" si="108"/>
        <v>7.5788306997470078E-2</v>
      </c>
      <c r="F172" s="3">
        <f t="shared" si="108"/>
        <v>7.5788306997470051E-2</v>
      </c>
      <c r="G172" s="3">
        <f t="shared" si="108"/>
        <v>7.5788306997469843E-2</v>
      </c>
      <c r="H172" s="3">
        <f t="shared" si="108"/>
        <v>7.5788306997467761E-2</v>
      </c>
      <c r="I172" s="3">
        <f t="shared" si="108"/>
        <v>7.5788306997446889E-2</v>
      </c>
      <c r="J172" s="3">
        <f t="shared" si="108"/>
        <v>7.5788306997238181E-2</v>
      </c>
      <c r="K172" s="3">
        <f t="shared" si="108"/>
        <v>7.5788306995151003E-2</v>
      </c>
      <c r="L172" s="3">
        <f t="shared" si="108"/>
        <v>7.5788306974279337E-2</v>
      </c>
      <c r="M172" s="3">
        <f t="shared" si="108"/>
        <v>7.5788306765562738E-2</v>
      </c>
      <c r="N172" s="3">
        <f t="shared" si="108"/>
        <v>7.5788304678396687E-2</v>
      </c>
      <c r="O172" s="3">
        <f t="shared" si="108"/>
        <v>7.5788283806739326E-2</v>
      </c>
      <c r="P172" s="3">
        <f t="shared" si="108"/>
        <v>7.5788075090481966E-2</v>
      </c>
      <c r="Q172" s="3">
        <f t="shared" si="108"/>
        <v>7.5785987959521545E-2</v>
      </c>
      <c r="R172" s="3">
        <f t="shared" si="108"/>
        <v>7.5765119810923445E-2</v>
      </c>
      <c r="S172" s="3">
        <f t="shared" si="108"/>
        <v>7.5556754103696194E-2</v>
      </c>
      <c r="T172" s="3">
        <f t="shared" si="108"/>
        <v>7.3504355497836904E-2</v>
      </c>
      <c r="U172" s="3">
        <f t="shared" si="108"/>
        <v>5.5809854283321261E-2</v>
      </c>
      <c r="V172" s="3">
        <f t="shared" si="108"/>
        <v>3.5537676943415111E-3</v>
      </c>
      <c r="W172" s="3">
        <f t="shared" si="108"/>
        <v>3.8946685161745012E-15</v>
      </c>
      <c r="X172" s="3">
        <f t="shared" si="108"/>
        <v>9.7338611590710621E-135</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2.742614598116927E-2</v>
      </c>
      <c r="C173" s="3">
        <f t="shared" si="109"/>
        <v>2.742614598116927E-2</v>
      </c>
      <c r="D173" s="3">
        <f t="shared" si="109"/>
        <v>2.742614598116927E-2</v>
      </c>
      <c r="E173" s="3">
        <f t="shared" si="109"/>
        <v>2.742614598116927E-2</v>
      </c>
      <c r="F173" s="3">
        <f t="shared" si="109"/>
        <v>2.742614598116927E-2</v>
      </c>
      <c r="G173" s="3">
        <f t="shared" si="109"/>
        <v>2.7426145981169263E-2</v>
      </c>
      <c r="H173" s="3">
        <f t="shared" si="109"/>
        <v>2.7426145981169193E-2</v>
      </c>
      <c r="I173" s="3">
        <f t="shared" si="109"/>
        <v>2.742614598116851E-2</v>
      </c>
      <c r="J173" s="3">
        <f t="shared" si="109"/>
        <v>2.7426145981161699E-2</v>
      </c>
      <c r="K173" s="3">
        <f t="shared" si="109"/>
        <v>2.7426145981093563E-2</v>
      </c>
      <c r="L173" s="3">
        <f t="shared" si="109"/>
        <v>2.7426145980412223E-2</v>
      </c>
      <c r="M173" s="3">
        <f t="shared" si="109"/>
        <v>2.7426145973598787E-2</v>
      </c>
      <c r="N173" s="3">
        <f t="shared" si="109"/>
        <v>2.7426145905464425E-2</v>
      </c>
      <c r="O173" s="3">
        <f t="shared" si="109"/>
        <v>2.7426145224120842E-2</v>
      </c>
      <c r="P173" s="3">
        <f t="shared" si="109"/>
        <v>2.7426138410685919E-2</v>
      </c>
      <c r="Q173" s="3">
        <f t="shared" si="109"/>
        <v>2.7426070276429806E-2</v>
      </c>
      <c r="R173" s="3">
        <f t="shared" si="109"/>
        <v>2.7425388943178156E-2</v>
      </c>
      <c r="S173" s="3">
        <f t="shared" si="109"/>
        <v>2.741857654152494E-2</v>
      </c>
      <c r="T173" s="3">
        <f t="shared" si="109"/>
        <v>2.735054552581594E-2</v>
      </c>
      <c r="U173" s="3">
        <f t="shared" si="109"/>
        <v>2.6679450531127889E-2</v>
      </c>
      <c r="V173" s="3">
        <f t="shared" si="109"/>
        <v>2.0810655493299517E-2</v>
      </c>
      <c r="W173" s="3">
        <f t="shared" si="109"/>
        <v>1.7352999269763091E-3</v>
      </c>
      <c r="X173" s="3">
        <f t="shared" si="109"/>
        <v>2.8200865377679908E-14</v>
      </c>
      <c r="Y173" s="3">
        <f t="shared" si="109"/>
        <v>3.6236087865493462E-122</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4.6802795715284964E-2</v>
      </c>
      <c r="C174" s="3">
        <f t="shared" si="110"/>
        <v>4.6802795715284964E-2</v>
      </c>
      <c r="D174" s="3">
        <f t="shared" si="110"/>
        <v>4.6802795715284964E-2</v>
      </c>
      <c r="E174" s="3">
        <f t="shared" si="110"/>
        <v>4.6802795715284964E-2</v>
      </c>
      <c r="F174" s="3">
        <f t="shared" si="110"/>
        <v>4.6802795715284964E-2</v>
      </c>
      <c r="G174" s="3">
        <f t="shared" si="110"/>
        <v>4.6802795715284964E-2</v>
      </c>
      <c r="H174" s="3">
        <f t="shared" si="110"/>
        <v>4.6802795715284957E-2</v>
      </c>
      <c r="I174" s="3">
        <f t="shared" si="110"/>
        <v>4.6802795715284853E-2</v>
      </c>
      <c r="J174" s="3">
        <f t="shared" si="110"/>
        <v>4.6802795715283799E-2</v>
      </c>
      <c r="K174" s="3">
        <f t="shared" si="110"/>
        <v>4.6802795715273307E-2</v>
      </c>
      <c r="L174" s="3">
        <f t="shared" si="110"/>
        <v>4.6802795715168426E-2</v>
      </c>
      <c r="M174" s="3">
        <f t="shared" si="110"/>
        <v>4.6802795714119563E-2</v>
      </c>
      <c r="N174" s="3">
        <f t="shared" si="110"/>
        <v>4.6802795703630905E-2</v>
      </c>
      <c r="O174" s="3">
        <f t="shared" si="110"/>
        <v>4.6802795598744354E-2</v>
      </c>
      <c r="P174" s="3">
        <f t="shared" si="110"/>
        <v>4.6802794549878915E-2</v>
      </c>
      <c r="Q174" s="3">
        <f t="shared" si="110"/>
        <v>4.6802784061225816E-2</v>
      </c>
      <c r="R174" s="3">
        <f t="shared" si="110"/>
        <v>4.6802679174824023E-2</v>
      </c>
      <c r="S174" s="3">
        <f t="shared" si="110"/>
        <v>4.6801630323734029E-2</v>
      </c>
      <c r="T174" s="3">
        <f t="shared" si="110"/>
        <v>4.6791143105512308E-2</v>
      </c>
      <c r="U174" s="3">
        <f t="shared" si="110"/>
        <v>4.6686400083998859E-2</v>
      </c>
      <c r="V174" s="3">
        <f t="shared" si="110"/>
        <v>4.565177948051706E-2</v>
      </c>
      <c r="W174" s="3">
        <f t="shared" si="110"/>
        <v>3.6486394020638552E-2</v>
      </c>
      <c r="X174" s="3">
        <f t="shared" si="110"/>
        <v>3.8802818686252665E-3</v>
      </c>
      <c r="Y174" s="3">
        <f t="shared" si="110"/>
        <v>7.1810273488727633E-13</v>
      </c>
      <c r="Z174" s="3">
        <f t="shared" si="110"/>
        <v>3.3839165436774556E-110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4.5136552781973364E-2</v>
      </c>
      <c r="C175" s="3">
        <f t="shared" si="111"/>
        <v>4.5136552781973364E-2</v>
      </c>
      <c r="D175" s="3">
        <f t="shared" si="111"/>
        <v>4.5136552781973364E-2</v>
      </c>
      <c r="E175" s="3">
        <f t="shared" si="111"/>
        <v>4.5136552781973364E-2</v>
      </c>
      <c r="F175" s="3">
        <f t="shared" si="111"/>
        <v>4.5136552781973364E-2</v>
      </c>
      <c r="G175" s="3">
        <f t="shared" si="111"/>
        <v>4.5136552781973364E-2</v>
      </c>
      <c r="H175" s="3">
        <f t="shared" si="111"/>
        <v>4.5136552781973364E-2</v>
      </c>
      <c r="I175" s="3">
        <f t="shared" si="111"/>
        <v>4.5136552781973358E-2</v>
      </c>
      <c r="J175" s="3">
        <f t="shared" si="111"/>
        <v>4.5136552781973267E-2</v>
      </c>
      <c r="K175" s="3">
        <f t="shared" si="111"/>
        <v>4.5136552781972351E-2</v>
      </c>
      <c r="L175" s="3">
        <f t="shared" si="111"/>
        <v>4.5136552781963227E-2</v>
      </c>
      <c r="M175" s="3">
        <f t="shared" si="111"/>
        <v>4.513655278187198E-2</v>
      </c>
      <c r="N175" s="3">
        <f t="shared" si="111"/>
        <v>4.5136552780959502E-2</v>
      </c>
      <c r="O175" s="3">
        <f t="shared" si="111"/>
        <v>4.5136552771834711E-2</v>
      </c>
      <c r="P175" s="3">
        <f t="shared" si="111"/>
        <v>4.5136552680586785E-2</v>
      </c>
      <c r="Q175" s="3">
        <f t="shared" si="111"/>
        <v>4.5136551768107623E-2</v>
      </c>
      <c r="R175" s="3">
        <f t="shared" si="111"/>
        <v>4.5136542643316943E-2</v>
      </c>
      <c r="S175" s="3">
        <f t="shared" si="111"/>
        <v>4.5136451395511631E-2</v>
      </c>
      <c r="T175" s="3">
        <f t="shared" si="111"/>
        <v>4.5135538927604066E-2</v>
      </c>
      <c r="U175" s="3">
        <f t="shared" si="111"/>
        <v>4.5126415263009964E-2</v>
      </c>
      <c r="V175" s="3">
        <f t="shared" si="111"/>
        <v>4.5035279989378785E-2</v>
      </c>
      <c r="W175" s="3">
        <f t="shared" si="111"/>
        <v>4.4133989066773273E-2</v>
      </c>
      <c r="X175" s="3">
        <f t="shared" si="111"/>
        <v>3.6055900161188335E-2</v>
      </c>
      <c r="Y175" s="3">
        <f t="shared" si="111"/>
        <v>4.7753800050607071E-3</v>
      </c>
      <c r="Z175" s="3">
        <f t="shared" si="111"/>
        <v>7.9309256447380649E-12</v>
      </c>
      <c r="AA175" s="3">
        <f t="shared" si="111"/>
        <v>1.2661445616305734E-99</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6.7281406852932088E-2</v>
      </c>
      <c r="C176" s="3">
        <f t="shared" si="112"/>
        <v>6.7281406852932088E-2</v>
      </c>
      <c r="D176" s="3">
        <f t="shared" si="112"/>
        <v>6.7281406852932088E-2</v>
      </c>
      <c r="E176" s="3">
        <f t="shared" si="112"/>
        <v>6.7281406852932088E-2</v>
      </c>
      <c r="F176" s="3">
        <f t="shared" si="112"/>
        <v>6.7281406852932088E-2</v>
      </c>
      <c r="G176" s="3">
        <f t="shared" si="112"/>
        <v>6.7281406852932088E-2</v>
      </c>
      <c r="H176" s="3">
        <f t="shared" si="112"/>
        <v>6.7281406852932088E-2</v>
      </c>
      <c r="I176" s="3">
        <f t="shared" si="112"/>
        <v>6.7281406852932088E-2</v>
      </c>
      <c r="J176" s="3">
        <f t="shared" si="112"/>
        <v>6.7281406852932074E-2</v>
      </c>
      <c r="K176" s="3">
        <f t="shared" si="112"/>
        <v>6.7281406852931949E-2</v>
      </c>
      <c r="L176" s="3">
        <f t="shared" si="112"/>
        <v>6.7281406852930714E-2</v>
      </c>
      <c r="M176" s="3">
        <f t="shared" si="112"/>
        <v>6.728140685291846E-2</v>
      </c>
      <c r="N176" s="3">
        <f t="shared" si="112"/>
        <v>6.7281406852795753E-2</v>
      </c>
      <c r="O176" s="3">
        <f t="shared" si="112"/>
        <v>6.7281406851568776E-2</v>
      </c>
      <c r="P176" s="3">
        <f t="shared" si="112"/>
        <v>6.7281406839299021E-2</v>
      </c>
      <c r="Q176" s="3">
        <f t="shared" si="112"/>
        <v>6.7281406716601377E-2</v>
      </c>
      <c r="R176" s="3">
        <f t="shared" si="112"/>
        <v>6.7281405489624926E-2</v>
      </c>
      <c r="S176" s="3">
        <f t="shared" si="112"/>
        <v>6.7281393219861665E-2</v>
      </c>
      <c r="T176" s="3">
        <f t="shared" si="112"/>
        <v>6.7281270522352193E-2</v>
      </c>
      <c r="U176" s="3">
        <f t="shared" si="112"/>
        <v>6.7280043559564004E-2</v>
      </c>
      <c r="V176" s="3">
        <f t="shared" si="112"/>
        <v>6.7267775162255433E-2</v>
      </c>
      <c r="W176" s="3">
        <f t="shared" si="112"/>
        <v>6.7145214163519068E-2</v>
      </c>
      <c r="X176" s="3">
        <f t="shared" si="112"/>
        <v>6.593181903734234E-2</v>
      </c>
      <c r="Y176" s="3">
        <f t="shared" si="112"/>
        <v>5.4940803137763998E-2</v>
      </c>
      <c r="Z176" s="3">
        <f t="shared" si="112"/>
        <v>8.8694044972867977E-3</v>
      </c>
      <c r="AA176" s="3">
        <f t="shared" si="112"/>
        <v>1.0663236503782511E-10</v>
      </c>
      <c r="AB176" s="3">
        <f t="shared" si="112"/>
        <v>6.727207770485531E-90</v>
      </c>
      <c r="AC176" s="3">
        <f t="shared" si="112"/>
        <v>0</v>
      </c>
      <c r="AD176" s="3">
        <f t="shared" si="112"/>
        <v>0</v>
      </c>
      <c r="AE176" s="3">
        <f t="shared" si="112"/>
        <v>0</v>
      </c>
      <c r="AF176" s="3">
        <f t="shared" si="112"/>
        <v>0</v>
      </c>
      <c r="AG176" s="3"/>
      <c r="AH176" s="3"/>
    </row>
    <row r="177" spans="2:34" x14ac:dyDescent="0.25">
      <c r="B177" s="3">
        <f t="shared" ref="B177:AF177" si="113">$C24*EXP(-B$168/$A24/EXP(-$C$126))</f>
        <v>8.4823708436980116E-2</v>
      </c>
      <c r="C177" s="3">
        <f t="shared" si="113"/>
        <v>8.4823708436980116E-2</v>
      </c>
      <c r="D177" s="3">
        <f t="shared" si="113"/>
        <v>8.4823708436980116E-2</v>
      </c>
      <c r="E177" s="3">
        <f t="shared" si="113"/>
        <v>8.4823708436980116E-2</v>
      </c>
      <c r="F177" s="3">
        <f t="shared" si="113"/>
        <v>8.4823708436980116E-2</v>
      </c>
      <c r="G177" s="3">
        <f t="shared" si="113"/>
        <v>8.4823708436980116E-2</v>
      </c>
      <c r="H177" s="3">
        <f t="shared" si="113"/>
        <v>8.4823708436980116E-2</v>
      </c>
      <c r="I177" s="3">
        <f t="shared" si="113"/>
        <v>8.4823708436980116E-2</v>
      </c>
      <c r="J177" s="3">
        <f t="shared" si="113"/>
        <v>8.4823708436980116E-2</v>
      </c>
      <c r="K177" s="3">
        <f t="shared" si="113"/>
        <v>8.4823708436980103E-2</v>
      </c>
      <c r="L177" s="3">
        <f t="shared" si="113"/>
        <v>8.4823708436979964E-2</v>
      </c>
      <c r="M177" s="3">
        <f t="shared" si="113"/>
        <v>8.4823708436978562E-2</v>
      </c>
      <c r="N177" s="3">
        <f t="shared" si="113"/>
        <v>8.4823708436964615E-2</v>
      </c>
      <c r="O177" s="3">
        <f t="shared" si="113"/>
        <v>8.4823708436825074E-2</v>
      </c>
      <c r="P177" s="3">
        <f t="shared" si="113"/>
        <v>8.4823708435429648E-2</v>
      </c>
      <c r="Q177" s="3">
        <f t="shared" si="113"/>
        <v>8.4823708421475449E-2</v>
      </c>
      <c r="R177" s="3">
        <f t="shared" si="113"/>
        <v>8.4823708281933433E-2</v>
      </c>
      <c r="S177" s="3">
        <f t="shared" si="113"/>
        <v>8.4823706886513209E-2</v>
      </c>
      <c r="T177" s="3">
        <f t="shared" si="113"/>
        <v>8.4823692932312345E-2</v>
      </c>
      <c r="U177" s="3">
        <f t="shared" si="113"/>
        <v>8.4823553390429893E-2</v>
      </c>
      <c r="V177" s="3">
        <f t="shared" si="113"/>
        <v>8.4822157984230942E-2</v>
      </c>
      <c r="W177" s="3">
        <f t="shared" si="113"/>
        <v>8.4808205184726079E-2</v>
      </c>
      <c r="X177" s="3">
        <f t="shared" si="113"/>
        <v>8.4668803361326705E-2</v>
      </c>
      <c r="Y177" s="3">
        <f t="shared" si="113"/>
        <v>8.3287325830785547E-2</v>
      </c>
      <c r="Z177" s="3">
        <f t="shared" si="113"/>
        <v>7.0653532503652583E-2</v>
      </c>
      <c r="AA177" s="3">
        <f t="shared" si="113"/>
        <v>1.3635890447751209E-2</v>
      </c>
      <c r="AB177" s="3">
        <f t="shared" si="113"/>
        <v>9.7764173598351477E-10</v>
      </c>
      <c r="AC177" s="3">
        <f t="shared" si="113"/>
        <v>3.5086660514272981E-81</v>
      </c>
      <c r="AD177" s="3">
        <f t="shared" si="113"/>
        <v>0</v>
      </c>
      <c r="AE177" s="3">
        <f t="shared" si="113"/>
        <v>0</v>
      </c>
      <c r="AF177" s="3">
        <f t="shared" si="113"/>
        <v>0</v>
      </c>
      <c r="AG177" s="3"/>
      <c r="AH177" s="3"/>
    </row>
    <row r="178" spans="2:34" x14ac:dyDescent="0.25">
      <c r="B178" s="3">
        <f t="shared" ref="B178:AF178" si="114">$C25*EXP(-B$168/$A25/EXP(-$C$126))</f>
        <v>0.10369484660409525</v>
      </c>
      <c r="C178" s="3">
        <f t="shared" si="114"/>
        <v>0.10369484660409525</v>
      </c>
      <c r="D178" s="3">
        <f t="shared" si="114"/>
        <v>0.10369484660409525</v>
      </c>
      <c r="E178" s="3">
        <f t="shared" si="114"/>
        <v>0.10369484660409525</v>
      </c>
      <c r="F178" s="3">
        <f t="shared" si="114"/>
        <v>0.10369484660409525</v>
      </c>
      <c r="G178" s="3">
        <f t="shared" si="114"/>
        <v>0.10369484660409525</v>
      </c>
      <c r="H178" s="3">
        <f t="shared" si="114"/>
        <v>0.10369484660409525</v>
      </c>
      <c r="I178" s="3">
        <f t="shared" si="114"/>
        <v>0.10369484660409525</v>
      </c>
      <c r="J178" s="3">
        <f t="shared" si="114"/>
        <v>0.10369484660409525</v>
      </c>
      <c r="K178" s="3">
        <f t="shared" si="114"/>
        <v>0.10369484660409525</v>
      </c>
      <c r="L178" s="3">
        <f t="shared" si="114"/>
        <v>0.10369484660409524</v>
      </c>
      <c r="M178" s="3">
        <f t="shared" si="114"/>
        <v>0.10369484660409509</v>
      </c>
      <c r="N178" s="3">
        <f t="shared" si="114"/>
        <v>0.10369484660409353</v>
      </c>
      <c r="O178" s="3">
        <f t="shared" si="114"/>
        <v>0.10369484660407816</v>
      </c>
      <c r="P178" s="3">
        <f t="shared" si="114"/>
        <v>0.10369484660392427</v>
      </c>
      <c r="Q178" s="3">
        <f t="shared" si="114"/>
        <v>0.10369484660238544</v>
      </c>
      <c r="R178" s="3">
        <f t="shared" si="114"/>
        <v>0.1036948465869971</v>
      </c>
      <c r="S178" s="3">
        <f t="shared" si="114"/>
        <v>0.1036948464331138</v>
      </c>
      <c r="T178" s="3">
        <f t="shared" si="114"/>
        <v>0.1036948448942807</v>
      </c>
      <c r="U178" s="3">
        <f t="shared" si="114"/>
        <v>0.10369482950595096</v>
      </c>
      <c r="V178" s="3">
        <f t="shared" si="114"/>
        <v>0.10369467562277929</v>
      </c>
      <c r="W178" s="3">
        <f t="shared" si="114"/>
        <v>0.10369313680362226</v>
      </c>
      <c r="X178" s="3">
        <f t="shared" si="114"/>
        <v>0.10367774986797236</v>
      </c>
      <c r="Y178" s="3">
        <f t="shared" si="114"/>
        <v>0.10352400603456648</v>
      </c>
      <c r="Z178" s="3">
        <f t="shared" si="114"/>
        <v>0.10199905136026903</v>
      </c>
      <c r="AA178" s="3">
        <f t="shared" si="114"/>
        <v>8.7931962288569476E-2</v>
      </c>
      <c r="AB178" s="3">
        <f t="shared" si="114"/>
        <v>1.993669148779157E-2</v>
      </c>
      <c r="AC178" s="3">
        <f t="shared" si="114"/>
        <v>7.1567578411574266E-9</v>
      </c>
      <c r="AD178" s="3">
        <f t="shared" si="114"/>
        <v>2.5430134881368364E-73</v>
      </c>
      <c r="AE178" s="3">
        <f t="shared" si="114"/>
        <v>0</v>
      </c>
      <c r="AF178" s="3">
        <f t="shared" si="114"/>
        <v>0</v>
      </c>
      <c r="AG178" s="3"/>
      <c r="AH178" s="3"/>
    </row>
    <row r="179" spans="2:34" x14ac:dyDescent="0.25">
      <c r="B179" s="3">
        <f t="shared" ref="B179:AF179" si="115">$C26*EXP(-B$168/$A26/EXP(-$C$126))</f>
        <v>0.13305313379533851</v>
      </c>
      <c r="C179" s="3">
        <f t="shared" si="115"/>
        <v>0.13305313379533851</v>
      </c>
      <c r="D179" s="3">
        <f t="shared" si="115"/>
        <v>0.13305313379533851</v>
      </c>
      <c r="E179" s="3">
        <f t="shared" si="115"/>
        <v>0.13305313379533851</v>
      </c>
      <c r="F179" s="3">
        <f t="shared" si="115"/>
        <v>0.13305313379533851</v>
      </c>
      <c r="G179" s="3">
        <f t="shared" si="115"/>
        <v>0.13305313379533851</v>
      </c>
      <c r="H179" s="3">
        <f t="shared" si="115"/>
        <v>0.13305313379533851</v>
      </c>
      <c r="I179" s="3">
        <f t="shared" si="115"/>
        <v>0.13305313379533851</v>
      </c>
      <c r="J179" s="3">
        <f t="shared" si="115"/>
        <v>0.13305313379533851</v>
      </c>
      <c r="K179" s="3">
        <f t="shared" si="115"/>
        <v>0.13305313379533851</v>
      </c>
      <c r="L179" s="3">
        <f t="shared" si="115"/>
        <v>0.13305313379533851</v>
      </c>
      <c r="M179" s="3">
        <f t="shared" si="115"/>
        <v>0.13305313379533848</v>
      </c>
      <c r="N179" s="3">
        <f t="shared" si="115"/>
        <v>0.13305313379533831</v>
      </c>
      <c r="O179" s="3">
        <f t="shared" si="115"/>
        <v>0.13305313379533654</v>
      </c>
      <c r="P179" s="3">
        <f t="shared" si="115"/>
        <v>0.13305313379531872</v>
      </c>
      <c r="Q179" s="3">
        <f t="shared" si="115"/>
        <v>0.13305313379514058</v>
      </c>
      <c r="R179" s="3">
        <f t="shared" si="115"/>
        <v>0.13305313379335942</v>
      </c>
      <c r="S179" s="3">
        <f t="shared" si="115"/>
        <v>0.1330531337755477</v>
      </c>
      <c r="T179" s="3">
        <f t="shared" si="115"/>
        <v>0.13305313359743043</v>
      </c>
      <c r="U179" s="3">
        <f t="shared" si="115"/>
        <v>0.13305313181625766</v>
      </c>
      <c r="V179" s="3">
        <f t="shared" si="115"/>
        <v>0.13305311400453138</v>
      </c>
      <c r="W179" s="3">
        <f t="shared" si="115"/>
        <v>0.13305293588739966</v>
      </c>
      <c r="X179" s="3">
        <f t="shared" si="115"/>
        <v>0.13305115472919685</v>
      </c>
      <c r="Y179" s="3">
        <f t="shared" si="115"/>
        <v>0.13303334445854031</v>
      </c>
      <c r="Z179" s="3">
        <f t="shared" si="115"/>
        <v>0.13285537282420476</v>
      </c>
      <c r="AA179" s="3">
        <f t="shared" si="115"/>
        <v>0.13108869901342418</v>
      </c>
      <c r="AB179" s="3">
        <f t="shared" si="115"/>
        <v>0.11466386117075726</v>
      </c>
      <c r="AC179" s="3">
        <f t="shared" si="115"/>
        <v>3.0063507558254141E-2</v>
      </c>
      <c r="AD179" s="3">
        <f t="shared" si="115"/>
        <v>4.6149873946454897E-8</v>
      </c>
      <c r="AE179" s="3">
        <f t="shared" si="115"/>
        <v>3.3533525902042072E-66</v>
      </c>
      <c r="AF179" s="3">
        <f t="shared" si="115"/>
        <v>0</v>
      </c>
      <c r="AG179" s="3"/>
      <c r="AH179" s="3"/>
    </row>
    <row r="180" spans="2:34" x14ac:dyDescent="0.25">
      <c r="B180" s="3">
        <f t="shared" ref="B180:AF180" si="116">$C27*EXP(-B$168/$A27/EXP(-$C$126))</f>
        <v>0.10368180212181953</v>
      </c>
      <c r="C180" s="3">
        <f t="shared" si="116"/>
        <v>0.10368180212181953</v>
      </c>
      <c r="D180" s="3">
        <f t="shared" si="116"/>
        <v>0.10368180212181953</v>
      </c>
      <c r="E180" s="3">
        <f t="shared" si="116"/>
        <v>0.10368180212181953</v>
      </c>
      <c r="F180" s="3">
        <f t="shared" si="116"/>
        <v>0.10368180212181953</v>
      </c>
      <c r="G180" s="3">
        <f t="shared" si="116"/>
        <v>0.10368180212181953</v>
      </c>
      <c r="H180" s="3">
        <f t="shared" si="116"/>
        <v>0.10368180212181953</v>
      </c>
      <c r="I180" s="3">
        <f t="shared" si="116"/>
        <v>0.10368180212181953</v>
      </c>
      <c r="J180" s="3">
        <f t="shared" si="116"/>
        <v>0.10368180212181953</v>
      </c>
      <c r="K180" s="3">
        <f t="shared" si="116"/>
        <v>0.10368180212181953</v>
      </c>
      <c r="L180" s="3">
        <f t="shared" si="116"/>
        <v>0.10368180212181953</v>
      </c>
      <c r="M180" s="3">
        <f t="shared" si="116"/>
        <v>0.10368180212181953</v>
      </c>
      <c r="N180" s="3">
        <f t="shared" si="116"/>
        <v>0.10368180212181952</v>
      </c>
      <c r="O180" s="3">
        <f t="shared" si="116"/>
        <v>0.10368180212181939</v>
      </c>
      <c r="P180" s="3">
        <f t="shared" si="116"/>
        <v>0.10368180212181814</v>
      </c>
      <c r="Q180" s="3">
        <f t="shared" si="116"/>
        <v>0.10368180212180561</v>
      </c>
      <c r="R180" s="3">
        <f t="shared" si="116"/>
        <v>0.10368180212168041</v>
      </c>
      <c r="S180" s="3">
        <f t="shared" si="116"/>
        <v>0.10368180212042834</v>
      </c>
      <c r="T180" s="3">
        <f t="shared" si="116"/>
        <v>0.1036818021079076</v>
      </c>
      <c r="U180" s="3">
        <f t="shared" si="116"/>
        <v>0.10368180198270018</v>
      </c>
      <c r="V180" s="3">
        <f t="shared" si="116"/>
        <v>0.10368180073062598</v>
      </c>
      <c r="W180" s="3">
        <f t="shared" si="116"/>
        <v>0.10368178820988486</v>
      </c>
      <c r="X180" s="3">
        <f t="shared" si="116"/>
        <v>0.10368166300255675</v>
      </c>
      <c r="Y180" s="3">
        <f t="shared" si="116"/>
        <v>0.10368041093759181</v>
      </c>
      <c r="Z180" s="3">
        <f t="shared" si="116"/>
        <v>0.10366789111951216</v>
      </c>
      <c r="AA180" s="3">
        <f t="shared" si="116"/>
        <v>0.10354277605855557</v>
      </c>
      <c r="AB180" s="3">
        <f t="shared" si="116"/>
        <v>0.10229990041331463</v>
      </c>
      <c r="AC180" s="3">
        <f t="shared" si="116"/>
        <v>9.0662830723876625E-2</v>
      </c>
      <c r="AD180" s="3">
        <f t="shared" si="116"/>
        <v>2.7100038787059858E-2</v>
      </c>
      <c r="AE180" s="3">
        <f t="shared" si="116"/>
        <v>1.5430368222022093E-7</v>
      </c>
      <c r="AF180" s="3">
        <f t="shared" si="116"/>
        <v>5.5263713564937334E-60</v>
      </c>
      <c r="AG180" s="3"/>
      <c r="AH180" s="3"/>
    </row>
    <row r="181" spans="2:34" x14ac:dyDescent="0.25">
      <c r="B181" s="3">
        <f t="shared" ref="B181:AF181" si="117">$C28*EXP(-B$168/$A28/EXP(-$C$126))</f>
        <v>6.4516912228113732E-2</v>
      </c>
      <c r="C181" s="3">
        <f t="shared" si="117"/>
        <v>6.4516912228113732E-2</v>
      </c>
      <c r="D181" s="3">
        <f t="shared" si="117"/>
        <v>6.4516912228113732E-2</v>
      </c>
      <c r="E181" s="3">
        <f t="shared" si="117"/>
        <v>6.4516912228113732E-2</v>
      </c>
      <c r="F181" s="3">
        <f t="shared" si="117"/>
        <v>6.4516912228113732E-2</v>
      </c>
      <c r="G181" s="3">
        <f t="shared" si="117"/>
        <v>6.4516912228113732E-2</v>
      </c>
      <c r="H181" s="3">
        <f t="shared" si="117"/>
        <v>6.4516912228113732E-2</v>
      </c>
      <c r="I181" s="3">
        <f t="shared" si="117"/>
        <v>6.4516912228113732E-2</v>
      </c>
      <c r="J181" s="3">
        <f t="shared" si="117"/>
        <v>6.4516912228113732E-2</v>
      </c>
      <c r="K181" s="3">
        <f t="shared" si="117"/>
        <v>6.4516912228113732E-2</v>
      </c>
      <c r="L181" s="3">
        <f t="shared" si="117"/>
        <v>6.4516912228113732E-2</v>
      </c>
      <c r="M181" s="3">
        <f t="shared" si="117"/>
        <v>6.4516912228113732E-2</v>
      </c>
      <c r="N181" s="3">
        <f t="shared" si="117"/>
        <v>6.4516912228113732E-2</v>
      </c>
      <c r="O181" s="3">
        <f t="shared" si="117"/>
        <v>6.4516912228113718E-2</v>
      </c>
      <c r="P181" s="3">
        <f t="shared" si="117"/>
        <v>6.4516912228113649E-2</v>
      </c>
      <c r="Q181" s="3">
        <f t="shared" si="117"/>
        <v>6.4516912228112955E-2</v>
      </c>
      <c r="R181" s="3">
        <f t="shared" si="117"/>
        <v>6.4516912228105919E-2</v>
      </c>
      <c r="S181" s="3">
        <f t="shared" si="117"/>
        <v>6.4516912228035642E-2</v>
      </c>
      <c r="T181" s="3">
        <f t="shared" si="117"/>
        <v>6.4516912227332815E-2</v>
      </c>
      <c r="U181" s="3">
        <f t="shared" si="117"/>
        <v>6.4516912220304562E-2</v>
      </c>
      <c r="V181" s="3">
        <f t="shared" si="117"/>
        <v>6.4516912150021977E-2</v>
      </c>
      <c r="W181" s="3">
        <f t="shared" si="117"/>
        <v>6.4516911447196179E-2</v>
      </c>
      <c r="X181" s="3">
        <f t="shared" si="117"/>
        <v>6.4516904418938634E-2</v>
      </c>
      <c r="Y181" s="3">
        <f t="shared" si="117"/>
        <v>6.4516834136405354E-2</v>
      </c>
      <c r="Z181" s="3">
        <f t="shared" si="117"/>
        <v>6.451613131528347E-2</v>
      </c>
      <c r="AA181" s="3">
        <f t="shared" si="117"/>
        <v>6.4509103525145092E-2</v>
      </c>
      <c r="AB181" s="3">
        <f t="shared" si="117"/>
        <v>6.4438867714836992E-2</v>
      </c>
      <c r="AC181" s="3">
        <f t="shared" si="117"/>
        <v>6.3740701803175967E-2</v>
      </c>
      <c r="AD181" s="3">
        <f t="shared" si="117"/>
        <v>5.7161845703156036E-2</v>
      </c>
      <c r="AE181" s="3">
        <f t="shared" si="117"/>
        <v>1.9230929145157654E-2</v>
      </c>
      <c r="AF181" s="3">
        <f t="shared" si="117"/>
        <v>3.5722390370724915E-7</v>
      </c>
      <c r="AG181" s="3"/>
      <c r="AH181" s="3"/>
    </row>
    <row r="182" spans="2:34" x14ac:dyDescent="0.25">
      <c r="B182" s="3">
        <f t="shared" ref="B182:AF182" si="118">$C29*EXP(-B$168/$A29/EXP(-$C$126))</f>
        <v>3.7592139756949243E-2</v>
      </c>
      <c r="C182" s="3">
        <f t="shared" si="118"/>
        <v>3.7592139756949243E-2</v>
      </c>
      <c r="D182" s="3">
        <f t="shared" si="118"/>
        <v>3.7592139756949243E-2</v>
      </c>
      <c r="E182" s="3">
        <f t="shared" si="118"/>
        <v>3.7592139756949243E-2</v>
      </c>
      <c r="F182" s="3">
        <f t="shared" si="118"/>
        <v>3.7592139756949243E-2</v>
      </c>
      <c r="G182" s="3">
        <f t="shared" si="118"/>
        <v>3.7592139756949243E-2</v>
      </c>
      <c r="H182" s="3">
        <f t="shared" si="118"/>
        <v>3.7592139756949243E-2</v>
      </c>
      <c r="I182" s="3">
        <f t="shared" si="118"/>
        <v>3.7592139756949243E-2</v>
      </c>
      <c r="J182" s="3">
        <f t="shared" si="118"/>
        <v>3.7592139756949243E-2</v>
      </c>
      <c r="K182" s="3">
        <f t="shared" si="118"/>
        <v>3.7592139756949243E-2</v>
      </c>
      <c r="L182" s="3">
        <f t="shared" si="118"/>
        <v>3.7592139756949243E-2</v>
      </c>
      <c r="M182" s="3">
        <f t="shared" si="118"/>
        <v>3.7592139756949243E-2</v>
      </c>
      <c r="N182" s="3">
        <f t="shared" si="118"/>
        <v>3.7592139756949243E-2</v>
      </c>
      <c r="O182" s="3">
        <f t="shared" si="118"/>
        <v>3.7592139756949243E-2</v>
      </c>
      <c r="P182" s="3">
        <f t="shared" si="118"/>
        <v>3.7592139756949236E-2</v>
      </c>
      <c r="Q182" s="3">
        <f t="shared" si="118"/>
        <v>3.7592139756949201E-2</v>
      </c>
      <c r="R182" s="3">
        <f t="shared" si="118"/>
        <v>3.7592139756948834E-2</v>
      </c>
      <c r="S182" s="3">
        <f t="shared" si="118"/>
        <v>3.7592139756945142E-2</v>
      </c>
      <c r="T182" s="3">
        <f t="shared" si="118"/>
        <v>3.7592139756908199E-2</v>
      </c>
      <c r="U182" s="3">
        <f t="shared" si="118"/>
        <v>3.759213975653878E-2</v>
      </c>
      <c r="V182" s="3">
        <f t="shared" si="118"/>
        <v>3.7592139752844603E-2</v>
      </c>
      <c r="W182" s="3">
        <f t="shared" si="118"/>
        <v>3.7592139715902827E-2</v>
      </c>
      <c r="X182" s="3">
        <f t="shared" si="118"/>
        <v>3.759213934648508E-2</v>
      </c>
      <c r="Y182" s="3">
        <f t="shared" si="118"/>
        <v>3.759213565230779E-2</v>
      </c>
      <c r="Z182" s="3">
        <f t="shared" si="118"/>
        <v>3.7592098710554911E-2</v>
      </c>
      <c r="AA182" s="3">
        <f t="shared" si="118"/>
        <v>3.7591729295022691E-2</v>
      </c>
      <c r="AB182" s="3">
        <f t="shared" si="118"/>
        <v>3.7588035339357083E-2</v>
      </c>
      <c r="AC182" s="3">
        <f t="shared" si="118"/>
        <v>3.7551115741101003E-2</v>
      </c>
      <c r="AD182" s="3">
        <f t="shared" si="118"/>
        <v>3.7183908360718866E-2</v>
      </c>
      <c r="AE182" s="3">
        <f t="shared" si="118"/>
        <v>3.3703650391884478E-2</v>
      </c>
      <c r="AF182" s="3">
        <f t="shared" si="118"/>
        <v>1.2615253809350252E-2</v>
      </c>
      <c r="AG182" s="3"/>
      <c r="AH182" s="3"/>
    </row>
    <row r="183" spans="2:34" x14ac:dyDescent="0.25">
      <c r="B183" s="3">
        <f t="shared" ref="B183:AF183" si="119">$C30*EXP(-B$168/$A30/EXP(-$C$126))</f>
        <v>7.6036322594280207E-3</v>
      </c>
      <c r="C183" s="3">
        <f t="shared" si="119"/>
        <v>7.6036322594280207E-3</v>
      </c>
      <c r="D183" s="3">
        <f t="shared" si="119"/>
        <v>7.6036322594280207E-3</v>
      </c>
      <c r="E183" s="3">
        <f t="shared" si="119"/>
        <v>7.6036322594280207E-3</v>
      </c>
      <c r="F183" s="3">
        <f t="shared" si="119"/>
        <v>7.6036322594280207E-3</v>
      </c>
      <c r="G183" s="3">
        <f t="shared" si="119"/>
        <v>7.6036322594280207E-3</v>
      </c>
      <c r="H183" s="3">
        <f t="shared" si="119"/>
        <v>7.6036322594280207E-3</v>
      </c>
      <c r="I183" s="3">
        <f t="shared" si="119"/>
        <v>7.6036322594280207E-3</v>
      </c>
      <c r="J183" s="3">
        <f t="shared" si="119"/>
        <v>7.6036322594280207E-3</v>
      </c>
      <c r="K183" s="3">
        <f t="shared" si="119"/>
        <v>7.6036322594280207E-3</v>
      </c>
      <c r="L183" s="3">
        <f t="shared" si="119"/>
        <v>7.6036322594280207E-3</v>
      </c>
      <c r="M183" s="3">
        <f t="shared" si="119"/>
        <v>7.6036322594280207E-3</v>
      </c>
      <c r="N183" s="3">
        <f t="shared" si="119"/>
        <v>7.6036322594280207E-3</v>
      </c>
      <c r="O183" s="3">
        <f t="shared" si="119"/>
        <v>7.6036322594280207E-3</v>
      </c>
      <c r="P183" s="3">
        <f t="shared" si="119"/>
        <v>7.6036322594280207E-3</v>
      </c>
      <c r="Q183" s="3">
        <f t="shared" si="119"/>
        <v>7.6036322594280198E-3</v>
      </c>
      <c r="R183" s="3">
        <f t="shared" si="119"/>
        <v>7.6036322594280129E-3</v>
      </c>
      <c r="S183" s="3">
        <f t="shared" si="119"/>
        <v>7.6036322594279452E-3</v>
      </c>
      <c r="T183" s="3">
        <f t="shared" si="119"/>
        <v>7.6036322594272721E-3</v>
      </c>
      <c r="U183" s="3">
        <f t="shared" si="119"/>
        <v>7.603632259420531E-3</v>
      </c>
      <c r="V183" s="3">
        <f t="shared" si="119"/>
        <v>7.6036322593531266E-3</v>
      </c>
      <c r="W183" s="3">
        <f t="shared" si="119"/>
        <v>7.6036322586790824E-3</v>
      </c>
      <c r="X183" s="3">
        <f t="shared" si="119"/>
        <v>7.60363225193864E-3</v>
      </c>
      <c r="Y183" s="3">
        <f t="shared" si="119"/>
        <v>7.6036321845342151E-3</v>
      </c>
      <c r="Z183" s="3">
        <f t="shared" si="119"/>
        <v>7.6036315104900014E-3</v>
      </c>
      <c r="AA183" s="3">
        <f t="shared" si="119"/>
        <v>7.6036247700511476E-3</v>
      </c>
      <c r="AB183" s="3">
        <f t="shared" si="119"/>
        <v>7.6035573659912524E-3</v>
      </c>
      <c r="AC183" s="3">
        <f t="shared" si="119"/>
        <v>7.6028833582549504E-3</v>
      </c>
      <c r="AD183" s="3">
        <f t="shared" si="119"/>
        <v>7.5961465660792432E-3</v>
      </c>
      <c r="AE183" s="3">
        <f t="shared" si="119"/>
        <v>7.5291060880751971E-3</v>
      </c>
      <c r="AF183" s="3">
        <f t="shared" si="119"/>
        <v>6.8903966732473485E-3</v>
      </c>
      <c r="AG183" s="3"/>
      <c r="AH183" s="3"/>
    </row>
    <row r="184" spans="2:34" x14ac:dyDescent="0.25">
      <c r="B184" s="3">
        <f t="shared" ref="B184:AF184" si="120">$C31*EXP(-B$168/$A31/EXP(-$C$126))</f>
        <v>4.6601949201853935E-3</v>
      </c>
      <c r="C184" s="3">
        <f t="shared" si="120"/>
        <v>4.6601949201853935E-3</v>
      </c>
      <c r="D184" s="3">
        <f t="shared" si="120"/>
        <v>4.6601949201853935E-3</v>
      </c>
      <c r="E184" s="3">
        <f t="shared" si="120"/>
        <v>4.6601949201853935E-3</v>
      </c>
      <c r="F184" s="3">
        <f t="shared" si="120"/>
        <v>4.6601949201853935E-3</v>
      </c>
      <c r="G184" s="3">
        <f t="shared" si="120"/>
        <v>4.6601949201853935E-3</v>
      </c>
      <c r="H184" s="3">
        <f t="shared" si="120"/>
        <v>4.6601949201853935E-3</v>
      </c>
      <c r="I184" s="3">
        <f t="shared" si="120"/>
        <v>4.6601949201853935E-3</v>
      </c>
      <c r="J184" s="3">
        <f t="shared" si="120"/>
        <v>4.6601949201853935E-3</v>
      </c>
      <c r="K184" s="3">
        <f t="shared" si="120"/>
        <v>4.6601949201853935E-3</v>
      </c>
      <c r="L184" s="3">
        <f t="shared" si="120"/>
        <v>4.6601949201853935E-3</v>
      </c>
      <c r="M184" s="3">
        <f t="shared" si="120"/>
        <v>4.6601949201853935E-3</v>
      </c>
      <c r="N184" s="3">
        <f t="shared" si="120"/>
        <v>4.6601949201853935E-3</v>
      </c>
      <c r="O184" s="3">
        <f t="shared" si="120"/>
        <v>4.6601949201853935E-3</v>
      </c>
      <c r="P184" s="3">
        <f t="shared" si="120"/>
        <v>4.6601949201853935E-3</v>
      </c>
      <c r="Q184" s="3">
        <f t="shared" si="120"/>
        <v>4.6601949201853935E-3</v>
      </c>
      <c r="R184" s="3">
        <f t="shared" si="120"/>
        <v>4.6601949201853926E-3</v>
      </c>
      <c r="S184" s="3">
        <f t="shared" si="120"/>
        <v>4.6601949201853891E-3</v>
      </c>
      <c r="T184" s="3">
        <f t="shared" si="120"/>
        <v>4.6601949201853518E-3</v>
      </c>
      <c r="U184" s="3">
        <f t="shared" si="120"/>
        <v>4.6601949201849797E-3</v>
      </c>
      <c r="V184" s="3">
        <f t="shared" si="120"/>
        <v>4.6601949201812527E-3</v>
      </c>
      <c r="W184" s="3">
        <f t="shared" si="120"/>
        <v>4.6601949201439865E-3</v>
      </c>
      <c r="X184" s="3">
        <f t="shared" si="120"/>
        <v>4.6601949197713219E-3</v>
      </c>
      <c r="Y184" s="3">
        <f t="shared" si="120"/>
        <v>4.6601949160446771E-3</v>
      </c>
      <c r="Z184" s="3">
        <f t="shared" si="120"/>
        <v>4.6601948787782319E-3</v>
      </c>
      <c r="AA184" s="3">
        <f t="shared" si="120"/>
        <v>4.6601945061137901E-3</v>
      </c>
      <c r="AB184" s="3">
        <f t="shared" si="120"/>
        <v>4.6601907794710127E-3</v>
      </c>
      <c r="AC184" s="3">
        <f t="shared" si="120"/>
        <v>4.6601535132071445E-3</v>
      </c>
      <c r="AD184" s="3">
        <f t="shared" si="120"/>
        <v>4.6597808669585185E-3</v>
      </c>
      <c r="AE184" s="3">
        <f t="shared" si="120"/>
        <v>4.6560560429924278E-3</v>
      </c>
      <c r="AF184" s="3">
        <f t="shared" si="120"/>
        <v>4.6189711715790022E-3</v>
      </c>
      <c r="AG184" s="3"/>
      <c r="AH184" s="3"/>
    </row>
    <row r="185" spans="2:34" x14ac:dyDescent="0.25">
      <c r="B185" s="3">
        <f t="shared" ref="B185:AF185" si="121">$C32*EXP(-B$168/$A32/EXP(-$C$126))</f>
        <v>1.548728015482176E-3</v>
      </c>
      <c r="C185" s="3">
        <f t="shared" si="121"/>
        <v>1.548728015482176E-3</v>
      </c>
      <c r="D185" s="3">
        <f t="shared" si="121"/>
        <v>1.548728015482176E-3</v>
      </c>
      <c r="E185" s="3">
        <f t="shared" si="121"/>
        <v>1.548728015482176E-3</v>
      </c>
      <c r="F185" s="3">
        <f t="shared" si="121"/>
        <v>1.548728015482176E-3</v>
      </c>
      <c r="G185" s="3">
        <f t="shared" si="121"/>
        <v>1.548728015482176E-3</v>
      </c>
      <c r="H185" s="3">
        <f t="shared" si="121"/>
        <v>1.548728015482176E-3</v>
      </c>
      <c r="I185" s="3">
        <f t="shared" si="121"/>
        <v>1.548728015482176E-3</v>
      </c>
      <c r="J185" s="3">
        <f t="shared" si="121"/>
        <v>1.548728015482176E-3</v>
      </c>
      <c r="K185" s="3">
        <f t="shared" si="121"/>
        <v>1.548728015482176E-3</v>
      </c>
      <c r="L185" s="3">
        <f t="shared" si="121"/>
        <v>1.548728015482176E-3</v>
      </c>
      <c r="M185" s="3">
        <f t="shared" si="121"/>
        <v>1.548728015482176E-3</v>
      </c>
      <c r="N185" s="3">
        <f t="shared" si="121"/>
        <v>1.548728015482176E-3</v>
      </c>
      <c r="O185" s="3">
        <f t="shared" si="121"/>
        <v>1.548728015482176E-3</v>
      </c>
      <c r="P185" s="3">
        <f t="shared" si="121"/>
        <v>1.548728015482176E-3</v>
      </c>
      <c r="Q185" s="3">
        <f t="shared" si="121"/>
        <v>1.548728015482176E-3</v>
      </c>
      <c r="R185" s="3">
        <f t="shared" si="121"/>
        <v>1.548728015482176E-3</v>
      </c>
      <c r="S185" s="3">
        <f t="shared" si="121"/>
        <v>1.5487280154821757E-3</v>
      </c>
      <c r="T185" s="3">
        <f t="shared" si="121"/>
        <v>1.5487280154821747E-3</v>
      </c>
      <c r="U185" s="3">
        <f t="shared" si="121"/>
        <v>1.5487280154821636E-3</v>
      </c>
      <c r="V185" s="3">
        <f t="shared" si="121"/>
        <v>1.5487280154820517E-3</v>
      </c>
      <c r="W185" s="3">
        <f t="shared" si="121"/>
        <v>1.5487280154809345E-3</v>
      </c>
      <c r="X185" s="3">
        <f t="shared" si="121"/>
        <v>1.5487280154697625E-3</v>
      </c>
      <c r="Y185" s="3">
        <f t="shared" si="121"/>
        <v>1.5487280153580413E-3</v>
      </c>
      <c r="Z185" s="3">
        <f t="shared" si="121"/>
        <v>1.5487280142408293E-3</v>
      </c>
      <c r="AA185" s="3">
        <f t="shared" si="121"/>
        <v>1.5487280030687079E-3</v>
      </c>
      <c r="AB185" s="3">
        <f t="shared" si="121"/>
        <v>1.5487278913475005E-3</v>
      </c>
      <c r="AC185" s="3">
        <f t="shared" si="121"/>
        <v>1.5487267741358679E-3</v>
      </c>
      <c r="AD185" s="3">
        <f t="shared" si="121"/>
        <v>1.5487156020638699E-3</v>
      </c>
      <c r="AE185" s="3">
        <f t="shared" si="121"/>
        <v>1.5486038857763598E-3</v>
      </c>
      <c r="AF185" s="3">
        <f t="shared" si="121"/>
        <v>1.5474871660301084E-3</v>
      </c>
      <c r="AG185" s="3"/>
      <c r="AH185" s="3"/>
    </row>
    <row r="186" spans="2:34" x14ac:dyDescent="0.25">
      <c r="B186" s="3">
        <f t="shared" ref="B186:AF186" si="122">$C33*EXP(-B$168/$A33/EXP(-$C$126))</f>
        <v>1.7981576820785483E-3</v>
      </c>
      <c r="C186" s="3">
        <f t="shared" si="122"/>
        <v>1.7981576820785483E-3</v>
      </c>
      <c r="D186" s="3">
        <f t="shared" si="122"/>
        <v>1.7981576820785483E-3</v>
      </c>
      <c r="E186" s="3">
        <f t="shared" si="122"/>
        <v>1.7981576820785483E-3</v>
      </c>
      <c r="F186" s="3">
        <f t="shared" si="122"/>
        <v>1.7981576820785483E-3</v>
      </c>
      <c r="G186" s="3">
        <f t="shared" si="122"/>
        <v>1.7981576820785483E-3</v>
      </c>
      <c r="H186" s="3">
        <f t="shared" si="122"/>
        <v>1.7981576820785483E-3</v>
      </c>
      <c r="I186" s="3">
        <f t="shared" si="122"/>
        <v>1.7981576820785483E-3</v>
      </c>
      <c r="J186" s="3">
        <f t="shared" si="122"/>
        <v>1.7981576820785483E-3</v>
      </c>
      <c r="K186" s="3">
        <f t="shared" si="122"/>
        <v>1.7981576820785483E-3</v>
      </c>
      <c r="L186" s="3">
        <f t="shared" si="122"/>
        <v>1.7981576820785483E-3</v>
      </c>
      <c r="M186" s="3">
        <f t="shared" si="122"/>
        <v>1.7981576820785483E-3</v>
      </c>
      <c r="N186" s="3">
        <f t="shared" si="122"/>
        <v>1.7981576820785483E-3</v>
      </c>
      <c r="O186" s="3">
        <f t="shared" si="122"/>
        <v>1.7981576820785483E-3</v>
      </c>
      <c r="P186" s="3">
        <f t="shared" si="122"/>
        <v>1.7981576820785483E-3</v>
      </c>
      <c r="Q186" s="3">
        <f t="shared" si="122"/>
        <v>1.7981576820785483E-3</v>
      </c>
      <c r="R186" s="3">
        <f t="shared" si="122"/>
        <v>1.7981576820785483E-3</v>
      </c>
      <c r="S186" s="3">
        <f t="shared" si="122"/>
        <v>1.7981576820785483E-3</v>
      </c>
      <c r="T186" s="3">
        <f t="shared" si="122"/>
        <v>1.798157682078548E-3</v>
      </c>
      <c r="U186" s="3">
        <f t="shared" si="122"/>
        <v>1.798157682078547E-3</v>
      </c>
      <c r="V186" s="3">
        <f t="shared" si="122"/>
        <v>1.7981576820785352E-3</v>
      </c>
      <c r="W186" s="3">
        <f t="shared" si="122"/>
        <v>1.7981576820784184E-3</v>
      </c>
      <c r="X186" s="3">
        <f t="shared" si="122"/>
        <v>1.7981576820772481E-3</v>
      </c>
      <c r="Y186" s="3">
        <f t="shared" si="122"/>
        <v>1.7981576820655467E-3</v>
      </c>
      <c r="Z186" s="3">
        <f t="shared" si="122"/>
        <v>1.7981576819485335E-3</v>
      </c>
      <c r="AA186" s="3">
        <f t="shared" si="122"/>
        <v>1.7981576807784016E-3</v>
      </c>
      <c r="AB186" s="3">
        <f t="shared" si="122"/>
        <v>1.7981576690770818E-3</v>
      </c>
      <c r="AC186" s="3">
        <f t="shared" si="122"/>
        <v>1.7981575520638884E-3</v>
      </c>
      <c r="AD186" s="3">
        <f t="shared" si="122"/>
        <v>1.7981563819323718E-3</v>
      </c>
      <c r="AE186" s="3">
        <f t="shared" si="122"/>
        <v>1.7981446806590877E-3</v>
      </c>
      <c r="AF186" s="3">
        <f t="shared" si="122"/>
        <v>1.7980276721141135E-3</v>
      </c>
      <c r="AG186" s="3"/>
      <c r="AH186" s="3"/>
    </row>
    <row r="187" spans="2:34" x14ac:dyDescent="0.25">
      <c r="B187" s="3">
        <f t="shared" ref="B187:AF187" si="123">$C34*EXP(-B$168/$A34/EXP(-$C$126))</f>
        <v>4.3198756825701184E-3</v>
      </c>
      <c r="C187" s="3">
        <f t="shared" si="123"/>
        <v>4.3198756825701184E-3</v>
      </c>
      <c r="D187" s="3">
        <f t="shared" si="123"/>
        <v>4.3198756825701184E-3</v>
      </c>
      <c r="E187" s="3">
        <f t="shared" si="123"/>
        <v>4.3198756825701184E-3</v>
      </c>
      <c r="F187" s="3">
        <f t="shared" si="123"/>
        <v>4.3198756825701184E-3</v>
      </c>
      <c r="G187" s="3">
        <f t="shared" si="123"/>
        <v>4.3198756825701184E-3</v>
      </c>
      <c r="H187" s="3">
        <f t="shared" si="123"/>
        <v>4.3198756825701184E-3</v>
      </c>
      <c r="I187" s="3">
        <f t="shared" si="123"/>
        <v>4.3198756825701184E-3</v>
      </c>
      <c r="J187" s="3">
        <f t="shared" si="123"/>
        <v>4.3198756825701184E-3</v>
      </c>
      <c r="K187" s="3">
        <f t="shared" si="123"/>
        <v>4.3198756825701184E-3</v>
      </c>
      <c r="L187" s="3">
        <f t="shared" si="123"/>
        <v>4.3198756825701184E-3</v>
      </c>
      <c r="M187" s="3">
        <f t="shared" si="123"/>
        <v>4.3198756825701184E-3</v>
      </c>
      <c r="N187" s="3">
        <f t="shared" si="123"/>
        <v>4.3198756825701184E-3</v>
      </c>
      <c r="O187" s="3">
        <f t="shared" si="123"/>
        <v>4.3198756825701184E-3</v>
      </c>
      <c r="P187" s="3">
        <f t="shared" si="123"/>
        <v>4.3198756825701184E-3</v>
      </c>
      <c r="Q187" s="3">
        <f t="shared" si="123"/>
        <v>4.3198756825701184E-3</v>
      </c>
      <c r="R187" s="3">
        <f t="shared" si="123"/>
        <v>4.3198756825701184E-3</v>
      </c>
      <c r="S187" s="3">
        <f t="shared" si="123"/>
        <v>4.3198756825701184E-3</v>
      </c>
      <c r="T187" s="3">
        <f t="shared" si="123"/>
        <v>4.3198756825701184E-3</v>
      </c>
      <c r="U187" s="3">
        <f t="shared" si="123"/>
        <v>4.3198756825701175E-3</v>
      </c>
      <c r="V187" s="3">
        <f t="shared" si="123"/>
        <v>4.3198756825701158E-3</v>
      </c>
      <c r="W187" s="3">
        <f t="shared" si="123"/>
        <v>4.3198756825700898E-3</v>
      </c>
      <c r="X187" s="3">
        <f t="shared" si="123"/>
        <v>4.3198756825698365E-3</v>
      </c>
      <c r="Y187" s="3">
        <f t="shared" si="123"/>
        <v>4.3198756825673004E-3</v>
      </c>
      <c r="Z187" s="3">
        <f t="shared" si="123"/>
        <v>4.3198756825419422E-3</v>
      </c>
      <c r="AA187" s="3">
        <f t="shared" si="123"/>
        <v>4.319875682288356E-3</v>
      </c>
      <c r="AB187" s="3">
        <f t="shared" si="123"/>
        <v>4.3198756797524981E-3</v>
      </c>
      <c r="AC187" s="3">
        <f t="shared" si="123"/>
        <v>4.3198756543939192E-3</v>
      </c>
      <c r="AD187" s="3">
        <f t="shared" si="123"/>
        <v>4.3198754008081366E-3</v>
      </c>
      <c r="AE187" s="3">
        <f t="shared" si="123"/>
        <v>4.3198728649511296E-3</v>
      </c>
      <c r="AF187" s="3">
        <f t="shared" si="123"/>
        <v>4.3198475064629288E-3</v>
      </c>
      <c r="AG187" s="3"/>
      <c r="AH187" s="3"/>
    </row>
    <row r="188" spans="2:34" x14ac:dyDescent="0.25">
      <c r="B188" s="3">
        <f t="shared" ref="B188:AF188" si="124">$C35*EXP(-B$168/$A35/EXP(-$C$126))</f>
        <v>3.4800152588185828E-3</v>
      </c>
      <c r="C188" s="3">
        <f t="shared" si="124"/>
        <v>3.4800152588185828E-3</v>
      </c>
      <c r="D188" s="3">
        <f t="shared" si="124"/>
        <v>3.4800152588185828E-3</v>
      </c>
      <c r="E188" s="3">
        <f t="shared" si="124"/>
        <v>3.4800152588185828E-3</v>
      </c>
      <c r="F188" s="3">
        <f t="shared" si="124"/>
        <v>3.4800152588185828E-3</v>
      </c>
      <c r="G188" s="3">
        <f t="shared" si="124"/>
        <v>3.4800152588185828E-3</v>
      </c>
      <c r="H188" s="3">
        <f t="shared" si="124"/>
        <v>3.4800152588185828E-3</v>
      </c>
      <c r="I188" s="3">
        <f t="shared" si="124"/>
        <v>3.4800152588185828E-3</v>
      </c>
      <c r="J188" s="3">
        <f t="shared" si="124"/>
        <v>3.4800152588185828E-3</v>
      </c>
      <c r="K188" s="3">
        <f t="shared" si="124"/>
        <v>3.4800152588185828E-3</v>
      </c>
      <c r="L188" s="3">
        <f t="shared" si="124"/>
        <v>3.4800152588185828E-3</v>
      </c>
      <c r="M188" s="3">
        <f t="shared" si="124"/>
        <v>3.4800152588185828E-3</v>
      </c>
      <c r="N188" s="3">
        <f t="shared" si="124"/>
        <v>3.4800152588185828E-3</v>
      </c>
      <c r="O188" s="3">
        <f t="shared" si="124"/>
        <v>3.4800152588185828E-3</v>
      </c>
      <c r="P188" s="3">
        <f t="shared" si="124"/>
        <v>3.4800152588185828E-3</v>
      </c>
      <c r="Q188" s="3">
        <f t="shared" si="124"/>
        <v>3.4800152588185828E-3</v>
      </c>
      <c r="R188" s="3">
        <f t="shared" si="124"/>
        <v>3.4800152588185828E-3</v>
      </c>
      <c r="S188" s="3">
        <f t="shared" si="124"/>
        <v>3.4800152588185828E-3</v>
      </c>
      <c r="T188" s="3">
        <f t="shared" si="124"/>
        <v>3.4800152588185828E-3</v>
      </c>
      <c r="U188" s="3">
        <f t="shared" si="124"/>
        <v>3.4800152588185828E-3</v>
      </c>
      <c r="V188" s="3">
        <f t="shared" si="124"/>
        <v>3.4800152588185824E-3</v>
      </c>
      <c r="W188" s="3">
        <f t="shared" si="124"/>
        <v>3.4800152588185811E-3</v>
      </c>
      <c r="X188" s="3">
        <f t="shared" si="124"/>
        <v>3.4800152588185624E-3</v>
      </c>
      <c r="Y188" s="3">
        <f t="shared" si="124"/>
        <v>3.4800152588183781E-3</v>
      </c>
      <c r="Z188" s="3">
        <f t="shared" si="124"/>
        <v>3.480015258816535E-3</v>
      </c>
      <c r="AA188" s="3">
        <f t="shared" si="124"/>
        <v>3.480015258798107E-3</v>
      </c>
      <c r="AB188" s="3">
        <f t="shared" si="124"/>
        <v>3.480015258613826E-3</v>
      </c>
      <c r="AC188" s="3">
        <f t="shared" si="124"/>
        <v>3.4800152567710124E-3</v>
      </c>
      <c r="AD188" s="3">
        <f t="shared" si="124"/>
        <v>3.4800152383428762E-3</v>
      </c>
      <c r="AE188" s="3">
        <f t="shared" si="124"/>
        <v>3.480015054061523E-3</v>
      </c>
      <c r="AF188" s="3">
        <f t="shared" si="124"/>
        <v>3.480013211248527E-3</v>
      </c>
      <c r="AG188" s="3"/>
      <c r="AH188" s="3"/>
    </row>
    <row r="189" spans="2:34" x14ac:dyDescent="0.25">
      <c r="B189" s="3">
        <f t="shared" ref="B189:AF189" si="125">$C36*EXP(-B$168/$A36/EXP(-$C$126))</f>
        <v>2.0367681547460849E-3</v>
      </c>
      <c r="C189" s="3">
        <f t="shared" si="125"/>
        <v>2.0367681547460849E-3</v>
      </c>
      <c r="D189" s="3">
        <f t="shared" si="125"/>
        <v>2.0367681547460849E-3</v>
      </c>
      <c r="E189" s="3">
        <f t="shared" si="125"/>
        <v>2.0367681547460849E-3</v>
      </c>
      <c r="F189" s="3">
        <f t="shared" si="125"/>
        <v>2.0367681547460849E-3</v>
      </c>
      <c r="G189" s="3">
        <f t="shared" si="125"/>
        <v>2.0367681547460849E-3</v>
      </c>
      <c r="H189" s="3">
        <f t="shared" si="125"/>
        <v>2.0367681547460849E-3</v>
      </c>
      <c r="I189" s="3">
        <f t="shared" si="125"/>
        <v>2.0367681547460849E-3</v>
      </c>
      <c r="J189" s="3">
        <f t="shared" si="125"/>
        <v>2.0367681547460849E-3</v>
      </c>
      <c r="K189" s="3">
        <f t="shared" si="125"/>
        <v>2.0367681547460849E-3</v>
      </c>
      <c r="L189" s="3">
        <f t="shared" si="125"/>
        <v>2.0367681547460849E-3</v>
      </c>
      <c r="M189" s="3">
        <f t="shared" si="125"/>
        <v>2.0367681547460849E-3</v>
      </c>
      <c r="N189" s="3">
        <f t="shared" si="125"/>
        <v>2.0367681547460849E-3</v>
      </c>
      <c r="O189" s="3">
        <f t="shared" si="125"/>
        <v>2.0367681547460849E-3</v>
      </c>
      <c r="P189" s="3">
        <f t="shared" si="125"/>
        <v>2.0367681547460849E-3</v>
      </c>
      <c r="Q189" s="3">
        <f t="shared" si="125"/>
        <v>2.0367681547460849E-3</v>
      </c>
      <c r="R189" s="3">
        <f t="shared" si="125"/>
        <v>2.0367681547460849E-3</v>
      </c>
      <c r="S189" s="3">
        <f t="shared" si="125"/>
        <v>2.0367681547460849E-3</v>
      </c>
      <c r="T189" s="3">
        <f t="shared" si="125"/>
        <v>2.0367681547460849E-3</v>
      </c>
      <c r="U189" s="3">
        <f t="shared" si="125"/>
        <v>2.0367681547460849E-3</v>
      </c>
      <c r="V189" s="3">
        <f t="shared" si="125"/>
        <v>2.0367681547460849E-3</v>
      </c>
      <c r="W189" s="3">
        <f t="shared" si="125"/>
        <v>2.0367681547460849E-3</v>
      </c>
      <c r="X189" s="3">
        <f t="shared" si="125"/>
        <v>2.0367681547460836E-3</v>
      </c>
      <c r="Y189" s="3">
        <f t="shared" si="125"/>
        <v>2.036768154746074E-3</v>
      </c>
      <c r="Z189" s="3">
        <f t="shared" si="125"/>
        <v>2.0367681547459769E-3</v>
      </c>
      <c r="AA189" s="3">
        <f t="shared" si="125"/>
        <v>2.0367681547450037E-3</v>
      </c>
      <c r="AB189" s="3">
        <f t="shared" si="125"/>
        <v>2.0367681547352745E-3</v>
      </c>
      <c r="AC189" s="3">
        <f t="shared" si="125"/>
        <v>2.0367681546379799E-3</v>
      </c>
      <c r="AD189" s="3">
        <f t="shared" si="125"/>
        <v>2.0367681536650343E-3</v>
      </c>
      <c r="AE189" s="3">
        <f t="shared" si="125"/>
        <v>2.0367681439355809E-3</v>
      </c>
      <c r="AF189" s="3">
        <f t="shared" si="125"/>
        <v>2.0367680466410491E-3</v>
      </c>
      <c r="AG189" s="3"/>
      <c r="AH189" s="3"/>
    </row>
    <row r="190" spans="2:34" x14ac:dyDescent="0.25">
      <c r="B190" s="3">
        <f t="shared" ref="B190:AF190" si="126">$C37*EXP(-B$168/$A37/EXP(-$C$126))</f>
        <v>1.2781847248259422E-3</v>
      </c>
      <c r="C190" s="3">
        <f t="shared" si="126"/>
        <v>1.2781847248259422E-3</v>
      </c>
      <c r="D190" s="3">
        <f t="shared" si="126"/>
        <v>1.2781847248259422E-3</v>
      </c>
      <c r="E190" s="3">
        <f t="shared" si="126"/>
        <v>1.2781847248259422E-3</v>
      </c>
      <c r="F190" s="3">
        <f t="shared" si="126"/>
        <v>1.2781847248259422E-3</v>
      </c>
      <c r="G190" s="3">
        <f t="shared" si="126"/>
        <v>1.2781847248259422E-3</v>
      </c>
      <c r="H190" s="3">
        <f t="shared" si="126"/>
        <v>1.2781847248259422E-3</v>
      </c>
      <c r="I190" s="3">
        <f t="shared" si="126"/>
        <v>1.2781847248259422E-3</v>
      </c>
      <c r="J190" s="3">
        <f t="shared" si="126"/>
        <v>1.2781847248259422E-3</v>
      </c>
      <c r="K190" s="3">
        <f t="shared" si="126"/>
        <v>1.2781847248259422E-3</v>
      </c>
      <c r="L190" s="3">
        <f t="shared" si="126"/>
        <v>1.2781847248259422E-3</v>
      </c>
      <c r="M190" s="3">
        <f t="shared" si="126"/>
        <v>1.2781847248259422E-3</v>
      </c>
      <c r="N190" s="3">
        <f t="shared" si="126"/>
        <v>1.2781847248259422E-3</v>
      </c>
      <c r="O190" s="3">
        <f t="shared" si="126"/>
        <v>1.2781847248259422E-3</v>
      </c>
      <c r="P190" s="3">
        <f t="shared" si="126"/>
        <v>1.2781847248259422E-3</v>
      </c>
      <c r="Q190" s="3">
        <f t="shared" si="126"/>
        <v>1.2781847248259422E-3</v>
      </c>
      <c r="R190" s="3">
        <f t="shared" si="126"/>
        <v>1.2781847248259422E-3</v>
      </c>
      <c r="S190" s="3">
        <f t="shared" si="126"/>
        <v>1.2781847248259422E-3</v>
      </c>
      <c r="T190" s="3">
        <f t="shared" si="126"/>
        <v>1.2781847248259422E-3</v>
      </c>
      <c r="U190" s="3">
        <f t="shared" si="126"/>
        <v>1.2781847248259422E-3</v>
      </c>
      <c r="V190" s="3">
        <f t="shared" si="126"/>
        <v>1.2781847248259422E-3</v>
      </c>
      <c r="W190" s="3">
        <f t="shared" si="126"/>
        <v>1.2781847248259422E-3</v>
      </c>
      <c r="X190" s="3">
        <f t="shared" si="126"/>
        <v>1.2781847248259422E-3</v>
      </c>
      <c r="Y190" s="3">
        <f t="shared" si="126"/>
        <v>1.2781847248259416E-3</v>
      </c>
      <c r="Z190" s="3">
        <f t="shared" si="126"/>
        <v>1.2781847248259362E-3</v>
      </c>
      <c r="AA190" s="3">
        <f t="shared" si="126"/>
        <v>1.2781847248258811E-3</v>
      </c>
      <c r="AB190" s="3">
        <f t="shared" si="126"/>
        <v>1.2781847248253301E-3</v>
      </c>
      <c r="AC190" s="3">
        <f t="shared" si="126"/>
        <v>1.2781847248198224E-3</v>
      </c>
      <c r="AD190" s="3">
        <f t="shared" si="126"/>
        <v>1.2781847247647431E-3</v>
      </c>
      <c r="AE190" s="3">
        <f t="shared" si="126"/>
        <v>1.278184724213952E-3</v>
      </c>
      <c r="AF190" s="3">
        <f t="shared" si="126"/>
        <v>1.278184718706039E-3</v>
      </c>
      <c r="AG190" s="3"/>
      <c r="AH190" s="3"/>
    </row>
    <row r="191" spans="2:34" x14ac:dyDescent="0.25">
      <c r="B191" s="3">
        <f t="shared" ref="B191:AF191" si="127">$C38*EXP(-B$168/$A38/EXP(-$C$126))</f>
        <v>3.444457645749161E-4</v>
      </c>
      <c r="C191" s="3">
        <f t="shared" si="127"/>
        <v>3.444457645749161E-4</v>
      </c>
      <c r="D191" s="3">
        <f t="shared" si="127"/>
        <v>3.444457645749161E-4</v>
      </c>
      <c r="E191" s="3">
        <f t="shared" si="127"/>
        <v>3.444457645749161E-4</v>
      </c>
      <c r="F191" s="3">
        <f t="shared" si="127"/>
        <v>3.444457645749161E-4</v>
      </c>
      <c r="G191" s="3">
        <f t="shared" si="127"/>
        <v>3.444457645749161E-4</v>
      </c>
      <c r="H191" s="3">
        <f t="shared" si="127"/>
        <v>3.444457645749161E-4</v>
      </c>
      <c r="I191" s="3">
        <f t="shared" si="127"/>
        <v>3.444457645749161E-4</v>
      </c>
      <c r="J191" s="3">
        <f t="shared" si="127"/>
        <v>3.444457645749161E-4</v>
      </c>
      <c r="K191" s="3">
        <f t="shared" si="127"/>
        <v>3.444457645749161E-4</v>
      </c>
      <c r="L191" s="3">
        <f t="shared" si="127"/>
        <v>3.444457645749161E-4</v>
      </c>
      <c r="M191" s="3">
        <f t="shared" si="127"/>
        <v>3.444457645749161E-4</v>
      </c>
      <c r="N191" s="3">
        <f t="shared" si="127"/>
        <v>3.444457645749161E-4</v>
      </c>
      <c r="O191" s="3">
        <f t="shared" si="127"/>
        <v>3.444457645749161E-4</v>
      </c>
      <c r="P191" s="3">
        <f t="shared" si="127"/>
        <v>3.444457645749161E-4</v>
      </c>
      <c r="Q191" s="3">
        <f t="shared" si="127"/>
        <v>3.444457645749161E-4</v>
      </c>
      <c r="R191" s="3">
        <f t="shared" si="127"/>
        <v>3.444457645749161E-4</v>
      </c>
      <c r="S191" s="3">
        <f t="shared" si="127"/>
        <v>3.444457645749161E-4</v>
      </c>
      <c r="T191" s="3">
        <f t="shared" si="127"/>
        <v>3.444457645749161E-4</v>
      </c>
      <c r="U191" s="3">
        <f t="shared" si="127"/>
        <v>3.444457645749161E-4</v>
      </c>
      <c r="V191" s="3">
        <f t="shared" si="127"/>
        <v>3.444457645749161E-4</v>
      </c>
      <c r="W191" s="3">
        <f t="shared" si="127"/>
        <v>3.444457645749161E-4</v>
      </c>
      <c r="X191" s="3">
        <f t="shared" si="127"/>
        <v>3.444457645749161E-4</v>
      </c>
      <c r="Y191" s="3">
        <f t="shared" si="127"/>
        <v>3.444457645749161E-4</v>
      </c>
      <c r="Z191" s="3">
        <f t="shared" si="127"/>
        <v>3.4444576457491594E-4</v>
      </c>
      <c r="AA191" s="3">
        <f t="shared" si="127"/>
        <v>3.4444576457491458E-4</v>
      </c>
      <c r="AB191" s="3">
        <f t="shared" si="127"/>
        <v>3.4444576457490125E-4</v>
      </c>
      <c r="AC191" s="3">
        <f t="shared" si="127"/>
        <v>3.4444576457476735E-4</v>
      </c>
      <c r="AD191" s="3">
        <f t="shared" si="127"/>
        <v>3.4444576457342841E-4</v>
      </c>
      <c r="AE191" s="3">
        <f t="shared" si="127"/>
        <v>3.44445764560039E-4</v>
      </c>
      <c r="AF191" s="3">
        <f t="shared" si="127"/>
        <v>3.4444576442614508E-4</v>
      </c>
      <c r="AG191" s="3"/>
      <c r="AH191" s="3"/>
    </row>
    <row r="192" spans="2:34" x14ac:dyDescent="0.25">
      <c r="B192" s="3">
        <f t="shared" ref="B192:AF192" si="128">$C39*EXP(-B$168/$A39/EXP(-$C$126))</f>
        <v>6.1014336776090067E-4</v>
      </c>
      <c r="C192" s="3">
        <f t="shared" si="128"/>
        <v>6.1014336776090067E-4</v>
      </c>
      <c r="D192" s="3">
        <f t="shared" si="128"/>
        <v>6.1014336776090067E-4</v>
      </c>
      <c r="E192" s="3">
        <f t="shared" si="128"/>
        <v>6.1014336776090067E-4</v>
      </c>
      <c r="F192" s="3">
        <f t="shared" si="128"/>
        <v>6.1014336776090067E-4</v>
      </c>
      <c r="G192" s="3">
        <f t="shared" si="128"/>
        <v>6.1014336776090067E-4</v>
      </c>
      <c r="H192" s="3">
        <f t="shared" si="128"/>
        <v>6.1014336776090067E-4</v>
      </c>
      <c r="I192" s="3">
        <f t="shared" si="128"/>
        <v>6.1014336776090067E-4</v>
      </c>
      <c r="J192" s="3">
        <f t="shared" si="128"/>
        <v>6.1014336776090067E-4</v>
      </c>
      <c r="K192" s="3">
        <f t="shared" si="128"/>
        <v>6.1014336776090067E-4</v>
      </c>
      <c r="L192" s="3">
        <f t="shared" si="128"/>
        <v>6.1014336776090067E-4</v>
      </c>
      <c r="M192" s="3">
        <f t="shared" si="128"/>
        <v>6.1014336776090067E-4</v>
      </c>
      <c r="N192" s="3">
        <f t="shared" si="128"/>
        <v>6.1014336776090067E-4</v>
      </c>
      <c r="O192" s="3">
        <f t="shared" si="128"/>
        <v>6.1014336776090067E-4</v>
      </c>
      <c r="P192" s="3">
        <f t="shared" si="128"/>
        <v>6.1014336776090067E-4</v>
      </c>
      <c r="Q192" s="3">
        <f t="shared" si="128"/>
        <v>6.1014336776090067E-4</v>
      </c>
      <c r="R192" s="3">
        <f t="shared" si="128"/>
        <v>6.1014336776090067E-4</v>
      </c>
      <c r="S192" s="3">
        <f t="shared" si="128"/>
        <v>6.1014336776090067E-4</v>
      </c>
      <c r="T192" s="3">
        <f t="shared" si="128"/>
        <v>6.1014336776090067E-4</v>
      </c>
      <c r="U192" s="3">
        <f t="shared" si="128"/>
        <v>6.1014336776090067E-4</v>
      </c>
      <c r="V192" s="3">
        <f t="shared" si="128"/>
        <v>6.1014336776090067E-4</v>
      </c>
      <c r="W192" s="3">
        <f t="shared" si="128"/>
        <v>6.1014336776090067E-4</v>
      </c>
      <c r="X192" s="3">
        <f t="shared" si="128"/>
        <v>6.1014336776090067E-4</v>
      </c>
      <c r="Y192" s="3">
        <f t="shared" si="128"/>
        <v>6.1014336776090067E-4</v>
      </c>
      <c r="Z192" s="3">
        <f t="shared" si="128"/>
        <v>6.1014336776090057E-4</v>
      </c>
      <c r="AA192" s="3">
        <f t="shared" si="128"/>
        <v>6.1014336776089991E-4</v>
      </c>
      <c r="AB192" s="3">
        <f t="shared" si="128"/>
        <v>6.1014336776089341E-4</v>
      </c>
      <c r="AC192" s="3">
        <f t="shared" si="128"/>
        <v>6.1014336776082782E-4</v>
      </c>
      <c r="AD192" s="3">
        <f t="shared" si="128"/>
        <v>6.1014336776017176E-4</v>
      </c>
      <c r="AE192" s="3">
        <f t="shared" si="128"/>
        <v>6.1014336775361212E-4</v>
      </c>
      <c r="AF192" s="3">
        <f t="shared" si="128"/>
        <v>6.1014336768801497E-4</v>
      </c>
      <c r="AG192" s="3"/>
      <c r="AH192" s="3"/>
    </row>
    <row r="193" spans="1:34" x14ac:dyDescent="0.25">
      <c r="B193" s="3">
        <f t="shared" ref="B193:AF193" si="129">$C40*EXP(-B$168/$A40/EXP(-$C$126))</f>
        <v>2.2250933466635417E-4</v>
      </c>
      <c r="C193" s="3">
        <f t="shared" si="129"/>
        <v>2.2250933466635417E-4</v>
      </c>
      <c r="D193" s="3">
        <f t="shared" si="129"/>
        <v>2.2250933466635417E-4</v>
      </c>
      <c r="E193" s="3">
        <f t="shared" si="129"/>
        <v>2.2250933466635417E-4</v>
      </c>
      <c r="F193" s="3">
        <f t="shared" si="129"/>
        <v>2.2250933466635417E-4</v>
      </c>
      <c r="G193" s="3">
        <f t="shared" si="129"/>
        <v>2.2250933466635417E-4</v>
      </c>
      <c r="H193" s="3">
        <f t="shared" si="129"/>
        <v>2.2250933466635417E-4</v>
      </c>
      <c r="I193" s="3">
        <f t="shared" si="129"/>
        <v>2.2250933466635417E-4</v>
      </c>
      <c r="J193" s="3">
        <f t="shared" si="129"/>
        <v>2.2250933466635417E-4</v>
      </c>
      <c r="K193" s="3">
        <f t="shared" si="129"/>
        <v>2.2250933466635417E-4</v>
      </c>
      <c r="L193" s="3">
        <f t="shared" si="129"/>
        <v>2.2250933466635417E-4</v>
      </c>
      <c r="M193" s="3">
        <f t="shared" si="129"/>
        <v>2.2250933466635417E-4</v>
      </c>
      <c r="N193" s="3">
        <f t="shared" si="129"/>
        <v>2.2250933466635417E-4</v>
      </c>
      <c r="O193" s="3">
        <f t="shared" si="129"/>
        <v>2.2250933466635417E-4</v>
      </c>
      <c r="P193" s="3">
        <f t="shared" si="129"/>
        <v>2.2250933466635417E-4</v>
      </c>
      <c r="Q193" s="3">
        <f t="shared" si="129"/>
        <v>2.2250933466635417E-4</v>
      </c>
      <c r="R193" s="3">
        <f t="shared" si="129"/>
        <v>2.2250933466635417E-4</v>
      </c>
      <c r="S193" s="3">
        <f t="shared" si="129"/>
        <v>2.2250933466635417E-4</v>
      </c>
      <c r="T193" s="3">
        <f t="shared" si="129"/>
        <v>2.2250933466635417E-4</v>
      </c>
      <c r="U193" s="3">
        <f t="shared" si="129"/>
        <v>2.2250933466635417E-4</v>
      </c>
      <c r="V193" s="3">
        <f t="shared" si="129"/>
        <v>2.2250933466635417E-4</v>
      </c>
      <c r="W193" s="3">
        <f t="shared" si="129"/>
        <v>2.2250933466635417E-4</v>
      </c>
      <c r="X193" s="3">
        <f t="shared" si="129"/>
        <v>2.2250933466635417E-4</v>
      </c>
      <c r="Y193" s="3">
        <f t="shared" si="129"/>
        <v>2.2250933466635417E-4</v>
      </c>
      <c r="Z193" s="3">
        <f t="shared" si="129"/>
        <v>2.2250933466635417E-4</v>
      </c>
      <c r="AA193" s="3">
        <f t="shared" si="129"/>
        <v>2.2250933466635414E-4</v>
      </c>
      <c r="AB193" s="3">
        <f t="shared" si="129"/>
        <v>2.2250933466635389E-4</v>
      </c>
      <c r="AC193" s="3">
        <f t="shared" si="129"/>
        <v>2.2250933466635151E-4</v>
      </c>
      <c r="AD193" s="3">
        <f t="shared" si="129"/>
        <v>2.2250933466632758E-4</v>
      </c>
      <c r="AE193" s="3">
        <f t="shared" si="129"/>
        <v>2.2250933466608835E-4</v>
      </c>
      <c r="AF193" s="3">
        <f t="shared" si="129"/>
        <v>2.2250933466369614E-4</v>
      </c>
      <c r="AG193" s="3"/>
      <c r="AH193" s="3"/>
    </row>
    <row r="194" spans="1:34" x14ac:dyDescent="0.25">
      <c r="B194" s="3">
        <f t="shared" ref="B194:AF194" si="130">$C41*EXP(-B$168/$A41/EXP(-$C$126))</f>
        <v>3.0514987252664002E-4</v>
      </c>
      <c r="C194" s="3">
        <f t="shared" si="130"/>
        <v>3.0514987252664002E-4</v>
      </c>
      <c r="D194" s="3">
        <f t="shared" si="130"/>
        <v>3.0514987252664002E-4</v>
      </c>
      <c r="E194" s="3">
        <f t="shared" si="130"/>
        <v>3.0514987252664002E-4</v>
      </c>
      <c r="F194" s="3">
        <f t="shared" si="130"/>
        <v>3.0514987252664002E-4</v>
      </c>
      <c r="G194" s="3">
        <f t="shared" si="130"/>
        <v>3.0514987252664002E-4</v>
      </c>
      <c r="H194" s="3">
        <f t="shared" si="130"/>
        <v>3.0514987252664002E-4</v>
      </c>
      <c r="I194" s="3">
        <f t="shared" si="130"/>
        <v>3.0514987252664002E-4</v>
      </c>
      <c r="J194" s="3">
        <f t="shared" si="130"/>
        <v>3.0514987252664002E-4</v>
      </c>
      <c r="K194" s="3">
        <f t="shared" si="130"/>
        <v>3.0514987252664002E-4</v>
      </c>
      <c r="L194" s="3">
        <f t="shared" si="130"/>
        <v>3.0514987252664002E-4</v>
      </c>
      <c r="M194" s="3">
        <f t="shared" si="130"/>
        <v>3.0514987252664002E-4</v>
      </c>
      <c r="N194" s="3">
        <f t="shared" si="130"/>
        <v>3.0514987252664002E-4</v>
      </c>
      <c r="O194" s="3">
        <f t="shared" si="130"/>
        <v>3.0514987252664002E-4</v>
      </c>
      <c r="P194" s="3">
        <f t="shared" si="130"/>
        <v>3.0514987252664002E-4</v>
      </c>
      <c r="Q194" s="3">
        <f t="shared" si="130"/>
        <v>3.0514987252664002E-4</v>
      </c>
      <c r="R194" s="3">
        <f t="shared" si="130"/>
        <v>3.0514987252664002E-4</v>
      </c>
      <c r="S194" s="3">
        <f t="shared" si="130"/>
        <v>3.0514987252664002E-4</v>
      </c>
      <c r="T194" s="3">
        <f t="shared" si="130"/>
        <v>3.0514987252664002E-4</v>
      </c>
      <c r="U194" s="3">
        <f t="shared" si="130"/>
        <v>3.0514987252664002E-4</v>
      </c>
      <c r="V194" s="3">
        <f t="shared" si="130"/>
        <v>3.0514987252664002E-4</v>
      </c>
      <c r="W194" s="3">
        <f t="shared" si="130"/>
        <v>3.0514987252664002E-4</v>
      </c>
      <c r="X194" s="3">
        <f t="shared" si="130"/>
        <v>3.0514987252664002E-4</v>
      </c>
      <c r="Y194" s="3">
        <f t="shared" si="130"/>
        <v>3.0514987252664002E-4</v>
      </c>
      <c r="Z194" s="3">
        <f t="shared" si="130"/>
        <v>3.0514987252664002E-4</v>
      </c>
      <c r="AA194" s="3">
        <f t="shared" si="130"/>
        <v>3.0514987252664002E-4</v>
      </c>
      <c r="AB194" s="3">
        <f t="shared" si="130"/>
        <v>3.0514987252663997E-4</v>
      </c>
      <c r="AC194" s="3">
        <f t="shared" si="130"/>
        <v>3.0514987252663965E-4</v>
      </c>
      <c r="AD194" s="3">
        <f t="shared" si="130"/>
        <v>3.0514987252663639E-4</v>
      </c>
      <c r="AE194" s="3">
        <f t="shared" si="130"/>
        <v>3.051498725266036E-4</v>
      </c>
      <c r="AF194" s="3">
        <f t="shared" si="130"/>
        <v>3.0514987252627552E-4</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6.2164799219330605E-5</v>
      </c>
      <c r="C196" s="3">
        <f t="shared" si="132"/>
        <v>6.2164799219330605E-5</v>
      </c>
      <c r="D196" s="3">
        <f t="shared" si="132"/>
        <v>6.2164799219330605E-5</v>
      </c>
      <c r="E196" s="3">
        <f t="shared" si="132"/>
        <v>6.2164799219330605E-5</v>
      </c>
      <c r="F196" s="3">
        <f t="shared" si="132"/>
        <v>6.2164799219330605E-5</v>
      </c>
      <c r="G196" s="3">
        <f t="shared" si="132"/>
        <v>6.2164799219330605E-5</v>
      </c>
      <c r="H196" s="3">
        <f t="shared" si="132"/>
        <v>6.2164799219330605E-5</v>
      </c>
      <c r="I196" s="3">
        <f t="shared" si="132"/>
        <v>6.2164799219330605E-5</v>
      </c>
      <c r="J196" s="3">
        <f t="shared" si="132"/>
        <v>6.2164799219330605E-5</v>
      </c>
      <c r="K196" s="3">
        <f t="shared" si="132"/>
        <v>6.2164799219330605E-5</v>
      </c>
      <c r="L196" s="3">
        <f t="shared" si="132"/>
        <v>6.2164799219330605E-5</v>
      </c>
      <c r="M196" s="3">
        <f t="shared" si="132"/>
        <v>6.2164799219330605E-5</v>
      </c>
      <c r="N196" s="3">
        <f t="shared" si="132"/>
        <v>6.2164799219330605E-5</v>
      </c>
      <c r="O196" s="3">
        <f t="shared" si="132"/>
        <v>6.2164799219330605E-5</v>
      </c>
      <c r="P196" s="3">
        <f t="shared" si="132"/>
        <v>6.2164799219330605E-5</v>
      </c>
      <c r="Q196" s="3">
        <f t="shared" si="132"/>
        <v>6.2164799219330605E-5</v>
      </c>
      <c r="R196" s="3">
        <f t="shared" si="132"/>
        <v>6.2164799219330605E-5</v>
      </c>
      <c r="S196" s="3">
        <f t="shared" si="132"/>
        <v>6.2164799219330605E-5</v>
      </c>
      <c r="T196" s="3">
        <f t="shared" si="132"/>
        <v>6.2164799219330605E-5</v>
      </c>
      <c r="U196" s="3">
        <f t="shared" si="132"/>
        <v>6.2164799219330605E-5</v>
      </c>
      <c r="V196" s="3">
        <f t="shared" si="132"/>
        <v>6.2164799219330605E-5</v>
      </c>
      <c r="W196" s="3">
        <f t="shared" si="132"/>
        <v>6.2164799219330605E-5</v>
      </c>
      <c r="X196" s="3">
        <f t="shared" si="132"/>
        <v>6.2164799219330605E-5</v>
      </c>
      <c r="Y196" s="3">
        <f t="shared" si="132"/>
        <v>6.2164799219330605E-5</v>
      </c>
      <c r="Z196" s="3">
        <f t="shared" si="132"/>
        <v>6.2164799219330605E-5</v>
      </c>
      <c r="AA196" s="3">
        <f t="shared" si="132"/>
        <v>6.2164799219330605E-5</v>
      </c>
      <c r="AB196" s="3">
        <f t="shared" si="132"/>
        <v>6.2164799219330605E-5</v>
      </c>
      <c r="AC196" s="3">
        <f t="shared" si="132"/>
        <v>6.2164799219330605E-5</v>
      </c>
      <c r="AD196" s="3">
        <f t="shared" si="132"/>
        <v>6.2164799219330592E-5</v>
      </c>
      <c r="AE196" s="3">
        <f t="shared" si="132"/>
        <v>6.2164799219330524E-5</v>
      </c>
      <c r="AF196" s="3">
        <f t="shared" si="132"/>
        <v>6.216479921932986E-5</v>
      </c>
      <c r="AG196" s="3"/>
      <c r="AH196" s="3"/>
    </row>
    <row r="197" spans="1:34" x14ac:dyDescent="0.25">
      <c r="B197" s="3">
        <f t="shared" ref="B197:AF197" si="133">$C44*EXP(-B$168/$A44/EXP(-$C$126))</f>
        <v>1.589018825978126E-4</v>
      </c>
      <c r="C197" s="3">
        <f t="shared" si="133"/>
        <v>1.589018825978126E-4</v>
      </c>
      <c r="D197" s="3">
        <f t="shared" si="133"/>
        <v>1.589018825978126E-4</v>
      </c>
      <c r="E197" s="3">
        <f t="shared" si="133"/>
        <v>1.589018825978126E-4</v>
      </c>
      <c r="F197" s="3">
        <f t="shared" si="133"/>
        <v>1.589018825978126E-4</v>
      </c>
      <c r="G197" s="3">
        <f t="shared" si="133"/>
        <v>1.589018825978126E-4</v>
      </c>
      <c r="H197" s="3">
        <f t="shared" si="133"/>
        <v>1.589018825978126E-4</v>
      </c>
      <c r="I197" s="3">
        <f t="shared" si="133"/>
        <v>1.589018825978126E-4</v>
      </c>
      <c r="J197" s="3">
        <f t="shared" si="133"/>
        <v>1.589018825978126E-4</v>
      </c>
      <c r="K197" s="3">
        <f t="shared" si="133"/>
        <v>1.589018825978126E-4</v>
      </c>
      <c r="L197" s="3">
        <f t="shared" si="133"/>
        <v>1.589018825978126E-4</v>
      </c>
      <c r="M197" s="3">
        <f t="shared" si="133"/>
        <v>1.589018825978126E-4</v>
      </c>
      <c r="N197" s="3">
        <f t="shared" si="133"/>
        <v>1.589018825978126E-4</v>
      </c>
      <c r="O197" s="3">
        <f t="shared" si="133"/>
        <v>1.589018825978126E-4</v>
      </c>
      <c r="P197" s="3">
        <f t="shared" si="133"/>
        <v>1.589018825978126E-4</v>
      </c>
      <c r="Q197" s="3">
        <f t="shared" si="133"/>
        <v>1.589018825978126E-4</v>
      </c>
      <c r="R197" s="3">
        <f t="shared" si="133"/>
        <v>1.589018825978126E-4</v>
      </c>
      <c r="S197" s="3">
        <f t="shared" si="133"/>
        <v>1.589018825978126E-4</v>
      </c>
      <c r="T197" s="3">
        <f t="shared" si="133"/>
        <v>1.589018825978126E-4</v>
      </c>
      <c r="U197" s="3">
        <f t="shared" si="133"/>
        <v>1.589018825978126E-4</v>
      </c>
      <c r="V197" s="3">
        <f t="shared" si="133"/>
        <v>1.589018825978126E-4</v>
      </c>
      <c r="W197" s="3">
        <f t="shared" si="133"/>
        <v>1.589018825978126E-4</v>
      </c>
      <c r="X197" s="3">
        <f t="shared" si="133"/>
        <v>1.589018825978126E-4</v>
      </c>
      <c r="Y197" s="3">
        <f t="shared" si="133"/>
        <v>1.589018825978126E-4</v>
      </c>
      <c r="Z197" s="3">
        <f t="shared" si="133"/>
        <v>1.589018825978126E-4</v>
      </c>
      <c r="AA197" s="3">
        <f t="shared" si="133"/>
        <v>1.589018825978126E-4</v>
      </c>
      <c r="AB197" s="3">
        <f t="shared" si="133"/>
        <v>1.589018825978126E-4</v>
      </c>
      <c r="AC197" s="3">
        <f t="shared" si="133"/>
        <v>1.589018825978126E-4</v>
      </c>
      <c r="AD197" s="3">
        <f t="shared" si="133"/>
        <v>1.589018825978126E-4</v>
      </c>
      <c r="AE197" s="3">
        <f t="shared" si="133"/>
        <v>1.5890188259781257E-4</v>
      </c>
      <c r="AF197" s="3">
        <f t="shared" si="133"/>
        <v>1.5890188259781241E-4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7.8909905102376337E-4</v>
      </c>
      <c r="C201" s="3">
        <f t="shared" si="137"/>
        <v>7.8909905102376337E-4</v>
      </c>
      <c r="D201" s="3">
        <f t="shared" si="137"/>
        <v>7.8909905102376337E-4</v>
      </c>
      <c r="E201" s="3">
        <f t="shared" si="137"/>
        <v>7.8909905102376337E-4</v>
      </c>
      <c r="F201" s="3">
        <f t="shared" si="137"/>
        <v>7.8909905102376337E-4</v>
      </c>
      <c r="G201" s="3">
        <f t="shared" si="137"/>
        <v>7.8909905102376337E-4</v>
      </c>
      <c r="H201" s="3">
        <f t="shared" si="137"/>
        <v>7.8909905102376337E-4</v>
      </c>
      <c r="I201" s="3">
        <f t="shared" si="137"/>
        <v>7.8909905102376337E-4</v>
      </c>
      <c r="J201" s="3">
        <f t="shared" si="137"/>
        <v>7.8909905102376337E-4</v>
      </c>
      <c r="K201" s="3">
        <f t="shared" si="137"/>
        <v>7.8909905102376337E-4</v>
      </c>
      <c r="L201" s="3">
        <f t="shared" si="137"/>
        <v>7.8909905102376337E-4</v>
      </c>
      <c r="M201" s="3">
        <f t="shared" si="137"/>
        <v>7.8909905102376337E-4</v>
      </c>
      <c r="N201" s="3">
        <f t="shared" si="137"/>
        <v>7.8909905102376337E-4</v>
      </c>
      <c r="O201" s="3">
        <f t="shared" si="137"/>
        <v>7.8909905102376337E-4</v>
      </c>
      <c r="P201" s="3">
        <f t="shared" si="137"/>
        <v>7.8909905102376337E-4</v>
      </c>
      <c r="Q201" s="3">
        <f t="shared" si="137"/>
        <v>7.8909905102376337E-4</v>
      </c>
      <c r="R201" s="3">
        <f t="shared" si="137"/>
        <v>7.8909905102376337E-4</v>
      </c>
      <c r="S201" s="3">
        <f t="shared" si="137"/>
        <v>7.8909905102376337E-4</v>
      </c>
      <c r="T201" s="3">
        <f t="shared" si="137"/>
        <v>7.8909905102376337E-4</v>
      </c>
      <c r="U201" s="3">
        <f t="shared" si="137"/>
        <v>7.8909905102376337E-4</v>
      </c>
      <c r="V201" s="3">
        <f t="shared" si="137"/>
        <v>7.8909905102376337E-4</v>
      </c>
      <c r="W201" s="3">
        <f t="shared" si="137"/>
        <v>7.8909905102376337E-4</v>
      </c>
      <c r="X201" s="3">
        <f t="shared" si="137"/>
        <v>7.8909905102376337E-4</v>
      </c>
      <c r="Y201" s="3">
        <f t="shared" si="137"/>
        <v>7.8909905102376337E-4</v>
      </c>
      <c r="Z201" s="3">
        <f t="shared" si="137"/>
        <v>7.8909905102376337E-4</v>
      </c>
      <c r="AA201" s="3">
        <f t="shared" si="137"/>
        <v>7.8909905102376337E-4</v>
      </c>
      <c r="AB201" s="3">
        <f t="shared" si="137"/>
        <v>7.8909905102376337E-4</v>
      </c>
      <c r="AC201" s="3">
        <f t="shared" si="137"/>
        <v>7.8909905102376337E-4</v>
      </c>
      <c r="AD201" s="3">
        <f t="shared" si="137"/>
        <v>7.8909905102376337E-4</v>
      </c>
      <c r="AE201" s="3">
        <f t="shared" si="137"/>
        <v>7.8909905102376337E-4</v>
      </c>
      <c r="AF201" s="3">
        <f t="shared" si="137"/>
        <v>7.8909905102376337E-4</v>
      </c>
      <c r="AG201" s="3"/>
      <c r="AH201" s="3"/>
    </row>
    <row r="202" spans="1:34" x14ac:dyDescent="0.25">
      <c r="A202" s="79">
        <f>AVERAGE(B202:AF202)</f>
        <v>0.18150972230661311</v>
      </c>
      <c r="B202" s="80">
        <f>IF($A$64&lt;=B168,IF($B$64&gt;=B168,ABS((B170-B169)/B169),0),0)</f>
        <v>5.9830894593620523E-3</v>
      </c>
      <c r="C202" s="80">
        <f t="shared" ref="C202:AF202" si="138">IF($A$64&lt;=C168,IF($B$64&gt;=C168,ABS((C170-C169)/C169),0),0)</f>
        <v>7.792368261904035E-3</v>
      </c>
      <c r="D202" s="80">
        <f t="shared" si="138"/>
        <v>2.4753982294359655E-2</v>
      </c>
      <c r="E202" s="80">
        <f t="shared" si="138"/>
        <v>0.12322392468289925</v>
      </c>
      <c r="F202" s="80">
        <f t="shared" si="138"/>
        <v>0.17423556858215805</v>
      </c>
      <c r="G202" s="80">
        <f t="shared" si="138"/>
        <v>0.17423655699524304</v>
      </c>
      <c r="H202" s="80">
        <f t="shared" si="138"/>
        <v>0.17423652916036061</v>
      </c>
      <c r="I202" s="80">
        <f t="shared" si="138"/>
        <v>0.17423651524293962</v>
      </c>
      <c r="J202" s="80">
        <f t="shared" si="138"/>
        <v>0.17423651524315512</v>
      </c>
      <c r="K202" s="80">
        <f t="shared" si="138"/>
        <v>0.17423650132786705</v>
      </c>
      <c r="L202" s="80">
        <f t="shared" si="138"/>
        <v>0.17423648047324647</v>
      </c>
      <c r="M202" s="80">
        <f t="shared" si="138"/>
        <v>0.17423618146366557</v>
      </c>
      <c r="N202" s="80">
        <f t="shared" si="138"/>
        <v>0.17423321920274845</v>
      </c>
      <c r="O202" s="80">
        <f t="shared" si="138"/>
        <v>0.17420365922291547</v>
      </c>
      <c r="P202" s="80">
        <f t="shared" si="138"/>
        <v>0.17391039763880778</v>
      </c>
      <c r="Q202" s="80">
        <f t="shared" si="138"/>
        <v>0.17119824879544862</v>
      </c>
      <c r="R202" s="80">
        <f t="shared" si="138"/>
        <v>0.15732483842496525</v>
      </c>
      <c r="S202" s="80">
        <f t="shared" si="138"/>
        <v>0.13957654038077191</v>
      </c>
      <c r="T202" s="80">
        <f t="shared" si="138"/>
        <v>0.1120159176267658</v>
      </c>
      <c r="U202" s="80">
        <f t="shared" si="138"/>
        <v>5.6229543133428088E-2</v>
      </c>
      <c r="V202" s="80">
        <f t="shared" si="138"/>
        <v>2.0107818618293128E-2</v>
      </c>
      <c r="W202" s="80">
        <f t="shared" si="138"/>
        <v>0.15401373900854984</v>
      </c>
      <c r="X202" s="80">
        <f t="shared" si="138"/>
        <v>0.25773875976948663</v>
      </c>
      <c r="Y202" s="80">
        <f t="shared" si="138"/>
        <v>0.32247414357389093</v>
      </c>
      <c r="Z202" s="80">
        <f t="shared" si="138"/>
        <v>0.31836036749932883</v>
      </c>
      <c r="AA202" s="80">
        <f t="shared" si="138"/>
        <v>0.24564784439340409</v>
      </c>
      <c r="AB202" s="80">
        <f t="shared" si="138"/>
        <v>0.10199927770931341</v>
      </c>
      <c r="AC202" s="80">
        <f t="shared" si="138"/>
        <v>0.11736706249510458</v>
      </c>
      <c r="AD202" s="80">
        <f t="shared" si="138"/>
        <v>0.33414704373692183</v>
      </c>
      <c r="AE202" s="80">
        <f t="shared" si="138"/>
        <v>0.48690338269972033</v>
      </c>
      <c r="AF202" s="80">
        <f t="shared" si="138"/>
        <v>0.55370537438798095</v>
      </c>
    </row>
    <row r="203" spans="1:34" x14ac:dyDescent="0.25">
      <c r="B203" s="21">
        <f>(B170-B169)^2</f>
        <v>1946.3105435348355</v>
      </c>
      <c r="C203" s="21">
        <f t="shared" ref="C203:AF203" si="139">(C170-C169)^2</f>
        <v>3301.4817996659317</v>
      </c>
      <c r="D203" s="21">
        <f t="shared" si="139"/>
        <v>33316.201578986547</v>
      </c>
      <c r="E203" s="21">
        <f t="shared" si="139"/>
        <v>825570.56976140919</v>
      </c>
      <c r="F203" s="21">
        <f t="shared" si="139"/>
        <v>1650583.192925689</v>
      </c>
      <c r="G203" s="21">
        <f t="shared" si="139"/>
        <v>1650601.5027270443</v>
      </c>
      <c r="H203" s="21">
        <f t="shared" si="139"/>
        <v>1650600.8640715694</v>
      </c>
      <c r="I203" s="21">
        <f t="shared" si="139"/>
        <v>1650600.5447442778</v>
      </c>
      <c r="J203" s="21">
        <f t="shared" si="139"/>
        <v>1650600.5447483605</v>
      </c>
      <c r="K203" s="21">
        <f t="shared" si="139"/>
        <v>1650600.2254615221</v>
      </c>
      <c r="L203" s="21">
        <f t="shared" si="139"/>
        <v>1650599.7468782838</v>
      </c>
      <c r="M203" s="21">
        <f t="shared" si="139"/>
        <v>1650592.8854267811</v>
      </c>
      <c r="N203" s="21">
        <f t="shared" si="139"/>
        <v>1650524.9106052842</v>
      </c>
      <c r="O203" s="21">
        <f t="shared" si="139"/>
        <v>1649846.7027571735</v>
      </c>
      <c r="P203" s="21">
        <f t="shared" si="139"/>
        <v>1643128.439413517</v>
      </c>
      <c r="Q203" s="21">
        <f t="shared" si="139"/>
        <v>1581866.3145129757</v>
      </c>
      <c r="R203" s="21">
        <f t="shared" si="139"/>
        <v>1292182.9549570745</v>
      </c>
      <c r="S203" s="21">
        <f t="shared" si="139"/>
        <v>975043.31044250994</v>
      </c>
      <c r="T203" s="21">
        <f t="shared" si="139"/>
        <v>586596.64974158211</v>
      </c>
      <c r="U203" s="21">
        <f t="shared" si="139"/>
        <v>125079.1966052208</v>
      </c>
      <c r="V203" s="21">
        <f t="shared" si="139"/>
        <v>11759.971126694798</v>
      </c>
      <c r="W203" s="21">
        <f t="shared" si="139"/>
        <v>492953.70554586942</v>
      </c>
      <c r="X203" s="21">
        <f t="shared" si="139"/>
        <v>1024706.7557654822</v>
      </c>
      <c r="Y203" s="21">
        <f t="shared" si="139"/>
        <v>1252725.4501125568</v>
      </c>
      <c r="Z203" s="21">
        <f t="shared" si="139"/>
        <v>986057.01230078982</v>
      </c>
      <c r="AA203" s="21">
        <f t="shared" si="139"/>
        <v>479687.89848244365</v>
      </c>
      <c r="AB203" s="21">
        <f t="shared" si="139"/>
        <v>66379.18640330153</v>
      </c>
      <c r="AC203" s="21">
        <f t="shared" si="139"/>
        <v>65624.651967025959</v>
      </c>
      <c r="AD203" s="21">
        <f t="shared" si="139"/>
        <v>356114.30864955642</v>
      </c>
      <c r="AE203" s="21">
        <f t="shared" si="139"/>
        <v>424236.41767850507</v>
      </c>
      <c r="AF203" s="21">
        <f t="shared" si="139"/>
        <v>229143.89074026133</v>
      </c>
      <c r="AG203" s="3"/>
      <c r="AH203" s="3"/>
    </row>
    <row r="204" spans="1:34" x14ac:dyDescent="0.25">
      <c r="A204" s="71">
        <f>SUM(B204:AF204)</f>
        <v>28962571.798474945</v>
      </c>
      <c r="B204" s="60">
        <f>IF($A$64&lt;=B168,IF($B$64&gt;=B168,ABS(B203),0),0)</f>
        <v>1946.3105435348355</v>
      </c>
      <c r="C204" s="60">
        <f t="shared" ref="C204" si="140">IF($A$64&lt;=C168,IF($B$64&gt;=C168,ABS(C203),0),0)</f>
        <v>3301.4817996659317</v>
      </c>
      <c r="D204" s="60">
        <f t="shared" ref="D204" si="141">IF($A$64&lt;=D168,IF($B$64&gt;=D168,ABS(D203),0),0)</f>
        <v>33316.201578986547</v>
      </c>
      <c r="E204" s="60">
        <f t="shared" ref="E204" si="142">IF($A$64&lt;=E168,IF($B$64&gt;=E168,ABS(E203),0),0)</f>
        <v>825570.56976140919</v>
      </c>
      <c r="F204" s="60">
        <f t="shared" ref="F204" si="143">IF($A$64&lt;=F168,IF($B$64&gt;=F168,ABS(F203),0),0)</f>
        <v>1650583.192925689</v>
      </c>
      <c r="G204" s="60">
        <f t="shared" ref="G204" si="144">IF($A$64&lt;=G168,IF($B$64&gt;=G168,ABS(G203),0),0)</f>
        <v>1650601.5027270443</v>
      </c>
      <c r="H204" s="60">
        <f t="shared" ref="H204" si="145">IF($A$64&lt;=H168,IF($B$64&gt;=H168,ABS(H203),0),0)</f>
        <v>1650600.8640715694</v>
      </c>
      <c r="I204" s="60">
        <f t="shared" ref="I204" si="146">IF($A$64&lt;=I168,IF($B$64&gt;=I168,ABS(I203),0),0)</f>
        <v>1650600.5447442778</v>
      </c>
      <c r="J204" s="60">
        <f t="shared" ref="J204" si="147">IF($A$64&lt;=J168,IF($B$64&gt;=J168,ABS(J203),0),0)</f>
        <v>1650600.5447483605</v>
      </c>
      <c r="K204" s="60">
        <f t="shared" ref="K204" si="148">IF($A$64&lt;=K168,IF($B$64&gt;=K168,ABS(K203),0),0)</f>
        <v>1650600.2254615221</v>
      </c>
      <c r="L204" s="60">
        <f t="shared" ref="L204" si="149">IF($A$64&lt;=L168,IF($B$64&gt;=L168,ABS(L203),0),0)</f>
        <v>1650599.7468782838</v>
      </c>
      <c r="M204" s="60">
        <f t="shared" ref="M204" si="150">IF($A$64&lt;=M168,IF($B$64&gt;=M168,ABS(M203),0),0)</f>
        <v>1650592.8854267811</v>
      </c>
      <c r="N204" s="60">
        <f t="shared" ref="N204" si="151">IF($A$64&lt;=N168,IF($B$64&gt;=N168,ABS(N203),0),0)</f>
        <v>1650524.9106052842</v>
      </c>
      <c r="O204" s="60">
        <f t="shared" ref="O204" si="152">IF($A$64&lt;=O168,IF($B$64&gt;=O168,ABS(O203),0),0)</f>
        <v>1649846.7027571735</v>
      </c>
      <c r="P204" s="60">
        <f t="shared" ref="P204" si="153">IF($A$64&lt;=P168,IF($B$64&gt;=P168,ABS(P203),0),0)</f>
        <v>1643128.439413517</v>
      </c>
      <c r="Q204" s="60">
        <f t="shared" ref="Q204" si="154">IF($A$64&lt;=Q168,IF($B$64&gt;=Q168,ABS(Q203),0),0)</f>
        <v>1581866.3145129757</v>
      </c>
      <c r="R204" s="60">
        <f t="shared" ref="R204" si="155">IF($A$64&lt;=R168,IF($B$64&gt;=R168,ABS(R203),0),0)</f>
        <v>1292182.9549570745</v>
      </c>
      <c r="S204" s="60">
        <f t="shared" ref="S204" si="156">IF($A$64&lt;=S168,IF($B$64&gt;=S168,ABS(S203),0),0)</f>
        <v>975043.31044250994</v>
      </c>
      <c r="T204" s="60">
        <f t="shared" ref="T204" si="157">IF($A$64&lt;=T168,IF($B$64&gt;=T168,ABS(T203),0),0)</f>
        <v>586596.64974158211</v>
      </c>
      <c r="U204" s="60">
        <f t="shared" ref="U204" si="158">IF($A$64&lt;=U168,IF($B$64&gt;=U168,ABS(U203),0),0)</f>
        <v>125079.1966052208</v>
      </c>
      <c r="V204" s="60">
        <f t="shared" ref="V204" si="159">IF($A$64&lt;=V168,IF($B$64&gt;=V168,ABS(V203),0),0)</f>
        <v>11759.971126694798</v>
      </c>
      <c r="W204" s="60">
        <f t="shared" ref="W204" si="160">IF($A$64&lt;=W168,IF($B$64&gt;=W168,ABS(W203),0),0)</f>
        <v>492953.70554586942</v>
      </c>
      <c r="X204" s="60">
        <f t="shared" ref="X204" si="161">IF($A$64&lt;=X168,IF($B$64&gt;=X168,ABS(X203),0),0)</f>
        <v>1024706.7557654822</v>
      </c>
      <c r="Y204" s="60">
        <f t="shared" ref="Y204" si="162">IF($A$64&lt;=Y168,IF($B$64&gt;=Y168,ABS(Y203),0),0)</f>
        <v>1252725.4501125568</v>
      </c>
      <c r="Z204" s="60">
        <f t="shared" ref="Z204" si="163">IF($A$64&lt;=Z168,IF($B$64&gt;=Z168,ABS(Z203),0),0)</f>
        <v>986057.01230078982</v>
      </c>
      <c r="AA204" s="60">
        <f t="shared" ref="AA204" si="164">IF($A$64&lt;=AA168,IF($B$64&gt;=AA168,ABS(AA203),0),0)</f>
        <v>479687.89848244365</v>
      </c>
      <c r="AB204" s="60">
        <f t="shared" ref="AB204" si="165">IF($A$64&lt;=AB168,IF($B$64&gt;=AB168,ABS(AB203),0),0)</f>
        <v>66379.18640330153</v>
      </c>
      <c r="AC204" s="60">
        <f t="shared" ref="AC204" si="166">IF($A$64&lt;=AC168,IF($B$64&gt;=AC168,ABS(AC203),0),0)</f>
        <v>65624.651967025959</v>
      </c>
      <c r="AD204" s="60">
        <f t="shared" ref="AD204" si="167">IF($A$64&lt;=AD168,IF($B$64&gt;=AD168,ABS(AD203),0),0)</f>
        <v>356114.30864955642</v>
      </c>
      <c r="AE204" s="60">
        <f t="shared" ref="AE204" si="168">IF($A$64&lt;=AE168,IF($B$64&gt;=AE168,ABS(AE203),0),0)</f>
        <v>424236.41767850507</v>
      </c>
      <c r="AF204" s="60">
        <f t="shared" ref="AF204" si="169">IF($A$64&lt;=AF168,IF($B$64&gt;=AF168,ABS(AF203),0),0)</f>
        <v>229143.89074026133</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7239.0151237987711</v>
      </c>
      <c r="C209" s="27">
        <f t="shared" ref="C209:AF209" si="170">($C$17+SUM(C210:C240))*$B$51</f>
        <v>6664.4139267769287</v>
      </c>
      <c r="D209" s="27">
        <f t="shared" si="170"/>
        <v>6089.4476640555558</v>
      </c>
      <c r="E209" s="27">
        <f t="shared" si="170"/>
        <v>6088.8810506995042</v>
      </c>
      <c r="F209" s="27">
        <f t="shared" si="170"/>
        <v>6088.8810506994951</v>
      </c>
      <c r="G209" s="27">
        <f t="shared" si="170"/>
        <v>6088.8810506993923</v>
      </c>
      <c r="H209" s="27">
        <f t="shared" si="170"/>
        <v>6088.88105069837</v>
      </c>
      <c r="I209" s="27">
        <f t="shared" si="170"/>
        <v>6088.8810506881391</v>
      </c>
      <c r="J209" s="27">
        <f t="shared" si="170"/>
        <v>6088.8810505858446</v>
      </c>
      <c r="K209" s="27">
        <f t="shared" si="170"/>
        <v>6088.8810495628959</v>
      </c>
      <c r="L209" s="27">
        <f t="shared" si="170"/>
        <v>6088.8810393334061</v>
      </c>
      <c r="M209" s="27">
        <f t="shared" si="170"/>
        <v>6088.8809370385206</v>
      </c>
      <c r="N209" s="27">
        <f t="shared" si="170"/>
        <v>6088.8799140906294</v>
      </c>
      <c r="O209" s="27">
        <f t="shared" si="170"/>
        <v>6088.8696847081119</v>
      </c>
      <c r="P209" s="27">
        <f t="shared" si="170"/>
        <v>6088.7674005218842</v>
      </c>
      <c r="Q209" s="27">
        <f t="shared" si="170"/>
        <v>6087.7455219244357</v>
      </c>
      <c r="R209" s="27">
        <f t="shared" si="170"/>
        <v>6077.6224350536395</v>
      </c>
      <c r="S209" s="27">
        <f t="shared" si="170"/>
        <v>5985.3638461895762</v>
      </c>
      <c r="T209" s="27">
        <f t="shared" si="170"/>
        <v>5571.9697303892717</v>
      </c>
      <c r="U209" s="27">
        <f t="shared" si="170"/>
        <v>5309.8961804822266</v>
      </c>
      <c r="V209" s="27">
        <f t="shared" si="170"/>
        <v>5006.3578987252449</v>
      </c>
      <c r="W209" s="27">
        <f t="shared" si="170"/>
        <v>4667.5803057348976</v>
      </c>
      <c r="X209" s="27">
        <f t="shared" si="170"/>
        <v>4220.6596746007508</v>
      </c>
      <c r="Y209" s="27">
        <f t="shared" si="170"/>
        <v>3648.1930018238731</v>
      </c>
      <c r="Z209" s="27">
        <f t="shared" si="170"/>
        <v>2949.816016637742</v>
      </c>
      <c r="AA209" s="27">
        <f t="shared" si="170"/>
        <v>2115.0422978314123</v>
      </c>
      <c r="AB209" s="27">
        <f t="shared" si="170"/>
        <v>1330.4138205650968</v>
      </c>
      <c r="AC209" s="27">
        <f t="shared" si="170"/>
        <v>772.45365260724634</v>
      </c>
      <c r="AD209" s="27">
        <f t="shared" si="170"/>
        <v>431.87801591102868</v>
      </c>
      <c r="AE209" s="27">
        <f t="shared" si="170"/>
        <v>270.98342067664129</v>
      </c>
      <c r="AF209" s="27">
        <f t="shared" si="170"/>
        <v>227.71109150238925</v>
      </c>
      <c r="AG209" s="27"/>
      <c r="AH209" s="27"/>
    </row>
    <row r="210" spans="1:34" x14ac:dyDescent="0.25">
      <c r="B210" s="3">
        <f t="shared" ref="B210:AF210" si="171">$C18*EXP(-B$207/$A18/EXP(-$D$126))</f>
        <v>0.15688675099595994</v>
      </c>
      <c r="C210" s="3">
        <f t="shared" si="171"/>
        <v>7.850691943751692E-2</v>
      </c>
      <c r="D210" s="3">
        <f t="shared" si="171"/>
        <v>7.7290231270247243E-5</v>
      </c>
      <c r="E210" s="3">
        <f t="shared" si="171"/>
        <v>6.6113677107949008E-35</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7.5788306997470078E-2</v>
      </c>
      <c r="C211" s="3">
        <f t="shared" si="172"/>
        <v>7.5788306997470078E-2</v>
      </c>
      <c r="D211" s="3">
        <f t="shared" si="172"/>
        <v>7.5788306997470065E-2</v>
      </c>
      <c r="E211" s="3">
        <f t="shared" si="172"/>
        <v>7.5788306997469926E-2</v>
      </c>
      <c r="F211" s="3">
        <f t="shared" si="172"/>
        <v>7.5788306997468594E-2</v>
      </c>
      <c r="G211" s="3">
        <f t="shared" si="172"/>
        <v>7.5788306997455146E-2</v>
      </c>
      <c r="H211" s="3">
        <f t="shared" si="172"/>
        <v>7.578830699732074E-2</v>
      </c>
      <c r="I211" s="3">
        <f t="shared" si="172"/>
        <v>7.5788306995976662E-2</v>
      </c>
      <c r="J211" s="3">
        <f t="shared" si="172"/>
        <v>7.5788306982535969E-2</v>
      </c>
      <c r="K211" s="3">
        <f t="shared" si="172"/>
        <v>7.5788306848128956E-2</v>
      </c>
      <c r="L211" s="3">
        <f t="shared" si="172"/>
        <v>7.5788305504058809E-2</v>
      </c>
      <c r="M211" s="3">
        <f t="shared" si="172"/>
        <v>7.5788292063358687E-2</v>
      </c>
      <c r="N211" s="3">
        <f t="shared" si="172"/>
        <v>7.5788157656488553E-2</v>
      </c>
      <c r="O211" s="3">
        <f t="shared" si="172"/>
        <v>7.5786813600897257E-2</v>
      </c>
      <c r="P211" s="3">
        <f t="shared" si="172"/>
        <v>7.5773374355893722E-2</v>
      </c>
      <c r="Q211" s="3">
        <f t="shared" si="172"/>
        <v>7.5639112910826214E-2</v>
      </c>
      <c r="R211" s="3">
        <f t="shared" si="172"/>
        <v>7.4309513400672142E-2</v>
      </c>
      <c r="S211" s="3">
        <f t="shared" si="172"/>
        <v>6.2233513918310078E-2</v>
      </c>
      <c r="T211" s="3">
        <f t="shared" si="172"/>
        <v>1.0563878157712337E-2</v>
      </c>
      <c r="U211" s="3">
        <f t="shared" si="172"/>
        <v>2.0980410622195212E-10</v>
      </c>
      <c r="V211" s="3">
        <f t="shared" si="172"/>
        <v>2.0031800544021155E-87</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2.742614598116927E-2</v>
      </c>
      <c r="C212" s="3">
        <f t="shared" si="173"/>
        <v>2.742614598116927E-2</v>
      </c>
      <c r="D212" s="3">
        <f t="shared" si="173"/>
        <v>2.742614598116927E-2</v>
      </c>
      <c r="E212" s="3">
        <f t="shared" si="173"/>
        <v>2.7426145981169263E-2</v>
      </c>
      <c r="F212" s="3">
        <f t="shared" si="173"/>
        <v>2.7426145981169221E-2</v>
      </c>
      <c r="G212" s="3">
        <f t="shared" si="173"/>
        <v>2.7426145981168784E-2</v>
      </c>
      <c r="H212" s="3">
        <f t="shared" si="173"/>
        <v>2.7426145981164395E-2</v>
      </c>
      <c r="I212" s="3">
        <f t="shared" si="173"/>
        <v>2.7426145981120517E-2</v>
      </c>
      <c r="J212" s="3">
        <f t="shared" si="173"/>
        <v>2.7426145980681754E-2</v>
      </c>
      <c r="K212" s="3">
        <f t="shared" si="173"/>
        <v>2.7426145976294114E-2</v>
      </c>
      <c r="L212" s="3">
        <f t="shared" si="173"/>
        <v>2.7426145932417701E-2</v>
      </c>
      <c r="M212" s="3">
        <f t="shared" si="173"/>
        <v>2.7426145493653586E-2</v>
      </c>
      <c r="N212" s="3">
        <f t="shared" si="173"/>
        <v>2.74261411060128E-2</v>
      </c>
      <c r="O212" s="3">
        <f t="shared" si="173"/>
        <v>2.7426097229643554E-2</v>
      </c>
      <c r="P212" s="3">
        <f t="shared" si="173"/>
        <v>2.7425658469811751E-2</v>
      </c>
      <c r="Q212" s="3">
        <f t="shared" si="173"/>
        <v>2.7421271257533037E-2</v>
      </c>
      <c r="R212" s="3">
        <f t="shared" si="173"/>
        <v>2.7377437715838344E-2</v>
      </c>
      <c r="S212" s="3">
        <f t="shared" si="173"/>
        <v>2.694293766835084E-2</v>
      </c>
      <c r="T212" s="3">
        <f t="shared" si="173"/>
        <v>2.2959710839485656E-2</v>
      </c>
      <c r="U212" s="3">
        <f t="shared" si="173"/>
        <v>4.6364020774038476E-3</v>
      </c>
      <c r="V212" s="3">
        <f t="shared" si="173"/>
        <v>5.2279071752060171E-10</v>
      </c>
      <c r="W212" s="3">
        <f t="shared" si="173"/>
        <v>1.7369832414204461E-79</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4.6802795715284964E-2</v>
      </c>
      <c r="C213" s="3">
        <f t="shared" si="174"/>
        <v>4.6802795715284964E-2</v>
      </c>
      <c r="D213" s="3">
        <f t="shared" si="174"/>
        <v>4.6802795715284964E-2</v>
      </c>
      <c r="E213" s="3">
        <f t="shared" si="174"/>
        <v>4.6802795715284964E-2</v>
      </c>
      <c r="F213" s="3">
        <f t="shared" si="174"/>
        <v>4.6802795715284957E-2</v>
      </c>
      <c r="G213" s="3">
        <f t="shared" si="174"/>
        <v>4.6802795715284895E-2</v>
      </c>
      <c r="H213" s="3">
        <f t="shared" si="174"/>
        <v>4.6802795715284215E-2</v>
      </c>
      <c r="I213" s="3">
        <f t="shared" si="174"/>
        <v>4.6802795715277463E-2</v>
      </c>
      <c r="J213" s="3">
        <f t="shared" si="174"/>
        <v>4.6802795715209913E-2</v>
      </c>
      <c r="K213" s="3">
        <f t="shared" si="174"/>
        <v>4.6802795714534481E-2</v>
      </c>
      <c r="L213" s="3">
        <f t="shared" si="174"/>
        <v>4.6802795707780113E-2</v>
      </c>
      <c r="M213" s="3">
        <f t="shared" si="174"/>
        <v>4.6802795640236435E-2</v>
      </c>
      <c r="N213" s="3">
        <f t="shared" si="174"/>
        <v>4.6802794964799652E-2</v>
      </c>
      <c r="O213" s="3">
        <f t="shared" si="174"/>
        <v>4.6802788210432371E-2</v>
      </c>
      <c r="P213" s="3">
        <f t="shared" si="174"/>
        <v>4.6802720666813166E-2</v>
      </c>
      <c r="Q213" s="3">
        <f t="shared" si="174"/>
        <v>4.6802045235982276E-2</v>
      </c>
      <c r="R213" s="3">
        <f t="shared" si="174"/>
        <v>4.6795291463759464E-2</v>
      </c>
      <c r="S213" s="3">
        <f t="shared" si="174"/>
        <v>4.6727807321527433E-2</v>
      </c>
      <c r="T213" s="3">
        <f t="shared" si="174"/>
        <v>4.6058295398958012E-2</v>
      </c>
      <c r="U213" s="3">
        <f t="shared" si="174"/>
        <v>3.9868733954124588E-2</v>
      </c>
      <c r="V213" s="3">
        <f t="shared" si="174"/>
        <v>9.4162565672585349E-3</v>
      </c>
      <c r="W213" s="3">
        <f t="shared" si="174"/>
        <v>5.0855352580726276E-9</v>
      </c>
      <c r="X213" s="3">
        <f t="shared" si="174"/>
        <v>1.0737929111433366E-71</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4.5136552781973364E-2</v>
      </c>
      <c r="C214" s="3">
        <f t="shared" si="175"/>
        <v>4.5136552781973364E-2</v>
      </c>
      <c r="D214" s="3">
        <f t="shared" si="175"/>
        <v>4.5136552781973364E-2</v>
      </c>
      <c r="E214" s="3">
        <f t="shared" si="175"/>
        <v>4.5136552781973364E-2</v>
      </c>
      <c r="F214" s="3">
        <f t="shared" si="175"/>
        <v>4.5136552781973364E-2</v>
      </c>
      <c r="G214" s="3">
        <f t="shared" si="175"/>
        <v>4.5136552781973358E-2</v>
      </c>
      <c r="H214" s="3">
        <f t="shared" si="175"/>
        <v>4.5136552781973302E-2</v>
      </c>
      <c r="I214" s="3">
        <f t="shared" si="175"/>
        <v>4.5136552781972712E-2</v>
      </c>
      <c r="J214" s="3">
        <f t="shared" si="175"/>
        <v>4.5136552781966835E-2</v>
      </c>
      <c r="K214" s="3">
        <f t="shared" si="175"/>
        <v>4.5136552781908076E-2</v>
      </c>
      <c r="L214" s="3">
        <f t="shared" si="175"/>
        <v>4.5136552781320463E-2</v>
      </c>
      <c r="M214" s="3">
        <f t="shared" si="175"/>
        <v>4.5136552775444386E-2</v>
      </c>
      <c r="N214" s="3">
        <f t="shared" si="175"/>
        <v>4.5136552716683563E-2</v>
      </c>
      <c r="O214" s="3">
        <f t="shared" si="175"/>
        <v>4.5136552129075302E-2</v>
      </c>
      <c r="P214" s="3">
        <f t="shared" si="175"/>
        <v>4.5136546252993147E-2</v>
      </c>
      <c r="Q214" s="3">
        <f t="shared" si="175"/>
        <v>4.513648749221371E-2</v>
      </c>
      <c r="R214" s="3">
        <f t="shared" si="175"/>
        <v>4.5135899888626707E-2</v>
      </c>
      <c r="S214" s="3">
        <f t="shared" si="175"/>
        <v>4.5130024273470508E-2</v>
      </c>
      <c r="T214" s="3">
        <f t="shared" si="175"/>
        <v>4.5071310173039003E-2</v>
      </c>
      <c r="U214" s="3">
        <f t="shared" si="175"/>
        <v>4.4488354096803004E-2</v>
      </c>
      <c r="V214" s="3">
        <f t="shared" si="175"/>
        <v>3.9057810979922454E-2</v>
      </c>
      <c r="W214" s="3">
        <f t="shared" si="175"/>
        <v>1.0624867061109442E-2</v>
      </c>
      <c r="X214" s="3">
        <f t="shared" si="175"/>
        <v>2.3576512311052862E-8</v>
      </c>
      <c r="Y214" s="3">
        <f t="shared" si="175"/>
        <v>6.8240171882721452E-65</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6.7281406852932088E-2</v>
      </c>
      <c r="C215" s="3">
        <f t="shared" si="176"/>
        <v>6.7281406852932088E-2</v>
      </c>
      <c r="D215" s="3">
        <f t="shared" si="176"/>
        <v>6.7281406852932088E-2</v>
      </c>
      <c r="E215" s="3">
        <f t="shared" si="176"/>
        <v>6.7281406852932088E-2</v>
      </c>
      <c r="F215" s="3">
        <f t="shared" si="176"/>
        <v>6.7281406852932088E-2</v>
      </c>
      <c r="G215" s="3">
        <f t="shared" si="176"/>
        <v>6.7281406852932088E-2</v>
      </c>
      <c r="H215" s="3">
        <f t="shared" si="176"/>
        <v>6.7281406852932074E-2</v>
      </c>
      <c r="I215" s="3">
        <f t="shared" si="176"/>
        <v>6.7281406852932005E-2</v>
      </c>
      <c r="J215" s="3">
        <f t="shared" si="176"/>
        <v>6.72814068529312E-2</v>
      </c>
      <c r="K215" s="3">
        <f t="shared" si="176"/>
        <v>6.7281406852923317E-2</v>
      </c>
      <c r="L215" s="3">
        <f t="shared" si="176"/>
        <v>6.7281406852844297E-2</v>
      </c>
      <c r="M215" s="3">
        <f t="shared" si="176"/>
        <v>6.7281406852054165E-2</v>
      </c>
      <c r="N215" s="3">
        <f t="shared" si="176"/>
        <v>6.7281406844152805E-2</v>
      </c>
      <c r="O215" s="3">
        <f t="shared" si="176"/>
        <v>6.7281406765139343E-2</v>
      </c>
      <c r="P215" s="3">
        <f t="shared" si="176"/>
        <v>6.7281405975004593E-2</v>
      </c>
      <c r="Q215" s="3">
        <f t="shared" si="176"/>
        <v>6.7281398073657697E-2</v>
      </c>
      <c r="R215" s="3">
        <f t="shared" si="176"/>
        <v>6.7281319060239722E-2</v>
      </c>
      <c r="S215" s="3">
        <f t="shared" si="176"/>
        <v>6.7280528931163402E-2</v>
      </c>
      <c r="T215" s="3">
        <f t="shared" si="176"/>
        <v>6.7272628150727848E-2</v>
      </c>
      <c r="U215" s="3">
        <f t="shared" si="176"/>
        <v>6.7193671356955434E-2</v>
      </c>
      <c r="V215" s="3">
        <f t="shared" si="176"/>
        <v>6.6409182381989659E-2</v>
      </c>
      <c r="W215" s="3">
        <f t="shared" si="176"/>
        <v>5.9050796155627867E-2</v>
      </c>
      <c r="X215" s="3">
        <f t="shared" si="176"/>
        <v>1.8247442260889122E-2</v>
      </c>
      <c r="Y215" s="3">
        <f t="shared" si="176"/>
        <v>1.4486531176623099E-7</v>
      </c>
      <c r="Z215" s="3">
        <f t="shared" si="176"/>
        <v>1.4407495023801828E-58</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8.4823708436980116E-2</v>
      </c>
      <c r="C216" s="3">
        <f t="shared" si="177"/>
        <v>8.4823708436980116E-2</v>
      </c>
      <c r="D216" s="3">
        <f t="shared" si="177"/>
        <v>8.4823708436980116E-2</v>
      </c>
      <c r="E216" s="3">
        <f t="shared" si="177"/>
        <v>8.4823708436980116E-2</v>
      </c>
      <c r="F216" s="3">
        <f t="shared" si="177"/>
        <v>8.4823708436980116E-2</v>
      </c>
      <c r="G216" s="3">
        <f t="shared" si="177"/>
        <v>8.4823708436980116E-2</v>
      </c>
      <c r="H216" s="3">
        <f t="shared" si="177"/>
        <v>8.4823708436980116E-2</v>
      </c>
      <c r="I216" s="3">
        <f t="shared" si="177"/>
        <v>8.4823708436980103E-2</v>
      </c>
      <c r="J216" s="3">
        <f t="shared" si="177"/>
        <v>8.4823708436980019E-2</v>
      </c>
      <c r="K216" s="3">
        <f t="shared" si="177"/>
        <v>8.4823708436979117E-2</v>
      </c>
      <c r="L216" s="3">
        <f t="shared" si="177"/>
        <v>8.4823708436970138E-2</v>
      </c>
      <c r="M216" s="3">
        <f t="shared" si="177"/>
        <v>8.482370843688028E-2</v>
      </c>
      <c r="N216" s="3">
        <f t="shared" si="177"/>
        <v>8.4823708435981665E-2</v>
      </c>
      <c r="O216" s="3">
        <f t="shared" si="177"/>
        <v>8.4823708426995589E-2</v>
      </c>
      <c r="P216" s="3">
        <f t="shared" si="177"/>
        <v>8.4823708337134859E-2</v>
      </c>
      <c r="Q216" s="3">
        <f t="shared" si="177"/>
        <v>8.482370743852756E-2</v>
      </c>
      <c r="R216" s="3">
        <f t="shared" si="177"/>
        <v>8.4823698452455132E-2</v>
      </c>
      <c r="S216" s="3">
        <f t="shared" si="177"/>
        <v>8.4823608591783117E-2</v>
      </c>
      <c r="T216" s="3">
        <f t="shared" si="177"/>
        <v>8.4822709990298784E-2</v>
      </c>
      <c r="U216" s="3">
        <f t="shared" si="177"/>
        <v>8.4813724499015419E-2</v>
      </c>
      <c r="V216" s="3">
        <f t="shared" si="177"/>
        <v>8.4723921921659118E-2</v>
      </c>
      <c r="W216" s="3">
        <f t="shared" si="177"/>
        <v>8.3831109239823218E-2</v>
      </c>
      <c r="X216" s="3">
        <f t="shared" si="177"/>
        <v>7.5404423970970122E-2</v>
      </c>
      <c r="Y216" s="3">
        <f t="shared" si="177"/>
        <v>2.6140444361717759E-2</v>
      </c>
      <c r="Z216" s="3">
        <f t="shared" si="177"/>
        <v>6.553515913853578E-7</v>
      </c>
      <c r="AA216" s="3">
        <f t="shared" si="177"/>
        <v>6.4281837577360065E-53</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0.10369484660409525</v>
      </c>
      <c r="C217" s="3">
        <f t="shared" si="178"/>
        <v>0.10369484660409525</v>
      </c>
      <c r="D217" s="3">
        <f t="shared" si="178"/>
        <v>0.10369484660409525</v>
      </c>
      <c r="E217" s="3">
        <f t="shared" si="178"/>
        <v>0.10369484660409525</v>
      </c>
      <c r="F217" s="3">
        <f t="shared" si="178"/>
        <v>0.10369484660409525</v>
      </c>
      <c r="G217" s="3">
        <f t="shared" si="178"/>
        <v>0.10369484660409525</v>
      </c>
      <c r="H217" s="3">
        <f t="shared" si="178"/>
        <v>0.10369484660409525</v>
      </c>
      <c r="I217" s="3">
        <f t="shared" si="178"/>
        <v>0.10369484660409525</v>
      </c>
      <c r="J217" s="3">
        <f t="shared" si="178"/>
        <v>0.10369484660409524</v>
      </c>
      <c r="K217" s="3">
        <f t="shared" si="178"/>
        <v>0.10369484660409514</v>
      </c>
      <c r="L217" s="3">
        <f t="shared" si="178"/>
        <v>0.10369484660409414</v>
      </c>
      <c r="M217" s="3">
        <f t="shared" si="178"/>
        <v>0.10369484660408425</v>
      </c>
      <c r="N217" s="3">
        <f t="shared" si="178"/>
        <v>0.10369484660398515</v>
      </c>
      <c r="O217" s="3">
        <f t="shared" si="178"/>
        <v>0.10369484660299418</v>
      </c>
      <c r="P217" s="3">
        <f t="shared" si="178"/>
        <v>0.10369484659308459</v>
      </c>
      <c r="Q217" s="3">
        <f t="shared" si="178"/>
        <v>0.1036948464939885</v>
      </c>
      <c r="R217" s="3">
        <f t="shared" si="178"/>
        <v>0.10369484550302777</v>
      </c>
      <c r="S217" s="3">
        <f t="shared" si="178"/>
        <v>0.10369483559342087</v>
      </c>
      <c r="T217" s="3">
        <f t="shared" si="178"/>
        <v>0.10369473649740402</v>
      </c>
      <c r="U217" s="3">
        <f t="shared" si="178"/>
        <v>0.10369374554244407</v>
      </c>
      <c r="V217" s="3">
        <f t="shared" si="178"/>
        <v>0.10368383651368104</v>
      </c>
      <c r="W217" s="3">
        <f t="shared" si="178"/>
        <v>0.10358479829128268</v>
      </c>
      <c r="X217" s="3">
        <f t="shared" si="178"/>
        <v>0.10259960422766903</v>
      </c>
      <c r="Y217" s="3">
        <f t="shared" si="178"/>
        <v>9.3248594320880507E-2</v>
      </c>
      <c r="Z217" s="3">
        <f t="shared" si="178"/>
        <v>3.5859842358686653E-2</v>
      </c>
      <c r="AA217" s="3">
        <f t="shared" si="178"/>
        <v>2.5367005272126909E-6</v>
      </c>
      <c r="AB217" s="3">
        <f t="shared" si="178"/>
        <v>7.9593468430765724E-48</v>
      </c>
      <c r="AC217" s="3">
        <f t="shared" si="178"/>
        <v>0</v>
      </c>
      <c r="AD217" s="3">
        <f t="shared" si="178"/>
        <v>0</v>
      </c>
      <c r="AE217" s="3">
        <f t="shared" si="178"/>
        <v>0</v>
      </c>
      <c r="AF217" s="3">
        <f t="shared" si="178"/>
        <v>0</v>
      </c>
      <c r="AG217" s="3"/>
      <c r="AH217" s="3"/>
    </row>
    <row r="218" spans="1:34" x14ac:dyDescent="0.25">
      <c r="B218" s="3">
        <f t="shared" ref="B218:AF218" si="179">$C26*EXP(-B$207/$A26/EXP(-$D$126))</f>
        <v>0.13305313379533851</v>
      </c>
      <c r="C218" s="3">
        <f t="shared" si="179"/>
        <v>0.13305313379533851</v>
      </c>
      <c r="D218" s="3">
        <f t="shared" si="179"/>
        <v>0.13305313379533851</v>
      </c>
      <c r="E218" s="3">
        <f t="shared" si="179"/>
        <v>0.13305313379533851</v>
      </c>
      <c r="F218" s="3">
        <f t="shared" si="179"/>
        <v>0.13305313379533851</v>
      </c>
      <c r="G218" s="3">
        <f t="shared" si="179"/>
        <v>0.13305313379533851</v>
      </c>
      <c r="H218" s="3">
        <f t="shared" si="179"/>
        <v>0.13305313379533851</v>
      </c>
      <c r="I218" s="3">
        <f t="shared" si="179"/>
        <v>0.13305313379533851</v>
      </c>
      <c r="J218" s="3">
        <f t="shared" si="179"/>
        <v>0.13305313379533851</v>
      </c>
      <c r="K218" s="3">
        <f t="shared" si="179"/>
        <v>0.13305313379533848</v>
      </c>
      <c r="L218" s="3">
        <f t="shared" si="179"/>
        <v>0.13305313379533837</v>
      </c>
      <c r="M218" s="3">
        <f t="shared" si="179"/>
        <v>0.13305313379533723</v>
      </c>
      <c r="N218" s="3">
        <f t="shared" si="179"/>
        <v>0.13305313379532577</v>
      </c>
      <c r="O218" s="3">
        <f t="shared" si="179"/>
        <v>0.13305313379521105</v>
      </c>
      <c r="P218" s="3">
        <f t="shared" si="179"/>
        <v>0.13305313379406403</v>
      </c>
      <c r="Q218" s="3">
        <f t="shared" si="179"/>
        <v>0.13305313378259384</v>
      </c>
      <c r="R218" s="3">
        <f t="shared" si="179"/>
        <v>0.13305313366789184</v>
      </c>
      <c r="S218" s="3">
        <f t="shared" si="179"/>
        <v>0.13305313252087189</v>
      </c>
      <c r="T218" s="3">
        <f t="shared" si="179"/>
        <v>0.13305312105067282</v>
      </c>
      <c r="U218" s="3">
        <f t="shared" si="179"/>
        <v>0.13305300634873674</v>
      </c>
      <c r="V218" s="3">
        <f t="shared" si="179"/>
        <v>0.13305185933481409</v>
      </c>
      <c r="W218" s="3">
        <f t="shared" si="179"/>
        <v>0.13304038973941909</v>
      </c>
      <c r="X218" s="3">
        <f t="shared" si="179"/>
        <v>0.13292574815124944</v>
      </c>
      <c r="Y218" s="3">
        <f t="shared" si="179"/>
        <v>0.13178475154656866</v>
      </c>
      <c r="Z218" s="3">
        <f t="shared" si="179"/>
        <v>0.1208998188152831</v>
      </c>
      <c r="AA218" s="3">
        <f t="shared" si="179"/>
        <v>5.1054088722157859E-2</v>
      </c>
      <c r="AB218" s="3">
        <f t="shared" si="179"/>
        <v>9.2061769103152576E-6</v>
      </c>
      <c r="AC218" s="3">
        <f t="shared" si="179"/>
        <v>3.3463178583633878E-43</v>
      </c>
      <c r="AD218" s="3">
        <f t="shared" si="179"/>
        <v>0</v>
      </c>
      <c r="AE218" s="3">
        <f t="shared" si="179"/>
        <v>0</v>
      </c>
      <c r="AF218" s="3">
        <f t="shared" si="179"/>
        <v>0</v>
      </c>
      <c r="AG218" s="3"/>
      <c r="AH218" s="3"/>
    </row>
    <row r="219" spans="1:34" x14ac:dyDescent="0.25">
      <c r="B219" s="3">
        <f t="shared" ref="B219:AF219" si="180">$C27*EXP(-B$207/$A27/EXP(-$D$126))</f>
        <v>0.10368180212181953</v>
      </c>
      <c r="C219" s="3">
        <f t="shared" si="180"/>
        <v>0.10368180212181953</v>
      </c>
      <c r="D219" s="3">
        <f t="shared" si="180"/>
        <v>0.10368180212181953</v>
      </c>
      <c r="E219" s="3">
        <f t="shared" si="180"/>
        <v>0.10368180212181953</v>
      </c>
      <c r="F219" s="3">
        <f t="shared" si="180"/>
        <v>0.10368180212181953</v>
      </c>
      <c r="G219" s="3">
        <f t="shared" si="180"/>
        <v>0.10368180212181953</v>
      </c>
      <c r="H219" s="3">
        <f t="shared" si="180"/>
        <v>0.10368180212181953</v>
      </c>
      <c r="I219" s="3">
        <f t="shared" si="180"/>
        <v>0.10368180212181953</v>
      </c>
      <c r="J219" s="3">
        <f t="shared" si="180"/>
        <v>0.10368180212181953</v>
      </c>
      <c r="K219" s="3">
        <f t="shared" si="180"/>
        <v>0.10368180212181953</v>
      </c>
      <c r="L219" s="3">
        <f t="shared" si="180"/>
        <v>0.10368180212181952</v>
      </c>
      <c r="M219" s="3">
        <f t="shared" si="180"/>
        <v>0.10368180212181943</v>
      </c>
      <c r="N219" s="3">
        <f t="shared" si="180"/>
        <v>0.10368180212181863</v>
      </c>
      <c r="O219" s="3">
        <f t="shared" si="180"/>
        <v>0.10368180212181058</v>
      </c>
      <c r="P219" s="3">
        <f t="shared" si="180"/>
        <v>0.10368180212172994</v>
      </c>
      <c r="Q219" s="3">
        <f t="shared" si="180"/>
        <v>0.10368180212092364</v>
      </c>
      <c r="R219" s="3">
        <f t="shared" si="180"/>
        <v>0.10368180211286067</v>
      </c>
      <c r="S219" s="3">
        <f t="shared" si="180"/>
        <v>0.10368180203223099</v>
      </c>
      <c r="T219" s="3">
        <f t="shared" si="180"/>
        <v>0.10368180122593407</v>
      </c>
      <c r="U219" s="3">
        <f t="shared" si="180"/>
        <v>0.10368179316296532</v>
      </c>
      <c r="V219" s="3">
        <f t="shared" si="180"/>
        <v>0.10368171253331224</v>
      </c>
      <c r="W219" s="3">
        <f t="shared" si="180"/>
        <v>0.10368090624023002</v>
      </c>
      <c r="X219" s="3">
        <f t="shared" si="180"/>
        <v>0.10367284365426274</v>
      </c>
      <c r="Y219" s="3">
        <f t="shared" si="180"/>
        <v>0.10359225227014827</v>
      </c>
      <c r="Z219" s="3">
        <f t="shared" si="180"/>
        <v>0.10278977608558353</v>
      </c>
      <c r="AA219" s="3">
        <f t="shared" si="180"/>
        <v>9.5099090918176518E-2</v>
      </c>
      <c r="AB219" s="3">
        <f t="shared" si="180"/>
        <v>4.3695913126459054E-2</v>
      </c>
      <c r="AC219" s="3">
        <f t="shared" si="180"/>
        <v>1.8326745922274184E-5</v>
      </c>
      <c r="AD219" s="3">
        <f t="shared" si="180"/>
        <v>3.0869582419270272E-39</v>
      </c>
      <c r="AE219" s="3">
        <f t="shared" si="180"/>
        <v>0</v>
      </c>
      <c r="AF219" s="3">
        <f t="shared" si="180"/>
        <v>0</v>
      </c>
      <c r="AG219" s="3"/>
      <c r="AH219" s="3"/>
    </row>
    <row r="220" spans="1:34" x14ac:dyDescent="0.25">
      <c r="B220" s="3">
        <f t="shared" ref="B220:AF220" si="181">$C28*EXP(-B$207/$A28/EXP(-$D$126))</f>
        <v>6.4516912228113732E-2</v>
      </c>
      <c r="C220" s="3">
        <f t="shared" si="181"/>
        <v>6.4516912228113732E-2</v>
      </c>
      <c r="D220" s="3">
        <f t="shared" si="181"/>
        <v>6.4516912228113732E-2</v>
      </c>
      <c r="E220" s="3">
        <f t="shared" si="181"/>
        <v>6.4516912228113732E-2</v>
      </c>
      <c r="F220" s="3">
        <f t="shared" si="181"/>
        <v>6.4516912228113732E-2</v>
      </c>
      <c r="G220" s="3">
        <f t="shared" si="181"/>
        <v>6.4516912228113732E-2</v>
      </c>
      <c r="H220" s="3">
        <f t="shared" si="181"/>
        <v>6.4516912228113732E-2</v>
      </c>
      <c r="I220" s="3">
        <f t="shared" si="181"/>
        <v>6.4516912228113732E-2</v>
      </c>
      <c r="J220" s="3">
        <f t="shared" si="181"/>
        <v>6.4516912228113732E-2</v>
      </c>
      <c r="K220" s="3">
        <f t="shared" si="181"/>
        <v>6.4516912228113732E-2</v>
      </c>
      <c r="L220" s="3">
        <f t="shared" si="181"/>
        <v>6.4516912228113732E-2</v>
      </c>
      <c r="M220" s="3">
        <f t="shared" si="181"/>
        <v>6.4516912228113718E-2</v>
      </c>
      <c r="N220" s="3">
        <f t="shared" si="181"/>
        <v>6.4516912228113676E-2</v>
      </c>
      <c r="O220" s="3">
        <f t="shared" si="181"/>
        <v>6.4516912228113232E-2</v>
      </c>
      <c r="P220" s="3">
        <f t="shared" si="181"/>
        <v>6.4516912228108708E-2</v>
      </c>
      <c r="Q220" s="3">
        <f t="shared" si="181"/>
        <v>6.4516912228063439E-2</v>
      </c>
      <c r="R220" s="3">
        <f t="shared" si="181"/>
        <v>6.4516912227610843E-2</v>
      </c>
      <c r="S220" s="3">
        <f t="shared" si="181"/>
        <v>6.4516912223084866E-2</v>
      </c>
      <c r="T220" s="3">
        <f t="shared" si="181"/>
        <v>6.451691217782507E-2</v>
      </c>
      <c r="U220" s="3">
        <f t="shared" si="181"/>
        <v>6.4516911725227069E-2</v>
      </c>
      <c r="V220" s="3">
        <f t="shared" si="181"/>
        <v>6.4516907199247325E-2</v>
      </c>
      <c r="W220" s="3">
        <f t="shared" si="181"/>
        <v>6.4516861939467263E-2</v>
      </c>
      <c r="X220" s="3">
        <f t="shared" si="181"/>
        <v>6.4516409343413003E-2</v>
      </c>
      <c r="Y220" s="3">
        <f t="shared" si="181"/>
        <v>6.4511883557493585E-2</v>
      </c>
      <c r="Z220" s="3">
        <f t="shared" si="181"/>
        <v>6.4466643156083511E-2</v>
      </c>
      <c r="AA220" s="3">
        <f t="shared" si="181"/>
        <v>6.4015980397521988E-2</v>
      </c>
      <c r="AB220" s="3">
        <f t="shared" si="181"/>
        <v>5.9679042290498453E-2</v>
      </c>
      <c r="AC220" s="3">
        <f t="shared" si="181"/>
        <v>2.9590771316959093E-2</v>
      </c>
      <c r="AD220" s="3">
        <f t="shared" si="181"/>
        <v>2.6576677810420886E-5</v>
      </c>
      <c r="AE220" s="3">
        <f t="shared" si="181"/>
        <v>9.0770504527202342E-36</v>
      </c>
      <c r="AF220" s="3">
        <f t="shared" si="181"/>
        <v>0</v>
      </c>
      <c r="AG220" s="3"/>
      <c r="AH220" s="3"/>
    </row>
    <row r="221" spans="1:34" x14ac:dyDescent="0.25">
      <c r="B221" s="3">
        <f t="shared" ref="B221:AF221" si="182">$C29*EXP(-B$207/$A29/EXP(-$D$126))</f>
        <v>3.7592139756949243E-2</v>
      </c>
      <c r="C221" s="3">
        <f t="shared" si="182"/>
        <v>3.7592139756949243E-2</v>
      </c>
      <c r="D221" s="3">
        <f t="shared" si="182"/>
        <v>3.7592139756949243E-2</v>
      </c>
      <c r="E221" s="3">
        <f t="shared" si="182"/>
        <v>3.7592139756949243E-2</v>
      </c>
      <c r="F221" s="3">
        <f t="shared" si="182"/>
        <v>3.7592139756949243E-2</v>
      </c>
      <c r="G221" s="3">
        <f t="shared" si="182"/>
        <v>3.7592139756949243E-2</v>
      </c>
      <c r="H221" s="3">
        <f t="shared" si="182"/>
        <v>3.7592139756949243E-2</v>
      </c>
      <c r="I221" s="3">
        <f t="shared" si="182"/>
        <v>3.7592139756949243E-2</v>
      </c>
      <c r="J221" s="3">
        <f t="shared" si="182"/>
        <v>3.7592139756949243E-2</v>
      </c>
      <c r="K221" s="3">
        <f t="shared" si="182"/>
        <v>3.7592139756949243E-2</v>
      </c>
      <c r="L221" s="3">
        <f t="shared" si="182"/>
        <v>3.7592139756949243E-2</v>
      </c>
      <c r="M221" s="3">
        <f t="shared" si="182"/>
        <v>3.7592139756949243E-2</v>
      </c>
      <c r="N221" s="3">
        <f t="shared" si="182"/>
        <v>3.7592139756949236E-2</v>
      </c>
      <c r="O221" s="3">
        <f t="shared" si="182"/>
        <v>3.7592139756949215E-2</v>
      </c>
      <c r="P221" s="3">
        <f t="shared" si="182"/>
        <v>3.7592139756948979E-2</v>
      </c>
      <c r="Q221" s="3">
        <f t="shared" si="182"/>
        <v>3.7592139756946599E-2</v>
      </c>
      <c r="R221" s="3">
        <f t="shared" si="182"/>
        <v>3.7592139756922813E-2</v>
      </c>
      <c r="S221" s="3">
        <f t="shared" si="182"/>
        <v>3.759213975668492E-2</v>
      </c>
      <c r="T221" s="3">
        <f t="shared" si="182"/>
        <v>3.7592139754305982E-2</v>
      </c>
      <c r="U221" s="3">
        <f t="shared" si="182"/>
        <v>3.759213973051663E-2</v>
      </c>
      <c r="V221" s="3">
        <f t="shared" si="182"/>
        <v>3.7592139492623064E-2</v>
      </c>
      <c r="W221" s="3">
        <f t="shared" si="182"/>
        <v>3.7592137113687536E-2</v>
      </c>
      <c r="X221" s="3">
        <f t="shared" si="182"/>
        <v>3.7592113324340544E-2</v>
      </c>
      <c r="Y221" s="3">
        <f t="shared" si="182"/>
        <v>3.759187543169866E-2</v>
      </c>
      <c r="Z221" s="3">
        <f t="shared" si="182"/>
        <v>3.7589496588077732E-2</v>
      </c>
      <c r="AA221" s="3">
        <f t="shared" si="182"/>
        <v>3.7565716429727704E-2</v>
      </c>
      <c r="AB221" s="3">
        <f t="shared" si="182"/>
        <v>3.7328740697200796E-2</v>
      </c>
      <c r="AC221" s="3">
        <f t="shared" si="182"/>
        <v>3.5039667066011741E-2</v>
      </c>
      <c r="AD221" s="3">
        <f t="shared" si="182"/>
        <v>1.8609139464576308E-2</v>
      </c>
      <c r="AE221" s="3">
        <f t="shared" si="182"/>
        <v>3.3219224324572469E-5</v>
      </c>
      <c r="AF221" s="3">
        <f t="shared" si="182"/>
        <v>1.0914942553243692E-32</v>
      </c>
      <c r="AG221" s="3"/>
      <c r="AH221" s="3"/>
    </row>
    <row r="222" spans="1:34" x14ac:dyDescent="0.25">
      <c r="B222" s="3">
        <f t="shared" ref="B222:AF222" si="183">$C30*EXP(-B$207/$A30/EXP(-$D$126))</f>
        <v>7.6036322594280207E-3</v>
      </c>
      <c r="C222" s="3">
        <f t="shared" si="183"/>
        <v>7.6036322594280207E-3</v>
      </c>
      <c r="D222" s="3">
        <f t="shared" si="183"/>
        <v>7.6036322594280207E-3</v>
      </c>
      <c r="E222" s="3">
        <f t="shared" si="183"/>
        <v>7.6036322594280207E-3</v>
      </c>
      <c r="F222" s="3">
        <f t="shared" si="183"/>
        <v>7.6036322594280207E-3</v>
      </c>
      <c r="G222" s="3">
        <f t="shared" si="183"/>
        <v>7.6036322594280207E-3</v>
      </c>
      <c r="H222" s="3">
        <f t="shared" si="183"/>
        <v>7.6036322594280207E-3</v>
      </c>
      <c r="I222" s="3">
        <f t="shared" si="183"/>
        <v>7.6036322594280207E-3</v>
      </c>
      <c r="J222" s="3">
        <f t="shared" si="183"/>
        <v>7.6036322594280207E-3</v>
      </c>
      <c r="K222" s="3">
        <f t="shared" si="183"/>
        <v>7.6036322594280207E-3</v>
      </c>
      <c r="L222" s="3">
        <f t="shared" si="183"/>
        <v>7.6036322594280207E-3</v>
      </c>
      <c r="M222" s="3">
        <f t="shared" si="183"/>
        <v>7.6036322594280207E-3</v>
      </c>
      <c r="N222" s="3">
        <f t="shared" si="183"/>
        <v>7.6036322594280207E-3</v>
      </c>
      <c r="O222" s="3">
        <f t="shared" si="183"/>
        <v>7.6036322594280198E-3</v>
      </c>
      <c r="P222" s="3">
        <f t="shared" si="183"/>
        <v>7.6036322594280155E-3</v>
      </c>
      <c r="Q222" s="3">
        <f t="shared" si="183"/>
        <v>7.603632259427973E-3</v>
      </c>
      <c r="R222" s="3">
        <f t="shared" si="183"/>
        <v>7.6036322594275384E-3</v>
      </c>
      <c r="S222" s="3">
        <f t="shared" si="183"/>
        <v>7.6036322594231981E-3</v>
      </c>
      <c r="T222" s="3">
        <f t="shared" si="183"/>
        <v>7.603632259379791E-3</v>
      </c>
      <c r="U222" s="3">
        <f t="shared" si="183"/>
        <v>7.6036322589457276E-3</v>
      </c>
      <c r="V222" s="3">
        <f t="shared" si="183"/>
        <v>7.6036322546050921E-3</v>
      </c>
      <c r="W222" s="3">
        <f t="shared" si="183"/>
        <v>7.6036322111987346E-3</v>
      </c>
      <c r="X222" s="3">
        <f t="shared" si="183"/>
        <v>7.6036317771351804E-3</v>
      </c>
      <c r="Y222" s="3">
        <f t="shared" si="183"/>
        <v>7.6036274365009968E-3</v>
      </c>
      <c r="Z222" s="3">
        <f t="shared" si="183"/>
        <v>7.603584030295445E-3</v>
      </c>
      <c r="AA222" s="3">
        <f t="shared" si="183"/>
        <v>7.6031499818681085E-3</v>
      </c>
      <c r="AB222" s="3">
        <f t="shared" si="183"/>
        <v>7.5988108601255915E-3</v>
      </c>
      <c r="AC222" s="3">
        <f t="shared" si="183"/>
        <v>7.5555556084303064E-3</v>
      </c>
      <c r="AD222" s="3">
        <f t="shared" si="183"/>
        <v>7.1363168109480953E-3</v>
      </c>
      <c r="AE222" s="3">
        <f t="shared" si="183"/>
        <v>4.0322855392090767E-3</v>
      </c>
      <c r="AF222" s="3">
        <f t="shared" si="183"/>
        <v>1.3375894729726906E-5</v>
      </c>
      <c r="AG222" s="3"/>
      <c r="AH222" s="3"/>
    </row>
    <row r="223" spans="1:34" x14ac:dyDescent="0.25">
      <c r="B223" s="3">
        <f t="shared" ref="B223:AF223" si="184">$C31*EXP(-B$207/$A31/EXP(-$D$126))</f>
        <v>4.6601949201853935E-3</v>
      </c>
      <c r="C223" s="3">
        <f t="shared" si="184"/>
        <v>4.6601949201853935E-3</v>
      </c>
      <c r="D223" s="3">
        <f t="shared" si="184"/>
        <v>4.6601949201853935E-3</v>
      </c>
      <c r="E223" s="3">
        <f t="shared" si="184"/>
        <v>4.6601949201853935E-3</v>
      </c>
      <c r="F223" s="3">
        <f t="shared" si="184"/>
        <v>4.6601949201853935E-3</v>
      </c>
      <c r="G223" s="3">
        <f t="shared" si="184"/>
        <v>4.6601949201853935E-3</v>
      </c>
      <c r="H223" s="3">
        <f t="shared" si="184"/>
        <v>4.6601949201853935E-3</v>
      </c>
      <c r="I223" s="3">
        <f t="shared" si="184"/>
        <v>4.6601949201853935E-3</v>
      </c>
      <c r="J223" s="3">
        <f t="shared" si="184"/>
        <v>4.6601949201853935E-3</v>
      </c>
      <c r="K223" s="3">
        <f t="shared" si="184"/>
        <v>4.6601949201853935E-3</v>
      </c>
      <c r="L223" s="3">
        <f t="shared" si="184"/>
        <v>4.6601949201853935E-3</v>
      </c>
      <c r="M223" s="3">
        <f t="shared" si="184"/>
        <v>4.6601949201853935E-3</v>
      </c>
      <c r="N223" s="3">
        <f t="shared" si="184"/>
        <v>4.6601949201853935E-3</v>
      </c>
      <c r="O223" s="3">
        <f t="shared" si="184"/>
        <v>4.6601949201853935E-3</v>
      </c>
      <c r="P223" s="3">
        <f t="shared" si="184"/>
        <v>4.6601949201853926E-3</v>
      </c>
      <c r="Q223" s="3">
        <f t="shared" si="184"/>
        <v>4.6601949201853909E-3</v>
      </c>
      <c r="R223" s="3">
        <f t="shared" si="184"/>
        <v>4.6601949201853666E-3</v>
      </c>
      <c r="S223" s="3">
        <f t="shared" si="184"/>
        <v>4.6601949201851272E-3</v>
      </c>
      <c r="T223" s="3">
        <f t="shared" si="184"/>
        <v>4.6601949201827272E-3</v>
      </c>
      <c r="U223" s="3">
        <f t="shared" si="184"/>
        <v>4.6601949201587282E-3</v>
      </c>
      <c r="V223" s="3">
        <f t="shared" si="184"/>
        <v>4.6601949199187439E-3</v>
      </c>
      <c r="W223" s="3">
        <f t="shared" si="184"/>
        <v>4.6601949175189014E-3</v>
      </c>
      <c r="X223" s="3">
        <f t="shared" si="184"/>
        <v>4.6601948935204663E-3</v>
      </c>
      <c r="Y223" s="3">
        <f t="shared" si="184"/>
        <v>4.6601946535361326E-3</v>
      </c>
      <c r="Z223" s="3">
        <f t="shared" si="184"/>
        <v>4.6601922536934695E-3</v>
      </c>
      <c r="AA223" s="3">
        <f t="shared" si="184"/>
        <v>4.6601682553348159E-3</v>
      </c>
      <c r="AB223" s="3">
        <f t="shared" si="184"/>
        <v>4.6599282785452422E-3</v>
      </c>
      <c r="AC223" s="3">
        <f t="shared" si="184"/>
        <v>4.6575291902168168E-3</v>
      </c>
      <c r="AD223" s="3">
        <f t="shared" si="184"/>
        <v>4.6336061343587075E-3</v>
      </c>
      <c r="AE223" s="3">
        <f t="shared" si="184"/>
        <v>4.4010308425663364E-3</v>
      </c>
      <c r="AF223" s="3">
        <f t="shared" si="184"/>
        <v>2.6297071184951185E-3</v>
      </c>
      <c r="AG223" s="3"/>
      <c r="AH223" s="3"/>
    </row>
    <row r="224" spans="1:34" x14ac:dyDescent="0.25">
      <c r="B224" s="3">
        <f t="shared" ref="B224:AF224" si="185">$C32*EXP(-B$207/$A32/EXP(-$D$126))</f>
        <v>1.548728015482176E-3</v>
      </c>
      <c r="C224" s="3">
        <f t="shared" si="185"/>
        <v>1.548728015482176E-3</v>
      </c>
      <c r="D224" s="3">
        <f t="shared" si="185"/>
        <v>1.548728015482176E-3</v>
      </c>
      <c r="E224" s="3">
        <f t="shared" si="185"/>
        <v>1.548728015482176E-3</v>
      </c>
      <c r="F224" s="3">
        <f t="shared" si="185"/>
        <v>1.548728015482176E-3</v>
      </c>
      <c r="G224" s="3">
        <f t="shared" si="185"/>
        <v>1.548728015482176E-3</v>
      </c>
      <c r="H224" s="3">
        <f t="shared" si="185"/>
        <v>1.548728015482176E-3</v>
      </c>
      <c r="I224" s="3">
        <f t="shared" si="185"/>
        <v>1.548728015482176E-3</v>
      </c>
      <c r="J224" s="3">
        <f t="shared" si="185"/>
        <v>1.548728015482176E-3</v>
      </c>
      <c r="K224" s="3">
        <f t="shared" si="185"/>
        <v>1.548728015482176E-3</v>
      </c>
      <c r="L224" s="3">
        <f t="shared" si="185"/>
        <v>1.548728015482176E-3</v>
      </c>
      <c r="M224" s="3">
        <f t="shared" si="185"/>
        <v>1.548728015482176E-3</v>
      </c>
      <c r="N224" s="3">
        <f t="shared" si="185"/>
        <v>1.548728015482176E-3</v>
      </c>
      <c r="O224" s="3">
        <f t="shared" si="185"/>
        <v>1.548728015482176E-3</v>
      </c>
      <c r="P224" s="3">
        <f t="shared" si="185"/>
        <v>1.548728015482176E-3</v>
      </c>
      <c r="Q224" s="3">
        <f t="shared" si="185"/>
        <v>1.548728015482176E-3</v>
      </c>
      <c r="R224" s="3">
        <f t="shared" si="185"/>
        <v>1.5487280154821751E-3</v>
      </c>
      <c r="S224" s="3">
        <f t="shared" si="185"/>
        <v>1.5487280154821681E-3</v>
      </c>
      <c r="T224" s="3">
        <f t="shared" si="185"/>
        <v>1.5487280154820959E-3</v>
      </c>
      <c r="U224" s="3">
        <f t="shared" si="185"/>
        <v>1.5487280154813767E-3</v>
      </c>
      <c r="V224" s="3">
        <f t="shared" si="185"/>
        <v>1.5487280154741821E-3</v>
      </c>
      <c r="W224" s="3">
        <f t="shared" si="185"/>
        <v>1.5487280154022371E-3</v>
      </c>
      <c r="X224" s="3">
        <f t="shared" si="185"/>
        <v>1.548728014682787E-3</v>
      </c>
      <c r="Y224" s="3">
        <f t="shared" si="185"/>
        <v>1.5487280074882881E-3</v>
      </c>
      <c r="Z224" s="3">
        <f t="shared" si="185"/>
        <v>1.548727935543298E-3</v>
      </c>
      <c r="AA224" s="3">
        <f t="shared" si="185"/>
        <v>1.5487272160935805E-3</v>
      </c>
      <c r="AB224" s="3">
        <f t="shared" si="185"/>
        <v>1.5487200216147887E-3</v>
      </c>
      <c r="AC224" s="3">
        <f t="shared" si="185"/>
        <v>1.5486480786650184E-3</v>
      </c>
      <c r="AD224" s="3">
        <f t="shared" si="185"/>
        <v>1.5479288329504849E-3</v>
      </c>
      <c r="AE224" s="3">
        <f t="shared" si="185"/>
        <v>1.5407547225724939E-3</v>
      </c>
      <c r="AF224" s="3">
        <f t="shared" si="185"/>
        <v>1.4708171489821913E-3</v>
      </c>
      <c r="AG224" s="3"/>
      <c r="AH224" s="3"/>
    </row>
    <row r="225" spans="2:34" x14ac:dyDescent="0.25">
      <c r="B225" s="3">
        <f t="shared" ref="B225:AF225" si="186">$C33*EXP(-B$207/$A33/EXP(-$D$126))</f>
        <v>1.7981576820785483E-3</v>
      </c>
      <c r="C225" s="3">
        <f t="shared" si="186"/>
        <v>1.7981576820785483E-3</v>
      </c>
      <c r="D225" s="3">
        <f t="shared" si="186"/>
        <v>1.7981576820785483E-3</v>
      </c>
      <c r="E225" s="3">
        <f t="shared" si="186"/>
        <v>1.7981576820785483E-3</v>
      </c>
      <c r="F225" s="3">
        <f t="shared" si="186"/>
        <v>1.7981576820785483E-3</v>
      </c>
      <c r="G225" s="3">
        <f t="shared" si="186"/>
        <v>1.7981576820785483E-3</v>
      </c>
      <c r="H225" s="3">
        <f t="shared" si="186"/>
        <v>1.7981576820785483E-3</v>
      </c>
      <c r="I225" s="3">
        <f t="shared" si="186"/>
        <v>1.7981576820785483E-3</v>
      </c>
      <c r="J225" s="3">
        <f t="shared" si="186"/>
        <v>1.7981576820785483E-3</v>
      </c>
      <c r="K225" s="3">
        <f t="shared" si="186"/>
        <v>1.7981576820785483E-3</v>
      </c>
      <c r="L225" s="3">
        <f t="shared" si="186"/>
        <v>1.7981576820785483E-3</v>
      </c>
      <c r="M225" s="3">
        <f t="shared" si="186"/>
        <v>1.7981576820785483E-3</v>
      </c>
      <c r="N225" s="3">
        <f t="shared" si="186"/>
        <v>1.7981576820785483E-3</v>
      </c>
      <c r="O225" s="3">
        <f t="shared" si="186"/>
        <v>1.7981576820785483E-3</v>
      </c>
      <c r="P225" s="3">
        <f t="shared" si="186"/>
        <v>1.7981576820785483E-3</v>
      </c>
      <c r="Q225" s="3">
        <f t="shared" si="186"/>
        <v>1.7981576820785483E-3</v>
      </c>
      <c r="R225" s="3">
        <f t="shared" si="186"/>
        <v>1.7981576820785483E-3</v>
      </c>
      <c r="S225" s="3">
        <f t="shared" si="186"/>
        <v>1.7981576820785474E-3</v>
      </c>
      <c r="T225" s="3">
        <f t="shared" si="186"/>
        <v>1.7981576820785398E-3</v>
      </c>
      <c r="U225" s="3">
        <f t="shared" si="186"/>
        <v>1.7981576820784646E-3</v>
      </c>
      <c r="V225" s="3">
        <f t="shared" si="186"/>
        <v>1.798157682077711E-3</v>
      </c>
      <c r="W225" s="3">
        <f t="shared" si="186"/>
        <v>1.7981576820701758E-3</v>
      </c>
      <c r="X225" s="3">
        <f t="shared" si="186"/>
        <v>1.7981576819948229E-3</v>
      </c>
      <c r="Y225" s="3">
        <f t="shared" si="186"/>
        <v>1.7981576812412942E-3</v>
      </c>
      <c r="Z225" s="3">
        <f t="shared" si="186"/>
        <v>1.7981576737060075E-3</v>
      </c>
      <c r="AA225" s="3">
        <f t="shared" si="186"/>
        <v>1.798157598353143E-3</v>
      </c>
      <c r="AB225" s="3">
        <f t="shared" si="186"/>
        <v>1.7981568448246694E-3</v>
      </c>
      <c r="AC225" s="3">
        <f t="shared" si="186"/>
        <v>1.7981493095573029E-3</v>
      </c>
      <c r="AD225" s="3">
        <f t="shared" si="186"/>
        <v>1.7980739586203479E-3</v>
      </c>
      <c r="AE225" s="3">
        <f t="shared" si="186"/>
        <v>1.7973206228947467E-3</v>
      </c>
      <c r="AF225" s="3">
        <f t="shared" si="186"/>
        <v>1.7898046031402908E-3</v>
      </c>
      <c r="AG225" s="3"/>
      <c r="AH225" s="3"/>
    </row>
    <row r="226" spans="2:34" x14ac:dyDescent="0.25">
      <c r="B226" s="3">
        <f t="shared" ref="B226:AF226" si="187">$C34*EXP(-B$207/$A34/EXP(-$D$126))</f>
        <v>4.3198756825701184E-3</v>
      </c>
      <c r="C226" s="3">
        <f t="shared" si="187"/>
        <v>4.3198756825701184E-3</v>
      </c>
      <c r="D226" s="3">
        <f t="shared" si="187"/>
        <v>4.3198756825701184E-3</v>
      </c>
      <c r="E226" s="3">
        <f t="shared" si="187"/>
        <v>4.3198756825701184E-3</v>
      </c>
      <c r="F226" s="3">
        <f t="shared" si="187"/>
        <v>4.3198756825701184E-3</v>
      </c>
      <c r="G226" s="3">
        <f t="shared" si="187"/>
        <v>4.3198756825701184E-3</v>
      </c>
      <c r="H226" s="3">
        <f t="shared" si="187"/>
        <v>4.3198756825701184E-3</v>
      </c>
      <c r="I226" s="3">
        <f t="shared" si="187"/>
        <v>4.3198756825701184E-3</v>
      </c>
      <c r="J226" s="3">
        <f t="shared" si="187"/>
        <v>4.3198756825701184E-3</v>
      </c>
      <c r="K226" s="3">
        <f t="shared" si="187"/>
        <v>4.3198756825701184E-3</v>
      </c>
      <c r="L226" s="3">
        <f t="shared" si="187"/>
        <v>4.3198756825701184E-3</v>
      </c>
      <c r="M226" s="3">
        <f t="shared" si="187"/>
        <v>4.3198756825701184E-3</v>
      </c>
      <c r="N226" s="3">
        <f t="shared" si="187"/>
        <v>4.3198756825701184E-3</v>
      </c>
      <c r="O226" s="3">
        <f t="shared" si="187"/>
        <v>4.3198756825701184E-3</v>
      </c>
      <c r="P226" s="3">
        <f t="shared" si="187"/>
        <v>4.3198756825701184E-3</v>
      </c>
      <c r="Q226" s="3">
        <f t="shared" si="187"/>
        <v>4.3198756825701184E-3</v>
      </c>
      <c r="R226" s="3">
        <f t="shared" si="187"/>
        <v>4.3198756825701184E-3</v>
      </c>
      <c r="S226" s="3">
        <f t="shared" si="187"/>
        <v>4.3198756825701184E-3</v>
      </c>
      <c r="T226" s="3">
        <f t="shared" si="187"/>
        <v>4.3198756825701167E-3</v>
      </c>
      <c r="U226" s="3">
        <f t="shared" si="187"/>
        <v>4.3198756825701002E-3</v>
      </c>
      <c r="V226" s="3">
        <f t="shared" si="187"/>
        <v>4.3198756825699371E-3</v>
      </c>
      <c r="W226" s="3">
        <f t="shared" si="187"/>
        <v>4.3198756825683039E-3</v>
      </c>
      <c r="X226" s="3">
        <f t="shared" si="187"/>
        <v>4.3198756825519732E-3</v>
      </c>
      <c r="Y226" s="3">
        <f t="shared" si="187"/>
        <v>4.3198756823886724E-3</v>
      </c>
      <c r="Z226" s="3">
        <f t="shared" si="187"/>
        <v>4.3198756807556584E-3</v>
      </c>
      <c r="AA226" s="3">
        <f t="shared" si="187"/>
        <v>4.3198756644255215E-3</v>
      </c>
      <c r="AB226" s="3">
        <f t="shared" si="187"/>
        <v>4.3198755011241482E-3</v>
      </c>
      <c r="AC226" s="3">
        <f t="shared" si="187"/>
        <v>4.3198738681107596E-3</v>
      </c>
      <c r="AD226" s="3">
        <f t="shared" si="187"/>
        <v>4.3198575380108233E-3</v>
      </c>
      <c r="AE226" s="3">
        <f t="shared" si="187"/>
        <v>4.319694240406657E-3</v>
      </c>
      <c r="AF226" s="3">
        <f t="shared" si="187"/>
        <v>4.3180616038367451E-3</v>
      </c>
      <c r="AG226" s="3"/>
      <c r="AH226" s="3"/>
    </row>
    <row r="227" spans="2:34" x14ac:dyDescent="0.25">
      <c r="B227" s="3">
        <f t="shared" ref="B227:AF227" si="188">$C35*EXP(-B$207/$A35/EXP(-$D$126))</f>
        <v>3.4800152588185828E-3</v>
      </c>
      <c r="C227" s="3">
        <f t="shared" si="188"/>
        <v>3.4800152588185828E-3</v>
      </c>
      <c r="D227" s="3">
        <f t="shared" si="188"/>
        <v>3.4800152588185828E-3</v>
      </c>
      <c r="E227" s="3">
        <f t="shared" si="188"/>
        <v>3.4800152588185828E-3</v>
      </c>
      <c r="F227" s="3">
        <f t="shared" si="188"/>
        <v>3.4800152588185828E-3</v>
      </c>
      <c r="G227" s="3">
        <f t="shared" si="188"/>
        <v>3.4800152588185828E-3</v>
      </c>
      <c r="H227" s="3">
        <f t="shared" si="188"/>
        <v>3.4800152588185828E-3</v>
      </c>
      <c r="I227" s="3">
        <f t="shared" si="188"/>
        <v>3.4800152588185828E-3</v>
      </c>
      <c r="J227" s="3">
        <f t="shared" si="188"/>
        <v>3.4800152588185828E-3</v>
      </c>
      <c r="K227" s="3">
        <f t="shared" si="188"/>
        <v>3.4800152588185828E-3</v>
      </c>
      <c r="L227" s="3">
        <f t="shared" si="188"/>
        <v>3.4800152588185828E-3</v>
      </c>
      <c r="M227" s="3">
        <f t="shared" si="188"/>
        <v>3.4800152588185828E-3</v>
      </c>
      <c r="N227" s="3">
        <f t="shared" si="188"/>
        <v>3.4800152588185828E-3</v>
      </c>
      <c r="O227" s="3">
        <f t="shared" si="188"/>
        <v>3.4800152588185828E-3</v>
      </c>
      <c r="P227" s="3">
        <f t="shared" si="188"/>
        <v>3.4800152588185828E-3</v>
      </c>
      <c r="Q227" s="3">
        <f t="shared" si="188"/>
        <v>3.4800152588185828E-3</v>
      </c>
      <c r="R227" s="3">
        <f t="shared" si="188"/>
        <v>3.4800152588185828E-3</v>
      </c>
      <c r="S227" s="3">
        <f t="shared" si="188"/>
        <v>3.4800152588185828E-3</v>
      </c>
      <c r="T227" s="3">
        <f t="shared" si="188"/>
        <v>3.4800152588185828E-3</v>
      </c>
      <c r="U227" s="3">
        <f t="shared" si="188"/>
        <v>3.4800152588185815E-3</v>
      </c>
      <c r="V227" s="3">
        <f t="shared" si="188"/>
        <v>3.4800152588185698E-3</v>
      </c>
      <c r="W227" s="3">
        <f t="shared" si="188"/>
        <v>3.480015258818451E-3</v>
      </c>
      <c r="X227" s="3">
        <f t="shared" si="188"/>
        <v>3.480015258817264E-3</v>
      </c>
      <c r="Y227" s="3">
        <f t="shared" si="188"/>
        <v>3.4800152588053972E-3</v>
      </c>
      <c r="Z227" s="3">
        <f t="shared" si="188"/>
        <v>3.4800152586867256E-3</v>
      </c>
      <c r="AA227" s="3">
        <f t="shared" si="188"/>
        <v>3.4800152575000108E-3</v>
      </c>
      <c r="AB227" s="3">
        <f t="shared" si="188"/>
        <v>3.4800152456328638E-3</v>
      </c>
      <c r="AC227" s="3">
        <f t="shared" si="188"/>
        <v>3.4800151269613923E-3</v>
      </c>
      <c r="AD227" s="3">
        <f t="shared" si="188"/>
        <v>3.4800139402469013E-3</v>
      </c>
      <c r="AE227" s="3">
        <f t="shared" si="188"/>
        <v>3.4800020731242491E-3</v>
      </c>
      <c r="AF227" s="3">
        <f t="shared" si="188"/>
        <v>3.4798834041234366E-3</v>
      </c>
      <c r="AG227" s="3"/>
      <c r="AH227" s="3"/>
    </row>
    <row r="228" spans="2:34" x14ac:dyDescent="0.25">
      <c r="B228" s="3">
        <f t="shared" ref="B228:AF228" si="189">$C36*EXP(-B$207/$A36/EXP(-$D$126))</f>
        <v>2.0367681547460849E-3</v>
      </c>
      <c r="C228" s="3">
        <f t="shared" si="189"/>
        <v>2.0367681547460849E-3</v>
      </c>
      <c r="D228" s="3">
        <f t="shared" si="189"/>
        <v>2.0367681547460849E-3</v>
      </c>
      <c r="E228" s="3">
        <f t="shared" si="189"/>
        <v>2.0367681547460849E-3</v>
      </c>
      <c r="F228" s="3">
        <f t="shared" si="189"/>
        <v>2.0367681547460849E-3</v>
      </c>
      <c r="G228" s="3">
        <f t="shared" si="189"/>
        <v>2.0367681547460849E-3</v>
      </c>
      <c r="H228" s="3">
        <f t="shared" si="189"/>
        <v>2.0367681547460849E-3</v>
      </c>
      <c r="I228" s="3">
        <f t="shared" si="189"/>
        <v>2.0367681547460849E-3</v>
      </c>
      <c r="J228" s="3">
        <f t="shared" si="189"/>
        <v>2.0367681547460849E-3</v>
      </c>
      <c r="K228" s="3">
        <f t="shared" si="189"/>
        <v>2.0367681547460849E-3</v>
      </c>
      <c r="L228" s="3">
        <f t="shared" si="189"/>
        <v>2.0367681547460849E-3</v>
      </c>
      <c r="M228" s="3">
        <f t="shared" si="189"/>
        <v>2.0367681547460849E-3</v>
      </c>
      <c r="N228" s="3">
        <f t="shared" si="189"/>
        <v>2.0367681547460849E-3</v>
      </c>
      <c r="O228" s="3">
        <f t="shared" si="189"/>
        <v>2.0367681547460849E-3</v>
      </c>
      <c r="P228" s="3">
        <f t="shared" si="189"/>
        <v>2.0367681547460849E-3</v>
      </c>
      <c r="Q228" s="3">
        <f t="shared" si="189"/>
        <v>2.0367681547460849E-3</v>
      </c>
      <c r="R228" s="3">
        <f t="shared" si="189"/>
        <v>2.0367681547460849E-3</v>
      </c>
      <c r="S228" s="3">
        <f t="shared" si="189"/>
        <v>2.0367681547460849E-3</v>
      </c>
      <c r="T228" s="3">
        <f t="shared" si="189"/>
        <v>2.0367681547460849E-3</v>
      </c>
      <c r="U228" s="3">
        <f t="shared" si="189"/>
        <v>2.0367681547460849E-3</v>
      </c>
      <c r="V228" s="3">
        <f t="shared" si="189"/>
        <v>2.036768154746084E-3</v>
      </c>
      <c r="W228" s="3">
        <f t="shared" si="189"/>
        <v>2.0367681547460779E-3</v>
      </c>
      <c r="X228" s="3">
        <f t="shared" si="189"/>
        <v>2.036768154746015E-3</v>
      </c>
      <c r="Y228" s="3">
        <f t="shared" si="189"/>
        <v>2.0367681547453888E-3</v>
      </c>
      <c r="Z228" s="3">
        <f t="shared" si="189"/>
        <v>2.0367681547391234E-3</v>
      </c>
      <c r="AA228" s="3">
        <f t="shared" si="189"/>
        <v>2.0367681546764687E-3</v>
      </c>
      <c r="AB228" s="3">
        <f t="shared" si="189"/>
        <v>2.0367681540499221E-3</v>
      </c>
      <c r="AC228" s="3">
        <f t="shared" si="189"/>
        <v>2.0367681477844561E-3</v>
      </c>
      <c r="AD228" s="3">
        <f t="shared" si="189"/>
        <v>2.0367680851297977E-3</v>
      </c>
      <c r="AE228" s="3">
        <f t="shared" si="189"/>
        <v>2.0367674585833194E-3</v>
      </c>
      <c r="AF228" s="3">
        <f t="shared" si="189"/>
        <v>2.036761193129137E-3</v>
      </c>
      <c r="AG228" s="3"/>
      <c r="AH228" s="3"/>
    </row>
    <row r="229" spans="2:34" x14ac:dyDescent="0.25">
      <c r="B229" s="3">
        <f t="shared" ref="B229:AF229" si="190">$C37*EXP(-B$207/$A37/EXP(-$D$126))</f>
        <v>1.2781847248259422E-3</v>
      </c>
      <c r="C229" s="3">
        <f t="shared" si="190"/>
        <v>1.2781847248259422E-3</v>
      </c>
      <c r="D229" s="3">
        <f t="shared" si="190"/>
        <v>1.2781847248259422E-3</v>
      </c>
      <c r="E229" s="3">
        <f t="shared" si="190"/>
        <v>1.2781847248259422E-3</v>
      </c>
      <c r="F229" s="3">
        <f t="shared" si="190"/>
        <v>1.2781847248259422E-3</v>
      </c>
      <c r="G229" s="3">
        <f t="shared" si="190"/>
        <v>1.2781847248259422E-3</v>
      </c>
      <c r="H229" s="3">
        <f t="shared" si="190"/>
        <v>1.2781847248259422E-3</v>
      </c>
      <c r="I229" s="3">
        <f t="shared" si="190"/>
        <v>1.2781847248259422E-3</v>
      </c>
      <c r="J229" s="3">
        <f t="shared" si="190"/>
        <v>1.2781847248259422E-3</v>
      </c>
      <c r="K229" s="3">
        <f t="shared" si="190"/>
        <v>1.2781847248259422E-3</v>
      </c>
      <c r="L229" s="3">
        <f t="shared" si="190"/>
        <v>1.2781847248259422E-3</v>
      </c>
      <c r="M229" s="3">
        <f t="shared" si="190"/>
        <v>1.2781847248259422E-3</v>
      </c>
      <c r="N229" s="3">
        <f t="shared" si="190"/>
        <v>1.2781847248259422E-3</v>
      </c>
      <c r="O229" s="3">
        <f t="shared" si="190"/>
        <v>1.2781847248259422E-3</v>
      </c>
      <c r="P229" s="3">
        <f t="shared" si="190"/>
        <v>1.2781847248259422E-3</v>
      </c>
      <c r="Q229" s="3">
        <f t="shared" si="190"/>
        <v>1.2781847248259422E-3</v>
      </c>
      <c r="R229" s="3">
        <f t="shared" si="190"/>
        <v>1.2781847248259422E-3</v>
      </c>
      <c r="S229" s="3">
        <f t="shared" si="190"/>
        <v>1.2781847248259422E-3</v>
      </c>
      <c r="T229" s="3">
        <f t="shared" si="190"/>
        <v>1.2781847248259422E-3</v>
      </c>
      <c r="U229" s="3">
        <f t="shared" si="190"/>
        <v>1.2781847248259422E-3</v>
      </c>
      <c r="V229" s="3">
        <f t="shared" si="190"/>
        <v>1.2781847248259422E-3</v>
      </c>
      <c r="W229" s="3">
        <f t="shared" si="190"/>
        <v>1.2781847248259418E-3</v>
      </c>
      <c r="X229" s="3">
        <f t="shared" si="190"/>
        <v>1.2781847248259383E-3</v>
      </c>
      <c r="Y229" s="3">
        <f t="shared" si="190"/>
        <v>1.2781847248259028E-3</v>
      </c>
      <c r="Z229" s="3">
        <f t="shared" si="190"/>
        <v>1.2781847248255482E-3</v>
      </c>
      <c r="AA229" s="3">
        <f t="shared" si="190"/>
        <v>1.2781847248220012E-3</v>
      </c>
      <c r="AB229" s="3">
        <f t="shared" si="190"/>
        <v>1.2781847247865319E-3</v>
      </c>
      <c r="AC229" s="3">
        <f t="shared" si="190"/>
        <v>1.2781847244318395E-3</v>
      </c>
      <c r="AD229" s="3">
        <f t="shared" si="190"/>
        <v>1.2781847208849146E-3</v>
      </c>
      <c r="AE229" s="3">
        <f t="shared" si="190"/>
        <v>1.2781846854156662E-3</v>
      </c>
      <c r="AF229" s="3">
        <f t="shared" si="190"/>
        <v>1.2781843307232365E-3</v>
      </c>
      <c r="AG229" s="3"/>
      <c r="AH229" s="3"/>
    </row>
    <row r="230" spans="2:34" x14ac:dyDescent="0.25">
      <c r="B230" s="3">
        <f t="shared" ref="B230:AF230" si="191">$C38*EXP(-B$207/$A38/EXP(-$D$126))</f>
        <v>3.444457645749161E-4</v>
      </c>
      <c r="C230" s="3">
        <f t="shared" si="191"/>
        <v>3.444457645749161E-4</v>
      </c>
      <c r="D230" s="3">
        <f t="shared" si="191"/>
        <v>3.444457645749161E-4</v>
      </c>
      <c r="E230" s="3">
        <f t="shared" si="191"/>
        <v>3.444457645749161E-4</v>
      </c>
      <c r="F230" s="3">
        <f t="shared" si="191"/>
        <v>3.444457645749161E-4</v>
      </c>
      <c r="G230" s="3">
        <f t="shared" si="191"/>
        <v>3.444457645749161E-4</v>
      </c>
      <c r="H230" s="3">
        <f t="shared" si="191"/>
        <v>3.444457645749161E-4</v>
      </c>
      <c r="I230" s="3">
        <f t="shared" si="191"/>
        <v>3.444457645749161E-4</v>
      </c>
      <c r="J230" s="3">
        <f t="shared" si="191"/>
        <v>3.444457645749161E-4</v>
      </c>
      <c r="K230" s="3">
        <f t="shared" si="191"/>
        <v>3.444457645749161E-4</v>
      </c>
      <c r="L230" s="3">
        <f t="shared" si="191"/>
        <v>3.444457645749161E-4</v>
      </c>
      <c r="M230" s="3">
        <f t="shared" si="191"/>
        <v>3.444457645749161E-4</v>
      </c>
      <c r="N230" s="3">
        <f t="shared" si="191"/>
        <v>3.444457645749161E-4</v>
      </c>
      <c r="O230" s="3">
        <f t="shared" si="191"/>
        <v>3.444457645749161E-4</v>
      </c>
      <c r="P230" s="3">
        <f t="shared" si="191"/>
        <v>3.444457645749161E-4</v>
      </c>
      <c r="Q230" s="3">
        <f t="shared" si="191"/>
        <v>3.444457645749161E-4</v>
      </c>
      <c r="R230" s="3">
        <f t="shared" si="191"/>
        <v>3.444457645749161E-4</v>
      </c>
      <c r="S230" s="3">
        <f t="shared" si="191"/>
        <v>3.444457645749161E-4</v>
      </c>
      <c r="T230" s="3">
        <f t="shared" si="191"/>
        <v>3.444457645749161E-4</v>
      </c>
      <c r="U230" s="3">
        <f t="shared" si="191"/>
        <v>3.444457645749161E-4</v>
      </c>
      <c r="V230" s="3">
        <f t="shared" si="191"/>
        <v>3.444457645749161E-4</v>
      </c>
      <c r="W230" s="3">
        <f t="shared" si="191"/>
        <v>3.444457645749161E-4</v>
      </c>
      <c r="X230" s="3">
        <f t="shared" si="191"/>
        <v>3.4444576457491599E-4</v>
      </c>
      <c r="Y230" s="3">
        <f t="shared" si="191"/>
        <v>3.4444576457491513E-4</v>
      </c>
      <c r="Z230" s="3">
        <f t="shared" si="191"/>
        <v>3.4444576457490651E-4</v>
      </c>
      <c r="AA230" s="3">
        <f t="shared" si="191"/>
        <v>3.4444576457482031E-4</v>
      </c>
      <c r="AB230" s="3">
        <f t="shared" si="191"/>
        <v>3.4444576457395805E-4</v>
      </c>
      <c r="AC230" s="3">
        <f t="shared" si="191"/>
        <v>3.4444576456533571E-4</v>
      </c>
      <c r="AD230" s="3">
        <f t="shared" si="191"/>
        <v>3.4444576447911215E-4</v>
      </c>
      <c r="AE230" s="3">
        <f t="shared" si="191"/>
        <v>3.4444576361687684E-4</v>
      </c>
      <c r="AF230" s="3">
        <f t="shared" si="191"/>
        <v>3.4444575499452379E-4</v>
      </c>
      <c r="AG230" s="3"/>
      <c r="AH230" s="3"/>
    </row>
    <row r="231" spans="2:34" x14ac:dyDescent="0.25">
      <c r="B231" s="3">
        <f t="shared" ref="B231:AF231" si="192">$C39*EXP(-B$207/$A39/EXP(-$D$126))</f>
        <v>6.1014336776090067E-4</v>
      </c>
      <c r="C231" s="3">
        <f t="shared" si="192"/>
        <v>6.1014336776090067E-4</v>
      </c>
      <c r="D231" s="3">
        <f t="shared" si="192"/>
        <v>6.1014336776090067E-4</v>
      </c>
      <c r="E231" s="3">
        <f t="shared" si="192"/>
        <v>6.1014336776090067E-4</v>
      </c>
      <c r="F231" s="3">
        <f t="shared" si="192"/>
        <v>6.1014336776090067E-4</v>
      </c>
      <c r="G231" s="3">
        <f t="shared" si="192"/>
        <v>6.1014336776090067E-4</v>
      </c>
      <c r="H231" s="3">
        <f t="shared" si="192"/>
        <v>6.1014336776090067E-4</v>
      </c>
      <c r="I231" s="3">
        <f t="shared" si="192"/>
        <v>6.1014336776090067E-4</v>
      </c>
      <c r="J231" s="3">
        <f t="shared" si="192"/>
        <v>6.1014336776090067E-4</v>
      </c>
      <c r="K231" s="3">
        <f t="shared" si="192"/>
        <v>6.1014336776090067E-4</v>
      </c>
      <c r="L231" s="3">
        <f t="shared" si="192"/>
        <v>6.1014336776090067E-4</v>
      </c>
      <c r="M231" s="3">
        <f t="shared" si="192"/>
        <v>6.1014336776090067E-4</v>
      </c>
      <c r="N231" s="3">
        <f t="shared" si="192"/>
        <v>6.1014336776090067E-4</v>
      </c>
      <c r="O231" s="3">
        <f t="shared" si="192"/>
        <v>6.1014336776090067E-4</v>
      </c>
      <c r="P231" s="3">
        <f t="shared" si="192"/>
        <v>6.1014336776090067E-4</v>
      </c>
      <c r="Q231" s="3">
        <f t="shared" si="192"/>
        <v>6.1014336776090067E-4</v>
      </c>
      <c r="R231" s="3">
        <f t="shared" si="192"/>
        <v>6.1014336776090067E-4</v>
      </c>
      <c r="S231" s="3">
        <f t="shared" si="192"/>
        <v>6.1014336776090067E-4</v>
      </c>
      <c r="T231" s="3">
        <f t="shared" si="192"/>
        <v>6.1014336776090067E-4</v>
      </c>
      <c r="U231" s="3">
        <f t="shared" si="192"/>
        <v>6.1014336776090067E-4</v>
      </c>
      <c r="V231" s="3">
        <f t="shared" si="192"/>
        <v>6.1014336776090067E-4</v>
      </c>
      <c r="W231" s="3">
        <f t="shared" si="192"/>
        <v>6.1014336776090067E-4</v>
      </c>
      <c r="X231" s="3">
        <f t="shared" si="192"/>
        <v>6.1014336776090057E-4</v>
      </c>
      <c r="Y231" s="3">
        <f t="shared" si="192"/>
        <v>6.1014336776090024E-4</v>
      </c>
      <c r="Z231" s="3">
        <f t="shared" si="192"/>
        <v>6.1014336776089601E-4</v>
      </c>
      <c r="AA231" s="3">
        <f t="shared" si="192"/>
        <v>6.1014336776085373E-4</v>
      </c>
      <c r="AB231" s="3">
        <f t="shared" si="192"/>
        <v>6.1014336776043132E-4</v>
      </c>
      <c r="AC231" s="3">
        <f t="shared" si="192"/>
        <v>6.1014336775620705E-4</v>
      </c>
      <c r="AD231" s="3">
        <f t="shared" si="192"/>
        <v>6.1014336771396459E-4</v>
      </c>
      <c r="AE231" s="3">
        <f t="shared" si="192"/>
        <v>6.1014336729153947E-4</v>
      </c>
      <c r="AF231" s="3">
        <f t="shared" si="192"/>
        <v>6.1014336306728842E-4</v>
      </c>
      <c r="AG231" s="3"/>
      <c r="AH231" s="3"/>
    </row>
    <row r="232" spans="2:34" x14ac:dyDescent="0.25">
      <c r="B232" s="3">
        <f t="shared" ref="B232:AF232" si="193">$C40*EXP(-B$207/$A40/EXP(-$D$126))</f>
        <v>2.2250933466635417E-4</v>
      </c>
      <c r="C232" s="3">
        <f t="shared" si="193"/>
        <v>2.2250933466635417E-4</v>
      </c>
      <c r="D232" s="3">
        <f t="shared" si="193"/>
        <v>2.2250933466635417E-4</v>
      </c>
      <c r="E232" s="3">
        <f t="shared" si="193"/>
        <v>2.2250933466635417E-4</v>
      </c>
      <c r="F232" s="3">
        <f t="shared" si="193"/>
        <v>2.2250933466635417E-4</v>
      </c>
      <c r="G232" s="3">
        <f t="shared" si="193"/>
        <v>2.2250933466635417E-4</v>
      </c>
      <c r="H232" s="3">
        <f t="shared" si="193"/>
        <v>2.2250933466635417E-4</v>
      </c>
      <c r="I232" s="3">
        <f t="shared" si="193"/>
        <v>2.2250933466635417E-4</v>
      </c>
      <c r="J232" s="3">
        <f t="shared" si="193"/>
        <v>2.2250933466635417E-4</v>
      </c>
      <c r="K232" s="3">
        <f t="shared" si="193"/>
        <v>2.2250933466635417E-4</v>
      </c>
      <c r="L232" s="3">
        <f t="shared" si="193"/>
        <v>2.2250933466635417E-4</v>
      </c>
      <c r="M232" s="3">
        <f t="shared" si="193"/>
        <v>2.2250933466635417E-4</v>
      </c>
      <c r="N232" s="3">
        <f t="shared" si="193"/>
        <v>2.2250933466635417E-4</v>
      </c>
      <c r="O232" s="3">
        <f t="shared" si="193"/>
        <v>2.2250933466635417E-4</v>
      </c>
      <c r="P232" s="3">
        <f t="shared" si="193"/>
        <v>2.2250933466635417E-4</v>
      </c>
      <c r="Q232" s="3">
        <f t="shared" si="193"/>
        <v>2.2250933466635417E-4</v>
      </c>
      <c r="R232" s="3">
        <f t="shared" si="193"/>
        <v>2.2250933466635417E-4</v>
      </c>
      <c r="S232" s="3">
        <f t="shared" si="193"/>
        <v>2.2250933466635417E-4</v>
      </c>
      <c r="T232" s="3">
        <f t="shared" si="193"/>
        <v>2.2250933466635417E-4</v>
      </c>
      <c r="U232" s="3">
        <f t="shared" si="193"/>
        <v>2.2250933466635417E-4</v>
      </c>
      <c r="V232" s="3">
        <f t="shared" si="193"/>
        <v>2.2250933466635417E-4</v>
      </c>
      <c r="W232" s="3">
        <f t="shared" si="193"/>
        <v>2.2250933466635417E-4</v>
      </c>
      <c r="X232" s="3">
        <f t="shared" si="193"/>
        <v>2.2250933466635417E-4</v>
      </c>
      <c r="Y232" s="3">
        <f t="shared" si="193"/>
        <v>2.2250933466635414E-4</v>
      </c>
      <c r="Z232" s="3">
        <f t="shared" si="193"/>
        <v>2.22509334666354E-4</v>
      </c>
      <c r="AA232" s="3">
        <f t="shared" si="193"/>
        <v>2.2250933466635246E-4</v>
      </c>
      <c r="AB232" s="3">
        <f t="shared" si="193"/>
        <v>2.2250933466633704E-4</v>
      </c>
      <c r="AC232" s="3">
        <f t="shared" si="193"/>
        <v>2.22509334666183E-4</v>
      </c>
      <c r="AD232" s="3">
        <f t="shared" si="193"/>
        <v>2.2250933466464248E-4</v>
      </c>
      <c r="AE232" s="3">
        <f t="shared" si="193"/>
        <v>2.2250933464923732E-4</v>
      </c>
      <c r="AF232" s="3">
        <f t="shared" si="193"/>
        <v>2.2250933449518578E-4</v>
      </c>
      <c r="AG232" s="3"/>
      <c r="AH232" s="3"/>
    </row>
    <row r="233" spans="2:34" x14ac:dyDescent="0.25">
      <c r="B233" s="3">
        <f t="shared" ref="B233:AF233" si="194">$C41*EXP(-B$207/$A41/EXP(-$D$126))</f>
        <v>3.0514987252664002E-4</v>
      </c>
      <c r="C233" s="3">
        <f t="shared" si="194"/>
        <v>3.0514987252664002E-4</v>
      </c>
      <c r="D233" s="3">
        <f t="shared" si="194"/>
        <v>3.0514987252664002E-4</v>
      </c>
      <c r="E233" s="3">
        <f t="shared" si="194"/>
        <v>3.0514987252664002E-4</v>
      </c>
      <c r="F233" s="3">
        <f t="shared" si="194"/>
        <v>3.0514987252664002E-4</v>
      </c>
      <c r="G233" s="3">
        <f t="shared" si="194"/>
        <v>3.0514987252664002E-4</v>
      </c>
      <c r="H233" s="3">
        <f t="shared" si="194"/>
        <v>3.0514987252664002E-4</v>
      </c>
      <c r="I233" s="3">
        <f t="shared" si="194"/>
        <v>3.0514987252664002E-4</v>
      </c>
      <c r="J233" s="3">
        <f t="shared" si="194"/>
        <v>3.0514987252664002E-4</v>
      </c>
      <c r="K233" s="3">
        <f t="shared" si="194"/>
        <v>3.0514987252664002E-4</v>
      </c>
      <c r="L233" s="3">
        <f t="shared" si="194"/>
        <v>3.0514987252664002E-4</v>
      </c>
      <c r="M233" s="3">
        <f t="shared" si="194"/>
        <v>3.0514987252664002E-4</v>
      </c>
      <c r="N233" s="3">
        <f t="shared" si="194"/>
        <v>3.0514987252664002E-4</v>
      </c>
      <c r="O233" s="3">
        <f t="shared" si="194"/>
        <v>3.0514987252664002E-4</v>
      </c>
      <c r="P233" s="3">
        <f t="shared" si="194"/>
        <v>3.0514987252664002E-4</v>
      </c>
      <c r="Q233" s="3">
        <f t="shared" si="194"/>
        <v>3.0514987252664002E-4</v>
      </c>
      <c r="R233" s="3">
        <f t="shared" si="194"/>
        <v>3.0514987252664002E-4</v>
      </c>
      <c r="S233" s="3">
        <f t="shared" si="194"/>
        <v>3.0514987252664002E-4</v>
      </c>
      <c r="T233" s="3">
        <f t="shared" si="194"/>
        <v>3.0514987252664002E-4</v>
      </c>
      <c r="U233" s="3">
        <f t="shared" si="194"/>
        <v>3.0514987252664002E-4</v>
      </c>
      <c r="V233" s="3">
        <f t="shared" si="194"/>
        <v>3.0514987252664002E-4</v>
      </c>
      <c r="W233" s="3">
        <f t="shared" si="194"/>
        <v>3.0514987252664002E-4</v>
      </c>
      <c r="X233" s="3">
        <f t="shared" si="194"/>
        <v>3.0514987252664002E-4</v>
      </c>
      <c r="Y233" s="3">
        <f t="shared" si="194"/>
        <v>3.0514987252664002E-4</v>
      </c>
      <c r="Z233" s="3">
        <f t="shared" si="194"/>
        <v>3.0514987252663997E-4</v>
      </c>
      <c r="AA233" s="3">
        <f t="shared" si="194"/>
        <v>3.0514987252663981E-4</v>
      </c>
      <c r="AB233" s="3">
        <f t="shared" si="194"/>
        <v>3.0514987252663769E-4</v>
      </c>
      <c r="AC233" s="3">
        <f t="shared" si="194"/>
        <v>3.0514987252661655E-4</v>
      </c>
      <c r="AD233" s="3">
        <f t="shared" si="194"/>
        <v>3.051498725264053E-4</v>
      </c>
      <c r="AE233" s="3">
        <f t="shared" si="194"/>
        <v>3.0514987252429262E-4</v>
      </c>
      <c r="AF233" s="3">
        <f t="shared" si="194"/>
        <v>3.0514987250316596E-4</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6.2164799219330605E-5</v>
      </c>
      <c r="C235" s="3">
        <f t="shared" si="196"/>
        <v>6.2164799219330605E-5</v>
      </c>
      <c r="D235" s="3">
        <f t="shared" si="196"/>
        <v>6.2164799219330605E-5</v>
      </c>
      <c r="E235" s="3">
        <f t="shared" si="196"/>
        <v>6.2164799219330605E-5</v>
      </c>
      <c r="F235" s="3">
        <f t="shared" si="196"/>
        <v>6.2164799219330605E-5</v>
      </c>
      <c r="G235" s="3">
        <f t="shared" si="196"/>
        <v>6.2164799219330605E-5</v>
      </c>
      <c r="H235" s="3">
        <f t="shared" si="196"/>
        <v>6.2164799219330605E-5</v>
      </c>
      <c r="I235" s="3">
        <f t="shared" si="196"/>
        <v>6.2164799219330605E-5</v>
      </c>
      <c r="J235" s="3">
        <f t="shared" si="196"/>
        <v>6.2164799219330605E-5</v>
      </c>
      <c r="K235" s="3">
        <f t="shared" si="196"/>
        <v>6.2164799219330605E-5</v>
      </c>
      <c r="L235" s="3">
        <f t="shared" si="196"/>
        <v>6.2164799219330605E-5</v>
      </c>
      <c r="M235" s="3">
        <f t="shared" si="196"/>
        <v>6.2164799219330605E-5</v>
      </c>
      <c r="N235" s="3">
        <f t="shared" si="196"/>
        <v>6.2164799219330605E-5</v>
      </c>
      <c r="O235" s="3">
        <f t="shared" si="196"/>
        <v>6.2164799219330605E-5</v>
      </c>
      <c r="P235" s="3">
        <f t="shared" si="196"/>
        <v>6.2164799219330605E-5</v>
      </c>
      <c r="Q235" s="3">
        <f t="shared" si="196"/>
        <v>6.2164799219330605E-5</v>
      </c>
      <c r="R235" s="3">
        <f t="shared" si="196"/>
        <v>6.2164799219330605E-5</v>
      </c>
      <c r="S235" s="3">
        <f t="shared" si="196"/>
        <v>6.2164799219330605E-5</v>
      </c>
      <c r="T235" s="3">
        <f t="shared" si="196"/>
        <v>6.2164799219330605E-5</v>
      </c>
      <c r="U235" s="3">
        <f t="shared" si="196"/>
        <v>6.2164799219330605E-5</v>
      </c>
      <c r="V235" s="3">
        <f t="shared" si="196"/>
        <v>6.2164799219330605E-5</v>
      </c>
      <c r="W235" s="3">
        <f t="shared" si="196"/>
        <v>6.2164799219330605E-5</v>
      </c>
      <c r="X235" s="3">
        <f t="shared" si="196"/>
        <v>6.2164799219330605E-5</v>
      </c>
      <c r="Y235" s="3">
        <f t="shared" si="196"/>
        <v>6.2164799219330605E-5</v>
      </c>
      <c r="Z235" s="3">
        <f t="shared" si="196"/>
        <v>6.2164799219330605E-5</v>
      </c>
      <c r="AA235" s="3">
        <f t="shared" si="196"/>
        <v>6.2164799219330605E-5</v>
      </c>
      <c r="AB235" s="3">
        <f t="shared" si="196"/>
        <v>6.2164799219330592E-5</v>
      </c>
      <c r="AC235" s="3">
        <f t="shared" si="196"/>
        <v>6.2164799219330551E-5</v>
      </c>
      <c r="AD235" s="3">
        <f t="shared" si="196"/>
        <v>6.2164799219330131E-5</v>
      </c>
      <c r="AE235" s="3">
        <f t="shared" si="196"/>
        <v>6.2164799219325821E-5</v>
      </c>
      <c r="AF235" s="3">
        <f t="shared" si="196"/>
        <v>6.2164799219282778E-5</v>
      </c>
      <c r="AG235" s="3"/>
      <c r="AH235" s="3"/>
    </row>
    <row r="236" spans="2:34" x14ac:dyDescent="0.25">
      <c r="B236" s="3">
        <f t="shared" ref="B236:AF236" si="197">$C44*EXP(-B$207/$A44/EXP(-$D$126))</f>
        <v>1.589018825978126E-4</v>
      </c>
      <c r="C236" s="3">
        <f t="shared" si="197"/>
        <v>1.589018825978126E-4</v>
      </c>
      <c r="D236" s="3">
        <f t="shared" si="197"/>
        <v>1.589018825978126E-4</v>
      </c>
      <c r="E236" s="3">
        <f t="shared" si="197"/>
        <v>1.589018825978126E-4</v>
      </c>
      <c r="F236" s="3">
        <f t="shared" si="197"/>
        <v>1.589018825978126E-4</v>
      </c>
      <c r="G236" s="3">
        <f t="shared" si="197"/>
        <v>1.589018825978126E-4</v>
      </c>
      <c r="H236" s="3">
        <f t="shared" si="197"/>
        <v>1.589018825978126E-4</v>
      </c>
      <c r="I236" s="3">
        <f t="shared" si="197"/>
        <v>1.589018825978126E-4</v>
      </c>
      <c r="J236" s="3">
        <f t="shared" si="197"/>
        <v>1.589018825978126E-4</v>
      </c>
      <c r="K236" s="3">
        <f t="shared" si="197"/>
        <v>1.589018825978126E-4</v>
      </c>
      <c r="L236" s="3">
        <f t="shared" si="197"/>
        <v>1.589018825978126E-4</v>
      </c>
      <c r="M236" s="3">
        <f t="shared" si="197"/>
        <v>1.589018825978126E-4</v>
      </c>
      <c r="N236" s="3">
        <f t="shared" si="197"/>
        <v>1.589018825978126E-4</v>
      </c>
      <c r="O236" s="3">
        <f t="shared" si="197"/>
        <v>1.589018825978126E-4</v>
      </c>
      <c r="P236" s="3">
        <f t="shared" si="197"/>
        <v>1.589018825978126E-4</v>
      </c>
      <c r="Q236" s="3">
        <f t="shared" si="197"/>
        <v>1.589018825978126E-4</v>
      </c>
      <c r="R236" s="3">
        <f t="shared" si="197"/>
        <v>1.589018825978126E-4</v>
      </c>
      <c r="S236" s="3">
        <f t="shared" si="197"/>
        <v>1.589018825978126E-4</v>
      </c>
      <c r="T236" s="3">
        <f t="shared" si="197"/>
        <v>1.589018825978126E-4</v>
      </c>
      <c r="U236" s="3">
        <f t="shared" si="197"/>
        <v>1.589018825978126E-4</v>
      </c>
      <c r="V236" s="3">
        <f t="shared" si="197"/>
        <v>1.589018825978126E-4</v>
      </c>
      <c r="W236" s="3">
        <f t="shared" si="197"/>
        <v>1.589018825978126E-4</v>
      </c>
      <c r="X236" s="3">
        <f t="shared" si="197"/>
        <v>1.589018825978126E-4</v>
      </c>
      <c r="Y236" s="3">
        <f t="shared" si="197"/>
        <v>1.589018825978126E-4</v>
      </c>
      <c r="Z236" s="3">
        <f t="shared" si="197"/>
        <v>1.589018825978126E-4</v>
      </c>
      <c r="AA236" s="3">
        <f t="shared" si="197"/>
        <v>1.589018825978126E-4</v>
      </c>
      <c r="AB236" s="3">
        <f t="shared" si="197"/>
        <v>1.589018825978126E-4</v>
      </c>
      <c r="AC236" s="3">
        <f t="shared" si="197"/>
        <v>1.5890188259781257E-4</v>
      </c>
      <c r="AD236" s="3">
        <f t="shared" si="197"/>
        <v>1.5890188259781246E-4</v>
      </c>
      <c r="AE236" s="3">
        <f t="shared" si="197"/>
        <v>1.5890188259781138E-4</v>
      </c>
      <c r="AF236" s="3">
        <f t="shared" si="197"/>
        <v>1.5890188259780038E-4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7.8909905102376337E-4</v>
      </c>
      <c r="C240" s="3">
        <f t="shared" si="201"/>
        <v>7.8909905102376337E-4</v>
      </c>
      <c r="D240" s="3">
        <f t="shared" si="201"/>
        <v>7.8909905102376337E-4</v>
      </c>
      <c r="E240" s="3">
        <f t="shared" si="201"/>
        <v>7.8909905102376337E-4</v>
      </c>
      <c r="F240" s="3">
        <f t="shared" si="201"/>
        <v>7.8909905102376337E-4</v>
      </c>
      <c r="G240" s="3">
        <f t="shared" si="201"/>
        <v>7.8909905102376337E-4</v>
      </c>
      <c r="H240" s="3">
        <f t="shared" si="201"/>
        <v>7.8909905102376337E-4</v>
      </c>
      <c r="I240" s="3">
        <f t="shared" si="201"/>
        <v>7.8909905102376337E-4</v>
      </c>
      <c r="J240" s="3">
        <f t="shared" si="201"/>
        <v>7.8909905102376337E-4</v>
      </c>
      <c r="K240" s="3">
        <f t="shared" si="201"/>
        <v>7.8909905102376337E-4</v>
      </c>
      <c r="L240" s="3">
        <f t="shared" si="201"/>
        <v>7.8909905102376337E-4</v>
      </c>
      <c r="M240" s="3">
        <f t="shared" si="201"/>
        <v>7.8909905102376337E-4</v>
      </c>
      <c r="N240" s="3">
        <f t="shared" si="201"/>
        <v>7.8909905102376337E-4</v>
      </c>
      <c r="O240" s="3">
        <f t="shared" si="201"/>
        <v>7.8909905102376337E-4</v>
      </c>
      <c r="P240" s="3">
        <f t="shared" si="201"/>
        <v>7.8909905102376337E-4</v>
      </c>
      <c r="Q240" s="3">
        <f t="shared" si="201"/>
        <v>7.8909905102376337E-4</v>
      </c>
      <c r="R240" s="3">
        <f t="shared" si="201"/>
        <v>7.8909905102376337E-4</v>
      </c>
      <c r="S240" s="3">
        <f t="shared" si="201"/>
        <v>7.8909905102376337E-4</v>
      </c>
      <c r="T240" s="3">
        <f t="shared" si="201"/>
        <v>7.8909905102376337E-4</v>
      </c>
      <c r="U240" s="3">
        <f t="shared" si="201"/>
        <v>7.8909905102376337E-4</v>
      </c>
      <c r="V240" s="3">
        <f t="shared" si="201"/>
        <v>7.8909905102376337E-4</v>
      </c>
      <c r="W240" s="3">
        <f t="shared" si="201"/>
        <v>7.8909905102376337E-4</v>
      </c>
      <c r="X240" s="3">
        <f t="shared" si="201"/>
        <v>7.8909905102376337E-4</v>
      </c>
      <c r="Y240" s="3">
        <f t="shared" si="201"/>
        <v>7.8909905102376337E-4</v>
      </c>
      <c r="Z240" s="3">
        <f t="shared" si="201"/>
        <v>7.8909905102376337E-4</v>
      </c>
      <c r="AA240" s="3">
        <f t="shared" si="201"/>
        <v>7.8909905102376337E-4</v>
      </c>
      <c r="AB240" s="3">
        <f t="shared" si="201"/>
        <v>7.8909905102376337E-4</v>
      </c>
      <c r="AC240" s="3">
        <f t="shared" si="201"/>
        <v>7.8909905102376337E-4</v>
      </c>
      <c r="AD240" s="3">
        <f t="shared" si="201"/>
        <v>7.8909905102376337E-4</v>
      </c>
      <c r="AE240" s="3">
        <f t="shared" si="201"/>
        <v>7.8909905102376337E-4</v>
      </c>
      <c r="AF240" s="3">
        <f t="shared" si="201"/>
        <v>7.8909905102376337E-4</v>
      </c>
      <c r="AG240" s="3"/>
      <c r="AH240" s="3"/>
    </row>
    <row r="241" spans="1:34" x14ac:dyDescent="0.25">
      <c r="A241" s="79">
        <f>AVERAGE(B241:AF241)</f>
        <v>0.184891893016988</v>
      </c>
      <c r="B241" s="80">
        <f>IF($A$64&lt;=B207,IF($B$64&gt;=B207,ABS((B209-B208)/B208),0),0)</f>
        <v>1.2543328872067045E-2</v>
      </c>
      <c r="C241" s="80">
        <f t="shared" ref="C241:AF241" si="202">IF($A$64&lt;=C207,IF($B$64&gt;=C207,ABS((C209-C208)/C208),0),0)</f>
        <v>9.0932430609454287E-2</v>
      </c>
      <c r="D241" s="80">
        <f t="shared" si="202"/>
        <v>0.16935698390455514</v>
      </c>
      <c r="E241" s="80">
        <f t="shared" si="202"/>
        <v>0.16943313267708243</v>
      </c>
      <c r="F241" s="80">
        <f t="shared" si="202"/>
        <v>0.16943279865846617</v>
      </c>
      <c r="G241" s="80">
        <f t="shared" si="202"/>
        <v>0.16943270123638351</v>
      </c>
      <c r="H241" s="80">
        <f t="shared" si="202"/>
        <v>0.16943266644291685</v>
      </c>
      <c r="I241" s="80">
        <f t="shared" si="202"/>
        <v>0.16943265252687006</v>
      </c>
      <c r="J241" s="80">
        <f t="shared" si="202"/>
        <v>0.16943261774721768</v>
      </c>
      <c r="K241" s="80">
        <f t="shared" si="202"/>
        <v>0.16943233953790726</v>
      </c>
      <c r="L241" s="80">
        <f t="shared" si="202"/>
        <v>0.16942956440353019</v>
      </c>
      <c r="M241" s="80">
        <f t="shared" si="202"/>
        <v>0.16940182697771242</v>
      </c>
      <c r="N241" s="80">
        <f t="shared" si="202"/>
        <v>0.16912654038665978</v>
      </c>
      <c r="O241" s="80">
        <f t="shared" si="202"/>
        <v>0.16656863472213138</v>
      </c>
      <c r="P241" s="80">
        <f t="shared" si="202"/>
        <v>0.1530420236590247</v>
      </c>
      <c r="Q241" s="80">
        <f t="shared" si="202"/>
        <v>0.13591735347153894</v>
      </c>
      <c r="R241" s="80">
        <f t="shared" si="202"/>
        <v>0.11678186935461771</v>
      </c>
      <c r="S241" s="80">
        <f t="shared" si="202"/>
        <v>9.7676097144820201E-2</v>
      </c>
      <c r="T241" s="80">
        <f t="shared" si="202"/>
        <v>9.2815356229881144E-2</v>
      </c>
      <c r="U241" s="80">
        <f t="shared" si="202"/>
        <v>8.8596658259900117E-3</v>
      </c>
      <c r="V241" s="80">
        <f t="shared" si="202"/>
        <v>0.13803290182149694</v>
      </c>
      <c r="W241" s="80">
        <f t="shared" si="202"/>
        <v>0.24228713512006278</v>
      </c>
      <c r="X241" s="80">
        <f t="shared" si="202"/>
        <v>0.28242576964296051</v>
      </c>
      <c r="Y241" s="80">
        <f t="shared" si="202"/>
        <v>0.24793206002615484</v>
      </c>
      <c r="Z241" s="80">
        <f t="shared" si="202"/>
        <v>0.13810927540831161</v>
      </c>
      <c r="AA241" s="80">
        <f t="shared" si="202"/>
        <v>5.0332085252397983E-2</v>
      </c>
      <c r="AB241" s="80">
        <f t="shared" si="202"/>
        <v>0.26824130501761884</v>
      </c>
      <c r="AC241" s="80">
        <f t="shared" si="202"/>
        <v>0.43315345240596004</v>
      </c>
      <c r="AD241" s="80">
        <f t="shared" si="202"/>
        <v>0.5106781952090681</v>
      </c>
      <c r="AE241" s="80">
        <f t="shared" si="202"/>
        <v>0.47277216368405639</v>
      </c>
      <c r="AF241" s="80">
        <f t="shared" si="202"/>
        <v>0.20920375554971421</v>
      </c>
    </row>
    <row r="242" spans="1:34" x14ac:dyDescent="0.25">
      <c r="B242" s="21">
        <f>(B209-B208)^2</f>
        <v>8455.6790420711695</v>
      </c>
      <c r="C242" s="21">
        <f t="shared" ref="C242:AF242" si="203">(C209-C208)^2</f>
        <v>444395.03355970891</v>
      </c>
      <c r="D242" s="21">
        <f t="shared" si="203"/>
        <v>1541463.302642765</v>
      </c>
      <c r="E242" s="21">
        <f t="shared" si="203"/>
        <v>1542845.5651216826</v>
      </c>
      <c r="F242" s="21">
        <f t="shared" si="203"/>
        <v>1542838.2411021842</v>
      </c>
      <c r="G242" s="21">
        <f t="shared" si="203"/>
        <v>1542836.1049344651</v>
      </c>
      <c r="H242" s="21">
        <f t="shared" si="203"/>
        <v>1542835.3420203477</v>
      </c>
      <c r="I242" s="21">
        <f t="shared" si="203"/>
        <v>1542835.0368791732</v>
      </c>
      <c r="J242" s="21">
        <f t="shared" si="203"/>
        <v>1542834.2742169925</v>
      </c>
      <c r="K242" s="21">
        <f t="shared" si="203"/>
        <v>1542828.1734368948</v>
      </c>
      <c r="L242" s="21">
        <f t="shared" si="203"/>
        <v>1542767.3191031383</v>
      </c>
      <c r="M242" s="21">
        <f t="shared" si="203"/>
        <v>1542159.1692334998</v>
      </c>
      <c r="N242" s="21">
        <f t="shared" si="203"/>
        <v>1536132.1363678174</v>
      </c>
      <c r="O242" s="21">
        <f t="shared" si="203"/>
        <v>1480880.8921959519</v>
      </c>
      <c r="P242" s="21">
        <f t="shared" si="203"/>
        <v>1210476.7214789081</v>
      </c>
      <c r="Q242" s="21">
        <f t="shared" si="203"/>
        <v>916963.88763835351</v>
      </c>
      <c r="R242" s="21">
        <f t="shared" si="203"/>
        <v>645776.63474472926</v>
      </c>
      <c r="S242" s="21">
        <f t="shared" si="203"/>
        <v>419790.67196304345</v>
      </c>
      <c r="T242" s="21">
        <f t="shared" si="203"/>
        <v>324986.84993896179</v>
      </c>
      <c r="U242" s="21">
        <f t="shared" si="203"/>
        <v>2174.4289594970246</v>
      </c>
      <c r="V242" s="21">
        <f t="shared" si="203"/>
        <v>368722.28547339747</v>
      </c>
      <c r="W242" s="21">
        <f t="shared" si="203"/>
        <v>828705.71017662983</v>
      </c>
      <c r="X242" s="21">
        <f t="shared" si="203"/>
        <v>863982.28766145883</v>
      </c>
      <c r="Y242" s="21">
        <f t="shared" si="203"/>
        <v>525338.34965033957</v>
      </c>
      <c r="Z242" s="21">
        <f t="shared" si="203"/>
        <v>128134.95676096257</v>
      </c>
      <c r="AA242" s="21">
        <f t="shared" si="203"/>
        <v>12565.634717810248</v>
      </c>
      <c r="AB242" s="21">
        <f t="shared" si="203"/>
        <v>237842.25786104193</v>
      </c>
      <c r="AC242" s="21">
        <f t="shared" si="203"/>
        <v>348415.45480907644</v>
      </c>
      <c r="AD242" s="21">
        <f t="shared" si="203"/>
        <v>203155.08019526189</v>
      </c>
      <c r="AE242" s="21">
        <f t="shared" si="203"/>
        <v>59046.284300260704</v>
      </c>
      <c r="AF242" s="21">
        <f t="shared" si="203"/>
        <v>3628.9261220399221</v>
      </c>
      <c r="AG242" s="3"/>
      <c r="AH242" s="3"/>
    </row>
    <row r="243" spans="1:34" x14ac:dyDescent="0.25">
      <c r="A243" s="71">
        <f>SUM(B243:AF243)</f>
        <v>25995812.692308463</v>
      </c>
      <c r="B243" s="60">
        <f>IF($A$64&lt;=B207,IF($B$64&gt;=B207,ABS(B242),0),0)</f>
        <v>8455.6790420711695</v>
      </c>
      <c r="C243" s="60">
        <f t="shared" ref="C243" si="204">IF($A$64&lt;=C207,IF($B$64&gt;=C207,ABS(C242),0),0)</f>
        <v>444395.03355970891</v>
      </c>
      <c r="D243" s="60">
        <f t="shared" ref="D243" si="205">IF($A$64&lt;=D207,IF($B$64&gt;=D207,ABS(D242),0),0)</f>
        <v>1541463.302642765</v>
      </c>
      <c r="E243" s="60">
        <f t="shared" ref="E243" si="206">IF($A$64&lt;=E207,IF($B$64&gt;=E207,ABS(E242),0),0)</f>
        <v>1542845.5651216826</v>
      </c>
      <c r="F243" s="60">
        <f t="shared" ref="F243" si="207">IF($A$64&lt;=F207,IF($B$64&gt;=F207,ABS(F242),0),0)</f>
        <v>1542838.2411021842</v>
      </c>
      <c r="G243" s="60">
        <f t="shared" ref="G243" si="208">IF($A$64&lt;=G207,IF($B$64&gt;=G207,ABS(G242),0),0)</f>
        <v>1542836.1049344651</v>
      </c>
      <c r="H243" s="60">
        <f t="shared" ref="H243" si="209">IF($A$64&lt;=H207,IF($B$64&gt;=H207,ABS(H242),0),0)</f>
        <v>1542835.3420203477</v>
      </c>
      <c r="I243" s="60">
        <f t="shared" ref="I243" si="210">IF($A$64&lt;=I207,IF($B$64&gt;=I207,ABS(I242),0),0)</f>
        <v>1542835.0368791732</v>
      </c>
      <c r="J243" s="60">
        <f t="shared" ref="J243" si="211">IF($A$64&lt;=J207,IF($B$64&gt;=J207,ABS(J242),0),0)</f>
        <v>1542834.2742169925</v>
      </c>
      <c r="K243" s="60">
        <f t="shared" ref="K243" si="212">IF($A$64&lt;=K207,IF($B$64&gt;=K207,ABS(K242),0),0)</f>
        <v>1542828.1734368948</v>
      </c>
      <c r="L243" s="60">
        <f t="shared" ref="L243" si="213">IF($A$64&lt;=L207,IF($B$64&gt;=L207,ABS(L242),0),0)</f>
        <v>1542767.3191031383</v>
      </c>
      <c r="M243" s="60">
        <f t="shared" ref="M243" si="214">IF($A$64&lt;=M207,IF($B$64&gt;=M207,ABS(M242),0),0)</f>
        <v>1542159.1692334998</v>
      </c>
      <c r="N243" s="60">
        <f t="shared" ref="N243" si="215">IF($A$64&lt;=N207,IF($B$64&gt;=N207,ABS(N242),0),0)</f>
        <v>1536132.1363678174</v>
      </c>
      <c r="O243" s="60">
        <f t="shared" ref="O243" si="216">IF($A$64&lt;=O207,IF($B$64&gt;=O207,ABS(O242),0),0)</f>
        <v>1480880.8921959519</v>
      </c>
      <c r="P243" s="60">
        <f t="shared" ref="P243" si="217">IF($A$64&lt;=P207,IF($B$64&gt;=P207,ABS(P242),0),0)</f>
        <v>1210476.7214789081</v>
      </c>
      <c r="Q243" s="60">
        <f t="shared" ref="Q243" si="218">IF($A$64&lt;=Q207,IF($B$64&gt;=Q207,ABS(Q242),0),0)</f>
        <v>916963.88763835351</v>
      </c>
      <c r="R243" s="60">
        <f t="shared" ref="R243" si="219">IF($A$64&lt;=R207,IF($B$64&gt;=R207,ABS(R242),0),0)</f>
        <v>645776.63474472926</v>
      </c>
      <c r="S243" s="60">
        <f t="shared" ref="S243" si="220">IF($A$64&lt;=S207,IF($B$64&gt;=S207,ABS(S242),0),0)</f>
        <v>419790.67196304345</v>
      </c>
      <c r="T243" s="60">
        <f t="shared" ref="T243" si="221">IF($A$64&lt;=T207,IF($B$64&gt;=T207,ABS(T242),0),0)</f>
        <v>324986.84993896179</v>
      </c>
      <c r="U243" s="60">
        <f t="shared" ref="U243" si="222">IF($A$64&lt;=U207,IF($B$64&gt;=U207,ABS(U242),0),0)</f>
        <v>2174.4289594970246</v>
      </c>
      <c r="V243" s="60">
        <f t="shared" ref="V243" si="223">IF($A$64&lt;=V207,IF($B$64&gt;=V207,ABS(V242),0),0)</f>
        <v>368722.28547339747</v>
      </c>
      <c r="W243" s="60">
        <f t="shared" ref="W243" si="224">IF($A$64&lt;=W207,IF($B$64&gt;=W207,ABS(W242),0),0)</f>
        <v>828705.71017662983</v>
      </c>
      <c r="X243" s="60">
        <f t="shared" ref="X243" si="225">IF($A$64&lt;=X207,IF($B$64&gt;=X207,ABS(X242),0),0)</f>
        <v>863982.28766145883</v>
      </c>
      <c r="Y243" s="60">
        <f t="shared" ref="Y243" si="226">IF($A$64&lt;=Y207,IF($B$64&gt;=Y207,ABS(Y242),0),0)</f>
        <v>525338.34965033957</v>
      </c>
      <c r="Z243" s="60">
        <f t="shared" ref="Z243" si="227">IF($A$64&lt;=Z207,IF($B$64&gt;=Z207,ABS(Z242),0),0)</f>
        <v>128134.95676096257</v>
      </c>
      <c r="AA243" s="60">
        <f t="shared" ref="AA243" si="228">IF($A$64&lt;=AA207,IF($B$64&gt;=AA207,ABS(AA242),0),0)</f>
        <v>12565.634717810248</v>
      </c>
      <c r="AB243" s="60">
        <f t="shared" ref="AB243" si="229">IF($A$64&lt;=AB207,IF($B$64&gt;=AB207,ABS(AB242),0),0)</f>
        <v>237842.25786104193</v>
      </c>
      <c r="AC243" s="60">
        <f t="shared" ref="AC243" si="230">IF($A$64&lt;=AC207,IF($B$64&gt;=AC207,ABS(AC242),0),0)</f>
        <v>348415.45480907644</v>
      </c>
      <c r="AD243" s="60">
        <f t="shared" ref="AD243" si="231">IF($A$64&lt;=AD207,IF($B$64&gt;=AD207,ABS(AD242),0),0)</f>
        <v>203155.08019526189</v>
      </c>
      <c r="AE243" s="60">
        <f t="shared" ref="AE243" si="232">IF($A$64&lt;=AE207,IF($B$64&gt;=AE207,ABS(AE242),0),0)</f>
        <v>59046.284300260704</v>
      </c>
      <c r="AF243" s="60">
        <f t="shared" ref="AF243" si="233">IF($A$64&lt;=AF207,IF($B$64&gt;=AF207,ABS(AF242),0),0)</f>
        <v>3628.9261220399221</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6088.8810507749895</v>
      </c>
      <c r="C248" s="27">
        <f t="shared" ref="C248:AF248" si="234">($C$17+SUM(C249:C279))*$B$51</f>
        <v>6088.8810506995032</v>
      </c>
      <c r="D248" s="27">
        <f t="shared" si="234"/>
        <v>6088.8810506994723</v>
      </c>
      <c r="E248" s="27">
        <f t="shared" si="234"/>
        <v>6088.8810506991576</v>
      </c>
      <c r="F248" s="27">
        <f t="shared" si="234"/>
        <v>6088.8810506960308</v>
      </c>
      <c r="G248" s="27">
        <f t="shared" si="234"/>
        <v>6088.8810506647496</v>
      </c>
      <c r="H248" s="27">
        <f t="shared" si="234"/>
        <v>6088.8810503519335</v>
      </c>
      <c r="I248" s="27">
        <f t="shared" si="234"/>
        <v>6088.8810472237801</v>
      </c>
      <c r="J248" s="27">
        <f t="shared" si="234"/>
        <v>6088.8810159422455</v>
      </c>
      <c r="K248" s="27">
        <f t="shared" si="234"/>
        <v>6088.8807031269871</v>
      </c>
      <c r="L248" s="27">
        <f t="shared" si="234"/>
        <v>6088.8775749834258</v>
      </c>
      <c r="M248" s="27">
        <f t="shared" si="234"/>
        <v>6088.8462944492203</v>
      </c>
      <c r="N248" s="27">
        <f t="shared" si="234"/>
        <v>6088.5335792296173</v>
      </c>
      <c r="O248" s="27">
        <f t="shared" si="234"/>
        <v>6085.4154212719268</v>
      </c>
      <c r="P248" s="27">
        <f t="shared" si="234"/>
        <v>6055.1155249975609</v>
      </c>
      <c r="Q248" s="27">
        <f t="shared" si="234"/>
        <v>5824.9310585503381</v>
      </c>
      <c r="R248" s="27">
        <f t="shared" si="234"/>
        <v>5432.2087817536321</v>
      </c>
      <c r="S248" s="27">
        <f t="shared" si="234"/>
        <v>5183.5753809457565</v>
      </c>
      <c r="T248" s="27">
        <f t="shared" si="234"/>
        <v>4851.5639895123159</v>
      </c>
      <c r="U248" s="27">
        <f t="shared" si="234"/>
        <v>4475.1364166595258</v>
      </c>
      <c r="V248" s="27">
        <f t="shared" si="234"/>
        <v>3958.7665290764703</v>
      </c>
      <c r="W248" s="27">
        <f t="shared" si="234"/>
        <v>3319.0807376027237</v>
      </c>
      <c r="X248" s="27">
        <f t="shared" si="234"/>
        <v>2543.832960369125</v>
      </c>
      <c r="Y248" s="27">
        <f t="shared" si="234"/>
        <v>1671.4267369762156</v>
      </c>
      <c r="Z248" s="27">
        <f t="shared" si="234"/>
        <v>995.27823237373968</v>
      </c>
      <c r="AA248" s="27">
        <f t="shared" si="234"/>
        <v>563.64034139995795</v>
      </c>
      <c r="AB248" s="27">
        <f t="shared" si="234"/>
        <v>320.54184096727982</v>
      </c>
      <c r="AC248" s="27">
        <f t="shared" si="234"/>
        <v>245.47345724565287</v>
      </c>
      <c r="AD248" s="27">
        <f t="shared" si="234"/>
        <v>213.03188165640108</v>
      </c>
      <c r="AE248" s="27">
        <f t="shared" si="234"/>
        <v>197.78523123758126</v>
      </c>
      <c r="AF248" s="27">
        <f t="shared" si="234"/>
        <v>183.49189538413535</v>
      </c>
      <c r="AG248" s="27"/>
      <c r="AH248" s="27"/>
    </row>
    <row r="249" spans="1:34" x14ac:dyDescent="0.25">
      <c r="B249" s="3">
        <f t="shared" ref="B249:AF249" si="235">$C18*EXP(-B$246/$A18/EXP(-$E$126))</f>
        <v>1.0296578131133147E-11</v>
      </c>
      <c r="C249" s="3">
        <f t="shared" si="235"/>
        <v>1.1640575106521381E-103</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7.5788306997470037E-2</v>
      </c>
      <c r="C250" s="3">
        <f t="shared" si="236"/>
        <v>7.5788306997469621E-2</v>
      </c>
      <c r="D250" s="3">
        <f t="shared" si="236"/>
        <v>7.5788306997465513E-2</v>
      </c>
      <c r="E250" s="3">
        <f t="shared" si="236"/>
        <v>7.5788306997424407E-2</v>
      </c>
      <c r="F250" s="3">
        <f t="shared" si="236"/>
        <v>7.5788306997013402E-2</v>
      </c>
      <c r="G250" s="3">
        <f t="shared" si="236"/>
        <v>7.5788306992903259E-2</v>
      </c>
      <c r="H250" s="3">
        <f t="shared" si="236"/>
        <v>7.5788306951801915E-2</v>
      </c>
      <c r="I250" s="3">
        <f t="shared" si="236"/>
        <v>7.5788306540788455E-2</v>
      </c>
      <c r="J250" s="3">
        <f t="shared" si="236"/>
        <v>7.5788302430654056E-2</v>
      </c>
      <c r="K250" s="3">
        <f t="shared" si="236"/>
        <v>7.578826132932219E-2</v>
      </c>
      <c r="L250" s="3">
        <f t="shared" si="236"/>
        <v>7.5787850317229469E-2</v>
      </c>
      <c r="M250" s="3">
        <f t="shared" si="236"/>
        <v>7.578374031889451E-2</v>
      </c>
      <c r="N250" s="3">
        <f t="shared" si="236"/>
        <v>7.5742652592306545E-2</v>
      </c>
      <c r="O250" s="3">
        <f t="shared" si="236"/>
        <v>7.5332998546738209E-2</v>
      </c>
      <c r="P250" s="3">
        <f t="shared" si="236"/>
        <v>7.1356360836777988E-2</v>
      </c>
      <c r="Q250" s="3">
        <f t="shared" si="236"/>
        <v>4.1486526910779531E-2</v>
      </c>
      <c r="R250" s="3">
        <f t="shared" si="236"/>
        <v>1.830842301879603E-4</v>
      </c>
      <c r="S250" s="3">
        <f t="shared" si="236"/>
        <v>5.1296712407370683E-28</v>
      </c>
      <c r="T250" s="3">
        <f t="shared" si="236"/>
        <v>1.5292393722269841E-263</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2.742614598116927E-2</v>
      </c>
      <c r="C251" s="3">
        <f t="shared" si="237"/>
        <v>2.7426145981169256E-2</v>
      </c>
      <c r="D251" s="3">
        <f t="shared" si="237"/>
        <v>2.7426145981169121E-2</v>
      </c>
      <c r="E251" s="3">
        <f t="shared" si="237"/>
        <v>2.7426145981167778E-2</v>
      </c>
      <c r="F251" s="3">
        <f t="shared" si="237"/>
        <v>2.7426145981154362E-2</v>
      </c>
      <c r="G251" s="3">
        <f t="shared" si="237"/>
        <v>2.7426145981020188E-2</v>
      </c>
      <c r="H251" s="3">
        <f t="shared" si="237"/>
        <v>2.7426145979678459E-2</v>
      </c>
      <c r="I251" s="3">
        <f t="shared" si="237"/>
        <v>2.7426145966261157E-2</v>
      </c>
      <c r="J251" s="3">
        <f t="shared" si="237"/>
        <v>2.7426145832088134E-2</v>
      </c>
      <c r="K251" s="3">
        <f t="shared" si="237"/>
        <v>2.7426144490357934E-2</v>
      </c>
      <c r="L251" s="3">
        <f t="shared" si="237"/>
        <v>2.7426131073059558E-2</v>
      </c>
      <c r="M251" s="3">
        <f t="shared" si="237"/>
        <v>2.7425996900436796E-2</v>
      </c>
      <c r="N251" s="3">
        <f t="shared" si="237"/>
        <v>2.7424655210310227E-2</v>
      </c>
      <c r="O251" s="3">
        <f t="shared" si="237"/>
        <v>2.7411241918494117E-2</v>
      </c>
      <c r="P251" s="3">
        <f t="shared" si="237"/>
        <v>2.7277469292798458E-2</v>
      </c>
      <c r="Q251" s="3">
        <f t="shared" si="237"/>
        <v>2.5975128563805423E-2</v>
      </c>
      <c r="R251" s="3">
        <f t="shared" si="237"/>
        <v>1.5925534162880159E-2</v>
      </c>
      <c r="S251" s="3">
        <f t="shared" si="237"/>
        <v>1.1952452619114335E-4</v>
      </c>
      <c r="T251" s="3">
        <f t="shared" si="237"/>
        <v>6.7777767247171462E-26</v>
      </c>
      <c r="U251" s="3">
        <f t="shared" si="237"/>
        <v>2.3301803266881103E-238</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4.6802795715284964E-2</v>
      </c>
      <c r="C252" s="3">
        <f t="shared" si="238"/>
        <v>4.6802795715284964E-2</v>
      </c>
      <c r="D252" s="3">
        <f t="shared" si="238"/>
        <v>4.6802795715284944E-2</v>
      </c>
      <c r="E252" s="3">
        <f t="shared" si="238"/>
        <v>4.6802795715284735E-2</v>
      </c>
      <c r="F252" s="3">
        <f t="shared" si="238"/>
        <v>4.6802795715282668E-2</v>
      </c>
      <c r="G252" s="3">
        <f t="shared" si="238"/>
        <v>4.6802795715262011E-2</v>
      </c>
      <c r="H252" s="3">
        <f t="shared" si="238"/>
        <v>4.6802795715055467E-2</v>
      </c>
      <c r="I252" s="3">
        <f t="shared" si="238"/>
        <v>4.6802795712990002E-2</v>
      </c>
      <c r="J252" s="3">
        <f t="shared" si="238"/>
        <v>4.6802795692335301E-2</v>
      </c>
      <c r="K252" s="3">
        <f t="shared" si="238"/>
        <v>4.6802795485788341E-2</v>
      </c>
      <c r="L252" s="3">
        <f t="shared" si="238"/>
        <v>4.6802793420318782E-2</v>
      </c>
      <c r="M252" s="3">
        <f t="shared" si="238"/>
        <v>4.6802772765628158E-2</v>
      </c>
      <c r="N252" s="3">
        <f t="shared" si="238"/>
        <v>4.6802566219223317E-2</v>
      </c>
      <c r="O252" s="3">
        <f t="shared" si="238"/>
        <v>4.6800500805307531E-2</v>
      </c>
      <c r="P252" s="3">
        <f t="shared" si="238"/>
        <v>4.6779851678595878E-2</v>
      </c>
      <c r="Q252" s="3">
        <f t="shared" si="238"/>
        <v>4.6573860838603799E-2</v>
      </c>
      <c r="R252" s="3">
        <f t="shared" si="238"/>
        <v>4.4563187580187971E-2</v>
      </c>
      <c r="S252" s="3">
        <f t="shared" si="238"/>
        <v>2.8662648479467805E-2</v>
      </c>
      <c r="T252" s="3">
        <f t="shared" si="238"/>
        <v>3.4730977865447718E-4</v>
      </c>
      <c r="U252" s="3">
        <f t="shared" si="238"/>
        <v>2.3698668638200219E-23</v>
      </c>
      <c r="V252" s="3">
        <f t="shared" si="238"/>
        <v>5.1855320398995735E-215</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4.5136552781973364E-2</v>
      </c>
      <c r="C253" s="3">
        <f t="shared" si="239"/>
        <v>4.5136552781973364E-2</v>
      </c>
      <c r="D253" s="3">
        <f t="shared" si="239"/>
        <v>4.5136552781973364E-2</v>
      </c>
      <c r="E253" s="3">
        <f t="shared" si="239"/>
        <v>4.5136552781973344E-2</v>
      </c>
      <c r="F253" s="3">
        <f t="shared" si="239"/>
        <v>4.5136552781973163E-2</v>
      </c>
      <c r="G253" s="3">
        <f t="shared" si="239"/>
        <v>4.5136552781971373E-2</v>
      </c>
      <c r="H253" s="3">
        <f t="shared" si="239"/>
        <v>4.5136552781953401E-2</v>
      </c>
      <c r="I253" s="3">
        <f t="shared" si="239"/>
        <v>4.5136552781773712E-2</v>
      </c>
      <c r="J253" s="3">
        <f t="shared" si="239"/>
        <v>4.5136552779976816E-2</v>
      </c>
      <c r="K253" s="3">
        <f t="shared" si="239"/>
        <v>4.5136552762007898E-2</v>
      </c>
      <c r="L253" s="3">
        <f t="shared" si="239"/>
        <v>4.513655258231869E-2</v>
      </c>
      <c r="M253" s="3">
        <f t="shared" si="239"/>
        <v>4.5136550785426659E-2</v>
      </c>
      <c r="N253" s="3">
        <f t="shared" si="239"/>
        <v>4.5136532816510255E-2</v>
      </c>
      <c r="O253" s="3">
        <f t="shared" si="239"/>
        <v>4.5136353127739677E-2</v>
      </c>
      <c r="P253" s="3">
        <f t="shared" si="239"/>
        <v>4.513455627937725E-2</v>
      </c>
      <c r="Q253" s="3">
        <f t="shared" si="239"/>
        <v>4.5116591729507126E-2</v>
      </c>
      <c r="R253" s="3">
        <f t="shared" si="239"/>
        <v>4.4937339027404676E-2</v>
      </c>
      <c r="S253" s="3">
        <f t="shared" si="239"/>
        <v>4.3183519196155089E-2</v>
      </c>
      <c r="T253" s="3">
        <f t="shared" si="239"/>
        <v>2.9001791756264089E-2</v>
      </c>
      <c r="U253" s="3">
        <f t="shared" si="239"/>
        <v>5.4136828497582947E-4</v>
      </c>
      <c r="V253" s="3">
        <f t="shared" si="239"/>
        <v>2.7808182842596206E-21</v>
      </c>
      <c r="W253" s="3">
        <f t="shared" si="239"/>
        <v>3.556072567376362E-194</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6.7281406852932088E-2</v>
      </c>
      <c r="C254" s="3">
        <f t="shared" si="240"/>
        <v>6.7281406852932088E-2</v>
      </c>
      <c r="D254" s="3">
        <f t="shared" si="240"/>
        <v>6.7281406852932088E-2</v>
      </c>
      <c r="E254" s="3">
        <f t="shared" si="240"/>
        <v>6.7281406852932088E-2</v>
      </c>
      <c r="F254" s="3">
        <f t="shared" si="240"/>
        <v>6.728140685293206E-2</v>
      </c>
      <c r="G254" s="3">
        <f t="shared" si="240"/>
        <v>6.7281406852931824E-2</v>
      </c>
      <c r="H254" s="3">
        <f t="shared" si="240"/>
        <v>6.728140685292941E-2</v>
      </c>
      <c r="I254" s="3">
        <f t="shared" si="240"/>
        <v>6.7281406852905248E-2</v>
      </c>
      <c r="J254" s="3">
        <f t="shared" si="240"/>
        <v>6.7281406852663622E-2</v>
      </c>
      <c r="K254" s="3">
        <f t="shared" si="240"/>
        <v>6.7281406850247402E-2</v>
      </c>
      <c r="L254" s="3">
        <f t="shared" si="240"/>
        <v>6.7281406826085272E-2</v>
      </c>
      <c r="M254" s="3">
        <f t="shared" si="240"/>
        <v>6.7281406584463951E-2</v>
      </c>
      <c r="N254" s="3">
        <f t="shared" si="240"/>
        <v>6.728140416825075E-2</v>
      </c>
      <c r="O254" s="3">
        <f t="shared" si="240"/>
        <v>6.7281380006123589E-2</v>
      </c>
      <c r="P254" s="3">
        <f t="shared" si="240"/>
        <v>6.7281138385329092E-2</v>
      </c>
      <c r="Q254" s="3">
        <f t="shared" si="240"/>
        <v>6.7278722225107598E-2</v>
      </c>
      <c r="R254" s="3">
        <f t="shared" si="240"/>
        <v>6.7254565394602644E-2</v>
      </c>
      <c r="S254" s="3">
        <f t="shared" si="240"/>
        <v>6.7013473627111048E-2</v>
      </c>
      <c r="T254" s="3">
        <f t="shared" si="240"/>
        <v>6.4649582547131851E-2</v>
      </c>
      <c r="U254" s="3">
        <f t="shared" si="240"/>
        <v>4.5144170072042127E-2</v>
      </c>
      <c r="V254" s="3">
        <f t="shared" si="240"/>
        <v>1.2444033113665075E-3</v>
      </c>
      <c r="W254" s="3">
        <f t="shared" si="240"/>
        <v>3.1517807975423442E-19</v>
      </c>
      <c r="X254" s="3">
        <f t="shared" si="240"/>
        <v>3.4237691664105238E-175</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8.4823708436980116E-2</v>
      </c>
      <c r="C255" s="3">
        <f t="shared" si="241"/>
        <v>8.4823708436980116E-2</v>
      </c>
      <c r="D255" s="3">
        <f t="shared" si="241"/>
        <v>8.4823708436980116E-2</v>
      </c>
      <c r="E255" s="3">
        <f t="shared" si="241"/>
        <v>8.4823708436980116E-2</v>
      </c>
      <c r="F255" s="3">
        <f t="shared" si="241"/>
        <v>8.4823708436980116E-2</v>
      </c>
      <c r="G255" s="3">
        <f t="shared" si="241"/>
        <v>8.4823708436980089E-2</v>
      </c>
      <c r="H255" s="3">
        <f t="shared" si="241"/>
        <v>8.4823708436979811E-2</v>
      </c>
      <c r="I255" s="3">
        <f t="shared" si="241"/>
        <v>8.4823708436977063E-2</v>
      </c>
      <c r="J255" s="3">
        <f t="shared" si="241"/>
        <v>8.4823708436949585E-2</v>
      </c>
      <c r="K255" s="3">
        <f t="shared" si="241"/>
        <v>8.4823708436674791E-2</v>
      </c>
      <c r="L255" s="3">
        <f t="shared" si="241"/>
        <v>8.4823708433926864E-2</v>
      </c>
      <c r="M255" s="3">
        <f t="shared" si="241"/>
        <v>8.4823708406447679E-2</v>
      </c>
      <c r="N255" s="3">
        <f t="shared" si="241"/>
        <v>8.4823708131655712E-2</v>
      </c>
      <c r="O255" s="3">
        <f t="shared" si="241"/>
        <v>8.4823705383736014E-2</v>
      </c>
      <c r="P255" s="3">
        <f t="shared" si="241"/>
        <v>8.4823677904544065E-2</v>
      </c>
      <c r="Q255" s="3">
        <f t="shared" si="241"/>
        <v>8.4823403113114204E-2</v>
      </c>
      <c r="R255" s="3">
        <f t="shared" si="241"/>
        <v>8.4820655247776253E-2</v>
      </c>
      <c r="S255" s="3">
        <f t="shared" si="241"/>
        <v>8.4793181489881228E-2</v>
      </c>
      <c r="T255" s="3">
        <f t="shared" si="241"/>
        <v>8.4518932873100111E-2</v>
      </c>
      <c r="U255" s="3">
        <f t="shared" si="241"/>
        <v>8.1824761876944527E-2</v>
      </c>
      <c r="V255" s="3">
        <f t="shared" si="241"/>
        <v>5.918234926945868E-2</v>
      </c>
      <c r="W255" s="3">
        <f t="shared" si="241"/>
        <v>2.3188182314087414E-3</v>
      </c>
      <c r="X255" s="3">
        <f t="shared" si="241"/>
        <v>1.9770231853133321E-17</v>
      </c>
      <c r="Y255" s="3">
        <f t="shared" si="241"/>
        <v>4.012936839607773E-158</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0.10369484660409525</v>
      </c>
      <c r="C256" s="3">
        <f t="shared" si="242"/>
        <v>0.10369484660409525</v>
      </c>
      <c r="D256" s="3">
        <f t="shared" si="242"/>
        <v>0.10369484660409525</v>
      </c>
      <c r="E256" s="3">
        <f t="shared" si="242"/>
        <v>0.10369484660409525</v>
      </c>
      <c r="F256" s="3">
        <f t="shared" si="242"/>
        <v>0.10369484660409525</v>
      </c>
      <c r="G256" s="3">
        <f t="shared" si="242"/>
        <v>0.10369484660409525</v>
      </c>
      <c r="H256" s="3">
        <f t="shared" si="242"/>
        <v>0.10369484660409523</v>
      </c>
      <c r="I256" s="3">
        <f t="shared" si="242"/>
        <v>0.10369484660409492</v>
      </c>
      <c r="J256" s="3">
        <f t="shared" si="242"/>
        <v>0.10369484660409189</v>
      </c>
      <c r="K256" s="3">
        <f t="shared" si="242"/>
        <v>0.10369484660406159</v>
      </c>
      <c r="L256" s="3">
        <f t="shared" si="242"/>
        <v>0.10369484660375855</v>
      </c>
      <c r="M256" s="3">
        <f t="shared" si="242"/>
        <v>0.10369484660072821</v>
      </c>
      <c r="N256" s="3">
        <f t="shared" si="242"/>
        <v>0.10369484657042488</v>
      </c>
      <c r="O256" s="3">
        <f t="shared" si="242"/>
        <v>0.10369484626739144</v>
      </c>
      <c r="P256" s="3">
        <f t="shared" si="242"/>
        <v>0.1036948432370571</v>
      </c>
      <c r="Q256" s="3">
        <f t="shared" si="242"/>
        <v>0.10369481293371877</v>
      </c>
      <c r="R256" s="3">
        <f t="shared" si="242"/>
        <v>0.10369450990082232</v>
      </c>
      <c r="S256" s="3">
        <f t="shared" si="242"/>
        <v>0.10369147962056376</v>
      </c>
      <c r="T256" s="3">
        <f t="shared" si="242"/>
        <v>0.10366118168803969</v>
      </c>
      <c r="U256" s="3">
        <f t="shared" si="242"/>
        <v>0.10335868884277381</v>
      </c>
      <c r="V256" s="3">
        <f t="shared" si="242"/>
        <v>0.10038188645676664</v>
      </c>
      <c r="W256" s="3">
        <f t="shared" si="242"/>
        <v>7.4944362368300446E-2</v>
      </c>
      <c r="X256" s="3">
        <f t="shared" si="242"/>
        <v>4.032506982710838E-3</v>
      </c>
      <c r="Y256" s="3">
        <f t="shared" si="242"/>
        <v>8.2023202066404492E-16</v>
      </c>
      <c r="Z256" s="3">
        <f t="shared" si="242"/>
        <v>9.9438057916577296E-143</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0.13305313379533851</v>
      </c>
      <c r="C257" s="3">
        <f t="shared" si="243"/>
        <v>0.13305313379533851</v>
      </c>
      <c r="D257" s="3">
        <f t="shared" si="243"/>
        <v>0.13305313379533851</v>
      </c>
      <c r="E257" s="3">
        <f t="shared" si="243"/>
        <v>0.13305313379533851</v>
      </c>
      <c r="F257" s="3">
        <f t="shared" si="243"/>
        <v>0.13305313379533851</v>
      </c>
      <c r="G257" s="3">
        <f t="shared" si="243"/>
        <v>0.13305313379533851</v>
      </c>
      <c r="H257" s="3">
        <f t="shared" si="243"/>
        <v>0.13305313379533851</v>
      </c>
      <c r="I257" s="3">
        <f t="shared" si="243"/>
        <v>0.13305313379533845</v>
      </c>
      <c r="J257" s="3">
        <f t="shared" si="243"/>
        <v>0.13305313379533812</v>
      </c>
      <c r="K257" s="3">
        <f t="shared" si="243"/>
        <v>0.13305313379533459</v>
      </c>
      <c r="L257" s="3">
        <f t="shared" si="243"/>
        <v>0.13305313379529954</v>
      </c>
      <c r="M257" s="3">
        <f t="shared" si="243"/>
        <v>0.13305313379494879</v>
      </c>
      <c r="N257" s="3">
        <f t="shared" si="243"/>
        <v>0.13305313379144121</v>
      </c>
      <c r="O257" s="3">
        <f t="shared" si="243"/>
        <v>0.13305313375636563</v>
      </c>
      <c r="P257" s="3">
        <f t="shared" si="243"/>
        <v>0.13305313340560965</v>
      </c>
      <c r="Q257" s="3">
        <f t="shared" si="243"/>
        <v>0.13305312989804996</v>
      </c>
      <c r="R257" s="3">
        <f t="shared" si="243"/>
        <v>0.13305309482245808</v>
      </c>
      <c r="S257" s="3">
        <f t="shared" si="243"/>
        <v>0.13305274406704812</v>
      </c>
      <c r="T257" s="3">
        <f t="shared" si="243"/>
        <v>0.13304923656380435</v>
      </c>
      <c r="U257" s="3">
        <f t="shared" si="243"/>
        <v>0.13301416661648049</v>
      </c>
      <c r="V257" s="3">
        <f t="shared" si="243"/>
        <v>0.13266397515896367</v>
      </c>
      <c r="W257" s="3">
        <f t="shared" si="243"/>
        <v>0.12921237011338901</v>
      </c>
      <c r="X257" s="3">
        <f t="shared" si="243"/>
        <v>9.9269299176664771E-2</v>
      </c>
      <c r="Y257" s="3">
        <f t="shared" si="243"/>
        <v>7.1108838868924294E-3</v>
      </c>
      <c r="Z257" s="3">
        <f t="shared" si="243"/>
        <v>2.5293556538839272E-14</v>
      </c>
      <c r="AA257" s="3">
        <f t="shared" si="243"/>
        <v>8.2011173925626529E-129</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0.10368180212181953</v>
      </c>
      <c r="C258" s="3">
        <f t="shared" si="244"/>
        <v>0.10368180212181953</v>
      </c>
      <c r="D258" s="3">
        <f t="shared" si="244"/>
        <v>0.10368180212181953</v>
      </c>
      <c r="E258" s="3">
        <f t="shared" si="244"/>
        <v>0.10368180212181953</v>
      </c>
      <c r="F258" s="3">
        <f t="shared" si="244"/>
        <v>0.10368180212181953</v>
      </c>
      <c r="G258" s="3">
        <f t="shared" si="244"/>
        <v>0.10368180212181953</v>
      </c>
      <c r="H258" s="3">
        <f t="shared" si="244"/>
        <v>0.10368180212181953</v>
      </c>
      <c r="I258" s="3">
        <f t="shared" si="244"/>
        <v>0.10368180212181953</v>
      </c>
      <c r="J258" s="3">
        <f t="shared" si="244"/>
        <v>0.1036818021218195</v>
      </c>
      <c r="K258" s="3">
        <f t="shared" si="244"/>
        <v>0.10368180212181925</v>
      </c>
      <c r="L258" s="3">
        <f t="shared" si="244"/>
        <v>0.1036818021218168</v>
      </c>
      <c r="M258" s="3">
        <f t="shared" si="244"/>
        <v>0.10368180212179214</v>
      </c>
      <c r="N258" s="3">
        <f t="shared" si="244"/>
        <v>0.10368180212154557</v>
      </c>
      <c r="O258" s="3">
        <f t="shared" si="244"/>
        <v>0.10368180211907994</v>
      </c>
      <c r="P258" s="3">
        <f t="shared" si="244"/>
        <v>0.10368180209442357</v>
      </c>
      <c r="Q258" s="3">
        <f t="shared" si="244"/>
        <v>0.1036818018478599</v>
      </c>
      <c r="R258" s="3">
        <f t="shared" si="244"/>
        <v>0.10368179938222315</v>
      </c>
      <c r="S258" s="3">
        <f t="shared" si="244"/>
        <v>0.10368177472585904</v>
      </c>
      <c r="T258" s="3">
        <f t="shared" si="244"/>
        <v>0.10368152816254035</v>
      </c>
      <c r="U258" s="3">
        <f t="shared" si="244"/>
        <v>0.10367906256160232</v>
      </c>
      <c r="V258" s="3">
        <f t="shared" si="244"/>
        <v>0.10365440977682236</v>
      </c>
      <c r="W258" s="3">
        <f t="shared" si="244"/>
        <v>0.10340820410550393</v>
      </c>
      <c r="X258" s="3">
        <f t="shared" si="244"/>
        <v>0.10097808335483806</v>
      </c>
      <c r="Y258" s="3">
        <f t="shared" si="244"/>
        <v>7.9606475640718335E-2</v>
      </c>
      <c r="Z258" s="3">
        <f t="shared" si="244"/>
        <v>7.3817806637220072E-3</v>
      </c>
      <c r="AA258" s="3">
        <f t="shared" si="244"/>
        <v>3.469672892536919E-13</v>
      </c>
      <c r="AB258" s="3">
        <f t="shared" si="244"/>
        <v>1.8262595347426779E-116</v>
      </c>
      <c r="AC258" s="3">
        <f t="shared" si="244"/>
        <v>0</v>
      </c>
      <c r="AD258" s="3">
        <f t="shared" si="244"/>
        <v>0</v>
      </c>
      <c r="AE258" s="3">
        <f t="shared" si="244"/>
        <v>0</v>
      </c>
      <c r="AF258" s="3">
        <f t="shared" si="244"/>
        <v>0</v>
      </c>
      <c r="AG258" s="3"/>
      <c r="AH258" s="3"/>
    </row>
    <row r="259" spans="2:34" x14ac:dyDescent="0.25">
      <c r="B259" s="3">
        <f t="shared" ref="B259:AF259" si="245">$C28*EXP(-B$246/$A28/EXP(-$E$126))</f>
        <v>6.4516912228113732E-2</v>
      </c>
      <c r="C259" s="3">
        <f t="shared" si="245"/>
        <v>6.4516912228113732E-2</v>
      </c>
      <c r="D259" s="3">
        <f t="shared" si="245"/>
        <v>6.4516912228113732E-2</v>
      </c>
      <c r="E259" s="3">
        <f t="shared" si="245"/>
        <v>6.4516912228113732E-2</v>
      </c>
      <c r="F259" s="3">
        <f t="shared" si="245"/>
        <v>6.4516912228113732E-2</v>
      </c>
      <c r="G259" s="3">
        <f t="shared" si="245"/>
        <v>6.4516912228113732E-2</v>
      </c>
      <c r="H259" s="3">
        <f t="shared" si="245"/>
        <v>6.4516912228113732E-2</v>
      </c>
      <c r="I259" s="3">
        <f t="shared" si="245"/>
        <v>6.4516912228113732E-2</v>
      </c>
      <c r="J259" s="3">
        <f t="shared" si="245"/>
        <v>6.4516912228113732E-2</v>
      </c>
      <c r="K259" s="3">
        <f t="shared" si="245"/>
        <v>6.4516912228113718E-2</v>
      </c>
      <c r="L259" s="3">
        <f t="shared" si="245"/>
        <v>6.4516912228113579E-2</v>
      </c>
      <c r="M259" s="3">
        <f t="shared" si="245"/>
        <v>6.4516912228112192E-2</v>
      </c>
      <c r="N259" s="3">
        <f t="shared" si="245"/>
        <v>6.4516912228098355E-2</v>
      </c>
      <c r="O259" s="3">
        <f t="shared" si="245"/>
        <v>6.4516912227959952E-2</v>
      </c>
      <c r="P259" s="3">
        <f t="shared" si="245"/>
        <v>6.451691222657592E-2</v>
      </c>
      <c r="Q259" s="3">
        <f t="shared" si="245"/>
        <v>6.4516912212735575E-2</v>
      </c>
      <c r="R259" s="3">
        <f t="shared" si="245"/>
        <v>6.4516912074332189E-2</v>
      </c>
      <c r="S259" s="3">
        <f t="shared" si="245"/>
        <v>6.4516910690298315E-2</v>
      </c>
      <c r="T259" s="3">
        <f t="shared" si="245"/>
        <v>6.4516896849961189E-2</v>
      </c>
      <c r="U259" s="3">
        <f t="shared" si="245"/>
        <v>6.4516758446753253E-2</v>
      </c>
      <c r="V259" s="3">
        <f t="shared" si="245"/>
        <v>6.4515374431003622E-2</v>
      </c>
      <c r="W259" s="3">
        <f t="shared" si="245"/>
        <v>6.4501535906349688E-2</v>
      </c>
      <c r="X259" s="3">
        <f t="shared" si="245"/>
        <v>6.4363313814519374E-2</v>
      </c>
      <c r="Y259" s="3">
        <f t="shared" si="245"/>
        <v>6.2997279605454509E-2</v>
      </c>
      <c r="Z259" s="3">
        <f t="shared" si="245"/>
        <v>5.0834176557743992E-2</v>
      </c>
      <c r="AA259" s="3">
        <f t="shared" si="245"/>
        <v>5.9497095423758787E-3</v>
      </c>
      <c r="AB259" s="3">
        <f t="shared" si="245"/>
        <v>2.8700897637802423E-12</v>
      </c>
      <c r="AC259" s="3">
        <f t="shared" si="245"/>
        <v>1.9583604613423138E-105</v>
      </c>
      <c r="AD259" s="3">
        <f t="shared" si="245"/>
        <v>0</v>
      </c>
      <c r="AE259" s="3">
        <f t="shared" si="245"/>
        <v>0</v>
      </c>
      <c r="AF259" s="3">
        <f t="shared" si="245"/>
        <v>0</v>
      </c>
      <c r="AG259" s="3"/>
      <c r="AH259" s="3"/>
    </row>
    <row r="260" spans="2:34" x14ac:dyDescent="0.25">
      <c r="B260" s="3">
        <f t="shared" ref="B260:AF260" si="246">$C29*EXP(-B$246/$A29/EXP(-$E$126))</f>
        <v>3.7592139756949243E-2</v>
      </c>
      <c r="C260" s="3">
        <f t="shared" si="246"/>
        <v>3.7592139756949243E-2</v>
      </c>
      <c r="D260" s="3">
        <f t="shared" si="246"/>
        <v>3.7592139756949243E-2</v>
      </c>
      <c r="E260" s="3">
        <f t="shared" si="246"/>
        <v>3.7592139756949243E-2</v>
      </c>
      <c r="F260" s="3">
        <f t="shared" si="246"/>
        <v>3.7592139756949243E-2</v>
      </c>
      <c r="G260" s="3">
        <f t="shared" si="246"/>
        <v>3.7592139756949243E-2</v>
      </c>
      <c r="H260" s="3">
        <f t="shared" si="246"/>
        <v>3.7592139756949243E-2</v>
      </c>
      <c r="I260" s="3">
        <f t="shared" si="246"/>
        <v>3.7592139756949243E-2</v>
      </c>
      <c r="J260" s="3">
        <f t="shared" si="246"/>
        <v>3.7592139756949243E-2</v>
      </c>
      <c r="K260" s="3">
        <f t="shared" si="246"/>
        <v>3.7592139756949243E-2</v>
      </c>
      <c r="L260" s="3">
        <f t="shared" si="246"/>
        <v>3.7592139756949236E-2</v>
      </c>
      <c r="M260" s="3">
        <f t="shared" si="246"/>
        <v>3.7592139756949167E-2</v>
      </c>
      <c r="N260" s="3">
        <f t="shared" si="246"/>
        <v>3.7592139756948431E-2</v>
      </c>
      <c r="O260" s="3">
        <f t="shared" si="246"/>
        <v>3.7592139756941159E-2</v>
      </c>
      <c r="P260" s="3">
        <f t="shared" si="246"/>
        <v>3.7592139756868412E-2</v>
      </c>
      <c r="Q260" s="3">
        <f t="shared" si="246"/>
        <v>3.7592139756140938E-2</v>
      </c>
      <c r="R260" s="3">
        <f t="shared" si="246"/>
        <v>3.7592139748866209E-2</v>
      </c>
      <c r="S260" s="3">
        <f t="shared" si="246"/>
        <v>3.7592139676118928E-2</v>
      </c>
      <c r="T260" s="3">
        <f t="shared" si="246"/>
        <v>3.7592138948646082E-2</v>
      </c>
      <c r="U260" s="3">
        <f t="shared" si="246"/>
        <v>3.759213167391845E-2</v>
      </c>
      <c r="V260" s="3">
        <f t="shared" si="246"/>
        <v>3.7592058926719539E-2</v>
      </c>
      <c r="W260" s="3">
        <f t="shared" si="246"/>
        <v>3.7591331462473149E-2</v>
      </c>
      <c r="X260" s="3">
        <f t="shared" si="246"/>
        <v>3.7584057594229781E-2</v>
      </c>
      <c r="Y260" s="3">
        <f t="shared" si="246"/>
        <v>3.7511396278440287E-2</v>
      </c>
      <c r="Z260" s="3">
        <f t="shared" si="246"/>
        <v>3.6792464674950079E-2</v>
      </c>
      <c r="AA260" s="3">
        <f t="shared" si="246"/>
        <v>3.0319036533777884E-2</v>
      </c>
      <c r="AB260" s="3">
        <f t="shared" si="246"/>
        <v>4.3780482544288346E-3</v>
      </c>
      <c r="AC260" s="3">
        <f t="shared" si="246"/>
        <v>1.7255677709140106E-11</v>
      </c>
      <c r="AD260" s="3">
        <f t="shared" si="246"/>
        <v>1.5611577431778633E-95</v>
      </c>
      <c r="AE260" s="3">
        <f t="shared" si="246"/>
        <v>0</v>
      </c>
      <c r="AF260" s="3">
        <f t="shared" si="246"/>
        <v>0</v>
      </c>
      <c r="AG260" s="3"/>
      <c r="AH260" s="3"/>
    </row>
    <row r="261" spans="2:34" x14ac:dyDescent="0.25">
      <c r="B261" s="3">
        <f t="shared" ref="B261:AF261" si="247">$C30*EXP(-B$246/$A30/EXP(-$E$126))</f>
        <v>7.6036322594280207E-3</v>
      </c>
      <c r="C261" s="3">
        <f t="shared" si="247"/>
        <v>7.6036322594280207E-3</v>
      </c>
      <c r="D261" s="3">
        <f t="shared" si="247"/>
        <v>7.6036322594280207E-3</v>
      </c>
      <c r="E261" s="3">
        <f t="shared" si="247"/>
        <v>7.6036322594280207E-3</v>
      </c>
      <c r="F261" s="3">
        <f t="shared" si="247"/>
        <v>7.6036322594280207E-3</v>
      </c>
      <c r="G261" s="3">
        <f t="shared" si="247"/>
        <v>7.6036322594280207E-3</v>
      </c>
      <c r="H261" s="3">
        <f t="shared" si="247"/>
        <v>7.6036322594280207E-3</v>
      </c>
      <c r="I261" s="3">
        <f t="shared" si="247"/>
        <v>7.6036322594280207E-3</v>
      </c>
      <c r="J261" s="3">
        <f t="shared" si="247"/>
        <v>7.6036322594280207E-3</v>
      </c>
      <c r="K261" s="3">
        <f t="shared" si="247"/>
        <v>7.6036322594280207E-3</v>
      </c>
      <c r="L261" s="3">
        <f t="shared" si="247"/>
        <v>7.6036322594280207E-3</v>
      </c>
      <c r="M261" s="3">
        <f t="shared" si="247"/>
        <v>7.6036322594280189E-3</v>
      </c>
      <c r="N261" s="3">
        <f t="shared" si="247"/>
        <v>7.6036322594280059E-3</v>
      </c>
      <c r="O261" s="3">
        <f t="shared" si="247"/>
        <v>7.6036322594278732E-3</v>
      </c>
      <c r="P261" s="3">
        <f t="shared" si="247"/>
        <v>7.6036322594265461E-3</v>
      </c>
      <c r="Q261" s="3">
        <f t="shared" si="247"/>
        <v>7.603632259413272E-3</v>
      </c>
      <c r="R261" s="3">
        <f t="shared" si="247"/>
        <v>7.6036322592805371E-3</v>
      </c>
      <c r="S261" s="3">
        <f t="shared" si="247"/>
        <v>7.6036322579531804E-3</v>
      </c>
      <c r="T261" s="3">
        <f t="shared" si="247"/>
        <v>7.6036322446796202E-3</v>
      </c>
      <c r="U261" s="3">
        <f t="shared" si="247"/>
        <v>7.6036321119440147E-3</v>
      </c>
      <c r="V261" s="3">
        <f t="shared" si="247"/>
        <v>7.6036307845880925E-3</v>
      </c>
      <c r="W261" s="3">
        <f t="shared" si="247"/>
        <v>7.6036175110416127E-3</v>
      </c>
      <c r="X261" s="3">
        <f t="shared" si="247"/>
        <v>7.6034847768512359E-3</v>
      </c>
      <c r="Y261" s="3">
        <f t="shared" si="247"/>
        <v>7.6021575623814591E-3</v>
      </c>
      <c r="Z261" s="3">
        <f t="shared" si="247"/>
        <v>7.5888981528558922E-3</v>
      </c>
      <c r="AA261" s="3">
        <f t="shared" si="247"/>
        <v>7.4575693873884163E-3</v>
      </c>
      <c r="AB261" s="3">
        <f t="shared" si="247"/>
        <v>6.2630097447504349E-3</v>
      </c>
      <c r="AC261" s="3">
        <f t="shared" si="247"/>
        <v>1.0930522767391478E-3</v>
      </c>
      <c r="AD261" s="3">
        <f t="shared" si="247"/>
        <v>2.8656252200433665E-11</v>
      </c>
      <c r="AE261" s="3">
        <f t="shared" si="247"/>
        <v>4.3954562923817822E-87</v>
      </c>
      <c r="AF261" s="3">
        <f t="shared" si="247"/>
        <v>0</v>
      </c>
      <c r="AG261" s="3"/>
      <c r="AH261" s="3"/>
    </row>
    <row r="262" spans="2:34" x14ac:dyDescent="0.25">
      <c r="B262" s="3">
        <f t="shared" ref="B262:AF262" si="248">$C31*EXP(-B$246/$A31/EXP(-$E$126))</f>
        <v>4.6601949201853935E-3</v>
      </c>
      <c r="C262" s="3">
        <f t="shared" si="248"/>
        <v>4.6601949201853935E-3</v>
      </c>
      <c r="D262" s="3">
        <f t="shared" si="248"/>
        <v>4.6601949201853935E-3</v>
      </c>
      <c r="E262" s="3">
        <f t="shared" si="248"/>
        <v>4.6601949201853935E-3</v>
      </c>
      <c r="F262" s="3">
        <f t="shared" si="248"/>
        <v>4.6601949201853935E-3</v>
      </c>
      <c r="G262" s="3">
        <f t="shared" si="248"/>
        <v>4.6601949201853935E-3</v>
      </c>
      <c r="H262" s="3">
        <f t="shared" si="248"/>
        <v>4.6601949201853935E-3</v>
      </c>
      <c r="I262" s="3">
        <f t="shared" si="248"/>
        <v>4.6601949201853935E-3</v>
      </c>
      <c r="J262" s="3">
        <f t="shared" si="248"/>
        <v>4.6601949201853935E-3</v>
      </c>
      <c r="K262" s="3">
        <f t="shared" si="248"/>
        <v>4.6601949201853935E-3</v>
      </c>
      <c r="L262" s="3">
        <f t="shared" si="248"/>
        <v>4.6601949201853935E-3</v>
      </c>
      <c r="M262" s="3">
        <f t="shared" si="248"/>
        <v>4.6601949201853935E-3</v>
      </c>
      <c r="N262" s="3">
        <f t="shared" si="248"/>
        <v>4.6601949201853926E-3</v>
      </c>
      <c r="O262" s="3">
        <f t="shared" si="248"/>
        <v>4.6601949201853848E-3</v>
      </c>
      <c r="P262" s="3">
        <f t="shared" si="248"/>
        <v>4.6601949201853119E-3</v>
      </c>
      <c r="Q262" s="3">
        <f t="shared" si="248"/>
        <v>4.6601949201845782E-3</v>
      </c>
      <c r="R262" s="3">
        <f t="shared" si="248"/>
        <v>4.6601949201772394E-3</v>
      </c>
      <c r="S262" s="3">
        <f t="shared" si="248"/>
        <v>4.6601949201038528E-3</v>
      </c>
      <c r="T262" s="3">
        <f t="shared" si="248"/>
        <v>4.6601949193699867E-3</v>
      </c>
      <c r="U262" s="3">
        <f t="shared" si="248"/>
        <v>4.6601949120313223E-3</v>
      </c>
      <c r="V262" s="3">
        <f t="shared" si="248"/>
        <v>4.6601948386446827E-3</v>
      </c>
      <c r="W262" s="3">
        <f t="shared" si="248"/>
        <v>4.6601941047783486E-3</v>
      </c>
      <c r="X262" s="3">
        <f t="shared" si="248"/>
        <v>4.6601867661213653E-3</v>
      </c>
      <c r="Y262" s="3">
        <f t="shared" si="248"/>
        <v>4.66011338018714E-3</v>
      </c>
      <c r="Z262" s="3">
        <f t="shared" si="248"/>
        <v>4.6593795844020458E-3</v>
      </c>
      <c r="AA262" s="3">
        <f t="shared" si="248"/>
        <v>4.6520479785657773E-3</v>
      </c>
      <c r="AB262" s="3">
        <f t="shared" si="248"/>
        <v>4.5793634361478725E-3</v>
      </c>
      <c r="AC262" s="3">
        <f t="shared" si="248"/>
        <v>3.9121399520595252E-3</v>
      </c>
      <c r="AD262" s="3">
        <f t="shared" si="248"/>
        <v>8.1004116252994128E-4</v>
      </c>
      <c r="AE262" s="3">
        <f t="shared" si="248"/>
        <v>1.1733677391055168E-10</v>
      </c>
      <c r="AF262" s="3">
        <f t="shared" si="248"/>
        <v>4.772046809745063E-79</v>
      </c>
      <c r="AG262" s="3"/>
      <c r="AH262" s="3"/>
    </row>
    <row r="263" spans="2:34" x14ac:dyDescent="0.25">
      <c r="B263" s="3">
        <f t="shared" ref="B263:AF263" si="249">$C32*EXP(-B$246/$A32/EXP(-$E$126))</f>
        <v>1.548728015482176E-3</v>
      </c>
      <c r="C263" s="3">
        <f t="shared" si="249"/>
        <v>1.548728015482176E-3</v>
      </c>
      <c r="D263" s="3">
        <f t="shared" si="249"/>
        <v>1.548728015482176E-3</v>
      </c>
      <c r="E263" s="3">
        <f t="shared" si="249"/>
        <v>1.548728015482176E-3</v>
      </c>
      <c r="F263" s="3">
        <f t="shared" si="249"/>
        <v>1.548728015482176E-3</v>
      </c>
      <c r="G263" s="3">
        <f t="shared" si="249"/>
        <v>1.548728015482176E-3</v>
      </c>
      <c r="H263" s="3">
        <f t="shared" si="249"/>
        <v>1.548728015482176E-3</v>
      </c>
      <c r="I263" s="3">
        <f t="shared" si="249"/>
        <v>1.548728015482176E-3</v>
      </c>
      <c r="J263" s="3">
        <f t="shared" si="249"/>
        <v>1.548728015482176E-3</v>
      </c>
      <c r="K263" s="3">
        <f t="shared" si="249"/>
        <v>1.548728015482176E-3</v>
      </c>
      <c r="L263" s="3">
        <f t="shared" si="249"/>
        <v>1.548728015482176E-3</v>
      </c>
      <c r="M263" s="3">
        <f t="shared" si="249"/>
        <v>1.548728015482176E-3</v>
      </c>
      <c r="N263" s="3">
        <f t="shared" si="249"/>
        <v>1.548728015482176E-3</v>
      </c>
      <c r="O263" s="3">
        <f t="shared" si="249"/>
        <v>1.5487280154821757E-3</v>
      </c>
      <c r="P263" s="3">
        <f t="shared" si="249"/>
        <v>1.5487280154821736E-3</v>
      </c>
      <c r="Q263" s="3">
        <f t="shared" si="249"/>
        <v>1.5487280154821515E-3</v>
      </c>
      <c r="R263" s="3">
        <f t="shared" si="249"/>
        <v>1.5487280154819314E-3</v>
      </c>
      <c r="S263" s="3">
        <f t="shared" si="249"/>
        <v>1.5487280154797315E-3</v>
      </c>
      <c r="T263" s="3">
        <f t="shared" si="249"/>
        <v>1.5487280154577307E-3</v>
      </c>
      <c r="U263" s="3">
        <f t="shared" si="249"/>
        <v>1.5487280152377248E-3</v>
      </c>
      <c r="V263" s="3">
        <f t="shared" si="249"/>
        <v>1.5487280130376641E-3</v>
      </c>
      <c r="W263" s="3">
        <f t="shared" si="249"/>
        <v>1.5487279910370568E-3</v>
      </c>
      <c r="X263" s="3">
        <f t="shared" si="249"/>
        <v>1.5487277710310025E-3</v>
      </c>
      <c r="Y263" s="3">
        <f t="shared" si="249"/>
        <v>1.5487255709721779E-3</v>
      </c>
      <c r="Z263" s="3">
        <f t="shared" si="249"/>
        <v>1.5487035705558233E-3</v>
      </c>
      <c r="AA263" s="3">
        <f t="shared" si="249"/>
        <v>1.5484835835805212E-3</v>
      </c>
      <c r="AB263" s="3">
        <f t="shared" si="249"/>
        <v>1.5462854317488243E-3</v>
      </c>
      <c r="AC263" s="3">
        <f t="shared" si="249"/>
        <v>1.5244748060334878E-3</v>
      </c>
      <c r="AD263" s="3">
        <f t="shared" si="249"/>
        <v>1.3225927080491653E-3</v>
      </c>
      <c r="AE263" s="3">
        <f t="shared" si="249"/>
        <v>3.1951028949202883E-4</v>
      </c>
      <c r="AF263" s="3">
        <f t="shared" si="249"/>
        <v>2.1630775823786601E-10</v>
      </c>
      <c r="AG263" s="3"/>
      <c r="AH263" s="3"/>
    </row>
    <row r="264" spans="2:34" x14ac:dyDescent="0.25">
      <c r="B264" s="3">
        <f t="shared" ref="B264:AF264" si="250">$C33*EXP(-B$246/$A33/EXP(-$E$126))</f>
        <v>1.7981576820785483E-3</v>
      </c>
      <c r="C264" s="3">
        <f t="shared" si="250"/>
        <v>1.7981576820785483E-3</v>
      </c>
      <c r="D264" s="3">
        <f t="shared" si="250"/>
        <v>1.7981576820785483E-3</v>
      </c>
      <c r="E264" s="3">
        <f t="shared" si="250"/>
        <v>1.7981576820785483E-3</v>
      </c>
      <c r="F264" s="3">
        <f t="shared" si="250"/>
        <v>1.7981576820785483E-3</v>
      </c>
      <c r="G264" s="3">
        <f t="shared" si="250"/>
        <v>1.7981576820785483E-3</v>
      </c>
      <c r="H264" s="3">
        <f t="shared" si="250"/>
        <v>1.7981576820785483E-3</v>
      </c>
      <c r="I264" s="3">
        <f t="shared" si="250"/>
        <v>1.7981576820785483E-3</v>
      </c>
      <c r="J264" s="3">
        <f t="shared" si="250"/>
        <v>1.7981576820785483E-3</v>
      </c>
      <c r="K264" s="3">
        <f t="shared" si="250"/>
        <v>1.7981576820785483E-3</v>
      </c>
      <c r="L264" s="3">
        <f t="shared" si="250"/>
        <v>1.7981576820785483E-3</v>
      </c>
      <c r="M264" s="3">
        <f t="shared" si="250"/>
        <v>1.7981576820785483E-3</v>
      </c>
      <c r="N264" s="3">
        <f t="shared" si="250"/>
        <v>1.7981576820785483E-3</v>
      </c>
      <c r="O264" s="3">
        <f t="shared" si="250"/>
        <v>1.7981576820785483E-3</v>
      </c>
      <c r="P264" s="3">
        <f t="shared" si="250"/>
        <v>1.798157682078548E-3</v>
      </c>
      <c r="Q264" s="3">
        <f t="shared" si="250"/>
        <v>1.7981576820785457E-3</v>
      </c>
      <c r="R264" s="3">
        <f t="shared" si="250"/>
        <v>1.7981576820785227E-3</v>
      </c>
      <c r="S264" s="3">
        <f t="shared" si="250"/>
        <v>1.7981576820782924E-3</v>
      </c>
      <c r="T264" s="3">
        <f t="shared" si="250"/>
        <v>1.798157682075988E-3</v>
      </c>
      <c r="U264" s="3">
        <f t="shared" si="250"/>
        <v>1.7981576820529453E-3</v>
      </c>
      <c r="V264" s="3">
        <f t="shared" si="250"/>
        <v>1.798157681822518E-3</v>
      </c>
      <c r="W264" s="3">
        <f t="shared" si="250"/>
        <v>1.7981576795182452E-3</v>
      </c>
      <c r="X264" s="3">
        <f t="shared" si="250"/>
        <v>1.7981576564755181E-3</v>
      </c>
      <c r="Y264" s="3">
        <f t="shared" si="250"/>
        <v>1.7981574260482638E-3</v>
      </c>
      <c r="Z264" s="3">
        <f t="shared" si="250"/>
        <v>1.7981551217773435E-3</v>
      </c>
      <c r="AA264" s="3">
        <f t="shared" si="250"/>
        <v>1.7981320792305464E-3</v>
      </c>
      <c r="AB264" s="3">
        <f t="shared" si="250"/>
        <v>1.7979016700023437E-3</v>
      </c>
      <c r="AC264" s="3">
        <f t="shared" si="250"/>
        <v>1.7955992009272912E-3</v>
      </c>
      <c r="AD264" s="3">
        <f t="shared" si="250"/>
        <v>1.7727360638758502E-3</v>
      </c>
      <c r="AE264" s="3">
        <f t="shared" si="250"/>
        <v>1.559519625500374E-3</v>
      </c>
      <c r="AF264" s="3">
        <f t="shared" si="250"/>
        <v>4.3297068189299576E-4</v>
      </c>
      <c r="AG264" s="3"/>
      <c r="AH264" s="3"/>
    </row>
    <row r="265" spans="2:34" x14ac:dyDescent="0.25">
      <c r="B265" s="3">
        <f t="shared" ref="B265:AF265" si="251">$C34*EXP(-B$246/$A34/EXP(-$E$126))</f>
        <v>4.3198756825701184E-3</v>
      </c>
      <c r="C265" s="3">
        <f t="shared" si="251"/>
        <v>4.3198756825701184E-3</v>
      </c>
      <c r="D265" s="3">
        <f t="shared" si="251"/>
        <v>4.3198756825701184E-3</v>
      </c>
      <c r="E265" s="3">
        <f t="shared" si="251"/>
        <v>4.3198756825701184E-3</v>
      </c>
      <c r="F265" s="3">
        <f t="shared" si="251"/>
        <v>4.3198756825701184E-3</v>
      </c>
      <c r="G265" s="3">
        <f t="shared" si="251"/>
        <v>4.3198756825701184E-3</v>
      </c>
      <c r="H265" s="3">
        <f t="shared" si="251"/>
        <v>4.3198756825701184E-3</v>
      </c>
      <c r="I265" s="3">
        <f t="shared" si="251"/>
        <v>4.3198756825701184E-3</v>
      </c>
      <c r="J265" s="3">
        <f t="shared" si="251"/>
        <v>4.3198756825701184E-3</v>
      </c>
      <c r="K265" s="3">
        <f t="shared" si="251"/>
        <v>4.3198756825701184E-3</v>
      </c>
      <c r="L265" s="3">
        <f t="shared" si="251"/>
        <v>4.3198756825701184E-3</v>
      </c>
      <c r="M265" s="3">
        <f t="shared" si="251"/>
        <v>4.3198756825701184E-3</v>
      </c>
      <c r="N265" s="3">
        <f t="shared" si="251"/>
        <v>4.3198756825701184E-3</v>
      </c>
      <c r="O265" s="3">
        <f t="shared" si="251"/>
        <v>4.3198756825701184E-3</v>
      </c>
      <c r="P265" s="3">
        <f t="shared" si="251"/>
        <v>4.3198756825701184E-3</v>
      </c>
      <c r="Q265" s="3">
        <f t="shared" si="251"/>
        <v>4.3198756825701175E-3</v>
      </c>
      <c r="R265" s="3">
        <f t="shared" si="251"/>
        <v>4.3198756825701123E-3</v>
      </c>
      <c r="S265" s="3">
        <f t="shared" si="251"/>
        <v>4.3198756825700629E-3</v>
      </c>
      <c r="T265" s="3">
        <f t="shared" si="251"/>
        <v>4.3198756825695633E-3</v>
      </c>
      <c r="U265" s="3">
        <f t="shared" si="251"/>
        <v>4.3198756825645699E-3</v>
      </c>
      <c r="V265" s="3">
        <f t="shared" si="251"/>
        <v>4.3198756825146324E-3</v>
      </c>
      <c r="W265" s="3">
        <f t="shared" si="251"/>
        <v>4.319875682015261E-3</v>
      </c>
      <c r="X265" s="3">
        <f t="shared" si="251"/>
        <v>4.3198756770215438E-3</v>
      </c>
      <c r="Y265" s="3">
        <f t="shared" si="251"/>
        <v>4.3198756270843722E-3</v>
      </c>
      <c r="Z265" s="3">
        <f t="shared" si="251"/>
        <v>4.319875127712685E-3</v>
      </c>
      <c r="AA265" s="3">
        <f t="shared" si="251"/>
        <v>4.3198701339989881E-3</v>
      </c>
      <c r="AB265" s="3">
        <f t="shared" si="251"/>
        <v>4.3198201971795152E-3</v>
      </c>
      <c r="AC265" s="3">
        <f t="shared" si="251"/>
        <v>4.3193208607329586E-3</v>
      </c>
      <c r="AD265" s="3">
        <f t="shared" si="251"/>
        <v>4.314330669726872E-3</v>
      </c>
      <c r="AE265" s="3">
        <f t="shared" si="251"/>
        <v>4.2647447524648543E-3</v>
      </c>
      <c r="AF265" s="3">
        <f t="shared" si="251"/>
        <v>3.7991740939314444E-3</v>
      </c>
      <c r="AG265" s="3"/>
      <c r="AH265" s="3"/>
    </row>
    <row r="266" spans="2:34" x14ac:dyDescent="0.25">
      <c r="B266" s="3">
        <f t="shared" ref="B266:AF266" si="252">$C35*EXP(-B$246/$A35/EXP(-$E$126))</f>
        <v>3.4800152588185828E-3</v>
      </c>
      <c r="C266" s="3">
        <f t="shared" si="252"/>
        <v>3.4800152588185828E-3</v>
      </c>
      <c r="D266" s="3">
        <f t="shared" si="252"/>
        <v>3.4800152588185828E-3</v>
      </c>
      <c r="E266" s="3">
        <f t="shared" si="252"/>
        <v>3.4800152588185828E-3</v>
      </c>
      <c r="F266" s="3">
        <f t="shared" si="252"/>
        <v>3.4800152588185828E-3</v>
      </c>
      <c r="G266" s="3">
        <f t="shared" si="252"/>
        <v>3.4800152588185828E-3</v>
      </c>
      <c r="H266" s="3">
        <f t="shared" si="252"/>
        <v>3.4800152588185828E-3</v>
      </c>
      <c r="I266" s="3">
        <f t="shared" si="252"/>
        <v>3.4800152588185828E-3</v>
      </c>
      <c r="J266" s="3">
        <f t="shared" si="252"/>
        <v>3.4800152588185828E-3</v>
      </c>
      <c r="K266" s="3">
        <f t="shared" si="252"/>
        <v>3.4800152588185828E-3</v>
      </c>
      <c r="L266" s="3">
        <f t="shared" si="252"/>
        <v>3.4800152588185828E-3</v>
      </c>
      <c r="M266" s="3">
        <f t="shared" si="252"/>
        <v>3.4800152588185828E-3</v>
      </c>
      <c r="N266" s="3">
        <f t="shared" si="252"/>
        <v>3.4800152588185828E-3</v>
      </c>
      <c r="O266" s="3">
        <f t="shared" si="252"/>
        <v>3.4800152588185828E-3</v>
      </c>
      <c r="P266" s="3">
        <f t="shared" si="252"/>
        <v>3.4800152588185828E-3</v>
      </c>
      <c r="Q266" s="3">
        <f t="shared" si="252"/>
        <v>3.4800152588185828E-3</v>
      </c>
      <c r="R266" s="3">
        <f t="shared" si="252"/>
        <v>3.4800152588185824E-3</v>
      </c>
      <c r="S266" s="3">
        <f t="shared" si="252"/>
        <v>3.4800152588185789E-3</v>
      </c>
      <c r="T266" s="3">
        <f t="shared" si="252"/>
        <v>3.4800152588185425E-3</v>
      </c>
      <c r="U266" s="3">
        <f t="shared" si="252"/>
        <v>3.4800152588181795E-3</v>
      </c>
      <c r="V266" s="3">
        <f t="shared" si="252"/>
        <v>3.4800152588145509E-3</v>
      </c>
      <c r="W266" s="3">
        <f t="shared" si="252"/>
        <v>3.4800152587782613E-3</v>
      </c>
      <c r="X266" s="3">
        <f t="shared" si="252"/>
        <v>3.4800152584153667E-3</v>
      </c>
      <c r="Y266" s="3">
        <f t="shared" si="252"/>
        <v>3.4800152547864211E-3</v>
      </c>
      <c r="Z266" s="3">
        <f t="shared" si="252"/>
        <v>3.4800152184969674E-3</v>
      </c>
      <c r="AA266" s="3">
        <f t="shared" si="252"/>
        <v>3.4800148556024483E-3</v>
      </c>
      <c r="AB266" s="3">
        <f t="shared" si="252"/>
        <v>3.4800112266593396E-3</v>
      </c>
      <c r="AC266" s="3">
        <f t="shared" si="252"/>
        <v>3.4799749374363879E-3</v>
      </c>
      <c r="AD266" s="3">
        <f t="shared" si="252"/>
        <v>3.4796120660193454E-3</v>
      </c>
      <c r="AE266" s="3">
        <f t="shared" si="252"/>
        <v>3.4759854322939515E-3</v>
      </c>
      <c r="AF266" s="3">
        <f t="shared" si="252"/>
        <v>3.4399263390695141E-3</v>
      </c>
      <c r="AG266" s="3"/>
      <c r="AH266" s="3"/>
    </row>
    <row r="267" spans="2:34" x14ac:dyDescent="0.25">
      <c r="B267" s="3">
        <f t="shared" ref="B267:AF267" si="253">$C36*EXP(-B$246/$A36/EXP(-$E$126))</f>
        <v>2.0367681547460849E-3</v>
      </c>
      <c r="C267" s="3">
        <f t="shared" si="253"/>
        <v>2.0367681547460849E-3</v>
      </c>
      <c r="D267" s="3">
        <f t="shared" si="253"/>
        <v>2.0367681547460849E-3</v>
      </c>
      <c r="E267" s="3">
        <f t="shared" si="253"/>
        <v>2.0367681547460849E-3</v>
      </c>
      <c r="F267" s="3">
        <f t="shared" si="253"/>
        <v>2.0367681547460849E-3</v>
      </c>
      <c r="G267" s="3">
        <f t="shared" si="253"/>
        <v>2.0367681547460849E-3</v>
      </c>
      <c r="H267" s="3">
        <f t="shared" si="253"/>
        <v>2.0367681547460849E-3</v>
      </c>
      <c r="I267" s="3">
        <f t="shared" si="253"/>
        <v>2.0367681547460849E-3</v>
      </c>
      <c r="J267" s="3">
        <f t="shared" si="253"/>
        <v>2.0367681547460849E-3</v>
      </c>
      <c r="K267" s="3">
        <f t="shared" si="253"/>
        <v>2.0367681547460849E-3</v>
      </c>
      <c r="L267" s="3">
        <f t="shared" si="253"/>
        <v>2.0367681547460849E-3</v>
      </c>
      <c r="M267" s="3">
        <f t="shared" si="253"/>
        <v>2.0367681547460849E-3</v>
      </c>
      <c r="N267" s="3">
        <f t="shared" si="253"/>
        <v>2.0367681547460849E-3</v>
      </c>
      <c r="O267" s="3">
        <f t="shared" si="253"/>
        <v>2.0367681547460849E-3</v>
      </c>
      <c r="P267" s="3">
        <f t="shared" si="253"/>
        <v>2.0367681547460849E-3</v>
      </c>
      <c r="Q267" s="3">
        <f t="shared" si="253"/>
        <v>2.0367681547460849E-3</v>
      </c>
      <c r="R267" s="3">
        <f t="shared" si="253"/>
        <v>2.0367681547460849E-3</v>
      </c>
      <c r="S267" s="3">
        <f t="shared" si="253"/>
        <v>2.0367681547460844E-3</v>
      </c>
      <c r="T267" s="3">
        <f t="shared" si="253"/>
        <v>2.0367681547460827E-3</v>
      </c>
      <c r="U267" s="3">
        <f t="shared" si="253"/>
        <v>2.0367681547460636E-3</v>
      </c>
      <c r="V267" s="3">
        <f t="shared" si="253"/>
        <v>2.0367681547458719E-3</v>
      </c>
      <c r="W267" s="3">
        <f t="shared" si="253"/>
        <v>2.0367681547439559E-3</v>
      </c>
      <c r="X267" s="3">
        <f t="shared" si="253"/>
        <v>2.0367681547247963E-3</v>
      </c>
      <c r="Y267" s="3">
        <f t="shared" si="253"/>
        <v>2.0367681545332E-3</v>
      </c>
      <c r="Z267" s="3">
        <f t="shared" si="253"/>
        <v>2.0367681526172353E-3</v>
      </c>
      <c r="AA267" s="3">
        <f t="shared" si="253"/>
        <v>2.0367681334575896E-3</v>
      </c>
      <c r="AB267" s="3">
        <f t="shared" si="253"/>
        <v>2.036767941861143E-3</v>
      </c>
      <c r="AC267" s="3">
        <f t="shared" si="253"/>
        <v>2.0367660258976679E-3</v>
      </c>
      <c r="AD267" s="3">
        <f t="shared" si="253"/>
        <v>2.0367468663620445E-3</v>
      </c>
      <c r="AE267" s="3">
        <f t="shared" si="253"/>
        <v>2.0365552809182203E-3</v>
      </c>
      <c r="AF267" s="3">
        <f t="shared" si="253"/>
        <v>2.0346404173760377E-3</v>
      </c>
      <c r="AG267" s="3"/>
      <c r="AH267" s="3"/>
    </row>
    <row r="268" spans="2:34" x14ac:dyDescent="0.25">
      <c r="B268" s="3">
        <f t="shared" ref="B268:AF268" si="254">$C37*EXP(-B$246/$A37/EXP(-$E$126))</f>
        <v>1.2781847248259422E-3</v>
      </c>
      <c r="C268" s="3">
        <f t="shared" si="254"/>
        <v>1.2781847248259422E-3</v>
      </c>
      <c r="D268" s="3">
        <f t="shared" si="254"/>
        <v>1.2781847248259422E-3</v>
      </c>
      <c r="E268" s="3">
        <f t="shared" si="254"/>
        <v>1.2781847248259422E-3</v>
      </c>
      <c r="F268" s="3">
        <f t="shared" si="254"/>
        <v>1.2781847248259422E-3</v>
      </c>
      <c r="G268" s="3">
        <f t="shared" si="254"/>
        <v>1.2781847248259422E-3</v>
      </c>
      <c r="H268" s="3">
        <f t="shared" si="254"/>
        <v>1.2781847248259422E-3</v>
      </c>
      <c r="I268" s="3">
        <f t="shared" si="254"/>
        <v>1.2781847248259422E-3</v>
      </c>
      <c r="J268" s="3">
        <f t="shared" si="254"/>
        <v>1.2781847248259422E-3</v>
      </c>
      <c r="K268" s="3">
        <f t="shared" si="254"/>
        <v>1.2781847248259422E-3</v>
      </c>
      <c r="L268" s="3">
        <f t="shared" si="254"/>
        <v>1.2781847248259422E-3</v>
      </c>
      <c r="M268" s="3">
        <f t="shared" si="254"/>
        <v>1.2781847248259422E-3</v>
      </c>
      <c r="N268" s="3">
        <f t="shared" si="254"/>
        <v>1.2781847248259422E-3</v>
      </c>
      <c r="O268" s="3">
        <f t="shared" si="254"/>
        <v>1.2781847248259422E-3</v>
      </c>
      <c r="P268" s="3">
        <f t="shared" si="254"/>
        <v>1.2781847248259422E-3</v>
      </c>
      <c r="Q268" s="3">
        <f t="shared" si="254"/>
        <v>1.2781847248259422E-3</v>
      </c>
      <c r="R268" s="3">
        <f t="shared" si="254"/>
        <v>1.2781847248259422E-3</v>
      </c>
      <c r="S268" s="3">
        <f t="shared" si="254"/>
        <v>1.2781847248259422E-3</v>
      </c>
      <c r="T268" s="3">
        <f t="shared" si="254"/>
        <v>1.278184724825942E-3</v>
      </c>
      <c r="U268" s="3">
        <f t="shared" si="254"/>
        <v>1.2781847248259412E-3</v>
      </c>
      <c r="V268" s="3">
        <f t="shared" si="254"/>
        <v>1.2781847248259301E-3</v>
      </c>
      <c r="W268" s="3">
        <f t="shared" si="254"/>
        <v>1.2781847248258217E-3</v>
      </c>
      <c r="X268" s="3">
        <f t="shared" si="254"/>
        <v>1.278184724824737E-3</v>
      </c>
      <c r="Y268" s="3">
        <f t="shared" si="254"/>
        <v>1.2781847248138907E-3</v>
      </c>
      <c r="Z268" s="3">
        <f t="shared" si="254"/>
        <v>1.2781847247054267E-3</v>
      </c>
      <c r="AA268" s="3">
        <f t="shared" si="254"/>
        <v>1.2781847236207854E-3</v>
      </c>
      <c r="AB268" s="3">
        <f t="shared" si="254"/>
        <v>1.2781847127743735E-3</v>
      </c>
      <c r="AC268" s="3">
        <f t="shared" si="254"/>
        <v>1.27818460431026E-3</v>
      </c>
      <c r="AD268" s="3">
        <f t="shared" si="254"/>
        <v>1.278183519669632E-3</v>
      </c>
      <c r="AE268" s="3">
        <f t="shared" si="254"/>
        <v>1.2781726733139724E-3</v>
      </c>
      <c r="AF268" s="3">
        <f t="shared" si="254"/>
        <v>1.2780642148194235E-3</v>
      </c>
      <c r="AG268" s="3"/>
      <c r="AH268" s="3"/>
    </row>
    <row r="269" spans="2:34" x14ac:dyDescent="0.25">
      <c r="B269" s="3">
        <f t="shared" ref="B269:AF269" si="255">$C38*EXP(-B$246/$A38/EXP(-$E$126))</f>
        <v>3.444457645749161E-4</v>
      </c>
      <c r="C269" s="3">
        <f t="shared" si="255"/>
        <v>3.444457645749161E-4</v>
      </c>
      <c r="D269" s="3">
        <f t="shared" si="255"/>
        <v>3.444457645749161E-4</v>
      </c>
      <c r="E269" s="3">
        <f t="shared" si="255"/>
        <v>3.444457645749161E-4</v>
      </c>
      <c r="F269" s="3">
        <f t="shared" si="255"/>
        <v>3.444457645749161E-4</v>
      </c>
      <c r="G269" s="3">
        <f t="shared" si="255"/>
        <v>3.444457645749161E-4</v>
      </c>
      <c r="H269" s="3">
        <f t="shared" si="255"/>
        <v>3.444457645749161E-4</v>
      </c>
      <c r="I269" s="3">
        <f t="shared" si="255"/>
        <v>3.444457645749161E-4</v>
      </c>
      <c r="J269" s="3">
        <f t="shared" si="255"/>
        <v>3.444457645749161E-4</v>
      </c>
      <c r="K269" s="3">
        <f t="shared" si="255"/>
        <v>3.444457645749161E-4</v>
      </c>
      <c r="L269" s="3">
        <f t="shared" si="255"/>
        <v>3.444457645749161E-4</v>
      </c>
      <c r="M269" s="3">
        <f t="shared" si="255"/>
        <v>3.444457645749161E-4</v>
      </c>
      <c r="N269" s="3">
        <f t="shared" si="255"/>
        <v>3.444457645749161E-4</v>
      </c>
      <c r="O269" s="3">
        <f t="shared" si="255"/>
        <v>3.444457645749161E-4</v>
      </c>
      <c r="P269" s="3">
        <f t="shared" si="255"/>
        <v>3.444457645749161E-4</v>
      </c>
      <c r="Q269" s="3">
        <f t="shared" si="255"/>
        <v>3.444457645749161E-4</v>
      </c>
      <c r="R269" s="3">
        <f t="shared" si="255"/>
        <v>3.444457645749161E-4</v>
      </c>
      <c r="S269" s="3">
        <f t="shared" si="255"/>
        <v>3.444457645749161E-4</v>
      </c>
      <c r="T269" s="3">
        <f t="shared" si="255"/>
        <v>3.444457645749161E-4</v>
      </c>
      <c r="U269" s="3">
        <f t="shared" si="255"/>
        <v>3.4444576457491605E-4</v>
      </c>
      <c r="V269" s="3">
        <f t="shared" si="255"/>
        <v>3.4444576457491578E-4</v>
      </c>
      <c r="W269" s="3">
        <f t="shared" si="255"/>
        <v>3.4444576457491317E-4</v>
      </c>
      <c r="X269" s="3">
        <f t="shared" si="255"/>
        <v>3.4444576457488683E-4</v>
      </c>
      <c r="Y269" s="3">
        <f t="shared" si="255"/>
        <v>3.4444576457462315E-4</v>
      </c>
      <c r="Z269" s="3">
        <f t="shared" si="255"/>
        <v>3.4444576457198642E-4</v>
      </c>
      <c r="AA269" s="3">
        <f t="shared" si="255"/>
        <v>3.4444576454561949E-4</v>
      </c>
      <c r="AB269" s="3">
        <f t="shared" si="255"/>
        <v>3.4444576428194998E-4</v>
      </c>
      <c r="AC269" s="3">
        <f t="shared" si="255"/>
        <v>3.4444576164525492E-4</v>
      </c>
      <c r="AD269" s="3">
        <f t="shared" si="255"/>
        <v>3.4444573527830523E-4</v>
      </c>
      <c r="AE269" s="3">
        <f t="shared" si="255"/>
        <v>3.4444547160891991E-4</v>
      </c>
      <c r="AF269" s="3">
        <f t="shared" si="255"/>
        <v>3.4444283492616719E-4</v>
      </c>
      <c r="AG269" s="3"/>
      <c r="AH269" s="3"/>
    </row>
    <row r="270" spans="2:34" x14ac:dyDescent="0.25">
      <c r="B270" s="3">
        <f t="shared" ref="B270:AF270" si="256">$C39*EXP(-B$246/$A39/EXP(-$E$126))</f>
        <v>6.1014336776090067E-4</v>
      </c>
      <c r="C270" s="3">
        <f t="shared" si="256"/>
        <v>6.1014336776090067E-4</v>
      </c>
      <c r="D270" s="3">
        <f t="shared" si="256"/>
        <v>6.1014336776090067E-4</v>
      </c>
      <c r="E270" s="3">
        <f t="shared" si="256"/>
        <v>6.1014336776090067E-4</v>
      </c>
      <c r="F270" s="3">
        <f t="shared" si="256"/>
        <v>6.1014336776090067E-4</v>
      </c>
      <c r="G270" s="3">
        <f t="shared" si="256"/>
        <v>6.1014336776090067E-4</v>
      </c>
      <c r="H270" s="3">
        <f t="shared" si="256"/>
        <v>6.1014336776090067E-4</v>
      </c>
      <c r="I270" s="3">
        <f t="shared" si="256"/>
        <v>6.1014336776090067E-4</v>
      </c>
      <c r="J270" s="3">
        <f t="shared" si="256"/>
        <v>6.1014336776090067E-4</v>
      </c>
      <c r="K270" s="3">
        <f t="shared" si="256"/>
        <v>6.1014336776090067E-4</v>
      </c>
      <c r="L270" s="3">
        <f t="shared" si="256"/>
        <v>6.1014336776090067E-4</v>
      </c>
      <c r="M270" s="3">
        <f t="shared" si="256"/>
        <v>6.1014336776090067E-4</v>
      </c>
      <c r="N270" s="3">
        <f t="shared" si="256"/>
        <v>6.1014336776090067E-4</v>
      </c>
      <c r="O270" s="3">
        <f t="shared" si="256"/>
        <v>6.1014336776090067E-4</v>
      </c>
      <c r="P270" s="3">
        <f t="shared" si="256"/>
        <v>6.1014336776090067E-4</v>
      </c>
      <c r="Q270" s="3">
        <f t="shared" si="256"/>
        <v>6.1014336776090067E-4</v>
      </c>
      <c r="R270" s="3">
        <f t="shared" si="256"/>
        <v>6.1014336776090067E-4</v>
      </c>
      <c r="S270" s="3">
        <f t="shared" si="256"/>
        <v>6.1014336776090067E-4</v>
      </c>
      <c r="T270" s="3">
        <f t="shared" si="256"/>
        <v>6.1014336776090067E-4</v>
      </c>
      <c r="U270" s="3">
        <f t="shared" si="256"/>
        <v>6.1014336776090067E-4</v>
      </c>
      <c r="V270" s="3">
        <f t="shared" si="256"/>
        <v>6.1014336776090057E-4</v>
      </c>
      <c r="W270" s="3">
        <f t="shared" si="256"/>
        <v>6.1014336776089926E-4</v>
      </c>
      <c r="X270" s="3">
        <f t="shared" si="256"/>
        <v>6.1014336776088636E-4</v>
      </c>
      <c r="Y270" s="3">
        <f t="shared" si="256"/>
        <v>6.1014336776075713E-4</v>
      </c>
      <c r="Z270" s="3">
        <f t="shared" si="256"/>
        <v>6.1014336775946541E-4</v>
      </c>
      <c r="AA270" s="3">
        <f t="shared" si="256"/>
        <v>6.1014336774654779E-4</v>
      </c>
      <c r="AB270" s="3">
        <f t="shared" si="256"/>
        <v>6.1014336761737117E-4</v>
      </c>
      <c r="AC270" s="3">
        <f t="shared" si="256"/>
        <v>6.1014336632560522E-4</v>
      </c>
      <c r="AD270" s="3">
        <f t="shared" si="256"/>
        <v>6.1014335340794641E-4</v>
      </c>
      <c r="AE270" s="3">
        <f t="shared" si="256"/>
        <v>6.1014322423137246E-4</v>
      </c>
      <c r="AF270" s="3">
        <f t="shared" si="256"/>
        <v>6.1014193246713825E-4</v>
      </c>
      <c r="AG270" s="3"/>
      <c r="AH270" s="3"/>
    </row>
    <row r="271" spans="2:34" x14ac:dyDescent="0.25">
      <c r="B271" s="3">
        <f t="shared" ref="B271:AF271" si="257">$C40*EXP(-B$246/$A40/EXP(-$E$126))</f>
        <v>2.2250933466635417E-4</v>
      </c>
      <c r="C271" s="3">
        <f t="shared" si="257"/>
        <v>2.2250933466635417E-4</v>
      </c>
      <c r="D271" s="3">
        <f t="shared" si="257"/>
        <v>2.2250933466635417E-4</v>
      </c>
      <c r="E271" s="3">
        <f t="shared" si="257"/>
        <v>2.2250933466635417E-4</v>
      </c>
      <c r="F271" s="3">
        <f t="shared" si="257"/>
        <v>2.2250933466635417E-4</v>
      </c>
      <c r="G271" s="3">
        <f t="shared" si="257"/>
        <v>2.2250933466635417E-4</v>
      </c>
      <c r="H271" s="3">
        <f t="shared" si="257"/>
        <v>2.2250933466635417E-4</v>
      </c>
      <c r="I271" s="3">
        <f t="shared" si="257"/>
        <v>2.2250933466635417E-4</v>
      </c>
      <c r="J271" s="3">
        <f t="shared" si="257"/>
        <v>2.2250933466635417E-4</v>
      </c>
      <c r="K271" s="3">
        <f t="shared" si="257"/>
        <v>2.2250933466635417E-4</v>
      </c>
      <c r="L271" s="3">
        <f t="shared" si="257"/>
        <v>2.2250933466635417E-4</v>
      </c>
      <c r="M271" s="3">
        <f t="shared" si="257"/>
        <v>2.2250933466635417E-4</v>
      </c>
      <c r="N271" s="3">
        <f t="shared" si="257"/>
        <v>2.2250933466635417E-4</v>
      </c>
      <c r="O271" s="3">
        <f t="shared" si="257"/>
        <v>2.2250933466635417E-4</v>
      </c>
      <c r="P271" s="3">
        <f t="shared" si="257"/>
        <v>2.2250933466635417E-4</v>
      </c>
      <c r="Q271" s="3">
        <f t="shared" si="257"/>
        <v>2.2250933466635417E-4</v>
      </c>
      <c r="R271" s="3">
        <f t="shared" si="257"/>
        <v>2.2250933466635417E-4</v>
      </c>
      <c r="S271" s="3">
        <f t="shared" si="257"/>
        <v>2.2250933466635417E-4</v>
      </c>
      <c r="T271" s="3">
        <f t="shared" si="257"/>
        <v>2.2250933466635417E-4</v>
      </c>
      <c r="U271" s="3">
        <f t="shared" si="257"/>
        <v>2.2250933466635417E-4</v>
      </c>
      <c r="V271" s="3">
        <f t="shared" si="257"/>
        <v>2.2250933466635417E-4</v>
      </c>
      <c r="W271" s="3">
        <f t="shared" si="257"/>
        <v>2.2250933466635411E-4</v>
      </c>
      <c r="X271" s="3">
        <f t="shared" si="257"/>
        <v>2.2250933466635365E-4</v>
      </c>
      <c r="Y271" s="3">
        <f t="shared" si="257"/>
        <v>2.2250933466634893E-4</v>
      </c>
      <c r="Z271" s="3">
        <f t="shared" si="257"/>
        <v>2.2250933466630183E-4</v>
      </c>
      <c r="AA271" s="3">
        <f t="shared" si="257"/>
        <v>2.2250933466583074E-4</v>
      </c>
      <c r="AB271" s="3">
        <f t="shared" si="257"/>
        <v>2.2250933466111988E-4</v>
      </c>
      <c r="AC271" s="3">
        <f t="shared" si="257"/>
        <v>2.2250933461401127E-4</v>
      </c>
      <c r="AD271" s="3">
        <f t="shared" si="257"/>
        <v>2.2250933414292532E-4</v>
      </c>
      <c r="AE271" s="3">
        <f t="shared" si="257"/>
        <v>2.2250932943206582E-4</v>
      </c>
      <c r="AF271" s="3">
        <f t="shared" si="257"/>
        <v>2.2250928232347622E-4</v>
      </c>
      <c r="AG271" s="3"/>
      <c r="AH271" s="3"/>
    </row>
    <row r="272" spans="2:34" x14ac:dyDescent="0.25">
      <c r="B272" s="3">
        <f t="shared" ref="B272:AF272" si="258">$C41*EXP(-B$246/$A41/EXP(-$E$126))</f>
        <v>3.0514987252664002E-4</v>
      </c>
      <c r="C272" s="3">
        <f t="shared" si="258"/>
        <v>3.0514987252664002E-4</v>
      </c>
      <c r="D272" s="3">
        <f t="shared" si="258"/>
        <v>3.0514987252664002E-4</v>
      </c>
      <c r="E272" s="3">
        <f t="shared" si="258"/>
        <v>3.0514987252664002E-4</v>
      </c>
      <c r="F272" s="3">
        <f t="shared" si="258"/>
        <v>3.0514987252664002E-4</v>
      </c>
      <c r="G272" s="3">
        <f t="shared" si="258"/>
        <v>3.0514987252664002E-4</v>
      </c>
      <c r="H272" s="3">
        <f t="shared" si="258"/>
        <v>3.0514987252664002E-4</v>
      </c>
      <c r="I272" s="3">
        <f t="shared" si="258"/>
        <v>3.0514987252664002E-4</v>
      </c>
      <c r="J272" s="3">
        <f t="shared" si="258"/>
        <v>3.0514987252664002E-4</v>
      </c>
      <c r="K272" s="3">
        <f t="shared" si="258"/>
        <v>3.0514987252664002E-4</v>
      </c>
      <c r="L272" s="3">
        <f t="shared" si="258"/>
        <v>3.0514987252664002E-4</v>
      </c>
      <c r="M272" s="3">
        <f t="shared" si="258"/>
        <v>3.0514987252664002E-4</v>
      </c>
      <c r="N272" s="3">
        <f t="shared" si="258"/>
        <v>3.0514987252664002E-4</v>
      </c>
      <c r="O272" s="3">
        <f t="shared" si="258"/>
        <v>3.0514987252664002E-4</v>
      </c>
      <c r="P272" s="3">
        <f t="shared" si="258"/>
        <v>3.0514987252664002E-4</v>
      </c>
      <c r="Q272" s="3">
        <f t="shared" si="258"/>
        <v>3.0514987252664002E-4</v>
      </c>
      <c r="R272" s="3">
        <f t="shared" si="258"/>
        <v>3.0514987252664002E-4</v>
      </c>
      <c r="S272" s="3">
        <f t="shared" si="258"/>
        <v>3.0514987252664002E-4</v>
      </c>
      <c r="T272" s="3">
        <f t="shared" si="258"/>
        <v>3.0514987252664002E-4</v>
      </c>
      <c r="U272" s="3">
        <f t="shared" si="258"/>
        <v>3.0514987252664002E-4</v>
      </c>
      <c r="V272" s="3">
        <f t="shared" si="258"/>
        <v>3.0514987252664002E-4</v>
      </c>
      <c r="W272" s="3">
        <f t="shared" si="258"/>
        <v>3.0514987252664002E-4</v>
      </c>
      <c r="X272" s="3">
        <f t="shared" si="258"/>
        <v>3.0514987252663997E-4</v>
      </c>
      <c r="Y272" s="3">
        <f t="shared" si="258"/>
        <v>3.0514987252663932E-4</v>
      </c>
      <c r="Z272" s="3">
        <f t="shared" si="258"/>
        <v>3.0514987252663287E-4</v>
      </c>
      <c r="AA272" s="3">
        <f t="shared" si="258"/>
        <v>3.0514987252656825E-4</v>
      </c>
      <c r="AB272" s="3">
        <f t="shared" si="258"/>
        <v>3.0514987252592223E-4</v>
      </c>
      <c r="AC272" s="3">
        <f t="shared" si="258"/>
        <v>3.0514987251946174E-4</v>
      </c>
      <c r="AD272" s="3">
        <f t="shared" si="258"/>
        <v>3.0514987245485684E-4</v>
      </c>
      <c r="AE272" s="3">
        <f t="shared" si="258"/>
        <v>3.0514987180880836E-4</v>
      </c>
      <c r="AF272" s="3">
        <f t="shared" si="258"/>
        <v>3.0514986534832354E-4</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6.2164799219330605E-5</v>
      </c>
      <c r="C274" s="3">
        <f t="shared" si="260"/>
        <v>6.2164799219330605E-5</v>
      </c>
      <c r="D274" s="3">
        <f t="shared" si="260"/>
        <v>6.2164799219330605E-5</v>
      </c>
      <c r="E274" s="3">
        <f t="shared" si="260"/>
        <v>6.2164799219330605E-5</v>
      </c>
      <c r="F274" s="3">
        <f t="shared" si="260"/>
        <v>6.2164799219330605E-5</v>
      </c>
      <c r="G274" s="3">
        <f t="shared" si="260"/>
        <v>6.2164799219330605E-5</v>
      </c>
      <c r="H274" s="3">
        <f t="shared" si="260"/>
        <v>6.2164799219330605E-5</v>
      </c>
      <c r="I274" s="3">
        <f t="shared" si="260"/>
        <v>6.2164799219330605E-5</v>
      </c>
      <c r="J274" s="3">
        <f t="shared" si="260"/>
        <v>6.2164799219330605E-5</v>
      </c>
      <c r="K274" s="3">
        <f t="shared" si="260"/>
        <v>6.2164799219330605E-5</v>
      </c>
      <c r="L274" s="3">
        <f t="shared" si="260"/>
        <v>6.2164799219330605E-5</v>
      </c>
      <c r="M274" s="3">
        <f t="shared" si="260"/>
        <v>6.2164799219330605E-5</v>
      </c>
      <c r="N274" s="3">
        <f t="shared" si="260"/>
        <v>6.2164799219330605E-5</v>
      </c>
      <c r="O274" s="3">
        <f t="shared" si="260"/>
        <v>6.2164799219330605E-5</v>
      </c>
      <c r="P274" s="3">
        <f t="shared" si="260"/>
        <v>6.2164799219330605E-5</v>
      </c>
      <c r="Q274" s="3">
        <f t="shared" si="260"/>
        <v>6.2164799219330605E-5</v>
      </c>
      <c r="R274" s="3">
        <f t="shared" si="260"/>
        <v>6.2164799219330605E-5</v>
      </c>
      <c r="S274" s="3">
        <f t="shared" si="260"/>
        <v>6.2164799219330605E-5</v>
      </c>
      <c r="T274" s="3">
        <f t="shared" si="260"/>
        <v>6.2164799219330605E-5</v>
      </c>
      <c r="U274" s="3">
        <f t="shared" si="260"/>
        <v>6.2164799219330605E-5</v>
      </c>
      <c r="V274" s="3">
        <f t="shared" si="260"/>
        <v>6.2164799219330605E-5</v>
      </c>
      <c r="W274" s="3">
        <f t="shared" si="260"/>
        <v>6.2164799219330605E-5</v>
      </c>
      <c r="X274" s="3">
        <f t="shared" si="260"/>
        <v>6.2164799219330605E-5</v>
      </c>
      <c r="Y274" s="3">
        <f t="shared" si="260"/>
        <v>6.2164799219330605E-5</v>
      </c>
      <c r="Z274" s="3">
        <f t="shared" si="260"/>
        <v>6.2164799219330592E-5</v>
      </c>
      <c r="AA274" s="3">
        <f t="shared" si="260"/>
        <v>6.2164799219330456E-5</v>
      </c>
      <c r="AB274" s="3">
        <f t="shared" si="260"/>
        <v>6.2164799219329141E-5</v>
      </c>
      <c r="AC274" s="3">
        <f t="shared" si="260"/>
        <v>6.2164799219315982E-5</v>
      </c>
      <c r="AD274" s="3">
        <f t="shared" si="260"/>
        <v>6.2164799219184373E-5</v>
      </c>
      <c r="AE274" s="3">
        <f t="shared" si="260"/>
        <v>6.2164799217868247E-5</v>
      </c>
      <c r="AF274" s="3">
        <f t="shared" si="260"/>
        <v>6.2164799204707022E-5</v>
      </c>
      <c r="AG274" s="3"/>
      <c r="AH274" s="3"/>
    </row>
    <row r="275" spans="1:34" x14ac:dyDescent="0.25">
      <c r="B275" s="3">
        <f t="shared" ref="B275:AF275" si="261">$C44*EXP(-B$246/$A44/EXP(-$E$126))</f>
        <v>1.589018825978126E-4</v>
      </c>
      <c r="C275" s="3">
        <f t="shared" si="261"/>
        <v>1.589018825978126E-4</v>
      </c>
      <c r="D275" s="3">
        <f t="shared" si="261"/>
        <v>1.589018825978126E-4</v>
      </c>
      <c r="E275" s="3">
        <f t="shared" si="261"/>
        <v>1.589018825978126E-4</v>
      </c>
      <c r="F275" s="3">
        <f t="shared" si="261"/>
        <v>1.589018825978126E-4</v>
      </c>
      <c r="G275" s="3">
        <f t="shared" si="261"/>
        <v>1.589018825978126E-4</v>
      </c>
      <c r="H275" s="3">
        <f t="shared" si="261"/>
        <v>1.589018825978126E-4</v>
      </c>
      <c r="I275" s="3">
        <f t="shared" si="261"/>
        <v>1.589018825978126E-4</v>
      </c>
      <c r="J275" s="3">
        <f t="shared" si="261"/>
        <v>1.589018825978126E-4</v>
      </c>
      <c r="K275" s="3">
        <f t="shared" si="261"/>
        <v>1.589018825978126E-4</v>
      </c>
      <c r="L275" s="3">
        <f t="shared" si="261"/>
        <v>1.589018825978126E-4</v>
      </c>
      <c r="M275" s="3">
        <f t="shared" si="261"/>
        <v>1.589018825978126E-4</v>
      </c>
      <c r="N275" s="3">
        <f t="shared" si="261"/>
        <v>1.589018825978126E-4</v>
      </c>
      <c r="O275" s="3">
        <f t="shared" si="261"/>
        <v>1.589018825978126E-4</v>
      </c>
      <c r="P275" s="3">
        <f t="shared" si="261"/>
        <v>1.589018825978126E-4</v>
      </c>
      <c r="Q275" s="3">
        <f t="shared" si="261"/>
        <v>1.589018825978126E-4</v>
      </c>
      <c r="R275" s="3">
        <f t="shared" si="261"/>
        <v>1.589018825978126E-4</v>
      </c>
      <c r="S275" s="3">
        <f t="shared" si="261"/>
        <v>1.589018825978126E-4</v>
      </c>
      <c r="T275" s="3">
        <f t="shared" si="261"/>
        <v>1.589018825978126E-4</v>
      </c>
      <c r="U275" s="3">
        <f t="shared" si="261"/>
        <v>1.589018825978126E-4</v>
      </c>
      <c r="V275" s="3">
        <f t="shared" si="261"/>
        <v>1.589018825978126E-4</v>
      </c>
      <c r="W275" s="3">
        <f t="shared" si="261"/>
        <v>1.589018825978126E-4</v>
      </c>
      <c r="X275" s="3">
        <f t="shared" si="261"/>
        <v>1.589018825978126E-4</v>
      </c>
      <c r="Y275" s="3">
        <f t="shared" si="261"/>
        <v>1.589018825978126E-4</v>
      </c>
      <c r="Z275" s="3">
        <f t="shared" si="261"/>
        <v>1.589018825978126E-4</v>
      </c>
      <c r="AA275" s="3">
        <f t="shared" si="261"/>
        <v>1.5890188259781257E-4</v>
      </c>
      <c r="AB275" s="3">
        <f t="shared" si="261"/>
        <v>1.5890188259781222E-4</v>
      </c>
      <c r="AC275" s="3">
        <f t="shared" si="261"/>
        <v>1.5890188259780886E-4</v>
      </c>
      <c r="AD275" s="3">
        <f t="shared" si="261"/>
        <v>1.5890188259777522E-4</v>
      </c>
      <c r="AE275" s="3">
        <f t="shared" si="261"/>
        <v>1.5890188259743882E-4</v>
      </c>
      <c r="AF275" s="3">
        <f t="shared" si="261"/>
        <v>1.5890188259407462E-4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7.8909905102376337E-4</v>
      </c>
      <c r="C279" s="3">
        <f t="shared" si="265"/>
        <v>7.8909905102376337E-4</v>
      </c>
      <c r="D279" s="3">
        <f t="shared" si="265"/>
        <v>7.8909905102376337E-4</v>
      </c>
      <c r="E279" s="3">
        <f t="shared" si="265"/>
        <v>7.8909905102376337E-4</v>
      </c>
      <c r="F279" s="3">
        <f t="shared" si="265"/>
        <v>7.8909905102376337E-4</v>
      </c>
      <c r="G279" s="3">
        <f t="shared" si="265"/>
        <v>7.8909905102376337E-4</v>
      </c>
      <c r="H279" s="3">
        <f t="shared" si="265"/>
        <v>7.8909905102376337E-4</v>
      </c>
      <c r="I279" s="3">
        <f t="shared" si="265"/>
        <v>7.8909905102376337E-4</v>
      </c>
      <c r="J279" s="3">
        <f t="shared" si="265"/>
        <v>7.8909905102376337E-4</v>
      </c>
      <c r="K279" s="3">
        <f t="shared" si="265"/>
        <v>7.8909905102376337E-4</v>
      </c>
      <c r="L279" s="3">
        <f t="shared" si="265"/>
        <v>7.8909905102376337E-4</v>
      </c>
      <c r="M279" s="3">
        <f t="shared" si="265"/>
        <v>7.8909905102376337E-4</v>
      </c>
      <c r="N279" s="3">
        <f t="shared" si="265"/>
        <v>7.8909905102376337E-4</v>
      </c>
      <c r="O279" s="3">
        <f t="shared" si="265"/>
        <v>7.8909905102376337E-4</v>
      </c>
      <c r="P279" s="3">
        <f t="shared" si="265"/>
        <v>7.8909905102376337E-4</v>
      </c>
      <c r="Q279" s="3">
        <f t="shared" si="265"/>
        <v>7.8909905102376337E-4</v>
      </c>
      <c r="R279" s="3">
        <f t="shared" si="265"/>
        <v>7.8909905102376337E-4</v>
      </c>
      <c r="S279" s="3">
        <f t="shared" si="265"/>
        <v>7.8909905102376337E-4</v>
      </c>
      <c r="T279" s="3">
        <f t="shared" si="265"/>
        <v>7.8909905102376337E-4</v>
      </c>
      <c r="U279" s="3">
        <f t="shared" si="265"/>
        <v>7.8909905102376337E-4</v>
      </c>
      <c r="V279" s="3">
        <f t="shared" si="265"/>
        <v>7.8909905102376337E-4</v>
      </c>
      <c r="W279" s="3">
        <f t="shared" si="265"/>
        <v>7.8909905102376337E-4</v>
      </c>
      <c r="X279" s="3">
        <f t="shared" si="265"/>
        <v>7.8909905102376337E-4</v>
      </c>
      <c r="Y279" s="3">
        <f t="shared" si="265"/>
        <v>7.8909905102376337E-4</v>
      </c>
      <c r="Z279" s="3">
        <f t="shared" si="265"/>
        <v>7.8909905102376337E-4</v>
      </c>
      <c r="AA279" s="3">
        <f t="shared" si="265"/>
        <v>7.8909905102376337E-4</v>
      </c>
      <c r="AB279" s="3">
        <f t="shared" si="265"/>
        <v>7.8909905102376337E-4</v>
      </c>
      <c r="AC279" s="3">
        <f t="shared" si="265"/>
        <v>7.8909905102376337E-4</v>
      </c>
      <c r="AD279" s="3">
        <f t="shared" si="265"/>
        <v>7.8909905102376337E-4</v>
      </c>
      <c r="AE279" s="3">
        <f t="shared" si="265"/>
        <v>7.8909905102376315E-4</v>
      </c>
      <c r="AF279" s="3">
        <f t="shared" si="265"/>
        <v>7.8909905102376152E-4</v>
      </c>
      <c r="AG279" s="3"/>
      <c r="AH279" s="3"/>
    </row>
    <row r="280" spans="1:34" x14ac:dyDescent="0.25">
      <c r="A280" s="79">
        <f>AVERAGE(B280:AF280)</f>
        <v>0.10461703350004786</v>
      </c>
      <c r="B280" s="80">
        <f>IF($D$61&lt;=B246,IF($E$61&gt;=B246,ABS((B248-B247)/B247),0),0)</f>
        <v>0.16444645042574016</v>
      </c>
      <c r="C280" s="80">
        <f t="shared" ref="C280:AF280" si="266">IF($D$61&lt;=C246,IF($E$61&gt;=C246,ABS((C248-C247)/C247),0),0)</f>
        <v>0.16445475914921268</v>
      </c>
      <c r="D280" s="80">
        <f t="shared" si="266"/>
        <v>0.16445030556764856</v>
      </c>
      <c r="E280" s="80">
        <f t="shared" si="266"/>
        <v>0.16444915737869353</v>
      </c>
      <c r="F280" s="80">
        <f t="shared" si="266"/>
        <v>0.16444883031922625</v>
      </c>
      <c r="G280" s="80">
        <f t="shared" si="266"/>
        <v>0.16444870506653722</v>
      </c>
      <c r="H280" s="80">
        <f t="shared" si="266"/>
        <v>0.16444841980189434</v>
      </c>
      <c r="I280" s="80">
        <f t="shared" si="266"/>
        <v>0.16444590813280577</v>
      </c>
      <c r="J280" s="80">
        <f t="shared" si="266"/>
        <v>0.16442088886415718</v>
      </c>
      <c r="K280" s="80">
        <f t="shared" si="266"/>
        <v>0.16417238716095472</v>
      </c>
      <c r="L280" s="80">
        <f t="shared" si="266"/>
        <v>0.16184626688147116</v>
      </c>
      <c r="M280" s="80">
        <f t="shared" si="266"/>
        <v>0.14884735785823019</v>
      </c>
      <c r="N280" s="80">
        <f t="shared" si="266"/>
        <v>0.13169768632970094</v>
      </c>
      <c r="O280" s="80">
        <f t="shared" si="266"/>
        <v>0.11223649463053194</v>
      </c>
      <c r="P280" s="80">
        <f t="shared" si="266"/>
        <v>9.1823961632086892E-2</v>
      </c>
      <c r="Q280" s="80">
        <f t="shared" si="266"/>
        <v>9.8010943394087224E-2</v>
      </c>
      <c r="R280" s="80">
        <f t="shared" si="266"/>
        <v>0.12343287158004657</v>
      </c>
      <c r="S280" s="80">
        <f t="shared" si="266"/>
        <v>9.5154429852632269E-2</v>
      </c>
      <c r="T280" s="80">
        <f t="shared" si="266"/>
        <v>1.1782818466659141E-2</v>
      </c>
      <c r="U280" s="80">
        <f t="shared" si="266"/>
        <v>0.10369504888729528</v>
      </c>
      <c r="V280" s="80">
        <f t="shared" si="266"/>
        <v>0.16959330264574374</v>
      </c>
      <c r="W280" s="80">
        <f t="shared" si="266"/>
        <v>0.15735601846121758</v>
      </c>
      <c r="X280" s="80">
        <f t="shared" si="266"/>
        <v>6.2621504083690036E-2</v>
      </c>
      <c r="Y280" s="80">
        <f t="shared" si="266"/>
        <v>0.13084352193122115</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1436069.3405871321</v>
      </c>
      <c r="C281" s="21">
        <f t="shared" ref="C281:AF281" si="267">(C248-C247)^2</f>
        <v>1436243.0239739588</v>
      </c>
      <c r="D281" s="21">
        <f t="shared" si="267"/>
        <v>1436149.9257127459</v>
      </c>
      <c r="E281" s="21">
        <f t="shared" si="267"/>
        <v>1436125.9244681695</v>
      </c>
      <c r="F281" s="21">
        <f t="shared" si="267"/>
        <v>1436119.0878060709</v>
      </c>
      <c r="G281" s="21">
        <f t="shared" si="267"/>
        <v>1436116.4695877773</v>
      </c>
      <c r="H281" s="21">
        <f t="shared" si="267"/>
        <v>1436110.5064591409</v>
      </c>
      <c r="I281" s="21">
        <f t="shared" si="267"/>
        <v>1436058.0034449289</v>
      </c>
      <c r="J281" s="21">
        <f t="shared" si="267"/>
        <v>1435535.0793515742</v>
      </c>
      <c r="K281" s="21">
        <f t="shared" si="267"/>
        <v>1430348.0471710034</v>
      </c>
      <c r="L281" s="21">
        <f t="shared" si="267"/>
        <v>1382396.0676346873</v>
      </c>
      <c r="M281" s="21">
        <f t="shared" si="267"/>
        <v>1133802.4176807103</v>
      </c>
      <c r="N281" s="21">
        <f t="shared" si="267"/>
        <v>852785.45668822958</v>
      </c>
      <c r="O281" s="21">
        <f t="shared" si="267"/>
        <v>591907.81552853773</v>
      </c>
      <c r="P281" s="21">
        <f t="shared" si="267"/>
        <v>374814.89429654763</v>
      </c>
      <c r="Q281" s="21">
        <f t="shared" si="267"/>
        <v>400615.89925996371</v>
      </c>
      <c r="R281" s="21">
        <f t="shared" si="267"/>
        <v>585119.01387581322</v>
      </c>
      <c r="S281" s="21">
        <f t="shared" si="267"/>
        <v>297144.66055843787</v>
      </c>
      <c r="T281" s="21">
        <f t="shared" si="267"/>
        <v>3346.240107658432</v>
      </c>
      <c r="U281" s="21">
        <f t="shared" si="267"/>
        <v>176778.89292873655</v>
      </c>
      <c r="V281" s="21">
        <f t="shared" si="267"/>
        <v>329509.11237135233</v>
      </c>
      <c r="W281" s="21">
        <f t="shared" si="267"/>
        <v>203642.49127845585</v>
      </c>
      <c r="X281" s="21">
        <f t="shared" si="267"/>
        <v>22473.306176529077</v>
      </c>
      <c r="Y281" s="21">
        <f t="shared" si="267"/>
        <v>63311.586784147905</v>
      </c>
      <c r="Z281" s="21">
        <f t="shared" si="267"/>
        <v>191623.29181572783</v>
      </c>
      <c r="AA281" s="21">
        <f t="shared" si="267"/>
        <v>133029.54526503678</v>
      </c>
      <c r="AB281" s="21">
        <f t="shared" si="267"/>
        <v>48503.776632212248</v>
      </c>
      <c r="AC281" s="21">
        <f t="shared" si="267"/>
        <v>3207.4938223897316</v>
      </c>
      <c r="AD281" s="21">
        <f t="shared" si="267"/>
        <v>2031.8281956868102</v>
      </c>
      <c r="AE281" s="21">
        <f t="shared" si="267"/>
        <v>6761.665641499013</v>
      </c>
      <c r="AF281" s="21">
        <f t="shared" si="267"/>
        <v>6882.4183408274239</v>
      </c>
      <c r="AG281" s="3"/>
      <c r="AH281" s="3"/>
    </row>
    <row r="282" spans="1:34" s="3" customFormat="1" x14ac:dyDescent="0.25">
      <c r="A282" s="71">
        <f>SUM(B282:AF282)</f>
        <v>20772523.263732307</v>
      </c>
      <c r="B282" s="21">
        <f>IF($D$61&lt;=B246,IF($E$61&gt;=B246,ABS(B281),0),0)</f>
        <v>1436069.3405871321</v>
      </c>
      <c r="C282" s="21">
        <f t="shared" ref="C282:AF282" si="268">IF($D$61&lt;=C246,IF($E$61&gt;=C246,ABS(C281),0),0)</f>
        <v>1436243.0239739588</v>
      </c>
      <c r="D282" s="21">
        <f t="shared" si="268"/>
        <v>1436149.9257127459</v>
      </c>
      <c r="E282" s="21">
        <f t="shared" si="268"/>
        <v>1436125.9244681695</v>
      </c>
      <c r="F282" s="21">
        <f t="shared" si="268"/>
        <v>1436119.0878060709</v>
      </c>
      <c r="G282" s="21">
        <f t="shared" si="268"/>
        <v>1436116.4695877773</v>
      </c>
      <c r="H282" s="21">
        <f t="shared" si="268"/>
        <v>1436110.5064591409</v>
      </c>
      <c r="I282" s="21">
        <f t="shared" si="268"/>
        <v>1436058.0034449289</v>
      </c>
      <c r="J282" s="21">
        <f t="shared" si="268"/>
        <v>1435535.0793515742</v>
      </c>
      <c r="K282" s="21">
        <f t="shared" si="268"/>
        <v>1430348.0471710034</v>
      </c>
      <c r="L282" s="21">
        <f t="shared" si="268"/>
        <v>1382396.0676346873</v>
      </c>
      <c r="M282" s="21">
        <f t="shared" si="268"/>
        <v>1133802.4176807103</v>
      </c>
      <c r="N282" s="21">
        <f t="shared" si="268"/>
        <v>852785.45668822958</v>
      </c>
      <c r="O282" s="21">
        <f t="shared" si="268"/>
        <v>591907.81552853773</v>
      </c>
      <c r="P282" s="21">
        <f t="shared" si="268"/>
        <v>374814.89429654763</v>
      </c>
      <c r="Q282" s="21">
        <f t="shared" si="268"/>
        <v>400615.89925996371</v>
      </c>
      <c r="R282" s="21">
        <f t="shared" si="268"/>
        <v>585119.01387581322</v>
      </c>
      <c r="S282" s="21">
        <f t="shared" si="268"/>
        <v>297144.66055843787</v>
      </c>
      <c r="T282" s="21">
        <f t="shared" si="268"/>
        <v>3346.240107658432</v>
      </c>
      <c r="U282" s="21">
        <f t="shared" si="268"/>
        <v>176778.89292873655</v>
      </c>
      <c r="V282" s="21">
        <f t="shared" si="268"/>
        <v>329509.11237135233</v>
      </c>
      <c r="W282" s="21">
        <f t="shared" si="268"/>
        <v>203642.49127845585</v>
      </c>
      <c r="X282" s="21">
        <f t="shared" si="268"/>
        <v>22473.306176529077</v>
      </c>
      <c r="Y282" s="21">
        <f t="shared" si="268"/>
        <v>63311.586784147905</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6088.8810506971586</v>
      </c>
      <c r="C287" s="27">
        <f t="shared" ref="C287:AF287" si="269">($C$17+SUM(C288:C318))*$B$51</f>
        <v>6088.8810506760319</v>
      </c>
      <c r="D287" s="27">
        <f t="shared" si="269"/>
        <v>6088.8810504647672</v>
      </c>
      <c r="E287" s="27">
        <f t="shared" si="269"/>
        <v>6088.8810483521147</v>
      </c>
      <c r="F287" s="27">
        <f t="shared" si="269"/>
        <v>6088.8810272255978</v>
      </c>
      <c r="G287" s="27">
        <f t="shared" si="269"/>
        <v>6088.8808159604596</v>
      </c>
      <c r="H287" s="27">
        <f t="shared" si="269"/>
        <v>6088.8787033131975</v>
      </c>
      <c r="I287" s="27">
        <f t="shared" si="269"/>
        <v>6088.8575772517333</v>
      </c>
      <c r="J287" s="27">
        <f t="shared" si="269"/>
        <v>6088.6463577467712</v>
      </c>
      <c r="K287" s="27">
        <f t="shared" si="269"/>
        <v>6086.5382681151441</v>
      </c>
      <c r="L287" s="27">
        <f t="shared" si="269"/>
        <v>6065.8624190742603</v>
      </c>
      <c r="M287" s="27">
        <f t="shared" si="269"/>
        <v>5894.6314851407587</v>
      </c>
      <c r="N287" s="27">
        <f t="shared" si="269"/>
        <v>5468.6775172082171</v>
      </c>
      <c r="O287" s="27">
        <f t="shared" si="269"/>
        <v>5229.3706428048254</v>
      </c>
      <c r="P287" s="27">
        <f t="shared" si="269"/>
        <v>4901.351143874992</v>
      </c>
      <c r="Q287" s="27">
        <f t="shared" si="269"/>
        <v>4541.5710117151784</v>
      </c>
      <c r="R287" s="27">
        <f t="shared" si="269"/>
        <v>4045.5341442778608</v>
      </c>
      <c r="S287" s="27">
        <f t="shared" si="269"/>
        <v>3427.588035335184</v>
      </c>
      <c r="T287" s="27">
        <f t="shared" si="269"/>
        <v>2678.4558347823263</v>
      </c>
      <c r="U287" s="27">
        <f t="shared" si="269"/>
        <v>1810.2618958950854</v>
      </c>
      <c r="V287" s="27">
        <f t="shared" si="269"/>
        <v>1100.6710384936189</v>
      </c>
      <c r="W287" s="27">
        <f t="shared" si="269"/>
        <v>631.01838750581021</v>
      </c>
      <c r="X287" s="27">
        <f t="shared" si="269"/>
        <v>356.13289298103359</v>
      </c>
      <c r="Y287" s="27">
        <f t="shared" si="269"/>
        <v>254.24227185234281</v>
      </c>
      <c r="Z287" s="27">
        <f t="shared" si="269"/>
        <v>218.15767285726969</v>
      </c>
      <c r="AA287" s="27">
        <f t="shared" si="269"/>
        <v>200.03480492658863</v>
      </c>
      <c r="AB287" s="27">
        <f t="shared" si="269"/>
        <v>186.64355545194994</v>
      </c>
      <c r="AC287" s="27">
        <f t="shared" si="269"/>
        <v>164.04740561878404</v>
      </c>
      <c r="AD287" s="27">
        <f t="shared" si="269"/>
        <v>137.85601860718188</v>
      </c>
      <c r="AE287" s="27">
        <f t="shared" si="269"/>
        <v>119.11447416761982</v>
      </c>
      <c r="AF287" s="27">
        <f t="shared" si="269"/>
        <v>107.717996558037</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7.5788306997161645E-2</v>
      </c>
      <c r="C289" s="3">
        <f t="shared" si="271"/>
        <v>7.5788306994385796E-2</v>
      </c>
      <c r="D289" s="3">
        <f t="shared" si="271"/>
        <v>7.5788306966627306E-2</v>
      </c>
      <c r="E289" s="3">
        <f t="shared" si="271"/>
        <v>7.5788306689042365E-2</v>
      </c>
      <c r="F289" s="3">
        <f t="shared" si="271"/>
        <v>7.5788303913193009E-2</v>
      </c>
      <c r="G289" s="3">
        <f t="shared" si="271"/>
        <v>7.5788276154705084E-2</v>
      </c>
      <c r="H289" s="3">
        <f t="shared" si="271"/>
        <v>7.5787998570384887E-2</v>
      </c>
      <c r="I289" s="3">
        <f t="shared" si="271"/>
        <v>7.5785222783100264E-2</v>
      </c>
      <c r="J289" s="3">
        <f t="shared" si="271"/>
        <v>7.5757470501220656E-2</v>
      </c>
      <c r="K289" s="3">
        <f t="shared" si="271"/>
        <v>7.5480506022151506E-2</v>
      </c>
      <c r="L289" s="3">
        <f t="shared" si="271"/>
        <v>7.2765945911741653E-2</v>
      </c>
      <c r="M289" s="3">
        <f t="shared" si="271"/>
        <v>5.0450089595346373E-2</v>
      </c>
      <c r="N289" s="3">
        <f t="shared" si="271"/>
        <v>1.2947906886488381E-3</v>
      </c>
      <c r="O289" s="3">
        <f t="shared" si="271"/>
        <v>1.6053725200941332E-19</v>
      </c>
      <c r="P289" s="3">
        <f t="shared" si="271"/>
        <v>1.3782829886549741E-178</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2.7426145981159201E-2</v>
      </c>
      <c r="C290" s="3">
        <f t="shared" si="272"/>
        <v>2.7426145981068586E-2</v>
      </c>
      <c r="D290" s="3">
        <f t="shared" si="272"/>
        <v>2.7426145980162426E-2</v>
      </c>
      <c r="E290" s="3">
        <f t="shared" si="272"/>
        <v>2.742614597110082E-2</v>
      </c>
      <c r="F290" s="3">
        <f t="shared" si="272"/>
        <v>2.7426145880484785E-2</v>
      </c>
      <c r="G290" s="3">
        <f t="shared" si="272"/>
        <v>2.7426144974324419E-2</v>
      </c>
      <c r="H290" s="3">
        <f t="shared" si="272"/>
        <v>2.7426135912722412E-2</v>
      </c>
      <c r="I290" s="3">
        <f t="shared" si="272"/>
        <v>2.7426045296867034E-2</v>
      </c>
      <c r="J290" s="3">
        <f t="shared" si="272"/>
        <v>2.742513915477977E-2</v>
      </c>
      <c r="K290" s="3">
        <f t="shared" si="272"/>
        <v>2.7416079380359098E-2</v>
      </c>
      <c r="L290" s="3">
        <f t="shared" si="272"/>
        <v>2.7325646080249049E-2</v>
      </c>
      <c r="M290" s="3">
        <f t="shared" si="272"/>
        <v>2.6437558223362249E-2</v>
      </c>
      <c r="N290" s="3">
        <f t="shared" si="272"/>
        <v>1.8998983342174411E-2</v>
      </c>
      <c r="O290" s="3">
        <f t="shared" si="272"/>
        <v>6.9794398695757081E-4</v>
      </c>
      <c r="P290" s="3">
        <f t="shared" si="272"/>
        <v>3.1240836236753495E-18</v>
      </c>
      <c r="Q290" s="3">
        <f t="shared" si="272"/>
        <v>1.0086568758204319E-161</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4.6802795715283417E-2</v>
      </c>
      <c r="C291" s="3">
        <f t="shared" si="273"/>
        <v>4.6802795715269463E-2</v>
      </c>
      <c r="D291" s="3">
        <f t="shared" si="273"/>
        <v>4.680279571512997E-2</v>
      </c>
      <c r="E291" s="3">
        <f t="shared" si="273"/>
        <v>4.6802795713735017E-2</v>
      </c>
      <c r="F291" s="3">
        <f t="shared" si="273"/>
        <v>4.6802795699785515E-2</v>
      </c>
      <c r="G291" s="3">
        <f t="shared" si="273"/>
        <v>4.680279556029051E-2</v>
      </c>
      <c r="H291" s="3">
        <f t="shared" si="273"/>
        <v>4.6802794165340424E-2</v>
      </c>
      <c r="I291" s="3">
        <f t="shared" si="273"/>
        <v>4.6802780215841888E-2</v>
      </c>
      <c r="J291" s="3">
        <f t="shared" si="273"/>
        <v>4.6802640721085156E-2</v>
      </c>
      <c r="K291" s="3">
        <f t="shared" si="273"/>
        <v>4.6801245796384519E-2</v>
      </c>
      <c r="L291" s="3">
        <f t="shared" si="273"/>
        <v>4.6787298835793009E-2</v>
      </c>
      <c r="M291" s="3">
        <f t="shared" si="273"/>
        <v>4.6648057619421493E-2</v>
      </c>
      <c r="N291" s="3">
        <f t="shared" si="273"/>
        <v>4.5278234542150415E-2</v>
      </c>
      <c r="O291" s="3">
        <f t="shared" si="273"/>
        <v>3.3608465532391565E-2</v>
      </c>
      <c r="P291" s="3">
        <f t="shared" si="273"/>
        <v>1.7062421995163001E-3</v>
      </c>
      <c r="Q291" s="3">
        <f t="shared" si="273"/>
        <v>1.9407099182902729E-16</v>
      </c>
      <c r="R291" s="3">
        <f t="shared" si="273"/>
        <v>7.0333153511972407E-146</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4.5136552781973233E-2</v>
      </c>
      <c r="C292" s="3">
        <f t="shared" si="274"/>
        <v>4.5136552781972018E-2</v>
      </c>
      <c r="D292" s="3">
        <f t="shared" si="274"/>
        <v>4.5136552781959882E-2</v>
      </c>
      <c r="E292" s="3">
        <f t="shared" si="274"/>
        <v>4.5136552781838521E-2</v>
      </c>
      <c r="F292" s="3">
        <f t="shared" si="274"/>
        <v>4.5136552780624964E-2</v>
      </c>
      <c r="G292" s="3">
        <f t="shared" si="274"/>
        <v>4.5136552768489345E-2</v>
      </c>
      <c r="H292" s="3">
        <f t="shared" si="274"/>
        <v>4.5136552647133177E-2</v>
      </c>
      <c r="I292" s="3">
        <f t="shared" si="274"/>
        <v>4.5136551433571509E-2</v>
      </c>
      <c r="J292" s="3">
        <f t="shared" si="274"/>
        <v>4.5136539297956621E-2</v>
      </c>
      <c r="K292" s="3">
        <f t="shared" si="274"/>
        <v>4.5136417941987202E-2</v>
      </c>
      <c r="L292" s="3">
        <f t="shared" si="274"/>
        <v>4.5135204400238403E-2</v>
      </c>
      <c r="M292" s="3">
        <f t="shared" si="274"/>
        <v>4.5123070777112251E-2</v>
      </c>
      <c r="N292" s="3">
        <f t="shared" si="274"/>
        <v>4.5001913803655591E-2</v>
      </c>
      <c r="O292" s="3">
        <f t="shared" si="274"/>
        <v>4.3808092799366059E-2</v>
      </c>
      <c r="P292" s="3">
        <f t="shared" si="274"/>
        <v>3.3480194776500188E-2</v>
      </c>
      <c r="Q292" s="3">
        <f t="shared" si="274"/>
        <v>2.2757485291249545E-3</v>
      </c>
      <c r="R292" s="3">
        <f t="shared" si="274"/>
        <v>4.7916735079852944E-15</v>
      </c>
      <c r="S292" s="3">
        <f t="shared" si="274"/>
        <v>8.2057200953777639E-132</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6.7281406852932074E-2</v>
      </c>
      <c r="C293" s="3">
        <f t="shared" si="275"/>
        <v>6.7281406852931908E-2</v>
      </c>
      <c r="D293" s="3">
        <f t="shared" si="275"/>
        <v>6.728140685293027E-2</v>
      </c>
      <c r="E293" s="3">
        <f t="shared" si="275"/>
        <v>6.7281406852913964E-2</v>
      </c>
      <c r="F293" s="3">
        <f t="shared" si="275"/>
        <v>6.7281406852750775E-2</v>
      </c>
      <c r="G293" s="3">
        <f t="shared" si="275"/>
        <v>6.7281406851118941E-2</v>
      </c>
      <c r="H293" s="3">
        <f t="shared" si="275"/>
        <v>6.7281406834800633E-2</v>
      </c>
      <c r="I293" s="3">
        <f t="shared" si="275"/>
        <v>6.7281406671617555E-2</v>
      </c>
      <c r="J293" s="3">
        <f t="shared" si="275"/>
        <v>6.7281405039786787E-2</v>
      </c>
      <c r="K293" s="3">
        <f t="shared" si="275"/>
        <v>6.7281388721481247E-2</v>
      </c>
      <c r="L293" s="3">
        <f t="shared" si="275"/>
        <v>6.7281225538643574E-2</v>
      </c>
      <c r="M293" s="3">
        <f t="shared" si="275"/>
        <v>6.7279593732034626E-2</v>
      </c>
      <c r="N293" s="3">
        <f t="shared" si="275"/>
        <v>6.7263277842524838E-2</v>
      </c>
      <c r="O293" s="3">
        <f t="shared" si="275"/>
        <v>6.7100336410198122E-2</v>
      </c>
      <c r="P293" s="3">
        <f t="shared" si="275"/>
        <v>6.5492474474464976E-2</v>
      </c>
      <c r="Q293" s="3">
        <f t="shared" si="275"/>
        <v>5.1387609979971612E-2</v>
      </c>
      <c r="R293" s="3">
        <f t="shared" si="275"/>
        <v>4.544944841742846E-3</v>
      </c>
      <c r="S293" s="3">
        <f t="shared" si="275"/>
        <v>1.331161024810415E-13</v>
      </c>
      <c r="T293" s="3">
        <f t="shared" si="275"/>
        <v>6.1837277122917588E-119</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8.4823708436980116E-2</v>
      </c>
      <c r="C294" s="3">
        <f t="shared" si="276"/>
        <v>8.4823708436980103E-2</v>
      </c>
      <c r="D294" s="3">
        <f t="shared" si="276"/>
        <v>8.4823708436979908E-2</v>
      </c>
      <c r="E294" s="3">
        <f t="shared" si="276"/>
        <v>8.4823708436978049E-2</v>
      </c>
      <c r="F294" s="3">
        <f t="shared" si="276"/>
        <v>8.4823708436959494E-2</v>
      </c>
      <c r="G294" s="3">
        <f t="shared" si="276"/>
        <v>8.482370843677392E-2</v>
      </c>
      <c r="H294" s="3">
        <f t="shared" si="276"/>
        <v>8.4823708434918058E-2</v>
      </c>
      <c r="I294" s="3">
        <f t="shared" si="276"/>
        <v>8.4823708416359514E-2</v>
      </c>
      <c r="J294" s="3">
        <f t="shared" si="276"/>
        <v>8.4823708230774064E-2</v>
      </c>
      <c r="K294" s="3">
        <f t="shared" si="276"/>
        <v>8.4823706374919663E-2</v>
      </c>
      <c r="L294" s="3">
        <f t="shared" si="276"/>
        <v>8.4823687816377877E-2</v>
      </c>
      <c r="M294" s="3">
        <f t="shared" si="276"/>
        <v>8.4823502231183276E-2</v>
      </c>
      <c r="N294" s="3">
        <f t="shared" si="276"/>
        <v>8.4821646401569376E-2</v>
      </c>
      <c r="O294" s="3">
        <f t="shared" si="276"/>
        <v>8.4803090338458523E-2</v>
      </c>
      <c r="P294" s="3">
        <f t="shared" si="276"/>
        <v>8.4617752829495921E-2</v>
      </c>
      <c r="Q294" s="3">
        <f t="shared" si="276"/>
        <v>8.2786510384499065E-2</v>
      </c>
      <c r="R294" s="3">
        <f t="shared" si="276"/>
        <v>6.6518196475690614E-2</v>
      </c>
      <c r="S294" s="3">
        <f t="shared" si="276"/>
        <v>7.4601808408667238E-3</v>
      </c>
      <c r="T294" s="3">
        <f t="shared" si="276"/>
        <v>2.3487578902270503E-12</v>
      </c>
      <c r="U294" s="3">
        <f t="shared" si="276"/>
        <v>2.2476424198889661E-107</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0.10369484660409525</v>
      </c>
      <c r="C295" s="3">
        <f t="shared" si="277"/>
        <v>0.10369484660409525</v>
      </c>
      <c r="D295" s="3">
        <f t="shared" si="277"/>
        <v>0.10369484660409523</v>
      </c>
      <c r="E295" s="3">
        <f t="shared" si="277"/>
        <v>0.10369484660409502</v>
      </c>
      <c r="F295" s="3">
        <f t="shared" si="277"/>
        <v>0.10369484660409298</v>
      </c>
      <c r="G295" s="3">
        <f t="shared" si="277"/>
        <v>0.10369484660407252</v>
      </c>
      <c r="H295" s="3">
        <f t="shared" si="277"/>
        <v>0.10369484660386787</v>
      </c>
      <c r="I295" s="3">
        <f t="shared" si="277"/>
        <v>0.10369484660182127</v>
      </c>
      <c r="J295" s="3">
        <f t="shared" si="277"/>
        <v>0.10369484658135539</v>
      </c>
      <c r="K295" s="3">
        <f t="shared" si="277"/>
        <v>0.10369484637669658</v>
      </c>
      <c r="L295" s="3">
        <f t="shared" si="277"/>
        <v>0.10369484433010866</v>
      </c>
      <c r="M295" s="3">
        <f t="shared" si="277"/>
        <v>0.10369482386423146</v>
      </c>
      <c r="N295" s="3">
        <f t="shared" si="277"/>
        <v>0.10369461920568172</v>
      </c>
      <c r="O295" s="3">
        <f t="shared" si="277"/>
        <v>0.10369257264240017</v>
      </c>
      <c r="P295" s="3">
        <f t="shared" si="277"/>
        <v>0.10367210923100696</v>
      </c>
      <c r="Q295" s="3">
        <f t="shared" si="277"/>
        <v>0.1034676970971611</v>
      </c>
      <c r="R295" s="3">
        <f t="shared" si="277"/>
        <v>0.10144561251733689</v>
      </c>
      <c r="S295" s="3">
        <f t="shared" si="277"/>
        <v>8.3275668122497579E-2</v>
      </c>
      <c r="T295" s="3">
        <f t="shared" si="277"/>
        <v>1.157088816167713E-2</v>
      </c>
      <c r="U295" s="3">
        <f t="shared" si="277"/>
        <v>3.1035046325538565E-11</v>
      </c>
      <c r="V295" s="3">
        <f t="shared" si="277"/>
        <v>5.980113385703464E-97</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0.13305313379533851</v>
      </c>
      <c r="C296" s="3">
        <f t="shared" si="278"/>
        <v>0.13305313379533851</v>
      </c>
      <c r="D296" s="3">
        <f t="shared" si="278"/>
        <v>0.13305313379533851</v>
      </c>
      <c r="E296" s="3">
        <f t="shared" si="278"/>
        <v>0.13305313379533848</v>
      </c>
      <c r="F296" s="3">
        <f t="shared" si="278"/>
        <v>0.13305313379533823</v>
      </c>
      <c r="G296" s="3">
        <f t="shared" si="278"/>
        <v>0.13305313379533587</v>
      </c>
      <c r="H296" s="3">
        <f t="shared" si="278"/>
        <v>0.1330531337953122</v>
      </c>
      <c r="I296" s="3">
        <f t="shared" si="278"/>
        <v>0.1330531337950753</v>
      </c>
      <c r="J296" s="3">
        <f t="shared" si="278"/>
        <v>0.13305313379270642</v>
      </c>
      <c r="K296" s="3">
        <f t="shared" si="278"/>
        <v>0.13305313376901751</v>
      </c>
      <c r="L296" s="3">
        <f t="shared" si="278"/>
        <v>0.13305313353212847</v>
      </c>
      <c r="M296" s="3">
        <f t="shared" si="278"/>
        <v>0.13305313116323825</v>
      </c>
      <c r="N296" s="3">
        <f t="shared" si="278"/>
        <v>0.13305310747433827</v>
      </c>
      <c r="O296" s="3">
        <f t="shared" si="278"/>
        <v>0.13305287058557044</v>
      </c>
      <c r="P296" s="3">
        <f t="shared" si="278"/>
        <v>0.13305050172108893</v>
      </c>
      <c r="Q296" s="3">
        <f t="shared" si="278"/>
        <v>0.13302681539578046</v>
      </c>
      <c r="R296" s="3">
        <f t="shared" si="278"/>
        <v>0.13279018394066525</v>
      </c>
      <c r="S296" s="3">
        <f t="shared" si="278"/>
        <v>0.13044689721367705</v>
      </c>
      <c r="T296" s="3">
        <f t="shared" si="278"/>
        <v>0.10917207470909589</v>
      </c>
      <c r="U296" s="3">
        <f t="shared" si="278"/>
        <v>1.8403044061159547E-2</v>
      </c>
      <c r="V296" s="3">
        <f t="shared" si="278"/>
        <v>3.409342936125944E-10</v>
      </c>
      <c r="W296" s="3">
        <f t="shared" si="278"/>
        <v>1.6236069713120498E-87</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0.10368180212181953</v>
      </c>
      <c r="C297" s="3">
        <f t="shared" si="279"/>
        <v>0.10368180212181953</v>
      </c>
      <c r="D297" s="3">
        <f t="shared" si="279"/>
        <v>0.10368180212181953</v>
      </c>
      <c r="E297" s="3">
        <f t="shared" si="279"/>
        <v>0.10368180212181953</v>
      </c>
      <c r="F297" s="3">
        <f t="shared" si="279"/>
        <v>0.1036818021218195</v>
      </c>
      <c r="G297" s="3">
        <f t="shared" si="279"/>
        <v>0.10368180212181935</v>
      </c>
      <c r="H297" s="3">
        <f t="shared" si="279"/>
        <v>0.10368180212181767</v>
      </c>
      <c r="I297" s="3">
        <f t="shared" si="279"/>
        <v>0.10368180212180103</v>
      </c>
      <c r="J297" s="3">
        <f t="shared" si="279"/>
        <v>0.1036818021216345</v>
      </c>
      <c r="K297" s="3">
        <f t="shared" si="279"/>
        <v>0.1036818021199693</v>
      </c>
      <c r="L297" s="3">
        <f t="shared" si="279"/>
        <v>0.10368180210331719</v>
      </c>
      <c r="M297" s="3">
        <f t="shared" si="279"/>
        <v>0.10368180193679621</v>
      </c>
      <c r="N297" s="3">
        <f t="shared" si="279"/>
        <v>0.10368180027158642</v>
      </c>
      <c r="O297" s="3">
        <f t="shared" si="279"/>
        <v>0.10368178361948993</v>
      </c>
      <c r="P297" s="3">
        <f t="shared" si="279"/>
        <v>0.103681617098672</v>
      </c>
      <c r="Q297" s="3">
        <f t="shared" si="279"/>
        <v>0.10367995190520221</v>
      </c>
      <c r="R297" s="3">
        <f t="shared" si="279"/>
        <v>0.10366330144135773</v>
      </c>
      <c r="S297" s="3">
        <f t="shared" si="279"/>
        <v>0.10349694380088925</v>
      </c>
      <c r="T297" s="3">
        <f t="shared" si="279"/>
        <v>0.10184798021450295</v>
      </c>
      <c r="U297" s="3">
        <f t="shared" si="279"/>
        <v>8.6736396051691547E-2</v>
      </c>
      <c r="V297" s="3">
        <f t="shared" si="279"/>
        <v>1.7405676011022407E-2</v>
      </c>
      <c r="W297" s="3">
        <f t="shared" si="279"/>
        <v>1.8432579617120733E-9</v>
      </c>
      <c r="X297" s="3">
        <f t="shared" si="279"/>
        <v>3.2699292032959244E-79</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6.4516912228113732E-2</v>
      </c>
      <c r="C298" s="3">
        <f t="shared" si="280"/>
        <v>6.4516912228113732E-2</v>
      </c>
      <c r="D298" s="3">
        <f t="shared" si="280"/>
        <v>6.4516912228113732E-2</v>
      </c>
      <c r="E298" s="3">
        <f t="shared" si="280"/>
        <v>6.4516912228113732E-2</v>
      </c>
      <c r="F298" s="3">
        <f t="shared" si="280"/>
        <v>6.4516912228113732E-2</v>
      </c>
      <c r="G298" s="3">
        <f t="shared" si="280"/>
        <v>6.4516912228113718E-2</v>
      </c>
      <c r="H298" s="3">
        <f t="shared" si="280"/>
        <v>6.4516912228113635E-2</v>
      </c>
      <c r="I298" s="3">
        <f t="shared" si="280"/>
        <v>6.4516912228112691E-2</v>
      </c>
      <c r="J298" s="3">
        <f t="shared" si="280"/>
        <v>6.4516912228103351E-2</v>
      </c>
      <c r="K298" s="3">
        <f t="shared" si="280"/>
        <v>6.4516912228009871E-2</v>
      </c>
      <c r="L298" s="3">
        <f t="shared" si="280"/>
        <v>6.4516912227075146E-2</v>
      </c>
      <c r="M298" s="3">
        <f t="shared" si="280"/>
        <v>6.4516912217727831E-2</v>
      </c>
      <c r="N298" s="3">
        <f t="shared" si="280"/>
        <v>6.4516912124254741E-2</v>
      </c>
      <c r="O298" s="3">
        <f t="shared" si="280"/>
        <v>6.4516911189523879E-2</v>
      </c>
      <c r="P298" s="3">
        <f t="shared" si="280"/>
        <v>6.4516901842215924E-2</v>
      </c>
      <c r="Q298" s="3">
        <f t="shared" si="280"/>
        <v>6.4516808369210907E-2</v>
      </c>
      <c r="R298" s="3">
        <f t="shared" si="280"/>
        <v>6.4515873646609129E-2</v>
      </c>
      <c r="S298" s="3">
        <f t="shared" si="280"/>
        <v>6.4506527165385782E-2</v>
      </c>
      <c r="T298" s="3">
        <f t="shared" si="280"/>
        <v>6.4413136792686287E-2</v>
      </c>
      <c r="U298" s="3">
        <f t="shared" si="280"/>
        <v>6.348663726909258E-2</v>
      </c>
      <c r="V298" s="3">
        <f t="shared" si="280"/>
        <v>5.4923863147944105E-2</v>
      </c>
      <c r="W298" s="3">
        <f t="shared" si="280"/>
        <v>1.2898778890947508E-2</v>
      </c>
      <c r="X298" s="3">
        <f t="shared" si="280"/>
        <v>6.5829994174960056E-9</v>
      </c>
      <c r="Y298" s="3">
        <f t="shared" si="280"/>
        <v>7.891798741660335E-72</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3.7592139756949243E-2</v>
      </c>
      <c r="C299" s="3">
        <f t="shared" si="281"/>
        <v>3.7592139756949243E-2</v>
      </c>
      <c r="D299" s="3">
        <f t="shared" si="281"/>
        <v>3.7592139756949243E-2</v>
      </c>
      <c r="E299" s="3">
        <f t="shared" si="281"/>
        <v>3.7592139756949243E-2</v>
      </c>
      <c r="F299" s="3">
        <f t="shared" si="281"/>
        <v>3.7592139756949243E-2</v>
      </c>
      <c r="G299" s="3">
        <f t="shared" si="281"/>
        <v>3.7592139756949243E-2</v>
      </c>
      <c r="H299" s="3">
        <f t="shared" si="281"/>
        <v>3.7592139756949236E-2</v>
      </c>
      <c r="I299" s="3">
        <f t="shared" si="281"/>
        <v>3.7592139756949187E-2</v>
      </c>
      <c r="J299" s="3">
        <f t="shared" si="281"/>
        <v>3.7592139756948695E-2</v>
      </c>
      <c r="K299" s="3">
        <f t="shared" si="281"/>
        <v>3.7592139756943782E-2</v>
      </c>
      <c r="L299" s="3">
        <f t="shared" si="281"/>
        <v>3.7592139756894655E-2</v>
      </c>
      <c r="M299" s="3">
        <f t="shared" si="281"/>
        <v>3.7592139756403339E-2</v>
      </c>
      <c r="N299" s="3">
        <f t="shared" si="281"/>
        <v>3.7592139751490235E-2</v>
      </c>
      <c r="O299" s="3">
        <f t="shared" si="281"/>
        <v>3.7592139702359112E-2</v>
      </c>
      <c r="P299" s="3">
        <f t="shared" si="281"/>
        <v>3.7592139211047926E-2</v>
      </c>
      <c r="Q299" s="3">
        <f t="shared" si="281"/>
        <v>3.7592134297936453E-2</v>
      </c>
      <c r="R299" s="3">
        <f t="shared" si="281"/>
        <v>3.7592085166856998E-2</v>
      </c>
      <c r="S299" s="3">
        <f t="shared" si="281"/>
        <v>3.7591593859594125E-2</v>
      </c>
      <c r="T299" s="3">
        <f t="shared" si="281"/>
        <v>3.7586681140112453E-2</v>
      </c>
      <c r="U299" s="3">
        <f t="shared" si="281"/>
        <v>3.7537589242932046E-2</v>
      </c>
      <c r="V299" s="3">
        <f t="shared" si="281"/>
        <v>3.7050183025312496E-2</v>
      </c>
      <c r="W299" s="3">
        <f t="shared" si="281"/>
        <v>3.2510987239817303E-2</v>
      </c>
      <c r="X299" s="3">
        <f t="shared" si="281"/>
        <v>8.7988954405300822E-3</v>
      </c>
      <c r="Y299" s="3">
        <f t="shared" si="281"/>
        <v>1.8552743896934661E-8</v>
      </c>
      <c r="Z299" s="3">
        <f t="shared" si="281"/>
        <v>3.2226124198447842E-65</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7.6036322594280207E-3</v>
      </c>
      <c r="C300" s="3">
        <f t="shared" si="282"/>
        <v>7.6036322594280207E-3</v>
      </c>
      <c r="D300" s="3">
        <f t="shared" si="282"/>
        <v>7.6036322594280207E-3</v>
      </c>
      <c r="E300" s="3">
        <f t="shared" si="282"/>
        <v>7.6036322594280207E-3</v>
      </c>
      <c r="F300" s="3">
        <f t="shared" si="282"/>
        <v>7.6036322594280207E-3</v>
      </c>
      <c r="G300" s="3">
        <f t="shared" si="282"/>
        <v>7.6036322594280207E-3</v>
      </c>
      <c r="H300" s="3">
        <f t="shared" si="282"/>
        <v>7.6036322594280207E-3</v>
      </c>
      <c r="I300" s="3">
        <f t="shared" si="282"/>
        <v>7.6036322594280198E-3</v>
      </c>
      <c r="J300" s="3">
        <f t="shared" si="282"/>
        <v>7.6036322594280102E-3</v>
      </c>
      <c r="K300" s="3">
        <f t="shared" si="282"/>
        <v>7.6036322594279209E-3</v>
      </c>
      <c r="L300" s="3">
        <f t="shared" si="282"/>
        <v>7.6036322594270249E-3</v>
      </c>
      <c r="M300" s="3">
        <f t="shared" si="282"/>
        <v>7.6036322594180599E-3</v>
      </c>
      <c r="N300" s="3">
        <f t="shared" si="282"/>
        <v>7.6036322593284154E-3</v>
      </c>
      <c r="O300" s="3">
        <f t="shared" si="282"/>
        <v>7.6036322584319624E-3</v>
      </c>
      <c r="P300" s="3">
        <f t="shared" si="282"/>
        <v>7.6036322494674371E-3</v>
      </c>
      <c r="Q300" s="3">
        <f t="shared" si="282"/>
        <v>7.6036321598221841E-3</v>
      </c>
      <c r="R300" s="3">
        <f t="shared" si="282"/>
        <v>7.6036312633697093E-3</v>
      </c>
      <c r="S300" s="3">
        <f t="shared" si="282"/>
        <v>7.6036222988507731E-3</v>
      </c>
      <c r="T300" s="3">
        <f t="shared" si="282"/>
        <v>7.6035326542427065E-3</v>
      </c>
      <c r="U300" s="3">
        <f t="shared" si="282"/>
        <v>7.6026362662886754E-3</v>
      </c>
      <c r="V300" s="3">
        <f t="shared" si="282"/>
        <v>7.593678196876473E-3</v>
      </c>
      <c r="W300" s="3">
        <f t="shared" si="282"/>
        <v>7.5046759890306861E-3</v>
      </c>
      <c r="X300" s="3">
        <f t="shared" si="282"/>
        <v>6.6700566743255179E-3</v>
      </c>
      <c r="Y300" s="3">
        <f t="shared" si="282"/>
        <v>2.0516595658912219E-3</v>
      </c>
      <c r="Z300" s="3">
        <f t="shared" si="282"/>
        <v>1.5554750647757831E-8</v>
      </c>
      <c r="AA300" s="3">
        <f t="shared" si="282"/>
        <v>9.7597927122353486E-60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4.6601949201853935E-3</v>
      </c>
      <c r="C301" s="3">
        <f t="shared" si="283"/>
        <v>4.6601949201853935E-3</v>
      </c>
      <c r="D301" s="3">
        <f t="shared" si="283"/>
        <v>4.6601949201853935E-3</v>
      </c>
      <c r="E301" s="3">
        <f t="shared" si="283"/>
        <v>4.6601949201853935E-3</v>
      </c>
      <c r="F301" s="3">
        <f t="shared" si="283"/>
        <v>4.6601949201853935E-3</v>
      </c>
      <c r="G301" s="3">
        <f t="shared" si="283"/>
        <v>4.6601949201853935E-3</v>
      </c>
      <c r="H301" s="3">
        <f t="shared" si="283"/>
        <v>4.6601949201853935E-3</v>
      </c>
      <c r="I301" s="3">
        <f t="shared" si="283"/>
        <v>4.6601949201853935E-3</v>
      </c>
      <c r="J301" s="3">
        <f t="shared" si="283"/>
        <v>4.6601949201853926E-3</v>
      </c>
      <c r="K301" s="3">
        <f t="shared" si="283"/>
        <v>4.6601949201853874E-3</v>
      </c>
      <c r="L301" s="3">
        <f t="shared" si="283"/>
        <v>4.6601949201853388E-3</v>
      </c>
      <c r="M301" s="3">
        <f t="shared" si="283"/>
        <v>4.6601949201848427E-3</v>
      </c>
      <c r="N301" s="3">
        <f t="shared" si="283"/>
        <v>4.6601949201798866E-3</v>
      </c>
      <c r="O301" s="3">
        <f t="shared" si="283"/>
        <v>4.6601949201303238E-3</v>
      </c>
      <c r="P301" s="3">
        <f t="shared" si="283"/>
        <v>4.6601949196346942E-3</v>
      </c>
      <c r="Q301" s="3">
        <f t="shared" si="283"/>
        <v>4.6601949146784028E-3</v>
      </c>
      <c r="R301" s="3">
        <f t="shared" si="283"/>
        <v>4.6601948651154848E-3</v>
      </c>
      <c r="S301" s="3">
        <f t="shared" si="283"/>
        <v>4.6601943694863333E-3</v>
      </c>
      <c r="T301" s="3">
        <f t="shared" si="283"/>
        <v>4.6601894131977212E-3</v>
      </c>
      <c r="U301" s="3">
        <f t="shared" si="283"/>
        <v>4.6601398506015152E-3</v>
      </c>
      <c r="V301" s="3">
        <f t="shared" si="283"/>
        <v>4.6596442536298004E-3</v>
      </c>
      <c r="W301" s="3">
        <f t="shared" si="283"/>
        <v>4.6546911818065176E-3</v>
      </c>
      <c r="X301" s="3">
        <f t="shared" si="283"/>
        <v>4.60544911585032E-3</v>
      </c>
      <c r="Y301" s="3">
        <f t="shared" si="283"/>
        <v>4.1407894065793212E-3</v>
      </c>
      <c r="Z301" s="3">
        <f t="shared" si="283"/>
        <v>1.4295346834404038E-3</v>
      </c>
      <c r="AA301" s="3">
        <f t="shared" si="283"/>
        <v>3.4380344784501095E-8</v>
      </c>
      <c r="AB301" s="3">
        <f t="shared" si="283"/>
        <v>2.2256944244423072E-54</v>
      </c>
      <c r="AC301" s="3">
        <f t="shared" si="283"/>
        <v>0</v>
      </c>
      <c r="AD301" s="3">
        <f t="shared" si="283"/>
        <v>0</v>
      </c>
      <c r="AE301" s="3">
        <f t="shared" si="283"/>
        <v>0</v>
      </c>
      <c r="AF301" s="3">
        <f t="shared" si="283"/>
        <v>0</v>
      </c>
      <c r="AG301" s="3"/>
      <c r="AH301" s="3"/>
    </row>
    <row r="302" spans="2:34" x14ac:dyDescent="0.25">
      <c r="B302" s="3">
        <f t="shared" ref="B302:AF302" si="284">$C32*EXP(-B$285/$A32/EXP(-$F$126))</f>
        <v>1.548728015482176E-3</v>
      </c>
      <c r="C302" s="3">
        <f t="shared" si="284"/>
        <v>1.548728015482176E-3</v>
      </c>
      <c r="D302" s="3">
        <f t="shared" si="284"/>
        <v>1.548728015482176E-3</v>
      </c>
      <c r="E302" s="3">
        <f t="shared" si="284"/>
        <v>1.548728015482176E-3</v>
      </c>
      <c r="F302" s="3">
        <f t="shared" si="284"/>
        <v>1.548728015482176E-3</v>
      </c>
      <c r="G302" s="3">
        <f t="shared" si="284"/>
        <v>1.548728015482176E-3</v>
      </c>
      <c r="H302" s="3">
        <f t="shared" si="284"/>
        <v>1.548728015482176E-3</v>
      </c>
      <c r="I302" s="3">
        <f t="shared" si="284"/>
        <v>1.548728015482176E-3</v>
      </c>
      <c r="J302" s="3">
        <f t="shared" si="284"/>
        <v>1.548728015482176E-3</v>
      </c>
      <c r="K302" s="3">
        <f t="shared" si="284"/>
        <v>1.5487280154821757E-3</v>
      </c>
      <c r="L302" s="3">
        <f t="shared" si="284"/>
        <v>1.5487280154821742E-3</v>
      </c>
      <c r="M302" s="3">
        <f t="shared" si="284"/>
        <v>1.5487280154821595E-3</v>
      </c>
      <c r="N302" s="3">
        <f t="shared" si="284"/>
        <v>1.5487280154820109E-3</v>
      </c>
      <c r="O302" s="3">
        <f t="shared" si="284"/>
        <v>1.5487280154805249E-3</v>
      </c>
      <c r="P302" s="3">
        <f t="shared" si="284"/>
        <v>1.5487280154656664E-3</v>
      </c>
      <c r="Q302" s="3">
        <f t="shared" si="284"/>
        <v>1.5487280153170817E-3</v>
      </c>
      <c r="R302" s="3">
        <f t="shared" si="284"/>
        <v>1.5487280138312331E-3</v>
      </c>
      <c r="S302" s="3">
        <f t="shared" si="284"/>
        <v>1.5487279989727482E-3</v>
      </c>
      <c r="T302" s="3">
        <f t="shared" si="284"/>
        <v>1.5487278503879057E-3</v>
      </c>
      <c r="U302" s="3">
        <f t="shared" si="284"/>
        <v>1.548726364540265E-3</v>
      </c>
      <c r="V302" s="3">
        <f t="shared" si="284"/>
        <v>1.5487115061422615E-3</v>
      </c>
      <c r="W302" s="3">
        <f t="shared" si="284"/>
        <v>1.5485629300022871E-3</v>
      </c>
      <c r="X302" s="3">
        <f t="shared" si="284"/>
        <v>1.5470779523304667E-3</v>
      </c>
      <c r="Y302" s="3">
        <f t="shared" si="284"/>
        <v>1.5323062709111292E-3</v>
      </c>
      <c r="Z302" s="3">
        <f t="shared" si="284"/>
        <v>1.3921287369618961E-3</v>
      </c>
      <c r="AA302" s="3">
        <f t="shared" si="284"/>
        <v>5.3335650215699027E-4</v>
      </c>
      <c r="AB302" s="3">
        <f t="shared" si="284"/>
        <v>3.6341223846551895E-8</v>
      </c>
      <c r="AC302" s="3">
        <f t="shared" si="284"/>
        <v>7.8382497409927081E-50</v>
      </c>
      <c r="AD302" s="3">
        <f t="shared" si="284"/>
        <v>0</v>
      </c>
      <c r="AE302" s="3">
        <f t="shared" si="284"/>
        <v>0</v>
      </c>
      <c r="AF302" s="3">
        <f t="shared" si="284"/>
        <v>0</v>
      </c>
      <c r="AG302" s="3"/>
      <c r="AH302" s="3"/>
    </row>
    <row r="303" spans="2:34" x14ac:dyDescent="0.25">
      <c r="B303" s="3">
        <f t="shared" ref="B303:AF303" si="285">$C33*EXP(-B$285/$A33/EXP(-$F$126))</f>
        <v>1.7981576820785483E-3</v>
      </c>
      <c r="C303" s="3">
        <f t="shared" si="285"/>
        <v>1.7981576820785483E-3</v>
      </c>
      <c r="D303" s="3">
        <f t="shared" si="285"/>
        <v>1.7981576820785483E-3</v>
      </c>
      <c r="E303" s="3">
        <f t="shared" si="285"/>
        <v>1.7981576820785483E-3</v>
      </c>
      <c r="F303" s="3">
        <f t="shared" si="285"/>
        <v>1.7981576820785483E-3</v>
      </c>
      <c r="G303" s="3">
        <f t="shared" si="285"/>
        <v>1.7981576820785483E-3</v>
      </c>
      <c r="H303" s="3">
        <f t="shared" si="285"/>
        <v>1.7981576820785483E-3</v>
      </c>
      <c r="I303" s="3">
        <f t="shared" si="285"/>
        <v>1.7981576820785483E-3</v>
      </c>
      <c r="J303" s="3">
        <f t="shared" si="285"/>
        <v>1.7981576820785483E-3</v>
      </c>
      <c r="K303" s="3">
        <f t="shared" si="285"/>
        <v>1.7981576820785483E-3</v>
      </c>
      <c r="L303" s="3">
        <f t="shared" si="285"/>
        <v>1.798157682078548E-3</v>
      </c>
      <c r="M303" s="3">
        <f t="shared" si="285"/>
        <v>1.7981576820785465E-3</v>
      </c>
      <c r="N303" s="3">
        <f t="shared" si="285"/>
        <v>1.7981576820785309E-3</v>
      </c>
      <c r="O303" s="3">
        <f t="shared" si="285"/>
        <v>1.7981576820783754E-3</v>
      </c>
      <c r="P303" s="3">
        <f t="shared" si="285"/>
        <v>1.798157682076819E-3</v>
      </c>
      <c r="Q303" s="3">
        <f t="shared" si="285"/>
        <v>1.7981576820612567E-3</v>
      </c>
      <c r="R303" s="3">
        <f t="shared" si="285"/>
        <v>1.7981576819056338E-3</v>
      </c>
      <c r="S303" s="3">
        <f t="shared" si="285"/>
        <v>1.7981576803494041E-3</v>
      </c>
      <c r="T303" s="3">
        <f t="shared" si="285"/>
        <v>1.7981576647871055E-3</v>
      </c>
      <c r="U303" s="3">
        <f t="shared" si="285"/>
        <v>1.7981575091641281E-3</v>
      </c>
      <c r="V303" s="3">
        <f t="shared" si="285"/>
        <v>1.7981559529350957E-3</v>
      </c>
      <c r="W303" s="3">
        <f t="shared" si="285"/>
        <v>1.7981403907188483E-3</v>
      </c>
      <c r="X303" s="3">
        <f t="shared" si="285"/>
        <v>1.7979847759637916E-3</v>
      </c>
      <c r="Y303" s="3">
        <f t="shared" si="285"/>
        <v>1.7964293689180491E-3</v>
      </c>
      <c r="Z303" s="3">
        <f t="shared" si="285"/>
        <v>1.7809491123666925E-3</v>
      </c>
      <c r="AA303" s="3">
        <f t="shared" si="285"/>
        <v>1.6332969435100646E-3</v>
      </c>
      <c r="AB303" s="3">
        <f t="shared" si="285"/>
        <v>6.8738735506126514E-4</v>
      </c>
      <c r="AC303" s="3">
        <f t="shared" si="285"/>
        <v>1.1982996507669453E-7</v>
      </c>
      <c r="AD303" s="3">
        <f t="shared" si="285"/>
        <v>3.1060208932142077E-45</v>
      </c>
      <c r="AE303" s="3">
        <f t="shared" si="285"/>
        <v>0</v>
      </c>
      <c r="AF303" s="3">
        <f t="shared" si="285"/>
        <v>0</v>
      </c>
      <c r="AG303" s="3"/>
      <c r="AH303" s="3"/>
    </row>
    <row r="304" spans="2:34" x14ac:dyDescent="0.25">
      <c r="B304" s="3">
        <f t="shared" ref="B304:AF304" si="286">$C34*EXP(-B$285/$A34/EXP(-$F$126))</f>
        <v>4.3198756825701184E-3</v>
      </c>
      <c r="C304" s="3">
        <f t="shared" si="286"/>
        <v>4.3198756825701184E-3</v>
      </c>
      <c r="D304" s="3">
        <f t="shared" si="286"/>
        <v>4.3198756825701184E-3</v>
      </c>
      <c r="E304" s="3">
        <f t="shared" si="286"/>
        <v>4.3198756825701184E-3</v>
      </c>
      <c r="F304" s="3">
        <f t="shared" si="286"/>
        <v>4.3198756825701184E-3</v>
      </c>
      <c r="G304" s="3">
        <f t="shared" si="286"/>
        <v>4.3198756825701184E-3</v>
      </c>
      <c r="H304" s="3">
        <f t="shared" si="286"/>
        <v>4.3198756825701184E-3</v>
      </c>
      <c r="I304" s="3">
        <f t="shared" si="286"/>
        <v>4.3198756825701184E-3</v>
      </c>
      <c r="J304" s="3">
        <f t="shared" si="286"/>
        <v>4.3198756825701184E-3</v>
      </c>
      <c r="K304" s="3">
        <f t="shared" si="286"/>
        <v>4.3198756825701184E-3</v>
      </c>
      <c r="L304" s="3">
        <f t="shared" si="286"/>
        <v>4.3198756825701184E-3</v>
      </c>
      <c r="M304" s="3">
        <f t="shared" si="286"/>
        <v>4.3198756825701175E-3</v>
      </c>
      <c r="N304" s="3">
        <f t="shared" si="286"/>
        <v>4.3198756825701149E-3</v>
      </c>
      <c r="O304" s="3">
        <f t="shared" si="286"/>
        <v>4.3198756825700811E-3</v>
      </c>
      <c r="P304" s="3">
        <f t="shared" si="286"/>
        <v>4.3198756825697437E-3</v>
      </c>
      <c r="Q304" s="3">
        <f t="shared" si="286"/>
        <v>4.3198756825663714E-3</v>
      </c>
      <c r="R304" s="3">
        <f t="shared" si="286"/>
        <v>4.3198756825326449E-3</v>
      </c>
      <c r="S304" s="3">
        <f t="shared" si="286"/>
        <v>4.319875682195386E-3</v>
      </c>
      <c r="T304" s="3">
        <f t="shared" si="286"/>
        <v>4.3198756788227939E-3</v>
      </c>
      <c r="U304" s="3">
        <f t="shared" si="286"/>
        <v>4.3198756450968734E-3</v>
      </c>
      <c r="V304" s="3">
        <f t="shared" si="286"/>
        <v>4.3198753078376867E-3</v>
      </c>
      <c r="W304" s="3">
        <f t="shared" si="286"/>
        <v>4.3198719352472619E-3</v>
      </c>
      <c r="X304" s="3">
        <f t="shared" si="286"/>
        <v>4.3198382094878337E-3</v>
      </c>
      <c r="Y304" s="3">
        <f t="shared" si="286"/>
        <v>4.3195009663747645E-3</v>
      </c>
      <c r="Z304" s="3">
        <f t="shared" si="286"/>
        <v>4.316129982947752E-3</v>
      </c>
      <c r="AA304" s="3">
        <f t="shared" si="286"/>
        <v>4.282564501726773E-3</v>
      </c>
      <c r="AB304" s="3">
        <f t="shared" si="286"/>
        <v>3.9609365747864545E-3</v>
      </c>
      <c r="AC304" s="3">
        <f t="shared" si="286"/>
        <v>1.8144192407023307E-3</v>
      </c>
      <c r="AD304" s="3">
        <f t="shared" si="286"/>
        <v>7.3813395976006714E-7</v>
      </c>
      <c r="AE304" s="3">
        <f t="shared" si="286"/>
        <v>9.1645390587418271E-41</v>
      </c>
      <c r="AF304" s="3">
        <f t="shared" si="286"/>
        <v>0</v>
      </c>
      <c r="AG304" s="3"/>
      <c r="AH304" s="3"/>
    </row>
    <row r="305" spans="1:34" x14ac:dyDescent="0.25">
      <c r="B305" s="3">
        <f t="shared" ref="B305:AF305" si="287">$C35*EXP(-B$285/$A35/EXP(-$F$126))</f>
        <v>3.4800152588185828E-3</v>
      </c>
      <c r="C305" s="3">
        <f t="shared" si="287"/>
        <v>3.4800152588185828E-3</v>
      </c>
      <c r="D305" s="3">
        <f t="shared" si="287"/>
        <v>3.4800152588185828E-3</v>
      </c>
      <c r="E305" s="3">
        <f t="shared" si="287"/>
        <v>3.4800152588185828E-3</v>
      </c>
      <c r="F305" s="3">
        <f t="shared" si="287"/>
        <v>3.4800152588185828E-3</v>
      </c>
      <c r="G305" s="3">
        <f t="shared" si="287"/>
        <v>3.4800152588185828E-3</v>
      </c>
      <c r="H305" s="3">
        <f t="shared" si="287"/>
        <v>3.4800152588185828E-3</v>
      </c>
      <c r="I305" s="3">
        <f t="shared" si="287"/>
        <v>3.4800152588185828E-3</v>
      </c>
      <c r="J305" s="3">
        <f t="shared" si="287"/>
        <v>3.4800152588185828E-3</v>
      </c>
      <c r="K305" s="3">
        <f t="shared" si="287"/>
        <v>3.4800152588185828E-3</v>
      </c>
      <c r="L305" s="3">
        <f t="shared" si="287"/>
        <v>3.4800152588185828E-3</v>
      </c>
      <c r="M305" s="3">
        <f t="shared" si="287"/>
        <v>3.4800152588185828E-3</v>
      </c>
      <c r="N305" s="3">
        <f t="shared" si="287"/>
        <v>3.4800152588185824E-3</v>
      </c>
      <c r="O305" s="3">
        <f t="shared" si="287"/>
        <v>3.4800152588185802E-3</v>
      </c>
      <c r="P305" s="3">
        <f t="shared" si="287"/>
        <v>3.4800152588185559E-3</v>
      </c>
      <c r="Q305" s="3">
        <f t="shared" si="287"/>
        <v>3.4800152588183105E-3</v>
      </c>
      <c r="R305" s="3">
        <f t="shared" si="287"/>
        <v>3.4800152588158597E-3</v>
      </c>
      <c r="S305" s="3">
        <f t="shared" si="287"/>
        <v>3.4800152587913511E-3</v>
      </c>
      <c r="T305" s="3">
        <f t="shared" si="287"/>
        <v>3.4800152585462642E-3</v>
      </c>
      <c r="U305" s="3">
        <f t="shared" si="287"/>
        <v>3.480015256095394E-3</v>
      </c>
      <c r="V305" s="3">
        <f t="shared" si="287"/>
        <v>3.4800152315866929E-3</v>
      </c>
      <c r="W305" s="3">
        <f t="shared" si="287"/>
        <v>3.4800149864996893E-3</v>
      </c>
      <c r="X305" s="3">
        <f t="shared" si="287"/>
        <v>3.4800125356306074E-3</v>
      </c>
      <c r="Y305" s="3">
        <f t="shared" si="287"/>
        <v>3.4799880270347206E-3</v>
      </c>
      <c r="Z305" s="3">
        <f t="shared" si="287"/>
        <v>3.4797429505689895E-3</v>
      </c>
      <c r="AA305" s="3">
        <f t="shared" si="287"/>
        <v>3.4772931349776534E-3</v>
      </c>
      <c r="AB305" s="3">
        <f t="shared" si="287"/>
        <v>3.452889638819874E-3</v>
      </c>
      <c r="AC305" s="3">
        <f t="shared" si="287"/>
        <v>3.2180785664682955E-3</v>
      </c>
      <c r="AD305" s="3">
        <f t="shared" si="287"/>
        <v>1.5912414904418199E-3</v>
      </c>
      <c r="AE305" s="3">
        <f t="shared" si="287"/>
        <v>1.3903707025786962E-6</v>
      </c>
      <c r="AF305" s="3">
        <f t="shared" si="287"/>
        <v>3.6064153688918633E-37</v>
      </c>
      <c r="AG305" s="3"/>
      <c r="AH305" s="3"/>
    </row>
    <row r="306" spans="1:34" x14ac:dyDescent="0.25">
      <c r="B306" s="3">
        <f t="shared" ref="B306:AF306" si="288">$C36*EXP(-B$285/$A36/EXP(-$F$126))</f>
        <v>2.0367681547460849E-3</v>
      </c>
      <c r="C306" s="3">
        <f t="shared" si="288"/>
        <v>2.0367681547460849E-3</v>
      </c>
      <c r="D306" s="3">
        <f t="shared" si="288"/>
        <v>2.0367681547460849E-3</v>
      </c>
      <c r="E306" s="3">
        <f t="shared" si="288"/>
        <v>2.0367681547460849E-3</v>
      </c>
      <c r="F306" s="3">
        <f t="shared" si="288"/>
        <v>2.0367681547460849E-3</v>
      </c>
      <c r="G306" s="3">
        <f t="shared" si="288"/>
        <v>2.0367681547460849E-3</v>
      </c>
      <c r="H306" s="3">
        <f t="shared" si="288"/>
        <v>2.0367681547460849E-3</v>
      </c>
      <c r="I306" s="3">
        <f t="shared" si="288"/>
        <v>2.0367681547460849E-3</v>
      </c>
      <c r="J306" s="3">
        <f t="shared" si="288"/>
        <v>2.0367681547460849E-3</v>
      </c>
      <c r="K306" s="3">
        <f t="shared" si="288"/>
        <v>2.0367681547460849E-3</v>
      </c>
      <c r="L306" s="3">
        <f t="shared" si="288"/>
        <v>2.0367681547460849E-3</v>
      </c>
      <c r="M306" s="3">
        <f t="shared" si="288"/>
        <v>2.0367681547460849E-3</v>
      </c>
      <c r="N306" s="3">
        <f t="shared" si="288"/>
        <v>2.0367681547460849E-3</v>
      </c>
      <c r="O306" s="3">
        <f t="shared" si="288"/>
        <v>2.0367681547460844E-3</v>
      </c>
      <c r="P306" s="3">
        <f t="shared" si="288"/>
        <v>2.0367681547460836E-3</v>
      </c>
      <c r="Q306" s="3">
        <f t="shared" si="288"/>
        <v>2.0367681547460706E-3</v>
      </c>
      <c r="R306" s="3">
        <f t="shared" si="288"/>
        <v>2.0367681547459409E-3</v>
      </c>
      <c r="S306" s="3">
        <f t="shared" si="288"/>
        <v>2.0367681547446472E-3</v>
      </c>
      <c r="T306" s="3">
        <f t="shared" si="288"/>
        <v>2.0367681547317075E-3</v>
      </c>
      <c r="U306" s="3">
        <f t="shared" si="288"/>
        <v>2.0367681546023093E-3</v>
      </c>
      <c r="V306" s="3">
        <f t="shared" si="288"/>
        <v>2.03676815330833E-3</v>
      </c>
      <c r="W306" s="3">
        <f t="shared" si="288"/>
        <v>2.0367681403685367E-3</v>
      </c>
      <c r="X306" s="3">
        <f t="shared" si="288"/>
        <v>2.036768010970609E-3</v>
      </c>
      <c r="Y306" s="3">
        <f t="shared" si="288"/>
        <v>2.0367667169917812E-3</v>
      </c>
      <c r="Z306" s="3">
        <f t="shared" si="288"/>
        <v>2.0367537772487212E-3</v>
      </c>
      <c r="AA306" s="3">
        <f t="shared" si="288"/>
        <v>2.036624384339433E-3</v>
      </c>
      <c r="AB306" s="3">
        <f t="shared" si="288"/>
        <v>2.0353309072714343E-3</v>
      </c>
      <c r="AC306" s="3">
        <f t="shared" si="288"/>
        <v>2.0224412330053718E-3</v>
      </c>
      <c r="AD306" s="3">
        <f t="shared" si="288"/>
        <v>1.8979499033274679E-3</v>
      </c>
      <c r="AE306" s="3">
        <f t="shared" si="288"/>
        <v>1.0054791862009226E-3</v>
      </c>
      <c r="AF306" s="3">
        <f t="shared" si="288"/>
        <v>1.7508804152574879E-6</v>
      </c>
      <c r="AG306" s="3"/>
      <c r="AH306" s="3"/>
    </row>
    <row r="307" spans="1:34" x14ac:dyDescent="0.25">
      <c r="B307" s="3">
        <f t="shared" ref="B307:AF307" si="289">$C37*EXP(-B$285/$A37/EXP(-$F$126))</f>
        <v>1.2781847248259422E-3</v>
      </c>
      <c r="C307" s="3">
        <f t="shared" si="289"/>
        <v>1.2781847248259422E-3</v>
      </c>
      <c r="D307" s="3">
        <f t="shared" si="289"/>
        <v>1.2781847248259422E-3</v>
      </c>
      <c r="E307" s="3">
        <f t="shared" si="289"/>
        <v>1.2781847248259422E-3</v>
      </c>
      <c r="F307" s="3">
        <f t="shared" si="289"/>
        <v>1.2781847248259422E-3</v>
      </c>
      <c r="G307" s="3">
        <f t="shared" si="289"/>
        <v>1.2781847248259422E-3</v>
      </c>
      <c r="H307" s="3">
        <f t="shared" si="289"/>
        <v>1.2781847248259422E-3</v>
      </c>
      <c r="I307" s="3">
        <f t="shared" si="289"/>
        <v>1.2781847248259422E-3</v>
      </c>
      <c r="J307" s="3">
        <f t="shared" si="289"/>
        <v>1.2781847248259422E-3</v>
      </c>
      <c r="K307" s="3">
        <f t="shared" si="289"/>
        <v>1.2781847248259422E-3</v>
      </c>
      <c r="L307" s="3">
        <f t="shared" si="289"/>
        <v>1.2781847248259422E-3</v>
      </c>
      <c r="M307" s="3">
        <f t="shared" si="289"/>
        <v>1.2781847248259422E-3</v>
      </c>
      <c r="N307" s="3">
        <f t="shared" si="289"/>
        <v>1.2781847248259422E-3</v>
      </c>
      <c r="O307" s="3">
        <f t="shared" si="289"/>
        <v>1.2781847248259422E-3</v>
      </c>
      <c r="P307" s="3">
        <f t="shared" si="289"/>
        <v>1.278184724825942E-3</v>
      </c>
      <c r="Q307" s="3">
        <f t="shared" si="289"/>
        <v>1.2781847248259414E-3</v>
      </c>
      <c r="R307" s="3">
        <f t="shared" si="289"/>
        <v>1.2781847248259342E-3</v>
      </c>
      <c r="S307" s="3">
        <f t="shared" si="289"/>
        <v>1.2781847248258607E-3</v>
      </c>
      <c r="T307" s="3">
        <f t="shared" si="289"/>
        <v>1.2781847248251282E-3</v>
      </c>
      <c r="U307" s="3">
        <f t="shared" si="289"/>
        <v>1.2781847248178029E-3</v>
      </c>
      <c r="V307" s="3">
        <f t="shared" si="289"/>
        <v>1.2781847247445499E-3</v>
      </c>
      <c r="W307" s="3">
        <f t="shared" si="289"/>
        <v>1.2781847240120189E-3</v>
      </c>
      <c r="X307" s="3">
        <f t="shared" si="289"/>
        <v>1.2781847166867099E-3</v>
      </c>
      <c r="Y307" s="3">
        <f t="shared" si="289"/>
        <v>1.2781846434336212E-3</v>
      </c>
      <c r="Z307" s="3">
        <f t="shared" si="289"/>
        <v>1.2781839109029644E-3</v>
      </c>
      <c r="AA307" s="3">
        <f t="shared" si="289"/>
        <v>1.2781765856194878E-3</v>
      </c>
      <c r="AB307" s="3">
        <f t="shared" si="289"/>
        <v>1.2781033350936497E-3</v>
      </c>
      <c r="AC307" s="3">
        <f t="shared" si="289"/>
        <v>1.2773710606793075E-3</v>
      </c>
      <c r="AD307" s="3">
        <f t="shared" si="289"/>
        <v>1.2700713520645479E-3</v>
      </c>
      <c r="AE307" s="3">
        <f t="shared" si="289"/>
        <v>1.1993297121863861E-3</v>
      </c>
      <c r="AF307" s="3">
        <f t="shared" si="289"/>
        <v>6.7615041987162297E-4</v>
      </c>
      <c r="AG307" s="3"/>
      <c r="AH307" s="3"/>
    </row>
    <row r="308" spans="1:34" x14ac:dyDescent="0.25">
      <c r="B308" s="3">
        <f t="shared" ref="B308:AF308" si="290">$C38*EXP(-B$285/$A38/EXP(-$F$126))</f>
        <v>3.444457645749161E-4</v>
      </c>
      <c r="C308" s="3">
        <f t="shared" si="290"/>
        <v>3.444457645749161E-4</v>
      </c>
      <c r="D308" s="3">
        <f t="shared" si="290"/>
        <v>3.444457645749161E-4</v>
      </c>
      <c r="E308" s="3">
        <f t="shared" si="290"/>
        <v>3.444457645749161E-4</v>
      </c>
      <c r="F308" s="3">
        <f t="shared" si="290"/>
        <v>3.444457645749161E-4</v>
      </c>
      <c r="G308" s="3">
        <f t="shared" si="290"/>
        <v>3.444457645749161E-4</v>
      </c>
      <c r="H308" s="3">
        <f t="shared" si="290"/>
        <v>3.444457645749161E-4</v>
      </c>
      <c r="I308" s="3">
        <f t="shared" si="290"/>
        <v>3.444457645749161E-4</v>
      </c>
      <c r="J308" s="3">
        <f t="shared" si="290"/>
        <v>3.444457645749161E-4</v>
      </c>
      <c r="K308" s="3">
        <f t="shared" si="290"/>
        <v>3.444457645749161E-4</v>
      </c>
      <c r="L308" s="3">
        <f t="shared" si="290"/>
        <v>3.444457645749161E-4</v>
      </c>
      <c r="M308" s="3">
        <f t="shared" si="290"/>
        <v>3.444457645749161E-4</v>
      </c>
      <c r="N308" s="3">
        <f t="shared" si="290"/>
        <v>3.444457645749161E-4</v>
      </c>
      <c r="O308" s="3">
        <f t="shared" si="290"/>
        <v>3.444457645749161E-4</v>
      </c>
      <c r="P308" s="3">
        <f t="shared" si="290"/>
        <v>3.444457645749161E-4</v>
      </c>
      <c r="Q308" s="3">
        <f t="shared" si="290"/>
        <v>3.4444576457491605E-4</v>
      </c>
      <c r="R308" s="3">
        <f t="shared" si="290"/>
        <v>3.4444576457491588E-4</v>
      </c>
      <c r="S308" s="3">
        <f t="shared" si="290"/>
        <v>3.444457645749141E-4</v>
      </c>
      <c r="T308" s="3">
        <f t="shared" si="290"/>
        <v>3.4444576457489631E-4</v>
      </c>
      <c r="U308" s="3">
        <f t="shared" si="290"/>
        <v>3.4444576457471823E-4</v>
      </c>
      <c r="V308" s="3">
        <f t="shared" si="290"/>
        <v>3.4444576457293749E-4</v>
      </c>
      <c r="W308" s="3">
        <f t="shared" si="290"/>
        <v>3.4444576455513012E-4</v>
      </c>
      <c r="X308" s="3">
        <f t="shared" si="290"/>
        <v>3.4444576437705647E-4</v>
      </c>
      <c r="Y308" s="3">
        <f t="shared" si="290"/>
        <v>3.4444576259631951E-4</v>
      </c>
      <c r="Z308" s="3">
        <f t="shared" si="290"/>
        <v>3.4444574478895043E-4</v>
      </c>
      <c r="AA308" s="3">
        <f t="shared" si="290"/>
        <v>3.4444556671531034E-4</v>
      </c>
      <c r="AB308" s="3">
        <f t="shared" si="290"/>
        <v>3.4444378598397311E-4</v>
      </c>
      <c r="AC308" s="3">
        <f t="shared" si="290"/>
        <v>3.4442597917692865E-4</v>
      </c>
      <c r="AD308" s="3">
        <f t="shared" si="290"/>
        <v>3.4424796172962497E-4</v>
      </c>
      <c r="AE308" s="3">
        <f t="shared" si="290"/>
        <v>3.4247283990060861E-4</v>
      </c>
      <c r="AF308" s="3">
        <f t="shared" si="290"/>
        <v>3.2521735326635555E-4</v>
      </c>
      <c r="AG308" s="3"/>
      <c r="AH308" s="3"/>
    </row>
    <row r="309" spans="1:34" x14ac:dyDescent="0.25">
      <c r="B309" s="3">
        <f t="shared" ref="B309:AF309" si="291">$C39*EXP(-B$285/$A39/EXP(-$F$126))</f>
        <v>6.1014336776090067E-4</v>
      </c>
      <c r="C309" s="3">
        <f t="shared" si="291"/>
        <v>6.1014336776090067E-4</v>
      </c>
      <c r="D309" s="3">
        <f t="shared" si="291"/>
        <v>6.1014336776090067E-4</v>
      </c>
      <c r="E309" s="3">
        <f t="shared" si="291"/>
        <v>6.1014336776090067E-4</v>
      </c>
      <c r="F309" s="3">
        <f t="shared" si="291"/>
        <v>6.1014336776090067E-4</v>
      </c>
      <c r="G309" s="3">
        <f t="shared" si="291"/>
        <v>6.1014336776090067E-4</v>
      </c>
      <c r="H309" s="3">
        <f t="shared" si="291"/>
        <v>6.1014336776090067E-4</v>
      </c>
      <c r="I309" s="3">
        <f t="shared" si="291"/>
        <v>6.1014336776090067E-4</v>
      </c>
      <c r="J309" s="3">
        <f t="shared" si="291"/>
        <v>6.1014336776090067E-4</v>
      </c>
      <c r="K309" s="3">
        <f t="shared" si="291"/>
        <v>6.1014336776090067E-4</v>
      </c>
      <c r="L309" s="3">
        <f t="shared" si="291"/>
        <v>6.1014336776090067E-4</v>
      </c>
      <c r="M309" s="3">
        <f t="shared" si="291"/>
        <v>6.1014336776090067E-4</v>
      </c>
      <c r="N309" s="3">
        <f t="shared" si="291"/>
        <v>6.1014336776090067E-4</v>
      </c>
      <c r="O309" s="3">
        <f t="shared" si="291"/>
        <v>6.1014336776090067E-4</v>
      </c>
      <c r="P309" s="3">
        <f t="shared" si="291"/>
        <v>6.1014336776090067E-4</v>
      </c>
      <c r="Q309" s="3">
        <f t="shared" si="291"/>
        <v>6.1014336776090067E-4</v>
      </c>
      <c r="R309" s="3">
        <f t="shared" si="291"/>
        <v>6.1014336776090057E-4</v>
      </c>
      <c r="S309" s="3">
        <f t="shared" si="291"/>
        <v>6.101433677608997E-4</v>
      </c>
      <c r="T309" s="3">
        <f t="shared" si="291"/>
        <v>6.1014336776089102E-4</v>
      </c>
      <c r="U309" s="3">
        <f t="shared" si="291"/>
        <v>6.1014336776080375E-4</v>
      </c>
      <c r="V309" s="3">
        <f t="shared" si="291"/>
        <v>6.1014336775993129E-4</v>
      </c>
      <c r="W309" s="3">
        <f t="shared" si="291"/>
        <v>6.1014336775120715E-4</v>
      </c>
      <c r="X309" s="3">
        <f t="shared" si="291"/>
        <v>6.1014336766396552E-4</v>
      </c>
      <c r="Y309" s="3">
        <f t="shared" si="291"/>
        <v>6.1014336679154945E-4</v>
      </c>
      <c r="Z309" s="3">
        <f t="shared" si="291"/>
        <v>6.101433580673883E-4</v>
      </c>
      <c r="AA309" s="3">
        <f t="shared" si="291"/>
        <v>6.1014327082578395E-4</v>
      </c>
      <c r="AB309" s="3">
        <f t="shared" si="291"/>
        <v>6.1014239841042687E-4</v>
      </c>
      <c r="AC309" s="3">
        <f t="shared" si="291"/>
        <v>6.101336743254644E-4</v>
      </c>
      <c r="AD309" s="3">
        <f t="shared" si="291"/>
        <v>6.100464403362894E-4</v>
      </c>
      <c r="AE309" s="3">
        <f t="shared" si="291"/>
        <v>6.0917478612676837E-4</v>
      </c>
      <c r="AF309" s="3">
        <f t="shared" si="291"/>
        <v>6.0052645088020361E-4</v>
      </c>
      <c r="AG309" s="3"/>
      <c r="AH309" s="3"/>
    </row>
    <row r="310" spans="1:34" x14ac:dyDescent="0.25">
      <c r="B310" s="3">
        <f t="shared" ref="B310:AF310" si="292">$C40*EXP(-B$285/$A40/EXP(-$F$126))</f>
        <v>2.2250933466635417E-4</v>
      </c>
      <c r="C310" s="3">
        <f t="shared" si="292"/>
        <v>2.2250933466635417E-4</v>
      </c>
      <c r="D310" s="3">
        <f t="shared" si="292"/>
        <v>2.2250933466635417E-4</v>
      </c>
      <c r="E310" s="3">
        <f t="shared" si="292"/>
        <v>2.2250933466635417E-4</v>
      </c>
      <c r="F310" s="3">
        <f t="shared" si="292"/>
        <v>2.2250933466635417E-4</v>
      </c>
      <c r="G310" s="3">
        <f t="shared" si="292"/>
        <v>2.2250933466635417E-4</v>
      </c>
      <c r="H310" s="3">
        <f t="shared" si="292"/>
        <v>2.2250933466635417E-4</v>
      </c>
      <c r="I310" s="3">
        <f t="shared" si="292"/>
        <v>2.2250933466635417E-4</v>
      </c>
      <c r="J310" s="3">
        <f t="shared" si="292"/>
        <v>2.2250933466635417E-4</v>
      </c>
      <c r="K310" s="3">
        <f t="shared" si="292"/>
        <v>2.2250933466635417E-4</v>
      </c>
      <c r="L310" s="3">
        <f t="shared" si="292"/>
        <v>2.2250933466635417E-4</v>
      </c>
      <c r="M310" s="3">
        <f t="shared" si="292"/>
        <v>2.2250933466635417E-4</v>
      </c>
      <c r="N310" s="3">
        <f t="shared" si="292"/>
        <v>2.2250933466635417E-4</v>
      </c>
      <c r="O310" s="3">
        <f t="shared" si="292"/>
        <v>2.2250933466635417E-4</v>
      </c>
      <c r="P310" s="3">
        <f t="shared" si="292"/>
        <v>2.2250933466635417E-4</v>
      </c>
      <c r="Q310" s="3">
        <f t="shared" si="292"/>
        <v>2.2250933466635417E-4</v>
      </c>
      <c r="R310" s="3">
        <f t="shared" si="292"/>
        <v>2.2250933466635417E-4</v>
      </c>
      <c r="S310" s="3">
        <f t="shared" si="292"/>
        <v>2.2250933466635414E-4</v>
      </c>
      <c r="T310" s="3">
        <f t="shared" si="292"/>
        <v>2.2250933466635381E-4</v>
      </c>
      <c r="U310" s="3">
        <f t="shared" si="292"/>
        <v>2.2250933466635064E-4</v>
      </c>
      <c r="V310" s="3">
        <f t="shared" si="292"/>
        <v>2.2250933466631882E-4</v>
      </c>
      <c r="W310" s="3">
        <f t="shared" si="292"/>
        <v>2.2250933466600066E-4</v>
      </c>
      <c r="X310" s="3">
        <f t="shared" si="292"/>
        <v>2.225093346628191E-4</v>
      </c>
      <c r="Y310" s="3">
        <f t="shared" si="292"/>
        <v>2.2250933463100351E-4</v>
      </c>
      <c r="Z310" s="3">
        <f t="shared" si="292"/>
        <v>2.2250933431284758E-4</v>
      </c>
      <c r="AA310" s="3">
        <f t="shared" si="292"/>
        <v>2.2250933113128829E-4</v>
      </c>
      <c r="AB310" s="3">
        <f t="shared" si="292"/>
        <v>2.2250929931569814E-4</v>
      </c>
      <c r="AC310" s="3">
        <f t="shared" si="292"/>
        <v>2.2250898116004669E-4</v>
      </c>
      <c r="AD310" s="3">
        <f t="shared" si="292"/>
        <v>2.2250579962855235E-4</v>
      </c>
      <c r="AE310" s="3">
        <f t="shared" si="292"/>
        <v>2.2247398681550344E-4</v>
      </c>
      <c r="AF310" s="3">
        <f t="shared" si="292"/>
        <v>2.2215610874213944E-4</v>
      </c>
      <c r="AG310" s="3"/>
      <c r="AH310" s="3"/>
    </row>
    <row r="311" spans="1:34" x14ac:dyDescent="0.25">
      <c r="B311" s="3">
        <f t="shared" ref="B311:AF311" si="293">$C41*EXP(-B$285/$A41/EXP(-$F$126))</f>
        <v>3.0514987252664002E-4</v>
      </c>
      <c r="C311" s="3">
        <f t="shared" si="293"/>
        <v>3.0514987252664002E-4</v>
      </c>
      <c r="D311" s="3">
        <f t="shared" si="293"/>
        <v>3.0514987252664002E-4</v>
      </c>
      <c r="E311" s="3">
        <f t="shared" si="293"/>
        <v>3.0514987252664002E-4</v>
      </c>
      <c r="F311" s="3">
        <f t="shared" si="293"/>
        <v>3.0514987252664002E-4</v>
      </c>
      <c r="G311" s="3">
        <f t="shared" si="293"/>
        <v>3.0514987252664002E-4</v>
      </c>
      <c r="H311" s="3">
        <f t="shared" si="293"/>
        <v>3.0514987252664002E-4</v>
      </c>
      <c r="I311" s="3">
        <f t="shared" si="293"/>
        <v>3.0514987252664002E-4</v>
      </c>
      <c r="J311" s="3">
        <f t="shared" si="293"/>
        <v>3.0514987252664002E-4</v>
      </c>
      <c r="K311" s="3">
        <f t="shared" si="293"/>
        <v>3.0514987252664002E-4</v>
      </c>
      <c r="L311" s="3">
        <f t="shared" si="293"/>
        <v>3.0514987252664002E-4</v>
      </c>
      <c r="M311" s="3">
        <f t="shared" si="293"/>
        <v>3.0514987252664002E-4</v>
      </c>
      <c r="N311" s="3">
        <f t="shared" si="293"/>
        <v>3.0514987252664002E-4</v>
      </c>
      <c r="O311" s="3">
        <f t="shared" si="293"/>
        <v>3.0514987252664002E-4</v>
      </c>
      <c r="P311" s="3">
        <f t="shared" si="293"/>
        <v>3.0514987252664002E-4</v>
      </c>
      <c r="Q311" s="3">
        <f t="shared" si="293"/>
        <v>3.0514987252664002E-4</v>
      </c>
      <c r="R311" s="3">
        <f t="shared" si="293"/>
        <v>3.0514987252664002E-4</v>
      </c>
      <c r="S311" s="3">
        <f t="shared" si="293"/>
        <v>3.0514987252664002E-4</v>
      </c>
      <c r="T311" s="3">
        <f t="shared" si="293"/>
        <v>3.0514987252663997E-4</v>
      </c>
      <c r="U311" s="3">
        <f t="shared" si="293"/>
        <v>3.0514987252663954E-4</v>
      </c>
      <c r="V311" s="3">
        <f t="shared" si="293"/>
        <v>3.051498725266352E-4</v>
      </c>
      <c r="W311" s="3">
        <f t="shared" si="293"/>
        <v>3.0514987252659156E-4</v>
      </c>
      <c r="X311" s="3">
        <f t="shared" si="293"/>
        <v>3.0514987252615522E-4</v>
      </c>
      <c r="Y311" s="3">
        <f t="shared" si="293"/>
        <v>3.0514987252179201E-4</v>
      </c>
      <c r="Z311" s="3">
        <f t="shared" si="293"/>
        <v>3.0514987247816003E-4</v>
      </c>
      <c r="AA311" s="3">
        <f t="shared" si="293"/>
        <v>3.0514987204184016E-4</v>
      </c>
      <c r="AB311" s="3">
        <f t="shared" si="293"/>
        <v>3.0514986767864161E-4</v>
      </c>
      <c r="AC311" s="3">
        <f t="shared" si="293"/>
        <v>3.0514982404665963E-4</v>
      </c>
      <c r="AD311" s="3">
        <f t="shared" si="293"/>
        <v>3.0514938772718283E-4</v>
      </c>
      <c r="AE311" s="3">
        <f t="shared" si="293"/>
        <v>3.0514502456672761E-4</v>
      </c>
      <c r="AF311" s="3">
        <f t="shared" si="293"/>
        <v>3.0510139639327975E-4</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6.2164799219330605E-5</v>
      </c>
      <c r="C313" s="3">
        <f t="shared" si="295"/>
        <v>6.2164799219330605E-5</v>
      </c>
      <c r="D313" s="3">
        <f t="shared" si="295"/>
        <v>6.2164799219330605E-5</v>
      </c>
      <c r="E313" s="3">
        <f t="shared" si="295"/>
        <v>6.2164799219330605E-5</v>
      </c>
      <c r="F313" s="3">
        <f t="shared" si="295"/>
        <v>6.2164799219330605E-5</v>
      </c>
      <c r="G313" s="3">
        <f t="shared" si="295"/>
        <v>6.2164799219330605E-5</v>
      </c>
      <c r="H313" s="3">
        <f t="shared" si="295"/>
        <v>6.2164799219330605E-5</v>
      </c>
      <c r="I313" s="3">
        <f t="shared" si="295"/>
        <v>6.2164799219330605E-5</v>
      </c>
      <c r="J313" s="3">
        <f t="shared" si="295"/>
        <v>6.2164799219330605E-5</v>
      </c>
      <c r="K313" s="3">
        <f t="shared" si="295"/>
        <v>6.2164799219330605E-5</v>
      </c>
      <c r="L313" s="3">
        <f t="shared" si="295"/>
        <v>6.2164799219330605E-5</v>
      </c>
      <c r="M313" s="3">
        <f t="shared" si="295"/>
        <v>6.2164799219330605E-5</v>
      </c>
      <c r="N313" s="3">
        <f t="shared" si="295"/>
        <v>6.2164799219330605E-5</v>
      </c>
      <c r="O313" s="3">
        <f t="shared" si="295"/>
        <v>6.2164799219330605E-5</v>
      </c>
      <c r="P313" s="3">
        <f t="shared" si="295"/>
        <v>6.2164799219330605E-5</v>
      </c>
      <c r="Q313" s="3">
        <f t="shared" si="295"/>
        <v>6.2164799219330605E-5</v>
      </c>
      <c r="R313" s="3">
        <f t="shared" si="295"/>
        <v>6.2164799219330605E-5</v>
      </c>
      <c r="S313" s="3">
        <f t="shared" si="295"/>
        <v>6.2164799219330605E-5</v>
      </c>
      <c r="T313" s="3">
        <f t="shared" si="295"/>
        <v>6.2164799219330605E-5</v>
      </c>
      <c r="U313" s="3">
        <f t="shared" si="295"/>
        <v>6.2164799219330605E-5</v>
      </c>
      <c r="V313" s="3">
        <f t="shared" si="295"/>
        <v>6.2164799219330592E-5</v>
      </c>
      <c r="W313" s="3">
        <f t="shared" si="295"/>
        <v>6.216479921933051E-5</v>
      </c>
      <c r="X313" s="3">
        <f t="shared" si="295"/>
        <v>6.2164799219329616E-5</v>
      </c>
      <c r="Y313" s="3">
        <f t="shared" si="295"/>
        <v>6.2164799219320725E-5</v>
      </c>
      <c r="Z313" s="3">
        <f t="shared" si="295"/>
        <v>6.2164799219231848E-5</v>
      </c>
      <c r="AA313" s="3">
        <f t="shared" si="295"/>
        <v>6.2164799218342978E-5</v>
      </c>
      <c r="AB313" s="3">
        <f t="shared" si="295"/>
        <v>6.2164799209454309E-5</v>
      </c>
      <c r="AC313" s="3">
        <f t="shared" si="295"/>
        <v>6.2164799120567702E-5</v>
      </c>
      <c r="AD313" s="3">
        <f t="shared" si="295"/>
        <v>6.2164798231701654E-5</v>
      </c>
      <c r="AE313" s="3">
        <f t="shared" si="295"/>
        <v>6.2164789343041881E-5</v>
      </c>
      <c r="AF313" s="3">
        <f t="shared" si="295"/>
        <v>6.2164700456513927E-5</v>
      </c>
      <c r="AG313" s="3"/>
      <c r="AH313" s="3"/>
    </row>
    <row r="314" spans="1:34" x14ac:dyDescent="0.25">
      <c r="B314" s="3">
        <f t="shared" ref="B314:AF314" si="296">$C44*EXP(-B$285/$A44/EXP(-$F$126))</f>
        <v>1.589018825978126E-4</v>
      </c>
      <c r="C314" s="3">
        <f t="shared" si="296"/>
        <v>1.589018825978126E-4</v>
      </c>
      <c r="D314" s="3">
        <f t="shared" si="296"/>
        <v>1.589018825978126E-4</v>
      </c>
      <c r="E314" s="3">
        <f t="shared" si="296"/>
        <v>1.589018825978126E-4</v>
      </c>
      <c r="F314" s="3">
        <f t="shared" si="296"/>
        <v>1.589018825978126E-4</v>
      </c>
      <c r="G314" s="3">
        <f t="shared" si="296"/>
        <v>1.589018825978126E-4</v>
      </c>
      <c r="H314" s="3">
        <f t="shared" si="296"/>
        <v>1.589018825978126E-4</v>
      </c>
      <c r="I314" s="3">
        <f t="shared" si="296"/>
        <v>1.589018825978126E-4</v>
      </c>
      <c r="J314" s="3">
        <f t="shared" si="296"/>
        <v>1.589018825978126E-4</v>
      </c>
      <c r="K314" s="3">
        <f t="shared" si="296"/>
        <v>1.589018825978126E-4</v>
      </c>
      <c r="L314" s="3">
        <f t="shared" si="296"/>
        <v>1.589018825978126E-4</v>
      </c>
      <c r="M314" s="3">
        <f t="shared" si="296"/>
        <v>1.589018825978126E-4</v>
      </c>
      <c r="N314" s="3">
        <f t="shared" si="296"/>
        <v>1.589018825978126E-4</v>
      </c>
      <c r="O314" s="3">
        <f t="shared" si="296"/>
        <v>1.589018825978126E-4</v>
      </c>
      <c r="P314" s="3">
        <f t="shared" si="296"/>
        <v>1.589018825978126E-4</v>
      </c>
      <c r="Q314" s="3">
        <f t="shared" si="296"/>
        <v>1.589018825978126E-4</v>
      </c>
      <c r="R314" s="3">
        <f t="shared" si="296"/>
        <v>1.589018825978126E-4</v>
      </c>
      <c r="S314" s="3">
        <f t="shared" si="296"/>
        <v>1.589018825978126E-4</v>
      </c>
      <c r="T314" s="3">
        <f t="shared" si="296"/>
        <v>1.589018825978126E-4</v>
      </c>
      <c r="U314" s="3">
        <f t="shared" si="296"/>
        <v>1.589018825978126E-4</v>
      </c>
      <c r="V314" s="3">
        <f t="shared" si="296"/>
        <v>1.589018825978126E-4</v>
      </c>
      <c r="W314" s="3">
        <f t="shared" si="296"/>
        <v>1.5890188259781257E-4</v>
      </c>
      <c r="X314" s="3">
        <f t="shared" si="296"/>
        <v>1.5890188259781236E-4</v>
      </c>
      <c r="Y314" s="3">
        <f t="shared" si="296"/>
        <v>1.5890188259781008E-4</v>
      </c>
      <c r="Z314" s="3">
        <f t="shared" si="296"/>
        <v>1.5890188259778736E-4</v>
      </c>
      <c r="AA314" s="3">
        <f t="shared" si="296"/>
        <v>1.5890188259756014E-4</v>
      </c>
      <c r="AB314" s="3">
        <f t="shared" si="296"/>
        <v>1.5890188259528809E-4</v>
      </c>
      <c r="AC314" s="3">
        <f t="shared" si="296"/>
        <v>1.5890188257256744E-4</v>
      </c>
      <c r="AD314" s="3">
        <f t="shared" si="296"/>
        <v>1.5890188234536089E-4</v>
      </c>
      <c r="AE314" s="3">
        <f t="shared" si="296"/>
        <v>1.5890188007329549E-4</v>
      </c>
      <c r="AF314" s="3">
        <f t="shared" si="296"/>
        <v>1.5890185735264344E-4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7.8909905102376337E-4</v>
      </c>
      <c r="C318" s="3">
        <f t="shared" si="300"/>
        <v>7.8909905102376337E-4</v>
      </c>
      <c r="D318" s="3">
        <f t="shared" si="300"/>
        <v>7.8909905102376337E-4</v>
      </c>
      <c r="E318" s="3">
        <f t="shared" si="300"/>
        <v>7.8909905102376337E-4</v>
      </c>
      <c r="F318" s="3">
        <f t="shared" si="300"/>
        <v>7.8909905102376337E-4</v>
      </c>
      <c r="G318" s="3">
        <f t="shared" si="300"/>
        <v>7.8909905102376337E-4</v>
      </c>
      <c r="H318" s="3">
        <f t="shared" si="300"/>
        <v>7.8909905102376337E-4</v>
      </c>
      <c r="I318" s="3">
        <f t="shared" si="300"/>
        <v>7.8909905102376337E-4</v>
      </c>
      <c r="J318" s="3">
        <f t="shared" si="300"/>
        <v>7.8909905102376337E-4</v>
      </c>
      <c r="K318" s="3">
        <f t="shared" si="300"/>
        <v>7.8909905102376337E-4</v>
      </c>
      <c r="L318" s="3">
        <f t="shared" si="300"/>
        <v>7.8909905102376337E-4</v>
      </c>
      <c r="M318" s="3">
        <f t="shared" si="300"/>
        <v>7.8909905102376337E-4</v>
      </c>
      <c r="N318" s="3">
        <f t="shared" si="300"/>
        <v>7.8909905102376337E-4</v>
      </c>
      <c r="O318" s="3">
        <f t="shared" si="300"/>
        <v>7.8909905102376337E-4</v>
      </c>
      <c r="P318" s="3">
        <f t="shared" si="300"/>
        <v>7.8909905102376337E-4</v>
      </c>
      <c r="Q318" s="3">
        <f t="shared" si="300"/>
        <v>7.8909905102376337E-4</v>
      </c>
      <c r="R318" s="3">
        <f t="shared" si="300"/>
        <v>7.8909905102376337E-4</v>
      </c>
      <c r="S318" s="3">
        <f t="shared" si="300"/>
        <v>7.8909905102376337E-4</v>
      </c>
      <c r="T318" s="3">
        <f t="shared" si="300"/>
        <v>7.8909905102376337E-4</v>
      </c>
      <c r="U318" s="3">
        <f t="shared" si="300"/>
        <v>7.8909905102376337E-4</v>
      </c>
      <c r="V318" s="3">
        <f t="shared" si="300"/>
        <v>7.8909905102376337E-4</v>
      </c>
      <c r="W318" s="3">
        <f t="shared" si="300"/>
        <v>7.8909905102376337E-4</v>
      </c>
      <c r="X318" s="3">
        <f t="shared" si="300"/>
        <v>7.8909905102376337E-4</v>
      </c>
      <c r="Y318" s="3">
        <f t="shared" si="300"/>
        <v>7.8909905102376337E-4</v>
      </c>
      <c r="Z318" s="3">
        <f t="shared" si="300"/>
        <v>7.8909905102376337E-4</v>
      </c>
      <c r="AA318" s="3">
        <f t="shared" si="300"/>
        <v>7.8909905102376326E-4</v>
      </c>
      <c r="AB318" s="3">
        <f t="shared" si="300"/>
        <v>7.8909905102376218E-4</v>
      </c>
      <c r="AC318" s="3">
        <f t="shared" si="300"/>
        <v>7.8909905102375079E-4</v>
      </c>
      <c r="AD318" s="3">
        <f t="shared" si="300"/>
        <v>7.8909905102363803E-4</v>
      </c>
      <c r="AE318" s="3">
        <f t="shared" si="300"/>
        <v>7.8909905102250971E-4</v>
      </c>
      <c r="AF318" s="3">
        <f t="shared" si="300"/>
        <v>7.8909905101122674E-4</v>
      </c>
      <c r="AG318" s="3"/>
      <c r="AH318" s="3"/>
    </row>
    <row r="319" spans="1:34" x14ac:dyDescent="0.25">
      <c r="A319" s="79">
        <f>AVERAGE(B319:AF319)</f>
        <v>0.25728103138180769</v>
      </c>
      <c r="B319" s="80">
        <f>IF($A$64&lt;=B285,IF($B$64&gt;=B285,ABS((B287-B286)/B286),0),0)</f>
        <v>0.15821282798474695</v>
      </c>
      <c r="C319" s="80">
        <f t="shared" ref="C319:AF319" si="301">IF($A$64&lt;=C285,IF($B$64&gt;=C285,ABS((C287-C286)/C286),0),0)</f>
        <v>0.15822041299377662</v>
      </c>
      <c r="D319" s="80">
        <f t="shared" si="301"/>
        <v>0.15820925123417789</v>
      </c>
      <c r="E319" s="80">
        <f t="shared" si="301"/>
        <v>0.15814133440735961</v>
      </c>
      <c r="F319" s="80">
        <f t="shared" si="301"/>
        <v>0.15748508816931392</v>
      </c>
      <c r="G319" s="80">
        <f t="shared" si="301"/>
        <v>0.15196143085884786</v>
      </c>
      <c r="H319" s="80">
        <f t="shared" si="301"/>
        <v>0.13543016890779672</v>
      </c>
      <c r="I319" s="80">
        <f t="shared" si="301"/>
        <v>0.11713082125223391</v>
      </c>
      <c r="J319" s="80">
        <f t="shared" si="301"/>
        <v>9.5070725215832916E-2</v>
      </c>
      <c r="K319" s="80">
        <f t="shared" si="301"/>
        <v>6.6875197082224391E-2</v>
      </c>
      <c r="L319" s="80">
        <f t="shared" si="301"/>
        <v>4.0783352431907068E-2</v>
      </c>
      <c r="M319" s="80">
        <f t="shared" si="301"/>
        <v>2.7425874972430472E-2</v>
      </c>
      <c r="N319" s="80">
        <f t="shared" si="301"/>
        <v>5.3329322335877768E-2</v>
      </c>
      <c r="O319" s="80">
        <f t="shared" si="301"/>
        <v>4.847310082027298E-2</v>
      </c>
      <c r="P319" s="80">
        <f t="shared" si="301"/>
        <v>5.5361479333683974E-2</v>
      </c>
      <c r="Q319" s="80">
        <f t="shared" si="301"/>
        <v>6.2854705899849178E-2</v>
      </c>
      <c r="R319" s="80">
        <f t="shared" si="301"/>
        <v>6.0822946619564625E-2</v>
      </c>
      <c r="S319" s="80">
        <f t="shared" si="301"/>
        <v>9.7747774834980512E-4</v>
      </c>
      <c r="T319" s="80">
        <f t="shared" si="301"/>
        <v>8.9852873516818116E-2</v>
      </c>
      <c r="U319" s="80">
        <f t="shared" si="301"/>
        <v>0.12373107826920166</v>
      </c>
      <c r="V319" s="80">
        <f t="shared" si="301"/>
        <v>0.16758397569804179</v>
      </c>
      <c r="W319" s="80">
        <f t="shared" si="301"/>
        <v>0.23650370852446331</v>
      </c>
      <c r="X319" s="80">
        <f t="shared" si="301"/>
        <v>0.31236301168990044</v>
      </c>
      <c r="Y319" s="80">
        <f t="shared" si="301"/>
        <v>0.6676384037255324</v>
      </c>
      <c r="Z319" s="80">
        <f t="shared" si="301"/>
        <v>0.90555212214855241</v>
      </c>
      <c r="AA319" s="80">
        <f t="shared" si="301"/>
        <v>0.97926536385480811</v>
      </c>
      <c r="AB319" s="80">
        <f t="shared" si="301"/>
        <v>1.0056286228807858</v>
      </c>
      <c r="AC319" s="80">
        <f t="shared" si="301"/>
        <v>0.77095886247901568</v>
      </c>
      <c r="AD319" s="80">
        <f t="shared" si="301"/>
        <v>0.51106088435296382</v>
      </c>
      <c r="AE319" s="80">
        <f t="shared" si="301"/>
        <v>0.30593783801259611</v>
      </c>
      <c r="AF319" s="80">
        <f t="shared" si="301"/>
        <v>0.19286970941511064</v>
      </c>
    </row>
    <row r="320" spans="1:34" x14ac:dyDescent="0.25">
      <c r="B320" s="21">
        <f>(B287-B286)^2</f>
        <v>1309645.5159440518</v>
      </c>
      <c r="C320" s="21">
        <f t="shared" ref="C320:AF320" si="302">(C287-C286)^2</f>
        <v>1309794.6964635667</v>
      </c>
      <c r="D320" s="21">
        <f t="shared" si="302"/>
        <v>1309575.1728682385</v>
      </c>
      <c r="E320" s="21">
        <f t="shared" si="302"/>
        <v>1308239.9421777842</v>
      </c>
      <c r="F320" s="21">
        <f t="shared" si="302"/>
        <v>1295384.3918340981</v>
      </c>
      <c r="G320" s="21">
        <f t="shared" si="302"/>
        <v>1190448.1533331103</v>
      </c>
      <c r="H320" s="21">
        <f t="shared" si="302"/>
        <v>909714.94941166253</v>
      </c>
      <c r="I320" s="21">
        <f t="shared" si="302"/>
        <v>652561.27315169247</v>
      </c>
      <c r="J320" s="21">
        <f t="shared" si="302"/>
        <v>409171.93463457655</v>
      </c>
      <c r="K320" s="21">
        <f t="shared" si="302"/>
        <v>190279.23510712152</v>
      </c>
      <c r="L320" s="21">
        <f t="shared" si="302"/>
        <v>66514.685389701306</v>
      </c>
      <c r="M320" s="21">
        <f t="shared" si="302"/>
        <v>27630.50867756793</v>
      </c>
      <c r="N320" s="21">
        <f t="shared" si="302"/>
        <v>94907.144684635976</v>
      </c>
      <c r="O320" s="21">
        <f t="shared" si="302"/>
        <v>70967.30507479512</v>
      </c>
      <c r="P320" s="21">
        <f t="shared" si="302"/>
        <v>82511.732349604295</v>
      </c>
      <c r="Q320" s="21">
        <f t="shared" si="302"/>
        <v>92784.185193679485</v>
      </c>
      <c r="R320" s="21">
        <f t="shared" si="302"/>
        <v>68642.28119038677</v>
      </c>
      <c r="S320" s="21">
        <f t="shared" si="302"/>
        <v>11.20320761119682</v>
      </c>
      <c r="T320" s="21">
        <f t="shared" si="302"/>
        <v>48763.758653128411</v>
      </c>
      <c r="U320" s="21">
        <f t="shared" si="302"/>
        <v>39729.731626109482</v>
      </c>
      <c r="V320" s="21">
        <f t="shared" si="302"/>
        <v>24957.656609503003</v>
      </c>
      <c r="W320" s="21">
        <f t="shared" si="302"/>
        <v>14566.965539194856</v>
      </c>
      <c r="X320" s="21">
        <f t="shared" si="302"/>
        <v>7185.1429876810971</v>
      </c>
      <c r="Y320" s="21">
        <f t="shared" si="302"/>
        <v>10360.348532942549</v>
      </c>
      <c r="Z320" s="21">
        <f t="shared" si="302"/>
        <v>10747.964540385447</v>
      </c>
      <c r="AA320" s="21">
        <f t="shared" si="302"/>
        <v>9794.9871920602418</v>
      </c>
      <c r="AB320" s="21">
        <f t="shared" si="302"/>
        <v>8757.9046393901081</v>
      </c>
      <c r="AC320" s="21">
        <f t="shared" si="302"/>
        <v>5100.1646544447003</v>
      </c>
      <c r="AD320" s="21">
        <f t="shared" si="302"/>
        <v>2173.866252056097</v>
      </c>
      <c r="AE320" s="21">
        <f t="shared" si="302"/>
        <v>778.66463741509131</v>
      </c>
      <c r="AF320" s="21">
        <f t="shared" si="302"/>
        <v>303.33223548300623</v>
      </c>
      <c r="AG320" s="3"/>
      <c r="AH320" s="3"/>
    </row>
    <row r="321" spans="1:34" x14ac:dyDescent="0.25">
      <c r="A321" s="71">
        <f>SUM(B321:AF321)</f>
        <v>10572004.798793679</v>
      </c>
      <c r="B321" s="60">
        <f>IF($A$64&lt;=B285,IF($B$64&gt;=B285,ABS(B320),0),0)</f>
        <v>1309645.5159440518</v>
      </c>
      <c r="C321" s="60">
        <f t="shared" ref="C321" si="303">IF($A$64&lt;=C285,IF($B$64&gt;=C285,ABS(C320),0),0)</f>
        <v>1309794.6964635667</v>
      </c>
      <c r="D321" s="60">
        <f t="shared" ref="D321" si="304">IF($A$64&lt;=D285,IF($B$64&gt;=D285,ABS(D320),0),0)</f>
        <v>1309575.1728682385</v>
      </c>
      <c r="E321" s="60">
        <f t="shared" ref="E321" si="305">IF($A$64&lt;=E285,IF($B$64&gt;=E285,ABS(E320),0),0)</f>
        <v>1308239.9421777842</v>
      </c>
      <c r="F321" s="60">
        <f t="shared" ref="F321" si="306">IF($A$64&lt;=F285,IF($B$64&gt;=F285,ABS(F320),0),0)</f>
        <v>1295384.3918340981</v>
      </c>
      <c r="G321" s="60">
        <f t="shared" ref="G321" si="307">IF($A$64&lt;=G285,IF($B$64&gt;=G285,ABS(G320),0),0)</f>
        <v>1190448.1533331103</v>
      </c>
      <c r="H321" s="60">
        <f t="shared" ref="H321" si="308">IF($A$64&lt;=H285,IF($B$64&gt;=H285,ABS(H320),0),0)</f>
        <v>909714.94941166253</v>
      </c>
      <c r="I321" s="60">
        <f t="shared" ref="I321" si="309">IF($A$64&lt;=I285,IF($B$64&gt;=I285,ABS(I320),0),0)</f>
        <v>652561.27315169247</v>
      </c>
      <c r="J321" s="60">
        <f t="shared" ref="J321" si="310">IF($A$64&lt;=J285,IF($B$64&gt;=J285,ABS(J320),0),0)</f>
        <v>409171.93463457655</v>
      </c>
      <c r="K321" s="60">
        <f t="shared" ref="K321" si="311">IF($A$64&lt;=K285,IF($B$64&gt;=K285,ABS(K320),0),0)</f>
        <v>190279.23510712152</v>
      </c>
      <c r="L321" s="60">
        <f t="shared" ref="L321" si="312">IF($A$64&lt;=L285,IF($B$64&gt;=L285,ABS(L320),0),0)</f>
        <v>66514.685389701306</v>
      </c>
      <c r="M321" s="60">
        <f t="shared" ref="M321" si="313">IF($A$64&lt;=M285,IF($B$64&gt;=M285,ABS(M320),0),0)</f>
        <v>27630.50867756793</v>
      </c>
      <c r="N321" s="60">
        <f t="shared" ref="N321" si="314">IF($A$64&lt;=N285,IF($B$64&gt;=N285,ABS(N320),0),0)</f>
        <v>94907.144684635976</v>
      </c>
      <c r="O321" s="60">
        <f t="shared" ref="O321" si="315">IF($A$64&lt;=O285,IF($B$64&gt;=O285,ABS(O320),0),0)</f>
        <v>70967.30507479512</v>
      </c>
      <c r="P321" s="60">
        <f t="shared" ref="P321" si="316">IF($A$64&lt;=P285,IF($B$64&gt;=P285,ABS(P320),0),0)</f>
        <v>82511.732349604295</v>
      </c>
      <c r="Q321" s="60">
        <f t="shared" ref="Q321" si="317">IF($A$64&lt;=Q285,IF($B$64&gt;=Q285,ABS(Q320),0),0)</f>
        <v>92784.185193679485</v>
      </c>
      <c r="R321" s="60">
        <f t="shared" ref="R321" si="318">IF($A$64&lt;=R285,IF($B$64&gt;=R285,ABS(R320),0),0)</f>
        <v>68642.28119038677</v>
      </c>
      <c r="S321" s="60">
        <f t="shared" ref="S321" si="319">IF($A$64&lt;=S285,IF($B$64&gt;=S285,ABS(S320),0),0)</f>
        <v>11.20320761119682</v>
      </c>
      <c r="T321" s="60">
        <f t="shared" ref="T321" si="320">IF($A$64&lt;=T285,IF($B$64&gt;=T285,ABS(T320),0),0)</f>
        <v>48763.758653128411</v>
      </c>
      <c r="U321" s="60">
        <f t="shared" ref="U321" si="321">IF($A$64&lt;=U285,IF($B$64&gt;=U285,ABS(U320),0),0)</f>
        <v>39729.731626109482</v>
      </c>
      <c r="V321" s="60">
        <f t="shared" ref="V321" si="322">IF($A$64&lt;=V285,IF($B$64&gt;=V285,ABS(V320),0),0)</f>
        <v>24957.656609503003</v>
      </c>
      <c r="W321" s="60">
        <f t="shared" ref="W321" si="323">IF($A$64&lt;=W285,IF($B$64&gt;=W285,ABS(W320),0),0)</f>
        <v>14566.965539194856</v>
      </c>
      <c r="X321" s="60">
        <f t="shared" ref="X321" si="324">IF($A$64&lt;=X285,IF($B$64&gt;=X285,ABS(X320),0),0)</f>
        <v>7185.1429876810971</v>
      </c>
      <c r="Y321" s="60">
        <f t="shared" ref="Y321" si="325">IF($A$64&lt;=Y285,IF($B$64&gt;=Y285,ABS(Y320),0),0)</f>
        <v>10360.348532942549</v>
      </c>
      <c r="Z321" s="60">
        <f t="shared" ref="Z321" si="326">IF($A$64&lt;=Z285,IF($B$64&gt;=Z285,ABS(Z320),0),0)</f>
        <v>10747.964540385447</v>
      </c>
      <c r="AA321" s="60">
        <f t="shared" ref="AA321" si="327">IF($A$64&lt;=AA285,IF($B$64&gt;=AA285,ABS(AA320),0),0)</f>
        <v>9794.9871920602418</v>
      </c>
      <c r="AB321" s="60">
        <f t="shared" ref="AB321" si="328">IF($A$64&lt;=AB285,IF($B$64&gt;=AB285,ABS(AB320),0),0)</f>
        <v>8757.9046393901081</v>
      </c>
      <c r="AC321" s="60">
        <f t="shared" ref="AC321" si="329">IF($A$64&lt;=AC285,IF($B$64&gt;=AC285,ABS(AC320),0),0)</f>
        <v>5100.1646544447003</v>
      </c>
      <c r="AD321" s="60">
        <f t="shared" ref="AD321" si="330">IF($A$64&lt;=AD285,IF($B$64&gt;=AD285,ABS(AD320),0),0)</f>
        <v>2173.866252056097</v>
      </c>
      <c r="AE321" s="60">
        <f t="shared" ref="AE321" si="331">IF($A$64&lt;=AE285,IF($B$64&gt;=AE285,ABS(AE320),0),0)</f>
        <v>778.66463741509131</v>
      </c>
      <c r="AF321" s="60">
        <f t="shared" ref="AF321" si="332">IF($A$64&lt;=AF285,IF($B$64&gt;=AF285,ABS(AF320),0),0)</f>
        <v>303.33223548300623</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6088.6627779800128</v>
      </c>
      <c r="C326" s="27">
        <f t="shared" ref="C326:AF326" si="333">($C$17+SUM(C327:C357))*$B$51</f>
        <v>6086.7019107421602</v>
      </c>
      <c r="D326" s="27">
        <f t="shared" si="333"/>
        <v>6067.4439470544539</v>
      </c>
      <c r="E326" s="27">
        <f t="shared" si="333"/>
        <v>5905.9012149386381</v>
      </c>
      <c r="F326" s="27">
        <f t="shared" si="333"/>
        <v>5476.2788830561303</v>
      </c>
      <c r="G326" s="27">
        <f t="shared" si="333"/>
        <v>5237.4224715852406</v>
      </c>
      <c r="H326" s="27">
        <f t="shared" si="333"/>
        <v>4910.8231640938075</v>
      </c>
      <c r="I326" s="27">
        <f t="shared" si="333"/>
        <v>4553.7858941091372</v>
      </c>
      <c r="J326" s="27">
        <f t="shared" si="333"/>
        <v>4062.102427395203</v>
      </c>
      <c r="K326" s="27">
        <f t="shared" si="333"/>
        <v>3448.5957615329726</v>
      </c>
      <c r="L326" s="27">
        <f t="shared" si="333"/>
        <v>2704.6702666328715</v>
      </c>
      <c r="M326" s="27">
        <f t="shared" si="333"/>
        <v>1838.835879011684</v>
      </c>
      <c r="N326" s="27">
        <f t="shared" si="333"/>
        <v>1122.4860821327306</v>
      </c>
      <c r="O326" s="27">
        <f t="shared" si="333"/>
        <v>644.78148714884594</v>
      </c>
      <c r="P326" s="27">
        <f t="shared" si="333"/>
        <v>363.51171101024948</v>
      </c>
      <c r="Q326" s="27">
        <f t="shared" si="333"/>
        <v>255.94798652406089</v>
      </c>
      <c r="R326" s="27">
        <f t="shared" si="333"/>
        <v>219.14857005474224</v>
      </c>
      <c r="S326" s="27">
        <f t="shared" si="333"/>
        <v>200.43933835731551</v>
      </c>
      <c r="T326" s="27">
        <f t="shared" si="333"/>
        <v>187.18606634375064</v>
      </c>
      <c r="U326" s="27">
        <f t="shared" si="333"/>
        <v>165.0179943522634</v>
      </c>
      <c r="V326" s="27">
        <f t="shared" si="333"/>
        <v>138.59033698144327</v>
      </c>
      <c r="W326" s="27">
        <f t="shared" si="333"/>
        <v>119.53595500899381</v>
      </c>
      <c r="X326" s="27">
        <f t="shared" si="333"/>
        <v>107.96677616443331</v>
      </c>
      <c r="Y326" s="27">
        <f t="shared" si="333"/>
        <v>101.30109867966618</v>
      </c>
      <c r="Z326" s="27">
        <f t="shared" si="333"/>
        <v>96.740483067587945</v>
      </c>
      <c r="AA326" s="27">
        <f t="shared" si="333"/>
        <v>94.397551882109681</v>
      </c>
      <c r="AB326" s="27">
        <f t="shared" si="333"/>
        <v>92.59846757278811</v>
      </c>
      <c r="AC326" s="27">
        <f t="shared" si="333"/>
        <v>92.016695922452868</v>
      </c>
      <c r="AD326" s="27">
        <f t="shared" si="333"/>
        <v>91.584558980793005</v>
      </c>
      <c r="AE326" s="27">
        <f t="shared" si="333"/>
        <v>90.740723270884445</v>
      </c>
      <c r="AF326" s="27">
        <f t="shared" si="333"/>
        <v>90.467210356153728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7.5759627955060985E-2</v>
      </c>
      <c r="C328" s="3">
        <f t="shared" si="335"/>
        <v>7.5502004440360329E-2</v>
      </c>
      <c r="D328" s="3">
        <f t="shared" si="335"/>
        <v>7.2973464298095481E-2</v>
      </c>
      <c r="E328" s="3">
        <f t="shared" si="335"/>
        <v>5.1907461540536076E-2</v>
      </c>
      <c r="F328" s="3">
        <f t="shared" si="335"/>
        <v>1.7213851719890536E-3</v>
      </c>
      <c r="G328" s="3">
        <f t="shared" si="335"/>
        <v>2.7692408246283455E-18</v>
      </c>
      <c r="H328" s="3">
        <f t="shared" si="335"/>
        <v>3.21504757191944E-166</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2.7425209608811701E-2</v>
      </c>
      <c r="C329" s="3">
        <f t="shared" si="336"/>
        <v>2.7416783696078636E-2</v>
      </c>
      <c r="D329" s="3">
        <f t="shared" si="336"/>
        <v>2.7332666816830598E-2</v>
      </c>
      <c r="E329" s="3">
        <f t="shared" si="336"/>
        <v>2.6505562426531133E-2</v>
      </c>
      <c r="F329" s="3">
        <f t="shared" si="336"/>
        <v>1.949338187430932E-2</v>
      </c>
      <c r="G329" s="3">
        <f t="shared" si="336"/>
        <v>9.0237874478616624E-4</v>
      </c>
      <c r="H329" s="3">
        <f t="shared" si="336"/>
        <v>4.0776084575561503E-17</v>
      </c>
      <c r="I329" s="3">
        <f t="shared" si="336"/>
        <v>1.4473453295435751E-150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4.6802651567181379E-2</v>
      </c>
      <c r="C330" s="3">
        <f t="shared" si="337"/>
        <v>4.6801354254227268E-2</v>
      </c>
      <c r="D330" s="3">
        <f t="shared" si="337"/>
        <v>4.6788383102318809E-2</v>
      </c>
      <c r="E330" s="3">
        <f t="shared" si="337"/>
        <v>4.6658869143823022E-2</v>
      </c>
      <c r="F330" s="3">
        <f t="shared" si="337"/>
        <v>4.5383284491284107E-2</v>
      </c>
      <c r="G330" s="3">
        <f t="shared" si="337"/>
        <v>3.4396406426960832E-2</v>
      </c>
      <c r="H330" s="3">
        <f t="shared" si="337"/>
        <v>2.1512186555424236E-3</v>
      </c>
      <c r="I330" s="3">
        <f t="shared" si="337"/>
        <v>1.9696968526994992E-15</v>
      </c>
      <c r="J330" s="3">
        <f t="shared" si="337"/>
        <v>8.1573246313988231E-136</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4.5136540241534823E-2</v>
      </c>
      <c r="C331" s="3">
        <f t="shared" si="338"/>
        <v>4.5136427377744717E-2</v>
      </c>
      <c r="D331" s="3">
        <f t="shared" si="338"/>
        <v>4.5135298755365406E-2</v>
      </c>
      <c r="E331" s="3">
        <f t="shared" si="338"/>
        <v>4.5124014083602795E-2</v>
      </c>
      <c r="F331" s="3">
        <f t="shared" si="338"/>
        <v>4.501132242552907E-2</v>
      </c>
      <c r="G331" s="3">
        <f t="shared" si="338"/>
        <v>4.3899769295716116E-2</v>
      </c>
      <c r="H331" s="3">
        <f t="shared" si="338"/>
        <v>3.4187464353568356E-2</v>
      </c>
      <c r="I331" s="3">
        <f t="shared" si="338"/>
        <v>2.8048744093868002E-3</v>
      </c>
      <c r="J331" s="3">
        <f t="shared" si="338"/>
        <v>3.8759548809871758E-14</v>
      </c>
      <c r="K331" s="3">
        <f t="shared" si="338"/>
        <v>9.8408279864548898E-123</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6.7281405166666239E-2</v>
      </c>
      <c r="C332" s="3">
        <f t="shared" si="339"/>
        <v>6.7281389990275428E-2</v>
      </c>
      <c r="D332" s="3">
        <f t="shared" si="339"/>
        <v>6.7281238226555684E-2</v>
      </c>
      <c r="E332" s="3">
        <f t="shared" si="339"/>
        <v>6.7279720608186114E-2</v>
      </c>
      <c r="F332" s="3">
        <f t="shared" si="339"/>
        <v>6.7264546307118145E-2</v>
      </c>
      <c r="G332" s="3">
        <f t="shared" si="339"/>
        <v>6.7112991402193761E-2</v>
      </c>
      <c r="H332" s="3">
        <f t="shared" si="339"/>
        <v>6.5616096879281174E-2</v>
      </c>
      <c r="I332" s="3">
        <f t="shared" si="339"/>
        <v>5.2365873930189009E-2</v>
      </c>
      <c r="J332" s="3">
        <f t="shared" si="339"/>
        <v>5.4881753976425774E-3</v>
      </c>
      <c r="K332" s="3">
        <f t="shared" si="339"/>
        <v>8.7745378246533352E-13</v>
      </c>
      <c r="L332" s="3">
        <f t="shared" si="339"/>
        <v>9.5760615452975128E-111</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8.4823708245203855E-2</v>
      </c>
      <c r="C333" s="3">
        <f t="shared" si="340"/>
        <v>8.4823706519217584E-2</v>
      </c>
      <c r="D333" s="3">
        <f t="shared" si="340"/>
        <v>8.4823689259356738E-2</v>
      </c>
      <c r="E333" s="3">
        <f t="shared" si="340"/>
        <v>8.4823516660941511E-2</v>
      </c>
      <c r="F333" s="3">
        <f t="shared" si="340"/>
        <v>8.4821790696105126E-2</v>
      </c>
      <c r="G333" s="3">
        <f t="shared" si="340"/>
        <v>8.4804532979192715E-2</v>
      </c>
      <c r="H333" s="3">
        <f t="shared" si="340"/>
        <v>8.4632148809877211E-2</v>
      </c>
      <c r="I333" s="3">
        <f t="shared" si="340"/>
        <v>8.2927462580692016E-2</v>
      </c>
      <c r="J333" s="3">
        <f t="shared" si="340"/>
        <v>6.7659451026220674E-2</v>
      </c>
      <c r="K333" s="3">
        <f t="shared" si="340"/>
        <v>8.8436062204010971E-3</v>
      </c>
      <c r="L333" s="3">
        <f t="shared" si="340"/>
        <v>1.287178166192046E-11</v>
      </c>
      <c r="M333" s="3">
        <f t="shared" si="340"/>
        <v>5.4920103078978298E-100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0.10369484658294667</v>
      </c>
      <c r="C334" s="3">
        <f t="shared" si="341"/>
        <v>0.1036948463926094</v>
      </c>
      <c r="D334" s="3">
        <f t="shared" si="341"/>
        <v>0.10369484448923663</v>
      </c>
      <c r="E334" s="3">
        <f t="shared" si="341"/>
        <v>0.10369482545551104</v>
      </c>
      <c r="F334" s="3">
        <f t="shared" si="341"/>
        <v>0.10369463511844723</v>
      </c>
      <c r="G334" s="3">
        <f t="shared" si="341"/>
        <v>0.10369273176702459</v>
      </c>
      <c r="H334" s="3">
        <f t="shared" si="341"/>
        <v>0.10367370017421004</v>
      </c>
      <c r="I334" s="3">
        <f t="shared" si="341"/>
        <v>0.10348357625681312</v>
      </c>
      <c r="J334" s="3">
        <f t="shared" si="341"/>
        <v>0.10160140839059749</v>
      </c>
      <c r="K334" s="3">
        <f t="shared" si="341"/>
        <v>8.4563455289878339E-2</v>
      </c>
      <c r="L334" s="3">
        <f t="shared" si="341"/>
        <v>1.3490021423009884E-2</v>
      </c>
      <c r="M334" s="3">
        <f t="shared" si="341"/>
        <v>1.4398320357067226E-10</v>
      </c>
      <c r="N334" s="3">
        <f t="shared" si="341"/>
        <v>2.7625093768003135E-90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0.13305313379289058</v>
      </c>
      <c r="C335" s="3">
        <f t="shared" si="342"/>
        <v>0.13305313377085939</v>
      </c>
      <c r="D335" s="3">
        <f t="shared" si="342"/>
        <v>0.13305313355054726</v>
      </c>
      <c r="E335" s="3">
        <f t="shared" si="342"/>
        <v>0.13305313134742616</v>
      </c>
      <c r="F335" s="3">
        <f t="shared" si="342"/>
        <v>0.13305310931621697</v>
      </c>
      <c r="G335" s="3">
        <f t="shared" si="342"/>
        <v>0.13305288900432577</v>
      </c>
      <c r="H335" s="3">
        <f t="shared" si="342"/>
        <v>0.13305068590547758</v>
      </c>
      <c r="I335" s="3">
        <f t="shared" si="342"/>
        <v>0.13302865692324425</v>
      </c>
      <c r="J335" s="3">
        <f t="shared" si="342"/>
        <v>0.13280856760292481</v>
      </c>
      <c r="K335" s="3">
        <f t="shared" si="342"/>
        <v>0.1306276023049868</v>
      </c>
      <c r="L335" s="3">
        <f t="shared" si="342"/>
        <v>0.11069387281930686</v>
      </c>
      <c r="M335" s="3">
        <f t="shared" si="342"/>
        <v>2.1135369816167527E-2</v>
      </c>
      <c r="N335" s="3">
        <f t="shared" si="342"/>
        <v>1.3610451792350376E-9</v>
      </c>
      <c r="O335" s="3">
        <f t="shared" si="342"/>
        <v>1.6691656741733915E-81</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0.10368180212164745</v>
      </c>
      <c r="C336" s="3">
        <f t="shared" si="343"/>
        <v>0.10368180212009878</v>
      </c>
      <c r="D336" s="3">
        <f t="shared" si="343"/>
        <v>0.10368180210461195</v>
      </c>
      <c r="E336" s="3">
        <f t="shared" si="343"/>
        <v>0.10368180194974369</v>
      </c>
      <c r="F336" s="3">
        <f t="shared" si="343"/>
        <v>0.10368180040106117</v>
      </c>
      <c r="G336" s="3">
        <f t="shared" si="343"/>
        <v>0.10368178491423734</v>
      </c>
      <c r="H336" s="3">
        <f t="shared" si="343"/>
        <v>0.1036816300461261</v>
      </c>
      <c r="I336" s="3">
        <f t="shared" si="343"/>
        <v>0.10368008137773647</v>
      </c>
      <c r="J336" s="3">
        <f t="shared" si="343"/>
        <v>0.10366459596604881</v>
      </c>
      <c r="K336" s="3">
        <f t="shared" si="343"/>
        <v>0.10350986899973601</v>
      </c>
      <c r="L336" s="3">
        <f t="shared" si="343"/>
        <v>0.10197524440127897</v>
      </c>
      <c r="M336" s="3">
        <f t="shared" si="343"/>
        <v>8.7826325673721492E-2</v>
      </c>
      <c r="N336" s="3">
        <f t="shared" si="343"/>
        <v>1.9720789799034143E-2</v>
      </c>
      <c r="O336" s="3">
        <f t="shared" si="343"/>
        <v>6.425696451560817E-9</v>
      </c>
      <c r="P336" s="3">
        <f t="shared" si="343"/>
        <v>8.6672080702017906E-74</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6.4516912228104073E-2</v>
      </c>
      <c r="C337" s="3">
        <f t="shared" si="344"/>
        <v>6.4516912228017143E-2</v>
      </c>
      <c r="D337" s="3">
        <f t="shared" si="344"/>
        <v>6.4516912227147824E-2</v>
      </c>
      <c r="E337" s="3">
        <f t="shared" si="344"/>
        <v>6.4516912218454611E-2</v>
      </c>
      <c r="F337" s="3">
        <f t="shared" si="344"/>
        <v>6.4516912131522539E-2</v>
      </c>
      <c r="G337" s="3">
        <f t="shared" si="344"/>
        <v>6.451691126220184E-2</v>
      </c>
      <c r="H337" s="3">
        <f t="shared" si="344"/>
        <v>6.4516902568995463E-2</v>
      </c>
      <c r="I337" s="3">
        <f t="shared" si="344"/>
        <v>6.4516815636996072E-2</v>
      </c>
      <c r="J337" s="3">
        <f t="shared" si="344"/>
        <v>6.4515946323444623E-2</v>
      </c>
      <c r="K337" s="3">
        <f t="shared" si="344"/>
        <v>6.4507253832136596E-2</v>
      </c>
      <c r="L337" s="3">
        <f t="shared" si="344"/>
        <v>6.4420393307602158E-2</v>
      </c>
      <c r="M337" s="3">
        <f t="shared" si="344"/>
        <v>6.3558194931341891E-2</v>
      </c>
      <c r="N337" s="3">
        <f t="shared" si="344"/>
        <v>5.5546075612011574E-2</v>
      </c>
      <c r="O337" s="3">
        <f t="shared" si="344"/>
        <v>1.4436823423549305E-2</v>
      </c>
      <c r="P337" s="3">
        <f t="shared" si="344"/>
        <v>2.0307398032400869E-8</v>
      </c>
      <c r="Q337" s="3">
        <f t="shared" si="344"/>
        <v>6.1585808457225338E-67</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3.7592139756948736E-2</v>
      </c>
      <c r="C338" s="3">
        <f t="shared" si="345"/>
        <v>3.7592139756944171E-2</v>
      </c>
      <c r="D338" s="3">
        <f t="shared" si="345"/>
        <v>3.7592139756898471E-2</v>
      </c>
      <c r="E338" s="3">
        <f t="shared" si="345"/>
        <v>3.7592139756441538E-2</v>
      </c>
      <c r="F338" s="3">
        <f t="shared" si="345"/>
        <v>3.7592139751872235E-2</v>
      </c>
      <c r="G338" s="3">
        <f t="shared" si="345"/>
        <v>3.7592139706179195E-2</v>
      </c>
      <c r="H338" s="3">
        <f t="shared" si="345"/>
        <v>3.7592139249248757E-2</v>
      </c>
      <c r="I338" s="3">
        <f t="shared" si="345"/>
        <v>3.7592134679944718E-2</v>
      </c>
      <c r="J338" s="3">
        <f t="shared" si="345"/>
        <v>3.7592088986934821E-2</v>
      </c>
      <c r="K338" s="3">
        <f t="shared" si="345"/>
        <v>3.7591632059890565E-2</v>
      </c>
      <c r="L338" s="3">
        <f t="shared" si="345"/>
        <v>3.7587063094900772E-2</v>
      </c>
      <c r="M338" s="3">
        <f t="shared" si="345"/>
        <v>3.7541403976550772E-2</v>
      </c>
      <c r="N338" s="3">
        <f t="shared" si="345"/>
        <v>3.7087852261328109E-2</v>
      </c>
      <c r="O338" s="3">
        <f t="shared" si="345"/>
        <v>3.2843045609786604E-2</v>
      </c>
      <c r="P338" s="3">
        <f t="shared" si="345"/>
        <v>9.7400416682612186E-3</v>
      </c>
      <c r="Q338" s="3">
        <f t="shared" si="345"/>
        <v>5.1254821889940748E-8</v>
      </c>
      <c r="R338" s="3">
        <f t="shared" si="345"/>
        <v>8.3459132740015268E-61</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7.6036322594280111E-3</v>
      </c>
      <c r="C339" s="3">
        <f t="shared" si="346"/>
        <v>7.6036322594279279E-3</v>
      </c>
      <c r="D339" s="3">
        <f t="shared" si="346"/>
        <v>7.6036322594270943E-3</v>
      </c>
      <c r="E339" s="3">
        <f t="shared" si="346"/>
        <v>7.6036322594187564E-3</v>
      </c>
      <c r="F339" s="3">
        <f t="shared" si="346"/>
        <v>7.6036322593353856E-3</v>
      </c>
      <c r="G339" s="3">
        <f t="shared" si="346"/>
        <v>7.6036322585016644E-3</v>
      </c>
      <c r="H339" s="3">
        <f t="shared" si="346"/>
        <v>7.6036322501644533E-3</v>
      </c>
      <c r="I339" s="3">
        <f t="shared" si="346"/>
        <v>7.603632166792355E-3</v>
      </c>
      <c r="J339" s="3">
        <f t="shared" si="346"/>
        <v>7.6036313330714155E-3</v>
      </c>
      <c r="K339" s="3">
        <f t="shared" si="346"/>
        <v>7.6036229958670485E-3</v>
      </c>
      <c r="L339" s="3">
        <f t="shared" si="346"/>
        <v>7.6035396243261597E-3</v>
      </c>
      <c r="M339" s="3">
        <f t="shared" si="346"/>
        <v>7.6027059591935904E-3</v>
      </c>
      <c r="N339" s="3">
        <f t="shared" si="346"/>
        <v>7.594374333460838E-3</v>
      </c>
      <c r="O339" s="3">
        <f t="shared" si="346"/>
        <v>7.5115586025277228E-3</v>
      </c>
      <c r="P339" s="3">
        <f t="shared" si="346"/>
        <v>6.7314815059324731E-3</v>
      </c>
      <c r="Q339" s="3">
        <f t="shared" si="346"/>
        <v>2.2486228956943911E-3</v>
      </c>
      <c r="R339" s="3">
        <f t="shared" si="346"/>
        <v>3.8902395310881285E-8</v>
      </c>
      <c r="S339" s="3">
        <f t="shared" si="346"/>
        <v>9.3448747651107432E-56</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4.6601949201853926E-3</v>
      </c>
      <c r="C340" s="3">
        <f t="shared" si="347"/>
        <v>4.6601949201853883E-3</v>
      </c>
      <c r="D340" s="3">
        <f t="shared" si="347"/>
        <v>4.6601949201853423E-3</v>
      </c>
      <c r="E340" s="3">
        <f t="shared" si="347"/>
        <v>4.6601949201848809E-3</v>
      </c>
      <c r="F340" s="3">
        <f t="shared" si="347"/>
        <v>4.6601949201802717E-3</v>
      </c>
      <c r="G340" s="3">
        <f t="shared" si="347"/>
        <v>4.6601949201341775E-3</v>
      </c>
      <c r="H340" s="3">
        <f t="shared" si="347"/>
        <v>4.6601949196732311E-3</v>
      </c>
      <c r="I340" s="3">
        <f t="shared" si="347"/>
        <v>4.6601949150637681E-3</v>
      </c>
      <c r="J340" s="3">
        <f t="shared" si="347"/>
        <v>4.6601948689691418E-3</v>
      </c>
      <c r="K340" s="3">
        <f t="shared" si="347"/>
        <v>4.660194408022897E-3</v>
      </c>
      <c r="L340" s="3">
        <f t="shared" si="347"/>
        <v>4.6601897985629635E-3</v>
      </c>
      <c r="M340" s="3">
        <f t="shared" si="347"/>
        <v>4.6601437042143876E-3</v>
      </c>
      <c r="N340" s="3">
        <f t="shared" si="347"/>
        <v>4.6596827858036644E-3</v>
      </c>
      <c r="O340" s="3">
        <f t="shared" si="347"/>
        <v>4.6550761082825749E-3</v>
      </c>
      <c r="P340" s="3">
        <f t="shared" si="347"/>
        <v>4.6092590767675586E-3</v>
      </c>
      <c r="Q340" s="3">
        <f t="shared" si="347"/>
        <v>4.1751728202164906E-3</v>
      </c>
      <c r="R340" s="3">
        <f t="shared" si="347"/>
        <v>1.552772487062666E-3</v>
      </c>
      <c r="S340" s="3">
        <f t="shared" si="347"/>
        <v>7.8603436646176249E-8</v>
      </c>
      <c r="T340" s="3">
        <f t="shared" si="347"/>
        <v>8.6851756198662811E-51</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1.548728015482176E-3</v>
      </c>
      <c r="C341" s="3">
        <f t="shared" si="348"/>
        <v>1.5487280154821757E-3</v>
      </c>
      <c r="D341" s="3">
        <f t="shared" si="348"/>
        <v>1.5487280154821744E-3</v>
      </c>
      <c r="E341" s="3">
        <f t="shared" si="348"/>
        <v>1.5487280154821606E-3</v>
      </c>
      <c r="F341" s="3">
        <f t="shared" si="348"/>
        <v>1.5487280154820224E-3</v>
      </c>
      <c r="G341" s="3">
        <f t="shared" si="348"/>
        <v>1.5487280154806405E-3</v>
      </c>
      <c r="H341" s="3">
        <f t="shared" si="348"/>
        <v>1.5487280154668217E-3</v>
      </c>
      <c r="I341" s="3">
        <f t="shared" si="348"/>
        <v>1.5487280153286345E-3</v>
      </c>
      <c r="J341" s="3">
        <f t="shared" si="348"/>
        <v>1.548728013946762E-3</v>
      </c>
      <c r="K341" s="3">
        <f t="shared" si="348"/>
        <v>1.5487280001280372E-3</v>
      </c>
      <c r="L341" s="3">
        <f t="shared" si="348"/>
        <v>1.5487278619407963E-3</v>
      </c>
      <c r="M341" s="3">
        <f t="shared" si="348"/>
        <v>1.5487264800690625E-3</v>
      </c>
      <c r="N341" s="3">
        <f t="shared" si="348"/>
        <v>1.5487126614195407E-3</v>
      </c>
      <c r="O341" s="3">
        <f t="shared" si="348"/>
        <v>1.5485744817055388E-3</v>
      </c>
      <c r="P341" s="3">
        <f t="shared" si="348"/>
        <v>1.5471933624632464E-3</v>
      </c>
      <c r="Q341" s="3">
        <f t="shared" si="348"/>
        <v>1.533449736546986E-3</v>
      </c>
      <c r="R341" s="3">
        <f t="shared" si="348"/>
        <v>1.4025522900415256E-3</v>
      </c>
      <c r="S341" s="3">
        <f t="shared" si="348"/>
        <v>5.7466430965743241E-4</v>
      </c>
      <c r="T341" s="3">
        <f t="shared" si="348"/>
        <v>7.6624184288221229E-8</v>
      </c>
      <c r="U341" s="3">
        <f t="shared" si="348"/>
        <v>1.3610756093351006E-46</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1.7981576820785483E-3</v>
      </c>
      <c r="C342" s="3">
        <f t="shared" si="349"/>
        <v>1.7981576820785483E-3</v>
      </c>
      <c r="D342" s="3">
        <f t="shared" si="349"/>
        <v>1.798157682078548E-3</v>
      </c>
      <c r="E342" s="3">
        <f t="shared" si="349"/>
        <v>1.7981576820785467E-3</v>
      </c>
      <c r="F342" s="3">
        <f t="shared" si="349"/>
        <v>1.798157682078532E-3</v>
      </c>
      <c r="G342" s="3">
        <f t="shared" si="349"/>
        <v>1.7981576820783874E-3</v>
      </c>
      <c r="H342" s="3">
        <f t="shared" si="349"/>
        <v>1.7981576820769402E-3</v>
      </c>
      <c r="I342" s="3">
        <f t="shared" si="349"/>
        <v>1.7981576820624667E-3</v>
      </c>
      <c r="J342" s="3">
        <f t="shared" si="349"/>
        <v>1.798157681917734E-3</v>
      </c>
      <c r="K342" s="3">
        <f t="shared" si="349"/>
        <v>1.7981576804704052E-3</v>
      </c>
      <c r="L342" s="3">
        <f t="shared" si="349"/>
        <v>1.7981576659971182E-3</v>
      </c>
      <c r="M342" s="3">
        <f t="shared" si="349"/>
        <v>1.7981575212642534E-3</v>
      </c>
      <c r="N342" s="3">
        <f t="shared" si="349"/>
        <v>1.7981560739362479E-3</v>
      </c>
      <c r="O342" s="3">
        <f t="shared" si="349"/>
        <v>1.7981416007202648E-3</v>
      </c>
      <c r="P342" s="3">
        <f t="shared" si="349"/>
        <v>1.7979968749674371E-3</v>
      </c>
      <c r="Q342" s="3">
        <f t="shared" si="349"/>
        <v>1.7965502579486573E-3</v>
      </c>
      <c r="R342" s="3">
        <f t="shared" si="349"/>
        <v>1.7821479483698889E-3</v>
      </c>
      <c r="S342" s="3">
        <f t="shared" si="349"/>
        <v>1.6443247548520799E-3</v>
      </c>
      <c r="T342" s="3">
        <f t="shared" si="349"/>
        <v>7.3523469965516039E-4</v>
      </c>
      <c r="U342" s="3">
        <f t="shared" si="349"/>
        <v>2.348605105838962E-7</v>
      </c>
      <c r="V342" s="3">
        <f t="shared" si="349"/>
        <v>2.5980652390209731E-42</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4.3198756825701184E-3</v>
      </c>
      <c r="C343" s="3">
        <f t="shared" si="350"/>
        <v>4.3198756825701184E-3</v>
      </c>
      <c r="D343" s="3">
        <f t="shared" si="350"/>
        <v>4.3198756825701184E-3</v>
      </c>
      <c r="E343" s="3">
        <f t="shared" si="350"/>
        <v>4.3198756825701175E-3</v>
      </c>
      <c r="F343" s="3">
        <f t="shared" si="350"/>
        <v>4.3198756825701149E-3</v>
      </c>
      <c r="G343" s="3">
        <f t="shared" si="350"/>
        <v>4.3198756825700837E-3</v>
      </c>
      <c r="H343" s="3">
        <f t="shared" si="350"/>
        <v>4.3198756825697697E-3</v>
      </c>
      <c r="I343" s="3">
        <f t="shared" si="350"/>
        <v>4.3198756825666334E-3</v>
      </c>
      <c r="J343" s="3">
        <f t="shared" si="350"/>
        <v>4.3198756825352678E-3</v>
      </c>
      <c r="K343" s="3">
        <f t="shared" si="350"/>
        <v>4.319875682221609E-3</v>
      </c>
      <c r="L343" s="3">
        <f t="shared" si="350"/>
        <v>4.3198756790850225E-3</v>
      </c>
      <c r="M343" s="3">
        <f t="shared" si="350"/>
        <v>4.3198756477191595E-3</v>
      </c>
      <c r="N343" s="3">
        <f t="shared" si="350"/>
        <v>4.3198753340605396E-3</v>
      </c>
      <c r="O343" s="3">
        <f t="shared" si="350"/>
        <v>4.3198721974755938E-3</v>
      </c>
      <c r="P343" s="3">
        <f t="shared" si="350"/>
        <v>4.3198408317513971E-3</v>
      </c>
      <c r="Q343" s="3">
        <f t="shared" si="350"/>
        <v>4.319527187034866E-3</v>
      </c>
      <c r="R343" s="3">
        <f t="shared" si="350"/>
        <v>4.31639199207707E-3</v>
      </c>
      <c r="S343" s="3">
        <f t="shared" si="350"/>
        <v>4.2851649274960133E-3</v>
      </c>
      <c r="T343" s="3">
        <f t="shared" si="350"/>
        <v>3.9850536938113267E-3</v>
      </c>
      <c r="U343" s="3">
        <f t="shared" si="350"/>
        <v>1.9279711634981756E-3</v>
      </c>
      <c r="V343" s="3">
        <f t="shared" si="350"/>
        <v>1.3544534985837558E-6</v>
      </c>
      <c r="W343" s="3">
        <f t="shared" si="350"/>
        <v>3.9664296279676257E-38</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3.4800152588185828E-3</v>
      </c>
      <c r="C344" s="3">
        <f t="shared" si="351"/>
        <v>3.4800152588185828E-3</v>
      </c>
      <c r="D344" s="3">
        <f t="shared" si="351"/>
        <v>3.4800152588185828E-3</v>
      </c>
      <c r="E344" s="3">
        <f t="shared" si="351"/>
        <v>3.4800152588185828E-3</v>
      </c>
      <c r="F344" s="3">
        <f t="shared" si="351"/>
        <v>3.4800152588185824E-3</v>
      </c>
      <c r="G344" s="3">
        <f t="shared" si="351"/>
        <v>3.4800152588185802E-3</v>
      </c>
      <c r="H344" s="3">
        <f t="shared" si="351"/>
        <v>3.4800152588185572E-3</v>
      </c>
      <c r="I344" s="3">
        <f t="shared" si="351"/>
        <v>3.4800152588183295E-3</v>
      </c>
      <c r="J344" s="3">
        <f t="shared" si="351"/>
        <v>3.4800152588160501E-3</v>
      </c>
      <c r="K344" s="3">
        <f t="shared" si="351"/>
        <v>3.4800152587932567E-3</v>
      </c>
      <c r="L344" s="3">
        <f t="shared" si="351"/>
        <v>3.4800152585653201E-3</v>
      </c>
      <c r="M344" s="3">
        <f t="shared" si="351"/>
        <v>3.4800152562859559E-3</v>
      </c>
      <c r="N344" s="3">
        <f t="shared" si="351"/>
        <v>3.4800152334923135E-3</v>
      </c>
      <c r="O344" s="3">
        <f t="shared" si="351"/>
        <v>3.4800150055558951E-3</v>
      </c>
      <c r="P344" s="3">
        <f t="shared" si="351"/>
        <v>3.4800127261925356E-3</v>
      </c>
      <c r="Q344" s="3">
        <f t="shared" si="351"/>
        <v>3.4799899326410509E-3</v>
      </c>
      <c r="R344" s="3">
        <f t="shared" si="351"/>
        <v>3.4797620053372284E-3</v>
      </c>
      <c r="S344" s="3">
        <f t="shared" si="351"/>
        <v>3.4774835532024439E-3</v>
      </c>
      <c r="T344" s="3">
        <f t="shared" si="351"/>
        <v>3.4547809236049505E-3</v>
      </c>
      <c r="U344" s="3">
        <f t="shared" si="351"/>
        <v>3.2357487711250142E-3</v>
      </c>
      <c r="V344" s="3">
        <f t="shared" si="351"/>
        <v>1.6808060989556032E-3</v>
      </c>
      <c r="W344" s="3">
        <f t="shared" si="351"/>
        <v>2.404062858943483E-6</v>
      </c>
      <c r="X344" s="3">
        <f t="shared" si="351"/>
        <v>8.6144559742161444E-35</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2.0367681547460849E-3</v>
      </c>
      <c r="C345" s="3">
        <f t="shared" si="352"/>
        <v>2.0367681547460849E-3</v>
      </c>
      <c r="D345" s="3">
        <f t="shared" si="352"/>
        <v>2.0367681547460849E-3</v>
      </c>
      <c r="E345" s="3">
        <f t="shared" si="352"/>
        <v>2.0367681547460849E-3</v>
      </c>
      <c r="F345" s="3">
        <f t="shared" si="352"/>
        <v>2.0367681547460849E-3</v>
      </c>
      <c r="G345" s="3">
        <f t="shared" si="352"/>
        <v>2.0367681547460844E-3</v>
      </c>
      <c r="H345" s="3">
        <f t="shared" si="352"/>
        <v>2.0367681547460836E-3</v>
      </c>
      <c r="I345" s="3">
        <f t="shared" si="352"/>
        <v>2.0367681547460714E-3</v>
      </c>
      <c r="J345" s="3">
        <f t="shared" si="352"/>
        <v>2.0367681547459513E-3</v>
      </c>
      <c r="K345" s="3">
        <f t="shared" si="352"/>
        <v>2.0367681547447478E-3</v>
      </c>
      <c r="L345" s="3">
        <f t="shared" si="352"/>
        <v>2.0367681547327132E-3</v>
      </c>
      <c r="M345" s="3">
        <f t="shared" si="352"/>
        <v>2.0367681546123706E-3</v>
      </c>
      <c r="N345" s="3">
        <f t="shared" si="352"/>
        <v>2.0367681534089405E-3</v>
      </c>
      <c r="O345" s="3">
        <f t="shared" si="352"/>
        <v>2.0367681413746425E-3</v>
      </c>
      <c r="P345" s="3">
        <f t="shared" si="352"/>
        <v>2.036768021031663E-3</v>
      </c>
      <c r="Q345" s="3">
        <f t="shared" si="352"/>
        <v>2.0367668176022586E-3</v>
      </c>
      <c r="R345" s="3">
        <f t="shared" si="352"/>
        <v>2.0367547833473262E-3</v>
      </c>
      <c r="S345" s="3">
        <f t="shared" si="352"/>
        <v>2.0366344447086777E-3</v>
      </c>
      <c r="T345" s="3">
        <f t="shared" si="352"/>
        <v>2.0354314493045505E-3</v>
      </c>
      <c r="U345" s="3">
        <f t="shared" si="352"/>
        <v>2.0234405081587287E-3</v>
      </c>
      <c r="V345" s="3">
        <f t="shared" si="352"/>
        <v>1.9073484291948237E-3</v>
      </c>
      <c r="W345" s="3">
        <f t="shared" si="352"/>
        <v>1.0563941691910271E-3</v>
      </c>
      <c r="X345" s="3">
        <f t="shared" si="352"/>
        <v>2.8693636325255266E-6</v>
      </c>
      <c r="Y345" s="3">
        <f t="shared" si="352"/>
        <v>6.2716459163793008E-32</v>
      </c>
      <c r="Z345" s="3">
        <f t="shared" si="352"/>
        <v>1.5607773199702989E-288</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1.2781847248259422E-3</v>
      </c>
      <c r="C346" s="3">
        <f t="shared" si="353"/>
        <v>1.2781847248259422E-3</v>
      </c>
      <c r="D346" s="3">
        <f t="shared" si="353"/>
        <v>1.2781847248259422E-3</v>
      </c>
      <c r="E346" s="3">
        <f t="shared" si="353"/>
        <v>1.2781847248259422E-3</v>
      </c>
      <c r="F346" s="3">
        <f t="shared" si="353"/>
        <v>1.2781847248259422E-3</v>
      </c>
      <c r="G346" s="3">
        <f t="shared" si="353"/>
        <v>1.2781847248259422E-3</v>
      </c>
      <c r="H346" s="3">
        <f t="shared" si="353"/>
        <v>1.278184724825942E-3</v>
      </c>
      <c r="I346" s="3">
        <f t="shared" si="353"/>
        <v>1.2781847248259416E-3</v>
      </c>
      <c r="J346" s="3">
        <f t="shared" si="353"/>
        <v>1.2781847248259347E-3</v>
      </c>
      <c r="K346" s="3">
        <f t="shared" si="353"/>
        <v>1.2781847248258666E-3</v>
      </c>
      <c r="L346" s="3">
        <f t="shared" si="353"/>
        <v>1.2781847248251852E-3</v>
      </c>
      <c r="M346" s="3">
        <f t="shared" si="353"/>
        <v>1.2781847248183726E-3</v>
      </c>
      <c r="N346" s="3">
        <f t="shared" si="353"/>
        <v>1.2781847247502454E-3</v>
      </c>
      <c r="O346" s="3">
        <f t="shared" si="353"/>
        <v>1.2781847240689753E-3</v>
      </c>
      <c r="P346" s="3">
        <f t="shared" si="353"/>
        <v>1.2781847172562734E-3</v>
      </c>
      <c r="Q346" s="3">
        <f t="shared" si="353"/>
        <v>1.2781846491292555E-3</v>
      </c>
      <c r="R346" s="3">
        <f t="shared" si="353"/>
        <v>1.2781839678592758E-3</v>
      </c>
      <c r="S346" s="3">
        <f t="shared" si="353"/>
        <v>1.2781771551794523E-3</v>
      </c>
      <c r="T346" s="3">
        <f t="shared" si="353"/>
        <v>1.278109030378309E-3</v>
      </c>
      <c r="U346" s="3">
        <f t="shared" si="353"/>
        <v>1.2774279820368169E-3</v>
      </c>
      <c r="V346" s="3">
        <f t="shared" si="353"/>
        <v>1.270637426295487E-3</v>
      </c>
      <c r="W346" s="3">
        <f t="shared" si="353"/>
        <v>1.2046858910057521E-3</v>
      </c>
      <c r="X346" s="3">
        <f t="shared" si="353"/>
        <v>7.0696128603163597E-4</v>
      </c>
      <c r="Y346" s="3">
        <f t="shared" si="353"/>
        <v>3.4246304346640165E-6</v>
      </c>
      <c r="Z346" s="3">
        <f t="shared" si="353"/>
        <v>2.4366576274480224E-29</v>
      </c>
      <c r="AA346" s="3">
        <f t="shared" si="353"/>
        <v>8.1021914913692798E-261</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3.444457645749161E-4</v>
      </c>
      <c r="C347" s="3">
        <f t="shared" si="354"/>
        <v>3.444457645749161E-4</v>
      </c>
      <c r="D347" s="3">
        <f t="shared" si="354"/>
        <v>3.444457645749161E-4</v>
      </c>
      <c r="E347" s="3">
        <f t="shared" si="354"/>
        <v>3.444457645749161E-4</v>
      </c>
      <c r="F347" s="3">
        <f t="shared" si="354"/>
        <v>3.444457645749161E-4</v>
      </c>
      <c r="G347" s="3">
        <f t="shared" si="354"/>
        <v>3.444457645749161E-4</v>
      </c>
      <c r="H347" s="3">
        <f t="shared" si="354"/>
        <v>3.444457645749161E-4</v>
      </c>
      <c r="I347" s="3">
        <f t="shared" si="354"/>
        <v>3.444457645749161E-4</v>
      </c>
      <c r="J347" s="3">
        <f t="shared" si="354"/>
        <v>3.4444576457491588E-4</v>
      </c>
      <c r="K347" s="3">
        <f t="shared" si="354"/>
        <v>3.4444576457491426E-4</v>
      </c>
      <c r="L347" s="3">
        <f t="shared" si="354"/>
        <v>3.4444576457489772E-4</v>
      </c>
      <c r="M347" s="3">
        <f t="shared" si="354"/>
        <v>3.4444576457473206E-4</v>
      </c>
      <c r="N347" s="3">
        <f t="shared" si="354"/>
        <v>3.4444576457307599E-4</v>
      </c>
      <c r="O347" s="3">
        <f t="shared" si="354"/>
        <v>3.444457645565147E-4</v>
      </c>
      <c r="P347" s="3">
        <f t="shared" si="354"/>
        <v>3.4444576439090216E-4</v>
      </c>
      <c r="Q347" s="3">
        <f t="shared" si="354"/>
        <v>3.4444576273477684E-4</v>
      </c>
      <c r="R347" s="3">
        <f t="shared" si="354"/>
        <v>3.444457461735236E-4</v>
      </c>
      <c r="S347" s="3">
        <f t="shared" si="354"/>
        <v>3.4444558056103531E-4</v>
      </c>
      <c r="T347" s="3">
        <f t="shared" si="354"/>
        <v>3.444439244405315E-4</v>
      </c>
      <c r="U347" s="3">
        <f t="shared" si="354"/>
        <v>3.4442736367343914E-4</v>
      </c>
      <c r="V347" s="3">
        <f t="shared" si="354"/>
        <v>3.4426179978923587E-4</v>
      </c>
      <c r="W347" s="3">
        <f t="shared" si="354"/>
        <v>3.4261053183963486E-4</v>
      </c>
      <c r="X347" s="3">
        <f t="shared" si="354"/>
        <v>3.2652726479370168E-4</v>
      </c>
      <c r="Y347" s="3">
        <f t="shared" si="354"/>
        <v>2.0188630713733634E-4</v>
      </c>
      <c r="Z347" s="3">
        <f t="shared" si="354"/>
        <v>1.648090290744141E-6</v>
      </c>
      <c r="AA347" s="3">
        <f t="shared" si="354"/>
        <v>2.166318800157564E-27</v>
      </c>
      <c r="AB347" s="3">
        <f t="shared" si="354"/>
        <v>3.3353087829803404E-236</v>
      </c>
      <c r="AC347" s="3">
        <f t="shared" si="354"/>
        <v>0</v>
      </c>
      <c r="AD347" s="3">
        <f t="shared" si="354"/>
        <v>0</v>
      </c>
      <c r="AE347" s="3">
        <f t="shared" si="354"/>
        <v>0</v>
      </c>
      <c r="AF347" s="3">
        <f t="shared" si="354"/>
        <v>0</v>
      </c>
      <c r="AG347" s="3"/>
      <c r="AH347" s="3"/>
    </row>
    <row r="348" spans="2:34" x14ac:dyDescent="0.25">
      <c r="B348" s="3">
        <f t="shared" ref="B348:AF348" si="355">$C39*EXP(-B$363/$A39/EXP(-$G$126))</f>
        <v>6.1014336776090067E-4</v>
      </c>
      <c r="C348" s="3">
        <f t="shared" si="355"/>
        <v>6.1014336776090067E-4</v>
      </c>
      <c r="D348" s="3">
        <f t="shared" si="355"/>
        <v>6.1014336776090067E-4</v>
      </c>
      <c r="E348" s="3">
        <f t="shared" si="355"/>
        <v>6.1014336776090067E-4</v>
      </c>
      <c r="F348" s="3">
        <f t="shared" si="355"/>
        <v>6.1014336776090067E-4</v>
      </c>
      <c r="G348" s="3">
        <f t="shared" si="355"/>
        <v>6.1014336776090067E-4</v>
      </c>
      <c r="H348" s="3">
        <f t="shared" si="355"/>
        <v>6.1014336776090067E-4</v>
      </c>
      <c r="I348" s="3">
        <f t="shared" si="355"/>
        <v>6.1014336776090067E-4</v>
      </c>
      <c r="J348" s="3">
        <f t="shared" si="355"/>
        <v>6.1014336776090057E-4</v>
      </c>
      <c r="K348" s="3">
        <f t="shared" si="355"/>
        <v>6.1014336776089981E-4</v>
      </c>
      <c r="L348" s="3">
        <f t="shared" si="355"/>
        <v>6.1014336776089168E-4</v>
      </c>
      <c r="M348" s="3">
        <f t="shared" si="355"/>
        <v>6.1014336776081047E-4</v>
      </c>
      <c r="N348" s="3">
        <f t="shared" si="355"/>
        <v>6.1014336775999916E-4</v>
      </c>
      <c r="O348" s="3">
        <f t="shared" si="355"/>
        <v>6.1014336775188553E-4</v>
      </c>
      <c r="P348" s="3">
        <f t="shared" si="355"/>
        <v>6.1014336767074883E-4</v>
      </c>
      <c r="Q348" s="3">
        <f t="shared" si="355"/>
        <v>6.1014336685938223E-4</v>
      </c>
      <c r="R348" s="3">
        <f t="shared" si="355"/>
        <v>6.1014335874571646E-4</v>
      </c>
      <c r="S348" s="3">
        <f t="shared" si="355"/>
        <v>6.1014327760906459E-4</v>
      </c>
      <c r="T348" s="3">
        <f t="shared" si="355"/>
        <v>6.1014246624313908E-4</v>
      </c>
      <c r="U348" s="3">
        <f t="shared" si="355"/>
        <v>6.1013435264322606E-4</v>
      </c>
      <c r="V348" s="3">
        <f t="shared" si="355"/>
        <v>6.1005322257801065E-4</v>
      </c>
      <c r="W348" s="3">
        <f t="shared" si="355"/>
        <v>6.0924251502545216E-4</v>
      </c>
      <c r="X348" s="3">
        <f t="shared" si="355"/>
        <v>6.0119445867484842E-4</v>
      </c>
      <c r="Y348" s="3">
        <f t="shared" si="355"/>
        <v>5.2633546692545897E-4</v>
      </c>
      <c r="Z348" s="3">
        <f t="shared" si="355"/>
        <v>1.3923207771053924E-4</v>
      </c>
      <c r="AA348" s="3">
        <f t="shared" si="355"/>
        <v>2.3361783037443547E-10</v>
      </c>
      <c r="AB348" s="3">
        <f t="shared" si="355"/>
        <v>4.1321188946484238E-68</v>
      </c>
      <c r="AC348" s="3">
        <f t="shared" si="355"/>
        <v>0</v>
      </c>
      <c r="AD348" s="3">
        <f t="shared" si="355"/>
        <v>0</v>
      </c>
      <c r="AE348" s="3">
        <f t="shared" si="355"/>
        <v>0</v>
      </c>
      <c r="AF348" s="3">
        <f t="shared" si="355"/>
        <v>0</v>
      </c>
      <c r="AG348" s="3"/>
      <c r="AH348" s="3"/>
    </row>
    <row r="349" spans="2:34" x14ac:dyDescent="0.25">
      <c r="B349" s="3">
        <f t="shared" ref="B349:AF349" si="356">$C40*EXP(-B$363/$A40/EXP(-$G$126))</f>
        <v>2.2250933466635417E-4</v>
      </c>
      <c r="C349" s="3">
        <f t="shared" si="356"/>
        <v>2.2250933466635417E-4</v>
      </c>
      <c r="D349" s="3">
        <f t="shared" si="356"/>
        <v>2.2250933466635417E-4</v>
      </c>
      <c r="E349" s="3">
        <f t="shared" si="356"/>
        <v>2.2250933466635417E-4</v>
      </c>
      <c r="F349" s="3">
        <f t="shared" si="356"/>
        <v>2.2250933466635417E-4</v>
      </c>
      <c r="G349" s="3">
        <f t="shared" si="356"/>
        <v>2.2250933466635417E-4</v>
      </c>
      <c r="H349" s="3">
        <f t="shared" si="356"/>
        <v>2.2250933466635417E-4</v>
      </c>
      <c r="I349" s="3">
        <f t="shared" si="356"/>
        <v>2.2250933466635417E-4</v>
      </c>
      <c r="J349" s="3">
        <f t="shared" si="356"/>
        <v>2.2250933466635417E-4</v>
      </c>
      <c r="K349" s="3">
        <f t="shared" si="356"/>
        <v>2.2250933466635414E-4</v>
      </c>
      <c r="L349" s="3">
        <f t="shared" si="356"/>
        <v>2.2250933466635384E-4</v>
      </c>
      <c r="M349" s="3">
        <f t="shared" si="356"/>
        <v>2.2250933466635089E-4</v>
      </c>
      <c r="N349" s="3">
        <f t="shared" si="356"/>
        <v>2.2250933466632129E-4</v>
      </c>
      <c r="O349" s="3">
        <f t="shared" si="356"/>
        <v>2.2250933466602538E-4</v>
      </c>
      <c r="P349" s="3">
        <f t="shared" si="356"/>
        <v>2.2250933466306649E-4</v>
      </c>
      <c r="Q349" s="3">
        <f t="shared" si="356"/>
        <v>2.2250933463347728E-4</v>
      </c>
      <c r="R349" s="3">
        <f t="shared" si="356"/>
        <v>2.2250933433758512E-4</v>
      </c>
      <c r="S349" s="3">
        <f t="shared" si="356"/>
        <v>2.2250933137866352E-4</v>
      </c>
      <c r="T349" s="3">
        <f t="shared" si="356"/>
        <v>2.2250930178944995E-4</v>
      </c>
      <c r="U349" s="3">
        <f t="shared" si="356"/>
        <v>2.2250900589753042E-4</v>
      </c>
      <c r="V349" s="3">
        <f t="shared" si="356"/>
        <v>2.2250604699997656E-4</v>
      </c>
      <c r="W349" s="3">
        <f t="shared" si="356"/>
        <v>2.2247646018843951E-4</v>
      </c>
      <c r="X349" s="3">
        <f t="shared" si="356"/>
        <v>2.22180808366818E-4</v>
      </c>
      <c r="Y349" s="3">
        <f t="shared" si="356"/>
        <v>2.1924581348110465E-4</v>
      </c>
      <c r="Z349" s="3">
        <f t="shared" si="356"/>
        <v>1.9194596015470068E-4</v>
      </c>
      <c r="AA349" s="3">
        <f t="shared" si="356"/>
        <v>5.0775667838983436E-5</v>
      </c>
      <c r="AB349" s="3">
        <f t="shared" si="356"/>
        <v>8.5196612385670113E-11</v>
      </c>
      <c r="AC349" s="3">
        <f t="shared" si="356"/>
        <v>1.5069163652218772E-68</v>
      </c>
      <c r="AD349" s="3">
        <f t="shared" si="356"/>
        <v>0</v>
      </c>
      <c r="AE349" s="3">
        <f t="shared" si="356"/>
        <v>0</v>
      </c>
      <c r="AF349" s="3">
        <f t="shared" si="356"/>
        <v>0</v>
      </c>
      <c r="AG349" s="3"/>
      <c r="AH349" s="3"/>
    </row>
    <row r="350" spans="2:34" x14ac:dyDescent="0.25">
      <c r="B350" s="3">
        <f t="shared" ref="B350:AF350" si="357">$C41*EXP(-B$363/$A41/EXP(-$G$126))</f>
        <v>3.0514987252664002E-4</v>
      </c>
      <c r="C350" s="3">
        <f t="shared" si="357"/>
        <v>3.0514987252664002E-4</v>
      </c>
      <c r="D350" s="3">
        <f t="shared" si="357"/>
        <v>3.0514987252664002E-4</v>
      </c>
      <c r="E350" s="3">
        <f t="shared" si="357"/>
        <v>3.0514987252664002E-4</v>
      </c>
      <c r="F350" s="3">
        <f t="shared" si="357"/>
        <v>3.0514987252664002E-4</v>
      </c>
      <c r="G350" s="3">
        <f t="shared" si="357"/>
        <v>3.0514987252664002E-4</v>
      </c>
      <c r="H350" s="3">
        <f t="shared" si="357"/>
        <v>3.0514987252664002E-4</v>
      </c>
      <c r="I350" s="3">
        <f t="shared" si="357"/>
        <v>3.0514987252664002E-4</v>
      </c>
      <c r="J350" s="3">
        <f t="shared" si="357"/>
        <v>3.0514987252664002E-4</v>
      </c>
      <c r="K350" s="3">
        <f t="shared" si="357"/>
        <v>3.0514987252664002E-4</v>
      </c>
      <c r="L350" s="3">
        <f t="shared" si="357"/>
        <v>3.0514987252663997E-4</v>
      </c>
      <c r="M350" s="3">
        <f t="shared" si="357"/>
        <v>3.0514987252663959E-4</v>
      </c>
      <c r="N350" s="3">
        <f t="shared" si="357"/>
        <v>3.0514987252663553E-4</v>
      </c>
      <c r="O350" s="3">
        <f t="shared" si="357"/>
        <v>3.0514987252659492E-4</v>
      </c>
      <c r="P350" s="3">
        <f t="shared" si="357"/>
        <v>3.0514987252618916E-4</v>
      </c>
      <c r="Q350" s="3">
        <f t="shared" si="357"/>
        <v>3.0514987252213126E-4</v>
      </c>
      <c r="R350" s="3">
        <f t="shared" si="357"/>
        <v>3.0514987248155256E-4</v>
      </c>
      <c r="S350" s="3">
        <f t="shared" si="357"/>
        <v>3.0514987207576528E-4</v>
      </c>
      <c r="T350" s="3">
        <f t="shared" si="357"/>
        <v>3.0514986801789265E-4</v>
      </c>
      <c r="U350" s="3">
        <f t="shared" si="357"/>
        <v>3.0514982743916921E-4</v>
      </c>
      <c r="V350" s="3">
        <f t="shared" si="357"/>
        <v>3.0514942165223152E-4</v>
      </c>
      <c r="W350" s="3">
        <f t="shared" si="357"/>
        <v>3.0514536381253353E-4</v>
      </c>
      <c r="X350" s="3">
        <f t="shared" si="357"/>
        <v>3.0510478838327105E-4</v>
      </c>
      <c r="Y350" s="3">
        <f t="shared" si="357"/>
        <v>3.0469933071644844E-4</v>
      </c>
      <c r="Z350" s="3">
        <f t="shared" si="357"/>
        <v>3.0067427119890184E-4</v>
      </c>
      <c r="AA350" s="3">
        <f t="shared" si="357"/>
        <v>2.6323518229488108E-4</v>
      </c>
      <c r="AB350" s="3">
        <f t="shared" si="357"/>
        <v>6.9633881166171593E-5</v>
      </c>
      <c r="AC350" s="3">
        <f t="shared" si="357"/>
        <v>1.1683885284260812E-10</v>
      </c>
      <c r="AD350" s="3">
        <f t="shared" si="357"/>
        <v>2.0665889700549973E-68</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6.2164799219330605E-5</v>
      </c>
      <c r="C352" s="3">
        <f t="shared" si="359"/>
        <v>6.2164799219330605E-5</v>
      </c>
      <c r="D352" s="3">
        <f t="shared" si="359"/>
        <v>6.2164799219330605E-5</v>
      </c>
      <c r="E352" s="3">
        <f t="shared" si="359"/>
        <v>6.2164799219330605E-5</v>
      </c>
      <c r="F352" s="3">
        <f t="shared" si="359"/>
        <v>6.2164799219330605E-5</v>
      </c>
      <c r="G352" s="3">
        <f t="shared" si="359"/>
        <v>6.2164799219330605E-5</v>
      </c>
      <c r="H352" s="3">
        <f t="shared" si="359"/>
        <v>6.2164799219330605E-5</v>
      </c>
      <c r="I352" s="3">
        <f t="shared" si="359"/>
        <v>6.2164799219330605E-5</v>
      </c>
      <c r="J352" s="3">
        <f t="shared" si="359"/>
        <v>6.2164799219330605E-5</v>
      </c>
      <c r="K352" s="3">
        <f t="shared" si="359"/>
        <v>6.2164799219330605E-5</v>
      </c>
      <c r="L352" s="3">
        <f t="shared" si="359"/>
        <v>6.2164799219330605E-5</v>
      </c>
      <c r="M352" s="3">
        <f t="shared" si="359"/>
        <v>6.2164799219330605E-5</v>
      </c>
      <c r="N352" s="3">
        <f t="shared" si="359"/>
        <v>6.2164799219330592E-5</v>
      </c>
      <c r="O352" s="3">
        <f t="shared" si="359"/>
        <v>6.216479921933051E-5</v>
      </c>
      <c r="P352" s="3">
        <f t="shared" si="359"/>
        <v>6.2164799219329684E-5</v>
      </c>
      <c r="Q352" s="3">
        <f t="shared" si="359"/>
        <v>6.2164799219321416E-5</v>
      </c>
      <c r="R352" s="3">
        <f t="shared" si="359"/>
        <v>6.2164799219238746E-5</v>
      </c>
      <c r="S352" s="3">
        <f t="shared" si="359"/>
        <v>6.2164799218412083E-5</v>
      </c>
      <c r="T352" s="3">
        <f t="shared" si="359"/>
        <v>6.2164799210145434E-5</v>
      </c>
      <c r="U352" s="3">
        <f t="shared" si="359"/>
        <v>6.2164799127478894E-5</v>
      </c>
      <c r="V352" s="3">
        <f t="shared" si="359"/>
        <v>6.2164798300813512E-5</v>
      </c>
      <c r="W352" s="3">
        <f t="shared" si="359"/>
        <v>6.2164790034160226E-5</v>
      </c>
      <c r="X352" s="3">
        <f t="shared" si="359"/>
        <v>6.2164707367687845E-5</v>
      </c>
      <c r="Y352" s="3">
        <f t="shared" si="359"/>
        <v>6.2163880709010258E-5</v>
      </c>
      <c r="Z352" s="3">
        <f t="shared" si="359"/>
        <v>6.2155614726814513E-5</v>
      </c>
      <c r="AA352" s="3">
        <f t="shared" si="359"/>
        <v>6.2073015333141929E-5</v>
      </c>
      <c r="AB352" s="3">
        <f t="shared" si="359"/>
        <v>6.1253034598159655E-5</v>
      </c>
      <c r="AC352" s="3">
        <f t="shared" si="359"/>
        <v>5.3625984239585662E-5</v>
      </c>
      <c r="AD352" s="3">
        <f t="shared" si="359"/>
        <v>1.4185738324959895E-5</v>
      </c>
      <c r="AE352" s="3">
        <f t="shared" si="359"/>
        <v>2.3802283670767568E-11</v>
      </c>
      <c r="AF352" s="3">
        <f t="shared" si="359"/>
        <v>4.2100325105374773E-69</v>
      </c>
      <c r="AG352" s="3"/>
      <c r="AH352" s="3"/>
    </row>
    <row r="353" spans="1:34" x14ac:dyDescent="0.25">
      <c r="B353" s="3">
        <f t="shared" ref="B353:AF353" si="360">$C44*EXP(-B$363/$A44/EXP(-$G$126))</f>
        <v>1.589018825978126E-4</v>
      </c>
      <c r="C353" s="3">
        <f t="shared" si="360"/>
        <v>1.589018825978126E-4</v>
      </c>
      <c r="D353" s="3">
        <f t="shared" si="360"/>
        <v>1.589018825978126E-4</v>
      </c>
      <c r="E353" s="3">
        <f t="shared" si="360"/>
        <v>1.589018825978126E-4</v>
      </c>
      <c r="F353" s="3">
        <f t="shared" si="360"/>
        <v>1.589018825978126E-4</v>
      </c>
      <c r="G353" s="3">
        <f t="shared" si="360"/>
        <v>1.589018825978126E-4</v>
      </c>
      <c r="H353" s="3">
        <f t="shared" si="360"/>
        <v>1.589018825978126E-4</v>
      </c>
      <c r="I353" s="3">
        <f t="shared" si="360"/>
        <v>1.589018825978126E-4</v>
      </c>
      <c r="J353" s="3">
        <f t="shared" si="360"/>
        <v>1.589018825978126E-4</v>
      </c>
      <c r="K353" s="3">
        <f t="shared" si="360"/>
        <v>1.589018825978126E-4</v>
      </c>
      <c r="L353" s="3">
        <f t="shared" si="360"/>
        <v>1.589018825978126E-4</v>
      </c>
      <c r="M353" s="3">
        <f t="shared" si="360"/>
        <v>1.589018825978126E-4</v>
      </c>
      <c r="N353" s="3">
        <f t="shared" si="360"/>
        <v>1.589018825978126E-4</v>
      </c>
      <c r="O353" s="3">
        <f t="shared" si="360"/>
        <v>1.5890188259781257E-4</v>
      </c>
      <c r="P353" s="3">
        <f t="shared" si="360"/>
        <v>1.5890188259781238E-4</v>
      </c>
      <c r="Q353" s="3">
        <f t="shared" si="360"/>
        <v>1.5890188259781024E-4</v>
      </c>
      <c r="R353" s="3">
        <f t="shared" si="360"/>
        <v>1.5890188259778913E-4</v>
      </c>
      <c r="S353" s="3">
        <f t="shared" si="360"/>
        <v>1.5890188259757782E-4</v>
      </c>
      <c r="T353" s="3">
        <f t="shared" si="360"/>
        <v>1.5890188259546473E-4</v>
      </c>
      <c r="U353" s="3">
        <f t="shared" si="360"/>
        <v>1.5890188257433404E-4</v>
      </c>
      <c r="V353" s="3">
        <f t="shared" si="360"/>
        <v>1.5890188236302686E-4</v>
      </c>
      <c r="W353" s="3">
        <f t="shared" si="360"/>
        <v>1.5890188024995501E-4</v>
      </c>
      <c r="X353" s="3">
        <f t="shared" si="360"/>
        <v>1.5890185911923818E-4</v>
      </c>
      <c r="Y353" s="3">
        <f t="shared" si="360"/>
        <v>1.5890164781222436E-4</v>
      </c>
      <c r="Z353" s="3">
        <f t="shared" si="360"/>
        <v>1.588995347575409E-4</v>
      </c>
      <c r="AA353" s="3">
        <f t="shared" si="360"/>
        <v>1.5887840575609766E-4</v>
      </c>
      <c r="AB353" s="3">
        <f t="shared" si="360"/>
        <v>1.5866727020477539E-4</v>
      </c>
      <c r="AC353" s="3">
        <f t="shared" si="360"/>
        <v>1.5657128527248425E-4</v>
      </c>
      <c r="AD353" s="3">
        <f t="shared" si="360"/>
        <v>1.3707548256957996E-4</v>
      </c>
      <c r="AE353" s="3">
        <f t="shared" si="360"/>
        <v>3.6260722373171055E-5</v>
      </c>
      <c r="AF353" s="3">
        <f t="shared" si="360"/>
        <v>6.084195127965648E-11</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7.8909905102376337E-4</v>
      </c>
      <c r="C357" s="3">
        <f t="shared" si="364"/>
        <v>7.8909905102376337E-4</v>
      </c>
      <c r="D357" s="3">
        <f t="shared" si="364"/>
        <v>7.8909905102376337E-4</v>
      </c>
      <c r="E357" s="3">
        <f t="shared" si="364"/>
        <v>7.8909905102376337E-4</v>
      </c>
      <c r="F357" s="3">
        <f t="shared" si="364"/>
        <v>7.8909905102376337E-4</v>
      </c>
      <c r="G357" s="3">
        <f t="shared" si="364"/>
        <v>7.8909905102376337E-4</v>
      </c>
      <c r="H357" s="3">
        <f t="shared" si="364"/>
        <v>7.8909905102376337E-4</v>
      </c>
      <c r="I357" s="3">
        <f t="shared" si="364"/>
        <v>7.8909905102376337E-4</v>
      </c>
      <c r="J357" s="3">
        <f t="shared" si="364"/>
        <v>7.8909905102376337E-4</v>
      </c>
      <c r="K357" s="3">
        <f t="shared" si="364"/>
        <v>7.8909905102376337E-4</v>
      </c>
      <c r="L357" s="3">
        <f t="shared" si="364"/>
        <v>7.8909905102376337E-4</v>
      </c>
      <c r="M357" s="3">
        <f t="shared" si="364"/>
        <v>7.8909905102376337E-4</v>
      </c>
      <c r="N357" s="3">
        <f t="shared" si="364"/>
        <v>7.8909905102376337E-4</v>
      </c>
      <c r="O357" s="3">
        <f t="shared" si="364"/>
        <v>7.8909905102376337E-4</v>
      </c>
      <c r="P357" s="3">
        <f t="shared" si="364"/>
        <v>7.8909905102376337E-4</v>
      </c>
      <c r="Q357" s="3">
        <f t="shared" si="364"/>
        <v>7.8909905102376337E-4</v>
      </c>
      <c r="R357" s="3">
        <f t="shared" si="364"/>
        <v>7.8909905102376337E-4</v>
      </c>
      <c r="S357" s="3">
        <f t="shared" si="364"/>
        <v>7.8909905102376326E-4</v>
      </c>
      <c r="T357" s="3">
        <f t="shared" si="364"/>
        <v>7.8909905102376218E-4</v>
      </c>
      <c r="U357" s="3">
        <f t="shared" si="364"/>
        <v>7.8909905102375177E-4</v>
      </c>
      <c r="V357" s="3">
        <f t="shared" si="364"/>
        <v>7.8909905102364682E-4</v>
      </c>
      <c r="W357" s="3">
        <f t="shared" si="364"/>
        <v>7.8909905102259742E-4</v>
      </c>
      <c r="X357" s="3">
        <f t="shared" si="364"/>
        <v>7.8909905101210407E-4</v>
      </c>
      <c r="Y357" s="3">
        <f t="shared" si="364"/>
        <v>7.8909905090716989E-4</v>
      </c>
      <c r="Z357" s="3">
        <f t="shared" si="364"/>
        <v>7.8909904985782872E-4</v>
      </c>
      <c r="AA357" s="3">
        <f t="shared" si="364"/>
        <v>7.8909903936441627E-4</v>
      </c>
      <c r="AB357" s="3">
        <f t="shared" si="364"/>
        <v>7.8909893443030019E-4</v>
      </c>
      <c r="AC357" s="3">
        <f t="shared" si="364"/>
        <v>7.890978850899062E-4</v>
      </c>
      <c r="AD357" s="3">
        <f t="shared" si="364"/>
        <v>7.8908739176271466E-4</v>
      </c>
      <c r="AE357" s="3">
        <f t="shared" si="364"/>
        <v>7.8898246616513593E-4</v>
      </c>
      <c r="AF357" s="3">
        <f t="shared" si="364"/>
        <v>7.8793397724567196E-4</v>
      </c>
      <c r="AG357" s="3"/>
      <c r="AH357" s="3"/>
    </row>
    <row r="358" spans="1:34" x14ac:dyDescent="0.25">
      <c r="A358" s="79">
        <f>AVERAGE(B358:AF358)</f>
        <v>4.3464647807168764E-2</v>
      </c>
      <c r="B358" s="80">
        <f>IF($A$64&lt;=B324,IF($B$64&gt;=B324,ABS((B326-B325)/B325),0),0)</f>
        <v>7.5478078364645013E-2</v>
      </c>
      <c r="C358" s="80">
        <f t="shared" ref="C358:AF358" si="365">IF($A$64&lt;=C324,IF($B$64&gt;=C324,ABS((C326-C325)/C325),0),0)</f>
        <v>3.9100981164810006E-2</v>
      </c>
      <c r="D358" s="80">
        <f t="shared" si="365"/>
        <v>4.9637536961672059E-3</v>
      </c>
      <c r="E358" s="80">
        <f t="shared" si="365"/>
        <v>1.3829107500913923E-2</v>
      </c>
      <c r="F358" s="80">
        <f t="shared" si="365"/>
        <v>1.2737538218417369E-2</v>
      </c>
      <c r="G358" s="80">
        <f t="shared" si="365"/>
        <v>3.7871003350807013E-3</v>
      </c>
      <c r="H358" s="80">
        <f t="shared" si="365"/>
        <v>6.5903061311074502E-3</v>
      </c>
      <c r="I358" s="80">
        <f t="shared" si="365"/>
        <v>4.2596160458817384E-3</v>
      </c>
      <c r="J358" s="80">
        <f t="shared" si="365"/>
        <v>4.2094701795118835E-3</v>
      </c>
      <c r="K358" s="80">
        <f t="shared" si="365"/>
        <v>3.0798623722546009E-3</v>
      </c>
      <c r="L358" s="80">
        <f t="shared" si="365"/>
        <v>6.4957867168876694E-4</v>
      </c>
      <c r="M358" s="80">
        <f t="shared" si="365"/>
        <v>3.6481811615311243E-3</v>
      </c>
      <c r="N358" s="80">
        <f t="shared" si="365"/>
        <v>1.56959633817144E-2</v>
      </c>
      <c r="O358" s="80">
        <f t="shared" si="365"/>
        <v>2.1972393539331475E-2</v>
      </c>
      <c r="P358" s="80">
        <f t="shared" si="365"/>
        <v>2.6036273857604601E-2</v>
      </c>
      <c r="Q358" s="80">
        <f t="shared" si="365"/>
        <v>3.1119020296065288E-2</v>
      </c>
      <c r="R358" s="80">
        <f t="shared" si="365"/>
        <v>2.1315663002821388E-2</v>
      </c>
      <c r="S358" s="80">
        <f t="shared" si="365"/>
        <v>7.9221177120232619E-2</v>
      </c>
      <c r="T358" s="80">
        <f t="shared" si="365"/>
        <v>0.18399818480520977</v>
      </c>
      <c r="U358" s="80">
        <f t="shared" si="365"/>
        <v>0.24575661526641196</v>
      </c>
      <c r="V358" s="80">
        <f t="shared" si="365"/>
        <v>0.19842528354333752</v>
      </c>
      <c r="W358" s="80">
        <f t="shared" si="365"/>
        <v>0.13086150069260544</v>
      </c>
      <c r="X358" s="80">
        <f t="shared" si="365"/>
        <v>8.2166939561806956E-2</v>
      </c>
      <c r="Y358" s="80">
        <f t="shared" si="365"/>
        <v>5.3449181353668877E-2</v>
      </c>
      <c r="Z358" s="80">
        <f t="shared" si="365"/>
        <v>3.0658258319937938E-2</v>
      </c>
      <c r="AA358" s="80">
        <f t="shared" si="365"/>
        <v>2.1826927561519008E-2</v>
      </c>
      <c r="AB358" s="80">
        <f t="shared" si="365"/>
        <v>5.1226173296903725E-3</v>
      </c>
      <c r="AC358" s="80">
        <f t="shared" si="365"/>
        <v>1.02147923076682E-2</v>
      </c>
      <c r="AD358" s="80">
        <f t="shared" si="365"/>
        <v>7.6786307807465443E-3</v>
      </c>
      <c r="AE358" s="80">
        <f t="shared" si="365"/>
        <v>4.9885931812539653E-3</v>
      </c>
      <c r="AF358" s="80">
        <f t="shared" si="365"/>
        <v>4.5624922785953764E-3</v>
      </c>
    </row>
    <row r="359" spans="1:34" x14ac:dyDescent="0.25">
      <c r="B359" s="21">
        <f>(B326-B325)^2</f>
        <v>247087.67634232997</v>
      </c>
      <c r="C359" s="21">
        <f t="shared" ref="C359:AF359" si="366">(C326-C325)^2</f>
        <v>61345.664791715157</v>
      </c>
      <c r="D359" s="21">
        <f t="shared" si="366"/>
        <v>916.12385184225366</v>
      </c>
      <c r="E359" s="21">
        <f t="shared" si="366"/>
        <v>6489.7975699383342</v>
      </c>
      <c r="F359" s="21">
        <f t="shared" si="366"/>
        <v>4992.0263032165985</v>
      </c>
      <c r="G359" s="21">
        <f t="shared" si="366"/>
        <v>396.40992128867282</v>
      </c>
      <c r="H359" s="21">
        <f t="shared" si="366"/>
        <v>1061.3606493038681</v>
      </c>
      <c r="I359" s="21">
        <f t="shared" si="366"/>
        <v>379.48435992096603</v>
      </c>
      <c r="J359" s="21">
        <f t="shared" si="366"/>
        <v>294.86323861220717</v>
      </c>
      <c r="K359" s="21">
        <f t="shared" si="366"/>
        <v>113.50799763832664</v>
      </c>
      <c r="L359" s="21">
        <f t="shared" si="366"/>
        <v>3.0826777892729513</v>
      </c>
      <c r="M359" s="21">
        <f t="shared" si="366"/>
        <v>44.676148628870735</v>
      </c>
      <c r="N359" s="21">
        <f t="shared" si="366"/>
        <v>300.89185406548688</v>
      </c>
      <c r="O359" s="21">
        <f t="shared" si="366"/>
        <v>192.17705252681725</v>
      </c>
      <c r="P359" s="21">
        <f t="shared" si="366"/>
        <v>85.088143052933177</v>
      </c>
      <c r="Q359" s="21">
        <f t="shared" si="366"/>
        <v>59.667476465160938</v>
      </c>
      <c r="R359" s="21">
        <f t="shared" si="366"/>
        <v>20.919677675498985</v>
      </c>
      <c r="S359" s="21">
        <f t="shared" si="366"/>
        <v>216.48488826131785</v>
      </c>
      <c r="T359" s="21">
        <f t="shared" si="366"/>
        <v>846.19808799309533</v>
      </c>
      <c r="U359" s="21">
        <f t="shared" si="366"/>
        <v>1059.7578410156705</v>
      </c>
      <c r="V359" s="21">
        <f t="shared" si="366"/>
        <v>526.5480331488028</v>
      </c>
      <c r="W359" s="21">
        <f t="shared" si="366"/>
        <v>191.33836818295421</v>
      </c>
      <c r="X359" s="21">
        <f t="shared" si="366"/>
        <v>67.202583018501898</v>
      </c>
      <c r="Y359" s="21">
        <f t="shared" si="366"/>
        <v>26.416984832419434</v>
      </c>
      <c r="Z359" s="21">
        <f t="shared" si="366"/>
        <v>8.2809866931453655</v>
      </c>
      <c r="AA359" s="21">
        <f t="shared" si="366"/>
        <v>4.0658559762224575</v>
      </c>
      <c r="AB359" s="21">
        <f t="shared" si="366"/>
        <v>0.22271698387443806</v>
      </c>
      <c r="AC359" s="21">
        <f t="shared" si="366"/>
        <v>0.86569499016627605</v>
      </c>
      <c r="AD359" s="21">
        <f t="shared" si="366"/>
        <v>0.48704376741172034</v>
      </c>
      <c r="AE359" s="21">
        <f t="shared" si="366"/>
        <v>0.20287960273120501</v>
      </c>
      <c r="AF359" s="21">
        <f t="shared" si="366"/>
        <v>0.16882344756297968</v>
      </c>
      <c r="AG359" s="3"/>
      <c r="AH359" s="3"/>
    </row>
    <row r="360" spans="1:34" x14ac:dyDescent="0.25">
      <c r="A360" s="71">
        <f>SUM(B360:AF360)</f>
        <v>326731.65884392418</v>
      </c>
      <c r="B360" s="60">
        <f>IF($A$64&lt;=B324,IF($B$64&gt;=B324,ABS(B359),0),0)</f>
        <v>247087.67634232997</v>
      </c>
      <c r="C360" s="60">
        <f t="shared" ref="C360:AF360" si="367">IF($A$64&lt;=C324,IF($B$64&gt;=C324,ABS(C359),0),0)</f>
        <v>61345.664791715157</v>
      </c>
      <c r="D360" s="60">
        <f t="shared" si="367"/>
        <v>916.12385184225366</v>
      </c>
      <c r="E360" s="60">
        <f t="shared" si="367"/>
        <v>6489.7975699383342</v>
      </c>
      <c r="F360" s="60">
        <f t="shared" si="367"/>
        <v>4992.0263032165985</v>
      </c>
      <c r="G360" s="60">
        <f t="shared" si="367"/>
        <v>396.40992128867282</v>
      </c>
      <c r="H360" s="60">
        <f t="shared" si="367"/>
        <v>1061.3606493038681</v>
      </c>
      <c r="I360" s="60">
        <f t="shared" si="367"/>
        <v>379.48435992096603</v>
      </c>
      <c r="J360" s="60">
        <f t="shared" si="367"/>
        <v>294.86323861220717</v>
      </c>
      <c r="K360" s="60">
        <f t="shared" si="367"/>
        <v>113.50799763832664</v>
      </c>
      <c r="L360" s="60">
        <f t="shared" si="367"/>
        <v>3.0826777892729513</v>
      </c>
      <c r="M360" s="60">
        <f t="shared" si="367"/>
        <v>44.676148628870735</v>
      </c>
      <c r="N360" s="60">
        <f t="shared" si="367"/>
        <v>300.89185406548688</v>
      </c>
      <c r="O360" s="60">
        <f t="shared" si="367"/>
        <v>192.17705252681725</v>
      </c>
      <c r="P360" s="60">
        <f t="shared" si="367"/>
        <v>85.088143052933177</v>
      </c>
      <c r="Q360" s="60">
        <f t="shared" si="367"/>
        <v>59.667476465160938</v>
      </c>
      <c r="R360" s="60">
        <f t="shared" si="367"/>
        <v>20.919677675498985</v>
      </c>
      <c r="S360" s="60">
        <f t="shared" si="367"/>
        <v>216.48488826131785</v>
      </c>
      <c r="T360" s="60">
        <f t="shared" si="367"/>
        <v>846.19808799309533</v>
      </c>
      <c r="U360" s="60">
        <f t="shared" si="367"/>
        <v>1059.7578410156705</v>
      </c>
      <c r="V360" s="60">
        <f t="shared" si="367"/>
        <v>526.5480331488028</v>
      </c>
      <c r="W360" s="60">
        <f t="shared" si="367"/>
        <v>191.33836818295421</v>
      </c>
      <c r="X360" s="60">
        <f t="shared" si="367"/>
        <v>67.202583018501898</v>
      </c>
      <c r="Y360" s="60">
        <f t="shared" si="367"/>
        <v>26.416984832419434</v>
      </c>
      <c r="Z360" s="60">
        <f t="shared" si="367"/>
        <v>8.2809866931453655</v>
      </c>
      <c r="AA360" s="60">
        <f t="shared" si="367"/>
        <v>4.0658559762224575</v>
      </c>
      <c r="AB360" s="60">
        <f t="shared" si="367"/>
        <v>0.22271698387443806</v>
      </c>
      <c r="AC360" s="60">
        <f t="shared" si="367"/>
        <v>0.86569499016627605</v>
      </c>
      <c r="AD360" s="60">
        <f t="shared" si="367"/>
        <v>0.48704376741172034</v>
      </c>
      <c r="AE360" s="60">
        <f t="shared" si="367"/>
        <v>0.20287960273120501</v>
      </c>
      <c r="AF360" s="60">
        <f t="shared" si="367"/>
        <v>0.16882344756297968</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6074.1324255532645</v>
      </c>
      <c r="C365" s="27">
        <f t="shared" ref="C365:AF365" si="368">($C$17+SUM(C366:C396))*$B$51</f>
        <v>5956.711251309157</v>
      </c>
      <c r="D365" s="27">
        <f t="shared" si="368"/>
        <v>5525.2460349798012</v>
      </c>
      <c r="E365" s="27">
        <f t="shared" si="368"/>
        <v>5279.3096689934609</v>
      </c>
      <c r="F365" s="27">
        <f t="shared" si="368"/>
        <v>4964.0998899313636</v>
      </c>
      <c r="G365" s="27">
        <f t="shared" si="368"/>
        <v>4619.2310354247675</v>
      </c>
      <c r="H365" s="27">
        <f t="shared" si="368"/>
        <v>4152.8335796373503</v>
      </c>
      <c r="I365" s="27">
        <f t="shared" si="368"/>
        <v>3563.4677277415935</v>
      </c>
      <c r="J365" s="27">
        <f t="shared" si="368"/>
        <v>2846.8830319635244</v>
      </c>
      <c r="K365" s="27">
        <f t="shared" si="368"/>
        <v>1997.9714781776343</v>
      </c>
      <c r="L365" s="27">
        <f t="shared" si="368"/>
        <v>1243.0637989497177</v>
      </c>
      <c r="M365" s="27">
        <f t="shared" si="368"/>
        <v>719.5233625052756</v>
      </c>
      <c r="N365" s="27">
        <f t="shared" si="368"/>
        <v>403.5871194459188</v>
      </c>
      <c r="O365" s="27">
        <f t="shared" si="368"/>
        <v>264.83514729468669</v>
      </c>
      <c r="P365" s="27">
        <f t="shared" si="368"/>
        <v>224.26016398067313</v>
      </c>
      <c r="Q365" s="27">
        <f t="shared" si="368"/>
        <v>202.43878619090356</v>
      </c>
      <c r="R365" s="27">
        <f t="shared" si="368"/>
        <v>189.77411467988182</v>
      </c>
      <c r="S365" s="27">
        <f t="shared" si="368"/>
        <v>169.7330561249168</v>
      </c>
      <c r="T365" s="27">
        <f t="shared" si="368"/>
        <v>142.20399875651901</v>
      </c>
      <c r="U365" s="27">
        <f t="shared" si="368"/>
        <v>121.65228138290514</v>
      </c>
      <c r="V365" s="27">
        <f t="shared" si="368"/>
        <v>109.24176356397913</v>
      </c>
      <c r="W365" s="27">
        <f t="shared" si="368"/>
        <v>101.90415864823305</v>
      </c>
      <c r="X365" s="27">
        <f t="shared" si="368"/>
        <v>97.478569117160617</v>
      </c>
      <c r="Y365" s="27">
        <f t="shared" si="368"/>
        <v>94.711672617022742</v>
      </c>
      <c r="Z365" s="27">
        <f t="shared" si="368"/>
        <v>92.904876264362343</v>
      </c>
      <c r="AA365" s="27">
        <f t="shared" si="368"/>
        <v>92.040947263669381</v>
      </c>
      <c r="AB365" s="27">
        <f t="shared" si="368"/>
        <v>91.694478347113659</v>
      </c>
      <c r="AC365" s="27">
        <f t="shared" si="368"/>
        <v>90.899157668392462</v>
      </c>
      <c r="AD365" s="27">
        <f t="shared" si="368"/>
        <v>90.46995457836141</v>
      </c>
      <c r="AE365" s="27">
        <f t="shared" si="368"/>
        <v>90.417576251161393</v>
      </c>
      <c r="AF365" s="27">
        <f t="shared" si="368"/>
        <v>89.919635604463934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7.3851312845813435E-2</v>
      </c>
      <c r="C367" s="3">
        <f t="shared" si="370"/>
        <v>5.8500873434057167E-2</v>
      </c>
      <c r="D367" s="3">
        <f t="shared" si="370"/>
        <v>5.6911974304399938E-3</v>
      </c>
      <c r="E367" s="3">
        <f t="shared" si="370"/>
        <v>4.32132237860576E-13</v>
      </c>
      <c r="F367" s="3">
        <f t="shared" si="370"/>
        <v>2.7526235171969828E-114</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2.7362166562525939E-2</v>
      </c>
      <c r="C368" s="3">
        <f t="shared" si="371"/>
        <v>2.6793026456942367E-2</v>
      </c>
      <c r="D368" s="3">
        <f t="shared" si="371"/>
        <v>2.1713742317646792E-2</v>
      </c>
      <c r="E368" s="3">
        <f t="shared" si="371"/>
        <v>2.6537728506299532E-3</v>
      </c>
      <c r="F368" s="3">
        <f t="shared" si="371"/>
        <v>1.9731241750524056E-12</v>
      </c>
      <c r="G368" s="3">
        <f t="shared" si="371"/>
        <v>1.0187347648248683E-103</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4.6792936208356666E-2</v>
      </c>
      <c r="C369" s="3">
        <f t="shared" si="372"/>
        <v>4.6704294058968053E-2</v>
      </c>
      <c r="D369" s="3">
        <f t="shared" si="372"/>
        <v>4.5827055831248797E-2</v>
      </c>
      <c r="E369" s="3">
        <f t="shared" si="372"/>
        <v>3.7911712676971895E-2</v>
      </c>
      <c r="F369" s="3">
        <f t="shared" si="372"/>
        <v>5.6923012940677409E-3</v>
      </c>
      <c r="G369" s="3">
        <f t="shared" si="372"/>
        <v>3.3146114708710399E-11</v>
      </c>
      <c r="H369" s="3">
        <f t="shared" si="372"/>
        <v>1.4855255513083141E-93</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4.5135694954402464E-2</v>
      </c>
      <c r="C370" s="3">
        <f t="shared" si="373"/>
        <v>4.5127975239869118E-2</v>
      </c>
      <c r="D370" s="3">
        <f t="shared" si="373"/>
        <v>4.505085067541402E-2</v>
      </c>
      <c r="E370" s="3">
        <f t="shared" si="373"/>
        <v>4.4286817393277472E-2</v>
      </c>
      <c r="F370" s="3">
        <f t="shared" si="373"/>
        <v>3.7324089862569972E-2</v>
      </c>
      <c r="G370" s="3">
        <f t="shared" si="373"/>
        <v>6.7474049499313023E-3</v>
      </c>
      <c r="H370" s="3">
        <f t="shared" si="373"/>
        <v>2.5154301709163333E-10</v>
      </c>
      <c r="I370" s="3">
        <f t="shared" si="373"/>
        <v>1.3042689893296738E-84</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6.7281291503085178E-2</v>
      </c>
      <c r="C371" s="3">
        <f t="shared" si="374"/>
        <v>6.7280253363362116E-2</v>
      </c>
      <c r="D371" s="3">
        <f t="shared" si="374"/>
        <v>6.726987284709908E-2</v>
      </c>
      <c r="E371" s="3">
        <f t="shared" si="374"/>
        <v>6.7166155730943811E-2</v>
      </c>
      <c r="F371" s="3">
        <f t="shared" si="374"/>
        <v>6.613773915721459E-2</v>
      </c>
      <c r="G371" s="3">
        <f t="shared" si="374"/>
        <v>5.6681048320111969E-2</v>
      </c>
      <c r="H371" s="3">
        <f t="shared" si="374"/>
        <v>1.2114992895963028E-2</v>
      </c>
      <c r="I371" s="3">
        <f t="shared" si="374"/>
        <v>2.4108825988152237E-9</v>
      </c>
      <c r="J371" s="3">
        <f t="shared" si="374"/>
        <v>2.3480376023881465E-76</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8.482369531842078E-2</v>
      </c>
      <c r="C372" s="3">
        <f t="shared" si="375"/>
        <v>8.4823577251478127E-2</v>
      </c>
      <c r="D372" s="3">
        <f t="shared" si="375"/>
        <v>8.4822396591090074E-2</v>
      </c>
      <c r="E372" s="3">
        <f t="shared" si="375"/>
        <v>8.4810590891021193E-2</v>
      </c>
      <c r="F372" s="3">
        <f t="shared" si="375"/>
        <v>8.469262422497216E-2</v>
      </c>
      <c r="G372" s="3">
        <f t="shared" si="375"/>
        <v>8.3521944678192503E-2</v>
      </c>
      <c r="H372" s="3">
        <f t="shared" si="375"/>
        <v>7.266924966437914E-2</v>
      </c>
      <c r="I372" s="3">
        <f t="shared" si="375"/>
        <v>1.8065561280472774E-2</v>
      </c>
      <c r="J372" s="3">
        <f t="shared" si="375"/>
        <v>1.6287682389559093E-8</v>
      </c>
      <c r="K372" s="3">
        <f t="shared" si="375"/>
        <v>5.7801301748556617E-69</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0.10369484515741456</v>
      </c>
      <c r="C373" s="3">
        <f t="shared" si="376"/>
        <v>0.10369483213728932</v>
      </c>
      <c r="D373" s="3">
        <f t="shared" si="376"/>
        <v>0.10369470193612666</v>
      </c>
      <c r="E373" s="3">
        <f t="shared" si="376"/>
        <v>0.10369339993349172</v>
      </c>
      <c r="F373" s="3">
        <f t="shared" si="376"/>
        <v>0.10368038080625371</v>
      </c>
      <c r="G373" s="3">
        <f t="shared" si="376"/>
        <v>0.10355027940325356</v>
      </c>
      <c r="H373" s="3">
        <f t="shared" si="376"/>
        <v>0.10225821069967421</v>
      </c>
      <c r="I373" s="3">
        <f t="shared" si="376"/>
        <v>9.019185742247654E-2</v>
      </c>
      <c r="J373" s="3">
        <f t="shared" si="376"/>
        <v>2.5695599107108402E-2</v>
      </c>
      <c r="K373" s="3">
        <f t="shared" si="376"/>
        <v>9.0525913955617954E-8</v>
      </c>
      <c r="L373" s="3">
        <f t="shared" si="376"/>
        <v>2.6663344281518641E-62</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0.1330531336278877</v>
      </c>
      <c r="C374" s="3">
        <f t="shared" si="377"/>
        <v>0.13305313212083056</v>
      </c>
      <c r="D374" s="3">
        <f t="shared" si="377"/>
        <v>0.13305311705026013</v>
      </c>
      <c r="E374" s="3">
        <f t="shared" si="377"/>
        <v>0.13305296634464975</v>
      </c>
      <c r="F374" s="3">
        <f t="shared" si="377"/>
        <v>0.13305145929793422</v>
      </c>
      <c r="G374" s="3">
        <f t="shared" si="377"/>
        <v>0.1330363897695869</v>
      </c>
      <c r="H374" s="3">
        <f t="shared" si="377"/>
        <v>0.13288578832758532</v>
      </c>
      <c r="I374" s="3">
        <f t="shared" si="377"/>
        <v>0.13138911884566187</v>
      </c>
      <c r="J374" s="3">
        <f t="shared" si="377"/>
        <v>0.11731891270748317</v>
      </c>
      <c r="K374" s="3">
        <f t="shared" si="377"/>
        <v>3.7796738173370675E-2</v>
      </c>
      <c r="L374" s="3">
        <f t="shared" si="377"/>
        <v>4.5532054887416617E-7</v>
      </c>
      <c r="M374" s="3">
        <f t="shared" si="377"/>
        <v>2.9305324566320786E-56</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0.10368180211004858</v>
      </c>
      <c r="C375" s="3">
        <f t="shared" si="378"/>
        <v>0.1036818020041101</v>
      </c>
      <c r="D375" s="3">
        <f t="shared" si="378"/>
        <v>0.1036818009447253</v>
      </c>
      <c r="E375" s="3">
        <f t="shared" si="378"/>
        <v>0.10368179035087786</v>
      </c>
      <c r="F375" s="3">
        <f t="shared" si="378"/>
        <v>0.10368168441246312</v>
      </c>
      <c r="G375" s="3">
        <f t="shared" si="378"/>
        <v>0.10368062503426893</v>
      </c>
      <c r="H375" s="3">
        <f t="shared" si="378"/>
        <v>0.10367003184764566</v>
      </c>
      <c r="I375" s="3">
        <f t="shared" si="378"/>
        <v>0.1035641594907645</v>
      </c>
      <c r="J375" s="3">
        <f t="shared" si="378"/>
        <v>0.102511364420781</v>
      </c>
      <c r="K375" s="3">
        <f t="shared" si="378"/>
        <v>9.2554450190764539E-2</v>
      </c>
      <c r="L375" s="3">
        <f t="shared" si="378"/>
        <v>3.331579784211746E-2</v>
      </c>
      <c r="M375" s="3">
        <f t="shared" si="378"/>
        <v>1.2166883422910742E-6</v>
      </c>
      <c r="N375" s="3">
        <f t="shared" si="378"/>
        <v>5.1341746035064201E-51</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6.4516912227452997E-2</v>
      </c>
      <c r="C376" s="3">
        <f t="shared" si="379"/>
        <v>6.4516912221506351E-2</v>
      </c>
      <c r="D376" s="3">
        <f t="shared" si="379"/>
        <v>6.4516912162040002E-2</v>
      </c>
      <c r="E376" s="3">
        <f t="shared" si="379"/>
        <v>6.4516911567376378E-2</v>
      </c>
      <c r="F376" s="3">
        <f t="shared" si="379"/>
        <v>6.4516905620740542E-2</v>
      </c>
      <c r="G376" s="3">
        <f t="shared" si="379"/>
        <v>6.4516846154412236E-2</v>
      </c>
      <c r="H376" s="3">
        <f t="shared" si="379"/>
        <v>6.451625149414382E-2</v>
      </c>
      <c r="I376" s="3">
        <f t="shared" si="379"/>
        <v>6.4510305192909734E-2</v>
      </c>
      <c r="J376" s="3">
        <f t="shared" si="379"/>
        <v>6.4450872315298405E-2</v>
      </c>
      <c r="K376" s="3">
        <f t="shared" si="379"/>
        <v>6.3859546760417968E-2</v>
      </c>
      <c r="L376" s="3">
        <f t="shared" si="379"/>
        <v>5.8236618923389001E-2</v>
      </c>
      <c r="M376" s="3">
        <f t="shared" si="379"/>
        <v>2.3168577195216856E-2</v>
      </c>
      <c r="N376" s="3">
        <f t="shared" si="379"/>
        <v>2.3010787205429038E-6</v>
      </c>
      <c r="O376" s="3">
        <f t="shared" si="379"/>
        <v>2.1490800727073274E-46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3.7592139756914514E-2</v>
      </c>
      <c r="C377" s="3">
        <f t="shared" si="380"/>
        <v>3.7592139756601951E-2</v>
      </c>
      <c r="D377" s="3">
        <f t="shared" si="380"/>
        <v>3.7592139753476292E-2</v>
      </c>
      <c r="E377" s="3">
        <f t="shared" si="380"/>
        <v>3.7592139722219711E-2</v>
      </c>
      <c r="F377" s="3">
        <f t="shared" si="380"/>
        <v>3.7592139409653932E-2</v>
      </c>
      <c r="G377" s="3">
        <f t="shared" si="380"/>
        <v>3.7592136283996269E-2</v>
      </c>
      <c r="H377" s="3">
        <f t="shared" si="380"/>
        <v>3.7592105027433931E-2</v>
      </c>
      <c r="I377" s="3">
        <f t="shared" si="380"/>
        <v>3.7591792463239897E-2</v>
      </c>
      <c r="J377" s="3">
        <f t="shared" si="380"/>
        <v>3.7588666964232971E-2</v>
      </c>
      <c r="K377" s="3">
        <f t="shared" si="380"/>
        <v>3.7557426263105431E-2</v>
      </c>
      <c r="L377" s="3">
        <f t="shared" si="380"/>
        <v>3.7246443759876527E-2</v>
      </c>
      <c r="M377" s="3">
        <f t="shared" si="380"/>
        <v>3.4274782908812945E-2</v>
      </c>
      <c r="N377" s="3">
        <f t="shared" si="380"/>
        <v>1.4923603700613314E-2</v>
      </c>
      <c r="O377" s="3">
        <f t="shared" si="380"/>
        <v>3.6548003514499128E-6</v>
      </c>
      <c r="P377" s="3">
        <f t="shared" si="380"/>
        <v>2.8363718114609818E-42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7.6036322594273866E-3</v>
      </c>
      <c r="C378" s="3">
        <f t="shared" si="381"/>
        <v>7.6036322594216837E-3</v>
      </c>
      <c r="D378" s="3">
        <f t="shared" si="381"/>
        <v>7.6036322593646529E-3</v>
      </c>
      <c r="E378" s="3">
        <f t="shared" si="381"/>
        <v>7.6036322587943418E-3</v>
      </c>
      <c r="F378" s="3">
        <f t="shared" si="381"/>
        <v>7.6036322530912267E-3</v>
      </c>
      <c r="G378" s="3">
        <f t="shared" si="381"/>
        <v>7.6036321960600839E-3</v>
      </c>
      <c r="H378" s="3">
        <f t="shared" si="381"/>
        <v>7.6036316257486721E-3</v>
      </c>
      <c r="I378" s="3">
        <f t="shared" si="381"/>
        <v>7.6036259226369123E-3</v>
      </c>
      <c r="J378" s="3">
        <f t="shared" si="381"/>
        <v>7.6035688917545823E-3</v>
      </c>
      <c r="K378" s="3">
        <f t="shared" si="381"/>
        <v>7.6029986064575072E-3</v>
      </c>
      <c r="L378" s="3">
        <f t="shared" si="381"/>
        <v>7.5972981054570916E-3</v>
      </c>
      <c r="M378" s="3">
        <f t="shared" si="381"/>
        <v>7.5405276410768088E-3</v>
      </c>
      <c r="N378" s="3">
        <f t="shared" si="381"/>
        <v>6.9956395043576855E-3</v>
      </c>
      <c r="O378" s="3">
        <f t="shared" si="381"/>
        <v>3.3043365509106818E-3</v>
      </c>
      <c r="P378" s="3">
        <f t="shared" si="381"/>
        <v>1.8266393217170786E-6</v>
      </c>
      <c r="Q378" s="3">
        <f t="shared" si="381"/>
        <v>4.8678600376296614E-39</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4.6601949201853579E-3</v>
      </c>
      <c r="C379" s="3">
        <f t="shared" si="382"/>
        <v>4.6601949201850431E-3</v>
      </c>
      <c r="D379" s="3">
        <f t="shared" si="382"/>
        <v>4.6601949201818902E-3</v>
      </c>
      <c r="E379" s="3">
        <f t="shared" si="382"/>
        <v>4.660194920150359E-3</v>
      </c>
      <c r="F379" s="3">
        <f t="shared" si="382"/>
        <v>4.6601949198350461E-3</v>
      </c>
      <c r="G379" s="3">
        <f t="shared" si="382"/>
        <v>4.6601949166819173E-3</v>
      </c>
      <c r="H379" s="3">
        <f t="shared" si="382"/>
        <v>4.6601948851506345E-3</v>
      </c>
      <c r="I379" s="3">
        <f t="shared" si="382"/>
        <v>4.6601945698378118E-3</v>
      </c>
      <c r="J379" s="3">
        <f t="shared" si="382"/>
        <v>4.6601914167107615E-3</v>
      </c>
      <c r="K379" s="3">
        <f t="shared" si="382"/>
        <v>4.6601598855576043E-3</v>
      </c>
      <c r="L379" s="3">
        <f t="shared" si="382"/>
        <v>4.659844585759583E-3</v>
      </c>
      <c r="M379" s="3">
        <f t="shared" si="382"/>
        <v>4.6566927608417625E-3</v>
      </c>
      <c r="N379" s="3">
        <f t="shared" si="382"/>
        <v>4.6252915247622746E-3</v>
      </c>
      <c r="O379" s="3">
        <f t="shared" si="382"/>
        <v>4.3226927634005402E-3</v>
      </c>
      <c r="P379" s="3">
        <f t="shared" si="382"/>
        <v>2.197389024820326E-3</v>
      </c>
      <c r="Q379" s="3">
        <f t="shared" si="382"/>
        <v>2.5318196787880558E-6</v>
      </c>
      <c r="R379" s="3">
        <f t="shared" si="382"/>
        <v>1.0439770993222931E-35</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1.5487280154821749E-3</v>
      </c>
      <c r="C380" s="3">
        <f t="shared" si="383"/>
        <v>1.5487280154821655E-3</v>
      </c>
      <c r="D380" s="3">
        <f t="shared" si="383"/>
        <v>1.548728015482071E-3</v>
      </c>
      <c r="E380" s="3">
        <f t="shared" si="383"/>
        <v>1.5487280154811258E-3</v>
      </c>
      <c r="F380" s="3">
        <f t="shared" si="383"/>
        <v>1.5487280154716729E-3</v>
      </c>
      <c r="G380" s="3">
        <f t="shared" si="383"/>
        <v>1.548728015377145E-3</v>
      </c>
      <c r="H380" s="3">
        <f t="shared" si="383"/>
        <v>1.5487280144318675E-3</v>
      </c>
      <c r="I380" s="3">
        <f t="shared" si="383"/>
        <v>1.548728004979093E-3</v>
      </c>
      <c r="J380" s="3">
        <f t="shared" si="383"/>
        <v>1.548727910451348E-3</v>
      </c>
      <c r="K380" s="3">
        <f t="shared" si="383"/>
        <v>1.5487269651742171E-3</v>
      </c>
      <c r="L380" s="3">
        <f t="shared" si="383"/>
        <v>1.5487175124346407E-3</v>
      </c>
      <c r="M380" s="3">
        <f t="shared" si="383"/>
        <v>1.5486229882120609E-3</v>
      </c>
      <c r="N380" s="3">
        <f t="shared" si="383"/>
        <v>1.5476780632330195E-3</v>
      </c>
      <c r="O380" s="3">
        <f t="shared" si="383"/>
        <v>1.5382604665905703E-3</v>
      </c>
      <c r="P380" s="3">
        <f t="shared" si="383"/>
        <v>1.4471794840184918E-3</v>
      </c>
      <c r="Q380" s="3">
        <f t="shared" si="383"/>
        <v>7.860453091622857E-4</v>
      </c>
      <c r="R380" s="3">
        <f t="shared" si="383"/>
        <v>1.7567073264570975E-6</v>
      </c>
      <c r="S380" s="3">
        <f t="shared" si="383"/>
        <v>5.4603154696048635E-33</v>
      </c>
      <c r="T380" s="3">
        <f t="shared" si="383"/>
        <v>4.5962215757550336E-298</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1.798157682078548E-3</v>
      </c>
      <c r="C381" s="3">
        <f t="shared" si="384"/>
        <v>1.798157682078547E-3</v>
      </c>
      <c r="D381" s="3">
        <f t="shared" si="384"/>
        <v>1.7981576820785372E-3</v>
      </c>
      <c r="E381" s="3">
        <f t="shared" si="384"/>
        <v>1.7981576820784383E-3</v>
      </c>
      <c r="F381" s="3">
        <f t="shared" si="384"/>
        <v>1.7981576820774482E-3</v>
      </c>
      <c r="G381" s="3">
        <f t="shared" si="384"/>
        <v>1.7981576820675477E-3</v>
      </c>
      <c r="H381" s="3">
        <f t="shared" si="384"/>
        <v>1.7981576819685423E-3</v>
      </c>
      <c r="I381" s="3">
        <f t="shared" si="384"/>
        <v>1.7981576809784892E-3</v>
      </c>
      <c r="J381" s="3">
        <f t="shared" si="384"/>
        <v>1.7981576710779574E-3</v>
      </c>
      <c r="K381" s="3">
        <f t="shared" si="384"/>
        <v>1.7981575720726428E-3</v>
      </c>
      <c r="L381" s="3">
        <f t="shared" si="384"/>
        <v>1.7981565820197978E-3</v>
      </c>
      <c r="M381" s="3">
        <f t="shared" si="384"/>
        <v>1.7981466815213283E-3</v>
      </c>
      <c r="N381" s="3">
        <f t="shared" si="384"/>
        <v>1.7980476795347044E-3</v>
      </c>
      <c r="O381" s="3">
        <f t="shared" si="384"/>
        <v>1.7970579594146492E-3</v>
      </c>
      <c r="P381" s="3">
        <f t="shared" si="384"/>
        <v>1.7871906718580468E-3</v>
      </c>
      <c r="Q381" s="3">
        <f t="shared" si="384"/>
        <v>1.6914491078741543E-3</v>
      </c>
      <c r="R381" s="3">
        <f t="shared" si="384"/>
        <v>9.7530263707157143E-4</v>
      </c>
      <c r="S381" s="3">
        <f t="shared" si="384"/>
        <v>3.9622696707418124E-6</v>
      </c>
      <c r="T381" s="3">
        <f t="shared" si="384"/>
        <v>4.8527771356662317E-30</v>
      </c>
      <c r="U381" s="3">
        <f t="shared" si="384"/>
        <v>3.6851359378165103E-269</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4.3198756825701184E-3</v>
      </c>
      <c r="C382" s="3">
        <f t="shared" si="385"/>
        <v>4.3198756825701184E-3</v>
      </c>
      <c r="D382" s="3">
        <f t="shared" si="385"/>
        <v>4.3198756825701158E-3</v>
      </c>
      <c r="E382" s="3">
        <f t="shared" si="385"/>
        <v>4.3198756825700941E-3</v>
      </c>
      <c r="F382" s="3">
        <f t="shared" si="385"/>
        <v>4.3198756825698799E-3</v>
      </c>
      <c r="G382" s="3">
        <f t="shared" si="385"/>
        <v>4.319875682567734E-3</v>
      </c>
      <c r="H382" s="3">
        <f t="shared" si="385"/>
        <v>4.3198756825462781E-3</v>
      </c>
      <c r="I382" s="3">
        <f t="shared" si="385"/>
        <v>4.3198756823317188E-3</v>
      </c>
      <c r="J382" s="3">
        <f t="shared" si="385"/>
        <v>4.3198756801861192E-3</v>
      </c>
      <c r="K382" s="3">
        <f t="shared" si="385"/>
        <v>4.3198756587301277E-3</v>
      </c>
      <c r="L382" s="3">
        <f t="shared" si="385"/>
        <v>4.3198754441702188E-3</v>
      </c>
      <c r="M382" s="3">
        <f t="shared" si="385"/>
        <v>4.3198732985717161E-3</v>
      </c>
      <c r="N382" s="3">
        <f t="shared" si="385"/>
        <v>4.3198518426452986E-3</v>
      </c>
      <c r="O382" s="3">
        <f t="shared" si="385"/>
        <v>4.319637289242232E-3</v>
      </c>
      <c r="P382" s="3">
        <f t="shared" si="385"/>
        <v>4.3174923412147076E-3</v>
      </c>
      <c r="Q382" s="3">
        <f t="shared" si="385"/>
        <v>4.296101353705551E-3</v>
      </c>
      <c r="R382" s="3">
        <f t="shared" si="385"/>
        <v>4.0879346751284962E-3</v>
      </c>
      <c r="S382" s="3">
        <f t="shared" si="385"/>
        <v>2.4877012944111666E-3</v>
      </c>
      <c r="T382" s="3">
        <f t="shared" si="385"/>
        <v>1.7327706437068865E-5</v>
      </c>
      <c r="U382" s="3">
        <f t="shared" si="385"/>
        <v>4.657679235245903E-27</v>
      </c>
      <c r="V382" s="3">
        <f t="shared" si="385"/>
        <v>9.1717988790445014E-243</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3.4800152588185828E-3</v>
      </c>
      <c r="C383" s="3">
        <f t="shared" si="386"/>
        <v>3.4800152588185828E-3</v>
      </c>
      <c r="D383" s="3">
        <f t="shared" si="386"/>
        <v>3.4800152588185828E-3</v>
      </c>
      <c r="E383" s="3">
        <f t="shared" si="386"/>
        <v>3.4800152588185811E-3</v>
      </c>
      <c r="F383" s="3">
        <f t="shared" si="386"/>
        <v>3.4800152588185655E-3</v>
      </c>
      <c r="G383" s="3">
        <f t="shared" si="386"/>
        <v>3.4800152588184098E-3</v>
      </c>
      <c r="H383" s="3">
        <f t="shared" si="386"/>
        <v>3.4800152588168503E-3</v>
      </c>
      <c r="I383" s="3">
        <f t="shared" si="386"/>
        <v>3.4800152588012581E-3</v>
      </c>
      <c r="J383" s="3">
        <f t="shared" si="386"/>
        <v>3.4800152586453369E-3</v>
      </c>
      <c r="K383" s="3">
        <f t="shared" si="386"/>
        <v>3.4800152570861253E-3</v>
      </c>
      <c r="L383" s="3">
        <f t="shared" si="386"/>
        <v>3.4800152414940087E-3</v>
      </c>
      <c r="M383" s="3">
        <f t="shared" si="386"/>
        <v>3.4800150855728447E-3</v>
      </c>
      <c r="N383" s="3">
        <f t="shared" si="386"/>
        <v>3.4800135263615911E-3</v>
      </c>
      <c r="O383" s="3">
        <f t="shared" si="386"/>
        <v>3.4799979342874775E-3</v>
      </c>
      <c r="P383" s="3">
        <f t="shared" si="386"/>
        <v>3.4798420173885714E-3</v>
      </c>
      <c r="Q383" s="3">
        <f t="shared" si="386"/>
        <v>3.478283232559126E-3</v>
      </c>
      <c r="R383" s="3">
        <f t="shared" si="386"/>
        <v>3.4627337366173838E-3</v>
      </c>
      <c r="S383" s="3">
        <f t="shared" si="386"/>
        <v>3.3110111876744099E-3</v>
      </c>
      <c r="T383" s="3">
        <f t="shared" si="386"/>
        <v>2.1153203538160554E-3</v>
      </c>
      <c r="U383" s="3">
        <f t="shared" si="386"/>
        <v>2.3962446077073075E-5</v>
      </c>
      <c r="V383" s="3">
        <f t="shared" si="386"/>
        <v>8.3383698050152455E-25</v>
      </c>
      <c r="W383" s="3">
        <f t="shared" si="386"/>
        <v>2.1706069392903273E-219</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2.0367681547460849E-3</v>
      </c>
      <c r="C384" s="3">
        <f t="shared" si="387"/>
        <v>2.0367681547460849E-3</v>
      </c>
      <c r="D384" s="3">
        <f t="shared" si="387"/>
        <v>2.0367681547460849E-3</v>
      </c>
      <c r="E384" s="3">
        <f t="shared" si="387"/>
        <v>2.0367681547460849E-3</v>
      </c>
      <c r="F384" s="3">
        <f t="shared" si="387"/>
        <v>2.036768154746084E-3</v>
      </c>
      <c r="G384" s="3">
        <f t="shared" si="387"/>
        <v>2.0367681547460758E-3</v>
      </c>
      <c r="H384" s="3">
        <f t="shared" si="387"/>
        <v>2.0367681547459934E-3</v>
      </c>
      <c r="I384" s="3">
        <f t="shared" si="387"/>
        <v>2.0367681547451702E-3</v>
      </c>
      <c r="J384" s="3">
        <f t="shared" si="387"/>
        <v>2.0367681547369381E-3</v>
      </c>
      <c r="K384" s="3">
        <f t="shared" si="387"/>
        <v>2.0367681546546168E-3</v>
      </c>
      <c r="L384" s="3">
        <f t="shared" si="387"/>
        <v>2.0367681538314038E-3</v>
      </c>
      <c r="M384" s="3">
        <f t="shared" si="387"/>
        <v>2.0367681455992757E-3</v>
      </c>
      <c r="N384" s="3">
        <f t="shared" si="387"/>
        <v>2.0367680632779974E-3</v>
      </c>
      <c r="O384" s="3">
        <f t="shared" si="387"/>
        <v>2.0367672400653934E-3</v>
      </c>
      <c r="P384" s="3">
        <f t="shared" si="387"/>
        <v>2.036759007957654E-3</v>
      </c>
      <c r="Q384" s="3">
        <f t="shared" si="387"/>
        <v>2.0366766887102076E-3</v>
      </c>
      <c r="R384" s="3">
        <f t="shared" si="387"/>
        <v>2.035853679202912E-3</v>
      </c>
      <c r="S384" s="3">
        <f t="shared" si="387"/>
        <v>2.027641853514612E-3</v>
      </c>
      <c r="T384" s="3">
        <f t="shared" si="387"/>
        <v>1.9473235069789761E-3</v>
      </c>
      <c r="U384" s="3">
        <f t="shared" si="387"/>
        <v>1.2998902898553168E-3</v>
      </c>
      <c r="V384" s="3">
        <f t="shared" si="387"/>
        <v>2.2834559138608761E-5</v>
      </c>
      <c r="W384" s="3">
        <f t="shared" si="387"/>
        <v>6.3892803890966949E-23</v>
      </c>
      <c r="X384" s="3">
        <f t="shared" si="387"/>
        <v>1.8795120214050727E-198</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1.2781847248259422E-3</v>
      </c>
      <c r="C385" s="3">
        <f t="shared" si="388"/>
        <v>1.2781847248259422E-3</v>
      </c>
      <c r="D385" s="3">
        <f t="shared" si="388"/>
        <v>1.2781847248259422E-3</v>
      </c>
      <c r="E385" s="3">
        <f t="shared" si="388"/>
        <v>1.2781847248259422E-3</v>
      </c>
      <c r="F385" s="3">
        <f t="shared" si="388"/>
        <v>1.2781847248259422E-3</v>
      </c>
      <c r="G385" s="3">
        <f t="shared" si="388"/>
        <v>1.2781847248259416E-3</v>
      </c>
      <c r="H385" s="3">
        <f t="shared" si="388"/>
        <v>1.278184724825937E-3</v>
      </c>
      <c r="I385" s="3">
        <f t="shared" si="388"/>
        <v>1.2781847248258904E-3</v>
      </c>
      <c r="J385" s="3">
        <f t="shared" si="388"/>
        <v>1.2781847248254244E-3</v>
      </c>
      <c r="K385" s="3">
        <f t="shared" si="388"/>
        <v>1.2781847248207641E-3</v>
      </c>
      <c r="L385" s="3">
        <f t="shared" si="388"/>
        <v>1.2781847247741616E-3</v>
      </c>
      <c r="M385" s="3">
        <f t="shared" si="388"/>
        <v>1.2781847243081349E-3</v>
      </c>
      <c r="N385" s="3">
        <f t="shared" si="388"/>
        <v>1.2781847196478686E-3</v>
      </c>
      <c r="O385" s="3">
        <f t="shared" si="388"/>
        <v>1.2781846730452063E-3</v>
      </c>
      <c r="P385" s="3">
        <f t="shared" si="388"/>
        <v>1.2781842070186777E-3</v>
      </c>
      <c r="Q385" s="3">
        <f t="shared" si="388"/>
        <v>1.2781795467627377E-3</v>
      </c>
      <c r="R385" s="3">
        <f t="shared" si="388"/>
        <v>1.2781329451378451E-3</v>
      </c>
      <c r="S385" s="3">
        <f t="shared" si="388"/>
        <v>1.2776670223273324E-3</v>
      </c>
      <c r="T385" s="3">
        <f t="shared" si="388"/>
        <v>1.27301712547054E-3</v>
      </c>
      <c r="U385" s="3">
        <f t="shared" si="388"/>
        <v>1.2274388155048032E-3</v>
      </c>
      <c r="V385" s="3">
        <f t="shared" si="388"/>
        <v>8.5242449536749546E-4</v>
      </c>
      <c r="W385" s="3">
        <f t="shared" si="388"/>
        <v>2.2244190380582808E-5</v>
      </c>
      <c r="X385" s="3">
        <f t="shared" si="388"/>
        <v>3.2570425021852505E-21</v>
      </c>
      <c r="Y385" s="3">
        <f t="shared" si="388"/>
        <v>1.4753384134962156E-179</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3.444457645749161E-4</v>
      </c>
      <c r="C386" s="3">
        <f t="shared" si="389"/>
        <v>3.444457645749161E-4</v>
      </c>
      <c r="D386" s="3">
        <f t="shared" si="389"/>
        <v>3.444457645749161E-4</v>
      </c>
      <c r="E386" s="3">
        <f t="shared" si="389"/>
        <v>3.444457645749161E-4</v>
      </c>
      <c r="F386" s="3">
        <f t="shared" si="389"/>
        <v>3.444457645749161E-4</v>
      </c>
      <c r="G386" s="3">
        <f t="shared" si="389"/>
        <v>3.444457645749161E-4</v>
      </c>
      <c r="H386" s="3">
        <f t="shared" si="389"/>
        <v>3.4444576457491599E-4</v>
      </c>
      <c r="I386" s="3">
        <f t="shared" si="389"/>
        <v>3.4444576457491485E-4</v>
      </c>
      <c r="J386" s="3">
        <f t="shared" si="389"/>
        <v>3.4444576457490352E-4</v>
      </c>
      <c r="K386" s="3">
        <f t="shared" si="389"/>
        <v>3.4444576457479023E-4</v>
      </c>
      <c r="L386" s="3">
        <f t="shared" si="389"/>
        <v>3.4444576457365734E-4</v>
      </c>
      <c r="M386" s="3">
        <f t="shared" si="389"/>
        <v>3.4444576456232851E-4</v>
      </c>
      <c r="N386" s="3">
        <f t="shared" si="389"/>
        <v>3.4444576444904034E-4</v>
      </c>
      <c r="O386" s="3">
        <f t="shared" si="389"/>
        <v>3.4444576331615868E-4</v>
      </c>
      <c r="P386" s="3">
        <f t="shared" si="389"/>
        <v>3.4444575198734216E-4</v>
      </c>
      <c r="Q386" s="3">
        <f t="shared" si="389"/>
        <v>3.4444563869919707E-4</v>
      </c>
      <c r="R386" s="3">
        <f t="shared" si="389"/>
        <v>3.4444450581979611E-4</v>
      </c>
      <c r="S386" s="3">
        <f t="shared" si="389"/>
        <v>3.4443317723071616E-4</v>
      </c>
      <c r="T386" s="3">
        <f t="shared" si="389"/>
        <v>3.4431991183040106E-4</v>
      </c>
      <c r="U386" s="3">
        <f t="shared" si="389"/>
        <v>3.4318930438433456E-4</v>
      </c>
      <c r="V386" s="3">
        <f t="shared" si="389"/>
        <v>3.3208541687511063E-4</v>
      </c>
      <c r="W386" s="3">
        <f t="shared" si="389"/>
        <v>2.3900688135602784E-4</v>
      </c>
      <c r="X386" s="3">
        <f t="shared" si="389"/>
        <v>8.9128461715862962E-6</v>
      </c>
      <c r="Y386" s="3">
        <f t="shared" si="389"/>
        <v>4.6352853031267081E-20</v>
      </c>
      <c r="Z386" s="3">
        <f t="shared" si="389"/>
        <v>6.7092977009030986E-163</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6.1014336776090067E-4</v>
      </c>
      <c r="C387" s="3">
        <f t="shared" si="390"/>
        <v>6.1014336776090067E-4</v>
      </c>
      <c r="D387" s="3">
        <f t="shared" si="390"/>
        <v>6.1014336776090067E-4</v>
      </c>
      <c r="E387" s="3">
        <f t="shared" si="390"/>
        <v>6.1014336776090067E-4</v>
      </c>
      <c r="F387" s="3">
        <f t="shared" si="390"/>
        <v>6.1014336776090067E-4</v>
      </c>
      <c r="G387" s="3">
        <f t="shared" si="390"/>
        <v>6.1014336776090067E-4</v>
      </c>
      <c r="H387" s="3">
        <f t="shared" si="390"/>
        <v>6.1014336776090057E-4</v>
      </c>
      <c r="I387" s="3">
        <f t="shared" si="390"/>
        <v>6.1014336776090002E-4</v>
      </c>
      <c r="J387" s="3">
        <f t="shared" si="390"/>
        <v>6.1014336776089449E-4</v>
      </c>
      <c r="K387" s="3">
        <f t="shared" si="390"/>
        <v>6.1014336776083898E-4</v>
      </c>
      <c r="L387" s="3">
        <f t="shared" si="390"/>
        <v>6.1014336776028398E-4</v>
      </c>
      <c r="M387" s="3">
        <f t="shared" si="390"/>
        <v>6.1014336775473384E-4</v>
      </c>
      <c r="N387" s="3">
        <f t="shared" si="390"/>
        <v>6.101433676992318E-4</v>
      </c>
      <c r="O387" s="3">
        <f t="shared" si="390"/>
        <v>6.1014336714421201E-4</v>
      </c>
      <c r="P387" s="3">
        <f t="shared" si="390"/>
        <v>6.1014336159401423E-4</v>
      </c>
      <c r="Q387" s="3">
        <f t="shared" si="390"/>
        <v>6.1014330609203936E-4</v>
      </c>
      <c r="R387" s="3">
        <f t="shared" si="390"/>
        <v>6.1014275107256811E-4</v>
      </c>
      <c r="S387" s="3">
        <f t="shared" si="390"/>
        <v>6.1013720090562337E-4</v>
      </c>
      <c r="T387" s="3">
        <f t="shared" si="390"/>
        <v>6.1008170201289308E-4</v>
      </c>
      <c r="U387" s="3">
        <f t="shared" si="390"/>
        <v>6.0952699066376347E-4</v>
      </c>
      <c r="V387" s="3">
        <f t="shared" si="390"/>
        <v>6.0400754179165618E-4</v>
      </c>
      <c r="W387" s="3">
        <f t="shared" si="390"/>
        <v>5.5148862595822063E-4</v>
      </c>
      <c r="X387" s="3">
        <f t="shared" si="390"/>
        <v>2.2206419761187584E-4</v>
      </c>
      <c r="Y387" s="3">
        <f t="shared" si="390"/>
        <v>2.4882751086299491E-8</v>
      </c>
      <c r="Z387" s="3">
        <f t="shared" si="390"/>
        <v>7.7642032817856128E-48</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2.2250933466635417E-4</v>
      </c>
      <c r="C388" s="3">
        <f t="shared" si="391"/>
        <v>2.2250933466635417E-4</v>
      </c>
      <c r="D388" s="3">
        <f t="shared" si="391"/>
        <v>2.2250933466635417E-4</v>
      </c>
      <c r="E388" s="3">
        <f t="shared" si="391"/>
        <v>2.2250933466635417E-4</v>
      </c>
      <c r="F388" s="3">
        <f t="shared" si="391"/>
        <v>2.2250933466635417E-4</v>
      </c>
      <c r="G388" s="3">
        <f t="shared" si="391"/>
        <v>2.2250933466635417E-4</v>
      </c>
      <c r="H388" s="3">
        <f t="shared" si="391"/>
        <v>2.2250933466635417E-4</v>
      </c>
      <c r="I388" s="3">
        <f t="shared" si="391"/>
        <v>2.2250933466635414E-4</v>
      </c>
      <c r="J388" s="3">
        <f t="shared" si="391"/>
        <v>2.2250933466635395E-4</v>
      </c>
      <c r="K388" s="3">
        <f t="shared" si="391"/>
        <v>2.2250933466635192E-4</v>
      </c>
      <c r="L388" s="3">
        <f t="shared" si="391"/>
        <v>2.225093346663317E-4</v>
      </c>
      <c r="M388" s="3">
        <f t="shared" si="391"/>
        <v>2.2250933466612928E-4</v>
      </c>
      <c r="N388" s="3">
        <f t="shared" si="391"/>
        <v>2.2250933466410521E-4</v>
      </c>
      <c r="O388" s="3">
        <f t="shared" si="391"/>
        <v>2.2250933464386453E-4</v>
      </c>
      <c r="P388" s="3">
        <f t="shared" si="391"/>
        <v>2.2250933444145789E-4</v>
      </c>
      <c r="Q388" s="3">
        <f t="shared" si="391"/>
        <v>2.2250933241739127E-4</v>
      </c>
      <c r="R388" s="3">
        <f t="shared" si="391"/>
        <v>2.2250931217672628E-4</v>
      </c>
      <c r="S388" s="3">
        <f t="shared" si="391"/>
        <v>2.2250910977017759E-4</v>
      </c>
      <c r="T388" s="3">
        <f t="shared" si="391"/>
        <v>2.2250708571481715E-4</v>
      </c>
      <c r="U388" s="3">
        <f t="shared" si="391"/>
        <v>2.2248684617383606E-4</v>
      </c>
      <c r="V388" s="3">
        <f t="shared" si="391"/>
        <v>2.222845519922576E-4</v>
      </c>
      <c r="W388" s="3">
        <f t="shared" si="391"/>
        <v>2.2027169901187607E-4</v>
      </c>
      <c r="X388" s="3">
        <f t="shared" si="391"/>
        <v>2.0111890700107209E-4</v>
      </c>
      <c r="Y388" s="3">
        <f t="shared" si="391"/>
        <v>8.0983190959144067E-5</v>
      </c>
      <c r="Z388" s="3">
        <f t="shared" si="391"/>
        <v>9.0743334787024479E-9</v>
      </c>
      <c r="AA388" s="3">
        <f t="shared" si="391"/>
        <v>2.8314783012136988E-48</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3.0514987252664002E-4</v>
      </c>
      <c r="C389" s="3">
        <f t="shared" si="392"/>
        <v>3.0514987252664002E-4</v>
      </c>
      <c r="D389" s="3">
        <f t="shared" si="392"/>
        <v>3.0514987252664002E-4</v>
      </c>
      <c r="E389" s="3">
        <f t="shared" si="392"/>
        <v>3.0514987252664002E-4</v>
      </c>
      <c r="F389" s="3">
        <f t="shared" si="392"/>
        <v>3.0514987252664002E-4</v>
      </c>
      <c r="G389" s="3">
        <f t="shared" si="392"/>
        <v>3.0514987252664002E-4</v>
      </c>
      <c r="H389" s="3">
        <f t="shared" si="392"/>
        <v>3.0514987252664002E-4</v>
      </c>
      <c r="I389" s="3">
        <f t="shared" si="392"/>
        <v>3.0514987252664002E-4</v>
      </c>
      <c r="J389" s="3">
        <f t="shared" si="392"/>
        <v>3.0514987252663997E-4</v>
      </c>
      <c r="K389" s="3">
        <f t="shared" si="392"/>
        <v>3.051498725266397E-4</v>
      </c>
      <c r="L389" s="3">
        <f t="shared" si="392"/>
        <v>3.0514987252663693E-4</v>
      </c>
      <c r="M389" s="3">
        <f t="shared" si="392"/>
        <v>3.0514987252660918E-4</v>
      </c>
      <c r="N389" s="3">
        <f t="shared" si="392"/>
        <v>3.0514987252633157E-4</v>
      </c>
      <c r="O389" s="3">
        <f t="shared" si="392"/>
        <v>3.051498725235558E-4</v>
      </c>
      <c r="P389" s="3">
        <f t="shared" si="392"/>
        <v>3.0514987249579773E-4</v>
      </c>
      <c r="Q389" s="3">
        <f t="shared" si="392"/>
        <v>3.0514987221821671E-4</v>
      </c>
      <c r="R389" s="3">
        <f t="shared" si="392"/>
        <v>3.0514986944240653E-4</v>
      </c>
      <c r="S389" s="3">
        <f t="shared" si="392"/>
        <v>3.0514984168430662E-4</v>
      </c>
      <c r="T389" s="3">
        <f t="shared" si="392"/>
        <v>3.0514956410344636E-4</v>
      </c>
      <c r="U389" s="3">
        <f t="shared" si="392"/>
        <v>3.0514678830873129E-4</v>
      </c>
      <c r="V389" s="3">
        <f t="shared" si="392"/>
        <v>3.0511903175029458E-4</v>
      </c>
      <c r="W389" s="3">
        <f t="shared" si="392"/>
        <v>3.0484160499058533E-4</v>
      </c>
      <c r="X389" s="3">
        <f t="shared" si="392"/>
        <v>3.0208117324825282E-4</v>
      </c>
      <c r="Y389" s="3">
        <f t="shared" si="392"/>
        <v>2.7581498513803407E-4</v>
      </c>
      <c r="Z389" s="3">
        <f t="shared" si="392"/>
        <v>1.1106055588651259E-4</v>
      </c>
      <c r="AA389" s="3">
        <f t="shared" si="392"/>
        <v>1.2444564217687095E-8</v>
      </c>
      <c r="AB389" s="3">
        <f t="shared" si="392"/>
        <v>3.8830966079373094E-48</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6.2164799219330605E-5</v>
      </c>
      <c r="C391" s="3">
        <f t="shared" si="394"/>
        <v>6.2164799219330605E-5</v>
      </c>
      <c r="D391" s="3">
        <f t="shared" si="394"/>
        <v>6.2164799219330605E-5</v>
      </c>
      <c r="E391" s="3">
        <f t="shared" si="394"/>
        <v>6.2164799219330605E-5</v>
      </c>
      <c r="F391" s="3">
        <f t="shared" si="394"/>
        <v>6.2164799219330605E-5</v>
      </c>
      <c r="G391" s="3">
        <f t="shared" si="394"/>
        <v>6.2164799219330605E-5</v>
      </c>
      <c r="H391" s="3">
        <f t="shared" si="394"/>
        <v>6.2164799219330605E-5</v>
      </c>
      <c r="I391" s="3">
        <f t="shared" si="394"/>
        <v>6.2164799219330605E-5</v>
      </c>
      <c r="J391" s="3">
        <f t="shared" si="394"/>
        <v>6.2164799219330605E-5</v>
      </c>
      <c r="K391" s="3">
        <f t="shared" si="394"/>
        <v>6.2164799219330605E-5</v>
      </c>
      <c r="L391" s="3">
        <f t="shared" si="394"/>
        <v>6.2164799219330592E-5</v>
      </c>
      <c r="M391" s="3">
        <f t="shared" si="394"/>
        <v>6.2164799219330537E-5</v>
      </c>
      <c r="N391" s="3">
        <f t="shared" si="394"/>
        <v>6.2164799219329982E-5</v>
      </c>
      <c r="O391" s="3">
        <f t="shared" si="394"/>
        <v>6.216479921932433E-5</v>
      </c>
      <c r="P391" s="3">
        <f t="shared" si="394"/>
        <v>6.2164799219267776E-5</v>
      </c>
      <c r="Q391" s="3">
        <f t="shared" si="394"/>
        <v>6.2164799218702296E-5</v>
      </c>
      <c r="R391" s="3">
        <f t="shared" si="394"/>
        <v>6.2164799213047437E-5</v>
      </c>
      <c r="S391" s="3">
        <f t="shared" si="394"/>
        <v>6.2164799156498934E-5</v>
      </c>
      <c r="T391" s="3">
        <f t="shared" si="394"/>
        <v>6.2164798591013925E-5</v>
      </c>
      <c r="U391" s="3">
        <f t="shared" si="394"/>
        <v>6.2164792936164086E-5</v>
      </c>
      <c r="V391" s="3">
        <f t="shared" si="394"/>
        <v>6.2164736387693969E-5</v>
      </c>
      <c r="W391" s="3">
        <f t="shared" si="394"/>
        <v>6.2164170905822043E-5</v>
      </c>
      <c r="X391" s="3">
        <f t="shared" si="394"/>
        <v>6.2158516370010007E-5</v>
      </c>
      <c r="Y391" s="3">
        <f t="shared" si="394"/>
        <v>6.2101999293097618E-5</v>
      </c>
      <c r="Z391" s="3">
        <f t="shared" si="394"/>
        <v>6.1539647149215314E-5</v>
      </c>
      <c r="AA391" s="3">
        <f t="shared" si="394"/>
        <v>5.6188727954627192E-5</v>
      </c>
      <c r="AB391" s="3">
        <f t="shared" si="394"/>
        <v>2.2625135316973028E-5</v>
      </c>
      <c r="AC391" s="3">
        <f t="shared" si="394"/>
        <v>2.535193049759661E-9</v>
      </c>
      <c r="AD391" s="3">
        <f t="shared" si="394"/>
        <v>7.9106020586855305E-49</v>
      </c>
      <c r="AE391" s="3">
        <f t="shared" si="394"/>
        <v>0</v>
      </c>
      <c r="AF391" s="3">
        <f t="shared" si="394"/>
        <v>0</v>
      </c>
      <c r="AG391" s="3"/>
      <c r="AH391" s="3"/>
    </row>
    <row r="392" spans="1:34" x14ac:dyDescent="0.25">
      <c r="B392" s="3">
        <f t="shared" ref="B392:AF392" si="395">$C44*EXP(-B$363/$A44/EXP(-$H$126))</f>
        <v>1.589018825978126E-4</v>
      </c>
      <c r="C392" s="3">
        <f t="shared" si="395"/>
        <v>1.589018825978126E-4</v>
      </c>
      <c r="D392" s="3">
        <f t="shared" si="395"/>
        <v>1.589018825978126E-4</v>
      </c>
      <c r="E392" s="3">
        <f t="shared" si="395"/>
        <v>1.589018825978126E-4</v>
      </c>
      <c r="F392" s="3">
        <f t="shared" si="395"/>
        <v>1.589018825978126E-4</v>
      </c>
      <c r="G392" s="3">
        <f t="shared" si="395"/>
        <v>1.589018825978126E-4</v>
      </c>
      <c r="H392" s="3">
        <f t="shared" si="395"/>
        <v>1.589018825978126E-4</v>
      </c>
      <c r="I392" s="3">
        <f t="shared" si="395"/>
        <v>1.589018825978126E-4</v>
      </c>
      <c r="J392" s="3">
        <f t="shared" si="395"/>
        <v>1.589018825978126E-4</v>
      </c>
      <c r="K392" s="3">
        <f t="shared" si="395"/>
        <v>1.589018825978126E-4</v>
      </c>
      <c r="L392" s="3">
        <f t="shared" si="395"/>
        <v>1.589018825978126E-4</v>
      </c>
      <c r="M392" s="3">
        <f t="shared" si="395"/>
        <v>1.5890188259781257E-4</v>
      </c>
      <c r="N392" s="3">
        <f t="shared" si="395"/>
        <v>1.5890188259781244E-4</v>
      </c>
      <c r="O392" s="3">
        <f t="shared" si="395"/>
        <v>1.58901882597811E-4</v>
      </c>
      <c r="P392" s="3">
        <f t="shared" si="395"/>
        <v>1.5890188259779655E-4</v>
      </c>
      <c r="Q392" s="3">
        <f t="shared" si="395"/>
        <v>1.58901882597652E-4</v>
      </c>
      <c r="R392" s="3">
        <f t="shared" si="395"/>
        <v>1.5890188259620654E-4</v>
      </c>
      <c r="S392" s="3">
        <f t="shared" si="395"/>
        <v>1.5890188258175196E-4</v>
      </c>
      <c r="T392" s="3">
        <f t="shared" si="395"/>
        <v>1.5890188243720613E-4</v>
      </c>
      <c r="U392" s="3">
        <f t="shared" si="395"/>
        <v>1.5890188099174768E-4</v>
      </c>
      <c r="V392" s="3">
        <f t="shared" si="395"/>
        <v>1.589018665371641E-4</v>
      </c>
      <c r="W392" s="3">
        <f t="shared" si="395"/>
        <v>1.5890172199140072E-4</v>
      </c>
      <c r="X392" s="3">
        <f t="shared" si="395"/>
        <v>1.5890027654099866E-4</v>
      </c>
      <c r="Y392" s="3">
        <f t="shared" si="395"/>
        <v>1.588858227601286E-4</v>
      </c>
      <c r="Z392" s="3">
        <f t="shared" si="395"/>
        <v>1.5874135724213315E-4</v>
      </c>
      <c r="AA392" s="3">
        <f t="shared" si="395"/>
        <v>1.5730390686075998E-4</v>
      </c>
      <c r="AB392" s="3">
        <f t="shared" si="395"/>
        <v>1.4362621234028243E-4</v>
      </c>
      <c r="AC392" s="3">
        <f t="shared" si="395"/>
        <v>5.7832996181854066E-5</v>
      </c>
      <c r="AD392" s="3">
        <f t="shared" si="395"/>
        <v>6.4803064341022099E-9</v>
      </c>
      <c r="AE392" s="3">
        <f t="shared" si="395"/>
        <v>2.0220600329975592E-48</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7.8909905102376337E-4</v>
      </c>
      <c r="C396" s="3">
        <f t="shared" si="399"/>
        <v>7.8909905102376337E-4</v>
      </c>
      <c r="D396" s="3">
        <f t="shared" si="399"/>
        <v>7.8909905102376337E-4</v>
      </c>
      <c r="E396" s="3">
        <f t="shared" si="399"/>
        <v>7.8909905102376337E-4</v>
      </c>
      <c r="F396" s="3">
        <f t="shared" si="399"/>
        <v>7.8909905102376337E-4</v>
      </c>
      <c r="G396" s="3">
        <f t="shared" si="399"/>
        <v>7.8909905102376337E-4</v>
      </c>
      <c r="H396" s="3">
        <f t="shared" si="399"/>
        <v>7.8909905102376337E-4</v>
      </c>
      <c r="I396" s="3">
        <f t="shared" si="399"/>
        <v>7.8909905102376337E-4</v>
      </c>
      <c r="J396" s="3">
        <f t="shared" si="399"/>
        <v>7.8909905102376337E-4</v>
      </c>
      <c r="K396" s="3">
        <f t="shared" si="399"/>
        <v>7.8909905102376337E-4</v>
      </c>
      <c r="L396" s="3">
        <f t="shared" si="399"/>
        <v>7.8909905102376337E-4</v>
      </c>
      <c r="M396" s="3">
        <f t="shared" si="399"/>
        <v>7.8909905102376337E-4</v>
      </c>
      <c r="N396" s="3">
        <f t="shared" si="399"/>
        <v>7.8909905102376337E-4</v>
      </c>
      <c r="O396" s="3">
        <f t="shared" si="399"/>
        <v>7.8909905102376337E-4</v>
      </c>
      <c r="P396" s="3">
        <f t="shared" si="399"/>
        <v>7.8909905102376337E-4</v>
      </c>
      <c r="Q396" s="3">
        <f t="shared" si="399"/>
        <v>7.8909905102376326E-4</v>
      </c>
      <c r="R396" s="3">
        <f t="shared" si="399"/>
        <v>7.8909905102376261E-4</v>
      </c>
      <c r="S396" s="3">
        <f t="shared" si="399"/>
        <v>7.8909905102375535E-4</v>
      </c>
      <c r="T396" s="3">
        <f t="shared" si="399"/>
        <v>7.8909905102368368E-4</v>
      </c>
      <c r="U396" s="3">
        <f t="shared" si="399"/>
        <v>7.8909905102296583E-4</v>
      </c>
      <c r="V396" s="3">
        <f t="shared" si="399"/>
        <v>7.8909905101578776E-4</v>
      </c>
      <c r="W396" s="3">
        <f t="shared" si="399"/>
        <v>7.8909905094400696E-4</v>
      </c>
      <c r="X396" s="3">
        <f t="shared" si="399"/>
        <v>7.8909905022619931E-4</v>
      </c>
      <c r="Y396" s="3">
        <f t="shared" si="399"/>
        <v>7.8909904304812282E-4</v>
      </c>
      <c r="Z396" s="3">
        <f t="shared" si="399"/>
        <v>7.8909897126736093E-4</v>
      </c>
      <c r="AA396" s="3">
        <f t="shared" si="399"/>
        <v>7.8909825346010253E-4</v>
      </c>
      <c r="AB396" s="3">
        <f t="shared" si="399"/>
        <v>7.8909107542343042E-4</v>
      </c>
      <c r="AC396" s="3">
        <f t="shared" si="399"/>
        <v>7.8901929864783895E-4</v>
      </c>
      <c r="AD396" s="3">
        <f t="shared" si="399"/>
        <v>7.8830188988406481E-4</v>
      </c>
      <c r="AE396" s="3">
        <f t="shared" si="399"/>
        <v>7.8116358092704483E-4</v>
      </c>
      <c r="AF396" s="3">
        <f t="shared" si="399"/>
        <v>7.1324081255041429E-4</v>
      </c>
      <c r="AG396" s="3"/>
      <c r="AH396" s="3"/>
    </row>
    <row r="397" spans="1:34" x14ac:dyDescent="0.25">
      <c r="A397" s="79">
        <f>AVERAGE(B397:AF397)</f>
        <v>2.2283361406295692E-3</v>
      </c>
      <c r="B397" s="80">
        <f>IF($A$64&lt;=B363,IF($B$64&gt;=B363,ABS((B365-B364)/B364),0),0)</f>
        <v>1.456620118683984E-2</v>
      </c>
      <c r="C397" s="80">
        <f t="shared" ref="C397:AF397" si="400">IF($A$64&lt;=C363,IF($B$64&gt;=C363,ABS((C365-C364)/C364),0),0)</f>
        <v>1.9633022927403692E-2</v>
      </c>
      <c r="D397" s="80">
        <f t="shared" si="400"/>
        <v>5.8178983171538129E-3</v>
      </c>
      <c r="E397" s="80">
        <f t="shared" si="400"/>
        <v>7.2569243925872944E-4</v>
      </c>
      <c r="F397" s="80">
        <f t="shared" si="400"/>
        <v>4.6356082310804512E-4</v>
      </c>
      <c r="G397" s="80">
        <f t="shared" si="400"/>
        <v>3.8619860590430522E-4</v>
      </c>
      <c r="H397" s="80">
        <f t="shared" si="400"/>
        <v>6.3620896843557607E-4</v>
      </c>
      <c r="I397" s="80">
        <f t="shared" si="400"/>
        <v>9.2654194371696169E-4</v>
      </c>
      <c r="J397" s="80">
        <f t="shared" si="400"/>
        <v>1.4247048439877722E-3</v>
      </c>
      <c r="K397" s="80">
        <f t="shared" si="400"/>
        <v>2.2922319705042833E-3</v>
      </c>
      <c r="L397" s="80">
        <f t="shared" si="400"/>
        <v>2.7778661938335641E-3</v>
      </c>
      <c r="M397" s="80">
        <f t="shared" si="400"/>
        <v>2.9105504281012645E-3</v>
      </c>
      <c r="N397" s="80">
        <f t="shared" si="400"/>
        <v>2.8147774336393662E-3</v>
      </c>
      <c r="O397" s="80">
        <f t="shared" si="400"/>
        <v>8.9279031698114865E-4</v>
      </c>
      <c r="P397" s="80">
        <f t="shared" si="400"/>
        <v>6.2645820389511887E-4</v>
      </c>
      <c r="Q397" s="80">
        <f t="shared" si="400"/>
        <v>2.627175242711143E-4</v>
      </c>
      <c r="R397" s="80">
        <f t="shared" si="400"/>
        <v>3.3505096560013624E-4</v>
      </c>
      <c r="S397" s="80">
        <f t="shared" si="400"/>
        <v>7.6431190830298409E-4</v>
      </c>
      <c r="T397" s="80">
        <f t="shared" si="400"/>
        <v>6.3011385883614778E-4</v>
      </c>
      <c r="U397" s="80">
        <f t="shared" si="400"/>
        <v>5.2514080702709348E-4</v>
      </c>
      <c r="V397" s="80">
        <f t="shared" si="400"/>
        <v>3.2058143222833327E-4</v>
      </c>
      <c r="W397" s="80">
        <f t="shared" si="400"/>
        <v>1.9413365884894256E-4</v>
      </c>
      <c r="X397" s="80">
        <f t="shared" si="400"/>
        <v>2.3302473421926004E-4</v>
      </c>
      <c r="Y397" s="80">
        <f t="shared" si="400"/>
        <v>1.2912622234309053E-5</v>
      </c>
      <c r="Z397" s="80">
        <f t="shared" si="400"/>
        <v>2.6453570638603066E-4</v>
      </c>
      <c r="AA397" s="80">
        <f t="shared" si="400"/>
        <v>3.7779279002476566E-4</v>
      </c>
      <c r="AB397" s="80">
        <f t="shared" si="400"/>
        <v>7.4963448172588119E-4</v>
      </c>
      <c r="AC397" s="80">
        <f t="shared" si="400"/>
        <v>9.8655226631633088E-4</v>
      </c>
      <c r="AD397" s="80">
        <f t="shared" si="400"/>
        <v>3.5738151021024746E-3</v>
      </c>
      <c r="AE397" s="80">
        <f t="shared" si="400"/>
        <v>2.8844341696984484E-3</v>
      </c>
      <c r="AF397" s="80">
        <f t="shared" si="400"/>
        <v>6.8963728930920178E-5</v>
      </c>
    </row>
    <row r="398" spans="1:34" x14ac:dyDescent="0.25">
      <c r="B398" s="21">
        <f>(B365-B364)^2</f>
        <v>8061.3209540927473</v>
      </c>
      <c r="C398" s="21">
        <f t="shared" ref="C398:AF398" si="401">(C365-C364)^2</f>
        <v>13155.266764228649</v>
      </c>
      <c r="D398" s="21">
        <f t="shared" si="401"/>
        <v>1045.450839754342</v>
      </c>
      <c r="E398" s="21">
        <f t="shared" si="401"/>
        <v>14.656469589929836</v>
      </c>
      <c r="F398" s="21">
        <f t="shared" si="401"/>
        <v>5.3002604604673991</v>
      </c>
      <c r="G398" s="21">
        <f t="shared" si="401"/>
        <v>3.1849035507981887</v>
      </c>
      <c r="H398" s="21">
        <f t="shared" si="401"/>
        <v>6.9894243545399046</v>
      </c>
      <c r="I398" s="21">
        <f t="shared" si="401"/>
        <v>10.921467194807546</v>
      </c>
      <c r="J398" s="21">
        <f t="shared" si="401"/>
        <v>16.497852442909124</v>
      </c>
      <c r="K398" s="21">
        <f t="shared" si="401"/>
        <v>21.071186556267634</v>
      </c>
      <c r="L398" s="21">
        <f t="shared" si="401"/>
        <v>11.990178933143286</v>
      </c>
      <c r="M398" s="21">
        <f t="shared" si="401"/>
        <v>4.4113530255149351</v>
      </c>
      <c r="N398" s="21">
        <f t="shared" si="401"/>
        <v>1.2978097948874843</v>
      </c>
      <c r="O398" s="21">
        <f t="shared" si="401"/>
        <v>5.6004896615960122E-2</v>
      </c>
      <c r="P398" s="21">
        <f t="shared" si="401"/>
        <v>1.9762085682177886E-2</v>
      </c>
      <c r="Q398" s="21">
        <f t="shared" si="401"/>
        <v>2.8300477195306851E-3</v>
      </c>
      <c r="R398" s="21">
        <f t="shared" si="401"/>
        <v>4.0456356370702617E-3</v>
      </c>
      <c r="S398" s="21">
        <f t="shared" si="401"/>
        <v>1.6855368081315818E-2</v>
      </c>
      <c r="T398" s="21">
        <f t="shared" si="401"/>
        <v>8.0391320707579664E-3</v>
      </c>
      <c r="U398" s="21">
        <f t="shared" si="401"/>
        <v>4.0855290361995564E-3</v>
      </c>
      <c r="V398" s="21">
        <f t="shared" si="401"/>
        <v>1.2272488478506697E-3</v>
      </c>
      <c r="W398" s="21">
        <f t="shared" si="401"/>
        <v>3.9152016374924937E-4</v>
      </c>
      <c r="X398" s="21">
        <f t="shared" si="401"/>
        <v>5.162080347776869E-4</v>
      </c>
      <c r="Y398" s="21">
        <f t="shared" si="401"/>
        <v>1.4957090449009965E-6</v>
      </c>
      <c r="Z398" s="21">
        <f t="shared" si="401"/>
        <v>6.0433176507207953E-4</v>
      </c>
      <c r="AA398" s="21">
        <f t="shared" si="401"/>
        <v>1.2082071609846698E-3</v>
      </c>
      <c r="AB398" s="21">
        <f t="shared" si="401"/>
        <v>4.7319140414768769E-3</v>
      </c>
      <c r="AC398" s="21">
        <f t="shared" si="401"/>
        <v>8.0260789738820556E-3</v>
      </c>
      <c r="AD398" s="21">
        <f t="shared" si="401"/>
        <v>0.10528891261697021</v>
      </c>
      <c r="AE398" s="21">
        <f t="shared" si="401"/>
        <v>6.7627791371573195E-2</v>
      </c>
      <c r="AF398" s="21">
        <f t="shared" si="401"/>
        <v>3.8449495854937633E-5</v>
      </c>
      <c r="AG398" s="3"/>
      <c r="AH398" s="3"/>
    </row>
    <row r="399" spans="1:34" x14ac:dyDescent="0.25">
      <c r="A399" s="71">
        <f>SUM(B399:AF399)</f>
        <v>22358.660748832022</v>
      </c>
      <c r="B399" s="60">
        <f>IF($A$64&lt;=B363,IF($B$64&gt;=B363,ABS(B398),0),0)</f>
        <v>8061.3209540927473</v>
      </c>
      <c r="C399" s="60">
        <f t="shared" ref="C399" si="402">IF($A$64&lt;=C363,IF($B$64&gt;=C363,ABS(C398),0),0)</f>
        <v>13155.266764228649</v>
      </c>
      <c r="D399" s="60">
        <f t="shared" ref="D399" si="403">IF($A$64&lt;=D363,IF($B$64&gt;=D363,ABS(D398),0),0)</f>
        <v>1045.450839754342</v>
      </c>
      <c r="E399" s="60">
        <f t="shared" ref="E399" si="404">IF($A$64&lt;=E363,IF($B$64&gt;=E363,ABS(E398),0),0)</f>
        <v>14.656469589929836</v>
      </c>
      <c r="F399" s="60">
        <f t="shared" ref="F399" si="405">IF($A$64&lt;=F363,IF($B$64&gt;=F363,ABS(F398),0),0)</f>
        <v>5.3002604604673991</v>
      </c>
      <c r="G399" s="60">
        <f t="shared" ref="G399" si="406">IF($A$64&lt;=G363,IF($B$64&gt;=G363,ABS(G398),0),0)</f>
        <v>3.1849035507981887</v>
      </c>
      <c r="H399" s="60">
        <f t="shared" ref="H399" si="407">IF($A$64&lt;=H363,IF($B$64&gt;=H363,ABS(H398),0),0)</f>
        <v>6.9894243545399046</v>
      </c>
      <c r="I399" s="60">
        <f t="shared" ref="I399" si="408">IF($A$64&lt;=I363,IF($B$64&gt;=I363,ABS(I398),0),0)</f>
        <v>10.921467194807546</v>
      </c>
      <c r="J399" s="60">
        <f t="shared" ref="J399" si="409">IF($A$64&lt;=J363,IF($B$64&gt;=J363,ABS(J398),0),0)</f>
        <v>16.497852442909124</v>
      </c>
      <c r="K399" s="60">
        <f t="shared" ref="K399" si="410">IF($A$64&lt;=K363,IF($B$64&gt;=K363,ABS(K398),0),0)</f>
        <v>21.071186556267634</v>
      </c>
      <c r="L399" s="60">
        <f t="shared" ref="L399" si="411">IF($A$64&lt;=L363,IF($B$64&gt;=L363,ABS(L398),0),0)</f>
        <v>11.990178933143286</v>
      </c>
      <c r="M399" s="60">
        <f t="shared" ref="M399" si="412">IF($A$64&lt;=M363,IF($B$64&gt;=M363,ABS(M398),0),0)</f>
        <v>4.4113530255149351</v>
      </c>
      <c r="N399" s="60">
        <f t="shared" ref="N399" si="413">IF($A$64&lt;=N363,IF($B$64&gt;=N363,ABS(N398),0),0)</f>
        <v>1.2978097948874843</v>
      </c>
      <c r="O399" s="60">
        <f t="shared" ref="O399" si="414">IF($A$64&lt;=O363,IF($B$64&gt;=O363,ABS(O398),0),0)</f>
        <v>5.6004896615960122E-2</v>
      </c>
      <c r="P399" s="60">
        <f t="shared" ref="P399" si="415">IF($A$64&lt;=P363,IF($B$64&gt;=P363,ABS(P398),0),0)</f>
        <v>1.9762085682177886E-2</v>
      </c>
      <c r="Q399" s="60">
        <f t="shared" ref="Q399" si="416">IF($A$64&lt;=Q363,IF($B$64&gt;=Q363,ABS(Q398),0),0)</f>
        <v>2.8300477195306851E-3</v>
      </c>
      <c r="R399" s="60">
        <f t="shared" ref="R399" si="417">IF($A$64&lt;=R363,IF($B$64&gt;=R363,ABS(R398),0),0)</f>
        <v>4.0456356370702617E-3</v>
      </c>
      <c r="S399" s="60">
        <f t="shared" ref="S399" si="418">IF($A$64&lt;=S363,IF($B$64&gt;=S363,ABS(S398),0),0)</f>
        <v>1.6855368081315818E-2</v>
      </c>
      <c r="T399" s="60">
        <f t="shared" ref="T399" si="419">IF($A$64&lt;=T363,IF($B$64&gt;=T363,ABS(T398),0),0)</f>
        <v>8.0391320707579664E-3</v>
      </c>
      <c r="U399" s="60">
        <f t="shared" ref="U399" si="420">IF($A$64&lt;=U363,IF($B$64&gt;=U363,ABS(U398),0),0)</f>
        <v>4.0855290361995564E-3</v>
      </c>
      <c r="V399" s="60">
        <f t="shared" ref="V399" si="421">IF($A$64&lt;=V363,IF($B$64&gt;=V363,ABS(V398),0),0)</f>
        <v>1.2272488478506697E-3</v>
      </c>
      <c r="W399" s="60">
        <f t="shared" ref="W399" si="422">IF($A$64&lt;=W363,IF($B$64&gt;=W363,ABS(W398),0),0)</f>
        <v>3.9152016374924937E-4</v>
      </c>
      <c r="X399" s="60">
        <f t="shared" ref="X399" si="423">IF($A$64&lt;=X363,IF($B$64&gt;=X363,ABS(X398),0),0)</f>
        <v>5.162080347776869E-4</v>
      </c>
      <c r="Y399" s="60">
        <f t="shared" ref="Y399" si="424">IF($A$64&lt;=Y363,IF($B$64&gt;=Y363,ABS(Y398),0),0)</f>
        <v>1.4957090449009965E-6</v>
      </c>
      <c r="Z399" s="60">
        <f t="shared" ref="Z399" si="425">IF($A$64&lt;=Z363,IF($B$64&gt;=Z363,ABS(Z398),0),0)</f>
        <v>6.0433176507207953E-4</v>
      </c>
      <c r="AA399" s="60">
        <f t="shared" ref="AA399" si="426">IF($A$64&lt;=AA363,IF($B$64&gt;=AA363,ABS(AA398),0),0)</f>
        <v>1.2082071609846698E-3</v>
      </c>
      <c r="AB399" s="60">
        <f t="shared" ref="AB399" si="427">IF($A$64&lt;=AB363,IF($B$64&gt;=AB363,ABS(AB398),0),0)</f>
        <v>4.7319140414768769E-3</v>
      </c>
      <c r="AC399" s="60">
        <f t="shared" ref="AC399" si="428">IF($A$64&lt;=AC363,IF($B$64&gt;=AC363,ABS(AC398),0),0)</f>
        <v>8.0260789738820556E-3</v>
      </c>
      <c r="AD399" s="60">
        <f t="shared" ref="AD399" si="429">IF($A$64&lt;=AD363,IF($B$64&gt;=AD363,ABS(AD398),0),0)</f>
        <v>0.10528891261697021</v>
      </c>
      <c r="AE399" s="60">
        <f t="shared" ref="AE399" si="430">IF($A$64&lt;=AE363,IF($B$64&gt;=AE363,ABS(AE398),0),0)</f>
        <v>6.7627791371573195E-2</v>
      </c>
      <c r="AF399" s="60">
        <f t="shared" ref="AF399" si="431">IF($A$64&lt;=AF363,IF($B$64&gt;=AF363,ABS(AF398),0),0)</f>
        <v>3.8449495854937633E-5</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162</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-44.26089696904954</v>
      </c>
      <c r="C403" s="107">
        <f t="shared" ref="C403:H403" si="432">IF(C125=$B$2,0,C126)</f>
        <v>-41.268748195236732</v>
      </c>
      <c r="D403" s="107">
        <f t="shared" si="432"/>
        <v>-37.103682773973375</v>
      </c>
      <c r="E403" s="107">
        <f t="shared" si="432"/>
        <v>-31.380759264655154</v>
      </c>
      <c r="F403" s="107">
        <f t="shared" si="432"/>
        <v>-22.562917861738338</v>
      </c>
      <c r="G403" s="107">
        <f t="shared" si="432"/>
        <v>-4.2147836611481173</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5.994275262410036E-35</v>
      </c>
      <c r="C404" s="3">
        <f t="shared" ref="C404:H419" si="433">$A404/EXP(-C$403)</f>
        <v>1.1945666440560854E-33</v>
      </c>
      <c r="D404" s="3">
        <f t="shared" si="433"/>
        <v>7.6926383024802419E-32</v>
      </c>
      <c r="E404" s="3">
        <f t="shared" si="433"/>
        <v>2.3523904814039173E-29</v>
      </c>
      <c r="F404" s="3">
        <f t="shared" si="433"/>
        <v>1.588727002502739E-25</v>
      </c>
      <c r="G404" s="3">
        <f t="shared" si="433"/>
        <v>1.4775517939933971E-17</v>
      </c>
      <c r="H404" s="3">
        <f t="shared" si="433"/>
        <v>1.0000000000000001E-15</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5.9942752624100358E-34</v>
      </c>
      <c r="C405" s="3">
        <f t="shared" si="433"/>
        <v>1.1945666440560853E-32</v>
      </c>
      <c r="D405" s="3">
        <f t="shared" si="433"/>
        <v>7.6926383024802413E-31</v>
      </c>
      <c r="E405" s="3">
        <f t="shared" si="433"/>
        <v>2.3523904814039173E-28</v>
      </c>
      <c r="F405" s="3">
        <f t="shared" si="433"/>
        <v>1.5887270025027388E-24</v>
      </c>
      <c r="G405" s="3">
        <f t="shared" si="433"/>
        <v>1.477551793993397E-16</v>
      </c>
      <c r="H405" s="3">
        <f t="shared" si="433"/>
        <v>1E-14</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5.9942752624100358E-33</v>
      </c>
      <c r="C406" s="3">
        <f t="shared" si="433"/>
        <v>1.1945666440560853E-31</v>
      </c>
      <c r="D406" s="3">
        <f t="shared" si="433"/>
        <v>7.6926383024802411E-30</v>
      </c>
      <c r="E406" s="3">
        <f t="shared" si="433"/>
        <v>2.3523904814039174E-27</v>
      </c>
      <c r="F406" s="3">
        <f t="shared" si="433"/>
        <v>1.5887270025027388E-23</v>
      </c>
      <c r="G406" s="3">
        <f t="shared" si="433"/>
        <v>1.4775517939933971E-15</v>
      </c>
      <c r="H406" s="3">
        <f t="shared" si="433"/>
        <v>1E-13</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5.9942752624100359E-32</v>
      </c>
      <c r="C407" s="3">
        <f t="shared" si="433"/>
        <v>1.1945666440560854E-30</v>
      </c>
      <c r="D407" s="3">
        <f t="shared" si="433"/>
        <v>7.6926383024802411E-29</v>
      </c>
      <c r="E407" s="3">
        <f t="shared" si="433"/>
        <v>2.3523904814039173E-26</v>
      </c>
      <c r="F407" s="3">
        <f t="shared" si="433"/>
        <v>1.5887270025027388E-22</v>
      </c>
      <c r="G407" s="3">
        <f t="shared" si="433"/>
        <v>1.4775517939933969E-14</v>
      </c>
      <c r="H407" s="3">
        <f t="shared" si="433"/>
        <v>9.9999999999999998E-13</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5.9942752624100352E-31</v>
      </c>
      <c r="C408" s="3">
        <f t="shared" si="433"/>
        <v>1.1945666440560853E-29</v>
      </c>
      <c r="D408" s="3">
        <f t="shared" si="433"/>
        <v>7.6926383024802411E-28</v>
      </c>
      <c r="E408" s="3">
        <f t="shared" si="433"/>
        <v>2.3523904814039171E-25</v>
      </c>
      <c r="F408" s="3">
        <f t="shared" si="433"/>
        <v>1.5887270025027388E-21</v>
      </c>
      <c r="G408" s="3">
        <f t="shared" si="433"/>
        <v>1.477551793993397E-13</v>
      </c>
      <c r="H408" s="3">
        <f t="shared" si="433"/>
        <v>9.9999999999999994E-12</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5.9942752624100359E-30</v>
      </c>
      <c r="C409" s="3">
        <f t="shared" si="433"/>
        <v>1.1945666440560853E-28</v>
      </c>
      <c r="D409" s="3">
        <f t="shared" si="433"/>
        <v>7.6926383024802422E-27</v>
      </c>
      <c r="E409" s="3">
        <f t="shared" si="433"/>
        <v>2.3523904814039174E-24</v>
      </c>
      <c r="F409" s="3">
        <f t="shared" si="433"/>
        <v>1.588727002502739E-20</v>
      </c>
      <c r="G409" s="3">
        <f t="shared" si="433"/>
        <v>1.4775517939933972E-12</v>
      </c>
      <c r="H409" s="3">
        <f t="shared" si="433"/>
        <v>1E-10</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5.9942752624100359E-29</v>
      </c>
      <c r="C410" s="3">
        <f t="shared" si="433"/>
        <v>1.1945666440560855E-27</v>
      </c>
      <c r="D410" s="3">
        <f t="shared" si="433"/>
        <v>7.6926383024802419E-26</v>
      </c>
      <c r="E410" s="3">
        <f t="shared" si="433"/>
        <v>2.3523904814039174E-23</v>
      </c>
      <c r="F410" s="3">
        <f t="shared" si="433"/>
        <v>1.588727002502739E-19</v>
      </c>
      <c r="G410" s="3">
        <f t="shared" si="433"/>
        <v>1.477551793993397E-11</v>
      </c>
      <c r="H410" s="3">
        <f t="shared" si="433"/>
        <v>1.0000000000000001E-9</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5.9942752624100359E-28</v>
      </c>
      <c r="C411" s="3">
        <f t="shared" si="433"/>
        <v>1.1945666440560854E-26</v>
      </c>
      <c r="D411" s="3">
        <f t="shared" si="433"/>
        <v>7.6926383024802419E-25</v>
      </c>
      <c r="E411" s="3">
        <f t="shared" si="433"/>
        <v>2.3523904814039174E-22</v>
      </c>
      <c r="F411" s="3">
        <f t="shared" si="433"/>
        <v>1.5887270025027388E-18</v>
      </c>
      <c r="G411" s="3">
        <f t="shared" si="433"/>
        <v>1.4775517939933972E-10</v>
      </c>
      <c r="H411" s="3">
        <f t="shared" si="433"/>
        <v>1E-8</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5.9942752624100354E-27</v>
      </c>
      <c r="C412" s="3">
        <f t="shared" si="433"/>
        <v>1.1945666440560852E-25</v>
      </c>
      <c r="D412" s="3">
        <f t="shared" si="433"/>
        <v>7.6926383024802408E-24</v>
      </c>
      <c r="E412" s="3">
        <f t="shared" si="433"/>
        <v>2.352390481403917E-21</v>
      </c>
      <c r="F412" s="3">
        <f t="shared" si="433"/>
        <v>1.5887270025027388E-17</v>
      </c>
      <c r="G412" s="3">
        <f t="shared" si="433"/>
        <v>1.4775517939933971E-9</v>
      </c>
      <c r="H412" s="3">
        <f t="shared" si="433"/>
        <v>9.9999999999999995E-8</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5.9942752624100355E-26</v>
      </c>
      <c r="C413" s="3">
        <f t="shared" si="433"/>
        <v>1.1945666440560854E-24</v>
      </c>
      <c r="D413" s="3">
        <f t="shared" si="433"/>
        <v>7.6926383024802405E-23</v>
      </c>
      <c r="E413" s="3">
        <f t="shared" si="433"/>
        <v>2.352390481403917E-20</v>
      </c>
      <c r="F413" s="3">
        <f t="shared" si="433"/>
        <v>1.5887270025027388E-16</v>
      </c>
      <c r="G413" s="3">
        <f t="shared" si="433"/>
        <v>1.477551793993397E-8</v>
      </c>
      <c r="H413" s="3">
        <f t="shared" si="433"/>
        <v>9.9999999999999995E-7</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5.994275262410036E-25</v>
      </c>
      <c r="C414" s="3">
        <f t="shared" si="433"/>
        <v>1.1945666440560854E-23</v>
      </c>
      <c r="D414" s="3">
        <f t="shared" si="433"/>
        <v>7.6926383024802424E-22</v>
      </c>
      <c r="E414" s="3">
        <f t="shared" si="433"/>
        <v>2.3523904814039172E-19</v>
      </c>
      <c r="F414" s="3">
        <f t="shared" si="433"/>
        <v>1.588727002502739E-15</v>
      </c>
      <c r="G414" s="3">
        <f t="shared" si="433"/>
        <v>1.4775517939933972E-7</v>
      </c>
      <c r="H414" s="3">
        <f t="shared" si="433"/>
        <v>1.0000000000000001E-5</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5.9942752624100358E-24</v>
      </c>
      <c r="C415" s="3">
        <f t="shared" si="433"/>
        <v>1.1945666440560854E-22</v>
      </c>
      <c r="D415" s="3">
        <f t="shared" si="433"/>
        <v>7.6926383024802424E-21</v>
      </c>
      <c r="E415" s="3">
        <f t="shared" si="433"/>
        <v>2.3523904814039172E-18</v>
      </c>
      <c r="F415" s="3">
        <f t="shared" si="433"/>
        <v>1.588727002502739E-14</v>
      </c>
      <c r="G415" s="3">
        <f t="shared" si="433"/>
        <v>1.477551793993397E-6</v>
      </c>
      <c r="H415" s="3">
        <f t="shared" si="433"/>
        <v>1E-4</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5.9942752624100355E-23</v>
      </c>
      <c r="C416" s="3">
        <f t="shared" si="433"/>
        <v>1.1945666440560853E-21</v>
      </c>
      <c r="D416" s="3">
        <f t="shared" si="433"/>
        <v>7.6926383024802421E-20</v>
      </c>
      <c r="E416" s="3">
        <f t="shared" si="433"/>
        <v>2.3523904814039173E-17</v>
      </c>
      <c r="F416" s="3">
        <f t="shared" si="433"/>
        <v>1.5887270025027389E-13</v>
      </c>
      <c r="G416" s="3">
        <f t="shared" si="433"/>
        <v>1.4775517939933972E-5</v>
      </c>
      <c r="H416" s="3">
        <f t="shared" si="433"/>
        <v>1E-3</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5.9942752624100358E-22</v>
      </c>
      <c r="C417" s="3">
        <f t="shared" si="433"/>
        <v>1.1945666440560854E-20</v>
      </c>
      <c r="D417" s="3">
        <f t="shared" si="433"/>
        <v>7.6926383024802411E-19</v>
      </c>
      <c r="E417" s="3">
        <f t="shared" si="433"/>
        <v>2.3523904814039174E-16</v>
      </c>
      <c r="F417" s="3">
        <f t="shared" si="433"/>
        <v>1.5887270025027389E-12</v>
      </c>
      <c r="G417" s="3">
        <f t="shared" si="433"/>
        <v>1.4775517939933971E-4</v>
      </c>
      <c r="H417" s="3">
        <f t="shared" si="433"/>
        <v>0.01</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5.9942752624100361E-21</v>
      </c>
      <c r="C418" s="3">
        <f t="shared" si="433"/>
        <v>1.1945666440560854E-19</v>
      </c>
      <c r="D418" s="3">
        <f t="shared" si="433"/>
        <v>7.6926383024802417E-18</v>
      </c>
      <c r="E418" s="3">
        <f t="shared" si="433"/>
        <v>2.3523904814039175E-15</v>
      </c>
      <c r="F418" s="3">
        <f t="shared" si="433"/>
        <v>1.588727002502739E-11</v>
      </c>
      <c r="G418" s="3">
        <f t="shared" si="433"/>
        <v>1.4775517939933972E-3</v>
      </c>
      <c r="H418" s="3">
        <f t="shared" si="433"/>
        <v>0.1</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5.9942752624100354E-20</v>
      </c>
      <c r="C419" s="3">
        <f t="shared" si="433"/>
        <v>1.1945666440560854E-18</v>
      </c>
      <c r="D419" s="3">
        <f t="shared" si="433"/>
        <v>7.6926383024802411E-17</v>
      </c>
      <c r="E419" s="3">
        <f t="shared" si="433"/>
        <v>2.3523904814039172E-14</v>
      </c>
      <c r="F419" s="3">
        <f t="shared" si="433"/>
        <v>1.5887270025027388E-10</v>
      </c>
      <c r="G419" s="3">
        <f t="shared" si="433"/>
        <v>1.4775517939933971E-2</v>
      </c>
      <c r="H419" s="3">
        <f t="shared" si="433"/>
        <v>1</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5.9942752624100351E-19</v>
      </c>
      <c r="C420" s="3">
        <f t="shared" si="434"/>
        <v>1.1945666440560853E-17</v>
      </c>
      <c r="D420" s="3">
        <f t="shared" si="434"/>
        <v>7.6926383024802418E-16</v>
      </c>
      <c r="E420" s="3">
        <f t="shared" si="434"/>
        <v>2.3523904814039173E-13</v>
      </c>
      <c r="F420" s="3">
        <f t="shared" si="434"/>
        <v>1.5887270025027388E-9</v>
      </c>
      <c r="G420" s="3">
        <f t="shared" si="434"/>
        <v>0.14775517939933971</v>
      </c>
      <c r="H420" s="3">
        <f t="shared" si="434"/>
        <v>10</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5.9942752624100353E-18</v>
      </c>
      <c r="C421" s="3">
        <f t="shared" si="434"/>
        <v>1.1945666440560852E-16</v>
      </c>
      <c r="D421" s="3">
        <f t="shared" si="434"/>
        <v>7.6926383024802416E-15</v>
      </c>
      <c r="E421" s="3">
        <f t="shared" si="434"/>
        <v>2.3523904814039173E-12</v>
      </c>
      <c r="F421" s="3">
        <f t="shared" si="434"/>
        <v>1.5887270025027387E-8</v>
      </c>
      <c r="G421" s="3">
        <f t="shared" si="434"/>
        <v>1.4775517939933971</v>
      </c>
      <c r="H421" s="3">
        <f t="shared" si="434"/>
        <v>100</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5.994275262410036E-17</v>
      </c>
      <c r="C422" s="3">
        <f t="shared" si="434"/>
        <v>1.1945666440560853E-15</v>
      </c>
      <c r="D422" s="3">
        <f t="shared" si="434"/>
        <v>7.6926383024802413E-14</v>
      </c>
      <c r="E422" s="3">
        <f t="shared" si="434"/>
        <v>2.3523904814039173E-11</v>
      </c>
      <c r="F422" s="3">
        <f t="shared" si="434"/>
        <v>1.5887270025027388E-7</v>
      </c>
      <c r="G422" s="3">
        <f t="shared" si="434"/>
        <v>14.775517939933971</v>
      </c>
      <c r="H422" s="3">
        <f t="shared" si="434"/>
        <v>1000</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5.9942752624100355E-16</v>
      </c>
      <c r="C423" s="3">
        <f t="shared" si="434"/>
        <v>1.1945666440560853E-14</v>
      </c>
      <c r="D423" s="3">
        <f t="shared" si="434"/>
        <v>7.6926383024802415E-13</v>
      </c>
      <c r="E423" s="3">
        <f t="shared" si="434"/>
        <v>2.352390481403917E-10</v>
      </c>
      <c r="F423" s="3">
        <f t="shared" si="434"/>
        <v>1.5887270025027389E-6</v>
      </c>
      <c r="G423" s="3">
        <f t="shared" si="434"/>
        <v>147.75517939933971</v>
      </c>
      <c r="H423" s="3">
        <f t="shared" si="434"/>
        <v>10000</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5.9942752624100357E-15</v>
      </c>
      <c r="C424" s="3">
        <f t="shared" si="434"/>
        <v>1.1945666440560855E-13</v>
      </c>
      <c r="D424" s="3">
        <f t="shared" si="434"/>
        <v>7.6926383024802422E-12</v>
      </c>
      <c r="E424" s="3">
        <f t="shared" si="434"/>
        <v>2.352390481403917E-9</v>
      </c>
      <c r="F424" s="3">
        <f t="shared" si="434"/>
        <v>1.5887270025027388E-5</v>
      </c>
      <c r="G424" s="3">
        <f t="shared" si="434"/>
        <v>1477.551793993397</v>
      </c>
      <c r="H424" s="3">
        <f t="shared" si="434"/>
        <v>100000</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5.9942752624100355E-14</v>
      </c>
      <c r="C425" s="3">
        <f t="shared" si="434"/>
        <v>1.1945666440560854E-12</v>
      </c>
      <c r="D425" s="3">
        <f t="shared" si="434"/>
        <v>7.6926383024802415E-11</v>
      </c>
      <c r="E425" s="3">
        <f t="shared" si="434"/>
        <v>2.3523904814039173E-8</v>
      </c>
      <c r="F425" s="3">
        <f t="shared" si="434"/>
        <v>1.5887270025027387E-4</v>
      </c>
      <c r="G425" s="3">
        <f t="shared" si="434"/>
        <v>14775.51793993397</v>
      </c>
      <c r="H425" s="3">
        <f t="shared" si="434"/>
        <v>1000000</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5.9942752624100355E-13</v>
      </c>
      <c r="C426" s="3">
        <f t="shared" si="434"/>
        <v>1.1945666440560854E-11</v>
      </c>
      <c r="D426" s="3">
        <f t="shared" si="434"/>
        <v>7.692638302480241E-10</v>
      </c>
      <c r="E426" s="3">
        <f t="shared" si="434"/>
        <v>2.3523904814039171E-7</v>
      </c>
      <c r="F426" s="3">
        <f t="shared" si="434"/>
        <v>1.5887270025027387E-3</v>
      </c>
      <c r="G426" s="3">
        <f t="shared" si="434"/>
        <v>147755.17939933972</v>
      </c>
      <c r="H426" s="3">
        <f t="shared" si="434"/>
        <v>10000000</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5.9942752624100359E-12</v>
      </c>
      <c r="C427" s="3">
        <f t="shared" si="434"/>
        <v>1.1945666440560854E-10</v>
      </c>
      <c r="D427" s="3">
        <f t="shared" si="434"/>
        <v>7.6926383024802418E-9</v>
      </c>
      <c r="E427" s="3">
        <f t="shared" si="434"/>
        <v>2.3523904814039172E-6</v>
      </c>
      <c r="F427" s="3">
        <f t="shared" si="434"/>
        <v>1.5887270025027388E-2</v>
      </c>
      <c r="G427" s="3">
        <f t="shared" si="434"/>
        <v>1477551.7939933972</v>
      </c>
      <c r="H427" s="3">
        <f t="shared" si="434"/>
        <v>100000000</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5.9942752624100354E-11</v>
      </c>
      <c r="C428" s="3">
        <f t="shared" si="434"/>
        <v>1.1945666440560854E-9</v>
      </c>
      <c r="D428" s="3">
        <f t="shared" si="434"/>
        <v>7.6926383024802418E-8</v>
      </c>
      <c r="E428" s="3">
        <f t="shared" si="434"/>
        <v>2.3523904814039172E-5</v>
      </c>
      <c r="F428" s="3">
        <f t="shared" si="434"/>
        <v>0.15887270025027389</v>
      </c>
      <c r="G428" s="3">
        <f t="shared" si="434"/>
        <v>14775517.939933971</v>
      </c>
      <c r="H428" s="3">
        <f t="shared" si="434"/>
        <v>1000000000</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5.9942752624100357E-10</v>
      </c>
      <c r="C429" s="3">
        <f t="shared" si="434"/>
        <v>1.1945666440560854E-8</v>
      </c>
      <c r="D429" s="3">
        <f t="shared" si="434"/>
        <v>7.6926383024802413E-7</v>
      </c>
      <c r="E429" s="3">
        <f t="shared" si="434"/>
        <v>2.3523904814039173E-4</v>
      </c>
      <c r="F429" s="3">
        <f t="shared" si="434"/>
        <v>1.5887270025027389</v>
      </c>
      <c r="G429" s="3">
        <f t="shared" si="434"/>
        <v>147755179.39933971</v>
      </c>
      <c r="H429" s="3">
        <f t="shared" si="434"/>
        <v>10000000000</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5.9942752624100359E-9</v>
      </c>
      <c r="C430" s="3">
        <f t="shared" si="434"/>
        <v>1.1945666440560854E-7</v>
      </c>
      <c r="D430" s="3">
        <f t="shared" si="434"/>
        <v>7.6926383024802415E-6</v>
      </c>
      <c r="E430" s="3">
        <f t="shared" si="434"/>
        <v>2.3523904814039174E-3</v>
      </c>
      <c r="F430" s="3">
        <f t="shared" si="434"/>
        <v>15.887270025027387</v>
      </c>
      <c r="G430" s="3">
        <f t="shared" si="434"/>
        <v>1477551793.993397</v>
      </c>
      <c r="H430" s="3">
        <f t="shared" si="434"/>
        <v>100000000000</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5.9942752624100357E-8</v>
      </c>
      <c r="C431" s="3">
        <f t="shared" si="434"/>
        <v>1.1945666440560853E-6</v>
      </c>
      <c r="D431" s="3">
        <f t="shared" si="434"/>
        <v>7.6926383024802415E-5</v>
      </c>
      <c r="E431" s="3">
        <f t="shared" si="434"/>
        <v>2.3523904814039171E-2</v>
      </c>
      <c r="F431" s="3">
        <f t="shared" si="434"/>
        <v>158.87270025027388</v>
      </c>
      <c r="G431" s="3">
        <f t="shared" si="434"/>
        <v>14775517939.933971</v>
      </c>
      <c r="H431" s="3">
        <f t="shared" si="434"/>
        <v>1000000000000</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5.9942752624100357E-7</v>
      </c>
      <c r="C432" s="3">
        <f t="shared" si="434"/>
        <v>1.1945666440560854E-5</v>
      </c>
      <c r="D432" s="3">
        <f t="shared" si="434"/>
        <v>7.6926383024802415E-4</v>
      </c>
      <c r="E432" s="3">
        <f t="shared" si="434"/>
        <v>0.23523904814039173</v>
      </c>
      <c r="F432" s="3">
        <f t="shared" si="434"/>
        <v>1588.7270025027387</v>
      </c>
      <c r="G432" s="3">
        <f t="shared" si="434"/>
        <v>147755179399.33969</v>
      </c>
      <c r="H432" s="3">
        <f t="shared" si="434"/>
        <v>10000000000000</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5.9942752624100357E-6</v>
      </c>
      <c r="C433" s="3">
        <f t="shared" si="434"/>
        <v>1.1945666440560854E-4</v>
      </c>
      <c r="D433" s="3">
        <f t="shared" si="434"/>
        <v>7.6926383024802413E-3</v>
      </c>
      <c r="E433" s="3">
        <f t="shared" si="434"/>
        <v>2.3523904814039174</v>
      </c>
      <c r="F433" s="3">
        <f t="shared" si="434"/>
        <v>15887.270025027388</v>
      </c>
      <c r="G433" s="3">
        <f t="shared" si="434"/>
        <v>1477551793993.397</v>
      </c>
      <c r="H433" s="3">
        <f t="shared" si="434"/>
        <v>100000000000000</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5.9942752624100354E-5</v>
      </c>
      <c r="C434" s="3">
        <f t="shared" si="434"/>
        <v>1.1945666440560854E-3</v>
      </c>
      <c r="D434" s="3">
        <f t="shared" si="434"/>
        <v>7.6926383024802411E-2</v>
      </c>
      <c r="E434" s="3">
        <f t="shared" si="434"/>
        <v>23.523904814039174</v>
      </c>
      <c r="F434" s="3">
        <f t="shared" si="434"/>
        <v>158872.70025027389</v>
      </c>
      <c r="G434" s="3">
        <f t="shared" si="434"/>
        <v>14775517939933.971</v>
      </c>
      <c r="H434" s="3">
        <f t="shared" si="434"/>
        <v>1000000000000000</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-44.26089696904954</v>
      </c>
      <c r="M1" s="54">
        <v>1</v>
      </c>
      <c r="N1" s="56">
        <f>INDEX($H$217:$P$217,1,Q1)</f>
        <v>0.1473195179675631</v>
      </c>
      <c r="O1" s="11"/>
      <c r="P1" s="55">
        <v>1</v>
      </c>
      <c r="Q1" s="11">
        <v>2</v>
      </c>
    </row>
    <row r="2" spans="1:17" x14ac:dyDescent="0.25">
      <c r="A2" s="11">
        <f>'Mastercurve bestimmen'!M119</f>
        <v>0</v>
      </c>
      <c r="B2" s="11">
        <f>'Mastercurve bestimmen'!N119</f>
        <v>-41.268748195236732</v>
      </c>
      <c r="M2" s="54">
        <v>2</v>
      </c>
      <c r="N2" s="56">
        <f t="shared" ref="N2:N9" si="0">INDEX($H$217:$P$217,1,Q2)</f>
        <v>1.359348832498047E-2</v>
      </c>
      <c r="O2" s="11"/>
      <c r="P2" s="55">
        <v>2</v>
      </c>
      <c r="Q2" s="11">
        <f>Q1+1</f>
        <v>3</v>
      </c>
    </row>
    <row r="3" spans="1:17" x14ac:dyDescent="0.25">
      <c r="A3" s="11">
        <f>'Mastercurve bestimmen'!M120</f>
        <v>25</v>
      </c>
      <c r="B3" s="11">
        <f>'Mastercurve bestimmen'!N120</f>
        <v>-37.103682773973375</v>
      </c>
      <c r="M3" s="54">
        <v>3</v>
      </c>
      <c r="N3" s="56">
        <f t="shared" si="0"/>
        <v>6.4361740415686821E-4</v>
      </c>
      <c r="O3" s="11"/>
      <c r="P3" s="55">
        <v>3</v>
      </c>
      <c r="Q3" s="11">
        <f t="shared" ref="Q3:Q8" si="1">Q2+1</f>
        <v>4</v>
      </c>
    </row>
    <row r="4" spans="1:17" x14ac:dyDescent="0.25">
      <c r="A4" s="11">
        <f>'Mastercurve bestimmen'!M121</f>
        <v>50</v>
      </c>
      <c r="B4" s="11">
        <f>'Mastercurve bestimmen'!N121</f>
        <v>-31.380759264655154</v>
      </c>
      <c r="M4" s="54">
        <v>4</v>
      </c>
      <c r="N4" s="56">
        <f t="shared" si="0"/>
        <v>1.04871837428242E-5</v>
      </c>
      <c r="O4" s="11"/>
      <c r="P4" s="55">
        <v>4</v>
      </c>
      <c r="Q4" s="11">
        <f t="shared" si="1"/>
        <v>5</v>
      </c>
    </row>
    <row r="5" spans="1:17" x14ac:dyDescent="0.25">
      <c r="A5" s="11">
        <f>'Mastercurve bestimmen'!M122</f>
        <v>80</v>
      </c>
      <c r="B5" s="11">
        <f>'Mastercurve bestimmen'!N122</f>
        <v>-22.562917861738338</v>
      </c>
      <c r="M5" s="54">
        <v>5</v>
      </c>
      <c r="N5" s="56">
        <f t="shared" si="0"/>
        <v>8.4755934128179531E-8</v>
      </c>
      <c r="O5" s="11"/>
      <c r="P5" s="55">
        <v>5</v>
      </c>
      <c r="Q5" s="11">
        <f t="shared" si="1"/>
        <v>6</v>
      </c>
    </row>
    <row r="6" spans="1:17" x14ac:dyDescent="0.25">
      <c r="A6" s="11">
        <f>'Mastercurve bestimmen'!M123</f>
        <v>125</v>
      </c>
      <c r="B6" s="11">
        <f>'Mastercurve bestimmen'!N123</f>
        <v>-4.2147836611481173</v>
      </c>
      <c r="M6" s="54">
        <v>6</v>
      </c>
      <c r="N6" s="56">
        <f t="shared" si="0"/>
        <v>3.6398089481908068E-10</v>
      </c>
      <c r="O6" s="11"/>
      <c r="P6" s="55">
        <v>6</v>
      </c>
      <c r="Q6" s="11">
        <f t="shared" si="1"/>
        <v>7</v>
      </c>
    </row>
    <row r="7" spans="1:17" x14ac:dyDescent="0.25">
      <c r="A7" s="11">
        <f>'Mastercurve bestimmen'!M124</f>
        <v>160</v>
      </c>
      <c r="B7" s="11">
        <f>'Mastercurve bestimmen'!N124</f>
        <v>0</v>
      </c>
      <c r="M7" s="54">
        <v>7</v>
      </c>
      <c r="N7" s="56">
        <f t="shared" si="0"/>
        <v>7.7985488329269601E-13</v>
      </c>
      <c r="O7" s="11"/>
      <c r="P7" s="55">
        <v>7</v>
      </c>
      <c r="Q7" s="11">
        <f t="shared" si="1"/>
        <v>8</v>
      </c>
    </row>
    <row r="8" spans="1:17" x14ac:dyDescent="0.25">
      <c r="A8" s="11"/>
      <c r="B8" s="11"/>
      <c r="M8" s="54">
        <v>8</v>
      </c>
      <c r="N8" s="56">
        <f t="shared" si="0"/>
        <v>6.3280155537831774E-16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-44.26089696904954</v>
      </c>
      <c r="E15" s="11">
        <f>A15-'Mastercurve bestimmen'!$B$2</f>
        <v>-200</v>
      </c>
      <c r="F15" s="11">
        <f>B15</f>
        <v>-44.26089696904954</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-44.209069751636108</v>
      </c>
      <c r="E16" s="11">
        <f>A16-'Mastercurve bestimmen'!$B$2</f>
        <v>-199</v>
      </c>
      <c r="F16" s="11">
        <f t="shared" ref="F16:F79" si="4">B16</f>
        <v>-44.209069751636108</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-44.157156318455577</v>
      </c>
      <c r="E17" s="11">
        <f>A17-'Mastercurve bestimmen'!$B$2</f>
        <v>-198</v>
      </c>
      <c r="F17" s="11">
        <f t="shared" si="4"/>
        <v>-44.157156318455577</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-44.105070453740851</v>
      </c>
      <c r="E18" s="11">
        <f>A18-'Mastercurve bestimmen'!$B$2</f>
        <v>-197</v>
      </c>
      <c r="F18" s="11">
        <f t="shared" si="4"/>
        <v>-44.105070453740851</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-44.05272594172483</v>
      </c>
      <c r="E19" s="11">
        <f>A19-'Mastercurve bestimmen'!$B$2</f>
        <v>-196</v>
      </c>
      <c r="F19" s="11">
        <f t="shared" si="4"/>
        <v>-44.05272594172483</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-44.000036566640411</v>
      </c>
      <c r="E20" s="11">
        <f>A20-'Mastercurve bestimmen'!$B$2</f>
        <v>-195</v>
      </c>
      <c r="F20" s="11">
        <f t="shared" si="4"/>
        <v>-44.000036566640411</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-43.946916112720494</v>
      </c>
      <c r="E21" s="11">
        <f>A21-'Mastercurve bestimmen'!$B$2</f>
        <v>-194</v>
      </c>
      <c r="F21" s="11">
        <f t="shared" si="4"/>
        <v>-43.946916112720494</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-43.893278364197982</v>
      </c>
      <c r="E22" s="11">
        <f>A22-'Mastercurve bestimmen'!$B$2</f>
        <v>-193</v>
      </c>
      <c r="F22" s="11">
        <f t="shared" si="4"/>
        <v>-43.893278364197982</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-43.839037105305778</v>
      </c>
      <c r="E23" s="11">
        <f>A23-'Mastercurve bestimmen'!$B$2</f>
        <v>-192</v>
      </c>
      <c r="F23" s="11">
        <f t="shared" si="4"/>
        <v>-43.839037105305778</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-43.784106120276775</v>
      </c>
      <c r="E24" s="11">
        <f>A24-'Mastercurve bestimmen'!$B$2</f>
        <v>-191</v>
      </c>
      <c r="F24" s="11">
        <f t="shared" si="4"/>
        <v>-43.784106120276775</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-43.728399193343897</v>
      </c>
      <c r="E25" s="11">
        <f>A25-'Mastercurve bestimmen'!$B$2</f>
        <v>-190</v>
      </c>
      <c r="F25" s="11">
        <f t="shared" si="4"/>
        <v>-43.728399193343897</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-43.671830108740018</v>
      </c>
      <c r="E26" s="11">
        <f>A26-'Mastercurve bestimmen'!$B$2</f>
        <v>-189</v>
      </c>
      <c r="F26" s="11">
        <f t="shared" si="4"/>
        <v>-43.671830108740018</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-43.614312650698054</v>
      </c>
      <c r="E27" s="11">
        <f>A27-'Mastercurve bestimmen'!$B$2</f>
        <v>-188</v>
      </c>
      <c r="F27" s="11">
        <f t="shared" si="4"/>
        <v>-43.614312650698054</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-43.555760603450892</v>
      </c>
      <c r="E28" s="11">
        <f>A28-'Mastercurve bestimmen'!$B$2</f>
        <v>-187</v>
      </c>
      <c r="F28" s="11">
        <f t="shared" si="4"/>
        <v>-43.555760603450892</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-43.496087751231457</v>
      </c>
      <c r="E29" s="11">
        <f>A29-'Mastercurve bestimmen'!$B$2</f>
        <v>-186</v>
      </c>
      <c r="F29" s="11">
        <f t="shared" si="4"/>
        <v>-43.496087751231457</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-43.435207878272628</v>
      </c>
      <c r="E30" s="11">
        <f>A30-'Mastercurve bestimmen'!$B$2</f>
        <v>-185</v>
      </c>
      <c r="F30" s="11">
        <f t="shared" si="4"/>
        <v>-43.435207878272628</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-43.373034768807315</v>
      </c>
      <c r="E31" s="11">
        <f>A31-'Mastercurve bestimmen'!$B$2</f>
        <v>-184</v>
      </c>
      <c r="F31" s="11">
        <f t="shared" si="4"/>
        <v>-43.373034768807315</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-43.309482207068413</v>
      </c>
      <c r="E32" s="11">
        <f>A32-'Mastercurve bestimmen'!$B$2</f>
        <v>-183</v>
      </c>
      <c r="F32" s="11">
        <f t="shared" si="4"/>
        <v>-43.309482207068413</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-43.244463977288831</v>
      </c>
      <c r="E33" s="11">
        <f>A33-'Mastercurve bestimmen'!$B$2</f>
        <v>-182</v>
      </c>
      <c r="F33" s="11">
        <f t="shared" si="4"/>
        <v>-43.244463977288831</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-43.17789386370147</v>
      </c>
      <c r="E34" s="11">
        <f>A34-'Mastercurve bestimmen'!$B$2</f>
        <v>-181</v>
      </c>
      <c r="F34" s="11">
        <f t="shared" si="4"/>
        <v>-43.17789386370147</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-43.109685650539227</v>
      </c>
      <c r="E35" s="11">
        <f>A35-'Mastercurve bestimmen'!$B$2</f>
        <v>-180</v>
      </c>
      <c r="F35" s="11">
        <f t="shared" si="4"/>
        <v>-43.109685650539227</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-43.039753122035002</v>
      </c>
      <c r="E36" s="11">
        <f>A36-'Mastercurve bestimmen'!$B$2</f>
        <v>-179</v>
      </c>
      <c r="F36" s="11">
        <f t="shared" si="4"/>
        <v>-43.039753122035002</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-42.968010062421698</v>
      </c>
      <c r="E37" s="11">
        <f>A37-'Mastercurve bestimmen'!$B$2</f>
        <v>-178</v>
      </c>
      <c r="F37" s="11">
        <f t="shared" si="4"/>
        <v>-42.968010062421698</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-42.894370255932216</v>
      </c>
      <c r="E38" s="11">
        <f>A38-'Mastercurve bestimmen'!$B$2</f>
        <v>-177</v>
      </c>
      <c r="F38" s="11">
        <f t="shared" si="4"/>
        <v>-42.894370255932216</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-42.818747486799452</v>
      </c>
      <c r="E39" s="11">
        <f>A39-'Mastercurve bestimmen'!$B$2</f>
        <v>-176</v>
      </c>
      <c r="F39" s="11">
        <f t="shared" si="4"/>
        <v>-42.818747486799452</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-42.741055539256308</v>
      </c>
      <c r="E40" s="11">
        <f>A40-'Mastercurve bestimmen'!$B$2</f>
        <v>-175</v>
      </c>
      <c r="F40" s="11">
        <f t="shared" si="4"/>
        <v>-42.741055539256308</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-42.6612081975357</v>
      </c>
      <c r="E41" s="11">
        <f>A41-'Mastercurve bestimmen'!$B$2</f>
        <v>-174</v>
      </c>
      <c r="F41" s="11">
        <f t="shared" si="4"/>
        <v>-42.6612081975357</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-42.579119245870515</v>
      </c>
      <c r="E42" s="11">
        <f>A42-'Mastercurve bestimmen'!$B$2</f>
        <v>-173</v>
      </c>
      <c r="F42" s="11">
        <f t="shared" si="4"/>
        <v>-42.579119245870515</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-42.494702468493649</v>
      </c>
      <c r="E43" s="11">
        <f>A43-'Mastercurve bestimmen'!$B$2</f>
        <v>-172</v>
      </c>
      <c r="F43" s="11">
        <f t="shared" si="4"/>
        <v>-42.494702468493649</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-42.407871649638018</v>
      </c>
      <c r="E44" s="11">
        <f>A44-'Mastercurve bestimmen'!$B$2</f>
        <v>-171</v>
      </c>
      <c r="F44" s="11">
        <f t="shared" si="4"/>
        <v>-42.407871649638018</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-42.318540573536509</v>
      </c>
      <c r="E45" s="11">
        <f>A45-'Mastercurve bestimmen'!$B$2</f>
        <v>-170</v>
      </c>
      <c r="F45" s="11">
        <f t="shared" si="4"/>
        <v>-42.318540573536509</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-42.22662302442204</v>
      </c>
      <c r="E46" s="11">
        <f>A46-'Mastercurve bestimmen'!$B$2</f>
        <v>-169</v>
      </c>
      <c r="F46" s="11">
        <f t="shared" si="4"/>
        <v>-42.22662302442204</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-42.132032786527489</v>
      </c>
      <c r="E47" s="11">
        <f>A47-'Mastercurve bestimmen'!$B$2</f>
        <v>-168</v>
      </c>
      <c r="F47" s="11">
        <f t="shared" si="4"/>
        <v>-42.132032786527489</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-42.034683644085774</v>
      </c>
      <c r="E48" s="11">
        <f>A48-'Mastercurve bestimmen'!$B$2</f>
        <v>-167</v>
      </c>
      <c r="F48" s="11">
        <f t="shared" si="4"/>
        <v>-42.034683644085774</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-41.934489381329797</v>
      </c>
      <c r="E49" s="11">
        <f>A49-'Mastercurve bestimmen'!$B$2</f>
        <v>-166</v>
      </c>
      <c r="F49" s="11">
        <f t="shared" si="4"/>
        <v>-41.934489381329797</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-41.831363782492438</v>
      </c>
      <c r="E50" s="11">
        <f>A50-'Mastercurve bestimmen'!$B$2</f>
        <v>-165</v>
      </c>
      <c r="F50" s="11">
        <f t="shared" si="4"/>
        <v>-41.831363782492438</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-41.725220631806629</v>
      </c>
      <c r="E51" s="11">
        <f>A51-'Mastercurve bestimmen'!$B$2</f>
        <v>-164</v>
      </c>
      <c r="F51" s="11">
        <f t="shared" si="4"/>
        <v>-41.725220631806629</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-41.615973713505248</v>
      </c>
      <c r="E52" s="11">
        <f>A52-'Mastercurve bestimmen'!$B$2</f>
        <v>-163</v>
      </c>
      <c r="F52" s="11">
        <f t="shared" si="4"/>
        <v>-41.615973713505248</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-41.503536811821206</v>
      </c>
      <c r="E53" s="11">
        <f>A53-'Mastercurve bestimmen'!$B$2</f>
        <v>-162</v>
      </c>
      <c r="F53" s="11">
        <f t="shared" si="4"/>
        <v>-41.503536811821206</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-41.387823710987398</v>
      </c>
      <c r="E54" s="11">
        <f>A54-'Mastercurve bestimmen'!$B$2</f>
        <v>-161</v>
      </c>
      <c r="F54" s="11">
        <f t="shared" si="4"/>
        <v>-41.387823710987398</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-41.268748195236732</v>
      </c>
      <c r="E55" s="11">
        <f>A55-'Mastercurve bestimmen'!$B$2</f>
        <v>-160</v>
      </c>
      <c r="F55" s="11">
        <f t="shared" si="4"/>
        <v>-41.268748195236732</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-41.140474863702025</v>
      </c>
      <c r="E56" s="11">
        <f>A56-'Mastercurve bestimmen'!$B$2</f>
        <v>-159</v>
      </c>
      <c r="F56" s="11">
        <f t="shared" si="4"/>
        <v>-41.140474863702025</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-41.008782269588082</v>
      </c>
      <c r="E57" s="11">
        <f>A57-'Mastercurve bestimmen'!$B$2</f>
        <v>-158</v>
      </c>
      <c r="F57" s="11">
        <f t="shared" si="4"/>
        <v>-41.008782269588082</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-40.873699780999644</v>
      </c>
      <c r="E58" s="11">
        <f>A58-'Mastercurve bestimmen'!$B$2</f>
        <v>-157</v>
      </c>
      <c r="F58" s="11">
        <f t="shared" si="4"/>
        <v>-40.873699780999644</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-40.735256766041417</v>
      </c>
      <c r="E59" s="11">
        <f>A59-'Mastercurve bestimmen'!$B$2</f>
        <v>-156</v>
      </c>
      <c r="F59" s="11">
        <f t="shared" si="4"/>
        <v>-40.735256766041417</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-40.593482592818148</v>
      </c>
      <c r="E60" s="11">
        <f>A60-'Mastercurve bestimmen'!$B$2</f>
        <v>-155</v>
      </c>
      <c r="F60" s="11">
        <f t="shared" si="4"/>
        <v>-40.593482592818148</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-40.448406629434558</v>
      </c>
      <c r="E61" s="11">
        <f>A61-'Mastercurve bestimmen'!$B$2</f>
        <v>-154</v>
      </c>
      <c r="F61" s="11">
        <f t="shared" si="4"/>
        <v>-40.448406629434558</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-40.300058243995366</v>
      </c>
      <c r="E62" s="11">
        <f>A62-'Mastercurve bestimmen'!$B$2</f>
        <v>-153</v>
      </c>
      <c r="F62" s="11">
        <f t="shared" si="4"/>
        <v>-40.300058243995366</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-40.148466804605313</v>
      </c>
      <c r="E63" s="11">
        <f>A63-'Mastercurve bestimmen'!$B$2</f>
        <v>-152</v>
      </c>
      <c r="F63" s="11">
        <f t="shared" si="4"/>
        <v>-40.148466804605313</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-39.993661679369126</v>
      </c>
      <c r="E64" s="11">
        <f>A64-'Mastercurve bestimmen'!$B$2</f>
        <v>-151</v>
      </c>
      <c r="F64" s="11">
        <f t="shared" si="4"/>
        <v>-39.993661679369126</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-39.835672236391531</v>
      </c>
      <c r="E65" s="11">
        <f>A65-'Mastercurve bestimmen'!$B$2</f>
        <v>-150</v>
      </c>
      <c r="F65" s="11">
        <f t="shared" si="4"/>
        <v>-39.835672236391531</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-39.674527843777241</v>
      </c>
      <c r="E66" s="11">
        <f>A66-'Mastercurve bestimmen'!$B$2</f>
        <v>-149</v>
      </c>
      <c r="F66" s="11">
        <f t="shared" si="4"/>
        <v>-39.674527843777241</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-39.510257869631012</v>
      </c>
      <c r="E67" s="11">
        <f>A67-'Mastercurve bestimmen'!$B$2</f>
        <v>-148</v>
      </c>
      <c r="F67" s="11">
        <f t="shared" si="4"/>
        <v>-39.510257869631012</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-39.342891682057548</v>
      </c>
      <c r="E68" s="11">
        <f>A68-'Mastercurve bestimmen'!$B$2</f>
        <v>-147</v>
      </c>
      <c r="F68" s="11">
        <f t="shared" si="4"/>
        <v>-39.342891682057548</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-39.172458649161598</v>
      </c>
      <c r="E69" s="11">
        <f>A69-'Mastercurve bestimmen'!$B$2</f>
        <v>-146</v>
      </c>
      <c r="F69" s="11">
        <f t="shared" si="4"/>
        <v>-39.172458649161598</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-38.998988139047867</v>
      </c>
      <c r="E70" s="11">
        <f>A70-'Mastercurve bestimmen'!$B$2</f>
        <v>-145</v>
      </c>
      <c r="F70" s="11">
        <f t="shared" si="4"/>
        <v>-38.998988139047867</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-38.822509519821097</v>
      </c>
      <c r="E71" s="11">
        <f>A71-'Mastercurve bestimmen'!$B$2</f>
        <v>-144</v>
      </c>
      <c r="F71" s="11">
        <f t="shared" si="4"/>
        <v>-38.822509519821097</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-38.643052159586006</v>
      </c>
      <c r="E72" s="11">
        <f>A72-'Mastercurve bestimmen'!$B$2</f>
        <v>-143</v>
      </c>
      <c r="F72" s="11">
        <f t="shared" si="4"/>
        <v>-38.643052159586006</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-38.460645426447343</v>
      </c>
      <c r="E73" s="11">
        <f>A73-'Mastercurve bestimmen'!$B$2</f>
        <v>-142</v>
      </c>
      <c r="F73" s="11">
        <f t="shared" si="4"/>
        <v>-38.460645426447343</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-38.275318688509813</v>
      </c>
      <c r="E74" s="11">
        <f>A74-'Mastercurve bestimmen'!$B$2</f>
        <v>-141</v>
      </c>
      <c r="F74" s="11">
        <f t="shared" si="4"/>
        <v>-38.275318688509813</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-38.087101313878151</v>
      </c>
      <c r="E75" s="11">
        <f>A75-'Mastercurve bestimmen'!$B$2</f>
        <v>-140</v>
      </c>
      <c r="F75" s="11">
        <f t="shared" si="4"/>
        <v>-38.087101313878151</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-37.896022670657089</v>
      </c>
      <c r="E76" s="11">
        <f>A76-'Mastercurve bestimmen'!$B$2</f>
        <v>-139</v>
      </c>
      <c r="F76" s="11">
        <f t="shared" si="4"/>
        <v>-37.896022670657089</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-37.702112126951349</v>
      </c>
      <c r="E77" s="11">
        <f>A77-'Mastercurve bestimmen'!$B$2</f>
        <v>-138</v>
      </c>
      <c r="F77" s="11">
        <f t="shared" si="4"/>
        <v>-37.702112126951349</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-37.50539905086567</v>
      </c>
      <c r="E78" s="11">
        <f>A78-'Mastercurve bestimmen'!$B$2</f>
        <v>-137</v>
      </c>
      <c r="F78" s="11">
        <f t="shared" si="4"/>
        <v>-37.50539905086567</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-37.305912810504772</v>
      </c>
      <c r="E79" s="11">
        <f>A79-'Mastercurve bestimmen'!$B$2</f>
        <v>-136</v>
      </c>
      <c r="F79" s="11">
        <f t="shared" si="4"/>
        <v>-37.305912810504772</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-37.103682773973375</v>
      </c>
      <c r="E80" s="11">
        <f>A80-'Mastercurve bestimmen'!$B$2</f>
        <v>-135</v>
      </c>
      <c r="F80" s="11">
        <f t="shared" ref="F80:F143" si="10">B80</f>
        <v>-37.103682773973375</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-36.898747183581214</v>
      </c>
      <c r="E81" s="11">
        <f>A81-'Mastercurve bestimmen'!$B$2</f>
        <v>-134</v>
      </c>
      <c r="F81" s="11">
        <f t="shared" si="10"/>
        <v>-36.898747183581214</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-36.691179778457993</v>
      </c>
      <c r="E82" s="11">
        <f>A82-'Mastercurve bestimmen'!$B$2</f>
        <v>-133</v>
      </c>
      <c r="F82" s="11">
        <f t="shared" si="10"/>
        <v>-36.691179778457993</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-36.481063171938388</v>
      </c>
      <c r="E83" s="11">
        <f>A83-'Mastercurve bestimmen'!$B$2</f>
        <v>-132</v>
      </c>
      <c r="F83" s="11">
        <f t="shared" si="10"/>
        <v>-36.481063171938388</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-36.268479977357138</v>
      </c>
      <c r="E84" s="11">
        <f>A84-'Mastercurve bestimmen'!$B$2</f>
        <v>-131</v>
      </c>
      <c r="F84" s="11">
        <f t="shared" si="10"/>
        <v>-36.268479977357138</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-36.0535128080489</v>
      </c>
      <c r="E85" s="11">
        <f>A85-'Mastercurve bestimmen'!$B$2</f>
        <v>-130</v>
      </c>
      <c r="F85" s="11">
        <f t="shared" si="10"/>
        <v>-36.0535128080489</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-35.836244277348399</v>
      </c>
      <c r="E86" s="11">
        <f>A86-'Mastercurve bestimmen'!$B$2</f>
        <v>-129</v>
      </c>
      <c r="F86" s="11">
        <f t="shared" si="10"/>
        <v>-35.836244277348399</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-35.616756998590319</v>
      </c>
      <c r="E87" s="11">
        <f>A87-'Mastercurve bestimmen'!$B$2</f>
        <v>-128</v>
      </c>
      <c r="F87" s="11">
        <f t="shared" si="10"/>
        <v>-35.616756998590319</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-35.395133585109356</v>
      </c>
      <c r="E88" s="11">
        <f>A88-'Mastercurve bestimmen'!$B$2</f>
        <v>-127</v>
      </c>
      <c r="F88" s="11">
        <f t="shared" si="10"/>
        <v>-35.395133585109356</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-35.171456650240216</v>
      </c>
      <c r="E89" s="11">
        <f>A89-'Mastercurve bestimmen'!$B$2</f>
        <v>-126</v>
      </c>
      <c r="F89" s="11">
        <f t="shared" si="10"/>
        <v>-35.171456650240216</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-34.945808807317604</v>
      </c>
      <c r="E90" s="11">
        <f>A90-'Mastercurve bestimmen'!$B$2</f>
        <v>-125</v>
      </c>
      <c r="F90" s="11">
        <f t="shared" si="10"/>
        <v>-34.945808807317604</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-34.718272669676196</v>
      </c>
      <c r="E91" s="11">
        <f>A91-'Mastercurve bestimmen'!$B$2</f>
        <v>-124</v>
      </c>
      <c r="F91" s="11">
        <f t="shared" si="10"/>
        <v>-34.718272669676196</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-34.488930850650711</v>
      </c>
      <c r="E92" s="11">
        <f>A92-'Mastercurve bestimmen'!$B$2</f>
        <v>-123</v>
      </c>
      <c r="F92" s="11">
        <f t="shared" si="10"/>
        <v>-34.488930850650711</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-34.257865963575838</v>
      </c>
      <c r="E93" s="11">
        <f>A93-'Mastercurve bestimmen'!$B$2</f>
        <v>-122</v>
      </c>
      <c r="F93" s="11">
        <f t="shared" si="10"/>
        <v>-34.257865963575838</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-34.02516062178627</v>
      </c>
      <c r="E94" s="11">
        <f>A94-'Mastercurve bestimmen'!$B$2</f>
        <v>-121</v>
      </c>
      <c r="F94" s="11">
        <f t="shared" si="10"/>
        <v>-34.02516062178627</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-33.79089743861671</v>
      </c>
      <c r="E95" s="11">
        <f>A95-'Mastercurve bestimmen'!$B$2</f>
        <v>-120</v>
      </c>
      <c r="F95" s="11">
        <f t="shared" si="10"/>
        <v>-33.79089743861671</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-33.555159027401864</v>
      </c>
      <c r="E96" s="11">
        <f>A96-'Mastercurve bestimmen'!$B$2</f>
        <v>-119</v>
      </c>
      <c r="F96" s="11">
        <f t="shared" si="10"/>
        <v>-33.555159027401864</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-33.318028001476421</v>
      </c>
      <c r="E97" s="11">
        <f>A97-'Mastercurve bestimmen'!$B$2</f>
        <v>-118</v>
      </c>
      <c r="F97" s="11">
        <f t="shared" si="10"/>
        <v>-33.318028001476421</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-33.079586974175072</v>
      </c>
      <c r="E98" s="11">
        <f>A98-'Mastercurve bestimmen'!$B$2</f>
        <v>-117</v>
      </c>
      <c r="F98" s="11">
        <f t="shared" si="10"/>
        <v>-33.079586974175072</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-32.83991855883253</v>
      </c>
      <c r="E99" s="11">
        <f>A99-'Mastercurve bestimmen'!$B$2</f>
        <v>-116</v>
      </c>
      <c r="F99" s="11">
        <f t="shared" si="10"/>
        <v>-32.83991855883253</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-32.599105368783484</v>
      </c>
      <c r="E100" s="11">
        <f>A100-'Mastercurve bestimmen'!$B$2</f>
        <v>-115</v>
      </c>
      <c r="F100" s="11">
        <f t="shared" si="10"/>
        <v>-32.599105368783484</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-32.357230017362632</v>
      </c>
      <c r="E101" s="11">
        <f>A101-'Mastercurve bestimmen'!$B$2</f>
        <v>-114</v>
      </c>
      <c r="F101" s="11">
        <f t="shared" si="10"/>
        <v>-32.357230017362632</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-32.114375117904679</v>
      </c>
      <c r="E102" s="11">
        <f>A102-'Mastercurve bestimmen'!$B$2</f>
        <v>-113</v>
      </c>
      <c r="F102" s="11">
        <f t="shared" si="10"/>
        <v>-32.114375117904679</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-31.870623283744315</v>
      </c>
      <c r="E103" s="11">
        <f>A103-'Mastercurve bestimmen'!$B$2</f>
        <v>-112</v>
      </c>
      <c r="F103" s="11">
        <f t="shared" si="10"/>
        <v>-31.870623283744315</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-31.626057128216242</v>
      </c>
      <c r="E104" s="11">
        <f>A104-'Mastercurve bestimmen'!$B$2</f>
        <v>-111</v>
      </c>
      <c r="F104" s="11">
        <f t="shared" si="10"/>
        <v>-31.626057128216242</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-31.380759264655158</v>
      </c>
      <c r="E105" s="11">
        <f>A105-'Mastercurve bestimmen'!$B$2</f>
        <v>-110</v>
      </c>
      <c r="F105" s="11">
        <f t="shared" si="10"/>
        <v>-31.380759264655158</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-31.134755698121651</v>
      </c>
      <c r="E106" s="11">
        <f>A106-'Mastercurve bestimmen'!$B$2</f>
        <v>-109</v>
      </c>
      <c r="F106" s="11">
        <f t="shared" si="10"/>
        <v>-31.134755698121651</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-30.887846000579898</v>
      </c>
      <c r="E107" s="11">
        <f>A107-'Mastercurve bestimmen'!$B$2</f>
        <v>-108</v>
      </c>
      <c r="F107" s="11">
        <f t="shared" si="10"/>
        <v>-30.887846000579898</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-30.63977313571997</v>
      </c>
      <c r="E108" s="11">
        <f>A108-'Mastercurve bestimmen'!$B$2</f>
        <v>-107</v>
      </c>
      <c r="F108" s="11">
        <f t="shared" si="10"/>
        <v>-30.63977313571997</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-30.390280067231927</v>
      </c>
      <c r="E109" s="11">
        <f>A109-'Mastercurve bestimmen'!$B$2</f>
        <v>-106</v>
      </c>
      <c r="F109" s="11">
        <f t="shared" si="10"/>
        <v>-30.390280067231927</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-30.139109758805848</v>
      </c>
      <c r="E110" s="11">
        <f>A110-'Mastercurve bestimmen'!$B$2</f>
        <v>-105</v>
      </c>
      <c r="F110" s="11">
        <f t="shared" si="10"/>
        <v>-30.139109758805848</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-29.886005174131785</v>
      </c>
      <c r="E111" s="11">
        <f>A111-'Mastercurve bestimmen'!$B$2</f>
        <v>-104</v>
      </c>
      <c r="F111" s="11">
        <f t="shared" si="10"/>
        <v>-29.886005174131785</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-29.630709276899822</v>
      </c>
      <c r="E112" s="11">
        <f>A112-'Mastercurve bestimmen'!$B$2</f>
        <v>-103</v>
      </c>
      <c r="F112" s="11">
        <f t="shared" si="10"/>
        <v>-29.630709276899822</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-29.372965030800014</v>
      </c>
      <c r="E113" s="11">
        <f>A113-'Mastercurve bestimmen'!$B$2</f>
        <v>-102</v>
      </c>
      <c r="F113" s="11">
        <f t="shared" si="10"/>
        <v>-29.372965030800014</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-29.11251539952244</v>
      </c>
      <c r="E114" s="11">
        <f>A114-'Mastercurve bestimmen'!$B$2</f>
        <v>-101</v>
      </c>
      <c r="F114" s="11">
        <f t="shared" si="10"/>
        <v>-29.11251539952244</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-28.849103346757158</v>
      </c>
      <c r="E115" s="11">
        <f>A115-'Mastercurve bestimmen'!$B$2</f>
        <v>-100</v>
      </c>
      <c r="F115" s="11">
        <f t="shared" si="10"/>
        <v>-28.849103346757158</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-28.582471836194244</v>
      </c>
      <c r="E116" s="11">
        <f>A116-'Mastercurve bestimmen'!$B$2</f>
        <v>-99</v>
      </c>
      <c r="F116" s="11">
        <f t="shared" si="10"/>
        <v>-28.582471836194244</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-28.312363831523761</v>
      </c>
      <c r="E117" s="11">
        <f>A117-'Mastercurve bestimmen'!$B$2</f>
        <v>-98</v>
      </c>
      <c r="F117" s="11">
        <f t="shared" si="10"/>
        <v>-28.312363831523761</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-28.038522296435779</v>
      </c>
      <c r="E118" s="11">
        <f>A118-'Mastercurve bestimmen'!$B$2</f>
        <v>-97</v>
      </c>
      <c r="F118" s="11">
        <f t="shared" si="10"/>
        <v>-28.038522296435779</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-27.760690194620366</v>
      </c>
      <c r="E119" s="11">
        <f>A119-'Mastercurve bestimmen'!$B$2</f>
        <v>-96</v>
      </c>
      <c r="F119" s="11">
        <f t="shared" si="10"/>
        <v>-27.760690194620366</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-27.478610489767583</v>
      </c>
      <c r="E120" s="11">
        <f>A120-'Mastercurve bestimmen'!$B$2</f>
        <v>-95</v>
      </c>
      <c r="F120" s="11">
        <f t="shared" si="10"/>
        <v>-27.478610489767583</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-27.19202614556751</v>
      </c>
      <c r="E121" s="11">
        <f>A121-'Mastercurve bestimmen'!$B$2</f>
        <v>-94</v>
      </c>
      <c r="F121" s="11">
        <f t="shared" si="10"/>
        <v>-27.19202614556751</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-26.900680125710206</v>
      </c>
      <c r="E122" s="11">
        <f>A122-'Mastercurve bestimmen'!$B$2</f>
        <v>-93</v>
      </c>
      <c r="F122" s="11">
        <f t="shared" si="10"/>
        <v>-26.900680125710206</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-26.604315393885742</v>
      </c>
      <c r="E123" s="11">
        <f>A123-'Mastercurve bestimmen'!$B$2</f>
        <v>-92</v>
      </c>
      <c r="F123" s="11">
        <f t="shared" si="10"/>
        <v>-26.604315393885742</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-26.30267491378418</v>
      </c>
      <c r="E124" s="11">
        <f>A124-'Mastercurve bestimmen'!$B$2</f>
        <v>-91</v>
      </c>
      <c r="F124" s="11">
        <f t="shared" si="10"/>
        <v>-26.30267491378418</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-25.995501649095601</v>
      </c>
      <c r="E125" s="11">
        <f>A125-'Mastercurve bestimmen'!$B$2</f>
        <v>-90</v>
      </c>
      <c r="F125" s="11">
        <f t="shared" si="10"/>
        <v>-25.995501649095601</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-25.682538563510064</v>
      </c>
      <c r="E126" s="11">
        <f>A126-'Mastercurve bestimmen'!$B$2</f>
        <v>-89</v>
      </c>
      <c r="F126" s="11">
        <f t="shared" si="10"/>
        <v>-25.682538563510064</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-25.363528620717634</v>
      </c>
      <c r="E127" s="11">
        <f>A127-'Mastercurve bestimmen'!$B$2</f>
        <v>-88</v>
      </c>
      <c r="F127" s="11">
        <f t="shared" si="10"/>
        <v>-25.363528620717634</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-25.038214784408382</v>
      </c>
      <c r="E128" s="11">
        <f>A128-'Mastercurve bestimmen'!$B$2</f>
        <v>-87</v>
      </c>
      <c r="F128" s="11">
        <f t="shared" si="10"/>
        <v>-25.038214784408382</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-24.706340018272382</v>
      </c>
      <c r="E129" s="11">
        <f>A129-'Mastercurve bestimmen'!$B$2</f>
        <v>-86</v>
      </c>
      <c r="F129" s="11">
        <f t="shared" si="10"/>
        <v>-24.706340018272382</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-24.367647285999691</v>
      </c>
      <c r="E130" s="11">
        <f>A130-'Mastercurve bestimmen'!$B$2</f>
        <v>-85</v>
      </c>
      <c r="F130" s="11">
        <f t="shared" si="10"/>
        <v>-24.367647285999691</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-24.021879551280385</v>
      </c>
      <c r="E131" s="11">
        <f>A131-'Mastercurve bestimmen'!$B$2</f>
        <v>-84</v>
      </c>
      <c r="F131" s="11">
        <f t="shared" si="10"/>
        <v>-24.021879551280385</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-23.668779777804527</v>
      </c>
      <c r="E132" s="11">
        <f>A132-'Mastercurve bestimmen'!$B$2</f>
        <v>-83</v>
      </c>
      <c r="F132" s="11">
        <f t="shared" si="10"/>
        <v>-23.668779777804527</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-23.308090929262189</v>
      </c>
      <c r="E133" s="11">
        <f>A133-'Mastercurve bestimmen'!$B$2</f>
        <v>-82</v>
      </c>
      <c r="F133" s="11">
        <f t="shared" si="10"/>
        <v>-23.308090929262189</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-22.939555969343434</v>
      </c>
      <c r="E134" s="11">
        <f>A134-'Mastercurve bestimmen'!$B$2</f>
        <v>-81</v>
      </c>
      <c r="F134" s="11">
        <f t="shared" si="10"/>
        <v>-22.939555969343434</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-22.562917861738338</v>
      </c>
      <c r="E135" s="11">
        <f>A135-'Mastercurve bestimmen'!$B$2</f>
        <v>-80</v>
      </c>
      <c r="F135" s="11">
        <f t="shared" si="10"/>
        <v>-22.562917861738338</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-22.178041986403212</v>
      </c>
      <c r="E136" s="11">
        <f>A136-'Mastercurve bestimmen'!$B$2</f>
        <v>-79</v>
      </c>
      <c r="F136" s="11">
        <f t="shared" si="10"/>
        <v>-22.178041986403212</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-21.785283388359417</v>
      </c>
      <c r="E137" s="11">
        <f>A137-'Mastercurve bestimmen'!$B$2</f>
        <v>-78</v>
      </c>
      <c r="F137" s="11">
        <f t="shared" si="10"/>
        <v>-21.785283388359417</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-21.385119528894545</v>
      </c>
      <c r="E138" s="11">
        <f>A138-'Mastercurve bestimmen'!$B$2</f>
        <v>-77</v>
      </c>
      <c r="F138" s="11">
        <f t="shared" si="10"/>
        <v>-21.385119528894545</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-20.978027869296199</v>
      </c>
      <c r="E139" s="11">
        <f>A139-'Mastercurve bestimmen'!$B$2</f>
        <v>-76</v>
      </c>
      <c r="F139" s="11">
        <f t="shared" si="10"/>
        <v>-20.978027869296199</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-20.564485870851989</v>
      </c>
      <c r="E140" s="11">
        <f>A140-'Mastercurve bestimmen'!$B$2</f>
        <v>-75</v>
      </c>
      <c r="F140" s="11">
        <f t="shared" si="10"/>
        <v>-20.564485870851989</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-20.144970994849512</v>
      </c>
      <c r="E141" s="11">
        <f>A141-'Mastercurve bestimmen'!$B$2</f>
        <v>-74</v>
      </c>
      <c r="F141" s="11">
        <f t="shared" si="10"/>
        <v>-20.144970994849512</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-19.719960702576373</v>
      </c>
      <c r="E142" s="11">
        <f>A142-'Mastercurve bestimmen'!$B$2</f>
        <v>-73</v>
      </c>
      <c r="F142" s="11">
        <f t="shared" si="10"/>
        <v>-19.719960702576373</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-19.289932455320173</v>
      </c>
      <c r="E143" s="11">
        <f>A143-'Mastercurve bestimmen'!$B$2</f>
        <v>-72</v>
      </c>
      <c r="F143" s="11">
        <f t="shared" si="10"/>
        <v>-19.289932455320173</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-18.855363714368515</v>
      </c>
      <c r="E144" s="11">
        <f>A144-'Mastercurve bestimmen'!$B$2</f>
        <v>-71</v>
      </c>
      <c r="F144" s="11">
        <f t="shared" ref="F144:F207" si="15">B144</f>
        <v>-18.855363714368515</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-18.416731941008997</v>
      </c>
      <c r="E145" s="11">
        <f>A145-'Mastercurve bestimmen'!$B$2</f>
        <v>-70</v>
      </c>
      <c r="F145" s="11">
        <f t="shared" si="15"/>
        <v>-18.416731941008997</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-17.974514596529229</v>
      </c>
      <c r="E146" s="11">
        <f>A146-'Mastercurve bestimmen'!$B$2</f>
        <v>-69</v>
      </c>
      <c r="F146" s="11">
        <f t="shared" si="15"/>
        <v>-17.974514596529229</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-17.529189142216804</v>
      </c>
      <c r="E147" s="11">
        <f>A147-'Mastercurve bestimmen'!$B$2</f>
        <v>-68</v>
      </c>
      <c r="F147" s="11">
        <f t="shared" si="15"/>
        <v>-17.529189142216804</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-17.081233039359336</v>
      </c>
      <c r="E148" s="11">
        <f>A148-'Mastercurve bestimmen'!$B$2</f>
        <v>-67</v>
      </c>
      <c r="F148" s="11">
        <f t="shared" si="15"/>
        <v>-17.081233039359336</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-16.631123749244423</v>
      </c>
      <c r="E149" s="11">
        <f>A149-'Mastercurve bestimmen'!$B$2</f>
        <v>-66</v>
      </c>
      <c r="F149" s="11">
        <f t="shared" si="15"/>
        <v>-16.631123749244423</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-16.179338733159664</v>
      </c>
      <c r="E150" s="11">
        <f>A150-'Mastercurve bestimmen'!$B$2</f>
        <v>-65</v>
      </c>
      <c r="F150" s="11">
        <f t="shared" si="15"/>
        <v>-16.179338733159664</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-15.726355452392665</v>
      </c>
      <c r="E151" s="11">
        <f>A151-'Mastercurve bestimmen'!$B$2</f>
        <v>-64</v>
      </c>
      <c r="F151" s="11">
        <f t="shared" si="15"/>
        <v>-15.726355452392665</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-15.272651368231028</v>
      </c>
      <c r="E152" s="11">
        <f>A152-'Mastercurve bestimmen'!$B$2</f>
        <v>-63</v>
      </c>
      <c r="F152" s="11">
        <f t="shared" si="15"/>
        <v>-15.272651368231028</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-14.818703941962353</v>
      </c>
      <c r="E153" s="11">
        <f>A153-'Mastercurve bestimmen'!$B$2</f>
        <v>-62</v>
      </c>
      <c r="F153" s="11">
        <f t="shared" si="15"/>
        <v>-14.818703941962353</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-14.364990634874248</v>
      </c>
      <c r="E154" s="11">
        <f>A154-'Mastercurve bestimmen'!$B$2</f>
        <v>-61</v>
      </c>
      <c r="F154" s="11">
        <f t="shared" si="15"/>
        <v>-14.364990634874248</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-13.91198890825431</v>
      </c>
      <c r="E155" s="11">
        <f>A155-'Mastercurve bestimmen'!$B$2</f>
        <v>-60</v>
      </c>
      <c r="F155" s="11">
        <f t="shared" si="15"/>
        <v>-13.91198890825431</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-13.460176223390143</v>
      </c>
      <c r="E156" s="11">
        <f>A156-'Mastercurve bestimmen'!$B$2</f>
        <v>-59</v>
      </c>
      <c r="F156" s="11">
        <f t="shared" si="15"/>
        <v>-13.460176223390143</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-13.010030041569349</v>
      </c>
      <c r="E157" s="11">
        <f>A157-'Mastercurve bestimmen'!$B$2</f>
        <v>-58</v>
      </c>
      <c r="F157" s="11">
        <f t="shared" si="15"/>
        <v>-13.010030041569349</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-12.562027824079532</v>
      </c>
      <c r="E158" s="11">
        <f>A158-'Mastercurve bestimmen'!$B$2</f>
        <v>-57</v>
      </c>
      <c r="F158" s="11">
        <f t="shared" si="15"/>
        <v>-12.562027824079532</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-12.116647032208299</v>
      </c>
      <c r="E159" s="11">
        <f>A159-'Mastercurve bestimmen'!$B$2</f>
        <v>-56</v>
      </c>
      <c r="F159" s="11">
        <f t="shared" si="15"/>
        <v>-12.116647032208299</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-11.674365127243243</v>
      </c>
      <c r="E160" s="11">
        <f>A160-'Mastercurve bestimmen'!$B$2</f>
        <v>-55</v>
      </c>
      <c r="F160" s="11">
        <f t="shared" si="15"/>
        <v>-11.674365127243243</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-11.23565957047197</v>
      </c>
      <c r="E161" s="11">
        <f>A161-'Mastercurve bestimmen'!$B$2</f>
        <v>-54</v>
      </c>
      <c r="F161" s="11">
        <f t="shared" si="15"/>
        <v>-11.23565957047197</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-10.801007823182088</v>
      </c>
      <c r="E162" s="11">
        <f>A162-'Mastercurve bestimmen'!$B$2</f>
        <v>-53</v>
      </c>
      <c r="F162" s="11">
        <f t="shared" si="15"/>
        <v>-10.801007823182088</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-10.370887346661192</v>
      </c>
      <c r="E163" s="11">
        <f>A163-'Mastercurve bestimmen'!$B$2</f>
        <v>-52</v>
      </c>
      <c r="F163" s="11">
        <f t="shared" si="15"/>
        <v>-10.370887346661192</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-9.9457756021968873</v>
      </c>
      <c r="E164" s="11">
        <f>A164-'Mastercurve bestimmen'!$B$2</f>
        <v>-51</v>
      </c>
      <c r="F164" s="11">
        <f t="shared" si="15"/>
        <v>-9.9457756021968873</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-9.526150051076776</v>
      </c>
      <c r="E165" s="11">
        <f>A165-'Mastercurve bestimmen'!$B$2</f>
        <v>-50</v>
      </c>
      <c r="F165" s="11">
        <f t="shared" si="15"/>
        <v>-9.526150051076776</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-9.1124881545884637</v>
      </c>
      <c r="E166" s="11">
        <f>A166-'Mastercurve bestimmen'!$B$2</f>
        <v>-49</v>
      </c>
      <c r="F166" s="11">
        <f t="shared" si="15"/>
        <v>-9.1124881545884637</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-8.7052673740195505</v>
      </c>
      <c r="E167" s="11">
        <f>A167-'Mastercurve bestimmen'!$B$2</f>
        <v>-48</v>
      </c>
      <c r="F167" s="11">
        <f t="shared" si="15"/>
        <v>-8.7052673740195505</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-8.3049651706576348</v>
      </c>
      <c r="E168" s="11">
        <f>A168-'Mastercurve bestimmen'!$B$2</f>
        <v>-47</v>
      </c>
      <c r="F168" s="11">
        <f t="shared" si="15"/>
        <v>-8.3049651706576348</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-7.9120590057903275</v>
      </c>
      <c r="E169" s="11">
        <f>A169-'Mastercurve bestimmen'!$B$2</f>
        <v>-46</v>
      </c>
      <c r="F169" s="11">
        <f t="shared" si="15"/>
        <v>-7.9120590057903275</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-7.5270263407052251</v>
      </c>
      <c r="E170" s="11">
        <f>A170-'Mastercurve bestimmen'!$B$2</f>
        <v>-45</v>
      </c>
      <c r="F170" s="11">
        <f t="shared" si="15"/>
        <v>-7.5270263407052251</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-7.1503446366899324</v>
      </c>
      <c r="E171" s="11">
        <f>A171-'Mastercurve bestimmen'!$B$2</f>
        <v>-44</v>
      </c>
      <c r="F171" s="11">
        <f t="shared" si="15"/>
        <v>-7.1503446366899324</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-6.7824913550320511</v>
      </c>
      <c r="E172" s="11">
        <f>A172-'Mastercurve bestimmen'!$B$2</f>
        <v>-43</v>
      </c>
      <c r="F172" s="11">
        <f t="shared" si="15"/>
        <v>-6.7824913550320511</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-6.4239439570191834</v>
      </c>
      <c r="E173" s="11">
        <f>A173-'Mastercurve bestimmen'!$B$2</f>
        <v>-42</v>
      </c>
      <c r="F173" s="11">
        <f t="shared" si="15"/>
        <v>-6.4239439570191834</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-6.0751799039389329</v>
      </c>
      <c r="E174" s="11">
        <f>A174-'Mastercurve bestimmen'!$B$2</f>
        <v>-41</v>
      </c>
      <c r="F174" s="11">
        <f t="shared" si="15"/>
        <v>-6.0751799039389329</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-5.7366766570789016</v>
      </c>
      <c r="E175" s="11">
        <f>A175-'Mastercurve bestimmen'!$B$2</f>
        <v>-40</v>
      </c>
      <c r="F175" s="11">
        <f t="shared" si="15"/>
        <v>-5.7366766570789016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-5.4089116777266915</v>
      </c>
      <c r="E176" s="11">
        <f>A176-'Mastercurve bestimmen'!$B$2</f>
        <v>-39</v>
      </c>
      <c r="F176" s="11">
        <f t="shared" si="15"/>
        <v>-5.4089116777266915</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-5.0923624271699053</v>
      </c>
      <c r="E177" s="11">
        <f>A177-'Mastercurve bestimmen'!$B$2</f>
        <v>-38</v>
      </c>
      <c r="F177" s="11">
        <f t="shared" si="15"/>
        <v>-5.0923624271699053</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-4.7875063666961459</v>
      </c>
      <c r="E178" s="11">
        <f>A178-'Mastercurve bestimmen'!$B$2</f>
        <v>-37</v>
      </c>
      <c r="F178" s="11">
        <f t="shared" si="15"/>
        <v>-4.7875063666961459</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-4.4948209575930145</v>
      </c>
      <c r="E179" s="11">
        <f>A179-'Mastercurve bestimmen'!$B$2</f>
        <v>-36</v>
      </c>
      <c r="F179" s="11">
        <f t="shared" si="15"/>
        <v>-4.4948209575930145</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-4.2147836611481173</v>
      </c>
      <c r="E180" s="11">
        <f>A180-'Mastercurve bestimmen'!$B$2</f>
        <v>-35</v>
      </c>
      <c r="F180" s="11">
        <f t="shared" si="15"/>
        <v>-4.2147836611481173</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-3.9477298590347103</v>
      </c>
      <c r="E181" s="11">
        <f>A181-'Mastercurve bestimmen'!$B$2</f>
        <v>-34</v>
      </c>
      <c r="F181" s="11">
        <f t="shared" si="15"/>
        <v>-3.9477298590347103</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-3.6934266144686854</v>
      </c>
      <c r="E182" s="11">
        <f>A182-'Mastercurve bestimmen'!$B$2</f>
        <v>-33</v>
      </c>
      <c r="F182" s="11">
        <f t="shared" si="15"/>
        <v>-3.6934266144686854</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-3.4514989110515888</v>
      </c>
      <c r="E183" s="11">
        <f>A183-'Mastercurve bestimmen'!$B$2</f>
        <v>-32</v>
      </c>
      <c r="F183" s="11">
        <f t="shared" si="15"/>
        <v>-3.4514989110515888</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-3.2215717323849695</v>
      </c>
      <c r="E184" s="11">
        <f>A184-'Mastercurve bestimmen'!$B$2</f>
        <v>-31</v>
      </c>
      <c r="F184" s="11">
        <f t="shared" si="15"/>
        <v>-3.2215717323849695</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-3.0032700620703747</v>
      </c>
      <c r="E185" s="11">
        <f>A185-'Mastercurve bestimmen'!$B$2</f>
        <v>-30</v>
      </c>
      <c r="F185" s="11">
        <f t="shared" si="15"/>
        <v>-3.0032700620703747</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-2.796218883709352</v>
      </c>
      <c r="E186" s="11">
        <f>A186-'Mastercurve bestimmen'!$B$2</f>
        <v>-29</v>
      </c>
      <c r="F186" s="11">
        <f t="shared" si="15"/>
        <v>-2.796218883709352</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-2.600043180903449</v>
      </c>
      <c r="E187" s="11">
        <f>A187-'Mastercurve bestimmen'!$B$2</f>
        <v>-28</v>
      </c>
      <c r="F187" s="11">
        <f t="shared" si="15"/>
        <v>-2.600043180903449</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-2.4143679372542133</v>
      </c>
      <c r="E188" s="11">
        <f>A188-'Mastercurve bestimmen'!$B$2</f>
        <v>-27</v>
      </c>
      <c r="F188" s="11">
        <f t="shared" si="15"/>
        <v>-2.4143679372542133</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-2.2388181363631925</v>
      </c>
      <c r="E189" s="11">
        <f>A189-'Mastercurve bestimmen'!$B$2</f>
        <v>-26</v>
      </c>
      <c r="F189" s="11">
        <f t="shared" si="15"/>
        <v>-2.2388181363631925</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-2.0730187618319342</v>
      </c>
      <c r="E190" s="11">
        <f>A190-'Mastercurve bestimmen'!$B$2</f>
        <v>-25</v>
      </c>
      <c r="F190" s="11">
        <f t="shared" si="15"/>
        <v>-2.0730187618319342</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-1.9165947972619857</v>
      </c>
      <c r="E191" s="11">
        <f>A191-'Mastercurve bestimmen'!$B$2</f>
        <v>-24</v>
      </c>
      <c r="F191" s="11">
        <f t="shared" si="15"/>
        <v>-1.9165947972619857</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-1.7691712262548951</v>
      </c>
      <c r="E192" s="11">
        <f>A192-'Mastercurve bestimmen'!$B$2</f>
        <v>-23</v>
      </c>
      <c r="F192" s="11">
        <f t="shared" si="15"/>
        <v>-1.7691712262548951</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-1.6303730324122099</v>
      </c>
      <c r="E193" s="11">
        <f>A193-'Mastercurve bestimmen'!$B$2</f>
        <v>-22</v>
      </c>
      <c r="F193" s="11">
        <f t="shared" si="15"/>
        <v>-1.6303730324122099</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-1.4998251993354774</v>
      </c>
      <c r="E194" s="11">
        <f>A194-'Mastercurve bestimmen'!$B$2</f>
        <v>-21</v>
      </c>
      <c r="F194" s="11">
        <f t="shared" si="15"/>
        <v>-1.4998251993354774</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-1.3771527106262451</v>
      </c>
      <c r="E195" s="11">
        <f>A195-'Mastercurve bestimmen'!$B$2</f>
        <v>-20</v>
      </c>
      <c r="F195" s="11">
        <f t="shared" si="15"/>
        <v>-1.3771527106262451</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-1.2619805498860612</v>
      </c>
      <c r="E196" s="11">
        <f>A196-'Mastercurve bestimmen'!$B$2</f>
        <v>-19</v>
      </c>
      <c r="F196" s="11">
        <f t="shared" si="15"/>
        <v>-1.2619805498860612</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-1.1539337007164729</v>
      </c>
      <c r="E197" s="11">
        <f>A197-'Mastercurve bestimmen'!$B$2</f>
        <v>-18</v>
      </c>
      <c r="F197" s="11">
        <f t="shared" si="15"/>
        <v>-1.1539337007164729</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-1.0526371467190279</v>
      </c>
      <c r="E198" s="11">
        <f>A198-'Mastercurve bestimmen'!$B$2</f>
        <v>-17</v>
      </c>
      <c r="F198" s="11">
        <f t="shared" si="15"/>
        <v>-1.0526371467190279</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-0.95771587149527349</v>
      </c>
      <c r="E199" s="11">
        <f>A199-'Mastercurve bestimmen'!$B$2</f>
        <v>-16</v>
      </c>
      <c r="F199" s="11">
        <f t="shared" si="15"/>
        <v>-0.95771587149527349</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-0.86879485864675765</v>
      </c>
      <c r="E200" s="11">
        <f>A200-'Mastercurve bestimmen'!$B$2</f>
        <v>-15</v>
      </c>
      <c r="F200" s="11">
        <f t="shared" si="15"/>
        <v>-0.86879485864675765</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-0.78549909177502786</v>
      </c>
      <c r="E201" s="11">
        <f>A201-'Mastercurve bestimmen'!$B$2</f>
        <v>-14</v>
      </c>
      <c r="F201" s="11">
        <f t="shared" si="15"/>
        <v>-0.78549909177502786</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-0.70745355448163183</v>
      </c>
      <c r="E202" s="11">
        <f>A202-'Mastercurve bestimmen'!$B$2</f>
        <v>-13</v>
      </c>
      <c r="F202" s="11">
        <f t="shared" si="15"/>
        <v>-0.70745355448163183</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-0.63428323036811685</v>
      </c>
      <c r="E203" s="11">
        <f>A203-'Mastercurve bestimmen'!$B$2</f>
        <v>-12</v>
      </c>
      <c r="F203" s="11">
        <f t="shared" si="15"/>
        <v>-0.63428323036811685</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-0.56561310303603085</v>
      </c>
      <c r="E204" s="11">
        <f>A204-'Mastercurve bestimmen'!$B$2</f>
        <v>-11</v>
      </c>
      <c r="F204" s="11">
        <f t="shared" si="15"/>
        <v>-0.56561310303603085</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-0.50106815608692123</v>
      </c>
      <c r="E205" s="11">
        <f>A205-'Mastercurve bestimmen'!$B$2</f>
        <v>-10</v>
      </c>
      <c r="F205" s="11">
        <f t="shared" si="15"/>
        <v>-0.50106815608692123</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-0.44027337312233561</v>
      </c>
      <c r="E206" s="11">
        <f>A206-'Mastercurve bestimmen'!$B$2</f>
        <v>-9</v>
      </c>
      <c r="F206" s="11">
        <f t="shared" si="15"/>
        <v>-0.44027337312233561</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-0.38285373774382164</v>
      </c>
      <c r="E207" s="11">
        <f>A207-'Mastercurve bestimmen'!$B$2</f>
        <v>-8</v>
      </c>
      <c r="F207" s="11">
        <f t="shared" si="15"/>
        <v>-0.38285373774382164</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-0.32843423355292684</v>
      </c>
      <c r="E208" s="11">
        <f>A208-'Mastercurve bestimmen'!$B$2</f>
        <v>-7</v>
      </c>
      <c r="F208" s="11">
        <f t="shared" ref="F208:F215" si="21">B208</f>
        <v>-0.32843423355292684</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-0.27663984415119897</v>
      </c>
      <c r="E209" s="11">
        <f>A209-'Mastercurve bestimmen'!$B$2</f>
        <v>-6</v>
      </c>
      <c r="F209" s="11">
        <f t="shared" si="21"/>
        <v>-0.27663984415119897</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-0.22709555314018542</v>
      </c>
      <c r="E210" s="11">
        <f>A210-'Mastercurve bestimmen'!$B$2</f>
        <v>-5</v>
      </c>
      <c r="F210" s="11">
        <f t="shared" si="21"/>
        <v>-0.22709555314018542</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-0.17942634412143393</v>
      </c>
      <c r="E211" s="11">
        <f>A211-'Mastercurve bestimmen'!$B$2</f>
        <v>-4</v>
      </c>
      <c r="F211" s="11">
        <f t="shared" si="21"/>
        <v>-0.17942634412143393</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-0.13325720069649202</v>
      </c>
      <c r="E212" s="11">
        <f>A212-'Mastercurve bestimmen'!$B$2</f>
        <v>-3</v>
      </c>
      <c r="F212" s="11">
        <f t="shared" si="21"/>
        <v>-0.13325720069649202</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-8.8213106466907346E-2</v>
      </c>
      <c r="E213" s="11">
        <f>A213-'Mastercurve bestimmen'!$B$2</f>
        <v>-2</v>
      </c>
      <c r="F213" s="11">
        <f t="shared" si="21"/>
        <v>-8.8213106466907346E-2</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-4.3919045034227472E-2</v>
      </c>
      <c r="E214" s="11">
        <f>A214-'Mastercurve bestimmen'!$B$2</f>
        <v>-1</v>
      </c>
      <c r="F214" s="11">
        <f t="shared" si="21"/>
        <v>-4.3919045034227472E-2</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0.1473195179675631</v>
      </c>
      <c r="J217" s="98">
        <v>1.359348832498047E-2</v>
      </c>
      <c r="K217" s="98">
        <v>6.4361740415686821E-4</v>
      </c>
      <c r="L217" s="98">
        <v>1.04871837428242E-5</v>
      </c>
      <c r="M217" s="98">
        <v>8.4755934128179531E-8</v>
      </c>
      <c r="N217" s="98">
        <v>3.6398089481908068E-10</v>
      </c>
      <c r="O217" s="98">
        <v>7.7985488329269601E-13</v>
      </c>
      <c r="P217" s="98">
        <v>6.3280155537831774E-16</v>
      </c>
    </row>
    <row r="218" spans="1:16" x14ac:dyDescent="0.25">
      <c r="G218" s="11"/>
      <c r="H218" s="11">
        <v>0</v>
      </c>
      <c r="I218" s="11">
        <v>8.3429910118593114E-3</v>
      </c>
      <c r="J218" s="11">
        <v>8.2740947230981385E-4</v>
      </c>
      <c r="K218" s="3">
        <v>3.1394290388540496E-5</v>
      </c>
      <c r="L218" s="3">
        <v>5.9848105178240809E-7</v>
      </c>
      <c r="M218" s="3">
        <v>6.3008650762939306E-9</v>
      </c>
      <c r="N218" s="3">
        <v>3.7171972367810235E-11</v>
      </c>
      <c r="O218" s="11">
        <v>1.1507868625760365E-13</v>
      </c>
      <c r="P218" s="11">
        <v>1.4550139221107784E-16</v>
      </c>
    </row>
    <row r="219" spans="1:16" x14ac:dyDescent="0.25">
      <c r="G219" s="11"/>
      <c r="H219" s="11">
        <v>0.99998574760496384</v>
      </c>
      <c r="I219" s="11">
        <v>0.1139316106755978</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-44.461792304823803</v>
      </c>
      <c r="G222">
        <f>F15</f>
        <v>-44.26089696904954</v>
      </c>
    </row>
    <row r="223" spans="1:16" x14ac:dyDescent="0.25">
      <c r="E223" s="11">
        <f t="shared" ref="E223:E286" si="25">E16</f>
        <v>-199</v>
      </c>
      <c r="F223" s="11">
        <f t="shared" ref="F223:F286" si="26">$H$217*0+E223*$I$217+E223^2*$J$217+E223^3*$K$217+E223^4*$L$217+E223^5*$M$217+E223^6*$N$217+E223^7*$O$217+E223^8*$P$217</f>
        <v>-44.334378485966681</v>
      </c>
      <c r="G223" s="11">
        <f t="shared" ref="G223:G286" si="27">F16</f>
        <v>-44.209069751636108</v>
      </c>
    </row>
    <row r="224" spans="1:16" x14ac:dyDescent="0.25">
      <c r="E224" s="11">
        <f t="shared" si="25"/>
        <v>-198</v>
      </c>
      <c r="F224" s="11">
        <f t="shared" si="26"/>
        <v>-44.219964057816696</v>
      </c>
      <c r="G224" s="11">
        <f t="shared" si="27"/>
        <v>-44.157156318455577</v>
      </c>
    </row>
    <row r="225" spans="5:7" x14ac:dyDescent="0.25">
      <c r="E225" s="11">
        <f t="shared" si="25"/>
        <v>-197</v>
      </c>
      <c r="F225" s="11">
        <f t="shared" si="26"/>
        <v>-44.117159042963067</v>
      </c>
      <c r="G225" s="11">
        <f t="shared" si="27"/>
        <v>-44.105070453740851</v>
      </c>
    </row>
    <row r="226" spans="5:7" x14ac:dyDescent="0.25">
      <c r="E226" s="11">
        <f t="shared" si="25"/>
        <v>-196</v>
      </c>
      <c r="F226" s="11">
        <f t="shared" si="26"/>
        <v>-44.024649580190953</v>
      </c>
      <c r="G226" s="11">
        <f t="shared" si="27"/>
        <v>-44.05272594172483</v>
      </c>
    </row>
    <row r="227" spans="5:7" x14ac:dyDescent="0.25">
      <c r="E227" s="11">
        <f t="shared" si="25"/>
        <v>-195</v>
      </c>
      <c r="F227" s="11">
        <f t="shared" si="26"/>
        <v>-43.941195615228708</v>
      </c>
      <c r="G227" s="11">
        <f t="shared" si="27"/>
        <v>-44.000036566640411</v>
      </c>
    </row>
    <row r="228" spans="5:7" x14ac:dyDescent="0.25">
      <c r="E228" s="11">
        <f t="shared" si="25"/>
        <v>-194</v>
      </c>
      <c r="F228" s="11">
        <f t="shared" si="26"/>
        <v>-43.865628608632278</v>
      </c>
      <c r="G228" s="11">
        <f t="shared" si="27"/>
        <v>-43.946916112720494</v>
      </c>
    </row>
    <row r="229" spans="5:7" x14ac:dyDescent="0.25">
      <c r="E229" s="11">
        <f t="shared" si="25"/>
        <v>-193</v>
      </c>
      <c r="F229" s="11">
        <f t="shared" si="26"/>
        <v>-43.796849261877469</v>
      </c>
      <c r="G229" s="11">
        <f t="shared" si="27"/>
        <v>-43.893278364197982</v>
      </c>
    </row>
    <row r="230" spans="5:7" x14ac:dyDescent="0.25">
      <c r="E230" s="11">
        <f t="shared" si="25"/>
        <v>-192</v>
      </c>
      <c r="F230" s="11">
        <f t="shared" si="26"/>
        <v>-43.733825262719847</v>
      </c>
      <c r="G230" s="11">
        <f t="shared" si="27"/>
        <v>-43.839037105305778</v>
      </c>
    </row>
    <row r="231" spans="5:7" x14ac:dyDescent="0.25">
      <c r="E231" s="11">
        <f t="shared" si="25"/>
        <v>-191</v>
      </c>
      <c r="F231" s="11">
        <f t="shared" si="26"/>
        <v>-43.675589050875942</v>
      </c>
      <c r="G231" s="11">
        <f t="shared" si="27"/>
        <v>-43.784106120276775</v>
      </c>
    </row>
    <row r="232" spans="5:7" x14ac:dyDescent="0.25">
      <c r="E232" s="11">
        <f t="shared" si="25"/>
        <v>-190</v>
      </c>
      <c r="F232" s="11">
        <f t="shared" si="26"/>
        <v>-43.621235605003903</v>
      </c>
      <c r="G232" s="11">
        <f t="shared" si="27"/>
        <v>-43.728399193343897</v>
      </c>
    </row>
    <row r="233" spans="5:7" x14ac:dyDescent="0.25">
      <c r="E233" s="11">
        <f t="shared" si="25"/>
        <v>-189</v>
      </c>
      <c r="F233" s="11">
        <f t="shared" si="26"/>
        <v>-43.569920251962003</v>
      </c>
      <c r="G233" s="11">
        <f t="shared" si="27"/>
        <v>-43.671830108740018</v>
      </c>
    </row>
    <row r="234" spans="5:7" x14ac:dyDescent="0.25">
      <c r="E234" s="11">
        <f t="shared" si="25"/>
        <v>-188</v>
      </c>
      <c r="F234" s="11">
        <f t="shared" si="26"/>
        <v>-43.520856499372485</v>
      </c>
      <c r="G234" s="11">
        <f t="shared" si="27"/>
        <v>-43.614312650698054</v>
      </c>
    </row>
    <row r="235" spans="5:7" x14ac:dyDescent="0.25">
      <c r="E235" s="11">
        <f t="shared" si="25"/>
        <v>-187</v>
      </c>
      <c r="F235" s="11">
        <f t="shared" si="26"/>
        <v>-43.473313892294186</v>
      </c>
      <c r="G235" s="11">
        <f t="shared" si="27"/>
        <v>-43.555760603450892</v>
      </c>
    </row>
    <row r="236" spans="5:7" x14ac:dyDescent="0.25">
      <c r="E236" s="11">
        <f t="shared" si="25"/>
        <v>-186</v>
      </c>
      <c r="F236" s="11">
        <f t="shared" si="26"/>
        <v>-43.426615895009377</v>
      </c>
      <c r="G236" s="11">
        <f t="shared" si="27"/>
        <v>-43.496087751231457</v>
      </c>
    </row>
    <row r="237" spans="5:7" x14ac:dyDescent="0.25">
      <c r="E237" s="11">
        <f t="shared" si="25"/>
        <v>-185</v>
      </c>
      <c r="F237" s="11">
        <f t="shared" si="26"/>
        <v>-43.38013779880157</v>
      </c>
      <c r="G237" s="11">
        <f t="shared" si="27"/>
        <v>-43.435207878272628</v>
      </c>
    </row>
    <row r="238" spans="5:7" x14ac:dyDescent="0.25">
      <c r="E238" s="11">
        <f t="shared" si="25"/>
        <v>-184</v>
      </c>
      <c r="F238" s="11">
        <f t="shared" si="26"/>
        <v>-43.333304656491691</v>
      </c>
      <c r="G238" s="11">
        <f t="shared" si="27"/>
        <v>-43.373034768807315</v>
      </c>
    </row>
    <row r="239" spans="5:7" x14ac:dyDescent="0.25">
      <c r="E239" s="11">
        <f t="shared" si="25"/>
        <v>-183</v>
      </c>
      <c r="F239" s="11">
        <f t="shared" si="26"/>
        <v>-43.285589244649714</v>
      </c>
      <c r="G239" s="11">
        <f t="shared" si="27"/>
        <v>-43.309482207068413</v>
      </c>
    </row>
    <row r="240" spans="5:7" x14ac:dyDescent="0.25">
      <c r="E240" s="11">
        <f t="shared" si="25"/>
        <v>-182</v>
      </c>
      <c r="F240" s="11">
        <f t="shared" si="26"/>
        <v>-43.236510054272003</v>
      </c>
      <c r="G240" s="11">
        <f t="shared" si="27"/>
        <v>-43.244463977288831</v>
      </c>
    </row>
    <row r="241" spans="5:7" x14ac:dyDescent="0.25">
      <c r="E241" s="11">
        <f t="shared" si="25"/>
        <v>-181</v>
      </c>
      <c r="F241" s="11">
        <f t="shared" si="26"/>
        <v>-43.185629310630588</v>
      </c>
      <c r="G241" s="11">
        <f t="shared" si="27"/>
        <v>-43.17789386370147</v>
      </c>
    </row>
    <row r="242" spans="5:7" x14ac:dyDescent="0.25">
      <c r="E242" s="11">
        <f t="shared" si="25"/>
        <v>-180</v>
      </c>
      <c r="F242" s="11">
        <f t="shared" si="26"/>
        <v>-43.132551023150995</v>
      </c>
      <c r="G242" s="11">
        <f t="shared" si="27"/>
        <v>-43.109685650539227</v>
      </c>
    </row>
    <row r="243" spans="5:7" x14ac:dyDescent="0.25">
      <c r="E243" s="11">
        <f t="shared" si="25"/>
        <v>-179</v>
      </c>
      <c r="F243" s="11">
        <f t="shared" si="26"/>
        <v>-43.076919065945617</v>
      </c>
      <c r="G243" s="11">
        <f t="shared" si="27"/>
        <v>-43.039753122035002</v>
      </c>
    </row>
    <row r="244" spans="5:7" x14ac:dyDescent="0.25">
      <c r="E244" s="11">
        <f t="shared" si="25"/>
        <v>-178</v>
      </c>
      <c r="F244" s="11">
        <f t="shared" si="26"/>
        <v>-43.018415289781046</v>
      </c>
      <c r="G244" s="11">
        <f t="shared" si="27"/>
        <v>-42.968010062421698</v>
      </c>
    </row>
    <row r="245" spans="5:7" x14ac:dyDescent="0.25">
      <c r="E245" s="11">
        <f t="shared" si="25"/>
        <v>-177</v>
      </c>
      <c r="F245" s="11">
        <f t="shared" si="26"/>
        <v>-42.956757666103726</v>
      </c>
      <c r="G245" s="11">
        <f t="shared" si="27"/>
        <v>-42.894370255932216</v>
      </c>
    </row>
    <row r="246" spans="5:7" x14ac:dyDescent="0.25">
      <c r="E246" s="11">
        <f t="shared" si="25"/>
        <v>-176</v>
      </c>
      <c r="F246" s="11">
        <f t="shared" si="26"/>
        <v>-42.891698463785701</v>
      </c>
      <c r="G246" s="11">
        <f t="shared" si="27"/>
        <v>-42.818747486799452</v>
      </c>
    </row>
    <row r="247" spans="5:7" x14ac:dyDescent="0.25">
      <c r="E247" s="11">
        <f t="shared" si="25"/>
        <v>-175</v>
      </c>
      <c r="F247" s="11">
        <f t="shared" si="26"/>
        <v>-42.823022459253934</v>
      </c>
      <c r="G247" s="11">
        <f t="shared" si="27"/>
        <v>-42.741055539256308</v>
      </c>
    </row>
    <row r="248" spans="5:7" x14ac:dyDescent="0.25">
      <c r="E248" s="11">
        <f t="shared" si="25"/>
        <v>-174</v>
      </c>
      <c r="F248" s="11">
        <f t="shared" si="26"/>
        <v>-42.750545180511494</v>
      </c>
      <c r="G248" s="11">
        <f t="shared" si="27"/>
        <v>-42.6612081975357</v>
      </c>
    </row>
    <row r="249" spans="5:7" x14ac:dyDescent="0.25">
      <c r="E249" s="11">
        <f t="shared" si="25"/>
        <v>-173</v>
      </c>
      <c r="F249" s="11">
        <f t="shared" si="26"/>
        <v>-42.674111185738695</v>
      </c>
      <c r="G249" s="11">
        <f t="shared" si="27"/>
        <v>-42.579119245870515</v>
      </c>
    </row>
    <row r="250" spans="5:7" x14ac:dyDescent="0.25">
      <c r="E250" s="11">
        <f t="shared" si="25"/>
        <v>-172</v>
      </c>
      <c r="F250" s="11">
        <f t="shared" si="26"/>
        <v>-42.593592376911658</v>
      </c>
      <c r="G250" s="11">
        <f t="shared" si="27"/>
        <v>-42.494702468493649</v>
      </c>
    </row>
    <row r="251" spans="5:7" x14ac:dyDescent="0.25">
      <c r="E251" s="11">
        <f t="shared" si="25"/>
        <v>-171</v>
      </c>
      <c r="F251" s="11">
        <f t="shared" si="26"/>
        <v>-42.508886349036572</v>
      </c>
      <c r="G251" s="11">
        <f t="shared" si="27"/>
        <v>-42.407871649638018</v>
      </c>
    </row>
    <row r="252" spans="5:7" x14ac:dyDescent="0.25">
      <c r="E252" s="11">
        <f t="shared" si="25"/>
        <v>-170</v>
      </c>
      <c r="F252" s="11">
        <f t="shared" si="26"/>
        <v>-42.419914775481175</v>
      </c>
      <c r="G252" s="11">
        <f t="shared" si="27"/>
        <v>-42.318540573536509</v>
      </c>
    </row>
    <row r="253" spans="5:7" x14ac:dyDescent="0.25">
      <c r="E253" s="11">
        <f t="shared" si="25"/>
        <v>-169</v>
      </c>
      <c r="F253" s="11">
        <f t="shared" si="26"/>
        <v>-42.326621829825513</v>
      </c>
      <c r="G253" s="11">
        <f t="shared" si="27"/>
        <v>-42.22662302442204</v>
      </c>
    </row>
    <row r="254" spans="5:7" x14ac:dyDescent="0.25">
      <c r="E254" s="11">
        <f t="shared" si="25"/>
        <v>-168</v>
      </c>
      <c r="F254" s="11">
        <f t="shared" si="26"/>
        <v>-42.228972644742043</v>
      </c>
      <c r="G254" s="11">
        <f t="shared" si="27"/>
        <v>-42.132032786527489</v>
      </c>
    </row>
    <row r="255" spans="5:7" x14ac:dyDescent="0.25">
      <c r="E255" s="11">
        <f t="shared" si="25"/>
        <v>-167</v>
      </c>
      <c r="F255" s="11">
        <f t="shared" si="26"/>
        <v>-42.126951808300191</v>
      </c>
      <c r="G255" s="11">
        <f t="shared" si="27"/>
        <v>-42.034683644085774</v>
      </c>
    </row>
    <row r="256" spans="5:7" x14ac:dyDescent="0.25">
      <c r="E256" s="11">
        <f t="shared" si="25"/>
        <v>-166</v>
      </c>
      <c r="F256" s="11">
        <f t="shared" si="26"/>
        <v>-42.020561898070923</v>
      </c>
      <c r="G256" s="11">
        <f t="shared" si="27"/>
        <v>-41.934489381329797</v>
      </c>
    </row>
    <row r="257" spans="5:7" x14ac:dyDescent="0.25">
      <c r="E257" s="11">
        <f t="shared" si="25"/>
        <v>-165</v>
      </c>
      <c r="F257" s="11">
        <f t="shared" si="26"/>
        <v>-41.909822053422999</v>
      </c>
      <c r="G257" s="11">
        <f t="shared" si="27"/>
        <v>-41.831363782492438</v>
      </c>
    </row>
    <row r="258" spans="5:7" x14ac:dyDescent="0.25">
      <c r="E258" s="11">
        <f t="shared" si="25"/>
        <v>-164</v>
      </c>
      <c r="F258" s="11">
        <f t="shared" si="26"/>
        <v>-41.794766586344508</v>
      </c>
      <c r="G258" s="11">
        <f t="shared" si="27"/>
        <v>-41.725220631806629</v>
      </c>
    </row>
    <row r="259" spans="5:7" x14ac:dyDescent="0.25">
      <c r="E259" s="11">
        <f t="shared" si="25"/>
        <v>-163</v>
      </c>
      <c r="F259" s="11">
        <f t="shared" si="26"/>
        <v>-41.675443631119435</v>
      </c>
      <c r="G259" s="11">
        <f t="shared" si="27"/>
        <v>-41.615973713505248</v>
      </c>
    </row>
    <row r="260" spans="5:7" x14ac:dyDescent="0.25">
      <c r="E260" s="11">
        <f t="shared" si="25"/>
        <v>-162</v>
      </c>
      <c r="F260" s="11">
        <f t="shared" si="26"/>
        <v>-41.551913833131096</v>
      </c>
      <c r="G260" s="11">
        <f t="shared" si="27"/>
        <v>-41.503536811821206</v>
      </c>
    </row>
    <row r="261" spans="5:7" x14ac:dyDescent="0.25">
      <c r="E261" s="11">
        <f t="shared" si="25"/>
        <v>-161</v>
      </c>
      <c r="F261" s="11">
        <f t="shared" si="26"/>
        <v>-41.424249077073227</v>
      </c>
      <c r="G261" s="11">
        <f t="shared" si="27"/>
        <v>-41.387823710987398</v>
      </c>
    </row>
    <row r="262" spans="5:7" x14ac:dyDescent="0.25">
      <c r="E262" s="11">
        <f t="shared" si="25"/>
        <v>-160</v>
      </c>
      <c r="F262" s="11">
        <f t="shared" si="26"/>
        <v>-41.292531254810683</v>
      </c>
      <c r="G262" s="11">
        <f t="shared" si="27"/>
        <v>-41.268748195236732</v>
      </c>
    </row>
    <row r="263" spans="5:7" x14ac:dyDescent="0.25">
      <c r="E263" s="11">
        <f t="shared" si="25"/>
        <v>-159</v>
      </c>
      <c r="F263" s="11">
        <f t="shared" si="26"/>
        <v>-41.156851073091673</v>
      </c>
      <c r="G263" s="11">
        <f t="shared" si="27"/>
        <v>-41.140474863702025</v>
      </c>
    </row>
    <row r="264" spans="5:7" x14ac:dyDescent="0.25">
      <c r="E264" s="11">
        <f t="shared" si="25"/>
        <v>-158</v>
      </c>
      <c r="F264" s="11">
        <f t="shared" si="26"/>
        <v>-41.017306901327402</v>
      </c>
      <c r="G264" s="11">
        <f t="shared" si="27"/>
        <v>-41.008782269588082</v>
      </c>
    </row>
    <row r="265" spans="5:7" x14ac:dyDescent="0.25">
      <c r="E265" s="11">
        <f t="shared" si="25"/>
        <v>-157</v>
      </c>
      <c r="F265" s="11">
        <f t="shared" si="26"/>
        <v>-40.874003659570008</v>
      </c>
      <c r="G265" s="11">
        <f t="shared" si="27"/>
        <v>-40.873699780999644</v>
      </c>
    </row>
    <row r="266" spans="5:7" x14ac:dyDescent="0.25">
      <c r="E266" s="11">
        <f t="shared" si="25"/>
        <v>-156</v>
      </c>
      <c r="F266" s="11">
        <f t="shared" si="26"/>
        <v>-40.727051746857569</v>
      </c>
      <c r="G266" s="11">
        <f t="shared" si="27"/>
        <v>-40.735256766041417</v>
      </c>
    </row>
    <row r="267" spans="5:7" x14ac:dyDescent="0.25">
      <c r="E267" s="11">
        <f t="shared" si="25"/>
        <v>-155</v>
      </c>
      <c r="F267" s="11">
        <f t="shared" si="26"/>
        <v>-40.576566010025033</v>
      </c>
      <c r="G267" s="11">
        <f t="shared" si="27"/>
        <v>-40.593482592818148</v>
      </c>
    </row>
    <row r="268" spans="5:7" x14ac:dyDescent="0.25">
      <c r="E268" s="11">
        <f t="shared" si="25"/>
        <v>-154</v>
      </c>
      <c r="F268" s="11">
        <f t="shared" si="26"/>
        <v>-40.422664753068233</v>
      </c>
      <c r="G268" s="11">
        <f t="shared" si="27"/>
        <v>-40.448406629434558</v>
      </c>
    </row>
    <row r="269" spans="5:7" x14ac:dyDescent="0.25">
      <c r="E269" s="11">
        <f t="shared" si="25"/>
        <v>-153</v>
      </c>
      <c r="F269" s="11">
        <f t="shared" si="26"/>
        <v>-40.265468787128157</v>
      </c>
      <c r="G269" s="11">
        <f t="shared" si="27"/>
        <v>-40.300058243995366</v>
      </c>
    </row>
    <row r="270" spans="5:7" x14ac:dyDescent="0.25">
      <c r="E270" s="11">
        <f t="shared" si="25"/>
        <v>-152</v>
      </c>
      <c r="F270" s="11">
        <f t="shared" si="26"/>
        <v>-40.105100521140912</v>
      </c>
      <c r="G270" s="11">
        <f t="shared" si="27"/>
        <v>-40.148466804605313</v>
      </c>
    </row>
    <row r="271" spans="5:7" x14ac:dyDescent="0.25">
      <c r="E271" s="11">
        <f t="shared" si="25"/>
        <v>-151</v>
      </c>
      <c r="F271" s="11">
        <f t="shared" si="26"/>
        <v>-39.941683093139432</v>
      </c>
      <c r="G271" s="11">
        <f t="shared" si="27"/>
        <v>-39.993661679369126</v>
      </c>
    </row>
    <row r="272" spans="5:7" x14ac:dyDescent="0.25">
      <c r="E272" s="11">
        <f t="shared" si="25"/>
        <v>-150</v>
      </c>
      <c r="F272" s="11">
        <f t="shared" si="26"/>
        <v>-39.775339542223719</v>
      </c>
      <c r="G272" s="11">
        <f t="shared" si="27"/>
        <v>-39.835672236391531</v>
      </c>
    </row>
    <row r="273" spans="5:7" x14ac:dyDescent="0.25">
      <c r="E273" s="11">
        <f t="shared" si="25"/>
        <v>-149</v>
      </c>
      <c r="F273" s="11">
        <f t="shared" si="26"/>
        <v>-39.606192021136252</v>
      </c>
      <c r="G273" s="11">
        <f t="shared" si="27"/>
        <v>-39.674527843777241</v>
      </c>
    </row>
    <row r="274" spans="5:7" x14ac:dyDescent="0.25">
      <c r="E274" s="11">
        <f t="shared" si="25"/>
        <v>-148</v>
      </c>
      <c r="F274" s="11">
        <f t="shared" si="26"/>
        <v>-39.434361049393203</v>
      </c>
      <c r="G274" s="11">
        <f t="shared" si="27"/>
        <v>-39.510257869631012</v>
      </c>
    </row>
    <row r="275" spans="5:7" x14ac:dyDescent="0.25">
      <c r="E275" s="11">
        <f t="shared" si="25"/>
        <v>-147</v>
      </c>
      <c r="F275" s="11">
        <f t="shared" si="26"/>
        <v>-39.259964806866947</v>
      </c>
      <c r="G275" s="11">
        <f t="shared" si="27"/>
        <v>-39.342891682057548</v>
      </c>
    </row>
    <row r="276" spans="5:7" x14ac:dyDescent="0.25">
      <c r="E276" s="11">
        <f t="shared" si="25"/>
        <v>-146</v>
      </c>
      <c r="F276" s="11">
        <f t="shared" si="26"/>
        <v>-39.083118467717497</v>
      </c>
      <c r="G276" s="11">
        <f t="shared" si="27"/>
        <v>-39.172458649161598</v>
      </c>
    </row>
    <row r="277" spans="5:7" x14ac:dyDescent="0.25">
      <c r="E277" s="11">
        <f t="shared" si="25"/>
        <v>-145</v>
      </c>
      <c r="F277" s="11">
        <f t="shared" si="26"/>
        <v>-38.903933574528025</v>
      </c>
      <c r="G277" s="11">
        <f t="shared" si="27"/>
        <v>-38.998988139047867</v>
      </c>
    </row>
    <row r="278" spans="5:7" x14ac:dyDescent="0.25">
      <c r="E278" s="11">
        <f t="shared" si="25"/>
        <v>-144</v>
      </c>
      <c r="F278" s="11">
        <f t="shared" si="26"/>
        <v>-38.722517452462114</v>
      </c>
      <c r="G278" s="11">
        <f t="shared" si="27"/>
        <v>-38.822509519821097</v>
      </c>
    </row>
    <row r="279" spans="5:7" x14ac:dyDescent="0.25">
      <c r="E279" s="11">
        <f t="shared" si="25"/>
        <v>-143</v>
      </c>
      <c r="F279" s="11">
        <f t="shared" si="26"/>
        <v>-38.538972663278471</v>
      </c>
      <c r="G279" s="11">
        <f t="shared" si="27"/>
        <v>-38.643052159586006</v>
      </c>
    </row>
    <row r="280" spans="5:7" x14ac:dyDescent="0.25">
      <c r="E280" s="11">
        <f t="shared" si="25"/>
        <v>-142</v>
      </c>
      <c r="F280" s="11">
        <f t="shared" si="26"/>
        <v>-38.353396498956883</v>
      </c>
      <c r="G280" s="11">
        <f t="shared" si="27"/>
        <v>-38.460645426447343</v>
      </c>
    </row>
    <row r="281" spans="5:7" x14ac:dyDescent="0.25">
      <c r="E281" s="11">
        <f t="shared" si="25"/>
        <v>-141</v>
      </c>
      <c r="F281" s="11">
        <f t="shared" si="26"/>
        <v>-38.165880514707155</v>
      </c>
      <c r="G281" s="11">
        <f t="shared" si="27"/>
        <v>-38.275318688509813</v>
      </c>
    </row>
    <row r="282" spans="5:7" x14ac:dyDescent="0.25">
      <c r="E282" s="11">
        <f t="shared" si="25"/>
        <v>-140</v>
      </c>
      <c r="F282" s="11">
        <f t="shared" si="26"/>
        <v>-37.976510101095158</v>
      </c>
      <c r="G282" s="11">
        <f t="shared" si="27"/>
        <v>-38.087101313878151</v>
      </c>
    </row>
    <row r="283" spans="5:7" x14ac:dyDescent="0.25">
      <c r="E283" s="11">
        <f t="shared" si="25"/>
        <v>-139</v>
      </c>
      <c r="F283" s="11">
        <f t="shared" si="26"/>
        <v>-37.785364094980153</v>
      </c>
      <c r="G283" s="11">
        <f t="shared" si="27"/>
        <v>-37.896022670657089</v>
      </c>
    </row>
    <row r="284" spans="5:7" x14ac:dyDescent="0.25">
      <c r="E284" s="11">
        <f t="shared" si="25"/>
        <v>-138</v>
      </c>
      <c r="F284" s="11">
        <f t="shared" si="26"/>
        <v>-37.592514428940063</v>
      </c>
      <c r="G284" s="11">
        <f t="shared" si="27"/>
        <v>-37.702112126951349</v>
      </c>
    </row>
    <row r="285" spans="5:7" x14ac:dyDescent="0.25">
      <c r="E285" s="11">
        <f t="shared" si="25"/>
        <v>-137</v>
      </c>
      <c r="F285" s="11">
        <f t="shared" si="26"/>
        <v>-37.398025818863644</v>
      </c>
      <c r="G285" s="11">
        <f t="shared" si="27"/>
        <v>-37.50539905086567</v>
      </c>
    </row>
    <row r="286" spans="5:7" x14ac:dyDescent="0.25">
      <c r="E286" s="11">
        <f t="shared" si="25"/>
        <v>-136</v>
      </c>
      <c r="F286" s="11">
        <f t="shared" si="26"/>
        <v>-37.201955489309327</v>
      </c>
      <c r="G286" s="11">
        <f t="shared" si="27"/>
        <v>-37.305912810504772</v>
      </c>
    </row>
    <row r="287" spans="5:7" x14ac:dyDescent="0.25">
      <c r="E287" s="11">
        <f t="shared" ref="E287:E350" si="28">E80</f>
        <v>-135</v>
      </c>
      <c r="F287" s="11">
        <f t="shared" ref="F287:F350" si="29">$H$217*0+E287*$I$217+E287^2*$J$217+E287^3*$K$217+E287^4*$L$217+E287^5*$M$217+E287^6*$N$217+E287^7*$O$217+E287^8*$P$217</f>
        <v>-37.004352936251138</v>
      </c>
      <c r="G287" s="11">
        <f t="shared" ref="G287:G350" si="30">F80</f>
        <v>-37.103682773973375</v>
      </c>
    </row>
    <row r="288" spans="5:7" x14ac:dyDescent="0.25">
      <c r="E288" s="11">
        <f t="shared" si="28"/>
        <v>-134</v>
      </c>
      <c r="F288" s="11">
        <f t="shared" si="29"/>
        <v>-36.805259726784527</v>
      </c>
      <c r="G288" s="11">
        <f t="shared" si="30"/>
        <v>-36.898747183581214</v>
      </c>
    </row>
    <row r="289" spans="5:7" x14ac:dyDescent="0.25">
      <c r="E289" s="11">
        <f t="shared" si="28"/>
        <v>-133</v>
      </c>
      <c r="F289" s="11">
        <f t="shared" si="29"/>
        <v>-36.604709335342925</v>
      </c>
      <c r="G289" s="11">
        <f t="shared" si="30"/>
        <v>-36.691179778457993</v>
      </c>
    </row>
    <row r="290" spans="5:7" x14ac:dyDescent="0.25">
      <c r="E290" s="11">
        <f t="shared" si="28"/>
        <v>-132</v>
      </c>
      <c r="F290" s="11">
        <f t="shared" si="29"/>
        <v>-36.402727015955215</v>
      </c>
      <c r="G290" s="11">
        <f t="shared" si="30"/>
        <v>-36.481063171938388</v>
      </c>
    </row>
    <row r="291" spans="5:7" x14ac:dyDescent="0.25">
      <c r="E291" s="11">
        <f t="shared" si="28"/>
        <v>-131</v>
      </c>
      <c r="F291" s="11">
        <f t="shared" si="29"/>
        <v>-36.199329710043827</v>
      </c>
      <c r="G291" s="11">
        <f t="shared" si="30"/>
        <v>-36.268479977357138</v>
      </c>
    </row>
    <row r="292" spans="5:7" x14ac:dyDescent="0.25">
      <c r="E292" s="11">
        <f t="shared" si="28"/>
        <v>-130</v>
      </c>
      <c r="F292" s="11">
        <f t="shared" si="29"/>
        <v>-35.994525989236578</v>
      </c>
      <c r="G292" s="11">
        <f t="shared" si="30"/>
        <v>-36.0535128080489</v>
      </c>
    </row>
    <row r="293" spans="5:7" x14ac:dyDescent="0.25">
      <c r="E293" s="11">
        <f t="shared" si="28"/>
        <v>-129</v>
      </c>
      <c r="F293" s="11">
        <f t="shared" si="29"/>
        <v>-35.788316032650748</v>
      </c>
      <c r="G293" s="11">
        <f t="shared" si="30"/>
        <v>-35.836244277348399</v>
      </c>
    </row>
    <row r="294" spans="5:7" x14ac:dyDescent="0.25">
      <c r="E294" s="11">
        <f t="shared" si="28"/>
        <v>-128</v>
      </c>
      <c r="F294" s="11">
        <f t="shared" si="29"/>
        <v>-35.580691638058418</v>
      </c>
      <c r="G294" s="11">
        <f t="shared" si="30"/>
        <v>-35.616756998590319</v>
      </c>
    </row>
    <row r="295" spans="5:7" x14ac:dyDescent="0.25">
      <c r="E295" s="11">
        <f t="shared" si="28"/>
        <v>-127</v>
      </c>
      <c r="F295" s="11">
        <f t="shared" si="29"/>
        <v>-35.371636266352937</v>
      </c>
      <c r="G295" s="11">
        <f t="shared" si="30"/>
        <v>-35.395133585109356</v>
      </c>
    </row>
    <row r="296" spans="5:7" x14ac:dyDescent="0.25">
      <c r="E296" s="11">
        <f t="shared" si="28"/>
        <v>-126</v>
      </c>
      <c r="F296" s="11">
        <f t="shared" si="29"/>
        <v>-35.161125118671663</v>
      </c>
      <c r="G296" s="11">
        <f t="shared" si="30"/>
        <v>-35.171456650240216</v>
      </c>
    </row>
    <row r="297" spans="5:7" x14ac:dyDescent="0.25">
      <c r="E297" s="11">
        <f t="shared" si="28"/>
        <v>-125</v>
      </c>
      <c r="F297" s="11">
        <f t="shared" si="29"/>
        <v>-34.949125245533715</v>
      </c>
      <c r="G297" s="11">
        <f t="shared" si="30"/>
        <v>-34.945808807317604</v>
      </c>
    </row>
    <row r="298" spans="5:7" x14ac:dyDescent="0.25">
      <c r="E298" s="11">
        <f t="shared" si="28"/>
        <v>-124</v>
      </c>
      <c r="F298" s="11">
        <f t="shared" si="29"/>
        <v>-34.735595687313435</v>
      </c>
      <c r="G298" s="11">
        <f t="shared" si="30"/>
        <v>-34.718272669676196</v>
      </c>
    </row>
    <row r="299" spans="5:7" x14ac:dyDescent="0.25">
      <c r="E299" s="11">
        <f t="shared" si="28"/>
        <v>-123</v>
      </c>
      <c r="F299" s="11">
        <f t="shared" si="29"/>
        <v>-34.520487645342826</v>
      </c>
      <c r="G299" s="11">
        <f t="shared" si="30"/>
        <v>-34.488930850650711</v>
      </c>
    </row>
    <row r="300" spans="5:7" x14ac:dyDescent="0.25">
      <c r="E300" s="11">
        <f t="shared" si="28"/>
        <v>-122</v>
      </c>
      <c r="F300" s="11">
        <f t="shared" si="29"/>
        <v>-34.303744682920424</v>
      </c>
      <c r="G300" s="11">
        <f t="shared" si="30"/>
        <v>-34.257865963575838</v>
      </c>
    </row>
    <row r="301" spans="5:7" x14ac:dyDescent="0.25">
      <c r="E301" s="11">
        <f t="shared" si="28"/>
        <v>-121</v>
      </c>
      <c r="F301" s="11">
        <f t="shared" si="29"/>
        <v>-34.085302955466219</v>
      </c>
      <c r="G301" s="11">
        <f t="shared" si="30"/>
        <v>-34.02516062178627</v>
      </c>
    </row>
    <row r="302" spans="5:7" x14ac:dyDescent="0.25">
      <c r="E302" s="11">
        <f t="shared" si="28"/>
        <v>-120</v>
      </c>
      <c r="F302" s="11">
        <f t="shared" si="29"/>
        <v>-33.865091469052437</v>
      </c>
      <c r="G302" s="11">
        <f t="shared" si="30"/>
        <v>-33.79089743861671</v>
      </c>
    </row>
    <row r="303" spans="5:7" x14ac:dyDescent="0.25">
      <c r="E303" s="11">
        <f t="shared" si="28"/>
        <v>-119</v>
      </c>
      <c r="F303" s="11">
        <f t="shared" si="29"/>
        <v>-33.643032366491582</v>
      </c>
      <c r="G303" s="11">
        <f t="shared" si="30"/>
        <v>-33.555159027401864</v>
      </c>
    </row>
    <row r="304" spans="5:7" x14ac:dyDescent="0.25">
      <c r="E304" s="11">
        <f t="shared" si="28"/>
        <v>-118</v>
      </c>
      <c r="F304" s="11">
        <f t="shared" si="29"/>
        <v>-33.419041240167388</v>
      </c>
      <c r="G304" s="11">
        <f t="shared" si="30"/>
        <v>-33.318028001476421</v>
      </c>
    </row>
    <row r="305" spans="5:7" x14ac:dyDescent="0.25">
      <c r="E305" s="11">
        <f t="shared" si="28"/>
        <v>-117</v>
      </c>
      <c r="F305" s="11">
        <f t="shared" si="29"/>
        <v>-33.193027470739068</v>
      </c>
      <c r="G305" s="11">
        <f t="shared" si="30"/>
        <v>-33.079586974175072</v>
      </c>
    </row>
    <row r="306" spans="5:7" x14ac:dyDescent="0.25">
      <c r="E306" s="11">
        <f t="shared" si="28"/>
        <v>-116</v>
      </c>
      <c r="F306" s="11">
        <f t="shared" si="29"/>
        <v>-32.964894590843912</v>
      </c>
      <c r="G306" s="11">
        <f t="shared" si="30"/>
        <v>-32.83991855883253</v>
      </c>
    </row>
    <row r="307" spans="5:7" x14ac:dyDescent="0.25">
      <c r="E307" s="11">
        <f t="shared" si="28"/>
        <v>-115</v>
      </c>
      <c r="F307" s="11">
        <f t="shared" si="29"/>
        <v>-32.734540672892201</v>
      </c>
      <c r="G307" s="11">
        <f t="shared" si="30"/>
        <v>-32.599105368783484</v>
      </c>
    </row>
    <row r="308" spans="5:7" x14ac:dyDescent="0.25">
      <c r="E308" s="11">
        <f t="shared" si="28"/>
        <v>-114</v>
      </c>
      <c r="F308" s="11">
        <f t="shared" si="29"/>
        <v>-32.501858740018214</v>
      </c>
      <c r="G308" s="11">
        <f t="shared" si="30"/>
        <v>-32.357230017362632</v>
      </c>
    </row>
    <row r="309" spans="5:7" x14ac:dyDescent="0.25">
      <c r="E309" s="11">
        <f t="shared" si="28"/>
        <v>-113</v>
      </c>
      <c r="F309" s="11">
        <f t="shared" si="29"/>
        <v>-32.266737199230491</v>
      </c>
      <c r="G309" s="11">
        <f t="shared" si="30"/>
        <v>-32.114375117904679</v>
      </c>
    </row>
    <row r="310" spans="5:7" x14ac:dyDescent="0.25">
      <c r="E310" s="11">
        <f t="shared" si="28"/>
        <v>-112</v>
      </c>
      <c r="F310" s="11">
        <f t="shared" si="29"/>
        <v>-32.029060295780361</v>
      </c>
      <c r="G310" s="11">
        <f t="shared" si="30"/>
        <v>-31.870623283744315</v>
      </c>
    </row>
    <row r="311" spans="5:7" x14ac:dyDescent="0.25">
      <c r="E311" s="11">
        <f t="shared" si="28"/>
        <v>-111</v>
      </c>
      <c r="F311" s="11">
        <f t="shared" si="29"/>
        <v>-31.788708587735961</v>
      </c>
      <c r="G311" s="11">
        <f t="shared" si="30"/>
        <v>-31.626057128216242</v>
      </c>
    </row>
    <row r="312" spans="5:7" x14ac:dyDescent="0.25">
      <c r="E312" s="11">
        <f t="shared" si="28"/>
        <v>-110</v>
      </c>
      <c r="F312" s="11">
        <f t="shared" si="29"/>
        <v>-31.545559439730177</v>
      </c>
      <c r="G312" s="11">
        <f t="shared" si="30"/>
        <v>-31.380759264655158</v>
      </c>
    </row>
    <row r="313" spans="5:7" x14ac:dyDescent="0.25">
      <c r="E313" s="11">
        <f t="shared" si="28"/>
        <v>-109</v>
      </c>
      <c r="F313" s="11">
        <f t="shared" si="29"/>
        <v>-31.299487534818866</v>
      </c>
      <c r="G313" s="11">
        <f t="shared" si="30"/>
        <v>-31.134755698121651</v>
      </c>
    </row>
    <row r="314" spans="5:7" x14ac:dyDescent="0.25">
      <c r="E314" s="11">
        <f t="shared" si="28"/>
        <v>-108</v>
      </c>
      <c r="F314" s="11">
        <f t="shared" si="29"/>
        <v>-31.050365403369444</v>
      </c>
      <c r="G314" s="11">
        <f t="shared" si="30"/>
        <v>-30.887846000579898</v>
      </c>
    </row>
    <row r="315" spans="5:7" x14ac:dyDescent="0.25">
      <c r="E315" s="11">
        <f t="shared" si="28"/>
        <v>-107</v>
      </c>
      <c r="F315" s="11">
        <f t="shared" si="29"/>
        <v>-30.798063967862625</v>
      </c>
      <c r="G315" s="11">
        <f t="shared" si="30"/>
        <v>-30.63977313571997</v>
      </c>
    </row>
    <row r="316" spans="5:7" x14ac:dyDescent="0.25">
      <c r="E316" s="11">
        <f t="shared" si="28"/>
        <v>-106</v>
      </c>
      <c r="F316" s="11">
        <f t="shared" si="29"/>
        <v>-30.542453102473907</v>
      </c>
      <c r="G316" s="11">
        <f t="shared" si="30"/>
        <v>-30.390280067231927</v>
      </c>
    </row>
    <row r="317" spans="5:7" x14ac:dyDescent="0.25">
      <c r="E317" s="11">
        <f t="shared" si="28"/>
        <v>-105</v>
      </c>
      <c r="F317" s="11">
        <f t="shared" si="29"/>
        <v>-30.28340220627241</v>
      </c>
      <c r="G317" s="11">
        <f t="shared" si="30"/>
        <v>-30.139109758805848</v>
      </c>
    </row>
    <row r="318" spans="5:7" x14ac:dyDescent="0.25">
      <c r="E318" s="11">
        <f t="shared" si="28"/>
        <v>-104</v>
      </c>
      <c r="F318" s="11">
        <f t="shared" si="29"/>
        <v>-30.020780788850505</v>
      </c>
      <c r="G318" s="11">
        <f t="shared" si="30"/>
        <v>-29.886005174131785</v>
      </c>
    </row>
    <row r="319" spans="5:7" x14ac:dyDescent="0.25">
      <c r="E319" s="11">
        <f t="shared" si="28"/>
        <v>-103</v>
      </c>
      <c r="F319" s="11">
        <f t="shared" si="29"/>
        <v>-29.754459067166351</v>
      </c>
      <c r="G319" s="11">
        <f t="shared" si="30"/>
        <v>-29.630709276899822</v>
      </c>
    </row>
    <row r="320" spans="5:7" x14ac:dyDescent="0.25">
      <c r="E320" s="11">
        <f t="shared" si="28"/>
        <v>-102</v>
      </c>
      <c r="F320" s="11">
        <f t="shared" si="29"/>
        <v>-29.484308572367944</v>
      </c>
      <c r="G320" s="11">
        <f t="shared" si="30"/>
        <v>-29.372965030800014</v>
      </c>
    </row>
    <row r="321" spans="5:7" x14ac:dyDescent="0.25">
      <c r="E321" s="11">
        <f t="shared" si="28"/>
        <v>-101</v>
      </c>
      <c r="F321" s="11">
        <f t="shared" si="29"/>
        <v>-29.210202765327576</v>
      </c>
      <c r="G321" s="11">
        <f t="shared" si="30"/>
        <v>-29.11251539952244</v>
      </c>
    </row>
    <row r="322" spans="5:7" x14ac:dyDescent="0.25">
      <c r="E322" s="11">
        <f t="shared" si="28"/>
        <v>-100</v>
      </c>
      <c r="F322" s="11">
        <f t="shared" si="29"/>
        <v>-28.932017659601041</v>
      </c>
      <c r="G322" s="11">
        <f t="shared" si="30"/>
        <v>-28.849103346757158</v>
      </c>
    </row>
    <row r="323" spans="5:7" x14ac:dyDescent="0.25">
      <c r="E323" s="11">
        <f t="shared" si="28"/>
        <v>-99</v>
      </c>
      <c r="F323" s="11">
        <f t="shared" si="29"/>
        <v>-28.649632450495183</v>
      </c>
      <c r="G323" s="11">
        <f t="shared" si="30"/>
        <v>-28.582471836194244</v>
      </c>
    </row>
    <row r="324" spans="5:7" x14ac:dyDescent="0.25">
      <c r="E324" s="11">
        <f t="shared" si="28"/>
        <v>-98</v>
      </c>
      <c r="F324" s="11">
        <f t="shared" si="29"/>
        <v>-28.362930148904653</v>
      </c>
      <c r="G324" s="11">
        <f t="shared" si="30"/>
        <v>-28.312363831523761</v>
      </c>
    </row>
    <row r="325" spans="5:7" x14ac:dyDescent="0.25">
      <c r="E325" s="11">
        <f t="shared" si="28"/>
        <v>-97</v>
      </c>
      <c r="F325" s="11">
        <f t="shared" si="29"/>
        <v>-28.071798218546466</v>
      </c>
      <c r="G325" s="11">
        <f t="shared" si="30"/>
        <v>-28.038522296435779</v>
      </c>
    </row>
    <row r="326" spans="5:7" x14ac:dyDescent="0.25">
      <c r="E326" s="11">
        <f t="shared" si="28"/>
        <v>-96</v>
      </c>
      <c r="F326" s="11">
        <f t="shared" si="29"/>
        <v>-27.776129215207973</v>
      </c>
      <c r="G326" s="11">
        <f t="shared" si="30"/>
        <v>-27.760690194620366</v>
      </c>
    </row>
    <row r="327" spans="5:7" x14ac:dyDescent="0.25">
      <c r="E327" s="11">
        <f t="shared" si="28"/>
        <v>-95</v>
      </c>
      <c r="F327" s="11">
        <f t="shared" si="29"/>
        <v>-27.475821426585242</v>
      </c>
      <c r="G327" s="11">
        <f t="shared" si="30"/>
        <v>-27.478610489767583</v>
      </c>
    </row>
    <row r="328" spans="5:7" x14ac:dyDescent="0.25">
      <c r="E328" s="11">
        <f t="shared" si="28"/>
        <v>-94</v>
      </c>
      <c r="F328" s="11">
        <f t="shared" si="29"/>
        <v>-27.170779511271185</v>
      </c>
      <c r="G328" s="11">
        <f t="shared" si="30"/>
        <v>-27.19202614556751</v>
      </c>
    </row>
    <row r="329" spans="5:7" x14ac:dyDescent="0.25">
      <c r="E329" s="11">
        <f t="shared" si="28"/>
        <v>-93</v>
      </c>
      <c r="F329" s="11">
        <f t="shared" si="29"/>
        <v>-26.8609151354263</v>
      </c>
      <c r="G329" s="11">
        <f t="shared" si="30"/>
        <v>-26.900680125710206</v>
      </c>
    </row>
    <row r="330" spans="5:7" x14ac:dyDescent="0.25">
      <c r="E330" s="11">
        <f t="shared" si="28"/>
        <v>-92</v>
      </c>
      <c r="F330" s="11">
        <f t="shared" si="29"/>
        <v>-26.546147605634765</v>
      </c>
      <c r="G330" s="11">
        <f t="shared" si="30"/>
        <v>-26.604315393885742</v>
      </c>
    </row>
    <row r="331" spans="5:7" x14ac:dyDescent="0.25">
      <c r="E331" s="11">
        <f t="shared" si="28"/>
        <v>-91</v>
      </c>
      <c r="F331" s="11">
        <f t="shared" si="29"/>
        <v>-26.226404496429666</v>
      </c>
      <c r="G331" s="11">
        <f t="shared" si="30"/>
        <v>-26.30267491378418</v>
      </c>
    </row>
    <row r="332" spans="5:7" x14ac:dyDescent="0.25">
      <c r="E332" s="11">
        <f t="shared" si="28"/>
        <v>-90</v>
      </c>
      <c r="F332" s="11">
        <f t="shared" si="29"/>
        <v>-25.901622270942489</v>
      </c>
      <c r="G332" s="11">
        <f t="shared" si="30"/>
        <v>-25.995501649095601</v>
      </c>
    </row>
    <row r="333" spans="5:7" x14ac:dyDescent="0.25">
      <c r="E333" s="11">
        <f t="shared" si="28"/>
        <v>-89</v>
      </c>
      <c r="F333" s="11">
        <f t="shared" si="29"/>
        <v>-25.571746893103573</v>
      </c>
      <c r="G333" s="11">
        <f t="shared" si="30"/>
        <v>-25.682538563510064</v>
      </c>
    </row>
    <row r="334" spans="5:7" x14ac:dyDescent="0.25">
      <c r="E334" s="11">
        <f t="shared" si="28"/>
        <v>-88</v>
      </c>
      <c r="F334" s="11">
        <f t="shared" si="29"/>
        <v>-25.236734429801164</v>
      </c>
      <c r="G334" s="11">
        <f t="shared" si="30"/>
        <v>-25.363528620717634</v>
      </c>
    </row>
    <row r="335" spans="5:7" x14ac:dyDescent="0.25">
      <c r="E335" s="11">
        <f t="shared" si="28"/>
        <v>-87</v>
      </c>
      <c r="F335" s="11">
        <f t="shared" si="29"/>
        <v>-24.896551641374838</v>
      </c>
      <c r="G335" s="11">
        <f t="shared" si="30"/>
        <v>-25.038214784408382</v>
      </c>
    </row>
    <row r="336" spans="5:7" x14ac:dyDescent="0.25">
      <c r="E336" s="11">
        <f t="shared" si="28"/>
        <v>-86</v>
      </c>
      <c r="F336" s="11">
        <f t="shared" si="29"/>
        <v>-24.551176558798481</v>
      </c>
      <c r="G336" s="11">
        <f t="shared" si="30"/>
        <v>-24.706340018272382</v>
      </c>
    </row>
    <row r="337" spans="5:7" x14ac:dyDescent="0.25">
      <c r="E337" s="11">
        <f t="shared" si="28"/>
        <v>-85</v>
      </c>
      <c r="F337" s="11">
        <f t="shared" si="29"/>
        <v>-24.200599045878818</v>
      </c>
      <c r="G337" s="11">
        <f t="shared" si="30"/>
        <v>-24.367647285999691</v>
      </c>
    </row>
    <row r="338" spans="5:7" x14ac:dyDescent="0.25">
      <c r="E338" s="11">
        <f t="shared" si="28"/>
        <v>-84</v>
      </c>
      <c r="F338" s="11">
        <f t="shared" si="29"/>
        <v>-23.844821344773315</v>
      </c>
      <c r="G338" s="11">
        <f t="shared" si="30"/>
        <v>-24.021879551280385</v>
      </c>
    </row>
    <row r="339" spans="5:7" x14ac:dyDescent="0.25">
      <c r="E339" s="11">
        <f t="shared" si="28"/>
        <v>-83</v>
      </c>
      <c r="F339" s="11">
        <f t="shared" si="29"/>
        <v>-23.483858603101197</v>
      </c>
      <c r="G339" s="11">
        <f t="shared" si="30"/>
        <v>-23.668779777804527</v>
      </c>
    </row>
    <row r="340" spans="5:7" x14ac:dyDescent="0.25">
      <c r="E340" s="11">
        <f t="shared" si="28"/>
        <v>-82</v>
      </c>
      <c r="F340" s="11">
        <f t="shared" si="29"/>
        <v>-23.117739380902481</v>
      </c>
      <c r="G340" s="11">
        <f t="shared" si="30"/>
        <v>-23.308090929262189</v>
      </c>
    </row>
    <row r="341" spans="5:7" x14ac:dyDescent="0.25">
      <c r="E341" s="11">
        <f t="shared" si="28"/>
        <v>-81</v>
      </c>
      <c r="F341" s="11">
        <f t="shared" si="29"/>
        <v>-22.746506135666134</v>
      </c>
      <c r="G341" s="11">
        <f t="shared" si="30"/>
        <v>-22.939555969343434</v>
      </c>
    </row>
    <row r="342" spans="5:7" x14ac:dyDescent="0.25">
      <c r="E342" s="11">
        <f t="shared" si="28"/>
        <v>-80</v>
      </c>
      <c r="F342" s="11">
        <f t="shared" si="29"/>
        <v>-22.370215683631567</v>
      </c>
      <c r="G342" s="11">
        <f t="shared" si="30"/>
        <v>-22.562917861738338</v>
      </c>
    </row>
    <row r="343" spans="5:7" x14ac:dyDescent="0.25">
      <c r="E343" s="11">
        <f t="shared" si="28"/>
        <v>-79</v>
      </c>
      <c r="F343" s="11">
        <f t="shared" si="29"/>
        <v>-21.98893963553456</v>
      </c>
      <c r="G343" s="11">
        <f t="shared" si="30"/>
        <v>-22.178041986403212</v>
      </c>
    </row>
    <row r="344" spans="5:7" x14ac:dyDescent="0.25">
      <c r="E344" s="11">
        <f t="shared" si="28"/>
        <v>-78</v>
      </c>
      <c r="F344" s="11">
        <f t="shared" si="29"/>
        <v>-21.602764804949004</v>
      </c>
      <c r="G344" s="11">
        <f t="shared" si="30"/>
        <v>-21.785283388359417</v>
      </c>
    </row>
    <row r="345" spans="5:7" x14ac:dyDescent="0.25">
      <c r="E345" s="11">
        <f t="shared" si="28"/>
        <v>-77</v>
      </c>
      <c r="F345" s="11">
        <f t="shared" si="29"/>
        <v>-21.211793587346239</v>
      </c>
      <c r="G345" s="11">
        <f t="shared" si="30"/>
        <v>-21.385119528894545</v>
      </c>
    </row>
    <row r="346" spans="5:7" x14ac:dyDescent="0.25">
      <c r="E346" s="11">
        <f t="shared" si="28"/>
        <v>-76</v>
      </c>
      <c r="F346" s="11">
        <f t="shared" si="29"/>
        <v>-20.816144307971008</v>
      </c>
      <c r="G346" s="11">
        <f t="shared" si="30"/>
        <v>-20.978027869296199</v>
      </c>
    </row>
    <row r="347" spans="5:7" x14ac:dyDescent="0.25">
      <c r="E347" s="11">
        <f t="shared" si="28"/>
        <v>-75</v>
      </c>
      <c r="F347" s="11">
        <f t="shared" si="29"/>
        <v>-20.41595153660581</v>
      </c>
      <c r="G347" s="11">
        <f t="shared" si="30"/>
        <v>-20.564485870851989</v>
      </c>
    </row>
    <row r="348" spans="5:7" x14ac:dyDescent="0.25">
      <c r="E348" s="11">
        <f t="shared" si="28"/>
        <v>-74</v>
      </c>
      <c r="F348" s="11">
        <f t="shared" si="29"/>
        <v>-20.011366367271027</v>
      </c>
      <c r="G348" s="11">
        <f t="shared" si="30"/>
        <v>-20.144970994849512</v>
      </c>
    </row>
    <row r="349" spans="5:7" x14ac:dyDescent="0.25">
      <c r="E349" s="11">
        <f t="shared" si="28"/>
        <v>-73</v>
      </c>
      <c r="F349" s="11">
        <f t="shared" si="29"/>
        <v>-19.602556660881842</v>
      </c>
      <c r="G349" s="11">
        <f t="shared" si="30"/>
        <v>-19.719960702576373</v>
      </c>
    </row>
    <row r="350" spans="5:7" x14ac:dyDescent="0.25">
      <c r="E350" s="11">
        <f t="shared" si="28"/>
        <v>-72</v>
      </c>
      <c r="F350" s="11">
        <f t="shared" si="29"/>
        <v>-19.189707248857925</v>
      </c>
      <c r="G350" s="11">
        <f t="shared" si="30"/>
        <v>-19.289932455320173</v>
      </c>
    </row>
    <row r="351" spans="5:7" x14ac:dyDescent="0.25">
      <c r="E351" s="11">
        <f t="shared" ref="E351:E414" si="31">E144</f>
        <v>-71</v>
      </c>
      <c r="F351" s="11">
        <f t="shared" ref="F351:F414" si="32">$H$217*0+E351*$I$217+E351^2*$J$217+E351^3*$K$217+E351^4*$L$217+E351^5*$M$217+E351^6*$N$217+E351^7*$O$217+E351^8*$P$217</f>
        <v>-18.773020095656637</v>
      </c>
      <c r="G351" s="11">
        <f t="shared" ref="G351:G414" si="33">F144</f>
        <v>-18.855363714368515</v>
      </c>
    </row>
    <row r="352" spans="5:7" x14ac:dyDescent="0.25">
      <c r="E352" s="11">
        <f t="shared" si="31"/>
        <v>-70</v>
      </c>
      <c r="F352" s="11">
        <f t="shared" si="32"/>
        <v>-18.352714418173683</v>
      </c>
      <c r="G352" s="11">
        <f t="shared" si="33"/>
        <v>-18.416731941008997</v>
      </c>
    </row>
    <row r="353" spans="5:7" x14ac:dyDescent="0.25">
      <c r="E353" s="11">
        <f t="shared" si="31"/>
        <v>-69</v>
      </c>
      <c r="F353" s="11">
        <f t="shared" si="32"/>
        <v>-17.929026759932018</v>
      </c>
      <c r="G353" s="11">
        <f t="shared" si="33"/>
        <v>-17.974514596529229</v>
      </c>
    </row>
    <row r="354" spans="5:7" x14ac:dyDescent="0.25">
      <c r="E354" s="11">
        <f t="shared" si="31"/>
        <v>-68</v>
      </c>
      <c r="F354" s="11">
        <f t="shared" si="32"/>
        <v>-17.502211017950994</v>
      </c>
      <c r="G354" s="11">
        <f t="shared" si="33"/>
        <v>-17.529189142216804</v>
      </c>
    </row>
    <row r="355" spans="5:7" x14ac:dyDescent="0.25">
      <c r="E355" s="11">
        <f t="shared" si="31"/>
        <v>-67</v>
      </c>
      <c r="F355" s="11">
        <f t="shared" si="32"/>
        <v>-17.072538420165696</v>
      </c>
      <c r="G355" s="11">
        <f t="shared" si="33"/>
        <v>-17.081233039359336</v>
      </c>
    </row>
    <row r="356" spans="5:7" x14ac:dyDescent="0.25">
      <c r="E356" s="11">
        <f t="shared" si="31"/>
        <v>-66</v>
      </c>
      <c r="F356" s="11">
        <f t="shared" si="32"/>
        <v>-16.640297451238364</v>
      </c>
      <c r="G356" s="11">
        <f t="shared" si="33"/>
        <v>-16.631123749244423</v>
      </c>
    </row>
    <row r="357" spans="5:7" x14ac:dyDescent="0.25">
      <c r="E357" s="11">
        <f t="shared" si="31"/>
        <v>-65</v>
      </c>
      <c r="F357" s="11">
        <f t="shared" si="32"/>
        <v>-16.205793724579298</v>
      </c>
      <c r="G357" s="11">
        <f t="shared" si="33"/>
        <v>-16.179338733159664</v>
      </c>
    </row>
    <row r="358" spans="5:7" x14ac:dyDescent="0.25">
      <c r="E358" s="11">
        <f t="shared" si="31"/>
        <v>-64</v>
      </c>
      <c r="F358" s="11">
        <f t="shared" si="32"/>
        <v>-15.769349798369374</v>
      </c>
      <c r="G358" s="11">
        <f t="shared" si="33"/>
        <v>-15.726355452392665</v>
      </c>
    </row>
    <row r="359" spans="5:7" x14ac:dyDescent="0.25">
      <c r="E359" s="11">
        <f t="shared" si="31"/>
        <v>-63</v>
      </c>
      <c r="F359" s="11">
        <f t="shared" si="32"/>
        <v>-15.33130493334977</v>
      </c>
      <c r="G359" s="11">
        <f t="shared" si="33"/>
        <v>-15.272651368231028</v>
      </c>
    </row>
    <row r="360" spans="5:7" x14ac:dyDescent="0.25">
      <c r="E360" s="11">
        <f t="shared" si="31"/>
        <v>-62</v>
      </c>
      <c r="F360" s="11">
        <f t="shared" si="32"/>
        <v>-14.892014790120353</v>
      </c>
      <c r="G360" s="11">
        <f t="shared" si="33"/>
        <v>-14.818703941962353</v>
      </c>
    </row>
    <row r="361" spans="5:7" x14ac:dyDescent="0.25">
      <c r="E361" s="11">
        <f t="shared" si="31"/>
        <v>-61</v>
      </c>
      <c r="F361" s="11">
        <f t="shared" si="32"/>
        <v>-14.451851063661691</v>
      </c>
      <c r="G361" s="11">
        <f t="shared" si="33"/>
        <v>-14.364990634874248</v>
      </c>
    </row>
    <row r="362" spans="5:7" x14ac:dyDescent="0.25">
      <c r="E362" s="11">
        <f t="shared" si="31"/>
        <v>-60</v>
      </c>
      <c r="F362" s="11">
        <f t="shared" si="32"/>
        <v>-14.011201052769772</v>
      </c>
      <c r="G362" s="11">
        <f t="shared" si="33"/>
        <v>-13.91198890825431</v>
      </c>
    </row>
    <row r="363" spans="5:7" x14ac:dyDescent="0.25">
      <c r="E363" s="11">
        <f t="shared" si="31"/>
        <v>-59</v>
      </c>
      <c r="F363" s="11">
        <f t="shared" si="32"/>
        <v>-13.570467162068866</v>
      </c>
      <c r="G363" s="11">
        <f t="shared" si="33"/>
        <v>-13.460176223390143</v>
      </c>
    </row>
    <row r="364" spans="5:7" x14ac:dyDescent="0.25">
      <c r="E364" s="11">
        <f t="shared" si="31"/>
        <v>-58</v>
      </c>
      <c r="F364" s="11">
        <f t="shared" si="32"/>
        <v>-13.130066334240054</v>
      </c>
      <c r="G364" s="11">
        <f t="shared" si="33"/>
        <v>-13.010030041569349</v>
      </c>
    </row>
    <row r="365" spans="5:7" x14ac:dyDescent="0.25">
      <c r="E365" s="11">
        <f t="shared" si="31"/>
        <v>-57</v>
      </c>
      <c r="F365" s="11">
        <f t="shared" si="32"/>
        <v>-12.690429410079101</v>
      </c>
      <c r="G365" s="11">
        <f t="shared" si="33"/>
        <v>-12.562027824079532</v>
      </c>
    </row>
    <row r="366" spans="5:7" x14ac:dyDescent="0.25">
      <c r="E366" s="11">
        <f t="shared" si="31"/>
        <v>-56</v>
      </c>
      <c r="F366" s="11">
        <f t="shared" si="32"/>
        <v>-12.252000413971553</v>
      </c>
      <c r="G366" s="11">
        <f t="shared" si="33"/>
        <v>-12.116647032208299</v>
      </c>
    </row>
    <row r="367" spans="5:7" x14ac:dyDescent="0.25">
      <c r="E367" s="11">
        <f t="shared" si="31"/>
        <v>-55</v>
      </c>
      <c r="F367" s="11">
        <f t="shared" si="32"/>
        <v>-11.815235762346486</v>
      </c>
      <c r="G367" s="11">
        <f t="shared" si="33"/>
        <v>-11.674365127243243</v>
      </c>
    </row>
    <row r="368" spans="5:7" x14ac:dyDescent="0.25">
      <c r="E368" s="11">
        <f t="shared" si="31"/>
        <v>-54</v>
      </c>
      <c r="F368" s="11">
        <f t="shared" si="32"/>
        <v>-11.380603392646242</v>
      </c>
      <c r="G368" s="11">
        <f t="shared" si="33"/>
        <v>-11.23565957047197</v>
      </c>
    </row>
    <row r="369" spans="5:7" x14ac:dyDescent="0.25">
      <c r="E369" s="11">
        <f t="shared" si="31"/>
        <v>-53</v>
      </c>
      <c r="F369" s="11">
        <f t="shared" si="32"/>
        <v>-10.948581810322965</v>
      </c>
      <c r="G369" s="11">
        <f t="shared" si="33"/>
        <v>-10.801007823182088</v>
      </c>
    </row>
    <row r="370" spans="5:7" x14ac:dyDescent="0.25">
      <c r="E370" s="11">
        <f t="shared" si="31"/>
        <v>-52</v>
      </c>
      <c r="F370" s="11">
        <f t="shared" si="32"/>
        <v>-10.519659051347183</v>
      </c>
      <c r="G370" s="11">
        <f t="shared" si="33"/>
        <v>-10.370887346661192</v>
      </c>
    </row>
    <row r="371" spans="5:7" x14ac:dyDescent="0.25">
      <c r="E371" s="11">
        <f t="shared" si="31"/>
        <v>-51</v>
      </c>
      <c r="F371" s="11">
        <f t="shared" si="32"/>
        <v>-10.094331557689257</v>
      </c>
      <c r="G371" s="11">
        <f t="shared" si="33"/>
        <v>-9.9457756021968873</v>
      </c>
    </row>
    <row r="372" spans="5:7" x14ac:dyDescent="0.25">
      <c r="E372" s="11">
        <f t="shared" si="31"/>
        <v>-50</v>
      </c>
      <c r="F372" s="11">
        <f t="shared" si="32"/>
        <v>-9.6731029632076826</v>
      </c>
      <c r="G372" s="11">
        <f t="shared" si="33"/>
        <v>-9.526150051076776</v>
      </c>
    </row>
    <row r="373" spans="5:7" x14ac:dyDescent="0.25">
      <c r="E373" s="11">
        <f t="shared" si="31"/>
        <v>-49</v>
      </c>
      <c r="F373" s="11">
        <f t="shared" si="32"/>
        <v>-9.2564827873532671</v>
      </c>
      <c r="G373" s="11">
        <f t="shared" si="33"/>
        <v>-9.1124881545884637</v>
      </c>
    </row>
    <row r="374" spans="5:7" x14ac:dyDescent="0.25">
      <c r="E374" s="11">
        <f t="shared" si="31"/>
        <v>-48</v>
      </c>
      <c r="F374" s="11">
        <f t="shared" si="32"/>
        <v>-8.8449850340732734</v>
      </c>
      <c r="G374" s="11">
        <f t="shared" si="33"/>
        <v>-8.7052673740195505</v>
      </c>
    </row>
    <row r="375" spans="5:7" x14ac:dyDescent="0.25">
      <c r="E375" s="11">
        <f t="shared" si="31"/>
        <v>-47</v>
      </c>
      <c r="F375" s="11">
        <f t="shared" si="32"/>
        <v>-8.4391266932728275</v>
      </c>
      <c r="G375" s="11">
        <f t="shared" si="33"/>
        <v>-8.3049651706576348</v>
      </c>
    </row>
    <row r="376" spans="5:7" x14ac:dyDescent="0.25">
      <c r="E376" s="11">
        <f t="shared" si="31"/>
        <v>-46</v>
      </c>
      <c r="F376" s="11">
        <f t="shared" si="32"/>
        <v>-8.0394261421666737</v>
      </c>
      <c r="G376" s="11">
        <f t="shared" si="33"/>
        <v>-7.9120590057903275</v>
      </c>
    </row>
    <row r="377" spans="5:7" x14ac:dyDescent="0.25">
      <c r="E377" s="11">
        <f t="shared" si="31"/>
        <v>-45</v>
      </c>
      <c r="F377" s="11">
        <f t="shared" si="32"/>
        <v>-7.6464014438278438</v>
      </c>
      <c r="G377" s="11">
        <f t="shared" si="33"/>
        <v>-7.5270263407052251</v>
      </c>
    </row>
    <row r="378" spans="5:7" x14ac:dyDescent="0.25">
      <c r="E378" s="11">
        <f t="shared" si="31"/>
        <v>-44</v>
      </c>
      <c r="F378" s="11">
        <f t="shared" si="32"/>
        <v>-7.2605685402150844</v>
      </c>
      <c r="G378" s="11">
        <f t="shared" si="33"/>
        <v>-7.1503446366899324</v>
      </c>
    </row>
    <row r="379" spans="5:7" x14ac:dyDescent="0.25">
      <c r="E379" s="11">
        <f t="shared" si="31"/>
        <v>-43</v>
      </c>
      <c r="F379" s="11">
        <f t="shared" si="32"/>
        <v>-6.8824393369346639</v>
      </c>
      <c r="G379" s="11">
        <f t="shared" si="33"/>
        <v>-6.7824913550320511</v>
      </c>
    </row>
    <row r="380" spans="5:7" x14ac:dyDescent="0.25">
      <c r="E380" s="11">
        <f t="shared" si="31"/>
        <v>-42</v>
      </c>
      <c r="F380" s="11">
        <f t="shared" si="32"/>
        <v>-6.5125196769672113</v>
      </c>
      <c r="G380" s="11">
        <f t="shared" si="33"/>
        <v>-6.4239439570191834</v>
      </c>
    </row>
    <row r="381" spans="5:7" x14ac:dyDescent="0.25">
      <c r="E381" s="11">
        <f t="shared" si="31"/>
        <v>-41</v>
      </c>
      <c r="F381" s="11">
        <f t="shared" si="32"/>
        <v>-6.1513072005644629</v>
      </c>
      <c r="G381" s="11">
        <f t="shared" si="33"/>
        <v>-6.0751799039389329</v>
      </c>
    </row>
    <row r="382" spans="5:7" x14ac:dyDescent="0.25">
      <c r="E382" s="11">
        <f t="shared" si="31"/>
        <v>-40</v>
      </c>
      <c r="F382" s="11">
        <f t="shared" si="32"/>
        <v>-5.7992890884953585</v>
      </c>
      <c r="G382" s="11">
        <f t="shared" si="33"/>
        <v>-5.7366766570789016</v>
      </c>
    </row>
    <row r="383" spans="5:7" x14ac:dyDescent="0.25">
      <c r="E383" s="11">
        <f t="shared" si="31"/>
        <v>-39</v>
      </c>
      <c r="F383" s="11">
        <f t="shared" si="32"/>
        <v>-5.4569396857952519</v>
      </c>
      <c r="G383" s="11">
        <f t="shared" si="33"/>
        <v>-5.4089116777266915</v>
      </c>
    </row>
    <row r="384" spans="5:7" x14ac:dyDescent="0.25">
      <c r="E384" s="11">
        <f t="shared" si="31"/>
        <v>-38</v>
      </c>
      <c r="F384" s="11">
        <f t="shared" si="32"/>
        <v>-5.1247180031468282</v>
      </c>
      <c r="G384" s="11">
        <f t="shared" si="33"/>
        <v>-5.0923624271699053</v>
      </c>
    </row>
    <row r="385" spans="5:7" x14ac:dyDescent="0.25">
      <c r="E385" s="11">
        <f t="shared" si="31"/>
        <v>-37</v>
      </c>
      <c r="F385" s="11">
        <f t="shared" si="32"/>
        <v>-4.8030650929954533</v>
      </c>
      <c r="G385" s="11">
        <f t="shared" si="33"/>
        <v>-4.7875063666961459</v>
      </c>
    </row>
    <row r="386" spans="5:7" x14ac:dyDescent="0.25">
      <c r="E386" s="11">
        <f t="shared" si="31"/>
        <v>-36</v>
      </c>
      <c r="F386" s="11">
        <f t="shared" si="32"/>
        <v>-4.4924012974763583</v>
      </c>
      <c r="G386" s="11">
        <f t="shared" si="33"/>
        <v>-4.4948209575930145</v>
      </c>
    </row>
    <row r="387" spans="5:7" x14ac:dyDescent="0.25">
      <c r="E387" s="11">
        <f t="shared" si="31"/>
        <v>-35</v>
      </c>
      <c r="F387" s="11">
        <f t="shared" si="32"/>
        <v>-4.1931233652054951</v>
      </c>
      <c r="G387" s="11">
        <f t="shared" si="33"/>
        <v>-4.2147836611481173</v>
      </c>
    </row>
    <row r="388" spans="5:7" x14ac:dyDescent="0.25">
      <c r="E388" s="11">
        <f t="shared" si="31"/>
        <v>-34</v>
      </c>
      <c r="F388" s="11">
        <f t="shared" si="32"/>
        <v>-3.9056014339603964</v>
      </c>
      <c r="G388" s="11">
        <f t="shared" si="33"/>
        <v>-3.9477298590347103</v>
      </c>
    </row>
    <row r="389" spans="5:7" x14ac:dyDescent="0.25">
      <c r="E389" s="11">
        <f t="shared" si="31"/>
        <v>-33</v>
      </c>
      <c r="F389" s="11">
        <f t="shared" si="32"/>
        <v>-3.6301758762518461</v>
      </c>
      <c r="G389" s="11">
        <f t="shared" si="33"/>
        <v>-3.6934266144686854</v>
      </c>
    </row>
    <row r="390" spans="5:7" x14ac:dyDescent="0.25">
      <c r="E390" s="11">
        <f t="shared" si="31"/>
        <v>-32</v>
      </c>
      <c r="F390" s="11">
        <f t="shared" si="32"/>
        <v>-3.367154004761665</v>
      </c>
      <c r="G390" s="11">
        <f t="shared" si="33"/>
        <v>-3.4514989110515888</v>
      </c>
    </row>
    <row r="391" spans="5:7" x14ac:dyDescent="0.25">
      <c r="E391" s="11">
        <f t="shared" si="31"/>
        <v>-31</v>
      </c>
      <c r="F391" s="11">
        <f t="shared" si="32"/>
        <v>-3.1168066345963825</v>
      </c>
      <c r="G391" s="11">
        <f t="shared" si="33"/>
        <v>-3.2215717323849695</v>
      </c>
    </row>
    <row r="392" spans="5:7" x14ac:dyDescent="0.25">
      <c r="E392" s="11">
        <f t="shared" si="31"/>
        <v>-30</v>
      </c>
      <c r="F392" s="11">
        <f t="shared" si="32"/>
        <v>-2.8793644992810896</v>
      </c>
      <c r="G392" s="11">
        <f t="shared" si="33"/>
        <v>-3.0032700620703747</v>
      </c>
    </row>
    <row r="393" spans="5:7" x14ac:dyDescent="0.25">
      <c r="E393" s="11">
        <f t="shared" si="31"/>
        <v>-29</v>
      </c>
      <c r="F393" s="11">
        <f t="shared" si="32"/>
        <v>-2.655014517392182</v>
      </c>
      <c r="G393" s="11">
        <f t="shared" si="33"/>
        <v>-2.796218883709352</v>
      </c>
    </row>
    <row r="394" spans="5:7" x14ac:dyDescent="0.25">
      <c r="E394" s="11">
        <f t="shared" si="31"/>
        <v>-28</v>
      </c>
      <c r="F394" s="11">
        <f t="shared" si="32"/>
        <v>-2.4438959067022981</v>
      </c>
      <c r="G394" s="11">
        <f t="shared" si="33"/>
        <v>-2.600043180903449</v>
      </c>
    </row>
    <row r="395" spans="5:7" x14ac:dyDescent="0.25">
      <c r="E395" s="11">
        <f t="shared" si="31"/>
        <v>-27</v>
      </c>
      <c r="F395" s="11">
        <f t="shared" si="32"/>
        <v>-2.246096142685106</v>
      </c>
      <c r="G395" s="11">
        <f t="shared" si="33"/>
        <v>-2.4143679372542133</v>
      </c>
    </row>
    <row r="396" spans="5:7" x14ac:dyDescent="0.25">
      <c r="E396" s="11">
        <f t="shared" si="31"/>
        <v>-26</v>
      </c>
      <c r="F396" s="11">
        <f t="shared" si="32"/>
        <v>-2.0616467582022144</v>
      </c>
      <c r="G396" s="11">
        <f t="shared" si="33"/>
        <v>-2.2388181363631925</v>
      </c>
    </row>
    <row r="397" spans="5:7" x14ac:dyDescent="0.25">
      <c r="E397" s="11">
        <f t="shared" si="31"/>
        <v>-25</v>
      </c>
      <c r="F397" s="11">
        <f t="shared" si="32"/>
        <v>-1.8905189811688508</v>
      </c>
      <c r="G397" s="11">
        <f t="shared" si="33"/>
        <v>-2.0730187618319342</v>
      </c>
    </row>
    <row r="398" spans="5:7" x14ac:dyDescent="0.25">
      <c r="E398" s="11">
        <f t="shared" si="31"/>
        <v>-24</v>
      </c>
      <c r="F398" s="11">
        <f t="shared" si="32"/>
        <v>-1.7326192069695299</v>
      </c>
      <c r="G398" s="11">
        <f t="shared" si="33"/>
        <v>-1.9165947972619857</v>
      </c>
    </row>
    <row r="399" spans="5:7" x14ac:dyDescent="0.25">
      <c r="E399" s="11">
        <f t="shared" si="31"/>
        <v>-23</v>
      </c>
      <c r="F399" s="11">
        <f t="shared" si="32"/>
        <v>-1.5877843023693552</v>
      </c>
      <c r="G399" s="11">
        <f t="shared" si="33"/>
        <v>-1.7691712262548951</v>
      </c>
    </row>
    <row r="400" spans="5:7" x14ac:dyDescent="0.25">
      <c r="E400" s="11">
        <f t="shared" si="31"/>
        <v>-22</v>
      </c>
      <c r="F400" s="11">
        <f t="shared" si="32"/>
        <v>-1.4557767376411141</v>
      </c>
      <c r="G400" s="11">
        <f t="shared" si="33"/>
        <v>-1.6303730324122099</v>
      </c>
    </row>
    <row r="401" spans="5:7" x14ac:dyDescent="0.25">
      <c r="E401" s="11">
        <f t="shared" si="31"/>
        <v>-21</v>
      </c>
      <c r="F401" s="11">
        <f t="shared" si="32"/>
        <v>-1.3362795436028005</v>
      </c>
      <c r="G401" s="11">
        <f t="shared" si="33"/>
        <v>-1.4998251993354774</v>
      </c>
    </row>
    <row r="402" spans="5:7" x14ac:dyDescent="0.25">
      <c r="E402" s="11">
        <f t="shared" si="31"/>
        <v>-20</v>
      </c>
      <c r="F402" s="11">
        <f t="shared" si="32"/>
        <v>-1.2288910902346979</v>
      </c>
      <c r="G402" s="11">
        <f t="shared" si="33"/>
        <v>-1.3771527106262451</v>
      </c>
    </row>
    <row r="403" spans="5:7" x14ac:dyDescent="0.25">
      <c r="E403" s="11">
        <f t="shared" si="31"/>
        <v>-19</v>
      </c>
      <c r="F403" s="11">
        <f t="shared" si="32"/>
        <v>-1.1331196835196227</v>
      </c>
      <c r="G403" s="11">
        <f t="shared" si="33"/>
        <v>-1.2619805498860612</v>
      </c>
    </row>
    <row r="404" spans="5:7" x14ac:dyDescent="0.25">
      <c r="E404" s="11">
        <f t="shared" si="31"/>
        <v>-18</v>
      </c>
      <c r="F404" s="11">
        <f t="shared" si="32"/>
        <v>-1.0483779771244264</v>
      </c>
      <c r="G404" s="11">
        <f t="shared" si="33"/>
        <v>-1.1539337007164729</v>
      </c>
    </row>
    <row r="405" spans="5:7" x14ac:dyDescent="0.25">
      <c r="E405" s="11">
        <f t="shared" si="31"/>
        <v>-17</v>
      </c>
      <c r="F405" s="11">
        <f t="shared" si="32"/>
        <v>-0.9739771955153318</v>
      </c>
      <c r="G405" s="11">
        <f t="shared" si="33"/>
        <v>-1.0526371467190279</v>
      </c>
    </row>
    <row r="406" spans="5:7" x14ac:dyDescent="0.25">
      <c r="E406" s="11">
        <f t="shared" si="31"/>
        <v>-16</v>
      </c>
      <c r="F406" s="11">
        <f t="shared" si="32"/>
        <v>-0.90912116507417673</v>
      </c>
      <c r="G406" s="11">
        <f t="shared" si="33"/>
        <v>-0.95771587149527349</v>
      </c>
    </row>
    <row r="407" spans="5:7" x14ac:dyDescent="0.25">
      <c r="E407" s="11">
        <f t="shared" si="31"/>
        <v>-15</v>
      </c>
      <c r="F407" s="11">
        <f t="shared" si="32"/>
        <v>-0.85290014975710959</v>
      </c>
      <c r="G407" s="11">
        <f t="shared" si="33"/>
        <v>-0.86879485864675765</v>
      </c>
    </row>
    <row r="408" spans="5:7" x14ac:dyDescent="0.25">
      <c r="E408" s="11">
        <f t="shared" si="31"/>
        <v>-14</v>
      </c>
      <c r="F408" s="11">
        <f t="shared" si="32"/>
        <v>-0.80428448781177397</v>
      </c>
      <c r="G408" s="11">
        <f t="shared" si="33"/>
        <v>-0.78549909177502786</v>
      </c>
    </row>
    <row r="409" spans="5:7" x14ac:dyDescent="0.25">
      <c r="E409" s="11">
        <f t="shared" si="31"/>
        <v>-13</v>
      </c>
      <c r="F409" s="11">
        <f t="shared" si="32"/>
        <v>-0.76211802604350465</v>
      </c>
      <c r="G409" s="11">
        <f t="shared" si="33"/>
        <v>-0.70745355448163183</v>
      </c>
    </row>
    <row r="410" spans="5:7" x14ac:dyDescent="0.25">
      <c r="E410" s="11">
        <f t="shared" si="31"/>
        <v>-12</v>
      </c>
      <c r="F410" s="11">
        <f t="shared" si="32"/>
        <v>-0.72511134809554278</v>
      </c>
      <c r="G410" s="11">
        <f t="shared" si="33"/>
        <v>-0.63428323036811685</v>
      </c>
    </row>
    <row r="411" spans="5:7" x14ac:dyDescent="0.25">
      <c r="E411" s="11">
        <f t="shared" si="31"/>
        <v>-11</v>
      </c>
      <c r="F411" s="11">
        <f t="shared" si="32"/>
        <v>-0.69183479318276331</v>
      </c>
      <c r="G411" s="11">
        <f t="shared" si="33"/>
        <v>-0.56561310303603085</v>
      </c>
    </row>
    <row r="412" spans="5:7" x14ac:dyDescent="0.25">
      <c r="E412" s="11">
        <f t="shared" si="31"/>
        <v>-10</v>
      </c>
      <c r="F412" s="11">
        <f t="shared" si="32"/>
        <v>-0.66071126169288641</v>
      </c>
      <c r="G412" s="11">
        <f t="shared" si="33"/>
        <v>-0.50106815608692123</v>
      </c>
    </row>
    <row r="413" spans="5:7" x14ac:dyDescent="0.25">
      <c r="E413" s="11">
        <f t="shared" si="31"/>
        <v>-9</v>
      </c>
      <c r="F413" s="11">
        <f t="shared" si="32"/>
        <v>-0.63000880404364779</v>
      </c>
      <c r="G413" s="11">
        <f t="shared" si="33"/>
        <v>-0.44027337312233561</v>
      </c>
    </row>
    <row r="414" spans="5:7" x14ac:dyDescent="0.25">
      <c r="E414" s="11">
        <f t="shared" si="31"/>
        <v>-8</v>
      </c>
      <c r="F414" s="11">
        <f t="shared" si="32"/>
        <v>-0.59783298915886374</v>
      </c>
      <c r="G414" s="11">
        <f t="shared" si="33"/>
        <v>-0.38285373774382164</v>
      </c>
    </row>
    <row r="415" spans="5:7" x14ac:dyDescent="0.25">
      <c r="E415" s="11">
        <f t="shared" ref="E415:E422" si="34">E208</f>
        <v>-7</v>
      </c>
      <c r="F415" s="11">
        <f t="shared" ref="F415:F422" si="35">$H$217*0+E415*$I$217+E415^2*$J$217+E415^3*$K$217+E415^4*$L$217+E415^5*$M$217+E415^6*$N$217+E415^7*$O$217+E415^8*$P$217</f>
        <v>-0.56211904890083653</v>
      </c>
      <c r="G415" s="11">
        <f t="shared" ref="G415:G422" si="36">F208</f>
        <v>-0.32843423355292684</v>
      </c>
    </row>
    <row r="416" spans="5:7" x14ac:dyDescent="0.25">
      <c r="E416" s="11">
        <f t="shared" si="34"/>
        <v>-6</v>
      </c>
      <c r="F416" s="11">
        <f t="shared" si="35"/>
        <v>-0.52062379477101006</v>
      </c>
      <c r="G416" s="11">
        <f t="shared" si="36"/>
        <v>-0.27663984415119897</v>
      </c>
    </row>
    <row r="417" spans="5:7" x14ac:dyDescent="0.25">
      <c r="E417" s="11">
        <f t="shared" si="34"/>
        <v>-5</v>
      </c>
      <c r="F417" s="11">
        <f t="shared" si="35"/>
        <v>-0.47091730316529085</v>
      </c>
      <c r="G417" s="11">
        <f t="shared" si="36"/>
        <v>-0.22709555314018542</v>
      </c>
    </row>
    <row r="418" spans="5:7" x14ac:dyDescent="0.25">
      <c r="E418" s="11">
        <f t="shared" si="34"/>
        <v>-4</v>
      </c>
      <c r="F418" s="11">
        <f t="shared" si="35"/>
        <v>-0.41037436544491468</v>
      </c>
      <c r="G418" s="11">
        <f t="shared" si="36"/>
        <v>-0.17942634412143393</v>
      </c>
    </row>
    <row r="419" spans="5:7" x14ac:dyDescent="0.25">
      <c r="E419" s="11">
        <f t="shared" si="34"/>
        <v>-3</v>
      </c>
      <c r="F419" s="11">
        <f t="shared" si="35"/>
        <v>-0.33616569905824339</v>
      </c>
      <c r="G419" s="11">
        <f t="shared" si="36"/>
        <v>-0.13325720069649202</v>
      </c>
    </row>
    <row r="420" spans="5:7" x14ac:dyDescent="0.25">
      <c r="E420" s="11">
        <f t="shared" si="34"/>
        <v>-2</v>
      </c>
      <c r="F420" s="11">
        <f t="shared" si="35"/>
        <v>-0.24524891592334827</v>
      </c>
      <c r="G420" s="11">
        <f t="shared" si="36"/>
        <v>-8.8213106466907346E-2</v>
      </c>
    </row>
    <row r="421" spans="5:7" x14ac:dyDescent="0.25">
      <c r="E421" s="11">
        <f t="shared" si="34"/>
        <v>-1</v>
      </c>
      <c r="F421" s="11">
        <f t="shared" si="35"/>
        <v>-0.13435924425572909</v>
      </c>
      <c r="G421" s="11">
        <f t="shared" si="36"/>
        <v>-4.3919045034227472E-2</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2022-01-12T07:39:26Z</dcterms:modified>
</cp:coreProperties>
</file>